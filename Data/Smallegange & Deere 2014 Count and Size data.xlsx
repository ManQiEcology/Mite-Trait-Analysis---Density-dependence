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cuments/GitHub/Repos/Mite-Trait-Analysis---Density-dependence/Data/"/>
    </mc:Choice>
  </mc:AlternateContent>
  <xr:revisionPtr revIDLastSave="0" documentId="13_ncr:1_{F31F31E6-4B23-7444-B2BB-3407D282018F}" xr6:coauthVersionLast="47" xr6:coauthVersionMax="47" xr10:uidLastSave="{00000000-0000-0000-0000-000000000000}"/>
  <bookViews>
    <workbookView xWindow="5100" yWindow="1060" windowWidth="30240" windowHeight="17480" xr2:uid="{00000000-000D-0000-FFFF-FFFF00000000}"/>
  </bookViews>
  <sheets>
    <sheet name="metadata" sheetId="2" r:id="rId1"/>
    <sheet name="CountData" sheetId="1" r:id="rId2"/>
    <sheet name="SizeData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R31" i="3"/>
  <c r="S3" i="3"/>
  <c r="V2" i="3"/>
  <c r="G8819" i="3"/>
  <c r="G8818" i="3"/>
  <c r="G8817" i="3"/>
  <c r="G8816" i="3"/>
  <c r="G8815" i="3"/>
  <c r="G8814" i="3"/>
  <c r="G8813" i="3"/>
  <c r="G8812" i="3"/>
  <c r="G8811" i="3"/>
  <c r="G8810" i="3"/>
  <c r="G8809" i="3"/>
  <c r="G8808" i="3"/>
  <c r="G8807" i="3"/>
  <c r="G8806" i="3"/>
  <c r="G8805" i="3"/>
  <c r="G8804" i="3"/>
  <c r="G8803" i="3"/>
  <c r="G8802" i="3"/>
  <c r="G8801" i="3"/>
  <c r="G8800" i="3"/>
  <c r="G8799" i="3"/>
  <c r="G8798" i="3"/>
  <c r="G8797" i="3"/>
  <c r="G8796" i="3"/>
  <c r="G8795" i="3"/>
  <c r="G8794" i="3"/>
  <c r="G8793" i="3"/>
  <c r="G8792" i="3"/>
  <c r="G8791" i="3"/>
  <c r="G8790" i="3"/>
  <c r="G8789" i="3"/>
  <c r="G8788" i="3"/>
  <c r="G8787" i="3"/>
  <c r="G8786" i="3"/>
  <c r="G8785" i="3"/>
  <c r="G8784" i="3"/>
  <c r="G8783" i="3"/>
  <c r="G8782" i="3"/>
  <c r="G8781" i="3"/>
  <c r="G8780" i="3"/>
  <c r="G8779" i="3"/>
  <c r="G8778" i="3"/>
  <c r="G8777" i="3"/>
  <c r="G8776" i="3"/>
  <c r="G8775" i="3"/>
  <c r="G8774" i="3"/>
  <c r="G8773" i="3"/>
  <c r="G8772" i="3"/>
  <c r="G8771" i="3"/>
  <c r="G8770" i="3"/>
  <c r="G8769" i="3"/>
  <c r="G8768" i="3"/>
  <c r="G8767" i="3"/>
  <c r="G8766" i="3"/>
  <c r="G8765" i="3"/>
  <c r="G8764" i="3"/>
  <c r="G8763" i="3"/>
  <c r="G8762" i="3"/>
  <c r="G8761" i="3"/>
  <c r="G8760" i="3"/>
  <c r="G8759" i="3"/>
  <c r="G8758" i="3"/>
  <c r="G8757" i="3"/>
  <c r="G8756" i="3"/>
  <c r="G8755" i="3"/>
  <c r="G8754" i="3"/>
  <c r="G8753" i="3"/>
  <c r="G8752" i="3"/>
  <c r="G8751" i="3"/>
  <c r="G8750" i="3"/>
  <c r="G8749" i="3"/>
  <c r="G8748" i="3"/>
  <c r="G8747" i="3"/>
  <c r="G8746" i="3"/>
  <c r="G8745" i="3"/>
  <c r="G8744" i="3"/>
  <c r="G8743" i="3"/>
  <c r="G8742" i="3"/>
  <c r="G8741" i="3"/>
  <c r="G8740" i="3"/>
  <c r="G8739" i="3"/>
  <c r="G8738" i="3"/>
  <c r="G8737" i="3"/>
  <c r="G8736" i="3"/>
  <c r="G8735" i="3"/>
  <c r="G8734" i="3"/>
  <c r="G8733" i="3"/>
  <c r="G8732" i="3"/>
  <c r="G8731" i="3"/>
  <c r="G8730" i="3"/>
  <c r="G8729" i="3"/>
  <c r="G8728" i="3"/>
  <c r="G8727" i="3"/>
  <c r="G8726" i="3"/>
  <c r="G8725" i="3"/>
  <c r="G8724" i="3"/>
  <c r="G8723" i="3"/>
  <c r="G8722" i="3"/>
  <c r="G8721" i="3"/>
  <c r="G8720" i="3"/>
  <c r="G8719" i="3"/>
  <c r="G8718" i="3"/>
  <c r="G8717" i="3"/>
  <c r="G8716" i="3"/>
  <c r="G8715" i="3"/>
  <c r="G8714" i="3"/>
  <c r="G8713" i="3"/>
  <c r="G8712" i="3"/>
  <c r="G8711" i="3"/>
  <c r="G8710" i="3"/>
  <c r="G8709" i="3"/>
  <c r="G8708" i="3"/>
  <c r="G8707" i="3"/>
  <c r="G8706" i="3"/>
  <c r="G8705" i="3"/>
  <c r="G8704" i="3"/>
  <c r="G8703" i="3"/>
  <c r="G8702" i="3"/>
  <c r="G8701" i="3"/>
  <c r="G8700" i="3"/>
  <c r="G8699" i="3"/>
  <c r="G8698" i="3"/>
  <c r="G8697" i="3"/>
  <c r="G8696" i="3"/>
  <c r="G8695" i="3"/>
  <c r="G8694" i="3"/>
  <c r="G8693" i="3"/>
  <c r="G8692" i="3"/>
  <c r="G8691" i="3"/>
  <c r="G8690" i="3"/>
  <c r="G8689" i="3"/>
  <c r="G8688" i="3"/>
  <c r="G8687" i="3"/>
  <c r="G8686" i="3"/>
  <c r="G8685" i="3"/>
  <c r="G8684" i="3"/>
  <c r="G8683" i="3"/>
  <c r="G8682" i="3"/>
  <c r="G8681" i="3"/>
  <c r="G8680" i="3"/>
  <c r="G8679" i="3"/>
  <c r="G8678" i="3"/>
  <c r="G8677" i="3"/>
  <c r="G8676" i="3"/>
  <c r="G8675" i="3"/>
  <c r="G8674" i="3"/>
  <c r="G8673" i="3"/>
  <c r="G8672" i="3"/>
  <c r="G8671" i="3"/>
  <c r="G8670" i="3"/>
  <c r="G8669" i="3"/>
  <c r="G8668" i="3"/>
  <c r="G8667" i="3"/>
  <c r="G8666" i="3"/>
  <c r="G8665" i="3"/>
  <c r="G8664" i="3"/>
  <c r="G8663" i="3"/>
  <c r="G8662" i="3"/>
  <c r="G8661" i="3"/>
  <c r="G8660" i="3"/>
  <c r="G8659" i="3"/>
  <c r="G8658" i="3"/>
  <c r="G8657" i="3"/>
  <c r="G8656" i="3"/>
  <c r="G8655" i="3"/>
  <c r="G8654" i="3"/>
  <c r="G8653" i="3"/>
  <c r="G8652" i="3"/>
  <c r="G8651" i="3"/>
  <c r="G8650" i="3"/>
  <c r="G8649" i="3"/>
  <c r="G8648" i="3"/>
  <c r="G8647" i="3"/>
  <c r="G8646" i="3"/>
  <c r="G8645" i="3"/>
  <c r="G8644" i="3"/>
  <c r="G8643" i="3"/>
  <c r="G8642" i="3"/>
  <c r="G8641" i="3"/>
  <c r="G8640" i="3"/>
  <c r="G8639" i="3"/>
  <c r="G8638" i="3"/>
  <c r="G8637" i="3"/>
  <c r="G8636" i="3"/>
  <c r="G8635" i="3"/>
  <c r="G8634" i="3"/>
  <c r="G8633" i="3"/>
  <c r="G8632" i="3"/>
  <c r="G8631" i="3"/>
  <c r="G8630" i="3"/>
  <c r="G8629" i="3"/>
  <c r="G8628" i="3"/>
  <c r="G8627" i="3"/>
  <c r="G8626" i="3"/>
  <c r="G8625" i="3"/>
  <c r="G8624" i="3"/>
  <c r="G8623" i="3"/>
  <c r="G8622" i="3"/>
  <c r="G8621" i="3"/>
  <c r="G8620" i="3"/>
  <c r="G8619" i="3"/>
  <c r="G8618" i="3"/>
  <c r="G8617" i="3"/>
  <c r="G8616" i="3"/>
  <c r="G8615" i="3"/>
  <c r="G8614" i="3"/>
  <c r="G8613" i="3"/>
  <c r="G8612" i="3"/>
  <c r="G8611" i="3"/>
  <c r="G8610" i="3"/>
  <c r="G8609" i="3"/>
  <c r="G8608" i="3"/>
  <c r="G8607" i="3"/>
  <c r="G8606" i="3"/>
  <c r="G8605" i="3"/>
  <c r="G8604" i="3"/>
  <c r="G8603" i="3"/>
  <c r="G8602" i="3"/>
  <c r="G8601" i="3"/>
  <c r="G8600" i="3"/>
  <c r="G8599" i="3"/>
  <c r="G8598" i="3"/>
  <c r="G8597" i="3"/>
  <c r="G8596" i="3"/>
  <c r="G8595" i="3"/>
  <c r="G8594" i="3"/>
  <c r="G8593" i="3"/>
  <c r="G8592" i="3"/>
  <c r="G8591" i="3"/>
  <c r="G8590" i="3"/>
  <c r="G8589" i="3"/>
  <c r="G8588" i="3"/>
  <c r="G8587" i="3"/>
  <c r="G8586" i="3"/>
  <c r="G8585" i="3"/>
  <c r="G8584" i="3"/>
  <c r="G8583" i="3"/>
  <c r="G8582" i="3"/>
  <c r="G8581" i="3"/>
  <c r="G8580" i="3"/>
  <c r="G8579" i="3"/>
  <c r="G8578" i="3"/>
  <c r="G8577" i="3"/>
  <c r="G8576" i="3"/>
  <c r="G8575" i="3"/>
  <c r="G8574" i="3"/>
  <c r="G8573" i="3"/>
  <c r="G8572" i="3"/>
  <c r="G8571" i="3"/>
  <c r="G8570" i="3"/>
  <c r="G8569" i="3"/>
  <c r="G8568" i="3"/>
  <c r="G8567" i="3"/>
  <c r="G8566" i="3"/>
  <c r="G8565" i="3"/>
  <c r="G8564" i="3"/>
  <c r="G8563" i="3"/>
  <c r="G8562" i="3"/>
  <c r="G8561" i="3"/>
  <c r="G8560" i="3"/>
  <c r="G8559" i="3"/>
  <c r="G8558" i="3"/>
  <c r="G8557" i="3"/>
  <c r="G8556" i="3"/>
  <c r="G8555" i="3"/>
  <c r="G8554" i="3"/>
  <c r="G8553" i="3"/>
  <c r="G8552" i="3"/>
  <c r="G8551" i="3"/>
  <c r="G8550" i="3"/>
  <c r="G8549" i="3"/>
  <c r="G8548" i="3"/>
  <c r="G8547" i="3"/>
  <c r="G8546" i="3"/>
  <c r="G8545" i="3"/>
  <c r="G8544" i="3"/>
  <c r="G8543" i="3"/>
  <c r="G8542" i="3"/>
  <c r="G8541" i="3"/>
  <c r="G8540" i="3"/>
  <c r="G8539" i="3"/>
  <c r="G8538" i="3"/>
  <c r="G8537" i="3"/>
  <c r="G8536" i="3"/>
  <c r="G8535" i="3"/>
  <c r="G8534" i="3"/>
  <c r="G8533" i="3"/>
  <c r="G8532" i="3"/>
  <c r="G8531" i="3"/>
  <c r="G8530" i="3"/>
  <c r="G8529" i="3"/>
  <c r="G8528" i="3"/>
  <c r="G8527" i="3"/>
  <c r="G8526" i="3"/>
  <c r="G8525" i="3"/>
  <c r="G8524" i="3"/>
  <c r="G8523" i="3"/>
  <c r="G8522" i="3"/>
  <c r="G8521" i="3"/>
  <c r="G8520" i="3"/>
  <c r="G8519" i="3"/>
  <c r="G8518" i="3"/>
  <c r="G8517" i="3"/>
  <c r="G8516" i="3"/>
  <c r="G8515" i="3"/>
  <c r="G8514" i="3"/>
  <c r="G8513" i="3"/>
  <c r="G8512" i="3"/>
  <c r="G8511" i="3"/>
  <c r="G8510" i="3"/>
  <c r="G8509" i="3"/>
  <c r="G8508" i="3"/>
  <c r="G8507" i="3"/>
  <c r="G8506" i="3"/>
  <c r="G8505" i="3"/>
  <c r="G8504" i="3"/>
  <c r="G8503" i="3"/>
  <c r="G8502" i="3"/>
  <c r="G8501" i="3"/>
  <c r="G8500" i="3"/>
  <c r="G8499" i="3"/>
  <c r="G8498" i="3"/>
  <c r="G8497" i="3"/>
  <c r="G8496" i="3"/>
  <c r="G8495" i="3"/>
  <c r="G8494" i="3"/>
  <c r="G8493" i="3"/>
  <c r="G8492" i="3"/>
  <c r="G8491" i="3"/>
  <c r="G8490" i="3"/>
  <c r="G8489" i="3"/>
  <c r="G8488" i="3"/>
  <c r="G8487" i="3"/>
  <c r="G8486" i="3"/>
  <c r="G8485" i="3"/>
  <c r="G8484" i="3"/>
  <c r="G8483" i="3"/>
  <c r="G8482" i="3"/>
  <c r="G8481" i="3"/>
  <c r="G8480" i="3"/>
  <c r="G8479" i="3"/>
  <c r="G8478" i="3"/>
  <c r="G8477" i="3"/>
  <c r="G8476" i="3"/>
  <c r="G8475" i="3"/>
  <c r="G8474" i="3"/>
  <c r="G8473" i="3"/>
  <c r="G8472" i="3"/>
  <c r="G8471" i="3"/>
  <c r="G8470" i="3"/>
  <c r="G8469" i="3"/>
  <c r="G8468" i="3"/>
  <c r="G8467" i="3"/>
  <c r="G8466" i="3"/>
  <c r="G8465" i="3"/>
  <c r="G8464" i="3"/>
  <c r="G8463" i="3"/>
  <c r="G8462" i="3"/>
  <c r="G8461" i="3"/>
  <c r="G8460" i="3"/>
  <c r="G8459" i="3"/>
  <c r="G8458" i="3"/>
  <c r="G8457" i="3"/>
  <c r="G8456" i="3"/>
  <c r="G8455" i="3"/>
  <c r="G8454" i="3"/>
  <c r="G8453" i="3"/>
  <c r="G8452" i="3"/>
  <c r="G8451" i="3"/>
  <c r="G8450" i="3"/>
  <c r="G8449" i="3"/>
  <c r="G8448" i="3"/>
  <c r="G8447" i="3"/>
  <c r="G8446" i="3"/>
  <c r="G8445" i="3"/>
  <c r="G8444" i="3"/>
  <c r="G8443" i="3"/>
  <c r="G8442" i="3"/>
  <c r="G8441" i="3"/>
  <c r="G8440" i="3"/>
  <c r="G8439" i="3"/>
  <c r="G8438" i="3"/>
  <c r="G8437" i="3"/>
  <c r="G8436" i="3"/>
  <c r="G8435" i="3"/>
  <c r="G8434" i="3"/>
  <c r="G8433" i="3"/>
  <c r="G8432" i="3"/>
  <c r="G8431" i="3"/>
  <c r="G8430" i="3"/>
  <c r="G8429" i="3"/>
  <c r="G8428" i="3"/>
  <c r="G8427" i="3"/>
  <c r="G8426" i="3"/>
  <c r="G8425" i="3"/>
  <c r="G8424" i="3"/>
  <c r="G8423" i="3"/>
  <c r="G8422" i="3"/>
  <c r="G8421" i="3"/>
  <c r="G8420" i="3"/>
  <c r="G8419" i="3"/>
  <c r="G8418" i="3"/>
  <c r="G8417" i="3"/>
  <c r="G8416" i="3"/>
  <c r="G8415" i="3"/>
  <c r="G8414" i="3"/>
  <c r="G8413" i="3"/>
  <c r="G8412" i="3"/>
  <c r="G8411" i="3"/>
  <c r="G8410" i="3"/>
  <c r="G8409" i="3"/>
  <c r="G8408" i="3"/>
  <c r="G8407" i="3"/>
  <c r="G8406" i="3"/>
  <c r="G8405" i="3"/>
  <c r="G8404" i="3"/>
  <c r="G8403" i="3"/>
  <c r="G8402" i="3"/>
  <c r="G8401" i="3"/>
  <c r="G8400" i="3"/>
  <c r="G8399" i="3"/>
  <c r="G8398" i="3"/>
  <c r="G8397" i="3"/>
  <c r="G8396" i="3"/>
  <c r="G8395" i="3"/>
  <c r="G8394" i="3"/>
  <c r="G8393" i="3"/>
  <c r="G8392" i="3"/>
  <c r="G8391" i="3"/>
  <c r="G8390" i="3"/>
  <c r="G8389" i="3"/>
  <c r="G8388" i="3"/>
  <c r="G8387" i="3"/>
  <c r="G8386" i="3"/>
  <c r="G8385" i="3"/>
  <c r="G8384" i="3"/>
  <c r="G8383" i="3"/>
  <c r="G8382" i="3"/>
  <c r="G8381" i="3"/>
  <c r="G8380" i="3"/>
  <c r="G8379" i="3"/>
  <c r="G8378" i="3"/>
  <c r="G8377" i="3"/>
  <c r="G8376" i="3"/>
  <c r="G8375" i="3"/>
  <c r="G8374" i="3"/>
  <c r="G8373" i="3"/>
  <c r="G8372" i="3"/>
  <c r="G8371" i="3"/>
  <c r="G8370" i="3"/>
  <c r="G8369" i="3"/>
  <c r="G8368" i="3"/>
  <c r="G8367" i="3"/>
  <c r="G8366" i="3"/>
  <c r="G8365" i="3"/>
  <c r="G8364" i="3"/>
  <c r="G8363" i="3"/>
  <c r="G8362" i="3"/>
  <c r="G8361" i="3"/>
  <c r="G8360" i="3"/>
  <c r="G8359" i="3"/>
  <c r="G8358" i="3"/>
  <c r="G8357" i="3"/>
  <c r="G8356" i="3"/>
  <c r="G8355" i="3"/>
  <c r="G8354" i="3"/>
  <c r="G8353" i="3"/>
  <c r="G8352" i="3"/>
  <c r="G8351" i="3"/>
  <c r="G8350" i="3"/>
  <c r="G8349" i="3"/>
  <c r="G8348" i="3"/>
  <c r="G8347" i="3"/>
  <c r="G8346" i="3"/>
  <c r="G8345" i="3"/>
  <c r="G8344" i="3"/>
  <c r="G8343" i="3"/>
  <c r="G8342" i="3"/>
  <c r="G8341" i="3"/>
  <c r="G8340" i="3"/>
  <c r="G8339" i="3"/>
  <c r="G8338" i="3"/>
  <c r="G8337" i="3"/>
  <c r="G8336" i="3"/>
  <c r="G8335" i="3"/>
  <c r="G8334" i="3"/>
  <c r="G8333" i="3"/>
  <c r="G8332" i="3"/>
  <c r="G8331" i="3"/>
  <c r="G8330" i="3"/>
  <c r="G8329" i="3"/>
  <c r="G8328" i="3"/>
  <c r="G8327" i="3"/>
  <c r="G8326" i="3"/>
  <c r="G8325" i="3"/>
  <c r="G8324" i="3"/>
  <c r="G8323" i="3"/>
  <c r="G8322" i="3"/>
  <c r="G8321" i="3"/>
  <c r="G8320" i="3"/>
  <c r="G8319" i="3"/>
  <c r="G8318" i="3"/>
  <c r="G8317" i="3"/>
  <c r="G8316" i="3"/>
  <c r="G8315" i="3"/>
  <c r="G8314" i="3"/>
  <c r="G8313" i="3"/>
  <c r="G8312" i="3"/>
  <c r="G8311" i="3"/>
  <c r="G8310" i="3"/>
  <c r="G8309" i="3"/>
  <c r="G8308" i="3"/>
  <c r="G8307" i="3"/>
  <c r="G8306" i="3"/>
  <c r="G8305" i="3"/>
  <c r="G8304" i="3"/>
  <c r="G8303" i="3"/>
  <c r="G8302" i="3"/>
  <c r="G8301" i="3"/>
  <c r="G8300" i="3"/>
  <c r="G8299" i="3"/>
  <c r="G8298" i="3"/>
  <c r="G8297" i="3"/>
  <c r="G8296" i="3"/>
  <c r="G8295" i="3"/>
  <c r="G8294" i="3"/>
  <c r="G8293" i="3"/>
  <c r="G8292" i="3"/>
  <c r="G8291" i="3"/>
  <c r="G8290" i="3"/>
  <c r="G8289" i="3"/>
  <c r="G8288" i="3"/>
  <c r="G8287" i="3"/>
  <c r="G8286" i="3"/>
  <c r="G8285" i="3"/>
  <c r="G8284" i="3"/>
  <c r="G8283" i="3"/>
  <c r="G8282" i="3"/>
  <c r="G8281" i="3"/>
  <c r="G8280" i="3"/>
  <c r="G8279" i="3"/>
  <c r="G8278" i="3"/>
  <c r="G8277" i="3"/>
  <c r="G8276" i="3"/>
  <c r="G8275" i="3"/>
  <c r="G8274" i="3"/>
  <c r="G8273" i="3"/>
  <c r="G8272" i="3"/>
  <c r="G8271" i="3"/>
  <c r="G8270" i="3"/>
  <c r="G8269" i="3"/>
  <c r="G8268" i="3"/>
  <c r="G8267" i="3"/>
  <c r="G8266" i="3"/>
  <c r="G8265" i="3"/>
  <c r="G8264" i="3"/>
  <c r="G8263" i="3"/>
  <c r="G8262" i="3"/>
  <c r="G8261" i="3"/>
  <c r="G8260" i="3"/>
  <c r="G8259" i="3"/>
  <c r="G8258" i="3"/>
  <c r="G8257" i="3"/>
  <c r="G8256" i="3"/>
  <c r="G8255" i="3"/>
  <c r="G8254" i="3"/>
  <c r="G8253" i="3"/>
  <c r="G8252" i="3"/>
  <c r="G8251" i="3"/>
  <c r="G8250" i="3"/>
  <c r="G8249" i="3"/>
  <c r="G8248" i="3"/>
  <c r="G8247" i="3"/>
  <c r="G8246" i="3"/>
  <c r="G8245" i="3"/>
  <c r="G8244" i="3"/>
  <c r="G8243" i="3"/>
  <c r="G8242" i="3"/>
  <c r="G8241" i="3"/>
  <c r="G8240" i="3"/>
  <c r="G8239" i="3"/>
  <c r="G8238" i="3"/>
  <c r="G8237" i="3"/>
  <c r="G8236" i="3"/>
  <c r="G8235" i="3"/>
  <c r="G8234" i="3"/>
  <c r="G8233" i="3"/>
  <c r="G8232" i="3"/>
  <c r="G8231" i="3"/>
  <c r="G8230" i="3"/>
  <c r="G8229" i="3"/>
  <c r="G8228" i="3"/>
  <c r="G8227" i="3"/>
  <c r="G8226" i="3"/>
  <c r="G8225" i="3"/>
  <c r="G8224" i="3"/>
  <c r="G8223" i="3"/>
  <c r="G8222" i="3"/>
  <c r="G8221" i="3"/>
  <c r="G8220" i="3"/>
  <c r="G8219" i="3"/>
  <c r="G8218" i="3"/>
  <c r="G8217" i="3"/>
  <c r="G8216" i="3"/>
  <c r="G8215" i="3"/>
  <c r="G8214" i="3"/>
  <c r="G8213" i="3"/>
  <c r="G8212" i="3"/>
  <c r="G8211" i="3"/>
  <c r="G8210" i="3"/>
  <c r="G8209" i="3"/>
  <c r="G8208" i="3"/>
  <c r="G8207" i="3"/>
  <c r="G8206" i="3"/>
  <c r="G8205" i="3"/>
  <c r="G8204" i="3"/>
  <c r="G8203" i="3"/>
  <c r="G8202" i="3"/>
  <c r="G8201" i="3"/>
  <c r="G8200" i="3"/>
  <c r="G8199" i="3"/>
  <c r="G8198" i="3"/>
  <c r="G8197" i="3"/>
  <c r="G8196" i="3"/>
  <c r="G8195" i="3"/>
  <c r="G8194" i="3"/>
  <c r="G8193" i="3"/>
  <c r="G8192" i="3"/>
  <c r="G8191" i="3"/>
  <c r="G8190" i="3"/>
  <c r="G8189" i="3"/>
  <c r="G8188" i="3"/>
  <c r="G8187" i="3"/>
  <c r="G8186" i="3"/>
  <c r="G8185" i="3"/>
  <c r="G8184" i="3"/>
  <c r="G8183" i="3"/>
  <c r="G8182" i="3"/>
  <c r="G8181" i="3"/>
  <c r="G8180" i="3"/>
  <c r="G8179" i="3"/>
  <c r="G8178" i="3"/>
  <c r="G8177" i="3"/>
  <c r="G8176" i="3"/>
  <c r="G8175" i="3"/>
  <c r="G8174" i="3"/>
  <c r="G8173" i="3"/>
  <c r="G8172" i="3"/>
  <c r="G8171" i="3"/>
  <c r="G8170" i="3"/>
  <c r="G8169" i="3"/>
  <c r="G8168" i="3"/>
  <c r="G8167" i="3"/>
  <c r="G8166" i="3"/>
  <c r="G8165" i="3"/>
  <c r="G8164" i="3"/>
  <c r="G8163" i="3"/>
  <c r="G8162" i="3"/>
  <c r="G8161" i="3"/>
  <c r="G8160" i="3"/>
  <c r="G8159" i="3"/>
  <c r="G8158" i="3"/>
  <c r="G8157" i="3"/>
  <c r="G8156" i="3"/>
  <c r="G8155" i="3"/>
  <c r="G8154" i="3"/>
  <c r="G8153" i="3"/>
  <c r="G8152" i="3"/>
  <c r="G8151" i="3"/>
  <c r="G8150" i="3"/>
  <c r="G8149" i="3"/>
  <c r="G8148" i="3"/>
  <c r="G8147" i="3"/>
  <c r="G8146" i="3"/>
  <c r="G8145" i="3"/>
  <c r="G8144" i="3"/>
  <c r="G8143" i="3"/>
  <c r="G8142" i="3"/>
  <c r="G8141" i="3"/>
  <c r="G8140" i="3"/>
  <c r="G8139" i="3"/>
  <c r="G8138" i="3"/>
  <c r="G8137" i="3"/>
  <c r="G8136" i="3"/>
  <c r="G8135" i="3"/>
  <c r="G8134" i="3"/>
  <c r="G8133" i="3"/>
  <c r="G8132" i="3"/>
  <c r="G8131" i="3"/>
  <c r="G8130" i="3"/>
  <c r="G8129" i="3"/>
  <c r="G8128" i="3"/>
  <c r="G8127" i="3"/>
  <c r="G8126" i="3"/>
  <c r="G8125" i="3"/>
  <c r="G8124" i="3"/>
  <c r="G8123" i="3"/>
  <c r="G8122" i="3"/>
  <c r="G8121" i="3"/>
  <c r="G8120" i="3"/>
  <c r="G8119" i="3"/>
  <c r="G8118" i="3"/>
  <c r="G8117" i="3"/>
  <c r="G8116" i="3"/>
  <c r="G8115" i="3"/>
  <c r="G8114" i="3"/>
  <c r="G8113" i="3"/>
  <c r="G8112" i="3"/>
  <c r="G8111" i="3"/>
  <c r="G8110" i="3"/>
  <c r="G8109" i="3"/>
  <c r="G8108" i="3"/>
  <c r="G8107" i="3"/>
  <c r="G8106" i="3"/>
  <c r="G8105" i="3"/>
  <c r="G8104" i="3"/>
  <c r="G8103" i="3"/>
  <c r="G8102" i="3"/>
  <c r="G8101" i="3"/>
  <c r="G8100" i="3"/>
  <c r="G8099" i="3"/>
  <c r="G8098" i="3"/>
  <c r="G8097" i="3"/>
  <c r="G8096" i="3"/>
  <c r="G8095" i="3"/>
  <c r="G8094" i="3"/>
  <c r="G8093" i="3"/>
  <c r="G8092" i="3"/>
  <c r="G8091" i="3"/>
  <c r="G8090" i="3"/>
  <c r="G8089" i="3"/>
  <c r="G8088" i="3"/>
  <c r="G8087" i="3"/>
  <c r="G8086" i="3"/>
  <c r="G8085" i="3"/>
  <c r="G8084" i="3"/>
  <c r="G8083" i="3"/>
  <c r="G8082" i="3"/>
  <c r="G8081" i="3"/>
  <c r="G8080" i="3"/>
  <c r="G8079" i="3"/>
  <c r="G8078" i="3"/>
  <c r="G8077" i="3"/>
  <c r="G8076" i="3"/>
  <c r="G8075" i="3"/>
  <c r="G8074" i="3"/>
  <c r="G8073" i="3"/>
  <c r="G8072" i="3"/>
  <c r="G8071" i="3"/>
  <c r="G8070" i="3"/>
  <c r="G8069" i="3"/>
  <c r="G8068" i="3"/>
  <c r="G8067" i="3"/>
  <c r="G8066" i="3"/>
  <c r="G8065" i="3"/>
  <c r="G8064" i="3"/>
  <c r="G8063" i="3"/>
  <c r="G8062" i="3"/>
  <c r="G8061" i="3"/>
  <c r="G8060" i="3"/>
  <c r="G8059" i="3"/>
  <c r="G8058" i="3"/>
  <c r="G8057" i="3"/>
  <c r="G8056" i="3"/>
  <c r="G8055" i="3"/>
  <c r="G8054" i="3"/>
  <c r="G8053" i="3"/>
  <c r="G8052" i="3"/>
  <c r="G8051" i="3"/>
  <c r="G8050" i="3"/>
  <c r="G8049" i="3"/>
  <c r="G8048" i="3"/>
  <c r="G8047" i="3"/>
  <c r="G8046" i="3"/>
  <c r="G8045" i="3"/>
  <c r="G8044" i="3"/>
  <c r="G8043" i="3"/>
  <c r="G8042" i="3"/>
  <c r="G8041" i="3"/>
  <c r="G8040" i="3"/>
  <c r="G8039" i="3"/>
  <c r="G8038" i="3"/>
  <c r="G8037" i="3"/>
  <c r="G8036" i="3"/>
  <c r="G8035" i="3"/>
  <c r="G8034" i="3"/>
  <c r="G8033" i="3"/>
  <c r="G8032" i="3"/>
  <c r="G8031" i="3"/>
  <c r="G8030" i="3"/>
  <c r="G8029" i="3"/>
  <c r="G8028" i="3"/>
  <c r="G8027" i="3"/>
  <c r="G8026" i="3"/>
  <c r="G8025" i="3"/>
  <c r="G8024" i="3"/>
  <c r="G8023" i="3"/>
  <c r="G8022" i="3"/>
  <c r="G8021" i="3"/>
  <c r="G8020" i="3"/>
  <c r="G8019" i="3"/>
  <c r="G8018" i="3"/>
  <c r="G8017" i="3"/>
  <c r="G8016" i="3"/>
  <c r="G8015" i="3"/>
  <c r="G8014" i="3"/>
  <c r="G8013" i="3"/>
  <c r="G8012" i="3"/>
  <c r="G8011" i="3"/>
  <c r="G8010" i="3"/>
  <c r="G8009" i="3"/>
  <c r="G8008" i="3"/>
  <c r="G8007" i="3"/>
  <c r="G8006" i="3"/>
  <c r="G8005" i="3"/>
  <c r="G8004" i="3"/>
  <c r="G8003" i="3"/>
  <c r="G8002" i="3"/>
  <c r="G8001" i="3"/>
  <c r="G8000" i="3"/>
  <c r="G7999" i="3"/>
  <c r="G7998" i="3"/>
  <c r="G7997" i="3"/>
  <c r="G7996" i="3"/>
  <c r="G7995" i="3"/>
  <c r="G7994" i="3"/>
  <c r="G7993" i="3"/>
  <c r="G7992" i="3"/>
  <c r="G7991" i="3"/>
  <c r="G7990" i="3"/>
  <c r="G7989" i="3"/>
  <c r="G7988" i="3"/>
  <c r="G7987" i="3"/>
  <c r="G7986" i="3"/>
  <c r="G7985" i="3"/>
  <c r="G7984" i="3"/>
  <c r="G7983" i="3"/>
  <c r="G7982" i="3"/>
  <c r="G7981" i="3"/>
  <c r="G7980" i="3"/>
  <c r="G7979" i="3"/>
  <c r="G7978" i="3"/>
  <c r="G7977" i="3"/>
  <c r="G7976" i="3"/>
  <c r="G7975" i="3"/>
  <c r="G7974" i="3"/>
  <c r="G7973" i="3"/>
  <c r="G7972" i="3"/>
  <c r="G7971" i="3"/>
  <c r="G7970" i="3"/>
  <c r="G7969" i="3"/>
  <c r="G7968" i="3"/>
  <c r="G7967" i="3"/>
  <c r="G7966" i="3"/>
  <c r="G7965" i="3"/>
  <c r="G7964" i="3"/>
  <c r="G7963" i="3"/>
  <c r="G7962" i="3"/>
  <c r="G7961" i="3"/>
  <c r="G7960" i="3"/>
  <c r="G7959" i="3"/>
  <c r="G7958" i="3"/>
  <c r="G7957" i="3"/>
  <c r="G7956" i="3"/>
  <c r="G7955" i="3"/>
  <c r="G7954" i="3"/>
  <c r="G7953" i="3"/>
  <c r="G7952" i="3"/>
  <c r="G7951" i="3"/>
  <c r="G7950" i="3"/>
  <c r="G7949" i="3"/>
  <c r="G7948" i="3"/>
  <c r="G7947" i="3"/>
  <c r="G7946" i="3"/>
  <c r="G7945" i="3"/>
  <c r="G7944" i="3"/>
  <c r="G7943" i="3"/>
  <c r="G7942" i="3"/>
  <c r="G7941" i="3"/>
  <c r="G7940" i="3"/>
  <c r="G7939" i="3"/>
  <c r="G7938" i="3"/>
  <c r="G7937" i="3"/>
  <c r="G7936" i="3"/>
  <c r="G7935" i="3"/>
  <c r="G7934" i="3"/>
  <c r="G7933" i="3"/>
  <c r="G7932" i="3"/>
  <c r="G7931" i="3"/>
  <c r="G7930" i="3"/>
  <c r="G7929" i="3"/>
  <c r="G7928" i="3"/>
  <c r="G7927" i="3"/>
  <c r="G7926" i="3"/>
  <c r="G7925" i="3"/>
  <c r="G7924" i="3"/>
  <c r="G7923" i="3"/>
  <c r="G7922" i="3"/>
  <c r="G7921" i="3"/>
  <c r="G7920" i="3"/>
  <c r="G7919" i="3"/>
  <c r="G7918" i="3"/>
  <c r="G7917" i="3"/>
  <c r="G7916" i="3"/>
  <c r="G7915" i="3"/>
  <c r="G7914" i="3"/>
  <c r="G7913" i="3"/>
  <c r="G7912" i="3"/>
  <c r="G7911" i="3"/>
  <c r="G7910" i="3"/>
  <c r="G7909" i="3"/>
  <c r="G7908" i="3"/>
  <c r="G7907" i="3"/>
  <c r="G7906" i="3"/>
  <c r="G7905" i="3"/>
  <c r="G7904" i="3"/>
  <c r="G7903" i="3"/>
  <c r="G7902" i="3"/>
  <c r="G7901" i="3"/>
  <c r="G7900" i="3"/>
  <c r="G7899" i="3"/>
  <c r="G7898" i="3"/>
  <c r="G7897" i="3"/>
  <c r="G7896" i="3"/>
  <c r="G7895" i="3"/>
  <c r="G7894" i="3"/>
  <c r="G7893" i="3"/>
  <c r="G7892" i="3"/>
  <c r="G7891" i="3"/>
  <c r="G7890" i="3"/>
  <c r="G7889" i="3"/>
  <c r="G7888" i="3"/>
  <c r="G7887" i="3"/>
  <c r="G7886" i="3"/>
  <c r="G7885" i="3"/>
  <c r="G7884" i="3"/>
  <c r="G7883" i="3"/>
  <c r="G7882" i="3"/>
  <c r="G7881" i="3"/>
  <c r="G7880" i="3"/>
  <c r="G7879" i="3"/>
  <c r="G7878" i="3"/>
  <c r="G7877" i="3"/>
  <c r="G7876" i="3"/>
  <c r="G7875" i="3"/>
  <c r="G7874" i="3"/>
  <c r="G7873" i="3"/>
  <c r="G7872" i="3"/>
  <c r="G7871" i="3"/>
  <c r="G7870" i="3"/>
  <c r="G7869" i="3"/>
  <c r="G7868" i="3"/>
  <c r="G7867" i="3"/>
  <c r="G7866" i="3"/>
  <c r="G7865" i="3"/>
  <c r="G7864" i="3"/>
  <c r="G7863" i="3"/>
  <c r="G7862" i="3"/>
  <c r="G7861" i="3"/>
  <c r="G7860" i="3"/>
  <c r="G7859" i="3"/>
  <c r="G7858" i="3"/>
  <c r="G7857" i="3"/>
  <c r="G7856" i="3"/>
  <c r="G7855" i="3"/>
  <c r="G7854" i="3"/>
  <c r="G7853" i="3"/>
  <c r="G7852" i="3"/>
  <c r="G7851" i="3"/>
  <c r="G7850" i="3"/>
  <c r="G7849" i="3"/>
  <c r="G7848" i="3"/>
  <c r="G7847" i="3"/>
  <c r="G7846" i="3"/>
  <c r="G7845" i="3"/>
  <c r="G7844" i="3"/>
  <c r="G7843" i="3"/>
  <c r="G7842" i="3"/>
  <c r="G7841" i="3"/>
  <c r="G7840" i="3"/>
  <c r="G7839" i="3"/>
  <c r="G7838" i="3"/>
  <c r="G7837" i="3"/>
  <c r="G7836" i="3"/>
  <c r="G7835" i="3"/>
  <c r="G7834" i="3"/>
  <c r="G7833" i="3"/>
  <c r="G7832" i="3"/>
  <c r="G7831" i="3"/>
  <c r="G7830" i="3"/>
  <c r="G7829" i="3"/>
  <c r="G7828" i="3"/>
  <c r="G7827" i="3"/>
  <c r="G7826" i="3"/>
  <c r="G7825" i="3"/>
  <c r="G7824" i="3"/>
  <c r="G7823" i="3"/>
  <c r="G7822" i="3"/>
  <c r="G7821" i="3"/>
  <c r="G7820" i="3"/>
  <c r="G7819" i="3"/>
  <c r="G7818" i="3"/>
  <c r="G7817" i="3"/>
  <c r="G7816" i="3"/>
  <c r="G7815" i="3"/>
  <c r="G7814" i="3"/>
  <c r="G7813" i="3"/>
  <c r="G7812" i="3"/>
  <c r="G7811" i="3"/>
  <c r="G7810" i="3"/>
  <c r="G7809" i="3"/>
  <c r="G7808" i="3"/>
  <c r="G7807" i="3"/>
  <c r="G7806" i="3"/>
  <c r="G7805" i="3"/>
  <c r="G7804" i="3"/>
  <c r="G7803" i="3"/>
  <c r="G7802" i="3"/>
  <c r="G7801" i="3"/>
  <c r="G7800" i="3"/>
  <c r="G7799" i="3"/>
  <c r="G7798" i="3"/>
  <c r="G7797" i="3"/>
  <c r="G7796" i="3"/>
  <c r="G7795" i="3"/>
  <c r="G7794" i="3"/>
  <c r="G7793" i="3"/>
  <c r="G7792" i="3"/>
  <c r="G7791" i="3"/>
  <c r="G7790" i="3"/>
  <c r="G7789" i="3"/>
  <c r="G7788" i="3"/>
  <c r="G7787" i="3"/>
  <c r="G7786" i="3"/>
  <c r="G7785" i="3"/>
  <c r="G7784" i="3"/>
  <c r="G7783" i="3"/>
  <c r="G7782" i="3"/>
  <c r="G7781" i="3"/>
  <c r="G7780" i="3"/>
  <c r="G7779" i="3"/>
  <c r="G7778" i="3"/>
  <c r="G7777" i="3"/>
  <c r="G7776" i="3"/>
  <c r="G7775" i="3"/>
  <c r="G7774" i="3"/>
  <c r="G7773" i="3"/>
  <c r="G7772" i="3"/>
  <c r="G7771" i="3"/>
  <c r="G7770" i="3"/>
  <c r="G7769" i="3"/>
  <c r="G7768" i="3"/>
  <c r="G7767" i="3"/>
  <c r="G7766" i="3"/>
  <c r="G7765" i="3"/>
  <c r="G7764" i="3"/>
  <c r="G7763" i="3"/>
  <c r="G7762" i="3"/>
  <c r="G7761" i="3"/>
  <c r="G7760" i="3"/>
  <c r="G7759" i="3"/>
  <c r="G7758" i="3"/>
  <c r="G7757" i="3"/>
  <c r="G7756" i="3"/>
  <c r="G7755" i="3"/>
  <c r="G7754" i="3"/>
  <c r="G7753" i="3"/>
  <c r="G7752" i="3"/>
  <c r="G7751" i="3"/>
  <c r="G7750" i="3"/>
  <c r="G7749" i="3"/>
  <c r="G7748" i="3"/>
  <c r="G7747" i="3"/>
  <c r="G7746" i="3"/>
  <c r="G7745" i="3"/>
  <c r="G7744" i="3"/>
  <c r="G7743" i="3"/>
  <c r="G7742" i="3"/>
  <c r="G7741" i="3"/>
  <c r="G7740" i="3"/>
  <c r="G7739" i="3"/>
  <c r="G7738" i="3"/>
  <c r="G7737" i="3"/>
  <c r="G7736" i="3"/>
  <c r="G7735" i="3"/>
  <c r="G7734" i="3"/>
  <c r="G7733" i="3"/>
  <c r="G7732" i="3"/>
  <c r="G7731" i="3"/>
  <c r="G7730" i="3"/>
  <c r="G7729" i="3"/>
  <c r="G7728" i="3"/>
  <c r="G7727" i="3"/>
  <c r="G7726" i="3"/>
  <c r="G7725" i="3"/>
  <c r="G7724" i="3"/>
  <c r="G7723" i="3"/>
  <c r="G7722" i="3"/>
  <c r="G7721" i="3"/>
  <c r="G7720" i="3"/>
  <c r="G7719" i="3"/>
  <c r="G7718" i="3"/>
  <c r="G7717" i="3"/>
  <c r="G7716" i="3"/>
  <c r="G7715" i="3"/>
  <c r="G7714" i="3"/>
  <c r="G7713" i="3"/>
  <c r="G7712" i="3"/>
  <c r="G7711" i="3"/>
  <c r="G7710" i="3"/>
  <c r="G7709" i="3"/>
  <c r="G7708" i="3"/>
  <c r="G7707" i="3"/>
  <c r="G7706" i="3"/>
  <c r="G7705" i="3"/>
  <c r="G7704" i="3"/>
  <c r="G7703" i="3"/>
  <c r="G7702" i="3"/>
  <c r="G7701" i="3"/>
  <c r="G7700" i="3"/>
  <c r="G7699" i="3"/>
  <c r="G7698" i="3"/>
  <c r="G7697" i="3"/>
  <c r="G7696" i="3"/>
  <c r="G7695" i="3"/>
  <c r="G7694" i="3"/>
  <c r="G7693" i="3"/>
  <c r="G7692" i="3"/>
  <c r="G7691" i="3"/>
  <c r="G7690" i="3"/>
  <c r="G7689" i="3"/>
  <c r="G7688" i="3"/>
  <c r="G7687" i="3"/>
  <c r="G7686" i="3"/>
  <c r="G7685" i="3"/>
  <c r="G7684" i="3"/>
  <c r="G7683" i="3"/>
  <c r="G7682" i="3"/>
  <c r="G7681" i="3"/>
  <c r="G7680" i="3"/>
  <c r="G7679" i="3"/>
  <c r="G7678" i="3"/>
  <c r="G7677" i="3"/>
  <c r="G7676" i="3"/>
  <c r="G7675" i="3"/>
  <c r="G7674" i="3"/>
  <c r="G7673" i="3"/>
  <c r="G7672" i="3"/>
  <c r="G7671" i="3"/>
  <c r="G7670" i="3"/>
  <c r="G7669" i="3"/>
  <c r="G7668" i="3"/>
  <c r="G7667" i="3"/>
  <c r="G7666" i="3"/>
  <c r="G7665" i="3"/>
  <c r="G7664" i="3"/>
  <c r="G7663" i="3"/>
  <c r="G7662" i="3"/>
  <c r="G7661" i="3"/>
  <c r="G7660" i="3"/>
  <c r="G7659" i="3"/>
  <c r="G7658" i="3"/>
  <c r="G7657" i="3"/>
  <c r="G7656" i="3"/>
  <c r="G7655" i="3"/>
  <c r="G7654" i="3"/>
  <c r="G7653" i="3"/>
  <c r="G7652" i="3"/>
  <c r="G7651" i="3"/>
  <c r="G7650" i="3"/>
  <c r="G7649" i="3"/>
  <c r="G7648" i="3"/>
  <c r="G7647" i="3"/>
  <c r="G7646" i="3"/>
  <c r="G7645" i="3"/>
  <c r="G7644" i="3"/>
  <c r="G7643" i="3"/>
  <c r="G7642" i="3"/>
  <c r="G7641" i="3"/>
  <c r="G7640" i="3"/>
  <c r="G7639" i="3"/>
  <c r="G7638" i="3"/>
  <c r="G7637" i="3"/>
  <c r="G7636" i="3"/>
  <c r="G7635" i="3"/>
  <c r="G7634" i="3"/>
  <c r="G7633" i="3"/>
  <c r="G7632" i="3"/>
  <c r="G7631" i="3"/>
  <c r="G7630" i="3"/>
  <c r="G7629" i="3"/>
  <c r="G7628" i="3"/>
  <c r="G7627" i="3"/>
  <c r="G7626" i="3"/>
  <c r="G7625" i="3"/>
  <c r="G7624" i="3"/>
  <c r="G7623" i="3"/>
  <c r="G7622" i="3"/>
  <c r="G7621" i="3"/>
  <c r="G7620" i="3"/>
  <c r="G7619" i="3"/>
  <c r="G7618" i="3"/>
  <c r="G7617" i="3"/>
  <c r="G7616" i="3"/>
  <c r="G7615" i="3"/>
  <c r="G7614" i="3"/>
  <c r="G7613" i="3"/>
  <c r="G7612" i="3"/>
  <c r="G7611" i="3"/>
  <c r="G7610" i="3"/>
  <c r="G7609" i="3"/>
  <c r="G7608" i="3"/>
  <c r="G7607" i="3"/>
  <c r="G7606" i="3"/>
  <c r="G7605" i="3"/>
  <c r="G7604" i="3"/>
  <c r="G7603" i="3"/>
  <c r="G7602" i="3"/>
  <c r="G7601" i="3"/>
  <c r="G7600" i="3"/>
  <c r="G7599" i="3"/>
  <c r="G7598" i="3"/>
  <c r="G7597" i="3"/>
  <c r="G7596" i="3"/>
  <c r="G7595" i="3"/>
  <c r="G7594" i="3"/>
  <c r="G7593" i="3"/>
  <c r="G7592" i="3"/>
  <c r="G7591" i="3"/>
  <c r="G7590" i="3"/>
  <c r="G7589" i="3"/>
  <c r="G7588" i="3"/>
  <c r="G7587" i="3"/>
  <c r="G7586" i="3"/>
  <c r="G7585" i="3"/>
  <c r="G7584" i="3"/>
  <c r="G7583" i="3"/>
  <c r="G7582" i="3"/>
  <c r="G7581" i="3"/>
  <c r="G7580" i="3"/>
  <c r="G7579" i="3"/>
  <c r="G7578" i="3"/>
  <c r="G7577" i="3"/>
  <c r="G7576" i="3"/>
  <c r="G7575" i="3"/>
  <c r="G7574" i="3"/>
  <c r="G7573" i="3"/>
  <c r="G7572" i="3"/>
  <c r="G7571" i="3"/>
  <c r="G7570" i="3"/>
  <c r="G7569" i="3"/>
  <c r="G7568" i="3"/>
  <c r="G7567" i="3"/>
  <c r="G7566" i="3"/>
  <c r="G7565" i="3"/>
  <c r="G7564" i="3"/>
  <c r="G7563" i="3"/>
  <c r="G7562" i="3"/>
  <c r="G7561" i="3"/>
  <c r="G7560" i="3"/>
  <c r="G7559" i="3"/>
  <c r="G7558" i="3"/>
  <c r="G7557" i="3"/>
  <c r="G7556" i="3"/>
  <c r="G7555" i="3"/>
  <c r="G7554" i="3"/>
  <c r="G7553" i="3"/>
  <c r="G7552" i="3"/>
  <c r="G7551" i="3"/>
  <c r="G7550" i="3"/>
  <c r="G7549" i="3"/>
  <c r="G7548" i="3"/>
  <c r="G7547" i="3"/>
  <c r="G7546" i="3"/>
  <c r="G7545" i="3"/>
  <c r="G7544" i="3"/>
  <c r="G7543" i="3"/>
  <c r="G7542" i="3"/>
  <c r="G7541" i="3"/>
  <c r="G7540" i="3"/>
  <c r="G7539" i="3"/>
  <c r="G7538" i="3"/>
  <c r="G7537" i="3"/>
  <c r="G7536" i="3"/>
  <c r="G7535" i="3"/>
  <c r="G7534" i="3"/>
  <c r="G7533" i="3"/>
  <c r="G7532" i="3"/>
  <c r="G7531" i="3"/>
  <c r="G7530" i="3"/>
  <c r="G7529" i="3"/>
  <c r="G7528" i="3"/>
  <c r="G7527" i="3"/>
  <c r="G7526" i="3"/>
  <c r="G7525" i="3"/>
  <c r="G7524" i="3"/>
  <c r="G7523" i="3"/>
  <c r="G7522" i="3"/>
  <c r="G7521" i="3"/>
  <c r="G7520" i="3"/>
  <c r="G7519" i="3"/>
  <c r="G7518" i="3"/>
  <c r="G7517" i="3"/>
  <c r="G7516" i="3"/>
  <c r="G7515" i="3"/>
  <c r="G7514" i="3"/>
  <c r="G7513" i="3"/>
  <c r="G7512" i="3"/>
  <c r="G7511" i="3"/>
  <c r="G7510" i="3"/>
  <c r="G7509" i="3"/>
  <c r="G7508" i="3"/>
  <c r="G7507" i="3"/>
  <c r="G7506" i="3"/>
  <c r="G7505" i="3"/>
  <c r="G7504" i="3"/>
  <c r="G7503" i="3"/>
  <c r="G7502" i="3"/>
  <c r="G7501" i="3"/>
  <c r="G7500" i="3"/>
  <c r="G7499" i="3"/>
  <c r="G7498" i="3"/>
  <c r="G7497" i="3"/>
  <c r="G7496" i="3"/>
  <c r="G7495" i="3"/>
  <c r="G7494" i="3"/>
  <c r="G7493" i="3"/>
  <c r="G7492" i="3"/>
  <c r="G7491" i="3"/>
  <c r="G7490" i="3"/>
  <c r="G7489" i="3"/>
  <c r="G7488" i="3"/>
  <c r="G7487" i="3"/>
  <c r="G7486" i="3"/>
  <c r="G7485" i="3"/>
  <c r="G7484" i="3"/>
  <c r="G7483" i="3"/>
  <c r="G7482" i="3"/>
  <c r="G7481" i="3"/>
  <c r="G7480" i="3"/>
  <c r="G7479" i="3"/>
  <c r="G7478" i="3"/>
  <c r="G7477" i="3"/>
  <c r="G7476" i="3"/>
  <c r="G7475" i="3"/>
  <c r="G7474" i="3"/>
  <c r="G7473" i="3"/>
  <c r="G7472" i="3"/>
  <c r="G7471" i="3"/>
  <c r="G7470" i="3"/>
  <c r="G7469" i="3"/>
  <c r="G7468" i="3"/>
  <c r="G7467" i="3"/>
  <c r="G7466" i="3"/>
  <c r="G7465" i="3"/>
  <c r="G7464" i="3"/>
  <c r="G7463" i="3"/>
  <c r="G7462" i="3"/>
  <c r="G7461" i="3"/>
  <c r="G7460" i="3"/>
  <c r="G7459" i="3"/>
  <c r="G7458" i="3"/>
  <c r="G7457" i="3"/>
  <c r="G7456" i="3"/>
  <c r="G7455" i="3"/>
  <c r="G7454" i="3"/>
  <c r="G7453" i="3"/>
  <c r="G7452" i="3"/>
  <c r="G7451" i="3"/>
  <c r="G7450" i="3"/>
  <c r="G7449" i="3"/>
  <c r="G7448" i="3"/>
  <c r="G7447" i="3"/>
  <c r="G7446" i="3"/>
  <c r="G7445" i="3"/>
  <c r="G7444" i="3"/>
  <c r="G7443" i="3"/>
  <c r="G7442" i="3"/>
  <c r="G7441" i="3"/>
  <c r="G7440" i="3"/>
  <c r="G7439" i="3"/>
  <c r="G7438" i="3"/>
  <c r="G7437" i="3"/>
  <c r="G7436" i="3"/>
  <c r="G7435" i="3"/>
  <c r="G7434" i="3"/>
  <c r="G7433" i="3"/>
  <c r="G7432" i="3"/>
  <c r="G7431" i="3"/>
  <c r="G7430" i="3"/>
  <c r="G7429" i="3"/>
  <c r="G7428" i="3"/>
  <c r="G7427" i="3"/>
  <c r="G7426" i="3"/>
  <c r="G7425" i="3"/>
  <c r="G7424" i="3"/>
  <c r="G7423" i="3"/>
  <c r="G7422" i="3"/>
  <c r="G7421" i="3"/>
  <c r="G7420" i="3"/>
  <c r="G7419" i="3"/>
  <c r="G7418" i="3"/>
  <c r="G7417" i="3"/>
  <c r="G7416" i="3"/>
  <c r="G7415" i="3"/>
  <c r="G7414" i="3"/>
  <c r="G7413" i="3"/>
  <c r="G7412" i="3"/>
  <c r="G7411" i="3"/>
  <c r="G7410" i="3"/>
  <c r="G7409" i="3"/>
  <c r="G7408" i="3"/>
  <c r="G7407" i="3"/>
  <c r="G7406" i="3"/>
  <c r="G7405" i="3"/>
  <c r="G7404" i="3"/>
  <c r="G7403" i="3"/>
  <c r="G7402" i="3"/>
  <c r="G7401" i="3"/>
  <c r="G7400" i="3"/>
  <c r="G7399" i="3"/>
  <c r="G7398" i="3"/>
  <c r="G7397" i="3"/>
  <c r="G7396" i="3"/>
  <c r="G7395" i="3"/>
  <c r="G7394" i="3"/>
  <c r="G7393" i="3"/>
  <c r="G7392" i="3"/>
  <c r="G7391" i="3"/>
  <c r="G7390" i="3"/>
  <c r="G7389" i="3"/>
  <c r="G7388" i="3"/>
  <c r="G7387" i="3"/>
  <c r="G7386" i="3"/>
  <c r="G7385" i="3"/>
  <c r="G7384" i="3"/>
  <c r="G7383" i="3"/>
  <c r="G7382" i="3"/>
  <c r="G7381" i="3"/>
  <c r="G7380" i="3"/>
  <c r="G7379" i="3"/>
  <c r="G7378" i="3"/>
  <c r="G7377" i="3"/>
  <c r="G7376" i="3"/>
  <c r="G7375" i="3"/>
  <c r="G7374" i="3"/>
  <c r="G7373" i="3"/>
  <c r="G7372" i="3"/>
  <c r="G7371" i="3"/>
  <c r="G7370" i="3"/>
  <c r="G7369" i="3"/>
  <c r="G7368" i="3"/>
  <c r="G7367" i="3"/>
  <c r="G7366" i="3"/>
  <c r="G7365" i="3"/>
  <c r="G7364" i="3"/>
  <c r="G7363" i="3"/>
  <c r="G7362" i="3"/>
  <c r="G7361" i="3"/>
  <c r="G7360" i="3"/>
  <c r="G7359" i="3"/>
  <c r="G7358" i="3"/>
  <c r="G7357" i="3"/>
  <c r="G7356" i="3"/>
  <c r="G7355" i="3"/>
  <c r="G7354" i="3"/>
  <c r="G7353" i="3"/>
  <c r="G7352" i="3"/>
  <c r="G7351" i="3"/>
  <c r="G7350" i="3"/>
  <c r="G7349" i="3"/>
  <c r="G7348" i="3"/>
  <c r="G7347" i="3"/>
  <c r="G7346" i="3"/>
  <c r="G7345" i="3"/>
  <c r="G7344" i="3"/>
  <c r="G7343" i="3"/>
  <c r="G7342" i="3"/>
  <c r="G7341" i="3"/>
  <c r="G7340" i="3"/>
  <c r="G7339" i="3"/>
  <c r="G7338" i="3"/>
  <c r="G7337" i="3"/>
  <c r="G7336" i="3"/>
  <c r="G7335" i="3"/>
  <c r="G7334" i="3"/>
  <c r="G7333" i="3"/>
  <c r="G7332" i="3"/>
  <c r="G7331" i="3"/>
  <c r="G7330" i="3"/>
  <c r="G7329" i="3"/>
  <c r="G7328" i="3"/>
  <c r="G7327" i="3"/>
  <c r="G7326" i="3"/>
  <c r="G7325" i="3"/>
  <c r="G7324" i="3"/>
  <c r="G7323" i="3"/>
  <c r="G7322" i="3"/>
  <c r="G7321" i="3"/>
  <c r="G7320" i="3"/>
  <c r="G7319" i="3"/>
  <c r="G7318" i="3"/>
  <c r="G7317" i="3"/>
  <c r="G7316" i="3"/>
  <c r="G7315" i="3"/>
  <c r="G7314" i="3"/>
  <c r="G7313" i="3"/>
  <c r="G7312" i="3"/>
  <c r="G7311" i="3"/>
  <c r="G7310" i="3"/>
  <c r="G7309" i="3"/>
  <c r="G7308" i="3"/>
  <c r="G7307" i="3"/>
  <c r="G7306" i="3"/>
  <c r="G7305" i="3"/>
  <c r="G7304" i="3"/>
  <c r="G7303" i="3"/>
  <c r="G7302" i="3"/>
  <c r="G7301" i="3"/>
  <c r="G7300" i="3"/>
  <c r="G7299" i="3"/>
  <c r="G7298" i="3"/>
  <c r="G7297" i="3"/>
  <c r="G7296" i="3"/>
  <c r="G7295" i="3"/>
  <c r="G7294" i="3"/>
  <c r="G7293" i="3"/>
  <c r="G7292" i="3"/>
  <c r="G7291" i="3"/>
  <c r="G7290" i="3"/>
  <c r="G7289" i="3"/>
  <c r="G7288" i="3"/>
  <c r="G7287" i="3"/>
  <c r="G7286" i="3"/>
  <c r="G7285" i="3"/>
  <c r="G7284" i="3"/>
  <c r="G7283" i="3"/>
  <c r="G7282" i="3"/>
  <c r="G7281" i="3"/>
  <c r="G7280" i="3"/>
  <c r="G7279" i="3"/>
  <c r="G7278" i="3"/>
  <c r="G7277" i="3"/>
  <c r="G7276" i="3"/>
  <c r="G7275" i="3"/>
  <c r="G7274" i="3"/>
  <c r="G7273" i="3"/>
  <c r="G7272" i="3"/>
  <c r="G7271" i="3"/>
  <c r="G7270" i="3"/>
  <c r="G7269" i="3"/>
  <c r="G7268" i="3"/>
  <c r="G7267" i="3"/>
  <c r="G7266" i="3"/>
  <c r="G7265" i="3"/>
  <c r="G7264" i="3"/>
  <c r="G7263" i="3"/>
  <c r="G7262" i="3"/>
  <c r="G7261" i="3"/>
  <c r="G7260" i="3"/>
  <c r="G7259" i="3"/>
  <c r="G7258" i="3"/>
  <c r="G7257" i="3"/>
  <c r="G7256" i="3"/>
  <c r="G7255" i="3"/>
  <c r="G7254" i="3"/>
  <c r="G7253" i="3"/>
  <c r="G7252" i="3"/>
  <c r="G7251" i="3"/>
  <c r="G7250" i="3"/>
  <c r="G7249" i="3"/>
  <c r="G7248" i="3"/>
  <c r="G7247" i="3"/>
  <c r="G7246" i="3"/>
  <c r="G7245" i="3"/>
  <c r="G7244" i="3"/>
  <c r="G7243" i="3"/>
  <c r="G7242" i="3"/>
  <c r="G7241" i="3"/>
  <c r="G7240" i="3"/>
  <c r="G7239" i="3"/>
  <c r="G7238" i="3"/>
  <c r="G7237" i="3"/>
  <c r="G7236" i="3"/>
  <c r="G7235" i="3"/>
  <c r="G7234" i="3"/>
  <c r="G7233" i="3"/>
  <c r="G7232" i="3"/>
  <c r="G7231" i="3"/>
  <c r="G7230" i="3"/>
  <c r="G7229" i="3"/>
  <c r="G7228" i="3"/>
  <c r="G7227" i="3"/>
  <c r="G7226" i="3"/>
  <c r="G7225" i="3"/>
  <c r="G7224" i="3"/>
  <c r="G7223" i="3"/>
  <c r="G7222" i="3"/>
  <c r="G7221" i="3"/>
  <c r="G7220" i="3"/>
  <c r="G7219" i="3"/>
  <c r="G7218" i="3"/>
  <c r="G7217" i="3"/>
  <c r="G7216" i="3"/>
  <c r="G7215" i="3"/>
  <c r="G7214" i="3"/>
  <c r="G7213" i="3"/>
  <c r="G7212" i="3"/>
  <c r="G7211" i="3"/>
  <c r="G7210" i="3"/>
  <c r="G7209" i="3"/>
  <c r="G7208" i="3"/>
  <c r="G7207" i="3"/>
  <c r="G7206" i="3"/>
  <c r="G7205" i="3"/>
  <c r="G7204" i="3"/>
  <c r="G7203" i="3"/>
  <c r="G7202" i="3"/>
  <c r="G7201" i="3"/>
  <c r="G7200" i="3"/>
  <c r="G7199" i="3"/>
  <c r="G7198" i="3"/>
  <c r="G7197" i="3"/>
  <c r="G7196" i="3"/>
  <c r="G7195" i="3"/>
  <c r="G7194" i="3"/>
  <c r="G7193" i="3"/>
  <c r="G7192" i="3"/>
  <c r="G7191" i="3"/>
  <c r="G7190" i="3"/>
  <c r="G7189" i="3"/>
  <c r="G7188" i="3"/>
  <c r="G7187" i="3"/>
  <c r="G7186" i="3"/>
  <c r="G7185" i="3"/>
  <c r="G7184" i="3"/>
  <c r="G7183" i="3"/>
  <c r="G7182" i="3"/>
  <c r="G7181" i="3"/>
  <c r="G7180" i="3"/>
  <c r="G7179" i="3"/>
  <c r="G7178" i="3"/>
  <c r="G7177" i="3"/>
  <c r="G7176" i="3"/>
  <c r="G7175" i="3"/>
  <c r="G7174" i="3"/>
  <c r="G7173" i="3"/>
  <c r="G7172" i="3"/>
  <c r="G7171" i="3"/>
  <c r="G7170" i="3"/>
  <c r="G7169" i="3"/>
  <c r="G7168" i="3"/>
  <c r="G7167" i="3"/>
  <c r="G7166" i="3"/>
  <c r="G7165" i="3"/>
  <c r="G7164" i="3"/>
  <c r="G7163" i="3"/>
  <c r="G7162" i="3"/>
  <c r="G7161" i="3"/>
  <c r="G7160" i="3"/>
  <c r="G7159" i="3"/>
  <c r="G7158" i="3"/>
  <c r="G7157" i="3"/>
  <c r="G7156" i="3"/>
  <c r="G7155" i="3"/>
  <c r="G7154" i="3"/>
  <c r="G7153" i="3"/>
  <c r="G7152" i="3"/>
  <c r="G7151" i="3"/>
  <c r="G7150" i="3"/>
  <c r="G7149" i="3"/>
  <c r="G7148" i="3"/>
  <c r="G7147" i="3"/>
  <c r="G7146" i="3"/>
  <c r="G7145" i="3"/>
  <c r="G7144" i="3"/>
  <c r="G7143" i="3"/>
  <c r="G7142" i="3"/>
  <c r="G7141" i="3"/>
  <c r="G7140" i="3"/>
  <c r="G7139" i="3"/>
  <c r="G7138" i="3"/>
  <c r="G7137" i="3"/>
  <c r="G7136" i="3"/>
  <c r="G7135" i="3"/>
  <c r="G7134" i="3"/>
  <c r="G7133" i="3"/>
  <c r="G7132" i="3"/>
  <c r="G7131" i="3"/>
  <c r="G7130" i="3"/>
  <c r="G7129" i="3"/>
  <c r="G7128" i="3"/>
  <c r="G7127" i="3"/>
  <c r="G7126" i="3"/>
  <c r="G7125" i="3"/>
  <c r="G7124" i="3"/>
  <c r="G7123" i="3"/>
  <c r="G7122" i="3"/>
  <c r="G7121" i="3"/>
  <c r="G7120" i="3"/>
  <c r="G7119" i="3"/>
  <c r="G7118" i="3"/>
  <c r="G7117" i="3"/>
  <c r="G7116" i="3"/>
  <c r="G7115" i="3"/>
  <c r="G7114" i="3"/>
  <c r="G7113" i="3"/>
  <c r="G7112" i="3"/>
  <c r="G7111" i="3"/>
  <c r="G7110" i="3"/>
  <c r="G7109" i="3"/>
  <c r="G7108" i="3"/>
  <c r="G7107" i="3"/>
  <c r="G7106" i="3"/>
  <c r="G7105" i="3"/>
  <c r="G7104" i="3"/>
  <c r="G7103" i="3"/>
  <c r="G7102" i="3"/>
  <c r="G7101" i="3"/>
  <c r="G7100" i="3"/>
  <c r="G7099" i="3"/>
  <c r="G7098" i="3"/>
  <c r="G7097" i="3"/>
  <c r="G7096" i="3"/>
  <c r="G7095" i="3"/>
  <c r="G7094" i="3"/>
  <c r="G7093" i="3"/>
  <c r="G7092" i="3"/>
  <c r="G7091" i="3"/>
  <c r="G7090" i="3"/>
  <c r="G7089" i="3"/>
  <c r="G7088" i="3"/>
  <c r="G7087" i="3"/>
  <c r="G7086" i="3"/>
  <c r="G7085" i="3"/>
  <c r="G7084" i="3"/>
  <c r="G7083" i="3"/>
  <c r="G7082" i="3"/>
  <c r="G7081" i="3"/>
  <c r="G7080" i="3"/>
  <c r="G7079" i="3"/>
  <c r="G7078" i="3"/>
  <c r="G7077" i="3"/>
  <c r="G7076" i="3"/>
  <c r="G7075" i="3"/>
  <c r="G7074" i="3"/>
  <c r="G7073" i="3"/>
  <c r="G7072" i="3"/>
  <c r="G7071" i="3"/>
  <c r="G7070" i="3"/>
  <c r="G7069" i="3"/>
  <c r="G7068" i="3"/>
  <c r="G7067" i="3"/>
  <c r="G7066" i="3"/>
  <c r="G7065" i="3"/>
  <c r="G7064" i="3"/>
  <c r="G7063" i="3"/>
  <c r="G7062" i="3"/>
  <c r="G7061" i="3"/>
  <c r="G7060" i="3"/>
  <c r="G7059" i="3"/>
  <c r="G7058" i="3"/>
  <c r="G7057" i="3"/>
  <c r="G7056" i="3"/>
  <c r="G7055" i="3"/>
  <c r="G7054" i="3"/>
  <c r="G7053" i="3"/>
  <c r="G7052" i="3"/>
  <c r="G7051" i="3"/>
  <c r="G7050" i="3"/>
  <c r="G7049" i="3"/>
  <c r="G7048" i="3"/>
  <c r="G7047" i="3"/>
  <c r="G7046" i="3"/>
  <c r="G7045" i="3"/>
  <c r="G7044" i="3"/>
  <c r="G7043" i="3"/>
  <c r="G7042" i="3"/>
  <c r="G7041" i="3"/>
  <c r="G7040" i="3"/>
  <c r="G7039" i="3"/>
  <c r="G7038" i="3"/>
  <c r="G7037" i="3"/>
  <c r="G7036" i="3"/>
  <c r="G7035" i="3"/>
  <c r="G7034" i="3"/>
  <c r="G7033" i="3"/>
  <c r="G7032" i="3"/>
  <c r="G7031" i="3"/>
  <c r="G7030" i="3"/>
  <c r="G7029" i="3"/>
  <c r="G7028" i="3"/>
  <c r="G7027" i="3"/>
  <c r="G7026" i="3"/>
  <c r="G7025" i="3"/>
  <c r="G7024" i="3"/>
  <c r="G7023" i="3"/>
  <c r="G7022" i="3"/>
  <c r="G7021" i="3"/>
  <c r="G7020" i="3"/>
  <c r="G7019" i="3"/>
  <c r="G7018" i="3"/>
  <c r="G7017" i="3"/>
  <c r="G7016" i="3"/>
  <c r="G7015" i="3"/>
  <c r="G7014" i="3"/>
  <c r="G7013" i="3"/>
  <c r="G7012" i="3"/>
  <c r="G7011" i="3"/>
  <c r="G7010" i="3"/>
  <c r="G7009" i="3"/>
  <c r="G7008" i="3"/>
  <c r="G7007" i="3"/>
  <c r="G7006" i="3"/>
  <c r="G7005" i="3"/>
  <c r="G7004" i="3"/>
  <c r="G7003" i="3"/>
  <c r="G7002" i="3"/>
  <c r="G7001" i="3"/>
  <c r="G7000" i="3"/>
  <c r="G6999" i="3"/>
  <c r="G6998" i="3"/>
  <c r="G6997" i="3"/>
  <c r="G6996" i="3"/>
  <c r="G6995" i="3"/>
  <c r="G6994" i="3"/>
  <c r="G6993" i="3"/>
  <c r="G6992" i="3"/>
  <c r="G6991" i="3"/>
  <c r="G6990" i="3"/>
  <c r="G6989" i="3"/>
  <c r="G6988" i="3"/>
  <c r="G6987" i="3"/>
  <c r="G6986" i="3"/>
  <c r="G6985" i="3"/>
  <c r="G6984" i="3"/>
  <c r="G6983" i="3"/>
  <c r="G6982" i="3"/>
  <c r="G6981" i="3"/>
  <c r="G6980" i="3"/>
  <c r="G6979" i="3"/>
  <c r="G6978" i="3"/>
  <c r="G6977" i="3"/>
  <c r="G6976" i="3"/>
  <c r="G6975" i="3"/>
  <c r="G6974" i="3"/>
  <c r="G6973" i="3"/>
  <c r="G6972" i="3"/>
  <c r="G6971" i="3"/>
  <c r="G6970" i="3"/>
  <c r="G6969" i="3"/>
  <c r="G6968" i="3"/>
  <c r="G6967" i="3"/>
  <c r="G6966" i="3"/>
  <c r="G6965" i="3"/>
  <c r="G6964" i="3"/>
  <c r="G6963" i="3"/>
  <c r="G6962" i="3"/>
  <c r="G6961" i="3"/>
  <c r="G6960" i="3"/>
  <c r="G6959" i="3"/>
  <c r="G6958" i="3"/>
  <c r="G6957" i="3"/>
  <c r="G6956" i="3"/>
  <c r="G6955" i="3"/>
  <c r="G6954" i="3"/>
  <c r="G6953" i="3"/>
  <c r="G6952" i="3"/>
  <c r="G6951" i="3"/>
  <c r="G6950" i="3"/>
  <c r="G6949" i="3"/>
  <c r="G6948" i="3"/>
  <c r="G6947" i="3"/>
  <c r="G6946" i="3"/>
  <c r="G6945" i="3"/>
  <c r="G6944" i="3"/>
  <c r="G6943" i="3"/>
  <c r="G6942" i="3"/>
  <c r="G6941" i="3"/>
  <c r="G6940" i="3"/>
  <c r="G6939" i="3"/>
  <c r="G6938" i="3"/>
  <c r="G6937" i="3"/>
  <c r="G6936" i="3"/>
  <c r="G6935" i="3"/>
  <c r="G6934" i="3"/>
  <c r="G6933" i="3"/>
  <c r="G6932" i="3"/>
  <c r="G6931" i="3"/>
  <c r="G6930" i="3"/>
  <c r="G6929" i="3"/>
  <c r="G6928" i="3"/>
  <c r="G6927" i="3"/>
  <c r="G6926" i="3"/>
  <c r="G6925" i="3"/>
  <c r="G6924" i="3"/>
  <c r="G6923" i="3"/>
  <c r="G6922" i="3"/>
  <c r="G6921" i="3"/>
  <c r="G6920" i="3"/>
  <c r="G6919" i="3"/>
  <c r="G6918" i="3"/>
  <c r="G6917" i="3"/>
  <c r="G6916" i="3"/>
  <c r="G6915" i="3"/>
  <c r="G6914" i="3"/>
  <c r="G6913" i="3"/>
  <c r="G6912" i="3"/>
  <c r="G6911" i="3"/>
  <c r="G6910" i="3"/>
  <c r="G6909" i="3"/>
  <c r="G6908" i="3"/>
  <c r="G6907" i="3"/>
  <c r="G6906" i="3"/>
  <c r="G6905" i="3"/>
  <c r="G6904" i="3"/>
  <c r="G6903" i="3"/>
  <c r="G6902" i="3"/>
  <c r="G6901" i="3"/>
  <c r="G6900" i="3"/>
  <c r="G6899" i="3"/>
  <c r="G6898" i="3"/>
  <c r="G6897" i="3"/>
  <c r="G6896" i="3"/>
  <c r="G6895" i="3"/>
  <c r="G6894" i="3"/>
  <c r="G6893" i="3"/>
  <c r="G6892" i="3"/>
  <c r="G6891" i="3"/>
  <c r="G6890" i="3"/>
  <c r="G6889" i="3"/>
  <c r="G6888" i="3"/>
  <c r="G6887" i="3"/>
  <c r="G6886" i="3"/>
  <c r="G6885" i="3"/>
  <c r="G6884" i="3"/>
  <c r="G6883" i="3"/>
  <c r="G6882" i="3"/>
  <c r="G6881" i="3"/>
  <c r="G6880" i="3"/>
  <c r="G6879" i="3"/>
  <c r="G6878" i="3"/>
  <c r="G6877" i="3"/>
  <c r="G6876" i="3"/>
  <c r="G6875" i="3"/>
  <c r="G6874" i="3"/>
  <c r="G6873" i="3"/>
  <c r="G6872" i="3"/>
  <c r="G6871" i="3"/>
  <c r="G6870" i="3"/>
  <c r="G6869" i="3"/>
  <c r="G6868" i="3"/>
  <c r="G6867" i="3"/>
  <c r="G6866" i="3"/>
  <c r="G6865" i="3"/>
  <c r="G6864" i="3"/>
  <c r="G6863" i="3"/>
  <c r="G6862" i="3"/>
  <c r="G6861" i="3"/>
  <c r="G6860" i="3"/>
  <c r="G6859" i="3"/>
  <c r="G6858" i="3"/>
  <c r="G6857" i="3"/>
  <c r="G6856" i="3"/>
  <c r="G6855" i="3"/>
  <c r="G6854" i="3"/>
  <c r="G6853" i="3"/>
  <c r="G6852" i="3"/>
  <c r="G6851" i="3"/>
  <c r="G6850" i="3"/>
  <c r="G6849" i="3"/>
  <c r="G6848" i="3"/>
  <c r="G6847" i="3"/>
  <c r="G6846" i="3"/>
  <c r="G6845" i="3"/>
  <c r="G6844" i="3"/>
  <c r="G6843" i="3"/>
  <c r="G6842" i="3"/>
  <c r="G6841" i="3"/>
  <c r="G6840" i="3"/>
  <c r="G6839" i="3"/>
  <c r="G6838" i="3"/>
  <c r="G6837" i="3"/>
  <c r="G6836" i="3"/>
  <c r="G6835" i="3"/>
  <c r="G6834" i="3"/>
  <c r="G6833" i="3"/>
  <c r="G6832" i="3"/>
  <c r="G6831" i="3"/>
  <c r="G6830" i="3"/>
  <c r="G6829" i="3"/>
  <c r="G6828" i="3"/>
  <c r="G6827" i="3"/>
  <c r="G6826" i="3"/>
  <c r="G6825" i="3"/>
  <c r="G6824" i="3"/>
  <c r="G6823" i="3"/>
  <c r="G6822" i="3"/>
  <c r="G6821" i="3"/>
  <c r="G6820" i="3"/>
  <c r="G6819" i="3"/>
  <c r="G6818" i="3"/>
  <c r="G6817" i="3"/>
  <c r="G6816" i="3"/>
  <c r="G6815" i="3"/>
  <c r="G6814" i="3"/>
  <c r="G6813" i="3"/>
  <c r="G6812" i="3"/>
  <c r="G6811" i="3"/>
  <c r="G6810" i="3"/>
  <c r="G6809" i="3"/>
  <c r="G6808" i="3"/>
  <c r="G6807" i="3"/>
  <c r="G6806" i="3"/>
  <c r="G6805" i="3"/>
  <c r="G6804" i="3"/>
  <c r="G6803" i="3"/>
  <c r="G6802" i="3"/>
  <c r="G6801" i="3"/>
  <c r="G6800" i="3"/>
  <c r="G6799" i="3"/>
  <c r="G6798" i="3"/>
  <c r="G6797" i="3"/>
  <c r="G6796" i="3"/>
  <c r="G6795" i="3"/>
  <c r="G6794" i="3"/>
  <c r="G6793" i="3"/>
  <c r="G6792" i="3"/>
  <c r="G6791" i="3"/>
  <c r="G6790" i="3"/>
  <c r="G6789" i="3"/>
  <c r="G6788" i="3"/>
  <c r="G6787" i="3"/>
  <c r="G6786" i="3"/>
  <c r="G6785" i="3"/>
  <c r="G6784" i="3"/>
  <c r="G6783" i="3"/>
  <c r="G6782" i="3"/>
  <c r="G6781" i="3"/>
  <c r="G6780" i="3"/>
  <c r="G6779" i="3"/>
  <c r="G6778" i="3"/>
  <c r="G6777" i="3"/>
  <c r="G6776" i="3"/>
  <c r="G6775" i="3"/>
  <c r="G6774" i="3"/>
  <c r="G6773" i="3"/>
  <c r="G6772" i="3"/>
  <c r="G6771" i="3"/>
  <c r="G6770" i="3"/>
  <c r="G6769" i="3"/>
  <c r="G6768" i="3"/>
  <c r="G6767" i="3"/>
  <c r="G6766" i="3"/>
  <c r="G6765" i="3"/>
  <c r="G6764" i="3"/>
  <c r="G6763" i="3"/>
  <c r="G6762" i="3"/>
  <c r="G6761" i="3"/>
  <c r="G6760" i="3"/>
  <c r="G6759" i="3"/>
  <c r="G6758" i="3"/>
  <c r="G6757" i="3"/>
  <c r="G6756" i="3"/>
  <c r="G6755" i="3"/>
  <c r="G6754" i="3"/>
  <c r="G6753" i="3"/>
  <c r="G6752" i="3"/>
  <c r="G6751" i="3"/>
  <c r="G6750" i="3"/>
  <c r="G6749" i="3"/>
  <c r="G6748" i="3"/>
  <c r="G6747" i="3"/>
  <c r="G6746" i="3"/>
  <c r="G6745" i="3"/>
  <c r="G6744" i="3"/>
  <c r="G6743" i="3"/>
  <c r="G6742" i="3"/>
  <c r="G6741" i="3"/>
  <c r="G6740" i="3"/>
  <c r="G6739" i="3"/>
  <c r="G6738" i="3"/>
  <c r="G6737" i="3"/>
  <c r="G6736" i="3"/>
  <c r="G6735" i="3"/>
  <c r="G6734" i="3"/>
  <c r="G6733" i="3"/>
  <c r="G6732" i="3"/>
  <c r="G6731" i="3"/>
  <c r="G6730" i="3"/>
  <c r="G6729" i="3"/>
  <c r="G6728" i="3"/>
  <c r="G6727" i="3"/>
  <c r="G6726" i="3"/>
  <c r="G6725" i="3"/>
  <c r="G6724" i="3"/>
  <c r="G6723" i="3"/>
  <c r="G6722" i="3"/>
  <c r="G6721" i="3"/>
  <c r="G6720" i="3"/>
  <c r="G6719" i="3"/>
  <c r="G6718" i="3"/>
  <c r="G6717" i="3"/>
  <c r="G6716" i="3"/>
  <c r="G6715" i="3"/>
  <c r="G6714" i="3"/>
  <c r="G6713" i="3"/>
  <c r="G6712" i="3"/>
  <c r="G6711" i="3"/>
  <c r="G6710" i="3"/>
  <c r="G6709" i="3"/>
  <c r="G6708" i="3"/>
  <c r="G6707" i="3"/>
  <c r="G6706" i="3"/>
  <c r="G6705" i="3"/>
  <c r="G6704" i="3"/>
  <c r="G6703" i="3"/>
  <c r="G6702" i="3"/>
  <c r="G6701" i="3"/>
  <c r="G6700" i="3"/>
  <c r="G6699" i="3"/>
  <c r="G6698" i="3"/>
  <c r="G6697" i="3"/>
  <c r="G6696" i="3"/>
  <c r="G6695" i="3"/>
  <c r="G6694" i="3"/>
  <c r="G6693" i="3"/>
  <c r="G6692" i="3"/>
  <c r="G6691" i="3"/>
  <c r="G6690" i="3"/>
  <c r="G6689" i="3"/>
  <c r="G6688" i="3"/>
  <c r="G6687" i="3"/>
  <c r="G6686" i="3"/>
  <c r="G6685" i="3"/>
  <c r="G6684" i="3"/>
  <c r="G6683" i="3"/>
  <c r="G6682" i="3"/>
  <c r="G6681" i="3"/>
  <c r="G6680" i="3"/>
  <c r="G6679" i="3"/>
  <c r="G6678" i="3"/>
  <c r="G6677" i="3"/>
  <c r="G6676" i="3"/>
  <c r="G6675" i="3"/>
  <c r="G6674" i="3"/>
  <c r="G6673" i="3"/>
  <c r="G6672" i="3"/>
  <c r="G6671" i="3"/>
  <c r="G6670" i="3"/>
  <c r="G6669" i="3"/>
  <c r="G6668" i="3"/>
  <c r="G6667" i="3"/>
  <c r="G6666" i="3"/>
  <c r="G6665" i="3"/>
  <c r="G6664" i="3"/>
  <c r="G6663" i="3"/>
  <c r="G6662" i="3"/>
  <c r="G6661" i="3"/>
  <c r="G6660" i="3"/>
  <c r="G6659" i="3"/>
  <c r="G6658" i="3"/>
  <c r="G6657" i="3"/>
  <c r="G6656" i="3"/>
  <c r="G6655" i="3"/>
  <c r="G6654" i="3"/>
  <c r="G6653" i="3"/>
  <c r="G6652" i="3"/>
  <c r="G6651" i="3"/>
  <c r="G6650" i="3"/>
  <c r="G6649" i="3"/>
  <c r="G6648" i="3"/>
  <c r="G6647" i="3"/>
  <c r="G6646" i="3"/>
  <c r="G6645" i="3"/>
  <c r="G6644" i="3"/>
  <c r="G6643" i="3"/>
  <c r="G6642" i="3"/>
  <c r="G6641" i="3"/>
  <c r="G6640" i="3"/>
  <c r="G6639" i="3"/>
  <c r="G6638" i="3"/>
  <c r="G6637" i="3"/>
  <c r="G6636" i="3"/>
  <c r="G6635" i="3"/>
  <c r="G6634" i="3"/>
  <c r="G6633" i="3"/>
  <c r="G6632" i="3"/>
  <c r="G6631" i="3"/>
  <c r="G6630" i="3"/>
  <c r="G6629" i="3"/>
  <c r="G6628" i="3"/>
  <c r="G6627" i="3"/>
  <c r="G6626" i="3"/>
  <c r="G6625" i="3"/>
  <c r="G6624" i="3"/>
  <c r="G6623" i="3"/>
  <c r="G6622" i="3"/>
  <c r="G6621" i="3"/>
  <c r="G6620" i="3"/>
  <c r="G6619" i="3"/>
  <c r="G6618" i="3"/>
  <c r="G6617" i="3"/>
  <c r="G6616" i="3"/>
  <c r="G6615" i="3"/>
  <c r="G6614" i="3"/>
  <c r="G6613" i="3"/>
  <c r="G6612" i="3"/>
  <c r="G6611" i="3"/>
  <c r="G6610" i="3"/>
  <c r="G6609" i="3"/>
  <c r="G6608" i="3"/>
  <c r="G6607" i="3"/>
  <c r="G6606" i="3"/>
  <c r="G6605" i="3"/>
  <c r="G6604" i="3"/>
  <c r="G6603" i="3"/>
  <c r="G6602" i="3"/>
  <c r="G6601" i="3"/>
  <c r="G6600" i="3"/>
  <c r="G6599" i="3"/>
  <c r="G6598" i="3"/>
  <c r="G6597" i="3"/>
  <c r="G6596" i="3"/>
  <c r="G6595" i="3"/>
  <c r="G6594" i="3"/>
  <c r="G6593" i="3"/>
  <c r="G6592" i="3"/>
  <c r="G6591" i="3"/>
  <c r="G6590" i="3"/>
  <c r="G6589" i="3"/>
  <c r="G6588" i="3"/>
  <c r="G6587" i="3"/>
  <c r="G6586" i="3"/>
  <c r="G6585" i="3"/>
  <c r="G6584" i="3"/>
  <c r="G6583" i="3"/>
  <c r="G6582" i="3"/>
  <c r="G6581" i="3"/>
  <c r="G6580" i="3"/>
  <c r="G6579" i="3"/>
  <c r="G6578" i="3"/>
  <c r="G6577" i="3"/>
  <c r="G6576" i="3"/>
  <c r="G6575" i="3"/>
  <c r="G6574" i="3"/>
  <c r="G6573" i="3"/>
  <c r="G6572" i="3"/>
  <c r="G6571" i="3"/>
  <c r="G6570" i="3"/>
  <c r="G6569" i="3"/>
  <c r="G6568" i="3"/>
  <c r="G6567" i="3"/>
  <c r="G6566" i="3"/>
  <c r="G6565" i="3"/>
  <c r="G6564" i="3"/>
  <c r="G6563" i="3"/>
  <c r="G6562" i="3"/>
  <c r="G6561" i="3"/>
  <c r="G6560" i="3"/>
  <c r="G6559" i="3"/>
  <c r="G6558" i="3"/>
  <c r="G6557" i="3"/>
  <c r="G6556" i="3"/>
  <c r="G6555" i="3"/>
  <c r="G6554" i="3"/>
  <c r="G6553" i="3"/>
  <c r="G6552" i="3"/>
  <c r="G6551" i="3"/>
  <c r="G6550" i="3"/>
  <c r="G6549" i="3"/>
  <c r="G6548" i="3"/>
  <c r="G6547" i="3"/>
  <c r="G6546" i="3"/>
  <c r="G6545" i="3"/>
  <c r="G6544" i="3"/>
  <c r="G6543" i="3"/>
  <c r="G6542" i="3"/>
  <c r="G6541" i="3"/>
  <c r="G6540" i="3"/>
  <c r="G6539" i="3"/>
  <c r="G6538" i="3"/>
  <c r="G6537" i="3"/>
  <c r="G6536" i="3"/>
  <c r="G6535" i="3"/>
  <c r="G6534" i="3"/>
  <c r="G6533" i="3"/>
  <c r="G6532" i="3"/>
  <c r="G6531" i="3"/>
  <c r="G6530" i="3"/>
  <c r="G6529" i="3"/>
  <c r="G6528" i="3"/>
  <c r="G6527" i="3"/>
  <c r="G6526" i="3"/>
  <c r="G6525" i="3"/>
  <c r="G6524" i="3"/>
  <c r="G6523" i="3"/>
  <c r="G6522" i="3"/>
  <c r="G6521" i="3"/>
  <c r="G6520" i="3"/>
  <c r="G6519" i="3"/>
  <c r="G6518" i="3"/>
  <c r="G6517" i="3"/>
  <c r="G6516" i="3"/>
  <c r="G6515" i="3"/>
  <c r="G6514" i="3"/>
  <c r="G6513" i="3"/>
  <c r="G6512" i="3"/>
  <c r="G6511" i="3"/>
  <c r="G6510" i="3"/>
  <c r="G6509" i="3"/>
  <c r="G6508" i="3"/>
  <c r="G6507" i="3"/>
  <c r="G6506" i="3"/>
  <c r="G6505" i="3"/>
  <c r="G6504" i="3"/>
  <c r="G6503" i="3"/>
  <c r="G6502" i="3"/>
  <c r="G6501" i="3"/>
  <c r="G6500" i="3"/>
  <c r="G6499" i="3"/>
  <c r="G6498" i="3"/>
  <c r="G6497" i="3"/>
  <c r="G6496" i="3"/>
  <c r="G6495" i="3"/>
  <c r="G6494" i="3"/>
  <c r="G6493" i="3"/>
  <c r="G6492" i="3"/>
  <c r="G6491" i="3"/>
  <c r="G6490" i="3"/>
  <c r="G6489" i="3"/>
  <c r="G6488" i="3"/>
  <c r="G6487" i="3"/>
  <c r="G6486" i="3"/>
  <c r="G6485" i="3"/>
  <c r="G6484" i="3"/>
  <c r="G6483" i="3"/>
  <c r="G6482" i="3"/>
  <c r="G6481" i="3"/>
  <c r="G6480" i="3"/>
  <c r="G6479" i="3"/>
  <c r="G6478" i="3"/>
  <c r="G6477" i="3"/>
  <c r="G6476" i="3"/>
  <c r="G6475" i="3"/>
  <c r="G6474" i="3"/>
  <c r="G6473" i="3"/>
  <c r="G6472" i="3"/>
  <c r="G6471" i="3"/>
  <c r="G6470" i="3"/>
  <c r="G6469" i="3"/>
  <c r="G6468" i="3"/>
  <c r="G6467" i="3"/>
  <c r="G6466" i="3"/>
  <c r="G6465" i="3"/>
  <c r="G6464" i="3"/>
  <c r="G6463" i="3"/>
  <c r="G6462" i="3"/>
  <c r="G6461" i="3"/>
  <c r="G6460" i="3"/>
  <c r="G6459" i="3"/>
  <c r="G6458" i="3"/>
  <c r="G6457" i="3"/>
  <c r="G6456" i="3"/>
  <c r="G6455" i="3"/>
  <c r="G6454" i="3"/>
  <c r="G6453" i="3"/>
  <c r="G6452" i="3"/>
  <c r="G6451" i="3"/>
  <c r="G6450" i="3"/>
  <c r="G6449" i="3"/>
  <c r="G6448" i="3"/>
  <c r="G6447" i="3"/>
  <c r="G6446" i="3"/>
  <c r="G6445" i="3"/>
  <c r="G6444" i="3"/>
  <c r="G6443" i="3"/>
  <c r="G6442" i="3"/>
  <c r="G6441" i="3"/>
  <c r="G6440" i="3"/>
  <c r="G6439" i="3"/>
  <c r="G6438" i="3"/>
  <c r="G6437" i="3"/>
  <c r="G6436" i="3"/>
  <c r="G6435" i="3"/>
  <c r="G6434" i="3"/>
  <c r="G6433" i="3"/>
  <c r="G6432" i="3"/>
  <c r="G6431" i="3"/>
  <c r="G6430" i="3"/>
  <c r="G6429" i="3"/>
  <c r="G6428" i="3"/>
  <c r="G6427" i="3"/>
  <c r="G6426" i="3"/>
  <c r="G6425" i="3"/>
  <c r="G6424" i="3"/>
  <c r="G6423" i="3"/>
  <c r="G6422" i="3"/>
  <c r="G6421" i="3"/>
  <c r="G6420" i="3"/>
  <c r="G6419" i="3"/>
  <c r="G6418" i="3"/>
  <c r="G6417" i="3"/>
  <c r="G6416" i="3"/>
  <c r="G6415" i="3"/>
  <c r="G6414" i="3"/>
  <c r="G6413" i="3"/>
  <c r="G6412" i="3"/>
  <c r="G6411" i="3"/>
  <c r="G6410" i="3"/>
  <c r="G6409" i="3"/>
  <c r="G6408" i="3"/>
  <c r="G6407" i="3"/>
  <c r="G6406" i="3"/>
  <c r="G6405" i="3"/>
  <c r="G6404" i="3"/>
  <c r="G6403" i="3"/>
  <c r="G6402" i="3"/>
  <c r="G6401" i="3"/>
  <c r="G6400" i="3"/>
  <c r="G6399" i="3"/>
  <c r="G6398" i="3"/>
  <c r="G6397" i="3"/>
  <c r="G6396" i="3"/>
  <c r="G6395" i="3"/>
  <c r="G6394" i="3"/>
  <c r="G6393" i="3"/>
  <c r="G6392" i="3"/>
  <c r="G6391" i="3"/>
  <c r="G6390" i="3"/>
  <c r="G6389" i="3"/>
  <c r="G6388" i="3"/>
  <c r="G6387" i="3"/>
  <c r="G6386" i="3"/>
  <c r="G6385" i="3"/>
  <c r="G6384" i="3"/>
  <c r="G6383" i="3"/>
  <c r="G6382" i="3"/>
  <c r="G6381" i="3"/>
  <c r="G6380" i="3"/>
  <c r="G6379" i="3"/>
  <c r="G6378" i="3"/>
  <c r="G6377" i="3"/>
  <c r="G6376" i="3"/>
  <c r="G6375" i="3"/>
  <c r="G6374" i="3"/>
  <c r="G6373" i="3"/>
  <c r="G6372" i="3"/>
  <c r="G6371" i="3"/>
  <c r="G6370" i="3"/>
  <c r="G6369" i="3"/>
  <c r="G6368" i="3"/>
  <c r="G6367" i="3"/>
  <c r="G6366" i="3"/>
  <c r="G6365" i="3"/>
  <c r="G6364" i="3"/>
  <c r="G6363" i="3"/>
  <c r="G6362" i="3"/>
  <c r="G6361" i="3"/>
  <c r="G6360" i="3"/>
  <c r="G6359" i="3"/>
  <c r="G6358" i="3"/>
  <c r="G6357" i="3"/>
  <c r="G6356" i="3"/>
  <c r="G6355" i="3"/>
  <c r="G6354" i="3"/>
  <c r="G6353" i="3"/>
  <c r="G6352" i="3"/>
  <c r="G6351" i="3"/>
  <c r="G6350" i="3"/>
  <c r="G6349" i="3"/>
  <c r="G6348" i="3"/>
  <c r="G6347" i="3"/>
  <c r="G6346" i="3"/>
  <c r="G6345" i="3"/>
  <c r="G6344" i="3"/>
  <c r="G6343" i="3"/>
  <c r="G6342" i="3"/>
  <c r="G6341" i="3"/>
  <c r="G6340" i="3"/>
  <c r="G6339" i="3"/>
  <c r="G6338" i="3"/>
  <c r="G6337" i="3"/>
  <c r="G6336" i="3"/>
  <c r="G6335" i="3"/>
  <c r="G6334" i="3"/>
  <c r="G6333" i="3"/>
  <c r="G6332" i="3"/>
  <c r="G6331" i="3"/>
  <c r="G6330" i="3"/>
  <c r="G6329" i="3"/>
  <c r="G6328" i="3"/>
  <c r="G6327" i="3"/>
  <c r="G6326" i="3"/>
  <c r="G6325" i="3"/>
  <c r="G6324" i="3"/>
  <c r="G6323" i="3"/>
  <c r="G6322" i="3"/>
  <c r="G6321" i="3"/>
  <c r="G6320" i="3"/>
  <c r="G6319" i="3"/>
  <c r="G6318" i="3"/>
  <c r="G6317" i="3"/>
  <c r="G6316" i="3"/>
  <c r="G6315" i="3"/>
  <c r="G6314" i="3"/>
  <c r="G6313" i="3"/>
  <c r="G6312" i="3"/>
  <c r="G6311" i="3"/>
  <c r="G6310" i="3"/>
  <c r="G6309" i="3"/>
  <c r="G6308" i="3"/>
  <c r="G6307" i="3"/>
  <c r="G6306" i="3"/>
  <c r="G6305" i="3"/>
  <c r="G6304" i="3"/>
  <c r="G6303" i="3"/>
  <c r="G6302" i="3"/>
  <c r="G6301" i="3"/>
  <c r="G6300" i="3"/>
  <c r="G6299" i="3"/>
  <c r="G6298" i="3"/>
  <c r="G6297" i="3"/>
  <c r="G6296" i="3"/>
  <c r="G6295" i="3"/>
  <c r="G6294" i="3"/>
  <c r="G6293" i="3"/>
  <c r="G6292" i="3"/>
  <c r="G6291" i="3"/>
  <c r="G6290" i="3"/>
  <c r="G6289" i="3"/>
  <c r="G6288" i="3"/>
  <c r="G6287" i="3"/>
  <c r="G6286" i="3"/>
  <c r="G6285" i="3"/>
  <c r="G6284" i="3"/>
  <c r="G6283" i="3"/>
  <c r="G6282" i="3"/>
  <c r="G6281" i="3"/>
  <c r="G6280" i="3"/>
  <c r="G6279" i="3"/>
  <c r="G6278" i="3"/>
  <c r="G6277" i="3"/>
  <c r="G6276" i="3"/>
  <c r="G6275" i="3"/>
  <c r="G6274" i="3"/>
  <c r="G6273" i="3"/>
  <c r="G6272" i="3"/>
  <c r="G6271" i="3"/>
  <c r="G6270" i="3"/>
  <c r="G6269" i="3"/>
  <c r="G6268" i="3"/>
  <c r="G6267" i="3"/>
  <c r="G6266" i="3"/>
  <c r="G6265" i="3"/>
  <c r="G6264" i="3"/>
  <c r="G6263" i="3"/>
  <c r="G6262" i="3"/>
  <c r="G6261" i="3"/>
  <c r="G6260" i="3"/>
  <c r="G6259" i="3"/>
  <c r="G6258" i="3"/>
  <c r="G6257" i="3"/>
  <c r="G6256" i="3"/>
  <c r="G6255" i="3"/>
  <c r="G6254" i="3"/>
  <c r="G6253" i="3"/>
  <c r="G6252" i="3"/>
  <c r="G6251" i="3"/>
  <c r="G6250" i="3"/>
  <c r="G6249" i="3"/>
  <c r="G6248" i="3"/>
  <c r="G6247" i="3"/>
  <c r="G6246" i="3"/>
  <c r="G6245" i="3"/>
  <c r="G6244" i="3"/>
  <c r="G6243" i="3"/>
  <c r="G6242" i="3"/>
  <c r="G6241" i="3"/>
  <c r="G6240" i="3"/>
  <c r="G6239" i="3"/>
  <c r="G6238" i="3"/>
  <c r="G6237" i="3"/>
  <c r="G6236" i="3"/>
  <c r="G6235" i="3"/>
  <c r="G6234" i="3"/>
  <c r="G6233" i="3"/>
  <c r="G6232" i="3"/>
  <c r="G6231" i="3"/>
  <c r="G6230" i="3"/>
  <c r="G6229" i="3"/>
  <c r="G6228" i="3"/>
  <c r="G6227" i="3"/>
  <c r="G6226" i="3"/>
  <c r="G6225" i="3"/>
  <c r="G6224" i="3"/>
  <c r="G6223" i="3"/>
  <c r="G6222" i="3"/>
  <c r="G6221" i="3"/>
  <c r="G6220" i="3"/>
  <c r="G6219" i="3"/>
  <c r="G6218" i="3"/>
  <c r="G6217" i="3"/>
  <c r="G6216" i="3"/>
  <c r="G6215" i="3"/>
  <c r="G6214" i="3"/>
  <c r="G6213" i="3"/>
  <c r="G6212" i="3"/>
  <c r="G6211" i="3"/>
  <c r="G6210" i="3"/>
  <c r="G6209" i="3"/>
  <c r="G6208" i="3"/>
  <c r="G6207" i="3"/>
  <c r="G6206" i="3"/>
  <c r="G6205" i="3"/>
  <c r="G6204" i="3"/>
  <c r="G6203" i="3"/>
  <c r="G6202" i="3"/>
  <c r="G6201" i="3"/>
  <c r="G6200" i="3"/>
  <c r="G6199" i="3"/>
  <c r="G6198" i="3"/>
  <c r="G6197" i="3"/>
  <c r="G6196" i="3"/>
  <c r="G6195" i="3"/>
  <c r="G6194" i="3"/>
  <c r="G6193" i="3"/>
  <c r="G6192" i="3"/>
  <c r="G6191" i="3"/>
  <c r="G6190" i="3"/>
  <c r="G6189" i="3"/>
  <c r="G6188" i="3"/>
  <c r="G6187" i="3"/>
  <c r="G6186" i="3"/>
  <c r="G6185" i="3"/>
  <c r="G6184" i="3"/>
  <c r="G6183" i="3"/>
  <c r="G6182" i="3"/>
  <c r="G6181" i="3"/>
  <c r="G6180" i="3"/>
  <c r="G6179" i="3"/>
  <c r="G6178" i="3"/>
  <c r="G6177" i="3"/>
  <c r="G6176" i="3"/>
  <c r="G6175" i="3"/>
  <c r="G6174" i="3"/>
  <c r="G6173" i="3"/>
  <c r="G6172" i="3"/>
  <c r="G6171" i="3"/>
  <c r="G6170" i="3"/>
  <c r="G6169" i="3"/>
  <c r="G6168" i="3"/>
  <c r="G6167" i="3"/>
  <c r="G6166" i="3"/>
  <c r="G6165" i="3"/>
  <c r="G6164" i="3"/>
  <c r="G6163" i="3"/>
  <c r="G6162" i="3"/>
  <c r="G6161" i="3"/>
  <c r="G6160" i="3"/>
  <c r="G6159" i="3"/>
  <c r="G6158" i="3"/>
  <c r="G6157" i="3"/>
  <c r="G6156" i="3"/>
  <c r="G6155" i="3"/>
  <c r="G6154" i="3"/>
  <c r="G6153" i="3"/>
  <c r="G6152" i="3"/>
  <c r="G6151" i="3"/>
  <c r="G6150" i="3"/>
  <c r="G6149" i="3"/>
  <c r="G6148" i="3"/>
  <c r="G6147" i="3"/>
  <c r="G6146" i="3"/>
  <c r="G6145" i="3"/>
  <c r="G6144" i="3"/>
  <c r="G6143" i="3"/>
  <c r="G6142" i="3"/>
  <c r="G6141" i="3"/>
  <c r="G6140" i="3"/>
  <c r="G6139" i="3"/>
  <c r="G6138" i="3"/>
  <c r="G6137" i="3"/>
  <c r="G6136" i="3"/>
  <c r="G6135" i="3"/>
  <c r="G6134" i="3"/>
  <c r="G6133" i="3"/>
  <c r="G6132" i="3"/>
  <c r="G6131" i="3"/>
  <c r="G6130" i="3"/>
  <c r="G6129" i="3"/>
  <c r="G6128" i="3"/>
  <c r="G6127" i="3"/>
  <c r="G6126" i="3"/>
  <c r="G6125" i="3"/>
  <c r="G6124" i="3"/>
  <c r="G6123" i="3"/>
  <c r="G6122" i="3"/>
  <c r="G6121" i="3"/>
  <c r="G6120" i="3"/>
  <c r="G6119" i="3"/>
  <c r="G6118" i="3"/>
  <c r="G6117" i="3"/>
  <c r="G6116" i="3"/>
  <c r="G6115" i="3"/>
  <c r="G6114" i="3"/>
  <c r="G6113" i="3"/>
  <c r="G6112" i="3"/>
  <c r="G6111" i="3"/>
  <c r="G6110" i="3"/>
  <c r="G6109" i="3"/>
  <c r="G6108" i="3"/>
  <c r="G6107" i="3"/>
  <c r="G6106" i="3"/>
  <c r="G6105" i="3"/>
  <c r="G6104" i="3"/>
  <c r="G6103" i="3"/>
  <c r="G6102" i="3"/>
  <c r="G6101" i="3"/>
  <c r="G6100" i="3"/>
  <c r="G6099" i="3"/>
  <c r="G6098" i="3"/>
  <c r="G6097" i="3"/>
  <c r="G6096" i="3"/>
  <c r="G6095" i="3"/>
  <c r="G6094" i="3"/>
  <c r="G6093" i="3"/>
  <c r="G6092" i="3"/>
  <c r="G6091" i="3"/>
  <c r="G6090" i="3"/>
  <c r="G6089" i="3"/>
  <c r="G6088" i="3"/>
  <c r="G6087" i="3"/>
  <c r="G6086" i="3"/>
  <c r="G6085" i="3"/>
  <c r="G6084" i="3"/>
  <c r="G6083" i="3"/>
  <c r="G6082" i="3"/>
  <c r="G6081" i="3"/>
  <c r="G6080" i="3"/>
  <c r="G6079" i="3"/>
  <c r="G6078" i="3"/>
  <c r="G6077" i="3"/>
  <c r="G6076" i="3"/>
  <c r="G6075" i="3"/>
  <c r="G6074" i="3"/>
  <c r="G6073" i="3"/>
  <c r="G6072" i="3"/>
  <c r="G6071" i="3"/>
  <c r="G6070" i="3"/>
  <c r="G6069" i="3"/>
  <c r="G6068" i="3"/>
  <c r="G6067" i="3"/>
  <c r="G6066" i="3"/>
  <c r="G6065" i="3"/>
  <c r="G6064" i="3"/>
  <c r="G6063" i="3"/>
  <c r="G6062" i="3"/>
  <c r="G6061" i="3"/>
  <c r="G6060" i="3"/>
  <c r="G6059" i="3"/>
  <c r="G6058" i="3"/>
  <c r="G6057" i="3"/>
  <c r="G6056" i="3"/>
  <c r="G6055" i="3"/>
  <c r="G6054" i="3"/>
  <c r="G6053" i="3"/>
  <c r="G6052" i="3"/>
  <c r="G6051" i="3"/>
  <c r="G6050" i="3"/>
  <c r="G6049" i="3"/>
  <c r="G6048" i="3"/>
  <c r="G6047" i="3"/>
  <c r="G6046" i="3"/>
  <c r="G6045" i="3"/>
  <c r="G6044" i="3"/>
  <c r="G6043" i="3"/>
  <c r="G6042" i="3"/>
  <c r="G6041" i="3"/>
  <c r="G6040" i="3"/>
  <c r="G6039" i="3"/>
  <c r="G6038" i="3"/>
  <c r="G6037" i="3"/>
  <c r="G6036" i="3"/>
  <c r="G6035" i="3"/>
  <c r="G6034" i="3"/>
  <c r="G6033" i="3"/>
  <c r="G6032" i="3"/>
  <c r="G6031" i="3"/>
  <c r="G6030" i="3"/>
  <c r="G6029" i="3"/>
  <c r="G6028" i="3"/>
  <c r="G6027" i="3"/>
  <c r="G6026" i="3"/>
  <c r="G6025" i="3"/>
  <c r="G6024" i="3"/>
  <c r="G6023" i="3"/>
  <c r="G6022" i="3"/>
  <c r="G6021" i="3"/>
  <c r="G6020" i="3"/>
  <c r="G6019" i="3"/>
  <c r="G6018" i="3"/>
  <c r="G6017" i="3"/>
  <c r="G6016" i="3"/>
  <c r="G6015" i="3"/>
  <c r="G6014" i="3"/>
  <c r="G6013" i="3"/>
  <c r="G6012" i="3"/>
  <c r="G6011" i="3"/>
  <c r="G6010" i="3"/>
  <c r="G6009" i="3"/>
  <c r="G6008" i="3"/>
  <c r="G6007" i="3"/>
  <c r="G6006" i="3"/>
  <c r="G6005" i="3"/>
  <c r="G6004" i="3"/>
  <c r="G6003" i="3"/>
  <c r="G6002" i="3"/>
  <c r="G6001" i="3"/>
  <c r="G6000" i="3"/>
  <c r="G5999" i="3"/>
  <c r="G5998" i="3"/>
  <c r="G5997" i="3"/>
  <c r="G5996" i="3"/>
  <c r="G5995" i="3"/>
  <c r="G5994" i="3"/>
  <c r="G5993" i="3"/>
  <c r="G5992" i="3"/>
  <c r="G5991" i="3"/>
  <c r="G5990" i="3"/>
  <c r="G5989" i="3"/>
  <c r="G5988" i="3"/>
  <c r="G5987" i="3"/>
  <c r="G5986" i="3"/>
  <c r="G5985" i="3"/>
  <c r="G5984" i="3"/>
  <c r="G5983" i="3"/>
  <c r="G5982" i="3"/>
  <c r="G5981" i="3"/>
  <c r="G5980" i="3"/>
  <c r="G5979" i="3"/>
  <c r="G5978" i="3"/>
  <c r="G5977" i="3"/>
  <c r="G5976" i="3"/>
  <c r="G5975" i="3"/>
  <c r="G5974" i="3"/>
  <c r="G5973" i="3"/>
  <c r="G5972" i="3"/>
  <c r="G5971" i="3"/>
  <c r="G5970" i="3"/>
  <c r="G5969" i="3"/>
  <c r="G5968" i="3"/>
  <c r="G5967" i="3"/>
  <c r="G5966" i="3"/>
  <c r="G5965" i="3"/>
  <c r="G5964" i="3"/>
  <c r="G5963" i="3"/>
  <c r="G5962" i="3"/>
  <c r="G5961" i="3"/>
  <c r="G5960" i="3"/>
  <c r="G5959" i="3"/>
  <c r="G5958" i="3"/>
  <c r="G5957" i="3"/>
  <c r="G5956" i="3"/>
  <c r="G5955" i="3"/>
  <c r="G5954" i="3"/>
  <c r="G5953" i="3"/>
  <c r="G5952" i="3"/>
  <c r="G5951" i="3"/>
  <c r="G5950" i="3"/>
  <c r="G5949" i="3"/>
  <c r="G5948" i="3"/>
  <c r="G5947" i="3"/>
  <c r="G5946" i="3"/>
  <c r="G5945" i="3"/>
  <c r="G5944" i="3"/>
  <c r="G5943" i="3"/>
  <c r="G5942" i="3"/>
  <c r="G5941" i="3"/>
  <c r="G5940" i="3"/>
  <c r="G5939" i="3"/>
  <c r="G5938" i="3"/>
  <c r="G5937" i="3"/>
  <c r="G5936" i="3"/>
  <c r="G5935" i="3"/>
  <c r="G5934" i="3"/>
  <c r="G5933" i="3"/>
  <c r="G5932" i="3"/>
  <c r="G5931" i="3"/>
  <c r="G5930" i="3"/>
  <c r="G5929" i="3"/>
  <c r="G5928" i="3"/>
  <c r="G5927" i="3"/>
  <c r="G5926" i="3"/>
  <c r="G5925" i="3"/>
  <c r="G5924" i="3"/>
  <c r="G5923" i="3"/>
  <c r="G5922" i="3"/>
  <c r="G5921" i="3"/>
  <c r="G5920" i="3"/>
  <c r="G5919" i="3"/>
  <c r="G5918" i="3"/>
  <c r="G5917" i="3"/>
  <c r="G5916" i="3"/>
  <c r="G5915" i="3"/>
  <c r="G5914" i="3"/>
  <c r="G5913" i="3"/>
  <c r="G5912" i="3"/>
  <c r="G5911" i="3"/>
  <c r="G5910" i="3"/>
  <c r="G5909" i="3"/>
  <c r="G5908" i="3"/>
  <c r="G5907" i="3"/>
  <c r="G5906" i="3"/>
  <c r="G5905" i="3"/>
  <c r="G5904" i="3"/>
  <c r="G5903" i="3"/>
  <c r="G5902" i="3"/>
  <c r="G5901" i="3"/>
  <c r="G5900" i="3"/>
  <c r="G5899" i="3"/>
  <c r="G5898" i="3"/>
  <c r="G5897" i="3"/>
  <c r="G5896" i="3"/>
  <c r="G5895" i="3"/>
  <c r="G5894" i="3"/>
  <c r="G5893" i="3"/>
  <c r="G5892" i="3"/>
  <c r="G5891" i="3"/>
  <c r="G5890" i="3"/>
  <c r="G5889" i="3"/>
  <c r="G5888" i="3"/>
  <c r="G5887" i="3"/>
  <c r="G5886" i="3"/>
  <c r="G5885" i="3"/>
  <c r="G5884" i="3"/>
  <c r="G5883" i="3"/>
  <c r="G5882" i="3"/>
  <c r="G5881" i="3"/>
  <c r="G5880" i="3"/>
  <c r="G5879" i="3"/>
  <c r="G5878" i="3"/>
  <c r="G5877" i="3"/>
  <c r="G5876" i="3"/>
  <c r="G5875" i="3"/>
  <c r="G5874" i="3"/>
  <c r="G5873" i="3"/>
  <c r="G5872" i="3"/>
  <c r="G5871" i="3"/>
  <c r="G5870" i="3"/>
  <c r="G5869" i="3"/>
  <c r="G5868" i="3"/>
  <c r="G5867" i="3"/>
  <c r="G5866" i="3"/>
  <c r="G5865" i="3"/>
  <c r="G5864" i="3"/>
  <c r="G5863" i="3"/>
  <c r="G5862" i="3"/>
  <c r="G5861" i="3"/>
  <c r="G5860" i="3"/>
  <c r="G5859" i="3"/>
  <c r="G5858" i="3"/>
  <c r="G5857" i="3"/>
  <c r="G5856" i="3"/>
  <c r="G5855" i="3"/>
  <c r="G5854" i="3"/>
  <c r="G5853" i="3"/>
  <c r="G5852" i="3"/>
  <c r="G5851" i="3"/>
  <c r="G5850" i="3"/>
  <c r="G5849" i="3"/>
  <c r="G5848" i="3"/>
  <c r="G5847" i="3"/>
  <c r="G5846" i="3"/>
  <c r="G5845" i="3"/>
  <c r="G5844" i="3"/>
  <c r="G5843" i="3"/>
  <c r="G5842" i="3"/>
  <c r="G5841" i="3"/>
  <c r="G5840" i="3"/>
  <c r="G5839" i="3"/>
  <c r="G5838" i="3"/>
  <c r="G5837" i="3"/>
  <c r="G5836" i="3"/>
  <c r="G5835" i="3"/>
  <c r="G5834" i="3"/>
  <c r="G5833" i="3"/>
  <c r="G5832" i="3"/>
  <c r="G5831" i="3"/>
  <c r="G5830" i="3"/>
  <c r="G5829" i="3"/>
  <c r="G5828" i="3"/>
  <c r="G5827" i="3"/>
  <c r="G5826" i="3"/>
  <c r="G5825" i="3"/>
  <c r="G5824" i="3"/>
  <c r="G5823" i="3"/>
  <c r="G5822" i="3"/>
  <c r="G5821" i="3"/>
  <c r="G5820" i="3"/>
  <c r="G5819" i="3"/>
  <c r="G5818" i="3"/>
  <c r="G5817" i="3"/>
  <c r="G5816" i="3"/>
  <c r="G5815" i="3"/>
  <c r="G5814" i="3"/>
  <c r="G5813" i="3"/>
  <c r="G5812" i="3"/>
  <c r="G5811" i="3"/>
  <c r="G5810" i="3"/>
  <c r="G5809" i="3"/>
  <c r="G5808" i="3"/>
  <c r="G5807" i="3"/>
  <c r="G5806" i="3"/>
  <c r="G5805" i="3"/>
  <c r="G5804" i="3"/>
  <c r="G5803" i="3"/>
  <c r="G5802" i="3"/>
  <c r="G5801" i="3"/>
  <c r="G5800" i="3"/>
  <c r="G5799" i="3"/>
  <c r="G5798" i="3"/>
  <c r="G5797" i="3"/>
  <c r="G5796" i="3"/>
  <c r="G5795" i="3"/>
  <c r="G5794" i="3"/>
  <c r="G5793" i="3"/>
  <c r="G5792" i="3"/>
  <c r="G5791" i="3"/>
  <c r="G5790" i="3"/>
  <c r="G5789" i="3"/>
  <c r="G5788" i="3"/>
  <c r="G5787" i="3"/>
  <c r="G5786" i="3"/>
  <c r="G5785" i="3"/>
  <c r="G5784" i="3"/>
  <c r="G5783" i="3"/>
  <c r="G5782" i="3"/>
  <c r="G5781" i="3"/>
  <c r="G5780" i="3"/>
  <c r="G5779" i="3"/>
  <c r="G5778" i="3"/>
  <c r="G5777" i="3"/>
  <c r="G5776" i="3"/>
  <c r="G5775" i="3"/>
  <c r="G5774" i="3"/>
  <c r="G5773" i="3"/>
  <c r="G5772" i="3"/>
  <c r="G5771" i="3"/>
  <c r="G5770" i="3"/>
  <c r="G5769" i="3"/>
  <c r="G5768" i="3"/>
  <c r="G5767" i="3"/>
  <c r="G5766" i="3"/>
  <c r="G5765" i="3"/>
  <c r="G5764" i="3"/>
  <c r="G5763" i="3"/>
  <c r="G5762" i="3"/>
  <c r="G5761" i="3"/>
  <c r="G5760" i="3"/>
  <c r="G5759" i="3"/>
  <c r="G5758" i="3"/>
  <c r="G5757" i="3"/>
  <c r="G5756" i="3"/>
  <c r="G5755" i="3"/>
  <c r="G5754" i="3"/>
  <c r="G5753" i="3"/>
  <c r="G5752" i="3"/>
  <c r="G5751" i="3"/>
  <c r="G5750" i="3"/>
  <c r="G5749" i="3"/>
  <c r="G5748" i="3"/>
  <c r="G5747" i="3"/>
  <c r="G5746" i="3"/>
  <c r="G5745" i="3"/>
  <c r="G5744" i="3"/>
  <c r="G5743" i="3"/>
  <c r="G5742" i="3"/>
  <c r="G5741" i="3"/>
  <c r="G5740" i="3"/>
  <c r="G5739" i="3"/>
  <c r="G5738" i="3"/>
  <c r="G5737" i="3"/>
  <c r="G5736" i="3"/>
  <c r="G5735" i="3"/>
  <c r="G5734" i="3"/>
  <c r="G5733" i="3"/>
  <c r="G5732" i="3"/>
  <c r="G5731" i="3"/>
  <c r="G5730" i="3"/>
  <c r="G5729" i="3"/>
  <c r="G5728" i="3"/>
  <c r="G5727" i="3"/>
  <c r="G5726" i="3"/>
  <c r="G5725" i="3"/>
  <c r="G5724" i="3"/>
  <c r="G5723" i="3"/>
  <c r="G5722" i="3"/>
  <c r="G5721" i="3"/>
  <c r="G5720" i="3"/>
  <c r="G5719" i="3"/>
  <c r="G5718" i="3"/>
  <c r="G5717" i="3"/>
  <c r="G5716" i="3"/>
  <c r="G5715" i="3"/>
  <c r="G5714" i="3"/>
  <c r="G5713" i="3"/>
  <c r="G5712" i="3"/>
  <c r="G5711" i="3"/>
  <c r="G5710" i="3"/>
  <c r="G5709" i="3"/>
  <c r="G5708" i="3"/>
  <c r="G5707" i="3"/>
  <c r="G5706" i="3"/>
  <c r="G5705" i="3"/>
  <c r="G5704" i="3"/>
  <c r="G5703" i="3"/>
  <c r="G5702" i="3"/>
  <c r="G5701" i="3"/>
  <c r="G5700" i="3"/>
  <c r="G5699" i="3"/>
  <c r="G5698" i="3"/>
  <c r="G5697" i="3"/>
  <c r="G5696" i="3"/>
  <c r="G5695" i="3"/>
  <c r="G5694" i="3"/>
  <c r="G5693" i="3"/>
  <c r="G5692" i="3"/>
  <c r="G5691" i="3"/>
  <c r="G5690" i="3"/>
  <c r="G5689" i="3"/>
  <c r="G5688" i="3"/>
  <c r="G5687" i="3"/>
  <c r="G5686" i="3"/>
  <c r="G5685" i="3"/>
  <c r="G5684" i="3"/>
  <c r="G5683" i="3"/>
  <c r="G5682" i="3"/>
  <c r="G5681" i="3"/>
  <c r="G5680" i="3"/>
  <c r="G5679" i="3"/>
  <c r="G5678" i="3"/>
  <c r="G5677" i="3"/>
  <c r="G5676" i="3"/>
  <c r="G5675" i="3"/>
  <c r="G5674" i="3"/>
  <c r="G5673" i="3"/>
  <c r="G5672" i="3"/>
  <c r="G5671" i="3"/>
  <c r="G5670" i="3"/>
  <c r="G5669" i="3"/>
  <c r="G5668" i="3"/>
  <c r="G5667" i="3"/>
  <c r="G5666" i="3"/>
  <c r="G5665" i="3"/>
  <c r="G5664" i="3"/>
  <c r="G5663" i="3"/>
  <c r="G5662" i="3"/>
  <c r="G5661" i="3"/>
  <c r="G5660" i="3"/>
  <c r="G5659" i="3"/>
  <c r="G5658" i="3"/>
  <c r="G5657" i="3"/>
  <c r="G5656" i="3"/>
  <c r="G5655" i="3"/>
  <c r="G5654" i="3"/>
  <c r="G5653" i="3"/>
  <c r="G5652" i="3"/>
  <c r="G5651" i="3"/>
  <c r="G5650" i="3"/>
  <c r="G5649" i="3"/>
  <c r="G5648" i="3"/>
  <c r="G5647" i="3"/>
  <c r="G5646" i="3"/>
  <c r="G5645" i="3"/>
  <c r="G5644" i="3"/>
  <c r="G5643" i="3"/>
  <c r="G5642" i="3"/>
  <c r="G5641" i="3"/>
  <c r="G5640" i="3"/>
  <c r="G5639" i="3"/>
  <c r="G5638" i="3"/>
  <c r="G5637" i="3"/>
  <c r="G5636" i="3"/>
  <c r="G5635" i="3"/>
  <c r="G5634" i="3"/>
  <c r="G5633" i="3"/>
  <c r="G5632" i="3"/>
  <c r="G5631" i="3"/>
  <c r="G5630" i="3"/>
  <c r="G5629" i="3"/>
  <c r="G5628" i="3"/>
  <c r="G5627" i="3"/>
  <c r="G5626" i="3"/>
  <c r="G5625" i="3"/>
  <c r="G5624" i="3"/>
  <c r="G5623" i="3"/>
  <c r="G5622" i="3"/>
  <c r="G5621" i="3"/>
  <c r="G5620" i="3"/>
  <c r="G5619" i="3"/>
  <c r="G5618" i="3"/>
  <c r="G5617" i="3"/>
  <c r="G5616" i="3"/>
  <c r="G5615" i="3"/>
  <c r="G5614" i="3"/>
  <c r="G5613" i="3"/>
  <c r="G5612" i="3"/>
  <c r="G5611" i="3"/>
  <c r="G5610" i="3"/>
  <c r="G5609" i="3"/>
  <c r="G5608" i="3"/>
  <c r="G5607" i="3"/>
  <c r="G5606" i="3"/>
  <c r="G5605" i="3"/>
  <c r="G5604" i="3"/>
  <c r="G5603" i="3"/>
  <c r="G5602" i="3"/>
  <c r="G5601" i="3"/>
  <c r="G5600" i="3"/>
  <c r="G5599" i="3"/>
  <c r="G5598" i="3"/>
  <c r="G5597" i="3"/>
  <c r="G5596" i="3"/>
  <c r="G5595" i="3"/>
  <c r="G5594" i="3"/>
  <c r="G5593" i="3"/>
  <c r="G5592" i="3"/>
  <c r="G5591" i="3"/>
  <c r="G5590" i="3"/>
  <c r="G5589" i="3"/>
  <c r="G5588" i="3"/>
  <c r="G5587" i="3"/>
  <c r="G5586" i="3"/>
  <c r="G5585" i="3"/>
  <c r="G5584" i="3"/>
  <c r="G5583" i="3"/>
  <c r="G5582" i="3"/>
  <c r="G5581" i="3"/>
  <c r="G5580" i="3"/>
  <c r="G5579" i="3"/>
  <c r="G5578" i="3"/>
  <c r="G5577" i="3"/>
  <c r="G5576" i="3"/>
  <c r="G5575" i="3"/>
  <c r="G5574" i="3"/>
  <c r="G5573" i="3"/>
  <c r="G5572" i="3"/>
  <c r="G5571" i="3"/>
  <c r="G5570" i="3"/>
  <c r="G5569" i="3"/>
  <c r="G5568" i="3"/>
  <c r="G5567" i="3"/>
  <c r="G5566" i="3"/>
  <c r="G5565" i="3"/>
  <c r="G5564" i="3"/>
  <c r="G5563" i="3"/>
  <c r="G5562" i="3"/>
  <c r="G5561" i="3"/>
  <c r="G5560" i="3"/>
  <c r="G5559" i="3"/>
  <c r="G5558" i="3"/>
  <c r="G5557" i="3"/>
  <c r="G5556" i="3"/>
  <c r="G5555" i="3"/>
  <c r="G5554" i="3"/>
  <c r="G5553" i="3"/>
  <c r="G5552" i="3"/>
  <c r="G5551" i="3"/>
  <c r="G5550" i="3"/>
  <c r="G5549" i="3"/>
  <c r="G5548" i="3"/>
  <c r="G5547" i="3"/>
  <c r="G5546" i="3"/>
  <c r="G5545" i="3"/>
  <c r="G5544" i="3"/>
  <c r="G5543" i="3"/>
  <c r="G5542" i="3"/>
  <c r="G5541" i="3"/>
  <c r="G5540" i="3"/>
  <c r="G5539" i="3"/>
  <c r="G5538" i="3"/>
  <c r="G5537" i="3"/>
  <c r="G5536" i="3"/>
  <c r="G5535" i="3"/>
  <c r="G5534" i="3"/>
  <c r="G5533" i="3"/>
  <c r="G5532" i="3"/>
  <c r="G5531" i="3"/>
  <c r="G5530" i="3"/>
  <c r="G5529" i="3"/>
  <c r="G5528" i="3"/>
  <c r="G5527" i="3"/>
  <c r="G5526" i="3"/>
  <c r="G5525" i="3"/>
  <c r="G5524" i="3"/>
  <c r="G5523" i="3"/>
  <c r="G5522" i="3"/>
  <c r="G5521" i="3"/>
  <c r="G5520" i="3"/>
  <c r="G5519" i="3"/>
  <c r="G5518" i="3"/>
  <c r="G5517" i="3"/>
  <c r="G5516" i="3"/>
  <c r="G5515" i="3"/>
  <c r="G5514" i="3"/>
  <c r="G5513" i="3"/>
  <c r="G5512" i="3"/>
  <c r="G5511" i="3"/>
  <c r="G5510" i="3"/>
  <c r="G5509" i="3"/>
  <c r="G5508" i="3"/>
  <c r="G5507" i="3"/>
  <c r="G5506" i="3"/>
  <c r="G5505" i="3"/>
  <c r="G5504" i="3"/>
  <c r="G5503" i="3"/>
  <c r="G5502" i="3"/>
  <c r="G5501" i="3"/>
  <c r="G5500" i="3"/>
  <c r="G5499" i="3"/>
  <c r="G5498" i="3"/>
  <c r="G5497" i="3"/>
  <c r="G5496" i="3"/>
  <c r="G5495" i="3"/>
  <c r="G5494" i="3"/>
  <c r="G5493" i="3"/>
  <c r="G5492" i="3"/>
  <c r="G5491" i="3"/>
  <c r="G5490" i="3"/>
  <c r="G5489" i="3"/>
  <c r="G5488" i="3"/>
  <c r="G5487" i="3"/>
  <c r="G5486" i="3"/>
  <c r="G5485" i="3"/>
  <c r="G5484" i="3"/>
  <c r="G5483" i="3"/>
  <c r="G5482" i="3"/>
  <c r="G5481" i="3"/>
  <c r="G5480" i="3"/>
  <c r="G5479" i="3"/>
  <c r="G5478" i="3"/>
  <c r="G5477" i="3"/>
  <c r="G5476" i="3"/>
  <c r="G5475" i="3"/>
  <c r="G5474" i="3"/>
  <c r="G5473" i="3"/>
  <c r="G5472" i="3"/>
  <c r="G5471" i="3"/>
  <c r="G5470" i="3"/>
  <c r="G5469" i="3"/>
  <c r="G5468" i="3"/>
  <c r="G5467" i="3"/>
  <c r="G5466" i="3"/>
  <c r="G5465" i="3"/>
  <c r="G5464" i="3"/>
  <c r="G5463" i="3"/>
  <c r="G5462" i="3"/>
  <c r="G5461" i="3"/>
  <c r="G5460" i="3"/>
  <c r="G5459" i="3"/>
  <c r="G5458" i="3"/>
  <c r="G5457" i="3"/>
  <c r="G5456" i="3"/>
  <c r="G5455" i="3"/>
  <c r="G5454" i="3"/>
  <c r="G5453" i="3"/>
  <c r="G5452" i="3"/>
  <c r="G5451" i="3"/>
  <c r="G5450" i="3"/>
  <c r="G5449" i="3"/>
  <c r="G5448" i="3"/>
  <c r="G5447" i="3"/>
  <c r="G5446" i="3"/>
  <c r="G5445" i="3"/>
  <c r="G5444" i="3"/>
  <c r="G5443" i="3"/>
  <c r="G5442" i="3"/>
  <c r="G5441" i="3"/>
  <c r="G5440" i="3"/>
  <c r="G5439" i="3"/>
  <c r="G5438" i="3"/>
  <c r="G5437" i="3"/>
  <c r="G5436" i="3"/>
  <c r="G5435" i="3"/>
  <c r="G5434" i="3"/>
  <c r="G5433" i="3"/>
  <c r="G5432" i="3"/>
  <c r="G5431" i="3"/>
  <c r="G5430" i="3"/>
  <c r="G5429" i="3"/>
  <c r="G5428" i="3"/>
  <c r="G5427" i="3"/>
  <c r="G5426" i="3"/>
  <c r="G5425" i="3"/>
  <c r="G5424" i="3"/>
  <c r="G5423" i="3"/>
  <c r="G5422" i="3"/>
  <c r="G5421" i="3"/>
  <c r="G5420" i="3"/>
  <c r="G5419" i="3"/>
  <c r="G5418" i="3"/>
  <c r="G5417" i="3"/>
  <c r="G5416" i="3"/>
  <c r="G5415" i="3"/>
  <c r="G5414" i="3"/>
  <c r="G5413" i="3"/>
  <c r="G5412" i="3"/>
  <c r="G5411" i="3"/>
  <c r="G5410" i="3"/>
  <c r="G5409" i="3"/>
  <c r="G5408" i="3"/>
  <c r="G5407" i="3"/>
  <c r="G5406" i="3"/>
  <c r="G5405" i="3"/>
  <c r="G5404" i="3"/>
  <c r="G5403" i="3"/>
  <c r="G5402" i="3"/>
  <c r="G5401" i="3"/>
  <c r="G5400" i="3"/>
  <c r="G5399" i="3"/>
  <c r="G5398" i="3"/>
  <c r="G5397" i="3"/>
  <c r="G5396" i="3"/>
  <c r="G5395" i="3"/>
  <c r="G5394" i="3"/>
  <c r="G5393" i="3"/>
  <c r="G5392" i="3"/>
  <c r="G5391" i="3"/>
  <c r="G5390" i="3"/>
  <c r="G5389" i="3"/>
  <c r="G5388" i="3"/>
  <c r="G5387" i="3"/>
  <c r="G5386" i="3"/>
  <c r="G5385" i="3"/>
  <c r="G5384" i="3"/>
  <c r="G5383" i="3"/>
  <c r="G5382" i="3"/>
  <c r="G5381" i="3"/>
  <c r="G5380" i="3"/>
  <c r="G5379" i="3"/>
  <c r="G5378" i="3"/>
  <c r="G5377" i="3"/>
  <c r="G5376" i="3"/>
  <c r="G5375" i="3"/>
  <c r="G5374" i="3"/>
  <c r="G5373" i="3"/>
  <c r="G5372" i="3"/>
  <c r="G5371" i="3"/>
  <c r="G5370" i="3"/>
  <c r="G5369" i="3"/>
  <c r="G5368" i="3"/>
  <c r="G5367" i="3"/>
  <c r="G5366" i="3"/>
  <c r="G5365" i="3"/>
  <c r="G5364" i="3"/>
  <c r="G5363" i="3"/>
  <c r="G5362" i="3"/>
  <c r="G5361" i="3"/>
  <c r="G5360" i="3"/>
  <c r="G5359" i="3"/>
  <c r="G5358" i="3"/>
  <c r="G5357" i="3"/>
  <c r="G5356" i="3"/>
  <c r="G5355" i="3"/>
  <c r="G5354" i="3"/>
  <c r="G5353" i="3"/>
  <c r="G5352" i="3"/>
  <c r="G5351" i="3"/>
  <c r="G5350" i="3"/>
  <c r="G5349" i="3"/>
  <c r="G5348" i="3"/>
  <c r="G5347" i="3"/>
  <c r="G5346" i="3"/>
  <c r="G5345" i="3"/>
  <c r="G5344" i="3"/>
  <c r="G5343" i="3"/>
  <c r="G5342" i="3"/>
  <c r="G5341" i="3"/>
  <c r="G5340" i="3"/>
  <c r="G5339" i="3"/>
  <c r="G5338" i="3"/>
  <c r="G5337" i="3"/>
  <c r="G5336" i="3"/>
  <c r="G5335" i="3"/>
  <c r="G5334" i="3"/>
  <c r="G5333" i="3"/>
  <c r="G5332" i="3"/>
  <c r="G5331" i="3"/>
  <c r="G5330" i="3"/>
  <c r="G5329" i="3"/>
  <c r="G5328" i="3"/>
  <c r="G5327" i="3"/>
  <c r="G5326" i="3"/>
  <c r="G5325" i="3"/>
  <c r="G5324" i="3"/>
  <c r="G5323" i="3"/>
  <c r="G5322" i="3"/>
  <c r="G5321" i="3"/>
  <c r="G5320" i="3"/>
  <c r="G5319" i="3"/>
  <c r="G5318" i="3"/>
  <c r="G5317" i="3"/>
  <c r="G5316" i="3"/>
  <c r="G5315" i="3"/>
  <c r="G5314" i="3"/>
  <c r="G5313" i="3"/>
  <c r="G5312" i="3"/>
  <c r="G5311" i="3"/>
  <c r="G5310" i="3"/>
  <c r="G5309" i="3"/>
  <c r="G5308" i="3"/>
  <c r="G5307" i="3"/>
  <c r="G5306" i="3"/>
  <c r="G5305" i="3"/>
  <c r="G5304" i="3"/>
  <c r="G5303" i="3"/>
  <c r="G5302" i="3"/>
  <c r="G5301" i="3"/>
  <c r="G5300" i="3"/>
  <c r="G5299" i="3"/>
  <c r="G5298" i="3"/>
  <c r="G5297" i="3"/>
  <c r="G5296" i="3"/>
  <c r="G5295" i="3"/>
  <c r="G5294" i="3"/>
  <c r="G5293" i="3"/>
  <c r="G5292" i="3"/>
  <c r="G5291" i="3"/>
  <c r="G5290" i="3"/>
  <c r="G5289" i="3"/>
  <c r="G5288" i="3"/>
  <c r="G5287" i="3"/>
  <c r="G5286" i="3"/>
  <c r="G5285" i="3"/>
  <c r="G5284" i="3"/>
  <c r="G5283" i="3"/>
  <c r="G5282" i="3"/>
  <c r="G5281" i="3"/>
  <c r="G5280" i="3"/>
  <c r="G5279" i="3"/>
  <c r="G5278" i="3"/>
  <c r="G5277" i="3"/>
  <c r="G5276" i="3"/>
  <c r="G5275" i="3"/>
  <c r="G5274" i="3"/>
  <c r="G5273" i="3"/>
  <c r="G5272" i="3"/>
  <c r="G5271" i="3"/>
  <c r="G5270" i="3"/>
  <c r="G5269" i="3"/>
  <c r="G5268" i="3"/>
  <c r="G5267" i="3"/>
  <c r="G5266" i="3"/>
  <c r="G5265" i="3"/>
  <c r="G5264" i="3"/>
  <c r="G5263" i="3"/>
  <c r="G5262" i="3"/>
  <c r="G5261" i="3"/>
  <c r="G5260" i="3"/>
  <c r="G5259" i="3"/>
  <c r="G5258" i="3"/>
  <c r="G5257" i="3"/>
  <c r="G5256" i="3"/>
  <c r="G5255" i="3"/>
  <c r="G5254" i="3"/>
  <c r="G5253" i="3"/>
  <c r="G5252" i="3"/>
  <c r="G5251" i="3"/>
  <c r="G5250" i="3"/>
  <c r="G5249" i="3"/>
  <c r="G5248" i="3"/>
  <c r="G5247" i="3"/>
  <c r="G5246" i="3"/>
  <c r="G5245" i="3"/>
  <c r="G5244" i="3"/>
  <c r="G5243" i="3"/>
  <c r="G5242" i="3"/>
  <c r="G5241" i="3"/>
  <c r="G5240" i="3"/>
  <c r="G5239" i="3"/>
  <c r="G5238" i="3"/>
  <c r="G5237" i="3"/>
  <c r="G5236" i="3"/>
  <c r="G5235" i="3"/>
  <c r="G5234" i="3"/>
  <c r="G5233" i="3"/>
  <c r="G5232" i="3"/>
  <c r="G5231" i="3"/>
  <c r="G5230" i="3"/>
  <c r="G5229" i="3"/>
  <c r="G5228" i="3"/>
  <c r="G5227" i="3"/>
  <c r="G5226" i="3"/>
  <c r="G5225" i="3"/>
  <c r="G5224" i="3"/>
  <c r="G5223" i="3"/>
  <c r="G5222" i="3"/>
  <c r="G5221" i="3"/>
  <c r="G5220" i="3"/>
  <c r="G5219" i="3"/>
  <c r="G5218" i="3"/>
  <c r="G5217" i="3"/>
  <c r="G5216" i="3"/>
  <c r="G5215" i="3"/>
  <c r="G5214" i="3"/>
  <c r="G5213" i="3"/>
  <c r="G5212" i="3"/>
  <c r="G5211" i="3"/>
  <c r="G5210" i="3"/>
  <c r="G5209" i="3"/>
  <c r="G5208" i="3"/>
  <c r="G5207" i="3"/>
  <c r="G5206" i="3"/>
  <c r="G5205" i="3"/>
  <c r="G5204" i="3"/>
  <c r="G5203" i="3"/>
  <c r="G5202" i="3"/>
  <c r="G5201" i="3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<sst xmlns="http://schemas.openxmlformats.org/spreadsheetml/2006/main" count="10637" uniqueCount="90">
  <si>
    <t>index</t>
  </si>
  <si>
    <t>date</t>
  </si>
  <si>
    <t>observer</t>
  </si>
  <si>
    <t>day</t>
  </si>
  <si>
    <t>week</t>
  </si>
  <si>
    <t>weekdaySun1</t>
  </si>
  <si>
    <t>treatment</t>
  </si>
  <si>
    <t>tube</t>
  </si>
  <si>
    <t>noF</t>
  </si>
  <si>
    <t>noFM</t>
  </si>
  <si>
    <t>noSM</t>
  </si>
  <si>
    <t>notritos</t>
  </si>
  <si>
    <t>noprotos</t>
  </si>
  <si>
    <t>nolarvae</t>
  </si>
  <si>
    <t>noeggs</t>
  </si>
  <si>
    <t>noQT</t>
  </si>
  <si>
    <t>nQP</t>
  </si>
  <si>
    <t>noQL</t>
  </si>
  <si>
    <t>nodeutos</t>
  </si>
  <si>
    <t>noQD</t>
  </si>
  <si>
    <t>totalno</t>
  </si>
  <si>
    <t>adults</t>
  </si>
  <si>
    <t>juveniles</t>
  </si>
  <si>
    <t>eggs</t>
  </si>
  <si>
    <t>Isabel</t>
  </si>
  <si>
    <t>SMr</t>
  </si>
  <si>
    <t>C</t>
  </si>
  <si>
    <t>FMr</t>
  </si>
  <si>
    <t>Jacques</t>
  </si>
  <si>
    <t>Citation:</t>
  </si>
  <si>
    <t>Smallegange IM, Deere JA. 2014. Eco-evolutionary interactions as a consequence of selection on a secondary sexual trait. Advances in Ecological Research 50: 145-169.</t>
  </si>
  <si>
    <t>date of observation</t>
  </si>
  <si>
    <t>Who counted the mites that day</t>
  </si>
  <si>
    <t>Week number of the experiment</t>
  </si>
  <si>
    <t>Day of the week, with Sunday as day 1</t>
  </si>
  <si>
    <t>Experimental population identifier</t>
  </si>
  <si>
    <t>Number of tritonymphs</t>
  </si>
  <si>
    <t>Number of protonymphs</t>
  </si>
  <si>
    <t>Number of larvae</t>
  </si>
  <si>
    <t>Number of eggs</t>
  </si>
  <si>
    <t>Number of quiescent protonymphs (moulting stage between protonymph and tritonymph stage)</t>
  </si>
  <si>
    <t>Number of quiescent tritonymphs (moulting stage during which maturation occurs)</t>
  </si>
  <si>
    <t>Number of quiescent larvae (moulting stage between larval and protonymph stage)</t>
  </si>
  <si>
    <t>Number of deutonymphs (facultative dispersal stage)</t>
  </si>
  <si>
    <t>Number of quiescent deutonymphs (moulting stage from deutonymph to tritonymph)</t>
  </si>
  <si>
    <t>Total number of individuals counted in the experimental population</t>
  </si>
  <si>
    <t>Total number of adults counted in the experimental population</t>
  </si>
  <si>
    <t>Total number of juveniles counted in the experimental population</t>
  </si>
  <si>
    <t>Total number of eggs counted in the experimental population</t>
  </si>
  <si>
    <t>Number of adult females</t>
  </si>
  <si>
    <t>Number of adult fighters</t>
  </si>
  <si>
    <t>Number of adult scramblers</t>
  </si>
  <si>
    <t>Day of the experiment</t>
  </si>
  <si>
    <t>Treatment: harvesting of scramblers (SMr), fighters (FMr) or control (C) (see paper)</t>
  </si>
  <si>
    <t>Column headers in CountData sheet:</t>
  </si>
  <si>
    <t>F</t>
  </si>
  <si>
    <t>FM</t>
  </si>
  <si>
    <t>SM</t>
  </si>
  <si>
    <t>tritos</t>
  </si>
  <si>
    <t>protos</t>
  </si>
  <si>
    <t>larvae</t>
  </si>
  <si>
    <t>Column headers in SizeData sheet:</t>
  </si>
  <si>
    <t>Size of adult female (micrometer)</t>
  </si>
  <si>
    <t>Size of adult fighter male (micrometer)</t>
  </si>
  <si>
    <t>Size of adult scrambler male (micrometer)</t>
  </si>
  <si>
    <t>Size of tritonymph (micrometer)</t>
  </si>
  <si>
    <t>Size of protonymph (micrometer)</t>
  </si>
  <si>
    <t>Size of larva (micrometer)</t>
  </si>
  <si>
    <t>Size of egg (micrometer)</t>
  </si>
  <si>
    <t xml:space="preserve"> </t>
  </si>
  <si>
    <t>Qtritos</t>
  </si>
  <si>
    <t>Qprotos</t>
  </si>
  <si>
    <t>Qlarvae</t>
  </si>
  <si>
    <t>deutos</t>
  </si>
  <si>
    <t>Qdeutos</t>
  </si>
  <si>
    <t>Smharvested</t>
  </si>
  <si>
    <t>Fmharvested</t>
  </si>
  <si>
    <t>Size of quiescent tritonymph (micrometer)</t>
  </si>
  <si>
    <t>Size of quiescent protonymph (micrometer)</t>
  </si>
  <si>
    <t>Size of quiescent deutonymph (micrometer)</t>
  </si>
  <si>
    <t>Size of quiescent larva (micrometer)</t>
  </si>
  <si>
    <t>Size of deutonymph (micrometer)</t>
  </si>
  <si>
    <t>Size of harvested scrambler (micrometer)</t>
  </si>
  <si>
    <t>Size of harvested fighter (micrometer)</t>
  </si>
  <si>
    <t>unique identifier for each observation</t>
  </si>
  <si>
    <t>unique identifier for observation</t>
  </si>
  <si>
    <t xml:space="preserve">Harvesting started on day 61. </t>
  </si>
  <si>
    <t>nototal</t>
  </si>
  <si>
    <t>noadults</t>
  </si>
  <si>
    <t>nojuveniles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</si>
</sst>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0" fontId="0" fillId="0" borderId="10" xfId="0" applyBorder="1"/>
    <xf numFmtId="14" fontId="0" fillId="0" borderId="10" xfId="0" applyNumberFormat="1" applyBorder="1"/>
    <xf numFmtId="1" fontId="0" fillId="0" borderId="0" xfId="0" applyNumberFormat="1"/>
    <xf numFmtId="0" fontId="18" fillId="0" borderId="10" xfId="0" applyFont="1" applyBorder="1"/>
    <xf numFmtId="1" fontId="0" fillId="0" borderId="10" xfId="0" applyNumberFormat="1" applyBorder="1"/>
    <xf numFmtId="0" fontId="16" fillId="34" borderId="0" xfId="0" applyFont="1" applyFill="1" applyAlignment="1">
      <alignment vertical="center"/>
    </xf>
    <xf numFmtId="0" fontId="0" fillId="34" borderId="0" xfId="0" applyFill="1"/>
    <xf numFmtId="0" fontId="16" fillId="0" borderId="0" xfId="0" applyFont="1" applyAlignment="1">
      <alignment vertical="center"/>
    </xf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wcastle-my.sharepoint.com/personal/nis75_newcastle_ac_uk/Documents/My%20documents%20WORK%20LAPTOP/WERK/Data/experimenten/2011%20population%20experiments/experiment%20harvesting%20males/Results%20harvesting.xls" TargetMode="External"/><Relationship Id="rId1" Type="http://schemas.openxmlformats.org/officeDocument/2006/relationships/externalLinkPath" Target="https://newcastle-my.sharepoint.com/personal/nis75_newcastle_ac_uk/Documents/My%20documents%20WORK%20LAPTOP/WERK/Beurzen%20en%20projecten/2024%20Man%20Qi%20early%20warning%20signals/Smallegange%20&amp;%20Deere%202014/Results%20harves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dates"/>
      <sheetName val="feeding"/>
      <sheetName val="populationcounts"/>
      <sheetName val="sizemeasurements"/>
      <sheetName val="R_populationcounts"/>
      <sheetName val="R_sizemeasurements"/>
      <sheetName val="highlowplots"/>
      <sheetName val="Mean_populationcount"/>
      <sheetName val="Mean_size"/>
      <sheetName val="thresholdQT_popexp"/>
      <sheetName val="thresholdQT_stockculture"/>
      <sheetName val="isolated females 170712"/>
      <sheetName val="feeding sheet"/>
      <sheetName val="repmeasures"/>
      <sheetName val="variance"/>
      <sheetName val="numberVSsize"/>
      <sheetName val="Biomass"/>
      <sheetName val="MeanNoVsMeanSize"/>
      <sheetName val="Meanbiomass"/>
    </sheetNames>
    <sheetDataSet>
      <sheetData sheetId="0">
        <row r="2">
          <cell r="A2">
            <v>1</v>
          </cell>
          <cell r="B2" t="str">
            <v>SMr</v>
          </cell>
        </row>
        <row r="3">
          <cell r="A3">
            <v>2</v>
          </cell>
          <cell r="B3" t="str">
            <v>SMr</v>
          </cell>
        </row>
        <row r="4">
          <cell r="A4">
            <v>3</v>
          </cell>
          <cell r="B4" t="str">
            <v>C</v>
          </cell>
        </row>
        <row r="5">
          <cell r="A5">
            <v>4</v>
          </cell>
          <cell r="B5" t="str">
            <v>SMr</v>
          </cell>
        </row>
        <row r="6">
          <cell r="A6">
            <v>5</v>
          </cell>
          <cell r="B6" t="str">
            <v>C</v>
          </cell>
        </row>
        <row r="7">
          <cell r="A7">
            <v>6</v>
          </cell>
          <cell r="B7" t="str">
            <v>FMr</v>
          </cell>
        </row>
        <row r="8">
          <cell r="A8">
            <v>7</v>
          </cell>
          <cell r="B8" t="str">
            <v>FMr</v>
          </cell>
        </row>
        <row r="9">
          <cell r="A9">
            <v>8</v>
          </cell>
          <cell r="B9" t="str">
            <v>C</v>
          </cell>
        </row>
        <row r="10">
          <cell r="A10">
            <v>9</v>
          </cell>
          <cell r="B10" t="str">
            <v>FMr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A6" sqref="A6:T31"/>
    </sheetView>
  </sheetViews>
  <sheetFormatPr baseColWidth="10" defaultColWidth="8.83203125" defaultRowHeight="15" x14ac:dyDescent="0.2"/>
  <cols>
    <col min="1" max="1" width="15.83203125" customWidth="1"/>
  </cols>
  <sheetData>
    <row r="1" spans="1:16" x14ac:dyDescent="0.2">
      <c r="A1" s="3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3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">
      <c r="A3" s="2"/>
    </row>
    <row r="4" spans="1:16" x14ac:dyDescent="0.2">
      <c r="A4" s="10" t="s">
        <v>86</v>
      </c>
      <c r="B4" s="11"/>
      <c r="C4" s="11"/>
    </row>
    <row r="5" spans="1:16" x14ac:dyDescent="0.2">
      <c r="A5" s="12"/>
    </row>
    <row r="6" spans="1:16" x14ac:dyDescent="0.2">
      <c r="A6" s="2" t="s">
        <v>54</v>
      </c>
      <c r="M6" s="2" t="s">
        <v>61</v>
      </c>
    </row>
    <row r="7" spans="1:16" x14ac:dyDescent="0.2">
      <c r="A7" t="s">
        <v>0</v>
      </c>
      <c r="B7" t="s">
        <v>85</v>
      </c>
      <c r="M7" t="s">
        <v>0</v>
      </c>
      <c r="N7" t="s">
        <v>84</v>
      </c>
    </row>
    <row r="8" spans="1:16" x14ac:dyDescent="0.2">
      <c r="A8" t="s">
        <v>1</v>
      </c>
      <c r="B8" t="s">
        <v>31</v>
      </c>
      <c r="M8" t="s">
        <v>1</v>
      </c>
      <c r="N8" t="s">
        <v>31</v>
      </c>
    </row>
    <row r="9" spans="1:16" x14ac:dyDescent="0.2">
      <c r="A9" t="s">
        <v>2</v>
      </c>
      <c r="B9" t="s">
        <v>32</v>
      </c>
      <c r="M9" t="s">
        <v>2</v>
      </c>
      <c r="N9" t="s">
        <v>32</v>
      </c>
    </row>
    <row r="10" spans="1:16" x14ac:dyDescent="0.2">
      <c r="A10" t="s">
        <v>3</v>
      </c>
      <c r="B10" t="s">
        <v>52</v>
      </c>
      <c r="M10" t="s">
        <v>3</v>
      </c>
      <c r="N10" t="s">
        <v>52</v>
      </c>
    </row>
    <row r="11" spans="1:16" x14ac:dyDescent="0.2">
      <c r="A11" t="s">
        <v>4</v>
      </c>
      <c r="B11" t="s">
        <v>33</v>
      </c>
      <c r="M11" t="s">
        <v>4</v>
      </c>
      <c r="N11" t="s">
        <v>33</v>
      </c>
    </row>
    <row r="12" spans="1:16" x14ac:dyDescent="0.2">
      <c r="A12" t="s">
        <v>5</v>
      </c>
      <c r="B12" t="s">
        <v>34</v>
      </c>
      <c r="M12" t="s">
        <v>5</v>
      </c>
      <c r="N12" t="s">
        <v>34</v>
      </c>
    </row>
    <row r="13" spans="1:16" x14ac:dyDescent="0.2">
      <c r="A13" t="s">
        <v>6</v>
      </c>
      <c r="B13" t="s">
        <v>53</v>
      </c>
      <c r="M13" t="s">
        <v>6</v>
      </c>
      <c r="N13" t="s">
        <v>53</v>
      </c>
    </row>
    <row r="14" spans="1:16" x14ac:dyDescent="0.2">
      <c r="A14" t="s">
        <v>7</v>
      </c>
      <c r="B14" t="s">
        <v>35</v>
      </c>
      <c r="M14" t="s">
        <v>7</v>
      </c>
      <c r="N14" t="s">
        <v>35</v>
      </c>
    </row>
    <row r="15" spans="1:16" x14ac:dyDescent="0.2">
      <c r="A15" t="s">
        <v>8</v>
      </c>
      <c r="B15" t="s">
        <v>49</v>
      </c>
      <c r="M15" t="s">
        <v>55</v>
      </c>
      <c r="N15" t="s">
        <v>62</v>
      </c>
    </row>
    <row r="16" spans="1:16" x14ac:dyDescent="0.2">
      <c r="A16" t="s">
        <v>9</v>
      </c>
      <c r="B16" t="s">
        <v>50</v>
      </c>
      <c r="M16" t="s">
        <v>56</v>
      </c>
      <c r="N16" t="s">
        <v>63</v>
      </c>
    </row>
    <row r="17" spans="1:14" x14ac:dyDescent="0.2">
      <c r="A17" t="s">
        <v>10</v>
      </c>
      <c r="B17" t="s">
        <v>51</v>
      </c>
      <c r="M17" t="s">
        <v>57</v>
      </c>
      <c r="N17" t="s">
        <v>64</v>
      </c>
    </row>
    <row r="18" spans="1:14" x14ac:dyDescent="0.2">
      <c r="A18" t="s">
        <v>11</v>
      </c>
      <c r="B18" t="s">
        <v>36</v>
      </c>
      <c r="M18" t="s">
        <v>58</v>
      </c>
      <c r="N18" t="s">
        <v>65</v>
      </c>
    </row>
    <row r="19" spans="1:14" x14ac:dyDescent="0.2">
      <c r="A19" t="s">
        <v>12</v>
      </c>
      <c r="B19" t="s">
        <v>37</v>
      </c>
      <c r="M19" t="s">
        <v>59</v>
      </c>
      <c r="N19" t="s">
        <v>66</v>
      </c>
    </row>
    <row r="20" spans="1:14" x14ac:dyDescent="0.2">
      <c r="A20" t="s">
        <v>13</v>
      </c>
      <c r="B20" t="s">
        <v>38</v>
      </c>
      <c r="M20" t="s">
        <v>60</v>
      </c>
      <c r="N20" t="s">
        <v>67</v>
      </c>
    </row>
    <row r="21" spans="1:14" x14ac:dyDescent="0.2">
      <c r="A21" t="s">
        <v>14</v>
      </c>
      <c r="B21" t="s">
        <v>39</v>
      </c>
      <c r="M21" t="s">
        <v>23</v>
      </c>
      <c r="N21" t="s">
        <v>68</v>
      </c>
    </row>
    <row r="22" spans="1:14" x14ac:dyDescent="0.2">
      <c r="A22" t="s">
        <v>15</v>
      </c>
      <c r="B22" t="s">
        <v>41</v>
      </c>
      <c r="M22" t="s">
        <v>70</v>
      </c>
      <c r="N22" t="s">
        <v>77</v>
      </c>
    </row>
    <row r="23" spans="1:14" x14ac:dyDescent="0.2">
      <c r="A23" t="s">
        <v>16</v>
      </c>
      <c r="B23" t="s">
        <v>40</v>
      </c>
      <c r="M23" t="s">
        <v>71</v>
      </c>
      <c r="N23" t="s">
        <v>78</v>
      </c>
    </row>
    <row r="24" spans="1:14" x14ac:dyDescent="0.2">
      <c r="A24" t="s">
        <v>17</v>
      </c>
      <c r="B24" t="s">
        <v>42</v>
      </c>
      <c r="M24" t="s">
        <v>72</v>
      </c>
      <c r="N24" t="s">
        <v>80</v>
      </c>
    </row>
    <row r="25" spans="1:14" x14ac:dyDescent="0.2">
      <c r="A25" t="s">
        <v>18</v>
      </c>
      <c r="B25" t="s">
        <v>43</v>
      </c>
      <c r="M25" t="s">
        <v>73</v>
      </c>
      <c r="N25" t="s">
        <v>79</v>
      </c>
    </row>
    <row r="26" spans="1:14" x14ac:dyDescent="0.2">
      <c r="A26" t="s">
        <v>19</v>
      </c>
      <c r="B26" t="s">
        <v>44</v>
      </c>
      <c r="M26" t="s">
        <v>74</v>
      </c>
      <c r="N26" t="s">
        <v>81</v>
      </c>
    </row>
    <row r="27" spans="1:14" x14ac:dyDescent="0.2">
      <c r="A27" t="s">
        <v>20</v>
      </c>
      <c r="B27" t="s">
        <v>45</v>
      </c>
      <c r="M27" t="s">
        <v>75</v>
      </c>
      <c r="N27" t="s">
        <v>82</v>
      </c>
    </row>
    <row r="28" spans="1:14" x14ac:dyDescent="0.2">
      <c r="A28" t="s">
        <v>21</v>
      </c>
      <c r="B28" t="s">
        <v>46</v>
      </c>
      <c r="M28" t="s">
        <v>76</v>
      </c>
      <c r="N28" t="s">
        <v>83</v>
      </c>
    </row>
    <row r="29" spans="1:14" x14ac:dyDescent="0.2">
      <c r="A29" t="s">
        <v>22</v>
      </c>
      <c r="B29" t="s">
        <v>47</v>
      </c>
    </row>
    <row r="30" spans="1:14" x14ac:dyDescent="0.2">
      <c r="A30" t="s">
        <v>23</v>
      </c>
      <c r="B30" t="s">
        <v>48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38"/>
  <sheetViews>
    <sheetView topLeftCell="A825" workbookViewId="0">
      <selection activeCell="U1" sqref="U1"/>
    </sheetView>
  </sheetViews>
  <sheetFormatPr baseColWidth="10" defaultColWidth="8.83203125" defaultRowHeight="15" x14ac:dyDescent="0.2"/>
  <cols>
    <col min="2" max="2" width="10.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87</v>
      </c>
      <c r="V1" t="s">
        <v>88</v>
      </c>
      <c r="W1" t="s">
        <v>89</v>
      </c>
      <c r="X1" t="s">
        <v>14</v>
      </c>
    </row>
    <row r="2" spans="1:24" x14ac:dyDescent="0.2">
      <c r="A2">
        <v>1</v>
      </c>
      <c r="B2" s="1">
        <v>40737</v>
      </c>
      <c r="C2" t="s">
        <v>24</v>
      </c>
      <c r="D2">
        <v>1</v>
      </c>
      <c r="E2">
        <v>1</v>
      </c>
      <c r="F2">
        <v>4</v>
      </c>
      <c r="G2" t="s">
        <v>25</v>
      </c>
      <c r="H2">
        <v>1</v>
      </c>
      <c r="I2">
        <v>10</v>
      </c>
      <c r="J2">
        <v>5</v>
      </c>
      <c r="K2">
        <v>4</v>
      </c>
      <c r="L2">
        <v>0</v>
      </c>
      <c r="M2">
        <v>0</v>
      </c>
      <c r="N2">
        <v>35</v>
      </c>
      <c r="O2">
        <v>71</v>
      </c>
      <c r="P2">
        <v>0</v>
      </c>
      <c r="Q2">
        <v>0</v>
      </c>
      <c r="R2">
        <v>0</v>
      </c>
      <c r="S2">
        <v>0</v>
      </c>
      <c r="T2">
        <v>0</v>
      </c>
      <c r="U2">
        <v>125</v>
      </c>
      <c r="V2">
        <v>19</v>
      </c>
      <c r="W2">
        <v>35</v>
      </c>
      <c r="X2">
        <v>71</v>
      </c>
    </row>
    <row r="3" spans="1:24" x14ac:dyDescent="0.2">
      <c r="A3">
        <v>2</v>
      </c>
      <c r="B3" s="1">
        <v>40737</v>
      </c>
      <c r="C3" t="s">
        <v>24</v>
      </c>
      <c r="D3">
        <v>1</v>
      </c>
      <c r="E3">
        <v>1</v>
      </c>
      <c r="F3">
        <v>4</v>
      </c>
      <c r="G3" t="s">
        <v>25</v>
      </c>
      <c r="H3">
        <v>2</v>
      </c>
      <c r="I3">
        <v>9</v>
      </c>
      <c r="J3">
        <v>8</v>
      </c>
      <c r="K3">
        <v>2</v>
      </c>
      <c r="L3">
        <v>0</v>
      </c>
      <c r="M3">
        <v>0</v>
      </c>
      <c r="N3">
        <v>36</v>
      </c>
      <c r="O3">
        <v>33</v>
      </c>
      <c r="P3">
        <v>0</v>
      </c>
      <c r="Q3">
        <v>0</v>
      </c>
      <c r="R3">
        <v>0</v>
      </c>
      <c r="S3">
        <v>0</v>
      </c>
      <c r="T3">
        <v>0</v>
      </c>
      <c r="U3">
        <v>88</v>
      </c>
      <c r="V3">
        <v>19</v>
      </c>
      <c r="W3">
        <v>36</v>
      </c>
      <c r="X3">
        <v>33</v>
      </c>
    </row>
    <row r="4" spans="1:24" x14ac:dyDescent="0.2">
      <c r="A4">
        <v>3</v>
      </c>
      <c r="B4" s="1">
        <v>40737</v>
      </c>
      <c r="C4" t="s">
        <v>24</v>
      </c>
      <c r="D4">
        <v>1</v>
      </c>
      <c r="E4">
        <v>1</v>
      </c>
      <c r="F4">
        <v>4</v>
      </c>
      <c r="G4" t="s">
        <v>26</v>
      </c>
      <c r="H4">
        <v>3</v>
      </c>
      <c r="I4">
        <v>9</v>
      </c>
      <c r="J4">
        <v>4</v>
      </c>
      <c r="K4">
        <v>3</v>
      </c>
      <c r="L4">
        <v>0</v>
      </c>
      <c r="M4">
        <v>0</v>
      </c>
      <c r="N4">
        <v>50</v>
      </c>
      <c r="O4">
        <v>39</v>
      </c>
      <c r="P4">
        <v>0</v>
      </c>
      <c r="Q4">
        <v>0</v>
      </c>
      <c r="R4">
        <v>0</v>
      </c>
      <c r="S4">
        <v>0</v>
      </c>
      <c r="T4">
        <v>0</v>
      </c>
      <c r="U4">
        <v>105</v>
      </c>
      <c r="V4">
        <v>16</v>
      </c>
      <c r="W4">
        <v>50</v>
      </c>
      <c r="X4">
        <v>39</v>
      </c>
    </row>
    <row r="5" spans="1:24" x14ac:dyDescent="0.2">
      <c r="A5">
        <v>4</v>
      </c>
      <c r="B5" s="1">
        <v>40737</v>
      </c>
      <c r="C5" t="s">
        <v>24</v>
      </c>
      <c r="D5">
        <v>1</v>
      </c>
      <c r="E5">
        <v>1</v>
      </c>
      <c r="F5">
        <v>4</v>
      </c>
      <c r="G5" t="s">
        <v>25</v>
      </c>
      <c r="H5">
        <v>4</v>
      </c>
      <c r="I5">
        <v>9</v>
      </c>
      <c r="J5">
        <v>1</v>
      </c>
      <c r="K5">
        <v>3</v>
      </c>
      <c r="L5">
        <v>0</v>
      </c>
      <c r="M5">
        <v>0</v>
      </c>
      <c r="N5">
        <v>12</v>
      </c>
      <c r="O5">
        <v>27</v>
      </c>
      <c r="P5">
        <v>0</v>
      </c>
      <c r="Q5">
        <v>0</v>
      </c>
      <c r="R5">
        <v>0</v>
      </c>
      <c r="S5">
        <v>0</v>
      </c>
      <c r="T5">
        <v>0</v>
      </c>
      <c r="U5">
        <v>52</v>
      </c>
      <c r="V5">
        <v>13</v>
      </c>
      <c r="W5">
        <v>12</v>
      </c>
      <c r="X5">
        <v>27</v>
      </c>
    </row>
    <row r="6" spans="1:24" x14ac:dyDescent="0.2">
      <c r="A6">
        <v>5</v>
      </c>
      <c r="B6" s="1">
        <v>40737</v>
      </c>
      <c r="C6" t="s">
        <v>24</v>
      </c>
      <c r="D6">
        <v>1</v>
      </c>
      <c r="E6">
        <v>1</v>
      </c>
      <c r="F6">
        <v>4</v>
      </c>
      <c r="G6" t="s">
        <v>26</v>
      </c>
      <c r="H6">
        <v>5</v>
      </c>
      <c r="I6">
        <v>15</v>
      </c>
      <c r="J6">
        <v>5</v>
      </c>
      <c r="K6">
        <v>1</v>
      </c>
      <c r="L6">
        <v>0</v>
      </c>
      <c r="M6">
        <v>0</v>
      </c>
      <c r="N6">
        <v>39</v>
      </c>
      <c r="O6">
        <v>65</v>
      </c>
      <c r="P6">
        <v>0</v>
      </c>
      <c r="Q6">
        <v>0</v>
      </c>
      <c r="R6">
        <v>0</v>
      </c>
      <c r="S6">
        <v>0</v>
      </c>
      <c r="T6">
        <v>0</v>
      </c>
      <c r="U6">
        <v>125</v>
      </c>
      <c r="V6">
        <v>21</v>
      </c>
      <c r="W6">
        <v>39</v>
      </c>
      <c r="X6">
        <v>65</v>
      </c>
    </row>
    <row r="7" spans="1:24" x14ac:dyDescent="0.2">
      <c r="A7">
        <v>6</v>
      </c>
      <c r="B7" s="1">
        <v>40737</v>
      </c>
      <c r="C7" t="s">
        <v>24</v>
      </c>
      <c r="D7">
        <v>1</v>
      </c>
      <c r="E7">
        <v>1</v>
      </c>
      <c r="F7">
        <v>4</v>
      </c>
      <c r="G7" t="s">
        <v>27</v>
      </c>
      <c r="H7">
        <v>6</v>
      </c>
      <c r="I7">
        <v>8</v>
      </c>
      <c r="J7">
        <v>2</v>
      </c>
      <c r="K7">
        <v>4</v>
      </c>
      <c r="L7">
        <v>0</v>
      </c>
      <c r="M7">
        <v>0</v>
      </c>
      <c r="N7">
        <v>11</v>
      </c>
      <c r="O7">
        <v>49</v>
      </c>
      <c r="P7">
        <v>0</v>
      </c>
      <c r="Q7">
        <v>0</v>
      </c>
      <c r="R7">
        <v>0</v>
      </c>
      <c r="S7">
        <v>0</v>
      </c>
      <c r="T7">
        <v>0</v>
      </c>
      <c r="U7">
        <v>74</v>
      </c>
      <c r="V7">
        <v>14</v>
      </c>
      <c r="W7">
        <v>11</v>
      </c>
      <c r="X7">
        <v>49</v>
      </c>
    </row>
    <row r="8" spans="1:24" x14ac:dyDescent="0.2">
      <c r="A8">
        <v>7</v>
      </c>
      <c r="B8" s="1">
        <v>40737</v>
      </c>
      <c r="C8" t="s">
        <v>24</v>
      </c>
      <c r="D8">
        <v>1</v>
      </c>
      <c r="E8">
        <v>1</v>
      </c>
      <c r="F8">
        <v>4</v>
      </c>
      <c r="G8" t="s">
        <v>27</v>
      </c>
      <c r="H8">
        <v>7</v>
      </c>
      <c r="I8">
        <v>12</v>
      </c>
      <c r="J8">
        <v>4</v>
      </c>
      <c r="K8">
        <v>2</v>
      </c>
      <c r="L8">
        <v>0</v>
      </c>
      <c r="M8">
        <v>0</v>
      </c>
      <c r="N8">
        <v>9</v>
      </c>
      <c r="O8">
        <v>40</v>
      </c>
      <c r="P8">
        <v>0</v>
      </c>
      <c r="Q8">
        <v>0</v>
      </c>
      <c r="R8">
        <v>0</v>
      </c>
      <c r="S8">
        <v>0</v>
      </c>
      <c r="T8">
        <v>0</v>
      </c>
      <c r="U8">
        <v>67</v>
      </c>
      <c r="V8">
        <v>18</v>
      </c>
      <c r="W8">
        <v>9</v>
      </c>
      <c r="X8">
        <v>40</v>
      </c>
    </row>
    <row r="9" spans="1:24" x14ac:dyDescent="0.2">
      <c r="A9">
        <v>8</v>
      </c>
      <c r="B9" s="1">
        <v>40737</v>
      </c>
      <c r="C9" t="s">
        <v>24</v>
      </c>
      <c r="D9">
        <v>1</v>
      </c>
      <c r="E9">
        <v>1</v>
      </c>
      <c r="F9">
        <v>4</v>
      </c>
      <c r="G9" t="s">
        <v>26</v>
      </c>
      <c r="H9">
        <v>8</v>
      </c>
      <c r="I9">
        <v>21</v>
      </c>
      <c r="J9">
        <v>3</v>
      </c>
      <c r="K9">
        <v>8</v>
      </c>
      <c r="L9">
        <v>0</v>
      </c>
      <c r="M9">
        <v>0</v>
      </c>
      <c r="N9">
        <v>0</v>
      </c>
      <c r="O9">
        <v>26</v>
      </c>
      <c r="P9">
        <v>0</v>
      </c>
      <c r="Q9">
        <v>0</v>
      </c>
      <c r="R9">
        <v>0</v>
      </c>
      <c r="S9">
        <v>0</v>
      </c>
      <c r="T9">
        <v>0</v>
      </c>
      <c r="U9">
        <v>58</v>
      </c>
      <c r="V9">
        <v>32</v>
      </c>
      <c r="W9">
        <v>0</v>
      </c>
      <c r="X9">
        <v>26</v>
      </c>
    </row>
    <row r="10" spans="1:24" x14ac:dyDescent="0.2">
      <c r="A10">
        <v>9</v>
      </c>
      <c r="B10" s="1">
        <v>40737</v>
      </c>
      <c r="C10" t="s">
        <v>24</v>
      </c>
      <c r="D10">
        <v>1</v>
      </c>
      <c r="E10">
        <v>1</v>
      </c>
      <c r="F10">
        <v>4</v>
      </c>
      <c r="G10" t="s">
        <v>27</v>
      </c>
      <c r="H10">
        <v>9</v>
      </c>
      <c r="I10">
        <v>22</v>
      </c>
      <c r="J10">
        <v>5</v>
      </c>
      <c r="K10">
        <v>9</v>
      </c>
      <c r="L10">
        <v>0</v>
      </c>
      <c r="M10">
        <v>0</v>
      </c>
      <c r="N10">
        <v>0</v>
      </c>
      <c r="O10">
        <v>22</v>
      </c>
      <c r="P10">
        <v>0</v>
      </c>
      <c r="Q10">
        <v>0</v>
      </c>
      <c r="R10">
        <v>0</v>
      </c>
      <c r="S10">
        <v>0</v>
      </c>
      <c r="T10">
        <v>0</v>
      </c>
      <c r="U10">
        <v>58</v>
      </c>
      <c r="V10">
        <v>36</v>
      </c>
      <c r="W10">
        <v>0</v>
      </c>
      <c r="X10">
        <v>22</v>
      </c>
    </row>
    <row r="11" spans="1:24" x14ac:dyDescent="0.2">
      <c r="A11">
        <v>10</v>
      </c>
      <c r="B11" s="1">
        <v>40739</v>
      </c>
      <c r="C11" t="s">
        <v>24</v>
      </c>
      <c r="D11">
        <v>3</v>
      </c>
      <c r="E11">
        <v>1</v>
      </c>
      <c r="F11">
        <v>6</v>
      </c>
      <c r="G11" t="s">
        <v>25</v>
      </c>
      <c r="H11">
        <v>1</v>
      </c>
      <c r="I11">
        <v>11</v>
      </c>
      <c r="J11">
        <v>4</v>
      </c>
      <c r="K11">
        <v>3</v>
      </c>
      <c r="L11">
        <v>0</v>
      </c>
      <c r="M11">
        <v>5</v>
      </c>
      <c r="N11">
        <v>27</v>
      </c>
      <c r="O11">
        <v>35</v>
      </c>
      <c r="P11">
        <v>0</v>
      </c>
      <c r="Q11">
        <v>0</v>
      </c>
      <c r="R11">
        <v>3</v>
      </c>
      <c r="S11">
        <v>0</v>
      </c>
      <c r="T11">
        <v>0</v>
      </c>
      <c r="U11">
        <v>88</v>
      </c>
      <c r="V11">
        <v>18</v>
      </c>
      <c r="W11">
        <v>35</v>
      </c>
      <c r="X11">
        <v>35</v>
      </c>
    </row>
    <row r="12" spans="1:24" x14ac:dyDescent="0.2">
      <c r="A12">
        <v>11</v>
      </c>
      <c r="B12" s="1">
        <v>40739</v>
      </c>
      <c r="C12" t="s">
        <v>24</v>
      </c>
      <c r="D12">
        <v>3</v>
      </c>
      <c r="E12">
        <v>1</v>
      </c>
      <c r="F12">
        <v>6</v>
      </c>
      <c r="G12" t="s">
        <v>25</v>
      </c>
      <c r="H12">
        <v>2</v>
      </c>
      <c r="I12">
        <v>10</v>
      </c>
      <c r="J12">
        <v>5</v>
      </c>
      <c r="K12">
        <v>1</v>
      </c>
      <c r="L12">
        <v>0</v>
      </c>
      <c r="M12">
        <v>8</v>
      </c>
      <c r="N12">
        <v>39</v>
      </c>
      <c r="O12">
        <v>42</v>
      </c>
      <c r="P12">
        <v>0</v>
      </c>
      <c r="Q12">
        <v>0</v>
      </c>
      <c r="R12">
        <v>5</v>
      </c>
      <c r="S12">
        <v>0</v>
      </c>
      <c r="T12">
        <v>0</v>
      </c>
      <c r="U12">
        <v>110</v>
      </c>
      <c r="V12">
        <v>16</v>
      </c>
      <c r="W12">
        <v>52</v>
      </c>
      <c r="X12">
        <v>42</v>
      </c>
    </row>
    <row r="13" spans="1:24" x14ac:dyDescent="0.2">
      <c r="A13">
        <v>12</v>
      </c>
      <c r="B13" s="1">
        <v>40739</v>
      </c>
      <c r="C13" t="s">
        <v>24</v>
      </c>
      <c r="D13">
        <v>3</v>
      </c>
      <c r="E13">
        <v>1</v>
      </c>
      <c r="F13">
        <v>6</v>
      </c>
      <c r="G13" t="s">
        <v>26</v>
      </c>
      <c r="H13">
        <v>3</v>
      </c>
      <c r="I13">
        <v>11</v>
      </c>
      <c r="J13">
        <v>3</v>
      </c>
      <c r="K13">
        <v>1</v>
      </c>
      <c r="L13">
        <v>0</v>
      </c>
      <c r="M13">
        <v>9</v>
      </c>
      <c r="N13">
        <v>60</v>
      </c>
      <c r="O13">
        <v>57</v>
      </c>
      <c r="P13">
        <v>0</v>
      </c>
      <c r="Q13">
        <v>0</v>
      </c>
      <c r="R13">
        <v>10</v>
      </c>
      <c r="S13">
        <v>0</v>
      </c>
      <c r="T13">
        <v>0</v>
      </c>
      <c r="U13">
        <v>151</v>
      </c>
      <c r="V13">
        <v>15</v>
      </c>
      <c r="W13">
        <v>79</v>
      </c>
      <c r="X13">
        <v>57</v>
      </c>
    </row>
    <row r="14" spans="1:24" x14ac:dyDescent="0.2">
      <c r="A14">
        <v>13</v>
      </c>
      <c r="B14" s="1">
        <v>40739</v>
      </c>
      <c r="C14" t="s">
        <v>24</v>
      </c>
      <c r="D14">
        <v>3</v>
      </c>
      <c r="E14">
        <v>1</v>
      </c>
      <c r="F14">
        <v>6</v>
      </c>
      <c r="G14" t="s">
        <v>25</v>
      </c>
      <c r="H14">
        <v>4</v>
      </c>
      <c r="I14">
        <v>7</v>
      </c>
      <c r="J14">
        <v>0</v>
      </c>
      <c r="K14">
        <v>2</v>
      </c>
      <c r="L14">
        <v>0</v>
      </c>
      <c r="M14">
        <v>4</v>
      </c>
      <c r="N14">
        <v>32</v>
      </c>
      <c r="O14">
        <v>54</v>
      </c>
      <c r="P14">
        <v>0</v>
      </c>
      <c r="Q14">
        <v>0</v>
      </c>
      <c r="R14">
        <v>6</v>
      </c>
      <c r="S14">
        <v>0</v>
      </c>
      <c r="T14">
        <v>0</v>
      </c>
      <c r="U14">
        <v>105</v>
      </c>
      <c r="V14">
        <v>9</v>
      </c>
      <c r="W14">
        <v>42</v>
      </c>
      <c r="X14">
        <v>54</v>
      </c>
    </row>
    <row r="15" spans="1:24" x14ac:dyDescent="0.2">
      <c r="A15">
        <v>14</v>
      </c>
      <c r="B15" s="1">
        <v>40739</v>
      </c>
      <c r="C15" t="s">
        <v>24</v>
      </c>
      <c r="D15">
        <v>3</v>
      </c>
      <c r="E15">
        <v>1</v>
      </c>
      <c r="F15">
        <v>6</v>
      </c>
      <c r="G15" t="s">
        <v>26</v>
      </c>
      <c r="H15">
        <v>5</v>
      </c>
      <c r="I15">
        <v>10</v>
      </c>
      <c r="J15">
        <v>4</v>
      </c>
      <c r="K15">
        <v>2</v>
      </c>
      <c r="L15">
        <v>0</v>
      </c>
      <c r="M15">
        <v>3</v>
      </c>
      <c r="N15">
        <v>32</v>
      </c>
      <c r="O15">
        <v>80</v>
      </c>
      <c r="P15">
        <v>0</v>
      </c>
      <c r="Q15">
        <v>0</v>
      </c>
      <c r="R15">
        <v>3</v>
      </c>
      <c r="S15">
        <v>0</v>
      </c>
      <c r="T15">
        <v>0</v>
      </c>
      <c r="U15">
        <v>134</v>
      </c>
      <c r="V15">
        <v>16</v>
      </c>
      <c r="W15">
        <v>38</v>
      </c>
      <c r="X15">
        <v>80</v>
      </c>
    </row>
    <row r="16" spans="1:24" x14ac:dyDescent="0.2">
      <c r="A16">
        <v>15</v>
      </c>
      <c r="B16" s="1">
        <v>40739</v>
      </c>
      <c r="C16" t="s">
        <v>24</v>
      </c>
      <c r="D16">
        <v>3</v>
      </c>
      <c r="E16">
        <v>1</v>
      </c>
      <c r="F16">
        <v>6</v>
      </c>
      <c r="G16" t="s">
        <v>27</v>
      </c>
      <c r="H16">
        <v>6</v>
      </c>
      <c r="I16">
        <v>10</v>
      </c>
      <c r="J16">
        <v>2</v>
      </c>
      <c r="K16">
        <v>5</v>
      </c>
      <c r="L16">
        <v>0</v>
      </c>
      <c r="M16">
        <v>0</v>
      </c>
      <c r="N16">
        <v>33</v>
      </c>
      <c r="O16">
        <v>78</v>
      </c>
      <c r="P16">
        <v>0</v>
      </c>
      <c r="Q16">
        <v>0</v>
      </c>
      <c r="R16">
        <v>8</v>
      </c>
      <c r="S16">
        <v>0</v>
      </c>
      <c r="T16">
        <v>0</v>
      </c>
      <c r="U16">
        <v>136</v>
      </c>
      <c r="V16">
        <v>17</v>
      </c>
      <c r="W16">
        <v>41</v>
      </c>
      <c r="X16">
        <v>78</v>
      </c>
    </row>
    <row r="17" spans="1:24" x14ac:dyDescent="0.2">
      <c r="A17">
        <v>16</v>
      </c>
      <c r="B17" s="1">
        <v>40739</v>
      </c>
      <c r="C17" t="s">
        <v>24</v>
      </c>
      <c r="D17">
        <v>3</v>
      </c>
      <c r="E17">
        <v>1</v>
      </c>
      <c r="F17">
        <v>6</v>
      </c>
      <c r="G17" t="s">
        <v>27</v>
      </c>
      <c r="H17">
        <v>7</v>
      </c>
      <c r="I17">
        <v>11</v>
      </c>
      <c r="J17">
        <v>3</v>
      </c>
      <c r="K17">
        <v>2</v>
      </c>
      <c r="L17">
        <v>0</v>
      </c>
      <c r="M17">
        <v>0</v>
      </c>
      <c r="N17">
        <v>40</v>
      </c>
      <c r="O17">
        <v>61</v>
      </c>
      <c r="P17">
        <v>0</v>
      </c>
      <c r="Q17">
        <v>0</v>
      </c>
      <c r="R17">
        <v>2</v>
      </c>
      <c r="S17">
        <v>0</v>
      </c>
      <c r="T17">
        <v>0</v>
      </c>
      <c r="U17">
        <v>119</v>
      </c>
      <c r="V17">
        <v>16</v>
      </c>
      <c r="W17">
        <v>42</v>
      </c>
      <c r="X17">
        <v>61</v>
      </c>
    </row>
    <row r="18" spans="1:24" x14ac:dyDescent="0.2">
      <c r="A18">
        <v>17</v>
      </c>
      <c r="B18" s="1">
        <v>40739</v>
      </c>
      <c r="C18" t="s">
        <v>24</v>
      </c>
      <c r="D18">
        <v>3</v>
      </c>
      <c r="E18">
        <v>1</v>
      </c>
      <c r="F18">
        <v>6</v>
      </c>
      <c r="G18" t="s">
        <v>26</v>
      </c>
      <c r="H18">
        <v>8</v>
      </c>
      <c r="I18">
        <v>17</v>
      </c>
      <c r="J18">
        <v>3</v>
      </c>
      <c r="K18">
        <v>7</v>
      </c>
      <c r="L18">
        <v>0</v>
      </c>
      <c r="M18">
        <v>0</v>
      </c>
      <c r="N18">
        <v>4</v>
      </c>
      <c r="O18">
        <v>29</v>
      </c>
      <c r="P18">
        <v>0</v>
      </c>
      <c r="Q18">
        <v>0</v>
      </c>
      <c r="R18">
        <v>0</v>
      </c>
      <c r="S18">
        <v>0</v>
      </c>
      <c r="T18">
        <v>0</v>
      </c>
      <c r="U18">
        <v>60</v>
      </c>
      <c r="V18">
        <v>27</v>
      </c>
      <c r="W18">
        <v>4</v>
      </c>
      <c r="X18">
        <v>29</v>
      </c>
    </row>
    <row r="19" spans="1:24" x14ac:dyDescent="0.2">
      <c r="A19">
        <v>18</v>
      </c>
      <c r="B19" s="1">
        <v>40739</v>
      </c>
      <c r="C19" t="s">
        <v>24</v>
      </c>
      <c r="D19">
        <v>3</v>
      </c>
      <c r="E19">
        <v>1</v>
      </c>
      <c r="F19">
        <v>6</v>
      </c>
      <c r="G19" t="s">
        <v>27</v>
      </c>
      <c r="H19">
        <v>9</v>
      </c>
      <c r="I19">
        <v>23</v>
      </c>
      <c r="J19">
        <v>3</v>
      </c>
      <c r="K19">
        <v>8</v>
      </c>
      <c r="L19">
        <v>0</v>
      </c>
      <c r="M19">
        <v>0</v>
      </c>
      <c r="N19">
        <v>10</v>
      </c>
      <c r="O19">
        <v>15</v>
      </c>
      <c r="P19">
        <v>0</v>
      </c>
      <c r="Q19">
        <v>0</v>
      </c>
      <c r="R19">
        <v>0</v>
      </c>
      <c r="S19">
        <v>0</v>
      </c>
      <c r="T19">
        <v>0</v>
      </c>
      <c r="U19">
        <v>59</v>
      </c>
      <c r="V19">
        <v>34</v>
      </c>
      <c r="W19">
        <v>10</v>
      </c>
      <c r="X19">
        <v>15</v>
      </c>
    </row>
    <row r="20" spans="1:24" x14ac:dyDescent="0.2">
      <c r="A20">
        <v>19</v>
      </c>
      <c r="B20" s="1">
        <v>40742</v>
      </c>
      <c r="C20" t="s">
        <v>24</v>
      </c>
      <c r="D20">
        <v>6</v>
      </c>
      <c r="E20">
        <v>2</v>
      </c>
      <c r="F20">
        <v>2</v>
      </c>
      <c r="G20" t="s">
        <v>25</v>
      </c>
      <c r="H20">
        <v>1</v>
      </c>
      <c r="I20">
        <v>13</v>
      </c>
      <c r="J20">
        <v>3</v>
      </c>
      <c r="K20">
        <v>4</v>
      </c>
      <c r="L20">
        <v>0</v>
      </c>
      <c r="M20">
        <v>10</v>
      </c>
      <c r="N20">
        <v>20</v>
      </c>
      <c r="O20">
        <v>92</v>
      </c>
      <c r="P20">
        <v>0</v>
      </c>
      <c r="Q20">
        <v>0</v>
      </c>
      <c r="R20">
        <v>5</v>
      </c>
      <c r="S20">
        <v>0</v>
      </c>
      <c r="T20">
        <v>0</v>
      </c>
      <c r="U20">
        <v>147</v>
      </c>
      <c r="V20">
        <v>20</v>
      </c>
      <c r="W20">
        <v>35</v>
      </c>
      <c r="X20">
        <v>92</v>
      </c>
    </row>
    <row r="21" spans="1:24" x14ac:dyDescent="0.2">
      <c r="A21">
        <v>20</v>
      </c>
      <c r="B21" s="1">
        <v>40742</v>
      </c>
      <c r="C21" t="s">
        <v>24</v>
      </c>
      <c r="D21">
        <v>6</v>
      </c>
      <c r="E21">
        <v>2</v>
      </c>
      <c r="F21">
        <v>2</v>
      </c>
      <c r="G21" t="s">
        <v>25</v>
      </c>
      <c r="H21">
        <v>2</v>
      </c>
      <c r="I21">
        <v>9</v>
      </c>
      <c r="J21">
        <v>4</v>
      </c>
      <c r="K21">
        <v>1</v>
      </c>
      <c r="L21">
        <v>1</v>
      </c>
      <c r="M21">
        <v>8</v>
      </c>
      <c r="N21">
        <v>21</v>
      </c>
      <c r="O21">
        <v>37</v>
      </c>
      <c r="P21">
        <v>0</v>
      </c>
      <c r="Q21">
        <v>0</v>
      </c>
      <c r="R21">
        <v>4</v>
      </c>
      <c r="S21">
        <v>0</v>
      </c>
      <c r="T21">
        <v>0</v>
      </c>
      <c r="U21">
        <v>85</v>
      </c>
      <c r="V21">
        <v>14</v>
      </c>
      <c r="W21">
        <v>34</v>
      </c>
      <c r="X21">
        <v>37</v>
      </c>
    </row>
    <row r="22" spans="1:24" x14ac:dyDescent="0.2">
      <c r="A22">
        <v>21</v>
      </c>
      <c r="B22" s="1">
        <v>40742</v>
      </c>
      <c r="C22" t="s">
        <v>24</v>
      </c>
      <c r="D22">
        <v>6</v>
      </c>
      <c r="E22">
        <v>2</v>
      </c>
      <c r="F22">
        <v>2</v>
      </c>
      <c r="G22" t="s">
        <v>26</v>
      </c>
      <c r="H22">
        <v>3</v>
      </c>
      <c r="I22">
        <v>11</v>
      </c>
      <c r="J22">
        <v>2</v>
      </c>
      <c r="K22">
        <v>1</v>
      </c>
      <c r="L22">
        <v>1</v>
      </c>
      <c r="M22">
        <v>12</v>
      </c>
      <c r="N22">
        <v>32</v>
      </c>
      <c r="O22">
        <v>39</v>
      </c>
      <c r="P22">
        <v>0</v>
      </c>
      <c r="Q22">
        <v>0</v>
      </c>
      <c r="R22">
        <v>5</v>
      </c>
      <c r="S22">
        <v>0</v>
      </c>
      <c r="T22">
        <v>0</v>
      </c>
      <c r="U22">
        <v>103</v>
      </c>
      <c r="V22">
        <v>14</v>
      </c>
      <c r="W22">
        <v>50</v>
      </c>
      <c r="X22">
        <v>39</v>
      </c>
    </row>
    <row r="23" spans="1:24" x14ac:dyDescent="0.2">
      <c r="A23">
        <v>22</v>
      </c>
      <c r="B23" s="1">
        <v>40742</v>
      </c>
      <c r="C23" t="s">
        <v>24</v>
      </c>
      <c r="D23">
        <v>6</v>
      </c>
      <c r="E23">
        <v>2</v>
      </c>
      <c r="F23">
        <v>2</v>
      </c>
      <c r="G23" t="s">
        <v>25</v>
      </c>
      <c r="H23">
        <v>4</v>
      </c>
      <c r="I23">
        <v>8</v>
      </c>
      <c r="J23">
        <v>0</v>
      </c>
      <c r="K23">
        <v>2</v>
      </c>
      <c r="L23">
        <v>0</v>
      </c>
      <c r="M23">
        <v>4</v>
      </c>
      <c r="N23">
        <v>34</v>
      </c>
      <c r="O23">
        <v>83</v>
      </c>
      <c r="P23">
        <v>0</v>
      </c>
      <c r="Q23">
        <v>0</v>
      </c>
      <c r="R23">
        <v>6</v>
      </c>
      <c r="S23">
        <v>0</v>
      </c>
      <c r="T23">
        <v>0</v>
      </c>
      <c r="U23">
        <v>137</v>
      </c>
      <c r="V23">
        <v>10</v>
      </c>
      <c r="W23">
        <v>44</v>
      </c>
      <c r="X23">
        <v>83</v>
      </c>
    </row>
    <row r="24" spans="1:24" x14ac:dyDescent="0.2">
      <c r="A24">
        <v>23</v>
      </c>
      <c r="B24" s="1">
        <v>40742</v>
      </c>
      <c r="C24" t="s">
        <v>24</v>
      </c>
      <c r="D24">
        <v>6</v>
      </c>
      <c r="E24">
        <v>2</v>
      </c>
      <c r="F24">
        <v>2</v>
      </c>
      <c r="G24" t="s">
        <v>26</v>
      </c>
      <c r="H24">
        <v>5</v>
      </c>
      <c r="I24">
        <v>9</v>
      </c>
      <c r="J24">
        <v>3</v>
      </c>
      <c r="K24">
        <v>1</v>
      </c>
      <c r="L24">
        <v>1</v>
      </c>
      <c r="M24">
        <v>9</v>
      </c>
      <c r="N24">
        <v>29</v>
      </c>
      <c r="O24">
        <v>63</v>
      </c>
      <c r="P24">
        <v>0</v>
      </c>
      <c r="Q24">
        <v>0</v>
      </c>
      <c r="R24">
        <v>7</v>
      </c>
      <c r="S24">
        <v>0</v>
      </c>
      <c r="T24">
        <v>0</v>
      </c>
      <c r="U24">
        <v>122</v>
      </c>
      <c r="V24">
        <v>13</v>
      </c>
      <c r="W24">
        <v>46</v>
      </c>
      <c r="X24">
        <v>63</v>
      </c>
    </row>
    <row r="25" spans="1:24" x14ac:dyDescent="0.2">
      <c r="A25">
        <v>24</v>
      </c>
      <c r="B25" s="1">
        <v>40742</v>
      </c>
      <c r="C25" t="s">
        <v>24</v>
      </c>
      <c r="D25">
        <v>6</v>
      </c>
      <c r="E25">
        <v>2</v>
      </c>
      <c r="F25">
        <v>2</v>
      </c>
      <c r="G25" t="s">
        <v>27</v>
      </c>
      <c r="H25">
        <v>6</v>
      </c>
      <c r="I25">
        <v>7</v>
      </c>
      <c r="J25">
        <v>1</v>
      </c>
      <c r="K25">
        <v>4</v>
      </c>
      <c r="L25">
        <v>0</v>
      </c>
      <c r="M25">
        <v>5</v>
      </c>
      <c r="N25">
        <v>25</v>
      </c>
      <c r="O25">
        <v>89</v>
      </c>
      <c r="P25">
        <v>0</v>
      </c>
      <c r="Q25">
        <v>0</v>
      </c>
      <c r="R25">
        <v>10</v>
      </c>
      <c r="S25">
        <v>0</v>
      </c>
      <c r="T25">
        <v>0</v>
      </c>
      <c r="U25">
        <v>141</v>
      </c>
      <c r="V25">
        <v>12</v>
      </c>
      <c r="W25">
        <v>40</v>
      </c>
      <c r="X25">
        <v>89</v>
      </c>
    </row>
    <row r="26" spans="1:24" x14ac:dyDescent="0.2">
      <c r="A26">
        <v>25</v>
      </c>
      <c r="B26" s="1">
        <v>40742</v>
      </c>
      <c r="C26" t="s">
        <v>24</v>
      </c>
      <c r="D26">
        <v>6</v>
      </c>
      <c r="E26">
        <v>2</v>
      </c>
      <c r="F26">
        <v>2</v>
      </c>
      <c r="G26" t="s">
        <v>27</v>
      </c>
      <c r="H26">
        <v>7</v>
      </c>
      <c r="I26">
        <v>11</v>
      </c>
      <c r="J26">
        <v>3</v>
      </c>
      <c r="K26">
        <v>2</v>
      </c>
      <c r="L26">
        <v>0</v>
      </c>
      <c r="M26">
        <v>5</v>
      </c>
      <c r="N26">
        <v>28</v>
      </c>
      <c r="O26">
        <v>65</v>
      </c>
      <c r="P26">
        <v>0</v>
      </c>
      <c r="Q26">
        <v>0</v>
      </c>
      <c r="R26">
        <v>11</v>
      </c>
      <c r="S26">
        <v>0</v>
      </c>
      <c r="T26">
        <v>0</v>
      </c>
      <c r="U26">
        <v>125</v>
      </c>
      <c r="V26">
        <v>16</v>
      </c>
      <c r="W26">
        <v>44</v>
      </c>
      <c r="X26">
        <v>65</v>
      </c>
    </row>
    <row r="27" spans="1:24" x14ac:dyDescent="0.2">
      <c r="A27">
        <v>26</v>
      </c>
      <c r="B27" s="1">
        <v>40742</v>
      </c>
      <c r="C27" t="s">
        <v>24</v>
      </c>
      <c r="D27">
        <v>6</v>
      </c>
      <c r="E27">
        <v>2</v>
      </c>
      <c r="F27">
        <v>2</v>
      </c>
      <c r="G27" t="s">
        <v>26</v>
      </c>
      <c r="H27">
        <v>8</v>
      </c>
      <c r="I27">
        <v>12</v>
      </c>
      <c r="J27">
        <v>1</v>
      </c>
      <c r="K27">
        <v>5</v>
      </c>
      <c r="L27">
        <v>0</v>
      </c>
      <c r="M27">
        <v>3</v>
      </c>
      <c r="N27">
        <v>21</v>
      </c>
      <c r="O27">
        <v>28</v>
      </c>
      <c r="P27">
        <v>0</v>
      </c>
      <c r="Q27">
        <v>0</v>
      </c>
      <c r="R27">
        <v>0</v>
      </c>
      <c r="S27">
        <v>0</v>
      </c>
      <c r="T27">
        <v>0</v>
      </c>
      <c r="U27">
        <v>70</v>
      </c>
      <c r="V27">
        <v>18</v>
      </c>
      <c r="W27">
        <v>24</v>
      </c>
      <c r="X27">
        <v>28</v>
      </c>
    </row>
    <row r="28" spans="1:24" x14ac:dyDescent="0.2">
      <c r="A28">
        <v>27</v>
      </c>
      <c r="B28" s="1">
        <v>40742</v>
      </c>
      <c r="C28" t="s">
        <v>24</v>
      </c>
      <c r="D28">
        <v>6</v>
      </c>
      <c r="E28">
        <v>2</v>
      </c>
      <c r="F28">
        <v>2</v>
      </c>
      <c r="G28" t="s">
        <v>27</v>
      </c>
      <c r="H28">
        <v>9</v>
      </c>
      <c r="I28">
        <v>16</v>
      </c>
      <c r="J28">
        <v>2</v>
      </c>
      <c r="K28">
        <v>3</v>
      </c>
      <c r="L28">
        <v>0</v>
      </c>
      <c r="M28">
        <v>4</v>
      </c>
      <c r="N28">
        <v>26</v>
      </c>
      <c r="O28">
        <v>20</v>
      </c>
      <c r="P28">
        <v>0</v>
      </c>
      <c r="Q28">
        <v>0</v>
      </c>
      <c r="R28">
        <v>0</v>
      </c>
      <c r="S28">
        <v>0</v>
      </c>
      <c r="T28">
        <v>0</v>
      </c>
      <c r="U28">
        <v>71</v>
      </c>
      <c r="V28">
        <v>21</v>
      </c>
      <c r="W28">
        <v>30</v>
      </c>
      <c r="X28">
        <v>20</v>
      </c>
    </row>
    <row r="29" spans="1:24" x14ac:dyDescent="0.2">
      <c r="A29">
        <v>28</v>
      </c>
      <c r="B29" s="1">
        <v>40744</v>
      </c>
      <c r="C29" t="s">
        <v>24</v>
      </c>
      <c r="D29">
        <v>8</v>
      </c>
      <c r="E29">
        <v>2</v>
      </c>
      <c r="F29">
        <v>4</v>
      </c>
      <c r="G29" t="s">
        <v>25</v>
      </c>
      <c r="H29">
        <v>1</v>
      </c>
      <c r="I29">
        <v>13</v>
      </c>
      <c r="J29">
        <v>3</v>
      </c>
      <c r="K29">
        <v>2</v>
      </c>
      <c r="L29">
        <v>0</v>
      </c>
      <c r="M29">
        <v>6</v>
      </c>
      <c r="N29">
        <v>14</v>
      </c>
      <c r="O29">
        <v>103</v>
      </c>
      <c r="P29">
        <v>0</v>
      </c>
      <c r="Q29">
        <v>0</v>
      </c>
      <c r="R29">
        <v>3</v>
      </c>
      <c r="S29">
        <v>0</v>
      </c>
      <c r="T29">
        <v>0</v>
      </c>
      <c r="U29">
        <v>144</v>
      </c>
      <c r="V29">
        <v>18</v>
      </c>
      <c r="W29">
        <v>23</v>
      </c>
      <c r="X29">
        <v>103</v>
      </c>
    </row>
    <row r="30" spans="1:24" x14ac:dyDescent="0.2">
      <c r="A30">
        <v>29</v>
      </c>
      <c r="B30" s="1">
        <v>40744</v>
      </c>
      <c r="C30" t="s">
        <v>24</v>
      </c>
      <c r="D30">
        <v>8</v>
      </c>
      <c r="E30">
        <v>2</v>
      </c>
      <c r="F30">
        <v>4</v>
      </c>
      <c r="G30" t="s">
        <v>25</v>
      </c>
      <c r="H30">
        <v>2</v>
      </c>
      <c r="I30">
        <v>9</v>
      </c>
      <c r="J30">
        <v>5</v>
      </c>
      <c r="K30">
        <v>1</v>
      </c>
      <c r="L30">
        <v>3</v>
      </c>
      <c r="M30">
        <v>9</v>
      </c>
      <c r="N30">
        <v>25</v>
      </c>
      <c r="O30">
        <v>12</v>
      </c>
      <c r="P30">
        <v>0</v>
      </c>
      <c r="Q30">
        <v>3</v>
      </c>
      <c r="R30">
        <v>0</v>
      </c>
      <c r="S30">
        <v>0</v>
      </c>
      <c r="T30">
        <v>0</v>
      </c>
      <c r="U30">
        <v>67</v>
      </c>
      <c r="V30">
        <v>15</v>
      </c>
      <c r="W30">
        <v>40</v>
      </c>
      <c r="X30">
        <v>12</v>
      </c>
    </row>
    <row r="31" spans="1:24" x14ac:dyDescent="0.2">
      <c r="A31">
        <v>30</v>
      </c>
      <c r="B31" s="1">
        <v>40744</v>
      </c>
      <c r="C31" t="s">
        <v>24</v>
      </c>
      <c r="D31">
        <v>8</v>
      </c>
      <c r="E31">
        <v>2</v>
      </c>
      <c r="F31">
        <v>4</v>
      </c>
      <c r="G31" t="s">
        <v>26</v>
      </c>
      <c r="H31">
        <v>3</v>
      </c>
      <c r="I31">
        <v>9</v>
      </c>
      <c r="J31">
        <v>1</v>
      </c>
      <c r="K31">
        <v>1</v>
      </c>
      <c r="L31">
        <v>1</v>
      </c>
      <c r="M31">
        <v>9</v>
      </c>
      <c r="N31">
        <v>22</v>
      </c>
      <c r="O31">
        <v>62</v>
      </c>
      <c r="P31">
        <v>0</v>
      </c>
      <c r="Q31">
        <v>4</v>
      </c>
      <c r="R31">
        <v>0</v>
      </c>
      <c r="S31">
        <v>0</v>
      </c>
      <c r="T31">
        <v>0</v>
      </c>
      <c r="U31">
        <v>109</v>
      </c>
      <c r="V31">
        <v>11</v>
      </c>
      <c r="W31">
        <v>36</v>
      </c>
      <c r="X31">
        <v>62</v>
      </c>
    </row>
    <row r="32" spans="1:24" x14ac:dyDescent="0.2">
      <c r="A32">
        <v>31</v>
      </c>
      <c r="B32" s="1">
        <v>40744</v>
      </c>
      <c r="C32" t="s">
        <v>24</v>
      </c>
      <c r="D32">
        <v>8</v>
      </c>
      <c r="E32">
        <v>2</v>
      </c>
      <c r="F32">
        <v>4</v>
      </c>
      <c r="G32" t="s">
        <v>25</v>
      </c>
      <c r="H32">
        <v>4</v>
      </c>
      <c r="I32">
        <v>6</v>
      </c>
      <c r="J32">
        <v>0</v>
      </c>
      <c r="K32">
        <v>2</v>
      </c>
      <c r="L32">
        <v>0</v>
      </c>
      <c r="M32">
        <v>7</v>
      </c>
      <c r="N32">
        <v>17</v>
      </c>
      <c r="O32">
        <v>48</v>
      </c>
      <c r="P32">
        <v>0</v>
      </c>
      <c r="Q32">
        <v>2</v>
      </c>
      <c r="R32">
        <v>0</v>
      </c>
      <c r="S32">
        <v>0</v>
      </c>
      <c r="T32">
        <v>0</v>
      </c>
      <c r="U32">
        <v>82</v>
      </c>
      <c r="V32">
        <v>8</v>
      </c>
      <c r="W32">
        <v>26</v>
      </c>
      <c r="X32">
        <v>48</v>
      </c>
    </row>
    <row r="33" spans="1:24" x14ac:dyDescent="0.2">
      <c r="A33">
        <v>32</v>
      </c>
      <c r="B33" s="1">
        <v>40744</v>
      </c>
      <c r="C33" t="s">
        <v>24</v>
      </c>
      <c r="D33">
        <v>8</v>
      </c>
      <c r="E33">
        <v>2</v>
      </c>
      <c r="F33">
        <v>4</v>
      </c>
      <c r="G33" t="s">
        <v>26</v>
      </c>
      <c r="H33">
        <v>5</v>
      </c>
      <c r="I33">
        <v>6</v>
      </c>
      <c r="J33">
        <v>3</v>
      </c>
      <c r="K33">
        <v>0</v>
      </c>
      <c r="L33">
        <v>2</v>
      </c>
      <c r="M33">
        <v>17</v>
      </c>
      <c r="N33">
        <v>29</v>
      </c>
      <c r="O33">
        <v>40</v>
      </c>
      <c r="P33">
        <v>0</v>
      </c>
      <c r="Q33">
        <v>5</v>
      </c>
      <c r="R33">
        <v>3</v>
      </c>
      <c r="S33">
        <v>0</v>
      </c>
      <c r="T33">
        <v>0</v>
      </c>
      <c r="U33">
        <v>105</v>
      </c>
      <c r="V33">
        <v>9</v>
      </c>
      <c r="W33">
        <v>56</v>
      </c>
      <c r="X33">
        <v>40</v>
      </c>
    </row>
    <row r="34" spans="1:24" x14ac:dyDescent="0.2">
      <c r="A34">
        <v>33</v>
      </c>
      <c r="B34" s="1">
        <v>40744</v>
      </c>
      <c r="C34" t="s">
        <v>24</v>
      </c>
      <c r="D34">
        <v>8</v>
      </c>
      <c r="E34">
        <v>2</v>
      </c>
      <c r="F34">
        <v>4</v>
      </c>
      <c r="G34" t="s">
        <v>27</v>
      </c>
      <c r="H34">
        <v>6</v>
      </c>
      <c r="I34">
        <v>7</v>
      </c>
      <c r="J34">
        <v>1</v>
      </c>
      <c r="K34">
        <v>1</v>
      </c>
      <c r="L34">
        <v>0</v>
      </c>
      <c r="M34">
        <v>4</v>
      </c>
      <c r="N34">
        <v>36</v>
      </c>
      <c r="O34">
        <v>38</v>
      </c>
      <c r="P34">
        <v>0</v>
      </c>
      <c r="Q34">
        <v>0</v>
      </c>
      <c r="R34">
        <v>2</v>
      </c>
      <c r="S34">
        <v>0</v>
      </c>
      <c r="T34">
        <v>0</v>
      </c>
      <c r="U34">
        <v>89</v>
      </c>
      <c r="V34">
        <v>9</v>
      </c>
      <c r="W34">
        <v>42</v>
      </c>
      <c r="X34">
        <v>38</v>
      </c>
    </row>
    <row r="35" spans="1:24" x14ac:dyDescent="0.2">
      <c r="A35">
        <v>34</v>
      </c>
      <c r="B35" s="1">
        <v>40744</v>
      </c>
      <c r="C35" t="s">
        <v>24</v>
      </c>
      <c r="D35">
        <v>8</v>
      </c>
      <c r="E35">
        <v>2</v>
      </c>
      <c r="F35">
        <v>4</v>
      </c>
      <c r="G35" t="s">
        <v>27</v>
      </c>
      <c r="H35">
        <v>7</v>
      </c>
      <c r="I35">
        <v>11</v>
      </c>
      <c r="J35">
        <v>3</v>
      </c>
      <c r="K35">
        <v>2</v>
      </c>
      <c r="L35">
        <v>1</v>
      </c>
      <c r="M35">
        <v>11</v>
      </c>
      <c r="N35">
        <v>28</v>
      </c>
      <c r="O35">
        <v>89</v>
      </c>
      <c r="P35">
        <v>0</v>
      </c>
      <c r="Q35">
        <v>0</v>
      </c>
      <c r="R35">
        <v>4</v>
      </c>
      <c r="S35">
        <v>0</v>
      </c>
      <c r="T35">
        <v>0</v>
      </c>
      <c r="U35">
        <v>149</v>
      </c>
      <c r="V35">
        <v>16</v>
      </c>
      <c r="W35">
        <v>44</v>
      </c>
      <c r="X35">
        <v>89</v>
      </c>
    </row>
    <row r="36" spans="1:24" x14ac:dyDescent="0.2">
      <c r="A36">
        <v>35</v>
      </c>
      <c r="B36" s="1">
        <v>40744</v>
      </c>
      <c r="C36" t="s">
        <v>24</v>
      </c>
      <c r="D36">
        <v>8</v>
      </c>
      <c r="E36">
        <v>2</v>
      </c>
      <c r="F36">
        <v>4</v>
      </c>
      <c r="G36" t="s">
        <v>26</v>
      </c>
      <c r="H36">
        <v>8</v>
      </c>
      <c r="I36">
        <v>11</v>
      </c>
      <c r="J36">
        <v>1</v>
      </c>
      <c r="K36">
        <v>5</v>
      </c>
      <c r="L36">
        <v>0</v>
      </c>
      <c r="M36">
        <v>3</v>
      </c>
      <c r="N36">
        <v>23</v>
      </c>
      <c r="O36">
        <v>48</v>
      </c>
      <c r="P36">
        <v>0</v>
      </c>
      <c r="Q36">
        <v>0</v>
      </c>
      <c r="R36">
        <v>4</v>
      </c>
      <c r="S36">
        <v>0</v>
      </c>
      <c r="T36">
        <v>0</v>
      </c>
      <c r="U36">
        <v>95</v>
      </c>
      <c r="V36">
        <v>17</v>
      </c>
      <c r="W36">
        <v>30</v>
      </c>
      <c r="X36">
        <v>48</v>
      </c>
    </row>
    <row r="37" spans="1:24" x14ac:dyDescent="0.2">
      <c r="A37">
        <v>36</v>
      </c>
      <c r="B37" s="1">
        <v>40744</v>
      </c>
      <c r="C37" t="s">
        <v>24</v>
      </c>
      <c r="D37">
        <v>8</v>
      </c>
      <c r="E37">
        <v>2</v>
      </c>
      <c r="F37">
        <v>4</v>
      </c>
      <c r="G37" t="s">
        <v>27</v>
      </c>
      <c r="H37">
        <v>9</v>
      </c>
      <c r="I37">
        <v>19</v>
      </c>
      <c r="J37">
        <v>2</v>
      </c>
      <c r="K37">
        <v>4</v>
      </c>
      <c r="L37">
        <v>0</v>
      </c>
      <c r="M37">
        <v>4</v>
      </c>
      <c r="N37">
        <v>44</v>
      </c>
      <c r="O37">
        <v>38</v>
      </c>
      <c r="P37">
        <v>0</v>
      </c>
      <c r="Q37">
        <v>0</v>
      </c>
      <c r="R37">
        <v>2</v>
      </c>
      <c r="S37">
        <v>0</v>
      </c>
      <c r="T37">
        <v>0</v>
      </c>
      <c r="U37">
        <v>113</v>
      </c>
      <c r="V37">
        <v>25</v>
      </c>
      <c r="W37">
        <v>50</v>
      </c>
      <c r="X37">
        <v>38</v>
      </c>
    </row>
    <row r="38" spans="1:24" x14ac:dyDescent="0.2">
      <c r="A38">
        <v>37</v>
      </c>
      <c r="B38" s="1">
        <v>40746</v>
      </c>
      <c r="C38" t="s">
        <v>24</v>
      </c>
      <c r="D38">
        <v>10</v>
      </c>
      <c r="E38">
        <v>2</v>
      </c>
      <c r="F38">
        <v>6</v>
      </c>
      <c r="G38" t="s">
        <v>25</v>
      </c>
      <c r="H38">
        <v>1</v>
      </c>
      <c r="I38">
        <v>11</v>
      </c>
      <c r="J38">
        <v>1</v>
      </c>
      <c r="K38">
        <v>2</v>
      </c>
      <c r="L38">
        <v>0</v>
      </c>
      <c r="M38">
        <v>10</v>
      </c>
      <c r="N38">
        <v>31</v>
      </c>
      <c r="O38">
        <v>89</v>
      </c>
      <c r="P38">
        <v>0</v>
      </c>
      <c r="Q38">
        <v>3</v>
      </c>
      <c r="R38">
        <v>3</v>
      </c>
      <c r="S38">
        <v>0</v>
      </c>
      <c r="T38">
        <v>0</v>
      </c>
      <c r="U38">
        <v>150</v>
      </c>
      <c r="V38">
        <v>14</v>
      </c>
      <c r="W38">
        <v>47</v>
      </c>
      <c r="X38">
        <v>89</v>
      </c>
    </row>
    <row r="39" spans="1:24" x14ac:dyDescent="0.2">
      <c r="A39">
        <v>38</v>
      </c>
      <c r="B39" s="1">
        <v>40746</v>
      </c>
      <c r="C39" t="s">
        <v>24</v>
      </c>
      <c r="D39">
        <v>10</v>
      </c>
      <c r="E39">
        <v>2</v>
      </c>
      <c r="F39">
        <v>6</v>
      </c>
      <c r="G39" t="s">
        <v>25</v>
      </c>
      <c r="H39">
        <v>2</v>
      </c>
      <c r="I39">
        <v>6</v>
      </c>
      <c r="J39">
        <v>4</v>
      </c>
      <c r="K39">
        <v>1</v>
      </c>
      <c r="L39">
        <v>3</v>
      </c>
      <c r="M39">
        <v>12</v>
      </c>
      <c r="N39">
        <v>14</v>
      </c>
      <c r="O39">
        <v>18</v>
      </c>
      <c r="P39">
        <v>3</v>
      </c>
      <c r="Q39">
        <v>2</v>
      </c>
      <c r="R39">
        <v>5</v>
      </c>
      <c r="S39">
        <v>0</v>
      </c>
      <c r="T39">
        <v>0</v>
      </c>
      <c r="U39">
        <v>68</v>
      </c>
      <c r="V39">
        <v>11</v>
      </c>
      <c r="W39">
        <v>39</v>
      </c>
      <c r="X39">
        <v>18</v>
      </c>
    </row>
    <row r="40" spans="1:24" x14ac:dyDescent="0.2">
      <c r="A40">
        <v>39</v>
      </c>
      <c r="B40" s="1">
        <v>40746</v>
      </c>
      <c r="C40" t="s">
        <v>24</v>
      </c>
      <c r="D40">
        <v>10</v>
      </c>
      <c r="E40">
        <v>2</v>
      </c>
      <c r="F40">
        <v>6</v>
      </c>
      <c r="G40" t="s">
        <v>26</v>
      </c>
      <c r="H40">
        <v>3</v>
      </c>
      <c r="I40">
        <v>7</v>
      </c>
      <c r="J40">
        <v>1</v>
      </c>
      <c r="K40">
        <v>2</v>
      </c>
      <c r="L40">
        <v>0</v>
      </c>
      <c r="M40">
        <v>8</v>
      </c>
      <c r="N40">
        <v>25</v>
      </c>
      <c r="O40">
        <v>64</v>
      </c>
      <c r="P40">
        <v>1</v>
      </c>
      <c r="Q40">
        <v>4</v>
      </c>
      <c r="R40">
        <v>0</v>
      </c>
      <c r="S40">
        <v>0</v>
      </c>
      <c r="T40">
        <v>0</v>
      </c>
      <c r="U40">
        <v>112</v>
      </c>
      <c r="V40">
        <v>10</v>
      </c>
      <c r="W40">
        <v>38</v>
      </c>
      <c r="X40">
        <v>64</v>
      </c>
    </row>
    <row r="41" spans="1:24" x14ac:dyDescent="0.2">
      <c r="A41">
        <v>40</v>
      </c>
      <c r="B41" s="1">
        <v>40746</v>
      </c>
      <c r="C41" t="s">
        <v>24</v>
      </c>
      <c r="D41">
        <v>10</v>
      </c>
      <c r="E41">
        <v>2</v>
      </c>
      <c r="F41">
        <v>6</v>
      </c>
      <c r="G41" t="s">
        <v>25</v>
      </c>
      <c r="H41">
        <v>4</v>
      </c>
      <c r="I41">
        <v>8</v>
      </c>
      <c r="J41">
        <v>0</v>
      </c>
      <c r="K41">
        <v>2</v>
      </c>
      <c r="L41">
        <v>5</v>
      </c>
      <c r="M41">
        <v>4</v>
      </c>
      <c r="N41">
        <v>28</v>
      </c>
      <c r="O41">
        <v>52</v>
      </c>
      <c r="P41">
        <v>0</v>
      </c>
      <c r="Q41">
        <v>6</v>
      </c>
      <c r="R41">
        <v>0</v>
      </c>
      <c r="S41">
        <v>0</v>
      </c>
      <c r="T41">
        <v>0</v>
      </c>
      <c r="U41">
        <v>105</v>
      </c>
      <c r="V41">
        <v>10</v>
      </c>
      <c r="W41">
        <v>43</v>
      </c>
      <c r="X41">
        <v>52</v>
      </c>
    </row>
    <row r="42" spans="1:24" x14ac:dyDescent="0.2">
      <c r="A42">
        <v>41</v>
      </c>
      <c r="B42" s="1">
        <v>40746</v>
      </c>
      <c r="C42" t="s">
        <v>24</v>
      </c>
      <c r="D42">
        <v>10</v>
      </c>
      <c r="E42">
        <v>2</v>
      </c>
      <c r="F42">
        <v>6</v>
      </c>
      <c r="G42" t="s">
        <v>26</v>
      </c>
      <c r="H42">
        <v>5</v>
      </c>
      <c r="I42">
        <v>5</v>
      </c>
      <c r="J42">
        <v>5</v>
      </c>
      <c r="K42">
        <v>1</v>
      </c>
      <c r="L42">
        <v>6</v>
      </c>
      <c r="M42">
        <v>12</v>
      </c>
      <c r="N42">
        <v>58</v>
      </c>
      <c r="O42">
        <v>35</v>
      </c>
      <c r="P42">
        <v>3</v>
      </c>
      <c r="Q42">
        <v>1</v>
      </c>
      <c r="R42">
        <v>0</v>
      </c>
      <c r="S42">
        <v>0</v>
      </c>
      <c r="T42">
        <v>0</v>
      </c>
      <c r="U42">
        <v>126</v>
      </c>
      <c r="V42">
        <v>11</v>
      </c>
      <c r="W42">
        <v>80</v>
      </c>
      <c r="X42">
        <v>35</v>
      </c>
    </row>
    <row r="43" spans="1:24" x14ac:dyDescent="0.2">
      <c r="A43">
        <v>42</v>
      </c>
      <c r="B43" s="1">
        <v>40746</v>
      </c>
      <c r="C43" t="s">
        <v>24</v>
      </c>
      <c r="D43">
        <v>10</v>
      </c>
      <c r="E43">
        <v>2</v>
      </c>
      <c r="F43">
        <v>6</v>
      </c>
      <c r="G43" t="s">
        <v>27</v>
      </c>
      <c r="H43">
        <v>6</v>
      </c>
      <c r="I43">
        <v>5</v>
      </c>
      <c r="J43">
        <v>2</v>
      </c>
      <c r="K43">
        <v>3</v>
      </c>
      <c r="L43">
        <v>2</v>
      </c>
      <c r="M43">
        <v>9</v>
      </c>
      <c r="N43">
        <v>43</v>
      </c>
      <c r="O43">
        <v>23</v>
      </c>
      <c r="P43">
        <v>3</v>
      </c>
      <c r="Q43">
        <v>1</v>
      </c>
      <c r="R43">
        <v>0</v>
      </c>
      <c r="S43">
        <v>0</v>
      </c>
      <c r="T43">
        <v>0</v>
      </c>
      <c r="U43">
        <v>91</v>
      </c>
      <c r="V43">
        <v>10</v>
      </c>
      <c r="W43">
        <v>58</v>
      </c>
      <c r="X43">
        <v>23</v>
      </c>
    </row>
    <row r="44" spans="1:24" x14ac:dyDescent="0.2">
      <c r="A44">
        <v>43</v>
      </c>
      <c r="B44" s="1">
        <v>40746</v>
      </c>
      <c r="C44" t="s">
        <v>24</v>
      </c>
      <c r="D44">
        <v>10</v>
      </c>
      <c r="E44">
        <v>2</v>
      </c>
      <c r="F44">
        <v>6</v>
      </c>
      <c r="G44" t="s">
        <v>27</v>
      </c>
      <c r="H44">
        <v>7</v>
      </c>
      <c r="I44">
        <v>7</v>
      </c>
      <c r="J44">
        <v>3</v>
      </c>
      <c r="K44">
        <v>2</v>
      </c>
      <c r="L44">
        <v>2</v>
      </c>
      <c r="M44">
        <v>12</v>
      </c>
      <c r="N44">
        <v>48</v>
      </c>
      <c r="O44">
        <v>52</v>
      </c>
      <c r="P44">
        <v>2</v>
      </c>
      <c r="Q44">
        <v>0</v>
      </c>
      <c r="R44">
        <v>0</v>
      </c>
      <c r="S44">
        <v>0</v>
      </c>
      <c r="T44">
        <v>0</v>
      </c>
      <c r="U44">
        <v>128</v>
      </c>
      <c r="V44">
        <v>12</v>
      </c>
      <c r="W44">
        <v>64</v>
      </c>
      <c r="X44">
        <v>52</v>
      </c>
    </row>
    <row r="45" spans="1:24" x14ac:dyDescent="0.2">
      <c r="A45">
        <v>44</v>
      </c>
      <c r="B45" s="1">
        <v>40746</v>
      </c>
      <c r="C45" t="s">
        <v>24</v>
      </c>
      <c r="D45">
        <v>10</v>
      </c>
      <c r="E45">
        <v>2</v>
      </c>
      <c r="F45">
        <v>6</v>
      </c>
      <c r="G45" t="s">
        <v>26</v>
      </c>
      <c r="H45">
        <v>8</v>
      </c>
      <c r="I45">
        <v>9</v>
      </c>
      <c r="J45">
        <v>0</v>
      </c>
      <c r="K45">
        <v>4</v>
      </c>
      <c r="L45">
        <v>3</v>
      </c>
      <c r="M45">
        <v>5</v>
      </c>
      <c r="N45">
        <v>20</v>
      </c>
      <c r="O45">
        <v>35</v>
      </c>
      <c r="P45">
        <v>0</v>
      </c>
      <c r="Q45">
        <v>0</v>
      </c>
      <c r="R45">
        <v>0</v>
      </c>
      <c r="S45">
        <v>0</v>
      </c>
      <c r="T45">
        <v>0</v>
      </c>
      <c r="U45">
        <v>76</v>
      </c>
      <c r="V45">
        <v>13</v>
      </c>
      <c r="W45">
        <v>28</v>
      </c>
      <c r="X45">
        <v>35</v>
      </c>
    </row>
    <row r="46" spans="1:24" x14ac:dyDescent="0.2">
      <c r="A46">
        <v>45</v>
      </c>
      <c r="B46" s="1">
        <v>40746</v>
      </c>
      <c r="C46" t="s">
        <v>24</v>
      </c>
      <c r="D46">
        <v>10</v>
      </c>
      <c r="E46">
        <v>2</v>
      </c>
      <c r="F46">
        <v>6</v>
      </c>
      <c r="G46" t="s">
        <v>27</v>
      </c>
      <c r="H46">
        <v>9</v>
      </c>
      <c r="I46">
        <v>18</v>
      </c>
      <c r="J46">
        <v>2</v>
      </c>
      <c r="K46">
        <v>3</v>
      </c>
      <c r="L46">
        <v>0</v>
      </c>
      <c r="M46">
        <v>4</v>
      </c>
      <c r="N46">
        <v>53</v>
      </c>
      <c r="O46">
        <v>30</v>
      </c>
      <c r="P46">
        <v>0</v>
      </c>
      <c r="Q46">
        <v>0</v>
      </c>
      <c r="R46">
        <v>0</v>
      </c>
      <c r="S46">
        <v>0</v>
      </c>
      <c r="T46">
        <v>0</v>
      </c>
      <c r="U46">
        <v>110</v>
      </c>
      <c r="V46">
        <v>23</v>
      </c>
      <c r="W46">
        <v>57</v>
      </c>
      <c r="X46">
        <v>30</v>
      </c>
    </row>
    <row r="47" spans="1:24" x14ac:dyDescent="0.2">
      <c r="A47">
        <v>46</v>
      </c>
      <c r="B47" s="1">
        <v>40749</v>
      </c>
      <c r="C47" t="s">
        <v>24</v>
      </c>
      <c r="D47">
        <v>13</v>
      </c>
      <c r="E47">
        <v>3</v>
      </c>
      <c r="F47">
        <v>2</v>
      </c>
      <c r="G47" t="s">
        <v>25</v>
      </c>
      <c r="H47">
        <v>1</v>
      </c>
      <c r="I47">
        <v>10</v>
      </c>
      <c r="J47">
        <v>0</v>
      </c>
      <c r="K47">
        <v>1</v>
      </c>
      <c r="L47">
        <v>4</v>
      </c>
      <c r="M47">
        <v>7</v>
      </c>
      <c r="N47">
        <v>23</v>
      </c>
      <c r="O47">
        <v>58</v>
      </c>
      <c r="P47">
        <v>1</v>
      </c>
      <c r="Q47">
        <v>0</v>
      </c>
      <c r="R47">
        <v>6</v>
      </c>
      <c r="S47">
        <v>0</v>
      </c>
      <c r="T47">
        <v>0</v>
      </c>
      <c r="U47">
        <v>110</v>
      </c>
      <c r="V47">
        <v>11</v>
      </c>
      <c r="W47">
        <v>41</v>
      </c>
      <c r="X47">
        <v>58</v>
      </c>
    </row>
    <row r="48" spans="1:24" x14ac:dyDescent="0.2">
      <c r="A48">
        <v>47</v>
      </c>
      <c r="B48" s="1">
        <v>40749</v>
      </c>
      <c r="C48" t="s">
        <v>24</v>
      </c>
      <c r="D48">
        <v>13</v>
      </c>
      <c r="E48">
        <v>3</v>
      </c>
      <c r="F48">
        <v>2</v>
      </c>
      <c r="G48" t="s">
        <v>25</v>
      </c>
      <c r="H48">
        <v>2</v>
      </c>
      <c r="I48">
        <v>6</v>
      </c>
      <c r="J48">
        <v>3</v>
      </c>
      <c r="K48">
        <v>2</v>
      </c>
      <c r="L48">
        <v>3</v>
      </c>
      <c r="M48">
        <v>8</v>
      </c>
      <c r="N48">
        <v>11</v>
      </c>
      <c r="O48">
        <v>19</v>
      </c>
      <c r="P48">
        <v>0</v>
      </c>
      <c r="Q48">
        <v>4</v>
      </c>
      <c r="R48">
        <v>2</v>
      </c>
      <c r="S48">
        <v>0</v>
      </c>
      <c r="T48">
        <v>0</v>
      </c>
      <c r="U48">
        <v>58</v>
      </c>
      <c r="V48">
        <v>11</v>
      </c>
      <c r="W48">
        <v>28</v>
      </c>
      <c r="X48">
        <v>19</v>
      </c>
    </row>
    <row r="49" spans="1:24" x14ac:dyDescent="0.2">
      <c r="A49">
        <v>48</v>
      </c>
      <c r="B49" s="1">
        <v>40749</v>
      </c>
      <c r="C49" t="s">
        <v>28</v>
      </c>
      <c r="D49">
        <v>13</v>
      </c>
      <c r="E49">
        <v>3</v>
      </c>
      <c r="F49">
        <v>2</v>
      </c>
      <c r="G49" t="s">
        <v>26</v>
      </c>
      <c r="H49">
        <v>3</v>
      </c>
      <c r="I49">
        <v>8</v>
      </c>
      <c r="J49">
        <v>1</v>
      </c>
      <c r="K49">
        <v>1</v>
      </c>
      <c r="L49">
        <v>3</v>
      </c>
      <c r="M49">
        <v>6</v>
      </c>
      <c r="N49">
        <v>32</v>
      </c>
      <c r="O49">
        <v>51</v>
      </c>
      <c r="P49">
        <v>1</v>
      </c>
      <c r="Q49">
        <v>0</v>
      </c>
      <c r="R49">
        <v>1</v>
      </c>
      <c r="S49">
        <v>1</v>
      </c>
      <c r="T49">
        <v>0</v>
      </c>
      <c r="U49">
        <v>105</v>
      </c>
      <c r="V49">
        <v>10</v>
      </c>
      <c r="W49">
        <v>44</v>
      </c>
      <c r="X49">
        <v>51</v>
      </c>
    </row>
    <row r="50" spans="1:24" x14ac:dyDescent="0.2">
      <c r="A50">
        <v>49</v>
      </c>
      <c r="B50" s="1">
        <v>40749</v>
      </c>
      <c r="C50" t="s">
        <v>24</v>
      </c>
      <c r="D50">
        <v>13</v>
      </c>
      <c r="E50">
        <v>3</v>
      </c>
      <c r="F50">
        <v>2</v>
      </c>
      <c r="G50" t="s">
        <v>25</v>
      </c>
      <c r="H50">
        <v>4</v>
      </c>
      <c r="I50">
        <v>7</v>
      </c>
      <c r="J50">
        <v>0</v>
      </c>
      <c r="K50">
        <v>2</v>
      </c>
      <c r="L50">
        <v>4</v>
      </c>
      <c r="M50">
        <v>6</v>
      </c>
      <c r="N50">
        <v>17</v>
      </c>
      <c r="O50">
        <v>64</v>
      </c>
      <c r="P50">
        <v>2</v>
      </c>
      <c r="Q50">
        <v>3</v>
      </c>
      <c r="R50">
        <v>0</v>
      </c>
      <c r="S50">
        <v>0</v>
      </c>
      <c r="T50">
        <v>0</v>
      </c>
      <c r="U50">
        <v>105</v>
      </c>
      <c r="V50">
        <v>9</v>
      </c>
      <c r="W50">
        <v>32</v>
      </c>
      <c r="X50">
        <v>64</v>
      </c>
    </row>
    <row r="51" spans="1:24" x14ac:dyDescent="0.2">
      <c r="A51">
        <v>50</v>
      </c>
      <c r="B51" s="1">
        <v>40749</v>
      </c>
      <c r="C51" t="s">
        <v>24</v>
      </c>
      <c r="D51">
        <v>13</v>
      </c>
      <c r="E51">
        <v>3</v>
      </c>
      <c r="F51">
        <v>2</v>
      </c>
      <c r="G51" t="s">
        <v>26</v>
      </c>
      <c r="H51">
        <v>5</v>
      </c>
      <c r="I51">
        <v>5</v>
      </c>
      <c r="J51">
        <v>3</v>
      </c>
      <c r="K51">
        <v>5</v>
      </c>
      <c r="L51">
        <v>6</v>
      </c>
      <c r="M51">
        <v>10</v>
      </c>
      <c r="N51">
        <v>23</v>
      </c>
      <c r="O51">
        <v>49</v>
      </c>
      <c r="P51">
        <v>1</v>
      </c>
      <c r="Q51">
        <v>3</v>
      </c>
      <c r="R51">
        <v>1</v>
      </c>
      <c r="S51">
        <v>0</v>
      </c>
      <c r="T51">
        <v>0</v>
      </c>
      <c r="U51">
        <v>106</v>
      </c>
      <c r="V51">
        <v>13</v>
      </c>
      <c r="W51">
        <v>44</v>
      </c>
      <c r="X51">
        <v>49</v>
      </c>
    </row>
    <row r="52" spans="1:24" x14ac:dyDescent="0.2">
      <c r="A52">
        <v>51</v>
      </c>
      <c r="B52" s="1">
        <v>40749</v>
      </c>
      <c r="C52" t="s">
        <v>28</v>
      </c>
      <c r="D52">
        <v>13</v>
      </c>
      <c r="E52">
        <v>3</v>
      </c>
      <c r="F52">
        <v>2</v>
      </c>
      <c r="G52" t="s">
        <v>27</v>
      </c>
      <c r="H52">
        <v>6</v>
      </c>
      <c r="I52">
        <v>4</v>
      </c>
      <c r="J52">
        <v>2</v>
      </c>
      <c r="K52">
        <v>2</v>
      </c>
      <c r="L52">
        <v>2</v>
      </c>
      <c r="M52">
        <v>11</v>
      </c>
      <c r="N52">
        <v>28</v>
      </c>
      <c r="O52">
        <v>43</v>
      </c>
      <c r="P52">
        <v>1</v>
      </c>
      <c r="Q52">
        <v>0</v>
      </c>
      <c r="R52">
        <v>0</v>
      </c>
      <c r="S52">
        <v>0</v>
      </c>
      <c r="T52">
        <v>0</v>
      </c>
      <c r="U52">
        <v>93</v>
      </c>
      <c r="V52">
        <v>8</v>
      </c>
      <c r="W52">
        <v>42</v>
      </c>
      <c r="X52">
        <v>43</v>
      </c>
    </row>
    <row r="53" spans="1:24" x14ac:dyDescent="0.2">
      <c r="A53">
        <v>52</v>
      </c>
      <c r="B53" s="1">
        <v>40749</v>
      </c>
      <c r="C53" t="s">
        <v>24</v>
      </c>
      <c r="D53">
        <v>13</v>
      </c>
      <c r="E53">
        <v>3</v>
      </c>
      <c r="F53">
        <v>2</v>
      </c>
      <c r="G53" t="s">
        <v>27</v>
      </c>
      <c r="H53">
        <v>7</v>
      </c>
      <c r="I53">
        <v>7</v>
      </c>
      <c r="J53">
        <v>1</v>
      </c>
      <c r="K53">
        <v>2</v>
      </c>
      <c r="L53">
        <v>6</v>
      </c>
      <c r="M53">
        <v>9</v>
      </c>
      <c r="N53">
        <v>26</v>
      </c>
      <c r="O53">
        <v>62</v>
      </c>
      <c r="P53">
        <v>3</v>
      </c>
      <c r="Q53">
        <v>0</v>
      </c>
      <c r="R53">
        <v>3</v>
      </c>
      <c r="S53">
        <v>0</v>
      </c>
      <c r="T53">
        <v>0</v>
      </c>
      <c r="U53">
        <v>119</v>
      </c>
      <c r="V53">
        <v>10</v>
      </c>
      <c r="W53">
        <v>47</v>
      </c>
      <c r="X53">
        <v>62</v>
      </c>
    </row>
    <row r="54" spans="1:24" x14ac:dyDescent="0.2">
      <c r="A54">
        <v>53</v>
      </c>
      <c r="B54" s="1">
        <v>40749</v>
      </c>
      <c r="C54" t="s">
        <v>24</v>
      </c>
      <c r="D54">
        <v>13</v>
      </c>
      <c r="E54">
        <v>3</v>
      </c>
      <c r="F54">
        <v>2</v>
      </c>
      <c r="G54" t="s">
        <v>26</v>
      </c>
      <c r="H54">
        <v>8</v>
      </c>
      <c r="I54">
        <v>9</v>
      </c>
      <c r="J54">
        <v>0</v>
      </c>
      <c r="K54">
        <v>5</v>
      </c>
      <c r="L54">
        <v>2</v>
      </c>
      <c r="M54">
        <v>9</v>
      </c>
      <c r="N54">
        <v>16</v>
      </c>
      <c r="O54">
        <v>50</v>
      </c>
      <c r="P54">
        <v>2</v>
      </c>
      <c r="Q54">
        <v>1</v>
      </c>
      <c r="R54">
        <v>1</v>
      </c>
      <c r="S54">
        <v>0</v>
      </c>
      <c r="T54">
        <v>0</v>
      </c>
      <c r="U54">
        <v>95</v>
      </c>
      <c r="V54">
        <v>14</v>
      </c>
      <c r="W54">
        <v>31</v>
      </c>
      <c r="X54">
        <v>50</v>
      </c>
    </row>
    <row r="55" spans="1:24" x14ac:dyDescent="0.2">
      <c r="A55">
        <v>54</v>
      </c>
      <c r="B55" s="1">
        <v>40749</v>
      </c>
      <c r="C55" t="s">
        <v>28</v>
      </c>
      <c r="D55">
        <v>13</v>
      </c>
      <c r="E55">
        <v>3</v>
      </c>
      <c r="F55">
        <v>2</v>
      </c>
      <c r="G55" t="s">
        <v>27</v>
      </c>
      <c r="H55">
        <v>9</v>
      </c>
      <c r="I55">
        <v>12</v>
      </c>
      <c r="J55">
        <v>2</v>
      </c>
      <c r="K55">
        <v>4</v>
      </c>
      <c r="L55">
        <v>0</v>
      </c>
      <c r="M55">
        <v>11</v>
      </c>
      <c r="N55">
        <v>28</v>
      </c>
      <c r="O55">
        <v>61</v>
      </c>
      <c r="P55">
        <v>0</v>
      </c>
      <c r="Q55">
        <v>0</v>
      </c>
      <c r="R55">
        <v>1</v>
      </c>
      <c r="S55">
        <v>0</v>
      </c>
      <c r="T55">
        <v>0</v>
      </c>
      <c r="U55">
        <v>119</v>
      </c>
      <c r="V55">
        <v>18</v>
      </c>
      <c r="W55">
        <v>40</v>
      </c>
      <c r="X55">
        <v>61</v>
      </c>
    </row>
    <row r="56" spans="1:24" x14ac:dyDescent="0.2">
      <c r="A56">
        <v>55</v>
      </c>
      <c r="B56" s="1">
        <v>40751</v>
      </c>
      <c r="C56" t="s">
        <v>28</v>
      </c>
      <c r="D56">
        <v>15</v>
      </c>
      <c r="E56">
        <v>3</v>
      </c>
      <c r="F56">
        <v>4</v>
      </c>
      <c r="G56" t="s">
        <v>25</v>
      </c>
      <c r="H56">
        <v>1</v>
      </c>
      <c r="I56">
        <v>1</v>
      </c>
      <c r="J56">
        <v>0</v>
      </c>
      <c r="K56">
        <v>2</v>
      </c>
      <c r="L56">
        <v>2</v>
      </c>
      <c r="M56">
        <v>16</v>
      </c>
      <c r="N56">
        <v>53</v>
      </c>
      <c r="O56">
        <v>41</v>
      </c>
      <c r="P56">
        <v>0</v>
      </c>
      <c r="Q56">
        <v>0</v>
      </c>
      <c r="R56">
        <v>2</v>
      </c>
      <c r="S56">
        <v>0</v>
      </c>
      <c r="T56">
        <v>0</v>
      </c>
      <c r="U56">
        <v>117</v>
      </c>
      <c r="V56">
        <v>3</v>
      </c>
      <c r="W56">
        <v>73</v>
      </c>
      <c r="X56">
        <v>41</v>
      </c>
    </row>
    <row r="57" spans="1:24" x14ac:dyDescent="0.2">
      <c r="A57">
        <v>56</v>
      </c>
      <c r="B57" s="1">
        <v>40751</v>
      </c>
      <c r="C57" t="s">
        <v>24</v>
      </c>
      <c r="D57">
        <v>15</v>
      </c>
      <c r="E57">
        <v>3</v>
      </c>
      <c r="F57">
        <v>4</v>
      </c>
      <c r="G57" t="s">
        <v>25</v>
      </c>
      <c r="H57">
        <v>2</v>
      </c>
      <c r="I57">
        <v>3</v>
      </c>
      <c r="J57">
        <v>0</v>
      </c>
      <c r="K57">
        <v>2</v>
      </c>
      <c r="L57">
        <v>6</v>
      </c>
      <c r="M57">
        <v>8</v>
      </c>
      <c r="N57">
        <v>14</v>
      </c>
      <c r="O57">
        <v>42</v>
      </c>
      <c r="P57">
        <v>3</v>
      </c>
      <c r="Q57">
        <v>2</v>
      </c>
      <c r="R57">
        <v>4</v>
      </c>
      <c r="S57">
        <v>0</v>
      </c>
      <c r="T57">
        <v>0</v>
      </c>
      <c r="U57">
        <v>84</v>
      </c>
      <c r="V57">
        <v>5</v>
      </c>
      <c r="W57">
        <v>37</v>
      </c>
      <c r="X57">
        <v>42</v>
      </c>
    </row>
    <row r="58" spans="1:24" x14ac:dyDescent="0.2">
      <c r="A58">
        <v>57</v>
      </c>
      <c r="B58" s="1">
        <v>40751</v>
      </c>
      <c r="C58" t="s">
        <v>28</v>
      </c>
      <c r="D58">
        <v>15</v>
      </c>
      <c r="E58">
        <v>3</v>
      </c>
      <c r="F58">
        <v>4</v>
      </c>
      <c r="G58" t="s">
        <v>26</v>
      </c>
      <c r="H58">
        <v>3</v>
      </c>
      <c r="I58">
        <v>2</v>
      </c>
      <c r="J58">
        <v>0</v>
      </c>
      <c r="K58">
        <v>2</v>
      </c>
      <c r="L58">
        <v>2</v>
      </c>
      <c r="M58">
        <v>7</v>
      </c>
      <c r="N58">
        <v>34</v>
      </c>
      <c r="O58">
        <v>56</v>
      </c>
      <c r="P58">
        <v>1</v>
      </c>
      <c r="Q58">
        <v>1</v>
      </c>
      <c r="R58">
        <v>2</v>
      </c>
      <c r="S58">
        <v>0</v>
      </c>
      <c r="T58">
        <v>0</v>
      </c>
      <c r="U58">
        <v>107</v>
      </c>
      <c r="V58">
        <v>4</v>
      </c>
      <c r="W58">
        <v>47</v>
      </c>
      <c r="X58">
        <v>56</v>
      </c>
    </row>
    <row r="59" spans="1:24" x14ac:dyDescent="0.2">
      <c r="A59">
        <v>58</v>
      </c>
      <c r="B59" s="1">
        <v>40751</v>
      </c>
      <c r="C59" t="s">
        <v>24</v>
      </c>
      <c r="D59">
        <v>15</v>
      </c>
      <c r="E59">
        <v>3</v>
      </c>
      <c r="F59">
        <v>4</v>
      </c>
      <c r="G59" t="s">
        <v>25</v>
      </c>
      <c r="H59">
        <v>4</v>
      </c>
      <c r="I59">
        <v>4</v>
      </c>
      <c r="J59">
        <v>0</v>
      </c>
      <c r="K59">
        <v>2</v>
      </c>
      <c r="L59">
        <v>2</v>
      </c>
      <c r="M59">
        <v>8</v>
      </c>
      <c r="N59">
        <v>19</v>
      </c>
      <c r="O59">
        <v>64</v>
      </c>
      <c r="P59">
        <v>2</v>
      </c>
      <c r="Q59">
        <v>2</v>
      </c>
      <c r="R59">
        <v>0</v>
      </c>
      <c r="S59">
        <v>0</v>
      </c>
      <c r="T59">
        <v>0</v>
      </c>
      <c r="U59">
        <v>103</v>
      </c>
      <c r="V59">
        <v>6</v>
      </c>
      <c r="W59">
        <v>33</v>
      </c>
      <c r="X59">
        <v>64</v>
      </c>
    </row>
    <row r="60" spans="1:24" x14ac:dyDescent="0.2">
      <c r="A60">
        <v>59</v>
      </c>
      <c r="B60" s="1">
        <v>40751</v>
      </c>
      <c r="C60" t="s">
        <v>28</v>
      </c>
      <c r="D60">
        <v>15</v>
      </c>
      <c r="E60">
        <v>3</v>
      </c>
      <c r="F60">
        <v>4</v>
      </c>
      <c r="G60" t="s">
        <v>26</v>
      </c>
      <c r="H60">
        <v>5</v>
      </c>
      <c r="I60">
        <v>6</v>
      </c>
      <c r="J60">
        <v>0</v>
      </c>
      <c r="K60">
        <v>5</v>
      </c>
      <c r="L60">
        <v>4</v>
      </c>
      <c r="M60">
        <v>13</v>
      </c>
      <c r="N60">
        <v>26</v>
      </c>
      <c r="O60">
        <v>48</v>
      </c>
      <c r="P60">
        <v>1</v>
      </c>
      <c r="Q60">
        <v>2</v>
      </c>
      <c r="R60">
        <v>1</v>
      </c>
      <c r="S60">
        <v>0</v>
      </c>
      <c r="T60">
        <v>0</v>
      </c>
      <c r="U60">
        <v>106</v>
      </c>
      <c r="V60">
        <v>11</v>
      </c>
      <c r="W60">
        <v>47</v>
      </c>
      <c r="X60">
        <v>48</v>
      </c>
    </row>
    <row r="61" spans="1:24" x14ac:dyDescent="0.2">
      <c r="A61">
        <v>60</v>
      </c>
      <c r="B61" s="1">
        <v>40751</v>
      </c>
      <c r="C61" t="s">
        <v>28</v>
      </c>
      <c r="D61">
        <v>15</v>
      </c>
      <c r="E61">
        <v>3</v>
      </c>
      <c r="F61">
        <v>4</v>
      </c>
      <c r="G61" t="s">
        <v>27</v>
      </c>
      <c r="H61">
        <v>6</v>
      </c>
      <c r="I61">
        <v>5</v>
      </c>
      <c r="J61">
        <v>0</v>
      </c>
      <c r="K61">
        <v>2</v>
      </c>
      <c r="L61">
        <v>4</v>
      </c>
      <c r="M61">
        <v>10</v>
      </c>
      <c r="N61">
        <v>43</v>
      </c>
      <c r="O61">
        <v>32</v>
      </c>
      <c r="P61">
        <v>0</v>
      </c>
      <c r="Q61">
        <v>2</v>
      </c>
      <c r="R61">
        <v>2</v>
      </c>
      <c r="S61">
        <v>0</v>
      </c>
      <c r="T61">
        <v>0</v>
      </c>
      <c r="U61">
        <v>100</v>
      </c>
      <c r="V61">
        <v>7</v>
      </c>
      <c r="W61">
        <v>61</v>
      </c>
      <c r="X61">
        <v>32</v>
      </c>
    </row>
    <row r="62" spans="1:24" x14ac:dyDescent="0.2">
      <c r="A62">
        <v>61</v>
      </c>
      <c r="B62" s="1">
        <v>40751</v>
      </c>
      <c r="C62" t="s">
        <v>28</v>
      </c>
      <c r="D62">
        <v>15</v>
      </c>
      <c r="E62">
        <v>3</v>
      </c>
      <c r="F62">
        <v>4</v>
      </c>
      <c r="G62" t="s">
        <v>27</v>
      </c>
      <c r="H62">
        <v>7</v>
      </c>
      <c r="I62">
        <v>5</v>
      </c>
      <c r="J62">
        <v>0</v>
      </c>
      <c r="K62">
        <v>4</v>
      </c>
      <c r="L62">
        <v>3</v>
      </c>
      <c r="M62">
        <v>7</v>
      </c>
      <c r="N62">
        <v>31</v>
      </c>
      <c r="O62">
        <v>58</v>
      </c>
      <c r="P62">
        <v>1</v>
      </c>
      <c r="Q62">
        <v>5</v>
      </c>
      <c r="R62">
        <v>0</v>
      </c>
      <c r="S62">
        <v>0</v>
      </c>
      <c r="T62">
        <v>0</v>
      </c>
      <c r="U62">
        <v>114</v>
      </c>
      <c r="V62">
        <v>9</v>
      </c>
      <c r="W62">
        <v>47</v>
      </c>
      <c r="X62">
        <v>58</v>
      </c>
    </row>
    <row r="63" spans="1:24" x14ac:dyDescent="0.2">
      <c r="A63">
        <v>62</v>
      </c>
      <c r="B63" s="1">
        <v>40751</v>
      </c>
      <c r="C63" t="s">
        <v>24</v>
      </c>
      <c r="D63">
        <v>15</v>
      </c>
      <c r="E63">
        <v>3</v>
      </c>
      <c r="F63">
        <v>4</v>
      </c>
      <c r="G63" t="s">
        <v>26</v>
      </c>
      <c r="H63">
        <v>8</v>
      </c>
      <c r="I63">
        <v>2</v>
      </c>
      <c r="J63">
        <v>0</v>
      </c>
      <c r="K63">
        <v>1</v>
      </c>
      <c r="L63">
        <v>4</v>
      </c>
      <c r="M63">
        <v>9</v>
      </c>
      <c r="N63">
        <v>16</v>
      </c>
      <c r="O63">
        <v>69</v>
      </c>
      <c r="P63">
        <v>1</v>
      </c>
      <c r="Q63">
        <v>1</v>
      </c>
      <c r="R63">
        <v>5</v>
      </c>
      <c r="S63">
        <v>0</v>
      </c>
      <c r="T63">
        <v>0</v>
      </c>
      <c r="U63">
        <v>108</v>
      </c>
      <c r="V63">
        <v>3</v>
      </c>
      <c r="W63">
        <v>36</v>
      </c>
      <c r="X63">
        <v>69</v>
      </c>
    </row>
    <row r="64" spans="1:24" x14ac:dyDescent="0.2">
      <c r="A64">
        <v>63</v>
      </c>
      <c r="B64" s="1">
        <v>40751</v>
      </c>
      <c r="C64" t="s">
        <v>24</v>
      </c>
      <c r="D64">
        <v>15</v>
      </c>
      <c r="E64">
        <v>3</v>
      </c>
      <c r="F64">
        <v>4</v>
      </c>
      <c r="G64" t="s">
        <v>27</v>
      </c>
      <c r="H64">
        <v>9</v>
      </c>
      <c r="I64">
        <v>0</v>
      </c>
      <c r="J64">
        <v>0</v>
      </c>
      <c r="K64">
        <v>0</v>
      </c>
      <c r="L64">
        <v>3</v>
      </c>
      <c r="M64">
        <v>11</v>
      </c>
      <c r="N64">
        <v>37</v>
      </c>
      <c r="O64">
        <v>104</v>
      </c>
      <c r="P64">
        <v>0</v>
      </c>
      <c r="Q64">
        <v>1</v>
      </c>
      <c r="R64">
        <v>3</v>
      </c>
      <c r="S64">
        <v>0</v>
      </c>
      <c r="T64">
        <v>0</v>
      </c>
      <c r="U64">
        <v>159</v>
      </c>
      <c r="V64">
        <v>0</v>
      </c>
      <c r="W64">
        <v>55</v>
      </c>
      <c r="X64">
        <v>104</v>
      </c>
    </row>
    <row r="65" spans="1:24" x14ac:dyDescent="0.2">
      <c r="A65">
        <v>64</v>
      </c>
      <c r="B65" s="1">
        <v>40753</v>
      </c>
      <c r="C65" t="s">
        <v>28</v>
      </c>
      <c r="D65">
        <v>17</v>
      </c>
      <c r="E65">
        <v>3</v>
      </c>
      <c r="F65">
        <v>6</v>
      </c>
      <c r="G65" t="s">
        <v>25</v>
      </c>
      <c r="H65">
        <v>1</v>
      </c>
      <c r="I65">
        <v>4</v>
      </c>
      <c r="J65">
        <v>0</v>
      </c>
      <c r="K65">
        <v>2</v>
      </c>
      <c r="L65">
        <v>4</v>
      </c>
      <c r="M65">
        <v>8</v>
      </c>
      <c r="N65">
        <v>32</v>
      </c>
      <c r="O65">
        <v>23</v>
      </c>
      <c r="P65">
        <v>0</v>
      </c>
      <c r="Q65">
        <v>3</v>
      </c>
      <c r="R65">
        <v>0</v>
      </c>
      <c r="S65">
        <v>0</v>
      </c>
      <c r="T65">
        <v>0</v>
      </c>
      <c r="U65">
        <v>76</v>
      </c>
      <c r="V65">
        <v>6</v>
      </c>
      <c r="W65">
        <v>47</v>
      </c>
      <c r="X65">
        <v>23</v>
      </c>
    </row>
    <row r="66" spans="1:24" x14ac:dyDescent="0.2">
      <c r="A66">
        <v>65</v>
      </c>
      <c r="B66" s="1">
        <v>40753</v>
      </c>
      <c r="C66" t="s">
        <v>24</v>
      </c>
      <c r="D66">
        <v>17</v>
      </c>
      <c r="E66">
        <v>3</v>
      </c>
      <c r="F66">
        <v>6</v>
      </c>
      <c r="G66" t="s">
        <v>25</v>
      </c>
      <c r="H66">
        <v>2</v>
      </c>
      <c r="I66">
        <v>6</v>
      </c>
      <c r="J66">
        <v>0</v>
      </c>
      <c r="K66">
        <v>4</v>
      </c>
      <c r="L66">
        <v>4</v>
      </c>
      <c r="M66">
        <v>6</v>
      </c>
      <c r="N66">
        <v>17</v>
      </c>
      <c r="O66">
        <v>83</v>
      </c>
      <c r="P66">
        <v>2</v>
      </c>
      <c r="Q66">
        <v>6</v>
      </c>
      <c r="R66">
        <v>3</v>
      </c>
      <c r="S66">
        <v>0</v>
      </c>
      <c r="T66">
        <v>0</v>
      </c>
      <c r="U66">
        <v>131</v>
      </c>
      <c r="V66">
        <v>10</v>
      </c>
      <c r="W66">
        <v>38</v>
      </c>
      <c r="X66">
        <v>83</v>
      </c>
    </row>
    <row r="67" spans="1:24" x14ac:dyDescent="0.2">
      <c r="A67">
        <v>66</v>
      </c>
      <c r="B67" s="1">
        <v>40753</v>
      </c>
      <c r="C67" t="s">
        <v>24</v>
      </c>
      <c r="D67">
        <v>17</v>
      </c>
      <c r="E67">
        <v>3</v>
      </c>
      <c r="F67">
        <v>6</v>
      </c>
      <c r="G67" t="s">
        <v>26</v>
      </c>
      <c r="H67">
        <v>3</v>
      </c>
      <c r="I67">
        <v>2</v>
      </c>
      <c r="J67">
        <v>0</v>
      </c>
      <c r="K67">
        <v>3</v>
      </c>
      <c r="L67">
        <v>4</v>
      </c>
      <c r="M67">
        <v>4</v>
      </c>
      <c r="N67">
        <v>28</v>
      </c>
      <c r="O67">
        <v>49</v>
      </c>
      <c r="P67">
        <v>3</v>
      </c>
      <c r="Q67">
        <v>6</v>
      </c>
      <c r="R67">
        <v>3</v>
      </c>
      <c r="S67">
        <v>0</v>
      </c>
      <c r="T67">
        <v>0</v>
      </c>
      <c r="U67">
        <v>102</v>
      </c>
      <c r="V67">
        <v>5</v>
      </c>
      <c r="W67">
        <v>48</v>
      </c>
      <c r="X67">
        <v>49</v>
      </c>
    </row>
    <row r="68" spans="1:24" x14ac:dyDescent="0.2">
      <c r="A68">
        <v>67</v>
      </c>
      <c r="B68" s="1">
        <v>40753</v>
      </c>
      <c r="C68" t="s">
        <v>24</v>
      </c>
      <c r="D68">
        <v>17</v>
      </c>
      <c r="E68">
        <v>3</v>
      </c>
      <c r="F68">
        <v>6</v>
      </c>
      <c r="G68" t="s">
        <v>25</v>
      </c>
      <c r="H68">
        <v>4</v>
      </c>
      <c r="I68">
        <v>6</v>
      </c>
      <c r="J68">
        <v>0</v>
      </c>
      <c r="K68">
        <v>1</v>
      </c>
      <c r="L68">
        <v>5</v>
      </c>
      <c r="M68">
        <v>6</v>
      </c>
      <c r="N68">
        <v>31</v>
      </c>
      <c r="O68">
        <v>52</v>
      </c>
      <c r="P68">
        <v>2</v>
      </c>
      <c r="Q68">
        <v>1</v>
      </c>
      <c r="R68">
        <v>0</v>
      </c>
      <c r="S68">
        <v>0</v>
      </c>
      <c r="T68">
        <v>0</v>
      </c>
      <c r="U68">
        <v>104</v>
      </c>
      <c r="V68">
        <v>7</v>
      </c>
      <c r="W68">
        <v>45</v>
      </c>
      <c r="X68">
        <v>52</v>
      </c>
    </row>
    <row r="69" spans="1:24" x14ac:dyDescent="0.2">
      <c r="A69">
        <v>68</v>
      </c>
      <c r="B69" s="1">
        <v>40753</v>
      </c>
      <c r="C69" t="s">
        <v>24</v>
      </c>
      <c r="D69">
        <v>17</v>
      </c>
      <c r="E69">
        <v>3</v>
      </c>
      <c r="F69">
        <v>6</v>
      </c>
      <c r="G69" t="s">
        <v>26</v>
      </c>
      <c r="H69">
        <v>5</v>
      </c>
      <c r="I69">
        <v>8</v>
      </c>
      <c r="J69">
        <v>1</v>
      </c>
      <c r="K69">
        <v>6</v>
      </c>
      <c r="L69">
        <v>4</v>
      </c>
      <c r="M69">
        <v>5</v>
      </c>
      <c r="N69">
        <v>18</v>
      </c>
      <c r="O69">
        <v>52</v>
      </c>
      <c r="P69">
        <v>1</v>
      </c>
      <c r="Q69">
        <v>2</v>
      </c>
      <c r="R69">
        <v>1</v>
      </c>
      <c r="S69">
        <v>0</v>
      </c>
      <c r="T69">
        <v>0</v>
      </c>
      <c r="U69">
        <v>98</v>
      </c>
      <c r="V69">
        <v>15</v>
      </c>
      <c r="W69">
        <v>31</v>
      </c>
      <c r="X69">
        <v>52</v>
      </c>
    </row>
    <row r="70" spans="1:24" x14ac:dyDescent="0.2">
      <c r="A70">
        <v>69</v>
      </c>
      <c r="B70" s="1">
        <v>40753</v>
      </c>
      <c r="C70" t="s">
        <v>24</v>
      </c>
      <c r="D70">
        <v>17</v>
      </c>
      <c r="E70">
        <v>3</v>
      </c>
      <c r="F70">
        <v>6</v>
      </c>
      <c r="G70" t="s">
        <v>27</v>
      </c>
      <c r="H70">
        <v>6</v>
      </c>
      <c r="I70">
        <v>4</v>
      </c>
      <c r="J70">
        <v>0</v>
      </c>
      <c r="K70">
        <v>3</v>
      </c>
      <c r="L70">
        <v>6</v>
      </c>
      <c r="M70">
        <v>7</v>
      </c>
      <c r="N70">
        <v>35</v>
      </c>
      <c r="O70">
        <v>50</v>
      </c>
      <c r="P70">
        <v>1</v>
      </c>
      <c r="Q70">
        <v>5</v>
      </c>
      <c r="R70">
        <v>0</v>
      </c>
      <c r="S70">
        <v>0</v>
      </c>
      <c r="T70">
        <v>0</v>
      </c>
      <c r="U70">
        <v>111</v>
      </c>
      <c r="V70">
        <v>7</v>
      </c>
      <c r="W70">
        <v>54</v>
      </c>
      <c r="X70">
        <v>50</v>
      </c>
    </row>
    <row r="71" spans="1:24" x14ac:dyDescent="0.2">
      <c r="A71">
        <v>70</v>
      </c>
      <c r="B71" s="1">
        <v>40753</v>
      </c>
      <c r="C71" t="s">
        <v>28</v>
      </c>
      <c r="D71">
        <v>17</v>
      </c>
      <c r="E71">
        <v>3</v>
      </c>
      <c r="F71">
        <v>6</v>
      </c>
      <c r="G71" t="s">
        <v>27</v>
      </c>
      <c r="H71">
        <v>7</v>
      </c>
      <c r="I71">
        <v>4</v>
      </c>
      <c r="J71">
        <v>0</v>
      </c>
      <c r="K71">
        <v>4</v>
      </c>
      <c r="L71">
        <v>3</v>
      </c>
      <c r="M71">
        <v>8</v>
      </c>
      <c r="N71">
        <v>27</v>
      </c>
      <c r="O71">
        <v>43</v>
      </c>
      <c r="P71">
        <v>3</v>
      </c>
      <c r="Q71">
        <v>0</v>
      </c>
      <c r="R71">
        <v>1</v>
      </c>
      <c r="S71">
        <v>0</v>
      </c>
      <c r="T71">
        <v>0</v>
      </c>
      <c r="U71">
        <v>93</v>
      </c>
      <c r="V71">
        <v>8</v>
      </c>
      <c r="W71">
        <v>42</v>
      </c>
      <c r="X71">
        <v>43</v>
      </c>
    </row>
    <row r="72" spans="1:24" x14ac:dyDescent="0.2">
      <c r="A72">
        <v>71</v>
      </c>
      <c r="B72" s="1">
        <v>40753</v>
      </c>
      <c r="C72" t="s">
        <v>28</v>
      </c>
      <c r="D72">
        <v>17</v>
      </c>
      <c r="E72">
        <v>3</v>
      </c>
      <c r="F72">
        <v>6</v>
      </c>
      <c r="G72" t="s">
        <v>26</v>
      </c>
      <c r="H72">
        <v>8</v>
      </c>
      <c r="I72">
        <v>2</v>
      </c>
      <c r="J72">
        <v>0</v>
      </c>
      <c r="K72">
        <v>3</v>
      </c>
      <c r="L72">
        <v>3</v>
      </c>
      <c r="M72">
        <v>7</v>
      </c>
      <c r="N72">
        <v>25</v>
      </c>
      <c r="O72">
        <v>49</v>
      </c>
      <c r="P72">
        <v>2</v>
      </c>
      <c r="Q72">
        <v>2</v>
      </c>
      <c r="R72">
        <v>0</v>
      </c>
      <c r="S72">
        <v>0</v>
      </c>
      <c r="T72">
        <v>0</v>
      </c>
      <c r="U72">
        <v>93</v>
      </c>
      <c r="V72">
        <v>5</v>
      </c>
      <c r="W72">
        <v>39</v>
      </c>
      <c r="X72">
        <v>49</v>
      </c>
    </row>
    <row r="73" spans="1:24" x14ac:dyDescent="0.2">
      <c r="A73">
        <v>72</v>
      </c>
      <c r="B73" s="1">
        <v>40753</v>
      </c>
      <c r="C73" t="s">
        <v>28</v>
      </c>
      <c r="D73">
        <v>17</v>
      </c>
      <c r="E73">
        <v>3</v>
      </c>
      <c r="F73">
        <v>6</v>
      </c>
      <c r="G73" t="s">
        <v>27</v>
      </c>
      <c r="H73">
        <v>9</v>
      </c>
      <c r="I73">
        <v>1</v>
      </c>
      <c r="J73">
        <v>0</v>
      </c>
      <c r="K73">
        <v>1</v>
      </c>
      <c r="L73">
        <v>5</v>
      </c>
      <c r="M73">
        <v>13</v>
      </c>
      <c r="N73">
        <v>55</v>
      </c>
      <c r="O73">
        <v>26</v>
      </c>
      <c r="P73">
        <v>1</v>
      </c>
      <c r="Q73">
        <v>0</v>
      </c>
      <c r="R73">
        <v>0</v>
      </c>
      <c r="S73">
        <v>0</v>
      </c>
      <c r="T73">
        <v>0</v>
      </c>
      <c r="U73">
        <v>102</v>
      </c>
      <c r="V73">
        <v>2</v>
      </c>
      <c r="W73">
        <v>74</v>
      </c>
      <c r="X73">
        <v>26</v>
      </c>
    </row>
    <row r="74" spans="1:24" x14ac:dyDescent="0.2">
      <c r="A74">
        <v>73</v>
      </c>
      <c r="B74" s="1">
        <v>40756</v>
      </c>
      <c r="C74" t="s">
        <v>24</v>
      </c>
      <c r="D74">
        <v>19</v>
      </c>
      <c r="E74">
        <v>4</v>
      </c>
      <c r="F74">
        <v>2</v>
      </c>
      <c r="G74" t="s">
        <v>25</v>
      </c>
      <c r="H74">
        <v>1</v>
      </c>
      <c r="I74">
        <v>7</v>
      </c>
      <c r="J74">
        <v>1</v>
      </c>
      <c r="K74">
        <v>4</v>
      </c>
      <c r="L74">
        <v>7</v>
      </c>
      <c r="M74">
        <v>5</v>
      </c>
      <c r="N74">
        <v>15</v>
      </c>
      <c r="O74">
        <v>33</v>
      </c>
      <c r="P74">
        <v>0</v>
      </c>
      <c r="Q74">
        <v>0</v>
      </c>
      <c r="R74">
        <v>0</v>
      </c>
      <c r="S74">
        <v>1</v>
      </c>
      <c r="T74">
        <v>0</v>
      </c>
      <c r="U74">
        <v>73</v>
      </c>
      <c r="V74">
        <v>12</v>
      </c>
      <c r="W74">
        <v>28</v>
      </c>
      <c r="X74">
        <v>33</v>
      </c>
    </row>
    <row r="75" spans="1:24" x14ac:dyDescent="0.2">
      <c r="A75">
        <v>74</v>
      </c>
      <c r="B75" s="1">
        <v>40756</v>
      </c>
      <c r="C75" t="s">
        <v>28</v>
      </c>
      <c r="D75">
        <v>19</v>
      </c>
      <c r="E75">
        <v>4</v>
      </c>
      <c r="F75">
        <v>2</v>
      </c>
      <c r="G75" t="s">
        <v>25</v>
      </c>
      <c r="H75">
        <v>2</v>
      </c>
      <c r="I75">
        <v>8</v>
      </c>
      <c r="J75">
        <v>0</v>
      </c>
      <c r="K75">
        <v>7</v>
      </c>
      <c r="L75">
        <v>3</v>
      </c>
      <c r="M75">
        <v>7</v>
      </c>
      <c r="N75">
        <v>14</v>
      </c>
      <c r="O75">
        <v>70</v>
      </c>
      <c r="P75">
        <v>0</v>
      </c>
      <c r="Q75">
        <v>0</v>
      </c>
      <c r="R75">
        <v>2</v>
      </c>
      <c r="S75">
        <v>0</v>
      </c>
      <c r="T75">
        <v>0</v>
      </c>
      <c r="U75">
        <v>111</v>
      </c>
      <c r="V75">
        <v>15</v>
      </c>
      <c r="W75">
        <v>26</v>
      </c>
      <c r="X75">
        <v>70</v>
      </c>
    </row>
    <row r="76" spans="1:24" x14ac:dyDescent="0.2">
      <c r="A76">
        <v>75</v>
      </c>
      <c r="B76" s="1">
        <v>40756</v>
      </c>
      <c r="C76" t="s">
        <v>28</v>
      </c>
      <c r="D76">
        <v>19</v>
      </c>
      <c r="E76">
        <v>4</v>
      </c>
      <c r="F76">
        <v>2</v>
      </c>
      <c r="G76" t="s">
        <v>26</v>
      </c>
      <c r="H76">
        <v>3</v>
      </c>
      <c r="I76">
        <v>8</v>
      </c>
      <c r="J76">
        <v>0</v>
      </c>
      <c r="K76">
        <v>5</v>
      </c>
      <c r="L76">
        <v>0</v>
      </c>
      <c r="M76">
        <v>11</v>
      </c>
      <c r="N76">
        <v>21</v>
      </c>
      <c r="O76">
        <v>68</v>
      </c>
      <c r="P76">
        <v>2</v>
      </c>
      <c r="Q76">
        <v>0</v>
      </c>
      <c r="R76">
        <v>0</v>
      </c>
      <c r="S76">
        <v>0</v>
      </c>
      <c r="T76">
        <v>0</v>
      </c>
      <c r="U76">
        <v>115</v>
      </c>
      <c r="V76">
        <v>13</v>
      </c>
      <c r="W76">
        <v>34</v>
      </c>
      <c r="X76">
        <v>68</v>
      </c>
    </row>
    <row r="77" spans="1:24" x14ac:dyDescent="0.2">
      <c r="A77">
        <v>76</v>
      </c>
      <c r="B77" s="1">
        <v>40756</v>
      </c>
      <c r="C77" t="s">
        <v>24</v>
      </c>
      <c r="D77">
        <v>19</v>
      </c>
      <c r="E77">
        <v>4</v>
      </c>
      <c r="F77">
        <v>2</v>
      </c>
      <c r="G77" t="s">
        <v>25</v>
      </c>
      <c r="H77">
        <v>4</v>
      </c>
      <c r="I77">
        <v>5</v>
      </c>
      <c r="J77">
        <v>0</v>
      </c>
      <c r="K77">
        <v>3</v>
      </c>
      <c r="L77">
        <v>3</v>
      </c>
      <c r="M77">
        <v>8</v>
      </c>
      <c r="N77">
        <v>26</v>
      </c>
      <c r="O77">
        <v>132</v>
      </c>
      <c r="P77">
        <v>0</v>
      </c>
      <c r="Q77">
        <v>1</v>
      </c>
      <c r="R77">
        <v>2</v>
      </c>
      <c r="S77">
        <v>0</v>
      </c>
      <c r="T77">
        <v>0</v>
      </c>
      <c r="U77">
        <v>180</v>
      </c>
      <c r="V77">
        <v>8</v>
      </c>
      <c r="W77">
        <v>40</v>
      </c>
      <c r="X77">
        <v>132</v>
      </c>
    </row>
    <row r="78" spans="1:24" x14ac:dyDescent="0.2">
      <c r="A78">
        <v>77</v>
      </c>
      <c r="B78" s="1">
        <v>40756</v>
      </c>
      <c r="C78" t="s">
        <v>24</v>
      </c>
      <c r="D78">
        <v>19</v>
      </c>
      <c r="E78">
        <v>4</v>
      </c>
      <c r="F78">
        <v>2</v>
      </c>
      <c r="G78" t="s">
        <v>26</v>
      </c>
      <c r="H78">
        <v>5</v>
      </c>
      <c r="I78">
        <v>8</v>
      </c>
      <c r="J78">
        <v>0</v>
      </c>
      <c r="K78">
        <v>4</v>
      </c>
      <c r="L78">
        <v>2</v>
      </c>
      <c r="M78">
        <v>7</v>
      </c>
      <c r="N78">
        <v>27</v>
      </c>
      <c r="O78">
        <v>101</v>
      </c>
      <c r="P78">
        <v>0</v>
      </c>
      <c r="Q78">
        <v>1</v>
      </c>
      <c r="R78">
        <v>0</v>
      </c>
      <c r="S78">
        <v>0</v>
      </c>
      <c r="T78">
        <v>0</v>
      </c>
      <c r="U78">
        <v>150</v>
      </c>
      <c r="V78">
        <v>12</v>
      </c>
      <c r="W78">
        <v>37</v>
      </c>
      <c r="X78">
        <v>101</v>
      </c>
    </row>
    <row r="79" spans="1:24" x14ac:dyDescent="0.2">
      <c r="A79">
        <v>78</v>
      </c>
      <c r="B79" s="1">
        <v>40756</v>
      </c>
      <c r="C79" t="s">
        <v>28</v>
      </c>
      <c r="D79">
        <v>19</v>
      </c>
      <c r="E79">
        <v>4</v>
      </c>
      <c r="F79">
        <v>2</v>
      </c>
      <c r="G79" t="s">
        <v>27</v>
      </c>
      <c r="H79">
        <v>6</v>
      </c>
      <c r="I79">
        <v>8</v>
      </c>
      <c r="J79">
        <v>0</v>
      </c>
      <c r="K79">
        <v>2</v>
      </c>
      <c r="L79">
        <v>2</v>
      </c>
      <c r="M79">
        <v>5</v>
      </c>
      <c r="N79">
        <v>20</v>
      </c>
      <c r="O79">
        <v>66</v>
      </c>
      <c r="P79">
        <v>0</v>
      </c>
      <c r="Q79">
        <v>0</v>
      </c>
      <c r="R79">
        <v>2</v>
      </c>
      <c r="S79">
        <v>0</v>
      </c>
      <c r="T79">
        <v>0</v>
      </c>
      <c r="U79">
        <v>105</v>
      </c>
      <c r="V79">
        <v>10</v>
      </c>
      <c r="W79">
        <v>29</v>
      </c>
      <c r="X79">
        <v>66</v>
      </c>
    </row>
    <row r="80" spans="1:24" x14ac:dyDescent="0.2">
      <c r="A80">
        <v>79</v>
      </c>
      <c r="B80" s="1">
        <v>40756</v>
      </c>
      <c r="C80" t="s">
        <v>28</v>
      </c>
      <c r="D80">
        <v>19</v>
      </c>
      <c r="E80">
        <v>4</v>
      </c>
      <c r="F80">
        <v>2</v>
      </c>
      <c r="G80" t="s">
        <v>27</v>
      </c>
      <c r="H80">
        <v>7</v>
      </c>
      <c r="I80">
        <v>9</v>
      </c>
      <c r="J80">
        <v>0</v>
      </c>
      <c r="K80">
        <v>7</v>
      </c>
      <c r="L80">
        <v>3</v>
      </c>
      <c r="M80">
        <v>7</v>
      </c>
      <c r="N80">
        <v>23</v>
      </c>
      <c r="O80">
        <v>72</v>
      </c>
      <c r="P80">
        <v>0</v>
      </c>
      <c r="Q80">
        <v>1</v>
      </c>
      <c r="R80">
        <v>1</v>
      </c>
      <c r="S80">
        <v>0</v>
      </c>
      <c r="T80">
        <v>0</v>
      </c>
      <c r="U80">
        <v>123</v>
      </c>
      <c r="V80">
        <v>16</v>
      </c>
      <c r="W80">
        <v>35</v>
      </c>
      <c r="X80">
        <v>72</v>
      </c>
    </row>
    <row r="81" spans="1:24" x14ac:dyDescent="0.2">
      <c r="A81">
        <v>80</v>
      </c>
      <c r="B81" s="1">
        <v>40756</v>
      </c>
      <c r="C81" t="s">
        <v>24</v>
      </c>
      <c r="D81">
        <v>19</v>
      </c>
      <c r="E81">
        <v>4</v>
      </c>
      <c r="F81">
        <v>2</v>
      </c>
      <c r="G81" t="s">
        <v>26</v>
      </c>
      <c r="H81">
        <v>8</v>
      </c>
      <c r="I81">
        <v>4</v>
      </c>
      <c r="J81">
        <v>1</v>
      </c>
      <c r="K81">
        <v>3</v>
      </c>
      <c r="L81">
        <v>5</v>
      </c>
      <c r="M81">
        <v>4</v>
      </c>
      <c r="N81">
        <v>10</v>
      </c>
      <c r="O81">
        <v>54</v>
      </c>
      <c r="P81">
        <v>0</v>
      </c>
      <c r="Q81">
        <v>1</v>
      </c>
      <c r="R81">
        <v>0</v>
      </c>
      <c r="S81">
        <v>0</v>
      </c>
      <c r="T81">
        <v>0</v>
      </c>
      <c r="U81">
        <v>82</v>
      </c>
      <c r="V81">
        <v>8</v>
      </c>
      <c r="W81">
        <v>20</v>
      </c>
      <c r="X81">
        <v>54</v>
      </c>
    </row>
    <row r="82" spans="1:24" x14ac:dyDescent="0.2">
      <c r="A82">
        <v>81</v>
      </c>
      <c r="B82" s="1">
        <v>40756</v>
      </c>
      <c r="C82" t="s">
        <v>28</v>
      </c>
      <c r="D82">
        <v>19</v>
      </c>
      <c r="E82">
        <v>4</v>
      </c>
      <c r="F82">
        <v>2</v>
      </c>
      <c r="G82" t="s">
        <v>27</v>
      </c>
      <c r="H82">
        <v>9</v>
      </c>
      <c r="I82">
        <v>9</v>
      </c>
      <c r="J82">
        <v>1</v>
      </c>
      <c r="K82">
        <v>5</v>
      </c>
      <c r="L82">
        <v>3</v>
      </c>
      <c r="M82">
        <v>12</v>
      </c>
      <c r="N82">
        <v>10</v>
      </c>
      <c r="O82">
        <v>16</v>
      </c>
      <c r="P82">
        <v>2</v>
      </c>
      <c r="Q82">
        <v>0</v>
      </c>
      <c r="R82">
        <v>0</v>
      </c>
      <c r="S82">
        <v>0</v>
      </c>
      <c r="T82">
        <v>0</v>
      </c>
      <c r="U82">
        <v>58</v>
      </c>
      <c r="V82">
        <v>15</v>
      </c>
      <c r="W82">
        <v>27</v>
      </c>
      <c r="X82">
        <v>16</v>
      </c>
    </row>
    <row r="83" spans="1:24" x14ac:dyDescent="0.2">
      <c r="A83">
        <v>82</v>
      </c>
      <c r="B83" s="1">
        <v>40758</v>
      </c>
      <c r="C83" t="s">
        <v>24</v>
      </c>
      <c r="D83">
        <v>21</v>
      </c>
      <c r="E83">
        <v>4</v>
      </c>
      <c r="F83">
        <v>4</v>
      </c>
      <c r="G83" t="s">
        <v>25</v>
      </c>
      <c r="H83">
        <v>1</v>
      </c>
      <c r="I83">
        <v>6</v>
      </c>
      <c r="J83">
        <v>1</v>
      </c>
      <c r="K83">
        <v>6</v>
      </c>
      <c r="L83">
        <v>2</v>
      </c>
      <c r="M83">
        <v>4</v>
      </c>
      <c r="N83">
        <v>25</v>
      </c>
      <c r="O83">
        <v>27</v>
      </c>
      <c r="P83">
        <v>3</v>
      </c>
      <c r="Q83">
        <v>2</v>
      </c>
      <c r="R83">
        <v>1</v>
      </c>
      <c r="S83">
        <v>0</v>
      </c>
      <c r="T83">
        <v>0</v>
      </c>
      <c r="U83">
        <v>77</v>
      </c>
      <c r="V83">
        <v>13</v>
      </c>
      <c r="W83">
        <v>37</v>
      </c>
      <c r="X83">
        <v>27</v>
      </c>
    </row>
    <row r="84" spans="1:24" x14ac:dyDescent="0.2">
      <c r="A84">
        <v>83</v>
      </c>
      <c r="B84" s="1">
        <v>40758</v>
      </c>
      <c r="C84" t="s">
        <v>24</v>
      </c>
      <c r="D84">
        <v>21</v>
      </c>
      <c r="E84">
        <v>4</v>
      </c>
      <c r="F84">
        <v>4</v>
      </c>
      <c r="G84" t="s">
        <v>25</v>
      </c>
      <c r="H84">
        <v>2</v>
      </c>
      <c r="I84">
        <v>6</v>
      </c>
      <c r="J84">
        <v>0</v>
      </c>
      <c r="K84">
        <v>6</v>
      </c>
      <c r="L84">
        <v>4</v>
      </c>
      <c r="M84">
        <v>4</v>
      </c>
      <c r="N84">
        <v>42</v>
      </c>
      <c r="O84">
        <v>36</v>
      </c>
      <c r="P84">
        <v>1</v>
      </c>
      <c r="Q84">
        <v>1</v>
      </c>
      <c r="R84">
        <v>2</v>
      </c>
      <c r="S84">
        <v>1</v>
      </c>
      <c r="T84">
        <v>0</v>
      </c>
      <c r="U84">
        <v>103</v>
      </c>
      <c r="V84">
        <v>12</v>
      </c>
      <c r="W84">
        <v>55</v>
      </c>
      <c r="X84">
        <v>36</v>
      </c>
    </row>
    <row r="85" spans="1:24" x14ac:dyDescent="0.2">
      <c r="A85">
        <v>84</v>
      </c>
      <c r="B85" s="1">
        <v>40758</v>
      </c>
      <c r="C85" t="s">
        <v>24</v>
      </c>
      <c r="D85">
        <v>21</v>
      </c>
      <c r="E85">
        <v>4</v>
      </c>
      <c r="F85">
        <v>4</v>
      </c>
      <c r="G85" t="s">
        <v>26</v>
      </c>
      <c r="H85">
        <v>3</v>
      </c>
      <c r="I85">
        <v>7</v>
      </c>
      <c r="J85">
        <v>1</v>
      </c>
      <c r="K85">
        <v>4</v>
      </c>
      <c r="L85">
        <v>3</v>
      </c>
      <c r="M85">
        <v>7</v>
      </c>
      <c r="N85">
        <v>17</v>
      </c>
      <c r="O85">
        <v>42</v>
      </c>
      <c r="P85">
        <v>0</v>
      </c>
      <c r="Q85">
        <v>0</v>
      </c>
      <c r="R85">
        <v>0</v>
      </c>
      <c r="S85">
        <v>0</v>
      </c>
      <c r="T85">
        <v>0</v>
      </c>
      <c r="U85">
        <v>81</v>
      </c>
      <c r="V85">
        <v>12</v>
      </c>
      <c r="W85">
        <v>27</v>
      </c>
      <c r="X85">
        <v>42</v>
      </c>
    </row>
    <row r="86" spans="1:24" x14ac:dyDescent="0.2">
      <c r="A86">
        <v>85</v>
      </c>
      <c r="B86" s="1">
        <v>40758</v>
      </c>
      <c r="C86" t="s">
        <v>24</v>
      </c>
      <c r="D86">
        <v>21</v>
      </c>
      <c r="E86">
        <v>4</v>
      </c>
      <c r="F86">
        <v>4</v>
      </c>
      <c r="G86" t="s">
        <v>25</v>
      </c>
      <c r="H86">
        <v>4</v>
      </c>
      <c r="I86">
        <v>5</v>
      </c>
      <c r="J86">
        <v>0</v>
      </c>
      <c r="K86">
        <v>3</v>
      </c>
      <c r="L86">
        <v>5</v>
      </c>
      <c r="M86">
        <v>6</v>
      </c>
      <c r="N86">
        <v>57</v>
      </c>
      <c r="O86">
        <v>88</v>
      </c>
      <c r="P86">
        <v>1</v>
      </c>
      <c r="Q86">
        <v>2</v>
      </c>
      <c r="R86">
        <v>2</v>
      </c>
      <c r="S86">
        <v>1</v>
      </c>
      <c r="T86">
        <v>0</v>
      </c>
      <c r="U86">
        <v>170</v>
      </c>
      <c r="V86">
        <v>8</v>
      </c>
      <c r="W86">
        <v>74</v>
      </c>
      <c r="X86">
        <v>88</v>
      </c>
    </row>
    <row r="87" spans="1:24" x14ac:dyDescent="0.2">
      <c r="A87">
        <v>86</v>
      </c>
      <c r="B87" s="1">
        <v>40758</v>
      </c>
      <c r="C87" t="s">
        <v>24</v>
      </c>
      <c r="D87">
        <v>21</v>
      </c>
      <c r="E87">
        <v>4</v>
      </c>
      <c r="F87">
        <v>4</v>
      </c>
      <c r="G87" t="s">
        <v>26</v>
      </c>
      <c r="H87">
        <v>5</v>
      </c>
      <c r="I87">
        <v>8</v>
      </c>
      <c r="J87">
        <v>0</v>
      </c>
      <c r="K87">
        <v>4</v>
      </c>
      <c r="L87">
        <v>4</v>
      </c>
      <c r="M87">
        <v>7</v>
      </c>
      <c r="N87">
        <v>33</v>
      </c>
      <c r="O87">
        <v>66</v>
      </c>
      <c r="P87">
        <v>0</v>
      </c>
      <c r="Q87">
        <v>0</v>
      </c>
      <c r="R87">
        <v>0</v>
      </c>
      <c r="S87">
        <v>0</v>
      </c>
      <c r="T87">
        <v>0</v>
      </c>
      <c r="U87">
        <v>122</v>
      </c>
      <c r="V87">
        <v>12</v>
      </c>
      <c r="W87">
        <v>44</v>
      </c>
      <c r="X87">
        <v>66</v>
      </c>
    </row>
    <row r="88" spans="1:24" x14ac:dyDescent="0.2">
      <c r="A88">
        <v>87</v>
      </c>
      <c r="B88" s="1">
        <v>40758</v>
      </c>
      <c r="C88" t="s">
        <v>24</v>
      </c>
      <c r="D88">
        <v>21</v>
      </c>
      <c r="E88">
        <v>4</v>
      </c>
      <c r="F88">
        <v>4</v>
      </c>
      <c r="G88" t="s">
        <v>27</v>
      </c>
      <c r="H88">
        <v>6</v>
      </c>
      <c r="I88">
        <v>4</v>
      </c>
      <c r="J88">
        <v>0</v>
      </c>
      <c r="K88">
        <v>2</v>
      </c>
      <c r="L88">
        <v>2</v>
      </c>
      <c r="M88">
        <v>3</v>
      </c>
      <c r="N88">
        <v>30</v>
      </c>
      <c r="O88">
        <v>29</v>
      </c>
      <c r="P88">
        <v>1</v>
      </c>
      <c r="Q88">
        <v>2</v>
      </c>
      <c r="R88">
        <v>1</v>
      </c>
      <c r="S88">
        <v>0</v>
      </c>
      <c r="T88">
        <v>0</v>
      </c>
      <c r="U88">
        <v>74</v>
      </c>
      <c r="V88">
        <v>6</v>
      </c>
      <c r="W88">
        <v>39</v>
      </c>
      <c r="X88">
        <v>29</v>
      </c>
    </row>
    <row r="89" spans="1:24" x14ac:dyDescent="0.2">
      <c r="A89">
        <v>88</v>
      </c>
      <c r="B89" s="1">
        <v>40758</v>
      </c>
      <c r="C89" t="s">
        <v>24</v>
      </c>
      <c r="D89">
        <v>21</v>
      </c>
      <c r="E89">
        <v>4</v>
      </c>
      <c r="F89">
        <v>4</v>
      </c>
      <c r="G89" t="s">
        <v>27</v>
      </c>
      <c r="H89">
        <v>7</v>
      </c>
      <c r="I89">
        <v>7</v>
      </c>
      <c r="J89">
        <v>0</v>
      </c>
      <c r="K89">
        <v>6</v>
      </c>
      <c r="L89">
        <v>7</v>
      </c>
      <c r="M89">
        <v>4</v>
      </c>
      <c r="N89">
        <v>35</v>
      </c>
      <c r="O89">
        <v>22</v>
      </c>
      <c r="P89">
        <v>4</v>
      </c>
      <c r="Q89">
        <v>2</v>
      </c>
      <c r="R89">
        <v>0</v>
      </c>
      <c r="S89">
        <v>0</v>
      </c>
      <c r="T89">
        <v>0</v>
      </c>
      <c r="U89">
        <v>87</v>
      </c>
      <c r="V89">
        <v>13</v>
      </c>
      <c r="W89">
        <v>52</v>
      </c>
      <c r="X89">
        <v>22</v>
      </c>
    </row>
    <row r="90" spans="1:24" x14ac:dyDescent="0.2">
      <c r="A90">
        <v>89</v>
      </c>
      <c r="B90" s="1">
        <v>40758</v>
      </c>
      <c r="C90" t="s">
        <v>24</v>
      </c>
      <c r="D90">
        <v>21</v>
      </c>
      <c r="E90">
        <v>4</v>
      </c>
      <c r="F90">
        <v>4</v>
      </c>
      <c r="G90" t="s">
        <v>26</v>
      </c>
      <c r="H90">
        <v>8</v>
      </c>
      <c r="I90">
        <v>3</v>
      </c>
      <c r="J90">
        <v>1</v>
      </c>
      <c r="K90">
        <v>1</v>
      </c>
      <c r="L90">
        <v>2</v>
      </c>
      <c r="M90">
        <v>4</v>
      </c>
      <c r="N90">
        <v>21</v>
      </c>
      <c r="O90">
        <v>15</v>
      </c>
      <c r="P90">
        <v>1</v>
      </c>
      <c r="Q90">
        <v>0</v>
      </c>
      <c r="R90">
        <v>1</v>
      </c>
      <c r="S90">
        <v>0</v>
      </c>
      <c r="T90">
        <v>0</v>
      </c>
      <c r="U90">
        <v>49</v>
      </c>
      <c r="V90">
        <v>5</v>
      </c>
      <c r="W90">
        <v>29</v>
      </c>
      <c r="X90">
        <v>15</v>
      </c>
    </row>
    <row r="91" spans="1:24" x14ac:dyDescent="0.2">
      <c r="A91">
        <v>90</v>
      </c>
      <c r="B91" s="1">
        <v>40758</v>
      </c>
      <c r="C91" t="s">
        <v>24</v>
      </c>
      <c r="D91">
        <v>21</v>
      </c>
      <c r="E91">
        <v>4</v>
      </c>
      <c r="F91">
        <v>4</v>
      </c>
      <c r="G91" t="s">
        <v>27</v>
      </c>
      <c r="H91">
        <v>9</v>
      </c>
      <c r="I91">
        <v>7</v>
      </c>
      <c r="J91">
        <v>0</v>
      </c>
      <c r="K91">
        <v>4</v>
      </c>
      <c r="L91">
        <v>1</v>
      </c>
      <c r="M91">
        <v>5</v>
      </c>
      <c r="N91">
        <v>6</v>
      </c>
      <c r="O91">
        <v>34</v>
      </c>
      <c r="P91">
        <v>0</v>
      </c>
      <c r="Q91">
        <v>1</v>
      </c>
      <c r="R91">
        <v>1</v>
      </c>
      <c r="S91">
        <v>0</v>
      </c>
      <c r="T91">
        <v>0</v>
      </c>
      <c r="U91">
        <v>59</v>
      </c>
      <c r="V91">
        <v>11</v>
      </c>
      <c r="W91">
        <v>14</v>
      </c>
      <c r="X91">
        <v>34</v>
      </c>
    </row>
    <row r="92" spans="1:24" x14ac:dyDescent="0.2">
      <c r="A92">
        <v>91</v>
      </c>
      <c r="B92" s="1">
        <v>40760</v>
      </c>
      <c r="C92" t="s">
        <v>28</v>
      </c>
      <c r="D92">
        <v>23</v>
      </c>
      <c r="E92">
        <v>4</v>
      </c>
      <c r="F92">
        <v>6</v>
      </c>
      <c r="G92" t="s">
        <v>25</v>
      </c>
      <c r="H92">
        <v>1</v>
      </c>
      <c r="I92">
        <v>9</v>
      </c>
      <c r="J92">
        <v>2</v>
      </c>
      <c r="K92">
        <v>2</v>
      </c>
      <c r="L92">
        <v>2</v>
      </c>
      <c r="M92">
        <v>6</v>
      </c>
      <c r="N92">
        <v>25</v>
      </c>
      <c r="O92">
        <v>40</v>
      </c>
      <c r="P92">
        <v>0</v>
      </c>
      <c r="Q92">
        <v>2</v>
      </c>
      <c r="R92">
        <v>0</v>
      </c>
      <c r="S92">
        <v>0</v>
      </c>
      <c r="T92">
        <v>0</v>
      </c>
      <c r="U92">
        <v>88</v>
      </c>
      <c r="V92">
        <v>13</v>
      </c>
      <c r="W92">
        <v>35</v>
      </c>
      <c r="X92">
        <v>40</v>
      </c>
    </row>
    <row r="93" spans="1:24" x14ac:dyDescent="0.2">
      <c r="A93">
        <v>92</v>
      </c>
      <c r="B93" s="1">
        <v>40760</v>
      </c>
      <c r="C93" t="s">
        <v>28</v>
      </c>
      <c r="D93">
        <v>23</v>
      </c>
      <c r="E93">
        <v>4</v>
      </c>
      <c r="F93">
        <v>6</v>
      </c>
      <c r="G93" t="s">
        <v>25</v>
      </c>
      <c r="H93">
        <v>2</v>
      </c>
      <c r="I93">
        <v>6</v>
      </c>
      <c r="J93">
        <v>0</v>
      </c>
      <c r="K93">
        <v>5</v>
      </c>
      <c r="L93">
        <v>2</v>
      </c>
      <c r="M93">
        <v>10</v>
      </c>
      <c r="N93">
        <v>33</v>
      </c>
      <c r="O93">
        <v>74</v>
      </c>
      <c r="P93">
        <v>0</v>
      </c>
      <c r="Q93">
        <v>0</v>
      </c>
      <c r="R93">
        <v>1</v>
      </c>
      <c r="S93">
        <v>1</v>
      </c>
      <c r="T93">
        <v>0</v>
      </c>
      <c r="U93">
        <v>132</v>
      </c>
      <c r="V93">
        <v>11</v>
      </c>
      <c r="W93">
        <v>47</v>
      </c>
      <c r="X93">
        <v>74</v>
      </c>
    </row>
    <row r="94" spans="1:24" x14ac:dyDescent="0.2">
      <c r="A94">
        <v>93</v>
      </c>
      <c r="B94" s="1">
        <v>40760</v>
      </c>
      <c r="C94" t="s">
        <v>28</v>
      </c>
      <c r="D94">
        <v>23</v>
      </c>
      <c r="E94">
        <v>4</v>
      </c>
      <c r="F94">
        <v>6</v>
      </c>
      <c r="G94" t="s">
        <v>26</v>
      </c>
      <c r="H94">
        <v>3</v>
      </c>
      <c r="I94">
        <v>5</v>
      </c>
      <c r="J94">
        <v>1</v>
      </c>
      <c r="K94">
        <v>4</v>
      </c>
      <c r="L94">
        <v>2</v>
      </c>
      <c r="M94">
        <v>6</v>
      </c>
      <c r="N94">
        <v>16</v>
      </c>
      <c r="O94">
        <v>67</v>
      </c>
      <c r="P94">
        <v>0</v>
      </c>
      <c r="Q94">
        <v>0</v>
      </c>
      <c r="R94">
        <v>0</v>
      </c>
      <c r="S94">
        <v>0</v>
      </c>
      <c r="T94">
        <v>0</v>
      </c>
      <c r="U94">
        <v>101</v>
      </c>
      <c r="V94">
        <v>10</v>
      </c>
      <c r="W94">
        <v>24</v>
      </c>
      <c r="X94">
        <v>67</v>
      </c>
    </row>
    <row r="95" spans="1:24" x14ac:dyDescent="0.2">
      <c r="A95">
        <v>94</v>
      </c>
      <c r="B95" s="1">
        <v>40760</v>
      </c>
      <c r="C95" t="s">
        <v>28</v>
      </c>
      <c r="D95">
        <v>23</v>
      </c>
      <c r="E95">
        <v>4</v>
      </c>
      <c r="F95">
        <v>6</v>
      </c>
      <c r="G95" t="s">
        <v>25</v>
      </c>
      <c r="H95">
        <v>4</v>
      </c>
      <c r="I95">
        <v>6</v>
      </c>
      <c r="J95">
        <v>0</v>
      </c>
      <c r="K95">
        <v>1</v>
      </c>
      <c r="L95">
        <v>2</v>
      </c>
      <c r="M95">
        <v>5</v>
      </c>
      <c r="N95">
        <v>52</v>
      </c>
      <c r="O95">
        <v>94</v>
      </c>
      <c r="P95">
        <v>2</v>
      </c>
      <c r="Q95">
        <v>2</v>
      </c>
      <c r="R95">
        <v>1</v>
      </c>
      <c r="S95">
        <v>1</v>
      </c>
      <c r="T95">
        <v>0</v>
      </c>
      <c r="U95">
        <v>166</v>
      </c>
      <c r="V95">
        <v>7</v>
      </c>
      <c r="W95">
        <v>65</v>
      </c>
      <c r="X95">
        <v>94</v>
      </c>
    </row>
    <row r="96" spans="1:24" x14ac:dyDescent="0.2">
      <c r="A96">
        <v>95</v>
      </c>
      <c r="B96" s="1">
        <v>40760</v>
      </c>
      <c r="C96" t="s">
        <v>28</v>
      </c>
      <c r="D96">
        <v>23</v>
      </c>
      <c r="E96">
        <v>4</v>
      </c>
      <c r="F96">
        <v>6</v>
      </c>
      <c r="G96" t="s">
        <v>26</v>
      </c>
      <c r="H96">
        <v>5</v>
      </c>
      <c r="I96">
        <v>11</v>
      </c>
      <c r="J96">
        <v>0</v>
      </c>
      <c r="K96">
        <v>4</v>
      </c>
      <c r="L96">
        <v>3</v>
      </c>
      <c r="M96">
        <v>10</v>
      </c>
      <c r="N96">
        <v>48</v>
      </c>
      <c r="O96">
        <v>71</v>
      </c>
      <c r="P96">
        <v>0</v>
      </c>
      <c r="Q96">
        <v>1</v>
      </c>
      <c r="R96">
        <v>0</v>
      </c>
      <c r="S96">
        <v>0</v>
      </c>
      <c r="T96">
        <v>0</v>
      </c>
      <c r="U96">
        <v>148</v>
      </c>
      <c r="V96">
        <v>15</v>
      </c>
      <c r="W96">
        <v>62</v>
      </c>
      <c r="X96">
        <v>71</v>
      </c>
    </row>
    <row r="97" spans="1:24" x14ac:dyDescent="0.2">
      <c r="A97">
        <v>96</v>
      </c>
      <c r="B97" s="1">
        <v>40760</v>
      </c>
      <c r="C97" t="s">
        <v>28</v>
      </c>
      <c r="D97">
        <v>23</v>
      </c>
      <c r="E97">
        <v>4</v>
      </c>
      <c r="F97">
        <v>6</v>
      </c>
      <c r="G97" t="s">
        <v>27</v>
      </c>
      <c r="H97">
        <v>6</v>
      </c>
      <c r="I97">
        <v>4</v>
      </c>
      <c r="J97">
        <v>0</v>
      </c>
      <c r="K97">
        <v>3</v>
      </c>
      <c r="L97">
        <v>3</v>
      </c>
      <c r="M97">
        <v>8</v>
      </c>
      <c r="N97">
        <v>26</v>
      </c>
      <c r="O97">
        <v>41</v>
      </c>
      <c r="P97">
        <v>1</v>
      </c>
      <c r="Q97">
        <v>1</v>
      </c>
      <c r="R97">
        <v>0</v>
      </c>
      <c r="S97">
        <v>0</v>
      </c>
      <c r="T97">
        <v>0</v>
      </c>
      <c r="U97">
        <v>87</v>
      </c>
      <c r="V97">
        <v>7</v>
      </c>
      <c r="W97">
        <v>39</v>
      </c>
      <c r="X97">
        <v>41</v>
      </c>
    </row>
    <row r="98" spans="1:24" x14ac:dyDescent="0.2">
      <c r="A98">
        <v>97</v>
      </c>
      <c r="B98" s="1">
        <v>40760</v>
      </c>
      <c r="C98" t="s">
        <v>28</v>
      </c>
      <c r="D98">
        <v>23</v>
      </c>
      <c r="E98">
        <v>4</v>
      </c>
      <c r="F98">
        <v>6</v>
      </c>
      <c r="G98" t="s">
        <v>27</v>
      </c>
      <c r="H98">
        <v>7</v>
      </c>
      <c r="I98">
        <v>12</v>
      </c>
      <c r="J98">
        <v>0</v>
      </c>
      <c r="K98">
        <v>10</v>
      </c>
      <c r="L98">
        <v>3</v>
      </c>
      <c r="M98">
        <v>6</v>
      </c>
      <c r="N98">
        <v>23</v>
      </c>
      <c r="O98">
        <v>68</v>
      </c>
      <c r="P98">
        <v>0</v>
      </c>
      <c r="Q98">
        <v>0</v>
      </c>
      <c r="R98">
        <v>0</v>
      </c>
      <c r="S98">
        <v>0</v>
      </c>
      <c r="T98">
        <v>0</v>
      </c>
      <c r="U98">
        <v>122</v>
      </c>
      <c r="V98">
        <v>22</v>
      </c>
      <c r="W98">
        <v>32</v>
      </c>
      <c r="X98">
        <v>68</v>
      </c>
    </row>
    <row r="99" spans="1:24" x14ac:dyDescent="0.2">
      <c r="A99">
        <v>98</v>
      </c>
      <c r="B99" s="1">
        <v>40760</v>
      </c>
      <c r="C99" t="s">
        <v>28</v>
      </c>
      <c r="D99">
        <v>23</v>
      </c>
      <c r="E99">
        <v>4</v>
      </c>
      <c r="F99">
        <v>6</v>
      </c>
      <c r="G99" t="s">
        <v>26</v>
      </c>
      <c r="H99">
        <v>8</v>
      </c>
      <c r="I99">
        <v>4</v>
      </c>
      <c r="J99">
        <v>1</v>
      </c>
      <c r="K99">
        <v>0</v>
      </c>
      <c r="L99">
        <v>2</v>
      </c>
      <c r="M99">
        <v>4</v>
      </c>
      <c r="N99">
        <v>18</v>
      </c>
      <c r="O99">
        <v>52</v>
      </c>
      <c r="P99">
        <v>0</v>
      </c>
      <c r="Q99">
        <v>0</v>
      </c>
      <c r="R99">
        <v>1</v>
      </c>
      <c r="S99">
        <v>0</v>
      </c>
      <c r="T99">
        <v>0</v>
      </c>
      <c r="U99">
        <v>82</v>
      </c>
      <c r="V99">
        <v>5</v>
      </c>
      <c r="W99">
        <v>25</v>
      </c>
      <c r="X99">
        <v>52</v>
      </c>
    </row>
    <row r="100" spans="1:24" x14ac:dyDescent="0.2">
      <c r="A100">
        <v>99</v>
      </c>
      <c r="B100" s="1">
        <v>40760</v>
      </c>
      <c r="C100" t="s">
        <v>28</v>
      </c>
      <c r="D100">
        <v>23</v>
      </c>
      <c r="E100">
        <v>4</v>
      </c>
      <c r="F100">
        <v>6</v>
      </c>
      <c r="G100" t="s">
        <v>27</v>
      </c>
      <c r="H100">
        <v>9</v>
      </c>
      <c r="I100">
        <v>9</v>
      </c>
      <c r="J100">
        <v>0</v>
      </c>
      <c r="K100">
        <v>2</v>
      </c>
      <c r="L100">
        <v>2</v>
      </c>
      <c r="M100">
        <v>4</v>
      </c>
      <c r="N100">
        <v>7</v>
      </c>
      <c r="O100">
        <v>85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109</v>
      </c>
      <c r="V100">
        <v>11</v>
      </c>
      <c r="W100">
        <v>13</v>
      </c>
      <c r="X100">
        <v>85</v>
      </c>
    </row>
    <row r="101" spans="1:24" x14ac:dyDescent="0.2">
      <c r="A101">
        <v>100</v>
      </c>
      <c r="B101" s="1">
        <v>40763</v>
      </c>
      <c r="C101" t="s">
        <v>28</v>
      </c>
      <c r="D101">
        <v>26</v>
      </c>
      <c r="E101">
        <v>5</v>
      </c>
      <c r="F101">
        <v>2</v>
      </c>
      <c r="G101" t="s">
        <v>25</v>
      </c>
      <c r="H101">
        <v>1</v>
      </c>
      <c r="I101">
        <v>12</v>
      </c>
      <c r="J101">
        <v>2</v>
      </c>
      <c r="K101">
        <v>5</v>
      </c>
      <c r="L101">
        <v>2</v>
      </c>
      <c r="M101">
        <v>6</v>
      </c>
      <c r="N101">
        <v>21</v>
      </c>
      <c r="O101">
        <v>114</v>
      </c>
      <c r="P101">
        <v>0</v>
      </c>
      <c r="Q101">
        <v>0</v>
      </c>
      <c r="R101">
        <v>4</v>
      </c>
      <c r="S101">
        <v>0</v>
      </c>
      <c r="T101">
        <v>0</v>
      </c>
      <c r="U101">
        <v>166</v>
      </c>
      <c r="V101">
        <v>19</v>
      </c>
      <c r="W101">
        <v>33</v>
      </c>
      <c r="X101">
        <v>114</v>
      </c>
    </row>
    <row r="102" spans="1:24" x14ac:dyDescent="0.2">
      <c r="A102">
        <v>101</v>
      </c>
      <c r="B102" s="1">
        <v>40763</v>
      </c>
      <c r="C102" t="s">
        <v>28</v>
      </c>
      <c r="D102">
        <v>26</v>
      </c>
      <c r="E102">
        <v>5</v>
      </c>
      <c r="F102">
        <v>2</v>
      </c>
      <c r="G102" t="s">
        <v>25</v>
      </c>
      <c r="H102">
        <v>2</v>
      </c>
      <c r="I102">
        <v>10</v>
      </c>
      <c r="J102">
        <v>0</v>
      </c>
      <c r="K102">
        <v>5</v>
      </c>
      <c r="L102">
        <v>3</v>
      </c>
      <c r="M102">
        <v>7</v>
      </c>
      <c r="N102">
        <v>19</v>
      </c>
      <c r="O102">
        <v>105</v>
      </c>
      <c r="P102">
        <v>2</v>
      </c>
      <c r="Q102">
        <v>4</v>
      </c>
      <c r="R102">
        <v>2</v>
      </c>
      <c r="S102">
        <v>0</v>
      </c>
      <c r="T102">
        <v>0</v>
      </c>
      <c r="U102">
        <v>157</v>
      </c>
      <c r="V102">
        <v>15</v>
      </c>
      <c r="W102">
        <v>37</v>
      </c>
      <c r="X102">
        <v>105</v>
      </c>
    </row>
    <row r="103" spans="1:24" x14ac:dyDescent="0.2">
      <c r="A103">
        <v>102</v>
      </c>
      <c r="B103" s="1">
        <v>40763</v>
      </c>
      <c r="C103" t="s">
        <v>28</v>
      </c>
      <c r="D103">
        <v>26</v>
      </c>
      <c r="E103">
        <v>5</v>
      </c>
      <c r="F103">
        <v>2</v>
      </c>
      <c r="G103" t="s">
        <v>26</v>
      </c>
      <c r="H103">
        <v>3</v>
      </c>
      <c r="I103">
        <v>7</v>
      </c>
      <c r="J103">
        <v>1</v>
      </c>
      <c r="K103">
        <v>4</v>
      </c>
      <c r="L103">
        <v>6</v>
      </c>
      <c r="M103">
        <v>8</v>
      </c>
      <c r="N103">
        <v>21</v>
      </c>
      <c r="O103">
        <v>73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122</v>
      </c>
      <c r="V103">
        <v>12</v>
      </c>
      <c r="W103">
        <v>37</v>
      </c>
      <c r="X103">
        <v>73</v>
      </c>
    </row>
    <row r="104" spans="1:24" x14ac:dyDescent="0.2">
      <c r="A104">
        <v>103</v>
      </c>
      <c r="B104" s="1">
        <v>40763</v>
      </c>
      <c r="C104" t="s">
        <v>28</v>
      </c>
      <c r="D104">
        <v>26</v>
      </c>
      <c r="E104">
        <v>5</v>
      </c>
      <c r="F104">
        <v>2</v>
      </c>
      <c r="G104" t="s">
        <v>25</v>
      </c>
      <c r="H104">
        <v>4</v>
      </c>
      <c r="I104">
        <v>9</v>
      </c>
      <c r="J104">
        <v>0</v>
      </c>
      <c r="K104">
        <v>3</v>
      </c>
      <c r="L104">
        <v>2</v>
      </c>
      <c r="M104">
        <v>11</v>
      </c>
      <c r="N104">
        <v>30</v>
      </c>
      <c r="O104">
        <v>85</v>
      </c>
      <c r="P104">
        <v>0</v>
      </c>
      <c r="Q104">
        <v>8</v>
      </c>
      <c r="R104">
        <v>0</v>
      </c>
      <c r="S104">
        <v>0</v>
      </c>
      <c r="T104">
        <v>0</v>
      </c>
      <c r="U104">
        <v>148</v>
      </c>
      <c r="V104">
        <v>12</v>
      </c>
      <c r="W104">
        <v>51</v>
      </c>
      <c r="X104">
        <v>85</v>
      </c>
    </row>
    <row r="105" spans="1:24" x14ac:dyDescent="0.2">
      <c r="A105">
        <v>104</v>
      </c>
      <c r="B105" s="1">
        <v>40763</v>
      </c>
      <c r="C105" t="s">
        <v>28</v>
      </c>
      <c r="D105">
        <v>26</v>
      </c>
      <c r="E105">
        <v>5</v>
      </c>
      <c r="F105">
        <v>2</v>
      </c>
      <c r="G105" t="s">
        <v>26</v>
      </c>
      <c r="H105">
        <v>5</v>
      </c>
      <c r="I105">
        <v>10</v>
      </c>
      <c r="J105">
        <v>0</v>
      </c>
      <c r="K105">
        <v>6</v>
      </c>
      <c r="L105">
        <v>3</v>
      </c>
      <c r="M105">
        <v>12</v>
      </c>
      <c r="N105">
        <v>34</v>
      </c>
      <c r="O105">
        <v>92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157</v>
      </c>
      <c r="V105">
        <v>16</v>
      </c>
      <c r="W105">
        <v>49</v>
      </c>
      <c r="X105">
        <v>92</v>
      </c>
    </row>
    <row r="106" spans="1:24" x14ac:dyDescent="0.2">
      <c r="A106">
        <v>105</v>
      </c>
      <c r="B106" s="1">
        <v>40763</v>
      </c>
      <c r="C106" t="s">
        <v>28</v>
      </c>
      <c r="D106">
        <v>26</v>
      </c>
      <c r="E106">
        <v>5</v>
      </c>
      <c r="F106">
        <v>2</v>
      </c>
      <c r="G106" t="s">
        <v>27</v>
      </c>
      <c r="H106">
        <v>6</v>
      </c>
      <c r="I106">
        <v>8</v>
      </c>
      <c r="J106">
        <v>0</v>
      </c>
      <c r="K106">
        <v>5</v>
      </c>
      <c r="L106">
        <v>4</v>
      </c>
      <c r="M106">
        <v>10</v>
      </c>
      <c r="N106">
        <v>21</v>
      </c>
      <c r="O106">
        <v>79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128</v>
      </c>
      <c r="V106">
        <v>13</v>
      </c>
      <c r="W106">
        <v>36</v>
      </c>
      <c r="X106">
        <v>79</v>
      </c>
    </row>
    <row r="107" spans="1:24" x14ac:dyDescent="0.2">
      <c r="A107">
        <v>106</v>
      </c>
      <c r="B107" s="1">
        <v>40763</v>
      </c>
      <c r="C107" t="s">
        <v>28</v>
      </c>
      <c r="D107">
        <v>26</v>
      </c>
      <c r="E107">
        <v>5</v>
      </c>
      <c r="F107">
        <v>2</v>
      </c>
      <c r="G107" t="s">
        <v>27</v>
      </c>
      <c r="H107">
        <v>7</v>
      </c>
      <c r="I107">
        <v>14</v>
      </c>
      <c r="J107">
        <v>0</v>
      </c>
      <c r="K107">
        <v>9</v>
      </c>
      <c r="L107">
        <v>3</v>
      </c>
      <c r="M107">
        <v>5</v>
      </c>
      <c r="N107">
        <v>21</v>
      </c>
      <c r="O107">
        <v>106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159</v>
      </c>
      <c r="V107">
        <v>23</v>
      </c>
      <c r="W107">
        <v>30</v>
      </c>
      <c r="X107">
        <v>106</v>
      </c>
    </row>
    <row r="108" spans="1:24" x14ac:dyDescent="0.2">
      <c r="A108">
        <v>107</v>
      </c>
      <c r="B108" s="1">
        <v>40763</v>
      </c>
      <c r="C108" t="s">
        <v>28</v>
      </c>
      <c r="D108">
        <v>26</v>
      </c>
      <c r="E108">
        <v>5</v>
      </c>
      <c r="F108">
        <v>2</v>
      </c>
      <c r="G108" t="s">
        <v>26</v>
      </c>
      <c r="H108">
        <v>8</v>
      </c>
      <c r="I108">
        <v>6</v>
      </c>
      <c r="J108">
        <v>1</v>
      </c>
      <c r="K108">
        <v>1</v>
      </c>
      <c r="L108">
        <v>3</v>
      </c>
      <c r="M108">
        <v>5</v>
      </c>
      <c r="N108">
        <v>14</v>
      </c>
      <c r="O108">
        <v>118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149</v>
      </c>
      <c r="V108">
        <v>8</v>
      </c>
      <c r="W108">
        <v>23</v>
      </c>
      <c r="X108">
        <v>118</v>
      </c>
    </row>
    <row r="109" spans="1:24" x14ac:dyDescent="0.2">
      <c r="A109">
        <v>108</v>
      </c>
      <c r="B109" s="1">
        <v>40763</v>
      </c>
      <c r="C109" t="s">
        <v>28</v>
      </c>
      <c r="D109">
        <v>26</v>
      </c>
      <c r="E109">
        <v>5</v>
      </c>
      <c r="F109">
        <v>2</v>
      </c>
      <c r="G109" t="s">
        <v>27</v>
      </c>
      <c r="H109">
        <v>9</v>
      </c>
      <c r="I109">
        <v>10</v>
      </c>
      <c r="J109">
        <v>0</v>
      </c>
      <c r="K109">
        <v>4</v>
      </c>
      <c r="L109">
        <v>1</v>
      </c>
      <c r="M109">
        <v>0</v>
      </c>
      <c r="N109">
        <v>12</v>
      </c>
      <c r="O109">
        <v>84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112</v>
      </c>
      <c r="V109">
        <v>14</v>
      </c>
      <c r="W109">
        <v>14</v>
      </c>
      <c r="X109">
        <v>84</v>
      </c>
    </row>
    <row r="110" spans="1:24" x14ac:dyDescent="0.2">
      <c r="A110">
        <v>109</v>
      </c>
      <c r="B110" s="1">
        <v>40765</v>
      </c>
      <c r="C110" t="s">
        <v>28</v>
      </c>
      <c r="D110">
        <v>28</v>
      </c>
      <c r="E110">
        <v>5</v>
      </c>
      <c r="F110">
        <v>4</v>
      </c>
      <c r="G110" t="s">
        <v>25</v>
      </c>
      <c r="H110">
        <v>1</v>
      </c>
      <c r="I110">
        <v>10</v>
      </c>
      <c r="J110">
        <v>2</v>
      </c>
      <c r="K110">
        <v>5</v>
      </c>
      <c r="L110">
        <v>4</v>
      </c>
      <c r="M110">
        <v>7</v>
      </c>
      <c r="N110">
        <v>46</v>
      </c>
      <c r="O110">
        <v>148</v>
      </c>
      <c r="P110">
        <v>2</v>
      </c>
      <c r="Q110">
        <v>3</v>
      </c>
      <c r="R110">
        <v>0</v>
      </c>
      <c r="S110">
        <v>0</v>
      </c>
      <c r="T110">
        <v>0</v>
      </c>
      <c r="U110">
        <v>227</v>
      </c>
      <c r="V110">
        <v>17</v>
      </c>
      <c r="W110">
        <v>62</v>
      </c>
      <c r="X110">
        <v>148</v>
      </c>
    </row>
    <row r="111" spans="1:24" x14ac:dyDescent="0.2">
      <c r="A111">
        <v>110</v>
      </c>
      <c r="B111" s="1">
        <v>40765</v>
      </c>
      <c r="C111" t="s">
        <v>28</v>
      </c>
      <c r="D111">
        <v>28</v>
      </c>
      <c r="E111">
        <v>5</v>
      </c>
      <c r="F111">
        <v>4</v>
      </c>
      <c r="G111" t="s">
        <v>25</v>
      </c>
      <c r="H111">
        <v>2</v>
      </c>
      <c r="I111">
        <v>11</v>
      </c>
      <c r="J111">
        <v>0</v>
      </c>
      <c r="K111">
        <v>6</v>
      </c>
      <c r="L111">
        <v>4</v>
      </c>
      <c r="M111">
        <v>5</v>
      </c>
      <c r="N111">
        <v>25</v>
      </c>
      <c r="O111">
        <v>148</v>
      </c>
      <c r="P111">
        <v>1</v>
      </c>
      <c r="Q111">
        <v>1</v>
      </c>
      <c r="R111">
        <v>3</v>
      </c>
      <c r="S111">
        <v>0</v>
      </c>
      <c r="T111">
        <v>0</v>
      </c>
      <c r="U111">
        <v>204</v>
      </c>
      <c r="V111">
        <v>17</v>
      </c>
      <c r="W111">
        <v>39</v>
      </c>
      <c r="X111">
        <v>148</v>
      </c>
    </row>
    <row r="112" spans="1:24" x14ac:dyDescent="0.2">
      <c r="A112">
        <v>111</v>
      </c>
      <c r="B112" s="1">
        <v>40765</v>
      </c>
      <c r="C112" t="s">
        <v>28</v>
      </c>
      <c r="D112">
        <v>28</v>
      </c>
      <c r="E112">
        <v>5</v>
      </c>
      <c r="F112">
        <v>4</v>
      </c>
      <c r="G112" t="s">
        <v>26</v>
      </c>
      <c r="H112">
        <v>3</v>
      </c>
      <c r="I112">
        <v>10</v>
      </c>
      <c r="J112">
        <v>0</v>
      </c>
      <c r="K112">
        <v>5</v>
      </c>
      <c r="L112">
        <v>2</v>
      </c>
      <c r="M112">
        <v>4</v>
      </c>
      <c r="N112">
        <v>21</v>
      </c>
      <c r="O112">
        <v>70</v>
      </c>
      <c r="P112">
        <v>3</v>
      </c>
      <c r="Q112">
        <v>1</v>
      </c>
      <c r="R112">
        <v>1</v>
      </c>
      <c r="S112">
        <v>0</v>
      </c>
      <c r="T112">
        <v>0</v>
      </c>
      <c r="U112">
        <v>117</v>
      </c>
      <c r="V112">
        <v>15</v>
      </c>
      <c r="W112">
        <v>32</v>
      </c>
      <c r="X112">
        <v>70</v>
      </c>
    </row>
    <row r="113" spans="1:24" x14ac:dyDescent="0.2">
      <c r="A113">
        <v>112</v>
      </c>
      <c r="B113" s="1">
        <v>40765</v>
      </c>
      <c r="C113" t="s">
        <v>28</v>
      </c>
      <c r="D113">
        <v>28</v>
      </c>
      <c r="E113">
        <v>5</v>
      </c>
      <c r="F113">
        <v>4</v>
      </c>
      <c r="G113" t="s">
        <v>25</v>
      </c>
      <c r="H113">
        <v>4</v>
      </c>
      <c r="I113">
        <v>11</v>
      </c>
      <c r="J113">
        <v>0</v>
      </c>
      <c r="K113">
        <v>5</v>
      </c>
      <c r="L113">
        <v>3</v>
      </c>
      <c r="M113">
        <v>10</v>
      </c>
      <c r="N113">
        <v>41</v>
      </c>
      <c r="O113">
        <v>134</v>
      </c>
      <c r="P113">
        <v>4</v>
      </c>
      <c r="Q113">
        <v>3</v>
      </c>
      <c r="R113">
        <v>0</v>
      </c>
      <c r="S113">
        <v>0</v>
      </c>
      <c r="T113">
        <v>0</v>
      </c>
      <c r="U113">
        <v>211</v>
      </c>
      <c r="V113">
        <v>16</v>
      </c>
      <c r="W113">
        <v>61</v>
      </c>
      <c r="X113">
        <v>134</v>
      </c>
    </row>
    <row r="114" spans="1:24" x14ac:dyDescent="0.2">
      <c r="A114">
        <v>113</v>
      </c>
      <c r="B114" s="1">
        <v>40765</v>
      </c>
      <c r="C114" t="s">
        <v>28</v>
      </c>
      <c r="D114">
        <v>28</v>
      </c>
      <c r="E114">
        <v>5</v>
      </c>
      <c r="F114">
        <v>4</v>
      </c>
      <c r="G114" t="s">
        <v>26</v>
      </c>
      <c r="H114">
        <v>5</v>
      </c>
      <c r="I114">
        <v>17</v>
      </c>
      <c r="J114">
        <v>0</v>
      </c>
      <c r="K114">
        <v>8</v>
      </c>
      <c r="L114">
        <v>3</v>
      </c>
      <c r="M114">
        <v>15</v>
      </c>
      <c r="N114">
        <v>50</v>
      </c>
      <c r="O114">
        <v>142</v>
      </c>
      <c r="P114">
        <v>4</v>
      </c>
      <c r="Q114">
        <v>1</v>
      </c>
      <c r="R114">
        <v>0</v>
      </c>
      <c r="S114">
        <v>0</v>
      </c>
      <c r="T114">
        <v>0</v>
      </c>
      <c r="U114">
        <v>240</v>
      </c>
      <c r="V114">
        <v>25</v>
      </c>
      <c r="W114">
        <v>73</v>
      </c>
      <c r="X114">
        <v>142</v>
      </c>
    </row>
    <row r="115" spans="1:24" x14ac:dyDescent="0.2">
      <c r="A115">
        <v>114</v>
      </c>
      <c r="B115" s="1">
        <v>40765</v>
      </c>
      <c r="C115" t="s">
        <v>28</v>
      </c>
      <c r="D115">
        <v>28</v>
      </c>
      <c r="E115">
        <v>5</v>
      </c>
      <c r="F115">
        <v>4</v>
      </c>
      <c r="G115" t="s">
        <v>27</v>
      </c>
      <c r="H115">
        <v>6</v>
      </c>
      <c r="I115">
        <v>10</v>
      </c>
      <c r="J115">
        <v>0</v>
      </c>
      <c r="K115">
        <v>4</v>
      </c>
      <c r="L115">
        <v>4</v>
      </c>
      <c r="M115">
        <v>6</v>
      </c>
      <c r="N115">
        <v>30</v>
      </c>
      <c r="O115">
        <v>115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170</v>
      </c>
      <c r="V115">
        <v>14</v>
      </c>
      <c r="W115">
        <v>41</v>
      </c>
      <c r="X115">
        <v>115</v>
      </c>
    </row>
    <row r="116" spans="1:24" x14ac:dyDescent="0.2">
      <c r="A116">
        <v>115</v>
      </c>
      <c r="B116" s="1">
        <v>40765</v>
      </c>
      <c r="C116" t="s">
        <v>28</v>
      </c>
      <c r="D116">
        <v>28</v>
      </c>
      <c r="E116">
        <v>5</v>
      </c>
      <c r="F116">
        <v>4</v>
      </c>
      <c r="G116" t="s">
        <v>27</v>
      </c>
      <c r="H116">
        <v>7</v>
      </c>
      <c r="I116">
        <v>13</v>
      </c>
      <c r="J116">
        <v>0</v>
      </c>
      <c r="K116">
        <v>10</v>
      </c>
      <c r="L116">
        <v>1</v>
      </c>
      <c r="M116">
        <v>8</v>
      </c>
      <c r="N116">
        <v>31</v>
      </c>
      <c r="O116">
        <v>202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266</v>
      </c>
      <c r="V116">
        <v>23</v>
      </c>
      <c r="W116">
        <v>41</v>
      </c>
      <c r="X116">
        <v>202</v>
      </c>
    </row>
    <row r="117" spans="1:24" x14ac:dyDescent="0.2">
      <c r="A117">
        <v>116</v>
      </c>
      <c r="B117" s="1">
        <v>40765</v>
      </c>
      <c r="C117" t="s">
        <v>28</v>
      </c>
      <c r="D117">
        <v>28</v>
      </c>
      <c r="E117">
        <v>5</v>
      </c>
      <c r="F117">
        <v>4</v>
      </c>
      <c r="G117" t="s">
        <v>26</v>
      </c>
      <c r="H117">
        <v>8</v>
      </c>
      <c r="I117">
        <v>9</v>
      </c>
      <c r="J117">
        <v>1</v>
      </c>
      <c r="K117">
        <v>3</v>
      </c>
      <c r="L117">
        <v>4</v>
      </c>
      <c r="M117">
        <v>6</v>
      </c>
      <c r="N117">
        <v>19</v>
      </c>
      <c r="O117">
        <v>146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189</v>
      </c>
      <c r="V117">
        <v>13</v>
      </c>
      <c r="W117">
        <v>30</v>
      </c>
      <c r="X117">
        <v>146</v>
      </c>
    </row>
    <row r="118" spans="1:24" x14ac:dyDescent="0.2">
      <c r="A118">
        <v>117</v>
      </c>
      <c r="B118" s="1">
        <v>40765</v>
      </c>
      <c r="C118" t="s">
        <v>28</v>
      </c>
      <c r="D118">
        <v>28</v>
      </c>
      <c r="E118">
        <v>5</v>
      </c>
      <c r="F118">
        <v>4</v>
      </c>
      <c r="G118" t="s">
        <v>27</v>
      </c>
      <c r="H118">
        <v>9</v>
      </c>
      <c r="I118">
        <v>12</v>
      </c>
      <c r="J118">
        <v>0</v>
      </c>
      <c r="K118">
        <v>4</v>
      </c>
      <c r="L118">
        <v>2</v>
      </c>
      <c r="M118">
        <v>7</v>
      </c>
      <c r="N118">
        <v>26</v>
      </c>
      <c r="O118">
        <v>112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165</v>
      </c>
      <c r="V118">
        <v>16</v>
      </c>
      <c r="W118">
        <v>37</v>
      </c>
      <c r="X118">
        <v>112</v>
      </c>
    </row>
    <row r="119" spans="1:24" x14ac:dyDescent="0.2">
      <c r="A119">
        <v>118</v>
      </c>
      <c r="B119" s="1">
        <v>40767</v>
      </c>
      <c r="C119" t="s">
        <v>28</v>
      </c>
      <c r="D119">
        <v>30</v>
      </c>
      <c r="E119">
        <v>5</v>
      </c>
      <c r="F119">
        <v>6</v>
      </c>
      <c r="G119" t="s">
        <v>25</v>
      </c>
      <c r="H119">
        <v>1</v>
      </c>
      <c r="I119">
        <v>13</v>
      </c>
      <c r="J119">
        <v>0</v>
      </c>
      <c r="K119">
        <v>9</v>
      </c>
      <c r="L119">
        <v>4</v>
      </c>
      <c r="M119">
        <v>17</v>
      </c>
      <c r="N119">
        <v>68</v>
      </c>
      <c r="O119">
        <v>259</v>
      </c>
      <c r="P119">
        <v>3</v>
      </c>
      <c r="Q119">
        <v>3</v>
      </c>
      <c r="R119">
        <v>1</v>
      </c>
      <c r="S119">
        <v>0</v>
      </c>
      <c r="T119">
        <v>0</v>
      </c>
      <c r="U119">
        <v>377</v>
      </c>
      <c r="V119">
        <v>22</v>
      </c>
      <c r="W119">
        <v>96</v>
      </c>
      <c r="X119">
        <v>259</v>
      </c>
    </row>
    <row r="120" spans="1:24" x14ac:dyDescent="0.2">
      <c r="A120">
        <v>119</v>
      </c>
      <c r="B120" s="1">
        <v>40767</v>
      </c>
      <c r="C120" t="s">
        <v>28</v>
      </c>
      <c r="D120">
        <v>30</v>
      </c>
      <c r="E120">
        <v>5</v>
      </c>
      <c r="F120">
        <v>6</v>
      </c>
      <c r="G120" t="s">
        <v>25</v>
      </c>
      <c r="H120">
        <v>2</v>
      </c>
      <c r="I120">
        <v>16</v>
      </c>
      <c r="J120">
        <v>1</v>
      </c>
      <c r="K120">
        <v>12</v>
      </c>
      <c r="L120">
        <v>3</v>
      </c>
      <c r="M120">
        <v>16</v>
      </c>
      <c r="N120">
        <v>53</v>
      </c>
      <c r="O120">
        <v>220</v>
      </c>
      <c r="P120">
        <v>1</v>
      </c>
      <c r="Q120">
        <v>3</v>
      </c>
      <c r="R120">
        <v>0</v>
      </c>
      <c r="S120">
        <v>0</v>
      </c>
      <c r="T120">
        <v>0</v>
      </c>
      <c r="U120">
        <v>325</v>
      </c>
      <c r="V120">
        <v>29</v>
      </c>
      <c r="W120">
        <v>76</v>
      </c>
      <c r="X120">
        <v>220</v>
      </c>
    </row>
    <row r="121" spans="1:24" x14ac:dyDescent="0.2">
      <c r="A121">
        <v>120</v>
      </c>
      <c r="B121" s="1">
        <v>40767</v>
      </c>
      <c r="C121" t="s">
        <v>28</v>
      </c>
      <c r="D121">
        <v>30</v>
      </c>
      <c r="E121">
        <v>5</v>
      </c>
      <c r="F121">
        <v>6</v>
      </c>
      <c r="G121" t="s">
        <v>26</v>
      </c>
      <c r="H121">
        <v>3</v>
      </c>
      <c r="I121">
        <v>12</v>
      </c>
      <c r="J121">
        <v>0</v>
      </c>
      <c r="K121">
        <v>7</v>
      </c>
      <c r="L121">
        <v>6</v>
      </c>
      <c r="M121">
        <v>21</v>
      </c>
      <c r="N121">
        <v>49</v>
      </c>
      <c r="O121">
        <v>163</v>
      </c>
      <c r="P121">
        <v>3</v>
      </c>
      <c r="Q121">
        <v>1</v>
      </c>
      <c r="R121">
        <v>0</v>
      </c>
      <c r="S121">
        <v>0</v>
      </c>
      <c r="T121">
        <v>0</v>
      </c>
      <c r="U121">
        <v>262</v>
      </c>
      <c r="V121">
        <v>19</v>
      </c>
      <c r="W121">
        <v>80</v>
      </c>
      <c r="X121">
        <v>163</v>
      </c>
    </row>
    <row r="122" spans="1:24" x14ac:dyDescent="0.2">
      <c r="A122">
        <v>121</v>
      </c>
      <c r="B122" s="1">
        <v>40767</v>
      </c>
      <c r="C122" t="s">
        <v>28</v>
      </c>
      <c r="D122">
        <v>30</v>
      </c>
      <c r="E122">
        <v>5</v>
      </c>
      <c r="F122">
        <v>6</v>
      </c>
      <c r="G122" t="s">
        <v>25</v>
      </c>
      <c r="H122">
        <v>4</v>
      </c>
      <c r="I122">
        <v>17</v>
      </c>
      <c r="J122">
        <v>1</v>
      </c>
      <c r="K122">
        <v>11</v>
      </c>
      <c r="L122">
        <v>3</v>
      </c>
      <c r="M122">
        <v>30</v>
      </c>
      <c r="N122">
        <v>86</v>
      </c>
      <c r="O122">
        <v>117</v>
      </c>
      <c r="P122">
        <v>2</v>
      </c>
      <c r="Q122">
        <v>0</v>
      </c>
      <c r="R122">
        <v>2</v>
      </c>
      <c r="S122">
        <v>0</v>
      </c>
      <c r="T122">
        <v>0</v>
      </c>
      <c r="U122">
        <v>269</v>
      </c>
      <c r="V122">
        <v>29</v>
      </c>
      <c r="W122">
        <v>123</v>
      </c>
      <c r="X122">
        <v>117</v>
      </c>
    </row>
    <row r="123" spans="1:24" x14ac:dyDescent="0.2">
      <c r="A123">
        <v>122</v>
      </c>
      <c r="B123" s="1">
        <v>40767</v>
      </c>
      <c r="C123" t="s">
        <v>28</v>
      </c>
      <c r="D123">
        <v>30</v>
      </c>
      <c r="E123">
        <v>5</v>
      </c>
      <c r="F123">
        <v>6</v>
      </c>
      <c r="G123" t="s">
        <v>26</v>
      </c>
      <c r="H123">
        <v>5</v>
      </c>
      <c r="I123">
        <v>20</v>
      </c>
      <c r="J123">
        <v>0</v>
      </c>
      <c r="K123">
        <v>12</v>
      </c>
      <c r="L123">
        <v>5</v>
      </c>
      <c r="M123">
        <v>19</v>
      </c>
      <c r="N123">
        <v>78</v>
      </c>
      <c r="O123">
        <v>218</v>
      </c>
      <c r="P123">
        <v>3</v>
      </c>
      <c r="Q123">
        <v>1</v>
      </c>
      <c r="R123">
        <v>0</v>
      </c>
      <c r="S123">
        <v>0</v>
      </c>
      <c r="T123">
        <v>0</v>
      </c>
      <c r="U123">
        <v>356</v>
      </c>
      <c r="V123">
        <v>32</v>
      </c>
      <c r="W123">
        <v>106</v>
      </c>
      <c r="X123">
        <v>218</v>
      </c>
    </row>
    <row r="124" spans="1:24" x14ac:dyDescent="0.2">
      <c r="A124">
        <v>123</v>
      </c>
      <c r="B124" s="1">
        <v>40767</v>
      </c>
      <c r="C124" t="s">
        <v>28</v>
      </c>
      <c r="D124">
        <v>30</v>
      </c>
      <c r="E124">
        <v>5</v>
      </c>
      <c r="F124">
        <v>6</v>
      </c>
      <c r="G124" t="s">
        <v>27</v>
      </c>
      <c r="H124">
        <v>6</v>
      </c>
      <c r="I124">
        <v>19</v>
      </c>
      <c r="J124">
        <v>1</v>
      </c>
      <c r="K124">
        <v>12</v>
      </c>
      <c r="L124">
        <v>4</v>
      </c>
      <c r="M124">
        <v>14</v>
      </c>
      <c r="N124">
        <v>55</v>
      </c>
      <c r="O124">
        <v>224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331</v>
      </c>
      <c r="V124">
        <v>32</v>
      </c>
      <c r="W124">
        <v>75</v>
      </c>
      <c r="X124">
        <v>224</v>
      </c>
    </row>
    <row r="125" spans="1:24" x14ac:dyDescent="0.2">
      <c r="A125">
        <v>124</v>
      </c>
      <c r="B125" s="1">
        <v>40767</v>
      </c>
      <c r="C125" t="s">
        <v>28</v>
      </c>
      <c r="D125">
        <v>30</v>
      </c>
      <c r="E125">
        <v>5</v>
      </c>
      <c r="F125">
        <v>6</v>
      </c>
      <c r="G125" t="s">
        <v>27</v>
      </c>
      <c r="H125">
        <v>7</v>
      </c>
      <c r="I125">
        <v>15</v>
      </c>
      <c r="J125">
        <v>0</v>
      </c>
      <c r="K125">
        <v>9</v>
      </c>
      <c r="L125">
        <v>6</v>
      </c>
      <c r="M125">
        <v>8</v>
      </c>
      <c r="N125">
        <v>72</v>
      </c>
      <c r="O125">
        <v>216</v>
      </c>
      <c r="P125">
        <v>3</v>
      </c>
      <c r="Q125">
        <v>2</v>
      </c>
      <c r="R125">
        <v>1</v>
      </c>
      <c r="S125">
        <v>0</v>
      </c>
      <c r="T125">
        <v>0</v>
      </c>
      <c r="U125">
        <v>332</v>
      </c>
      <c r="V125">
        <v>24</v>
      </c>
      <c r="W125">
        <v>92</v>
      </c>
      <c r="X125">
        <v>216</v>
      </c>
    </row>
    <row r="126" spans="1:24" x14ac:dyDescent="0.2">
      <c r="A126">
        <v>125</v>
      </c>
      <c r="B126" s="1">
        <v>40767</v>
      </c>
      <c r="C126" t="s">
        <v>28</v>
      </c>
      <c r="D126">
        <v>30</v>
      </c>
      <c r="E126">
        <v>5</v>
      </c>
      <c r="F126">
        <v>6</v>
      </c>
      <c r="G126" t="s">
        <v>26</v>
      </c>
      <c r="H126">
        <v>8</v>
      </c>
      <c r="I126">
        <v>20</v>
      </c>
      <c r="J126">
        <v>1</v>
      </c>
      <c r="K126">
        <v>7</v>
      </c>
      <c r="L126">
        <v>4</v>
      </c>
      <c r="M126">
        <v>17</v>
      </c>
      <c r="N126">
        <v>58</v>
      </c>
      <c r="O126">
        <v>182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290</v>
      </c>
      <c r="V126">
        <v>28</v>
      </c>
      <c r="W126">
        <v>80</v>
      </c>
      <c r="X126">
        <v>182</v>
      </c>
    </row>
    <row r="127" spans="1:24" x14ac:dyDescent="0.2">
      <c r="A127">
        <v>126</v>
      </c>
      <c r="B127" s="1">
        <v>40767</v>
      </c>
      <c r="C127" t="s">
        <v>28</v>
      </c>
      <c r="D127">
        <v>30</v>
      </c>
      <c r="E127">
        <v>5</v>
      </c>
      <c r="F127">
        <v>6</v>
      </c>
      <c r="G127" t="s">
        <v>27</v>
      </c>
      <c r="H127">
        <v>9</v>
      </c>
      <c r="I127">
        <v>12</v>
      </c>
      <c r="J127">
        <v>0</v>
      </c>
      <c r="K127">
        <v>6</v>
      </c>
      <c r="L127">
        <v>4</v>
      </c>
      <c r="M127">
        <v>17</v>
      </c>
      <c r="N127">
        <v>74</v>
      </c>
      <c r="O127">
        <v>151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266</v>
      </c>
      <c r="V127">
        <v>18</v>
      </c>
      <c r="W127">
        <v>97</v>
      </c>
      <c r="X127">
        <v>151</v>
      </c>
    </row>
    <row r="128" spans="1:24" x14ac:dyDescent="0.2">
      <c r="A128">
        <v>127</v>
      </c>
      <c r="B128" s="1">
        <v>40770</v>
      </c>
      <c r="C128" t="s">
        <v>28</v>
      </c>
      <c r="D128">
        <v>33</v>
      </c>
      <c r="E128">
        <v>6</v>
      </c>
      <c r="F128">
        <v>2</v>
      </c>
      <c r="G128" t="s">
        <v>25</v>
      </c>
      <c r="H128">
        <v>1</v>
      </c>
      <c r="I128">
        <v>20</v>
      </c>
      <c r="J128">
        <v>1</v>
      </c>
      <c r="K128">
        <v>13</v>
      </c>
      <c r="L128">
        <v>3</v>
      </c>
      <c r="M128">
        <v>20</v>
      </c>
      <c r="N128">
        <v>105</v>
      </c>
      <c r="O128">
        <v>163</v>
      </c>
      <c r="P128">
        <v>2</v>
      </c>
      <c r="Q128">
        <v>2</v>
      </c>
      <c r="R128">
        <v>2</v>
      </c>
      <c r="S128">
        <v>0</v>
      </c>
      <c r="T128">
        <v>0</v>
      </c>
      <c r="U128">
        <v>331</v>
      </c>
      <c r="V128">
        <v>34</v>
      </c>
      <c r="W128">
        <v>134</v>
      </c>
      <c r="X128">
        <v>163</v>
      </c>
    </row>
    <row r="129" spans="1:24" x14ac:dyDescent="0.2">
      <c r="A129">
        <v>128</v>
      </c>
      <c r="B129" s="1">
        <v>40770</v>
      </c>
      <c r="C129" t="s">
        <v>28</v>
      </c>
      <c r="D129">
        <v>33</v>
      </c>
      <c r="E129">
        <v>6</v>
      </c>
      <c r="F129">
        <v>2</v>
      </c>
      <c r="G129" t="s">
        <v>25</v>
      </c>
      <c r="H129">
        <v>2</v>
      </c>
      <c r="I129">
        <v>21</v>
      </c>
      <c r="J129">
        <v>2</v>
      </c>
      <c r="K129">
        <v>10</v>
      </c>
      <c r="L129">
        <v>4</v>
      </c>
      <c r="M129">
        <v>23</v>
      </c>
      <c r="N129">
        <v>59</v>
      </c>
      <c r="O129">
        <v>207</v>
      </c>
      <c r="P129">
        <v>3</v>
      </c>
      <c r="Q129">
        <v>1</v>
      </c>
      <c r="R129">
        <v>0</v>
      </c>
      <c r="S129">
        <v>0</v>
      </c>
      <c r="T129">
        <v>0</v>
      </c>
      <c r="U129">
        <v>330</v>
      </c>
      <c r="V129">
        <v>33</v>
      </c>
      <c r="W129">
        <v>90</v>
      </c>
      <c r="X129">
        <v>207</v>
      </c>
    </row>
    <row r="130" spans="1:24" x14ac:dyDescent="0.2">
      <c r="A130">
        <v>129</v>
      </c>
      <c r="B130" s="1">
        <v>40770</v>
      </c>
      <c r="C130" t="s">
        <v>28</v>
      </c>
      <c r="D130">
        <v>33</v>
      </c>
      <c r="E130">
        <v>6</v>
      </c>
      <c r="F130">
        <v>2</v>
      </c>
      <c r="G130" t="s">
        <v>26</v>
      </c>
      <c r="H130">
        <v>3</v>
      </c>
      <c r="I130">
        <v>19</v>
      </c>
      <c r="J130">
        <v>1</v>
      </c>
      <c r="K130">
        <v>11</v>
      </c>
      <c r="L130">
        <v>4</v>
      </c>
      <c r="M130">
        <v>25</v>
      </c>
      <c r="N130">
        <v>64</v>
      </c>
      <c r="O130">
        <v>137</v>
      </c>
      <c r="P130">
        <v>0</v>
      </c>
      <c r="Q130">
        <v>1</v>
      </c>
      <c r="R130">
        <v>2</v>
      </c>
      <c r="S130">
        <v>0</v>
      </c>
      <c r="T130">
        <v>0</v>
      </c>
      <c r="U130">
        <v>264</v>
      </c>
      <c r="V130">
        <v>31</v>
      </c>
      <c r="W130">
        <v>96</v>
      </c>
      <c r="X130">
        <v>137</v>
      </c>
    </row>
    <row r="131" spans="1:24" x14ac:dyDescent="0.2">
      <c r="A131">
        <v>130</v>
      </c>
      <c r="B131" s="1">
        <v>40770</v>
      </c>
      <c r="C131" t="s">
        <v>28</v>
      </c>
      <c r="D131">
        <v>33</v>
      </c>
      <c r="E131">
        <v>6</v>
      </c>
      <c r="F131">
        <v>2</v>
      </c>
      <c r="G131" t="s">
        <v>25</v>
      </c>
      <c r="H131">
        <v>4</v>
      </c>
      <c r="I131">
        <v>22</v>
      </c>
      <c r="J131">
        <v>1</v>
      </c>
      <c r="K131">
        <v>12</v>
      </c>
      <c r="L131">
        <v>6</v>
      </c>
      <c r="M131">
        <v>17</v>
      </c>
      <c r="N131">
        <v>70</v>
      </c>
      <c r="O131">
        <v>217</v>
      </c>
      <c r="P131">
        <v>1</v>
      </c>
      <c r="Q131">
        <v>2</v>
      </c>
      <c r="R131">
        <v>3</v>
      </c>
      <c r="S131">
        <v>0</v>
      </c>
      <c r="T131">
        <v>0</v>
      </c>
      <c r="U131">
        <v>351</v>
      </c>
      <c r="V131">
        <v>35</v>
      </c>
      <c r="W131">
        <v>99</v>
      </c>
      <c r="X131">
        <v>217</v>
      </c>
    </row>
    <row r="132" spans="1:24" x14ac:dyDescent="0.2">
      <c r="A132">
        <v>131</v>
      </c>
      <c r="B132" s="1">
        <v>40770</v>
      </c>
      <c r="C132" t="s">
        <v>28</v>
      </c>
      <c r="D132">
        <v>33</v>
      </c>
      <c r="E132">
        <v>6</v>
      </c>
      <c r="F132">
        <v>2</v>
      </c>
      <c r="G132" t="s">
        <v>26</v>
      </c>
      <c r="H132">
        <v>5</v>
      </c>
      <c r="I132">
        <v>26</v>
      </c>
      <c r="J132">
        <v>1</v>
      </c>
      <c r="K132">
        <v>13</v>
      </c>
      <c r="L132">
        <v>4</v>
      </c>
      <c r="M132">
        <v>16</v>
      </c>
      <c r="N132">
        <v>125</v>
      </c>
      <c r="O132">
        <v>205</v>
      </c>
      <c r="P132">
        <v>0</v>
      </c>
      <c r="Q132">
        <v>2</v>
      </c>
      <c r="R132">
        <v>4</v>
      </c>
      <c r="S132">
        <v>0</v>
      </c>
      <c r="T132">
        <v>0</v>
      </c>
      <c r="U132">
        <v>396</v>
      </c>
      <c r="V132">
        <v>40</v>
      </c>
      <c r="W132">
        <v>151</v>
      </c>
      <c r="X132">
        <v>205</v>
      </c>
    </row>
    <row r="133" spans="1:24" x14ac:dyDescent="0.2">
      <c r="A133">
        <v>132</v>
      </c>
      <c r="B133" s="1">
        <v>40770</v>
      </c>
      <c r="C133" t="s">
        <v>28</v>
      </c>
      <c r="D133">
        <v>33</v>
      </c>
      <c r="E133">
        <v>6</v>
      </c>
      <c r="F133">
        <v>2</v>
      </c>
      <c r="G133" t="s">
        <v>27</v>
      </c>
      <c r="H133">
        <v>6</v>
      </c>
      <c r="I133">
        <v>21</v>
      </c>
      <c r="J133">
        <v>1</v>
      </c>
      <c r="K133">
        <v>11</v>
      </c>
      <c r="L133">
        <v>4</v>
      </c>
      <c r="M133">
        <v>16</v>
      </c>
      <c r="N133">
        <v>117</v>
      </c>
      <c r="O133">
        <v>269</v>
      </c>
      <c r="P133">
        <v>3</v>
      </c>
      <c r="Q133">
        <v>2</v>
      </c>
      <c r="R133">
        <v>0</v>
      </c>
      <c r="S133">
        <v>0</v>
      </c>
      <c r="T133">
        <v>0</v>
      </c>
      <c r="U133">
        <v>444</v>
      </c>
      <c r="V133">
        <v>33</v>
      </c>
      <c r="W133">
        <v>142</v>
      </c>
      <c r="X133">
        <v>269</v>
      </c>
    </row>
    <row r="134" spans="1:24" x14ac:dyDescent="0.2">
      <c r="A134">
        <v>133</v>
      </c>
      <c r="B134" s="1">
        <v>40770</v>
      </c>
      <c r="C134" t="s">
        <v>28</v>
      </c>
      <c r="D134">
        <v>33</v>
      </c>
      <c r="E134">
        <v>6</v>
      </c>
      <c r="F134">
        <v>2</v>
      </c>
      <c r="G134" t="s">
        <v>27</v>
      </c>
      <c r="H134">
        <v>7</v>
      </c>
      <c r="I134">
        <v>17</v>
      </c>
      <c r="J134">
        <v>0</v>
      </c>
      <c r="K134">
        <v>13</v>
      </c>
      <c r="L134">
        <v>9</v>
      </c>
      <c r="M134">
        <v>35</v>
      </c>
      <c r="N134">
        <v>158</v>
      </c>
      <c r="O134">
        <v>206</v>
      </c>
      <c r="P134">
        <v>0</v>
      </c>
      <c r="Q134">
        <v>2</v>
      </c>
      <c r="R134">
        <v>1</v>
      </c>
      <c r="S134">
        <v>0</v>
      </c>
      <c r="T134">
        <v>0</v>
      </c>
      <c r="U134">
        <v>441</v>
      </c>
      <c r="V134">
        <v>30</v>
      </c>
      <c r="W134">
        <v>205</v>
      </c>
      <c r="X134">
        <v>206</v>
      </c>
    </row>
    <row r="135" spans="1:24" x14ac:dyDescent="0.2">
      <c r="A135">
        <v>134</v>
      </c>
      <c r="B135" s="1">
        <v>40770</v>
      </c>
      <c r="C135" t="s">
        <v>28</v>
      </c>
      <c r="D135">
        <v>33</v>
      </c>
      <c r="E135">
        <v>6</v>
      </c>
      <c r="F135">
        <v>2</v>
      </c>
      <c r="G135" t="s">
        <v>26</v>
      </c>
      <c r="H135">
        <v>8</v>
      </c>
      <c r="I135">
        <v>21</v>
      </c>
      <c r="J135">
        <v>1</v>
      </c>
      <c r="K135">
        <v>6</v>
      </c>
      <c r="L135">
        <v>2</v>
      </c>
      <c r="M135">
        <v>23</v>
      </c>
      <c r="N135">
        <v>55</v>
      </c>
      <c r="O135">
        <v>168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278</v>
      </c>
      <c r="V135">
        <v>28</v>
      </c>
      <c r="W135">
        <v>82</v>
      </c>
      <c r="X135">
        <v>168</v>
      </c>
    </row>
    <row r="136" spans="1:24" x14ac:dyDescent="0.2">
      <c r="A136">
        <v>135</v>
      </c>
      <c r="B136" s="1">
        <v>40770</v>
      </c>
      <c r="C136" t="s">
        <v>28</v>
      </c>
      <c r="D136">
        <v>33</v>
      </c>
      <c r="E136">
        <v>6</v>
      </c>
      <c r="F136">
        <v>2</v>
      </c>
      <c r="G136" t="s">
        <v>27</v>
      </c>
      <c r="H136">
        <v>9</v>
      </c>
      <c r="I136">
        <v>20</v>
      </c>
      <c r="J136">
        <v>0</v>
      </c>
      <c r="K136">
        <v>9</v>
      </c>
      <c r="L136">
        <v>7</v>
      </c>
      <c r="M136">
        <v>28</v>
      </c>
      <c r="N136">
        <v>173</v>
      </c>
      <c r="O136">
        <v>247</v>
      </c>
      <c r="P136">
        <v>3</v>
      </c>
      <c r="Q136">
        <v>3</v>
      </c>
      <c r="R136">
        <v>1</v>
      </c>
      <c r="S136">
        <v>0</v>
      </c>
      <c r="T136">
        <v>0</v>
      </c>
      <c r="U136">
        <v>491</v>
      </c>
      <c r="V136">
        <v>29</v>
      </c>
      <c r="W136">
        <v>215</v>
      </c>
      <c r="X136">
        <v>247</v>
      </c>
    </row>
    <row r="137" spans="1:24" x14ac:dyDescent="0.2">
      <c r="A137">
        <v>136</v>
      </c>
      <c r="B137" s="1">
        <v>40772</v>
      </c>
      <c r="C137" t="s">
        <v>28</v>
      </c>
      <c r="D137">
        <v>35</v>
      </c>
      <c r="E137">
        <v>6</v>
      </c>
      <c r="F137">
        <v>4</v>
      </c>
      <c r="G137" t="s">
        <v>25</v>
      </c>
      <c r="H137">
        <v>1</v>
      </c>
      <c r="I137">
        <v>22</v>
      </c>
      <c r="J137">
        <v>1</v>
      </c>
      <c r="K137">
        <v>13</v>
      </c>
      <c r="L137">
        <v>5</v>
      </c>
      <c r="M137">
        <v>22</v>
      </c>
      <c r="N137">
        <v>127</v>
      </c>
      <c r="O137">
        <v>269</v>
      </c>
      <c r="P137">
        <v>1</v>
      </c>
      <c r="Q137">
        <v>3</v>
      </c>
      <c r="R137">
        <v>1</v>
      </c>
      <c r="S137">
        <v>0</v>
      </c>
      <c r="T137">
        <v>0</v>
      </c>
      <c r="U137">
        <v>464</v>
      </c>
      <c r="V137">
        <v>36</v>
      </c>
      <c r="W137">
        <v>159</v>
      </c>
      <c r="X137">
        <v>269</v>
      </c>
    </row>
    <row r="138" spans="1:24" x14ac:dyDescent="0.2">
      <c r="A138">
        <v>137</v>
      </c>
      <c r="B138" s="1">
        <v>40772</v>
      </c>
      <c r="C138" t="s">
        <v>24</v>
      </c>
      <c r="D138">
        <v>35</v>
      </c>
      <c r="E138">
        <v>6</v>
      </c>
      <c r="F138">
        <v>4</v>
      </c>
      <c r="G138" t="s">
        <v>25</v>
      </c>
      <c r="H138">
        <v>2</v>
      </c>
      <c r="I138">
        <v>16</v>
      </c>
      <c r="J138">
        <v>2</v>
      </c>
      <c r="K138">
        <v>6</v>
      </c>
      <c r="L138">
        <v>6</v>
      </c>
      <c r="M138">
        <v>37</v>
      </c>
      <c r="N138">
        <v>176</v>
      </c>
      <c r="O138">
        <v>230</v>
      </c>
      <c r="P138">
        <v>4</v>
      </c>
      <c r="Q138">
        <v>3</v>
      </c>
      <c r="R138">
        <v>3</v>
      </c>
      <c r="S138">
        <v>0</v>
      </c>
      <c r="T138">
        <v>0</v>
      </c>
      <c r="U138">
        <v>483</v>
      </c>
      <c r="V138">
        <v>24</v>
      </c>
      <c r="W138">
        <v>229</v>
      </c>
      <c r="X138">
        <v>230</v>
      </c>
    </row>
    <row r="139" spans="1:24" x14ac:dyDescent="0.2">
      <c r="A139">
        <v>138</v>
      </c>
      <c r="B139" s="1">
        <v>40772</v>
      </c>
      <c r="C139" t="s">
        <v>28</v>
      </c>
      <c r="D139">
        <v>35</v>
      </c>
      <c r="E139">
        <v>6</v>
      </c>
      <c r="F139">
        <v>4</v>
      </c>
      <c r="G139" t="s">
        <v>26</v>
      </c>
      <c r="H139">
        <v>3</v>
      </c>
      <c r="I139">
        <v>20</v>
      </c>
      <c r="J139">
        <v>0</v>
      </c>
      <c r="K139">
        <v>12</v>
      </c>
      <c r="L139">
        <v>2</v>
      </c>
      <c r="M139">
        <v>29</v>
      </c>
      <c r="N139">
        <v>119</v>
      </c>
      <c r="O139">
        <v>122</v>
      </c>
      <c r="P139">
        <v>5</v>
      </c>
      <c r="Q139">
        <v>2</v>
      </c>
      <c r="R139">
        <v>0</v>
      </c>
      <c r="S139">
        <v>0</v>
      </c>
      <c r="T139">
        <v>0</v>
      </c>
      <c r="U139">
        <v>311</v>
      </c>
      <c r="V139">
        <v>32</v>
      </c>
      <c r="W139">
        <v>157</v>
      </c>
      <c r="X139">
        <v>122</v>
      </c>
    </row>
    <row r="140" spans="1:24" x14ac:dyDescent="0.2">
      <c r="A140">
        <v>139</v>
      </c>
      <c r="B140" s="1">
        <v>40772</v>
      </c>
      <c r="C140" t="s">
        <v>24</v>
      </c>
      <c r="D140">
        <v>35</v>
      </c>
      <c r="E140">
        <v>6</v>
      </c>
      <c r="F140">
        <v>4</v>
      </c>
      <c r="G140" t="s">
        <v>25</v>
      </c>
      <c r="H140">
        <v>4</v>
      </c>
      <c r="I140">
        <v>20</v>
      </c>
      <c r="J140">
        <v>1</v>
      </c>
      <c r="K140">
        <v>13</v>
      </c>
      <c r="L140">
        <v>4</v>
      </c>
      <c r="M140">
        <v>23</v>
      </c>
      <c r="N140">
        <v>112</v>
      </c>
      <c r="O140">
        <v>227</v>
      </c>
      <c r="P140">
        <v>4</v>
      </c>
      <c r="Q140">
        <v>3</v>
      </c>
      <c r="R140">
        <v>5</v>
      </c>
      <c r="S140">
        <v>3</v>
      </c>
      <c r="T140">
        <v>0</v>
      </c>
      <c r="U140">
        <v>415</v>
      </c>
      <c r="V140">
        <v>34</v>
      </c>
      <c r="W140">
        <v>154</v>
      </c>
      <c r="X140">
        <v>227</v>
      </c>
    </row>
    <row r="141" spans="1:24" x14ac:dyDescent="0.2">
      <c r="A141">
        <v>140</v>
      </c>
      <c r="B141" s="1">
        <v>40772</v>
      </c>
      <c r="C141" t="s">
        <v>24</v>
      </c>
      <c r="D141">
        <v>35</v>
      </c>
      <c r="E141">
        <v>6</v>
      </c>
      <c r="F141">
        <v>4</v>
      </c>
      <c r="G141" t="s">
        <v>26</v>
      </c>
      <c r="H141">
        <v>5</v>
      </c>
      <c r="I141">
        <v>20</v>
      </c>
      <c r="J141">
        <v>0</v>
      </c>
      <c r="K141">
        <v>11</v>
      </c>
      <c r="L141">
        <v>8</v>
      </c>
      <c r="M141">
        <v>28</v>
      </c>
      <c r="N141">
        <v>225</v>
      </c>
      <c r="O141">
        <v>190</v>
      </c>
      <c r="P141">
        <v>3</v>
      </c>
      <c r="Q141">
        <v>7</v>
      </c>
      <c r="R141">
        <v>3</v>
      </c>
      <c r="S141">
        <v>0</v>
      </c>
      <c r="T141">
        <v>0</v>
      </c>
      <c r="U141">
        <v>495</v>
      </c>
      <c r="V141">
        <v>31</v>
      </c>
      <c r="W141">
        <v>274</v>
      </c>
      <c r="X141">
        <v>190</v>
      </c>
    </row>
    <row r="142" spans="1:24" x14ac:dyDescent="0.2">
      <c r="A142">
        <v>141</v>
      </c>
      <c r="B142" s="1">
        <v>40772</v>
      </c>
      <c r="C142" t="s">
        <v>28</v>
      </c>
      <c r="D142">
        <v>35</v>
      </c>
      <c r="E142">
        <v>6</v>
      </c>
      <c r="F142">
        <v>4</v>
      </c>
      <c r="G142" t="s">
        <v>27</v>
      </c>
      <c r="H142">
        <v>6</v>
      </c>
      <c r="I142">
        <v>25</v>
      </c>
      <c r="J142">
        <v>1</v>
      </c>
      <c r="K142">
        <v>11</v>
      </c>
      <c r="L142">
        <v>5</v>
      </c>
      <c r="M142">
        <v>24</v>
      </c>
      <c r="N142">
        <v>161</v>
      </c>
      <c r="O142">
        <v>273</v>
      </c>
      <c r="P142">
        <v>1</v>
      </c>
      <c r="Q142">
        <v>2</v>
      </c>
      <c r="R142">
        <v>1</v>
      </c>
      <c r="S142">
        <v>0</v>
      </c>
      <c r="T142">
        <v>0</v>
      </c>
      <c r="U142">
        <v>504</v>
      </c>
      <c r="V142">
        <v>37</v>
      </c>
      <c r="W142">
        <v>194</v>
      </c>
      <c r="X142">
        <v>273</v>
      </c>
    </row>
    <row r="143" spans="1:24" x14ac:dyDescent="0.2">
      <c r="A143">
        <v>142</v>
      </c>
      <c r="B143" s="1">
        <v>40772</v>
      </c>
      <c r="C143" t="s">
        <v>28</v>
      </c>
      <c r="D143">
        <v>35</v>
      </c>
      <c r="E143">
        <v>6</v>
      </c>
      <c r="F143">
        <v>4</v>
      </c>
      <c r="G143" t="s">
        <v>27</v>
      </c>
      <c r="H143">
        <v>7</v>
      </c>
      <c r="I143">
        <v>24</v>
      </c>
      <c r="J143">
        <v>0</v>
      </c>
      <c r="K143">
        <v>12</v>
      </c>
      <c r="L143">
        <v>1</v>
      </c>
      <c r="M143">
        <v>35</v>
      </c>
      <c r="N143">
        <v>114</v>
      </c>
      <c r="O143">
        <v>202</v>
      </c>
      <c r="P143">
        <v>4</v>
      </c>
      <c r="Q143">
        <v>4</v>
      </c>
      <c r="R143">
        <v>2</v>
      </c>
      <c r="S143">
        <v>0</v>
      </c>
      <c r="T143">
        <v>0</v>
      </c>
      <c r="U143">
        <v>398</v>
      </c>
      <c r="V143">
        <v>36</v>
      </c>
      <c r="W143">
        <v>160</v>
      </c>
      <c r="X143">
        <v>202</v>
      </c>
    </row>
    <row r="144" spans="1:24" x14ac:dyDescent="0.2">
      <c r="A144">
        <v>143</v>
      </c>
      <c r="B144" s="1">
        <v>40772</v>
      </c>
      <c r="C144" t="s">
        <v>24</v>
      </c>
      <c r="D144">
        <v>35</v>
      </c>
      <c r="E144">
        <v>6</v>
      </c>
      <c r="F144">
        <v>4</v>
      </c>
      <c r="G144" t="s">
        <v>26</v>
      </c>
      <c r="H144">
        <v>8</v>
      </c>
      <c r="I144">
        <v>17</v>
      </c>
      <c r="J144">
        <v>2</v>
      </c>
      <c r="K144">
        <v>9</v>
      </c>
      <c r="L144">
        <v>9</v>
      </c>
      <c r="M144">
        <v>24</v>
      </c>
      <c r="N144">
        <v>114</v>
      </c>
      <c r="O144">
        <v>167</v>
      </c>
      <c r="P144">
        <v>4</v>
      </c>
      <c r="Q144">
        <v>4</v>
      </c>
      <c r="R144">
        <v>6</v>
      </c>
      <c r="S144">
        <v>1</v>
      </c>
      <c r="T144">
        <v>0</v>
      </c>
      <c r="U144">
        <v>357</v>
      </c>
      <c r="V144">
        <v>28</v>
      </c>
      <c r="W144">
        <v>162</v>
      </c>
      <c r="X144">
        <v>167</v>
      </c>
    </row>
    <row r="145" spans="1:24" x14ac:dyDescent="0.2">
      <c r="A145">
        <v>144</v>
      </c>
      <c r="B145" s="1">
        <v>40772</v>
      </c>
      <c r="C145" t="s">
        <v>24</v>
      </c>
      <c r="D145">
        <v>35</v>
      </c>
      <c r="E145">
        <v>6</v>
      </c>
      <c r="F145">
        <v>4</v>
      </c>
      <c r="G145" t="s">
        <v>27</v>
      </c>
      <c r="H145">
        <v>9</v>
      </c>
      <c r="I145">
        <v>22</v>
      </c>
      <c r="J145">
        <v>0</v>
      </c>
      <c r="K145">
        <v>13</v>
      </c>
      <c r="L145">
        <v>12</v>
      </c>
      <c r="M145">
        <v>68</v>
      </c>
      <c r="N145">
        <v>289</v>
      </c>
      <c r="O145">
        <v>197</v>
      </c>
      <c r="P145">
        <v>3</v>
      </c>
      <c r="Q145">
        <v>4</v>
      </c>
      <c r="R145">
        <v>5</v>
      </c>
      <c r="S145">
        <v>0</v>
      </c>
      <c r="T145">
        <v>0</v>
      </c>
      <c r="U145">
        <v>613</v>
      </c>
      <c r="V145">
        <v>35</v>
      </c>
      <c r="W145">
        <v>381</v>
      </c>
      <c r="X145">
        <v>197</v>
      </c>
    </row>
    <row r="146" spans="1:24" x14ac:dyDescent="0.2">
      <c r="A146">
        <v>145</v>
      </c>
      <c r="B146" s="1">
        <v>40774</v>
      </c>
      <c r="C146" t="s">
        <v>24</v>
      </c>
      <c r="D146">
        <v>37</v>
      </c>
      <c r="E146">
        <v>6</v>
      </c>
      <c r="F146">
        <v>6</v>
      </c>
      <c r="G146" t="s">
        <v>25</v>
      </c>
      <c r="H146">
        <v>1</v>
      </c>
      <c r="I146">
        <v>23</v>
      </c>
      <c r="J146">
        <v>2</v>
      </c>
      <c r="K146">
        <v>15</v>
      </c>
      <c r="L146">
        <v>12</v>
      </c>
      <c r="M146">
        <v>44</v>
      </c>
      <c r="N146">
        <v>202</v>
      </c>
      <c r="O146">
        <v>284</v>
      </c>
      <c r="P146">
        <v>3</v>
      </c>
      <c r="Q146">
        <v>7</v>
      </c>
      <c r="R146">
        <v>6</v>
      </c>
      <c r="S146">
        <v>0</v>
      </c>
      <c r="T146">
        <v>0</v>
      </c>
      <c r="U146">
        <v>598</v>
      </c>
      <c r="V146">
        <v>40</v>
      </c>
      <c r="W146">
        <v>274</v>
      </c>
      <c r="X146">
        <v>284</v>
      </c>
    </row>
    <row r="147" spans="1:24" x14ac:dyDescent="0.2">
      <c r="A147">
        <v>146</v>
      </c>
      <c r="B147" s="1">
        <v>40774</v>
      </c>
      <c r="C147" t="s">
        <v>24</v>
      </c>
      <c r="D147">
        <v>37</v>
      </c>
      <c r="E147">
        <v>6</v>
      </c>
      <c r="F147">
        <v>6</v>
      </c>
      <c r="G147" t="s">
        <v>25</v>
      </c>
      <c r="H147">
        <v>2</v>
      </c>
      <c r="I147">
        <v>18</v>
      </c>
      <c r="J147">
        <v>2</v>
      </c>
      <c r="K147">
        <v>11</v>
      </c>
      <c r="L147">
        <v>8</v>
      </c>
      <c r="M147">
        <v>42</v>
      </c>
      <c r="N147">
        <v>132</v>
      </c>
      <c r="O147">
        <v>253</v>
      </c>
      <c r="P147">
        <v>1</v>
      </c>
      <c r="Q147">
        <v>4</v>
      </c>
      <c r="R147">
        <v>3</v>
      </c>
      <c r="S147">
        <v>0</v>
      </c>
      <c r="T147">
        <v>0</v>
      </c>
      <c r="U147">
        <v>474</v>
      </c>
      <c r="V147">
        <v>31</v>
      </c>
      <c r="W147">
        <v>190</v>
      </c>
      <c r="X147">
        <v>253</v>
      </c>
    </row>
    <row r="148" spans="1:24" x14ac:dyDescent="0.2">
      <c r="A148">
        <v>147</v>
      </c>
      <c r="B148" s="1">
        <v>40774</v>
      </c>
      <c r="C148" t="s">
        <v>24</v>
      </c>
      <c r="D148">
        <v>37</v>
      </c>
      <c r="E148">
        <v>6</v>
      </c>
      <c r="F148">
        <v>6</v>
      </c>
      <c r="G148" t="s">
        <v>26</v>
      </c>
      <c r="H148">
        <v>3</v>
      </c>
      <c r="I148">
        <v>17</v>
      </c>
      <c r="J148">
        <v>1</v>
      </c>
      <c r="K148">
        <v>14</v>
      </c>
      <c r="L148">
        <v>3</v>
      </c>
      <c r="M148">
        <v>41</v>
      </c>
      <c r="N148">
        <v>152</v>
      </c>
      <c r="O148">
        <v>194</v>
      </c>
      <c r="P148">
        <v>3</v>
      </c>
      <c r="Q148">
        <v>3</v>
      </c>
      <c r="R148">
        <v>4</v>
      </c>
      <c r="S148">
        <v>2</v>
      </c>
      <c r="T148">
        <v>0</v>
      </c>
      <c r="U148">
        <v>434</v>
      </c>
      <c r="V148">
        <v>32</v>
      </c>
      <c r="W148">
        <v>208</v>
      </c>
      <c r="X148">
        <v>194</v>
      </c>
    </row>
    <row r="149" spans="1:24" x14ac:dyDescent="0.2">
      <c r="A149">
        <v>148</v>
      </c>
      <c r="B149" s="1">
        <v>40774</v>
      </c>
      <c r="C149" t="s">
        <v>24</v>
      </c>
      <c r="D149">
        <v>37</v>
      </c>
      <c r="E149">
        <v>6</v>
      </c>
      <c r="F149">
        <v>6</v>
      </c>
      <c r="G149" t="s">
        <v>25</v>
      </c>
      <c r="H149">
        <v>4</v>
      </c>
      <c r="I149">
        <v>21</v>
      </c>
      <c r="J149">
        <v>1</v>
      </c>
      <c r="K149">
        <v>12</v>
      </c>
      <c r="L149">
        <v>3</v>
      </c>
      <c r="M149">
        <v>23</v>
      </c>
      <c r="N149">
        <v>146</v>
      </c>
      <c r="O149">
        <v>224</v>
      </c>
      <c r="P149">
        <v>2</v>
      </c>
      <c r="Q149">
        <v>4</v>
      </c>
      <c r="R149">
        <v>3</v>
      </c>
      <c r="S149">
        <v>1</v>
      </c>
      <c r="T149">
        <v>0</v>
      </c>
      <c r="U149">
        <v>440</v>
      </c>
      <c r="V149">
        <v>34</v>
      </c>
      <c r="W149">
        <v>182</v>
      </c>
      <c r="X149">
        <v>224</v>
      </c>
    </row>
    <row r="150" spans="1:24" x14ac:dyDescent="0.2">
      <c r="A150">
        <v>149</v>
      </c>
      <c r="B150" s="1">
        <v>40774</v>
      </c>
      <c r="C150" t="s">
        <v>24</v>
      </c>
      <c r="D150">
        <v>37</v>
      </c>
      <c r="E150">
        <v>6</v>
      </c>
      <c r="F150">
        <v>6</v>
      </c>
      <c r="G150" t="s">
        <v>26</v>
      </c>
      <c r="H150">
        <v>5</v>
      </c>
      <c r="I150">
        <v>30</v>
      </c>
      <c r="J150">
        <v>0</v>
      </c>
      <c r="K150">
        <v>17</v>
      </c>
      <c r="L150">
        <v>5</v>
      </c>
      <c r="M150">
        <v>30</v>
      </c>
      <c r="N150">
        <v>186</v>
      </c>
      <c r="O150">
        <v>243</v>
      </c>
      <c r="P150">
        <v>2</v>
      </c>
      <c r="Q150">
        <v>6</v>
      </c>
      <c r="R150">
        <v>5</v>
      </c>
      <c r="S150">
        <v>1</v>
      </c>
      <c r="T150">
        <v>0</v>
      </c>
      <c r="U150">
        <v>525</v>
      </c>
      <c r="V150">
        <v>47</v>
      </c>
      <c r="W150">
        <v>235</v>
      </c>
      <c r="X150">
        <v>243</v>
      </c>
    </row>
    <row r="151" spans="1:24" x14ac:dyDescent="0.2">
      <c r="A151">
        <v>150</v>
      </c>
      <c r="B151" s="1">
        <v>40774</v>
      </c>
      <c r="C151" t="s">
        <v>24</v>
      </c>
      <c r="D151">
        <v>37</v>
      </c>
      <c r="E151">
        <v>6</v>
      </c>
      <c r="F151">
        <v>6</v>
      </c>
      <c r="G151" t="s">
        <v>27</v>
      </c>
      <c r="H151">
        <v>6</v>
      </c>
      <c r="I151">
        <v>22</v>
      </c>
      <c r="J151">
        <v>0</v>
      </c>
      <c r="K151">
        <v>13</v>
      </c>
      <c r="L151">
        <v>7</v>
      </c>
      <c r="M151">
        <v>32</v>
      </c>
      <c r="N151">
        <v>199</v>
      </c>
      <c r="O151">
        <v>295</v>
      </c>
      <c r="P151">
        <v>3</v>
      </c>
      <c r="Q151">
        <v>5</v>
      </c>
      <c r="R151">
        <v>7</v>
      </c>
      <c r="S151">
        <v>0</v>
      </c>
      <c r="T151">
        <v>0</v>
      </c>
      <c r="U151">
        <v>583</v>
      </c>
      <c r="V151">
        <v>35</v>
      </c>
      <c r="W151">
        <v>253</v>
      </c>
      <c r="X151">
        <v>295</v>
      </c>
    </row>
    <row r="152" spans="1:24" x14ac:dyDescent="0.2">
      <c r="A152">
        <v>151</v>
      </c>
      <c r="B152" s="1">
        <v>40774</v>
      </c>
      <c r="C152" t="s">
        <v>24</v>
      </c>
      <c r="D152">
        <v>37</v>
      </c>
      <c r="E152">
        <v>6</v>
      </c>
      <c r="F152">
        <v>6</v>
      </c>
      <c r="G152" t="s">
        <v>27</v>
      </c>
      <c r="H152">
        <v>7</v>
      </c>
      <c r="I152">
        <v>28</v>
      </c>
      <c r="J152">
        <v>0</v>
      </c>
      <c r="K152">
        <v>22</v>
      </c>
      <c r="L152">
        <v>8</v>
      </c>
      <c r="M152">
        <v>37</v>
      </c>
      <c r="N152">
        <v>171</v>
      </c>
      <c r="O152">
        <v>158</v>
      </c>
      <c r="P152">
        <v>2</v>
      </c>
      <c r="Q152">
        <v>5</v>
      </c>
      <c r="R152">
        <v>4</v>
      </c>
      <c r="S152">
        <v>0</v>
      </c>
      <c r="T152">
        <v>0</v>
      </c>
      <c r="U152">
        <v>435</v>
      </c>
      <c r="V152">
        <v>50</v>
      </c>
      <c r="W152">
        <v>227</v>
      </c>
      <c r="X152">
        <v>158</v>
      </c>
    </row>
    <row r="153" spans="1:24" x14ac:dyDescent="0.2">
      <c r="A153">
        <v>152</v>
      </c>
      <c r="B153" s="1">
        <v>40774</v>
      </c>
      <c r="C153" t="s">
        <v>24</v>
      </c>
      <c r="D153">
        <v>37</v>
      </c>
      <c r="E153">
        <v>6</v>
      </c>
      <c r="F153">
        <v>6</v>
      </c>
      <c r="G153" t="s">
        <v>26</v>
      </c>
      <c r="H153">
        <v>8</v>
      </c>
      <c r="I153">
        <v>21</v>
      </c>
      <c r="J153">
        <v>2</v>
      </c>
      <c r="K153">
        <v>10</v>
      </c>
      <c r="L153">
        <v>10</v>
      </c>
      <c r="M153">
        <v>29</v>
      </c>
      <c r="N153">
        <v>94</v>
      </c>
      <c r="O153">
        <v>142</v>
      </c>
      <c r="P153">
        <v>2</v>
      </c>
      <c r="Q153">
        <v>7</v>
      </c>
      <c r="R153">
        <v>8</v>
      </c>
      <c r="S153">
        <v>1</v>
      </c>
      <c r="T153">
        <v>0</v>
      </c>
      <c r="U153">
        <v>326</v>
      </c>
      <c r="V153">
        <v>33</v>
      </c>
      <c r="W153">
        <v>151</v>
      </c>
      <c r="X153">
        <v>142</v>
      </c>
    </row>
    <row r="154" spans="1:24" x14ac:dyDescent="0.2">
      <c r="A154">
        <v>153</v>
      </c>
      <c r="B154" s="1">
        <v>40774</v>
      </c>
      <c r="C154" t="s">
        <v>24</v>
      </c>
      <c r="D154">
        <v>37</v>
      </c>
      <c r="E154">
        <v>6</v>
      </c>
      <c r="F154">
        <v>6</v>
      </c>
      <c r="G154" t="s">
        <v>27</v>
      </c>
      <c r="H154">
        <v>9</v>
      </c>
      <c r="I154">
        <v>22</v>
      </c>
      <c r="J154">
        <v>0</v>
      </c>
      <c r="K154">
        <v>18</v>
      </c>
      <c r="L154">
        <v>7</v>
      </c>
      <c r="M154">
        <v>53</v>
      </c>
      <c r="N154">
        <v>140</v>
      </c>
      <c r="O154">
        <v>156</v>
      </c>
      <c r="P154">
        <v>2</v>
      </c>
      <c r="Q154">
        <v>5</v>
      </c>
      <c r="R154">
        <v>4</v>
      </c>
      <c r="S154">
        <v>0</v>
      </c>
      <c r="T154">
        <v>0</v>
      </c>
      <c r="U154">
        <v>407</v>
      </c>
      <c r="V154">
        <v>40</v>
      </c>
      <c r="W154">
        <v>211</v>
      </c>
      <c r="X154">
        <v>156</v>
      </c>
    </row>
    <row r="155" spans="1:24" x14ac:dyDescent="0.2">
      <c r="A155">
        <v>154</v>
      </c>
      <c r="B155" s="1">
        <v>40777</v>
      </c>
      <c r="C155" t="s">
        <v>24</v>
      </c>
      <c r="D155">
        <v>40</v>
      </c>
      <c r="E155">
        <v>7</v>
      </c>
      <c r="F155">
        <v>2</v>
      </c>
      <c r="G155" t="s">
        <v>25</v>
      </c>
      <c r="H155">
        <v>1</v>
      </c>
      <c r="I155">
        <v>24</v>
      </c>
      <c r="J155">
        <v>2</v>
      </c>
      <c r="K155">
        <v>12</v>
      </c>
      <c r="L155">
        <v>7</v>
      </c>
      <c r="M155">
        <v>25</v>
      </c>
      <c r="N155">
        <v>151</v>
      </c>
      <c r="O155">
        <v>184</v>
      </c>
      <c r="P155">
        <v>0</v>
      </c>
      <c r="Q155">
        <v>2</v>
      </c>
      <c r="R155">
        <v>4</v>
      </c>
      <c r="S155">
        <v>1</v>
      </c>
      <c r="T155">
        <v>0</v>
      </c>
      <c r="U155">
        <v>412</v>
      </c>
      <c r="V155">
        <v>38</v>
      </c>
      <c r="W155">
        <v>190</v>
      </c>
      <c r="X155">
        <v>184</v>
      </c>
    </row>
    <row r="156" spans="1:24" x14ac:dyDescent="0.2">
      <c r="A156">
        <v>155</v>
      </c>
      <c r="B156" s="1">
        <v>40777</v>
      </c>
      <c r="C156" t="s">
        <v>24</v>
      </c>
      <c r="D156">
        <v>40</v>
      </c>
      <c r="E156">
        <v>7</v>
      </c>
      <c r="F156">
        <v>2</v>
      </c>
      <c r="G156" t="s">
        <v>25</v>
      </c>
      <c r="H156">
        <v>2</v>
      </c>
      <c r="I156">
        <v>18</v>
      </c>
      <c r="J156">
        <v>2</v>
      </c>
      <c r="K156">
        <v>11</v>
      </c>
      <c r="L156">
        <v>6</v>
      </c>
      <c r="M156">
        <v>20</v>
      </c>
      <c r="N156">
        <v>117</v>
      </c>
      <c r="O156">
        <v>178</v>
      </c>
      <c r="P156">
        <v>0</v>
      </c>
      <c r="Q156">
        <v>2</v>
      </c>
      <c r="R156">
        <v>5</v>
      </c>
      <c r="S156">
        <v>0</v>
      </c>
      <c r="T156">
        <v>0</v>
      </c>
      <c r="U156">
        <v>359</v>
      </c>
      <c r="V156">
        <v>31</v>
      </c>
      <c r="W156">
        <v>150</v>
      </c>
      <c r="X156">
        <v>178</v>
      </c>
    </row>
    <row r="157" spans="1:24" x14ac:dyDescent="0.2">
      <c r="A157">
        <v>156</v>
      </c>
      <c r="B157" s="1">
        <v>40777</v>
      </c>
      <c r="C157" t="s">
        <v>24</v>
      </c>
      <c r="D157">
        <v>40</v>
      </c>
      <c r="E157">
        <v>7</v>
      </c>
      <c r="F157">
        <v>2</v>
      </c>
      <c r="G157" t="s">
        <v>26</v>
      </c>
      <c r="H157">
        <v>3</v>
      </c>
      <c r="I157">
        <v>13</v>
      </c>
      <c r="J157">
        <v>0</v>
      </c>
      <c r="K157">
        <v>7</v>
      </c>
      <c r="L157">
        <v>11</v>
      </c>
      <c r="M157">
        <v>39</v>
      </c>
      <c r="N157">
        <v>74</v>
      </c>
      <c r="O157">
        <v>176</v>
      </c>
      <c r="P157">
        <v>0</v>
      </c>
      <c r="Q157">
        <v>1</v>
      </c>
      <c r="R157">
        <v>3</v>
      </c>
      <c r="S157">
        <v>3</v>
      </c>
      <c r="T157">
        <v>0</v>
      </c>
      <c r="U157">
        <v>327</v>
      </c>
      <c r="V157">
        <v>20</v>
      </c>
      <c r="W157">
        <v>131</v>
      </c>
      <c r="X157">
        <v>176</v>
      </c>
    </row>
    <row r="158" spans="1:24" x14ac:dyDescent="0.2">
      <c r="A158">
        <v>157</v>
      </c>
      <c r="B158" s="1">
        <v>40777</v>
      </c>
      <c r="C158" t="s">
        <v>24</v>
      </c>
      <c r="D158">
        <v>40</v>
      </c>
      <c r="E158">
        <v>7</v>
      </c>
      <c r="F158">
        <v>2</v>
      </c>
      <c r="G158" t="s">
        <v>25</v>
      </c>
      <c r="H158">
        <v>4</v>
      </c>
      <c r="I158">
        <v>20</v>
      </c>
      <c r="J158">
        <v>1</v>
      </c>
      <c r="K158">
        <v>8</v>
      </c>
      <c r="L158">
        <v>6</v>
      </c>
      <c r="M158">
        <v>25</v>
      </c>
      <c r="N158">
        <v>147</v>
      </c>
      <c r="O158">
        <v>211</v>
      </c>
      <c r="P158">
        <v>1</v>
      </c>
      <c r="Q158">
        <v>2</v>
      </c>
      <c r="R158">
        <v>8</v>
      </c>
      <c r="S158">
        <v>1</v>
      </c>
      <c r="T158">
        <v>0</v>
      </c>
      <c r="U158">
        <v>430</v>
      </c>
      <c r="V158">
        <v>29</v>
      </c>
      <c r="W158">
        <v>190</v>
      </c>
      <c r="X158">
        <v>211</v>
      </c>
    </row>
    <row r="159" spans="1:24" x14ac:dyDescent="0.2">
      <c r="A159">
        <v>158</v>
      </c>
      <c r="B159" s="1">
        <v>40777</v>
      </c>
      <c r="C159" t="s">
        <v>24</v>
      </c>
      <c r="D159">
        <v>40</v>
      </c>
      <c r="E159">
        <v>7</v>
      </c>
      <c r="F159">
        <v>2</v>
      </c>
      <c r="G159" t="s">
        <v>26</v>
      </c>
      <c r="H159">
        <v>5</v>
      </c>
      <c r="I159">
        <v>23</v>
      </c>
      <c r="J159">
        <v>1</v>
      </c>
      <c r="K159">
        <v>5</v>
      </c>
      <c r="L159">
        <v>3</v>
      </c>
      <c r="M159">
        <v>11</v>
      </c>
      <c r="N159">
        <v>118</v>
      </c>
      <c r="O159">
        <v>243</v>
      </c>
      <c r="P159">
        <v>5</v>
      </c>
      <c r="Q159">
        <v>2</v>
      </c>
      <c r="R159">
        <v>10</v>
      </c>
      <c r="S159">
        <v>0</v>
      </c>
      <c r="T159">
        <v>0</v>
      </c>
      <c r="U159">
        <v>421</v>
      </c>
      <c r="V159">
        <v>29</v>
      </c>
      <c r="W159">
        <v>149</v>
      </c>
      <c r="X159">
        <v>243</v>
      </c>
    </row>
    <row r="160" spans="1:24" x14ac:dyDescent="0.2">
      <c r="A160">
        <v>159</v>
      </c>
      <c r="B160" s="1">
        <v>40777</v>
      </c>
      <c r="C160" t="s">
        <v>24</v>
      </c>
      <c r="D160">
        <v>40</v>
      </c>
      <c r="E160">
        <v>7</v>
      </c>
      <c r="F160">
        <v>2</v>
      </c>
      <c r="G160" t="s">
        <v>27</v>
      </c>
      <c r="H160">
        <v>6</v>
      </c>
      <c r="I160">
        <v>19</v>
      </c>
      <c r="J160">
        <v>0</v>
      </c>
      <c r="K160">
        <v>13</v>
      </c>
      <c r="L160">
        <v>4</v>
      </c>
      <c r="M160">
        <v>14</v>
      </c>
      <c r="N160">
        <v>165</v>
      </c>
      <c r="O160">
        <v>210</v>
      </c>
      <c r="P160">
        <v>0</v>
      </c>
      <c r="Q160">
        <v>0</v>
      </c>
      <c r="R160">
        <v>6</v>
      </c>
      <c r="S160">
        <v>0</v>
      </c>
      <c r="T160">
        <v>0</v>
      </c>
      <c r="U160">
        <v>431</v>
      </c>
      <c r="V160">
        <v>32</v>
      </c>
      <c r="W160">
        <v>189</v>
      </c>
      <c r="X160">
        <v>210</v>
      </c>
    </row>
    <row r="161" spans="1:24" x14ac:dyDescent="0.2">
      <c r="A161">
        <v>160</v>
      </c>
      <c r="B161" s="1">
        <v>40777</v>
      </c>
      <c r="C161" t="s">
        <v>24</v>
      </c>
      <c r="D161">
        <v>40</v>
      </c>
      <c r="E161">
        <v>7</v>
      </c>
      <c r="F161">
        <v>2</v>
      </c>
      <c r="G161" t="s">
        <v>27</v>
      </c>
      <c r="H161">
        <v>7</v>
      </c>
      <c r="I161">
        <v>20</v>
      </c>
      <c r="J161">
        <v>0</v>
      </c>
      <c r="K161">
        <v>13</v>
      </c>
      <c r="L161">
        <v>7</v>
      </c>
      <c r="M161">
        <v>22</v>
      </c>
      <c r="N161">
        <v>83</v>
      </c>
      <c r="O161">
        <v>192</v>
      </c>
      <c r="P161">
        <v>2</v>
      </c>
      <c r="Q161">
        <v>3</v>
      </c>
      <c r="R161">
        <v>6</v>
      </c>
      <c r="S161">
        <v>0</v>
      </c>
      <c r="T161">
        <v>0</v>
      </c>
      <c r="U161">
        <v>348</v>
      </c>
      <c r="V161">
        <v>33</v>
      </c>
      <c r="W161">
        <v>123</v>
      </c>
      <c r="X161">
        <v>192</v>
      </c>
    </row>
    <row r="162" spans="1:24" x14ac:dyDescent="0.2">
      <c r="A162">
        <v>161</v>
      </c>
      <c r="B162" s="1">
        <v>40777</v>
      </c>
      <c r="C162" t="s">
        <v>24</v>
      </c>
      <c r="D162">
        <v>40</v>
      </c>
      <c r="E162">
        <v>7</v>
      </c>
      <c r="F162">
        <v>2</v>
      </c>
      <c r="G162" t="s">
        <v>26</v>
      </c>
      <c r="H162">
        <v>8</v>
      </c>
      <c r="I162">
        <v>15</v>
      </c>
      <c r="J162">
        <v>1</v>
      </c>
      <c r="K162">
        <v>8</v>
      </c>
      <c r="L162">
        <v>11</v>
      </c>
      <c r="M162">
        <v>28</v>
      </c>
      <c r="N162">
        <v>82</v>
      </c>
      <c r="O162">
        <v>130</v>
      </c>
      <c r="P162">
        <v>0</v>
      </c>
      <c r="Q162">
        <v>2</v>
      </c>
      <c r="R162">
        <v>7</v>
      </c>
      <c r="S162">
        <v>4</v>
      </c>
      <c r="T162">
        <v>0</v>
      </c>
      <c r="U162">
        <v>288</v>
      </c>
      <c r="V162">
        <v>24</v>
      </c>
      <c r="W162">
        <v>134</v>
      </c>
      <c r="X162">
        <v>130</v>
      </c>
    </row>
    <row r="163" spans="1:24" x14ac:dyDescent="0.2">
      <c r="A163">
        <v>162</v>
      </c>
      <c r="B163" s="1">
        <v>40777</v>
      </c>
      <c r="C163" t="s">
        <v>24</v>
      </c>
      <c r="D163">
        <v>40</v>
      </c>
      <c r="E163">
        <v>7</v>
      </c>
      <c r="F163">
        <v>2</v>
      </c>
      <c r="G163" t="s">
        <v>27</v>
      </c>
      <c r="H163">
        <v>9</v>
      </c>
      <c r="I163">
        <v>13</v>
      </c>
      <c r="J163">
        <v>2</v>
      </c>
      <c r="K163">
        <v>5</v>
      </c>
      <c r="L163">
        <v>7</v>
      </c>
      <c r="M163">
        <v>17</v>
      </c>
      <c r="N163">
        <v>117</v>
      </c>
      <c r="O163">
        <v>111</v>
      </c>
      <c r="P163">
        <v>3</v>
      </c>
      <c r="Q163">
        <v>6</v>
      </c>
      <c r="R163">
        <v>6</v>
      </c>
      <c r="S163">
        <v>1</v>
      </c>
      <c r="T163">
        <v>0</v>
      </c>
      <c r="U163">
        <v>288</v>
      </c>
      <c r="V163">
        <v>20</v>
      </c>
      <c r="W163">
        <v>157</v>
      </c>
      <c r="X163">
        <v>111</v>
      </c>
    </row>
    <row r="164" spans="1:24" x14ac:dyDescent="0.2">
      <c r="A164">
        <v>163</v>
      </c>
      <c r="B164" s="1">
        <v>40779</v>
      </c>
      <c r="C164" t="s">
        <v>24</v>
      </c>
      <c r="D164">
        <v>42</v>
      </c>
      <c r="E164">
        <v>7</v>
      </c>
      <c r="F164">
        <v>4</v>
      </c>
      <c r="G164" t="s">
        <v>25</v>
      </c>
      <c r="H164">
        <v>1</v>
      </c>
      <c r="I164">
        <v>20</v>
      </c>
      <c r="J164">
        <v>2</v>
      </c>
      <c r="K164">
        <v>11</v>
      </c>
      <c r="L164">
        <v>10</v>
      </c>
      <c r="M164">
        <v>33</v>
      </c>
      <c r="N164">
        <v>243</v>
      </c>
      <c r="O164">
        <v>215</v>
      </c>
      <c r="P164">
        <v>6</v>
      </c>
      <c r="Q164">
        <v>4</v>
      </c>
      <c r="R164">
        <v>5</v>
      </c>
      <c r="S164">
        <v>1</v>
      </c>
      <c r="T164">
        <v>0</v>
      </c>
      <c r="U164">
        <v>550</v>
      </c>
      <c r="V164">
        <v>33</v>
      </c>
      <c r="W164">
        <v>302</v>
      </c>
      <c r="X164">
        <v>215</v>
      </c>
    </row>
    <row r="165" spans="1:24" x14ac:dyDescent="0.2">
      <c r="A165">
        <v>164</v>
      </c>
      <c r="B165" s="1">
        <v>40779</v>
      </c>
      <c r="C165" t="s">
        <v>28</v>
      </c>
      <c r="D165">
        <v>42</v>
      </c>
      <c r="E165">
        <v>7</v>
      </c>
      <c r="F165">
        <v>4</v>
      </c>
      <c r="G165" t="s">
        <v>25</v>
      </c>
      <c r="H165">
        <v>2</v>
      </c>
      <c r="I165">
        <v>23</v>
      </c>
      <c r="J165">
        <v>2</v>
      </c>
      <c r="K165">
        <v>10</v>
      </c>
      <c r="L165">
        <v>4</v>
      </c>
      <c r="M165">
        <v>32</v>
      </c>
      <c r="N165">
        <v>140</v>
      </c>
      <c r="O165">
        <v>311</v>
      </c>
      <c r="P165">
        <v>2</v>
      </c>
      <c r="Q165">
        <v>2</v>
      </c>
      <c r="R165">
        <v>1</v>
      </c>
      <c r="S165">
        <v>2</v>
      </c>
      <c r="T165">
        <v>0</v>
      </c>
      <c r="U165">
        <v>529</v>
      </c>
      <c r="V165">
        <v>35</v>
      </c>
      <c r="W165">
        <v>183</v>
      </c>
      <c r="X165">
        <v>311</v>
      </c>
    </row>
    <row r="166" spans="1:24" x14ac:dyDescent="0.2">
      <c r="A166">
        <v>165</v>
      </c>
      <c r="B166" s="1">
        <v>40779</v>
      </c>
      <c r="C166" t="s">
        <v>28</v>
      </c>
      <c r="D166">
        <v>42</v>
      </c>
      <c r="E166">
        <v>7</v>
      </c>
      <c r="F166">
        <v>4</v>
      </c>
      <c r="G166" t="s">
        <v>26</v>
      </c>
      <c r="H166">
        <v>3</v>
      </c>
      <c r="I166">
        <v>20</v>
      </c>
      <c r="J166">
        <v>0</v>
      </c>
      <c r="K166">
        <v>9</v>
      </c>
      <c r="L166">
        <v>4</v>
      </c>
      <c r="M166">
        <v>25</v>
      </c>
      <c r="N166">
        <v>93</v>
      </c>
      <c r="O166">
        <v>183</v>
      </c>
      <c r="P166">
        <v>3</v>
      </c>
      <c r="Q166">
        <v>4</v>
      </c>
      <c r="R166">
        <v>0</v>
      </c>
      <c r="S166">
        <v>2</v>
      </c>
      <c r="T166">
        <v>0</v>
      </c>
      <c r="U166">
        <v>343</v>
      </c>
      <c r="V166">
        <v>29</v>
      </c>
      <c r="W166">
        <v>131</v>
      </c>
      <c r="X166">
        <v>183</v>
      </c>
    </row>
    <row r="167" spans="1:24" x14ac:dyDescent="0.2">
      <c r="A167">
        <v>166</v>
      </c>
      <c r="B167" s="1">
        <v>40779</v>
      </c>
      <c r="C167" t="s">
        <v>28</v>
      </c>
      <c r="D167">
        <v>42</v>
      </c>
      <c r="E167">
        <v>7</v>
      </c>
      <c r="F167">
        <v>4</v>
      </c>
      <c r="G167" t="s">
        <v>25</v>
      </c>
      <c r="H167">
        <v>4</v>
      </c>
      <c r="I167">
        <v>21</v>
      </c>
      <c r="J167">
        <v>1</v>
      </c>
      <c r="K167">
        <v>10</v>
      </c>
      <c r="L167">
        <v>6</v>
      </c>
      <c r="M167">
        <v>46</v>
      </c>
      <c r="N167">
        <v>125</v>
      </c>
      <c r="O167">
        <v>230</v>
      </c>
      <c r="P167">
        <v>2</v>
      </c>
      <c r="Q167">
        <v>3</v>
      </c>
      <c r="R167">
        <v>5</v>
      </c>
      <c r="S167">
        <v>1</v>
      </c>
      <c r="T167">
        <v>0</v>
      </c>
      <c r="U167">
        <v>450</v>
      </c>
      <c r="V167">
        <v>32</v>
      </c>
      <c r="W167">
        <v>188</v>
      </c>
      <c r="X167">
        <v>230</v>
      </c>
    </row>
    <row r="168" spans="1:24" x14ac:dyDescent="0.2">
      <c r="A168">
        <v>167</v>
      </c>
      <c r="B168" s="1">
        <v>40779</v>
      </c>
      <c r="C168" t="s">
        <v>24</v>
      </c>
      <c r="D168">
        <v>42</v>
      </c>
      <c r="E168">
        <v>7</v>
      </c>
      <c r="F168">
        <v>4</v>
      </c>
      <c r="G168" t="s">
        <v>26</v>
      </c>
      <c r="H168">
        <v>5</v>
      </c>
      <c r="I168">
        <v>20</v>
      </c>
      <c r="J168">
        <v>1</v>
      </c>
      <c r="K168">
        <v>8</v>
      </c>
      <c r="L168">
        <v>6</v>
      </c>
      <c r="M168">
        <v>15</v>
      </c>
      <c r="N168">
        <v>149</v>
      </c>
      <c r="O168">
        <v>287</v>
      </c>
      <c r="P168">
        <v>4</v>
      </c>
      <c r="Q168">
        <v>3</v>
      </c>
      <c r="R168">
        <v>7</v>
      </c>
      <c r="S168">
        <v>0</v>
      </c>
      <c r="T168">
        <v>0</v>
      </c>
      <c r="U168">
        <v>500</v>
      </c>
      <c r="V168">
        <v>29</v>
      </c>
      <c r="W168">
        <v>184</v>
      </c>
      <c r="X168">
        <v>287</v>
      </c>
    </row>
    <row r="169" spans="1:24" x14ac:dyDescent="0.2">
      <c r="A169">
        <v>168</v>
      </c>
      <c r="B169" s="1">
        <v>40779</v>
      </c>
      <c r="C169" t="s">
        <v>28</v>
      </c>
      <c r="D169">
        <v>42</v>
      </c>
      <c r="E169">
        <v>7</v>
      </c>
      <c r="F169">
        <v>4</v>
      </c>
      <c r="G169" t="s">
        <v>27</v>
      </c>
      <c r="H169">
        <v>6</v>
      </c>
      <c r="I169">
        <v>19</v>
      </c>
      <c r="J169">
        <v>1</v>
      </c>
      <c r="K169">
        <v>8</v>
      </c>
      <c r="L169">
        <v>8</v>
      </c>
      <c r="M169">
        <v>37</v>
      </c>
      <c r="N169">
        <v>148</v>
      </c>
      <c r="O169">
        <v>274</v>
      </c>
      <c r="P169">
        <v>2</v>
      </c>
      <c r="Q169">
        <v>4</v>
      </c>
      <c r="R169">
        <v>1</v>
      </c>
      <c r="S169">
        <v>0</v>
      </c>
      <c r="T169">
        <v>0</v>
      </c>
      <c r="U169">
        <v>502</v>
      </c>
      <c r="V169">
        <v>28</v>
      </c>
      <c r="W169">
        <v>200</v>
      </c>
      <c r="X169">
        <v>274</v>
      </c>
    </row>
    <row r="170" spans="1:24" x14ac:dyDescent="0.2">
      <c r="A170">
        <v>169</v>
      </c>
      <c r="B170" s="1">
        <v>40779</v>
      </c>
      <c r="C170" t="s">
        <v>24</v>
      </c>
      <c r="D170">
        <v>42</v>
      </c>
      <c r="E170">
        <v>7</v>
      </c>
      <c r="F170">
        <v>4</v>
      </c>
      <c r="G170" t="s">
        <v>27</v>
      </c>
      <c r="H170">
        <v>7</v>
      </c>
      <c r="I170">
        <v>22</v>
      </c>
      <c r="J170">
        <v>0</v>
      </c>
      <c r="K170">
        <v>11</v>
      </c>
      <c r="L170">
        <v>10</v>
      </c>
      <c r="M170">
        <v>23</v>
      </c>
      <c r="N170">
        <v>131</v>
      </c>
      <c r="O170">
        <v>173</v>
      </c>
      <c r="P170">
        <v>7</v>
      </c>
      <c r="Q170">
        <v>2</v>
      </c>
      <c r="R170">
        <v>5</v>
      </c>
      <c r="S170">
        <v>0</v>
      </c>
      <c r="T170">
        <v>0</v>
      </c>
      <c r="U170">
        <v>384</v>
      </c>
      <c r="V170">
        <v>33</v>
      </c>
      <c r="W170">
        <v>178</v>
      </c>
      <c r="X170">
        <v>173</v>
      </c>
    </row>
    <row r="171" spans="1:24" x14ac:dyDescent="0.2">
      <c r="A171">
        <v>170</v>
      </c>
      <c r="B171" s="1">
        <v>40779</v>
      </c>
      <c r="C171" t="s">
        <v>24</v>
      </c>
      <c r="D171">
        <v>42</v>
      </c>
      <c r="E171">
        <v>7</v>
      </c>
      <c r="F171">
        <v>4</v>
      </c>
      <c r="G171" t="s">
        <v>26</v>
      </c>
      <c r="H171">
        <v>8</v>
      </c>
      <c r="I171">
        <v>14</v>
      </c>
      <c r="J171">
        <v>1</v>
      </c>
      <c r="K171">
        <v>5</v>
      </c>
      <c r="L171">
        <v>9</v>
      </c>
      <c r="M171">
        <v>46</v>
      </c>
      <c r="N171">
        <v>111</v>
      </c>
      <c r="O171">
        <v>140</v>
      </c>
      <c r="P171">
        <v>4</v>
      </c>
      <c r="Q171">
        <v>0</v>
      </c>
      <c r="R171">
        <v>6</v>
      </c>
      <c r="S171">
        <v>3</v>
      </c>
      <c r="T171">
        <v>0</v>
      </c>
      <c r="U171">
        <v>339</v>
      </c>
      <c r="V171">
        <v>20</v>
      </c>
      <c r="W171">
        <v>179</v>
      </c>
      <c r="X171">
        <v>140</v>
      </c>
    </row>
    <row r="172" spans="1:24" x14ac:dyDescent="0.2">
      <c r="A172">
        <v>171</v>
      </c>
      <c r="B172" s="1">
        <v>40779</v>
      </c>
      <c r="C172" t="s">
        <v>24</v>
      </c>
      <c r="D172">
        <v>42</v>
      </c>
      <c r="E172">
        <v>7</v>
      </c>
      <c r="F172">
        <v>4</v>
      </c>
      <c r="G172" t="s">
        <v>27</v>
      </c>
      <c r="H172">
        <v>9</v>
      </c>
      <c r="I172">
        <v>18</v>
      </c>
      <c r="J172">
        <v>3</v>
      </c>
      <c r="K172">
        <v>5</v>
      </c>
      <c r="L172">
        <v>9</v>
      </c>
      <c r="M172">
        <v>17</v>
      </c>
      <c r="N172">
        <v>132</v>
      </c>
      <c r="O172">
        <v>113</v>
      </c>
      <c r="P172">
        <v>5</v>
      </c>
      <c r="Q172">
        <v>4</v>
      </c>
      <c r="R172">
        <v>4</v>
      </c>
      <c r="S172">
        <v>1</v>
      </c>
      <c r="T172">
        <v>0</v>
      </c>
      <c r="U172">
        <v>311</v>
      </c>
      <c r="V172">
        <v>26</v>
      </c>
      <c r="W172">
        <v>172</v>
      </c>
      <c r="X172">
        <v>113</v>
      </c>
    </row>
    <row r="173" spans="1:24" x14ac:dyDescent="0.2">
      <c r="A173">
        <v>172</v>
      </c>
      <c r="B173" s="1">
        <v>40781</v>
      </c>
      <c r="C173" t="s">
        <v>24</v>
      </c>
      <c r="D173">
        <v>44</v>
      </c>
      <c r="E173">
        <v>7</v>
      </c>
      <c r="F173">
        <v>6</v>
      </c>
      <c r="G173" t="s">
        <v>25</v>
      </c>
      <c r="H173">
        <v>1</v>
      </c>
      <c r="I173">
        <v>29</v>
      </c>
      <c r="J173">
        <v>3</v>
      </c>
      <c r="K173">
        <v>10</v>
      </c>
      <c r="L173">
        <v>11</v>
      </c>
      <c r="M173">
        <v>34</v>
      </c>
      <c r="N173">
        <v>186</v>
      </c>
      <c r="O173">
        <v>263</v>
      </c>
      <c r="P173">
        <v>1</v>
      </c>
      <c r="Q173">
        <v>3</v>
      </c>
      <c r="R173">
        <v>4</v>
      </c>
      <c r="S173">
        <v>2</v>
      </c>
      <c r="T173">
        <v>0</v>
      </c>
      <c r="U173">
        <v>546</v>
      </c>
      <c r="V173">
        <v>42</v>
      </c>
      <c r="W173">
        <v>241</v>
      </c>
      <c r="X173">
        <v>263</v>
      </c>
    </row>
    <row r="174" spans="1:24" x14ac:dyDescent="0.2">
      <c r="A174">
        <v>173</v>
      </c>
      <c r="B174" s="1">
        <v>40781</v>
      </c>
      <c r="C174" t="s">
        <v>28</v>
      </c>
      <c r="D174">
        <v>44</v>
      </c>
      <c r="E174">
        <v>7</v>
      </c>
      <c r="F174">
        <v>6</v>
      </c>
      <c r="G174" t="s">
        <v>25</v>
      </c>
      <c r="H174">
        <v>2</v>
      </c>
      <c r="I174">
        <v>24</v>
      </c>
      <c r="J174">
        <v>2</v>
      </c>
      <c r="K174">
        <v>12</v>
      </c>
      <c r="L174">
        <v>5</v>
      </c>
      <c r="M174">
        <v>39</v>
      </c>
      <c r="N174">
        <v>151</v>
      </c>
      <c r="O174">
        <v>327</v>
      </c>
      <c r="P174">
        <v>0</v>
      </c>
      <c r="Q174">
        <v>3</v>
      </c>
      <c r="R174">
        <v>2</v>
      </c>
      <c r="S174">
        <v>0</v>
      </c>
      <c r="T174">
        <v>0</v>
      </c>
      <c r="U174">
        <v>565</v>
      </c>
      <c r="V174">
        <v>38</v>
      </c>
      <c r="W174">
        <v>200</v>
      </c>
      <c r="X174">
        <v>327</v>
      </c>
    </row>
    <row r="175" spans="1:24" x14ac:dyDescent="0.2">
      <c r="A175">
        <v>174</v>
      </c>
      <c r="B175" s="1">
        <v>40781</v>
      </c>
      <c r="C175" t="s">
        <v>28</v>
      </c>
      <c r="D175">
        <v>44</v>
      </c>
      <c r="E175">
        <v>7</v>
      </c>
      <c r="F175">
        <v>6</v>
      </c>
      <c r="G175" t="s">
        <v>26</v>
      </c>
      <c r="H175">
        <v>3</v>
      </c>
      <c r="I175">
        <v>24</v>
      </c>
      <c r="J175">
        <v>0</v>
      </c>
      <c r="K175">
        <v>10</v>
      </c>
      <c r="L175">
        <v>5</v>
      </c>
      <c r="M175">
        <v>53</v>
      </c>
      <c r="N175">
        <v>160</v>
      </c>
      <c r="O175">
        <v>244</v>
      </c>
      <c r="P175">
        <v>3</v>
      </c>
      <c r="Q175">
        <v>0</v>
      </c>
      <c r="R175">
        <v>2</v>
      </c>
      <c r="S175">
        <v>0</v>
      </c>
      <c r="T175">
        <v>0</v>
      </c>
      <c r="U175">
        <v>501</v>
      </c>
      <c r="V175">
        <v>34</v>
      </c>
      <c r="W175">
        <v>223</v>
      </c>
      <c r="X175">
        <v>244</v>
      </c>
    </row>
    <row r="176" spans="1:24" x14ac:dyDescent="0.2">
      <c r="A176">
        <v>175</v>
      </c>
      <c r="B176" s="1">
        <v>40781</v>
      </c>
      <c r="C176" t="s">
        <v>24</v>
      </c>
      <c r="D176">
        <v>44</v>
      </c>
      <c r="E176">
        <v>7</v>
      </c>
      <c r="F176">
        <v>6</v>
      </c>
      <c r="G176" t="s">
        <v>25</v>
      </c>
      <c r="H176">
        <v>4</v>
      </c>
      <c r="I176">
        <v>19</v>
      </c>
      <c r="J176">
        <v>2</v>
      </c>
      <c r="K176">
        <v>7</v>
      </c>
      <c r="L176">
        <v>13</v>
      </c>
      <c r="M176">
        <v>37</v>
      </c>
      <c r="N176">
        <v>180</v>
      </c>
      <c r="O176">
        <v>204</v>
      </c>
      <c r="P176">
        <v>3</v>
      </c>
      <c r="Q176">
        <v>5</v>
      </c>
      <c r="R176">
        <v>7</v>
      </c>
      <c r="S176">
        <v>3</v>
      </c>
      <c r="T176">
        <v>0</v>
      </c>
      <c r="U176">
        <v>480</v>
      </c>
      <c r="V176">
        <v>28</v>
      </c>
      <c r="W176">
        <v>248</v>
      </c>
      <c r="X176">
        <v>204</v>
      </c>
    </row>
    <row r="177" spans="1:24" x14ac:dyDescent="0.2">
      <c r="A177">
        <v>176</v>
      </c>
      <c r="B177" s="1">
        <v>40781</v>
      </c>
      <c r="C177" t="s">
        <v>24</v>
      </c>
      <c r="D177">
        <v>44</v>
      </c>
      <c r="E177">
        <v>7</v>
      </c>
      <c r="F177">
        <v>6</v>
      </c>
      <c r="G177" t="s">
        <v>26</v>
      </c>
      <c r="H177">
        <v>5</v>
      </c>
      <c r="I177">
        <v>18</v>
      </c>
      <c r="J177">
        <v>1</v>
      </c>
      <c r="K177">
        <v>6</v>
      </c>
      <c r="L177">
        <v>9</v>
      </c>
      <c r="M177">
        <v>30</v>
      </c>
      <c r="N177">
        <v>152</v>
      </c>
      <c r="O177">
        <v>257</v>
      </c>
      <c r="P177">
        <v>2</v>
      </c>
      <c r="Q177">
        <v>6</v>
      </c>
      <c r="R177">
        <v>8</v>
      </c>
      <c r="S177">
        <v>0</v>
      </c>
      <c r="T177">
        <v>0</v>
      </c>
      <c r="U177">
        <v>489</v>
      </c>
      <c r="V177">
        <v>25</v>
      </c>
      <c r="W177">
        <v>207</v>
      </c>
      <c r="X177">
        <v>257</v>
      </c>
    </row>
    <row r="178" spans="1:24" x14ac:dyDescent="0.2">
      <c r="A178">
        <v>177</v>
      </c>
      <c r="B178" s="1">
        <v>40781</v>
      </c>
      <c r="C178" t="s">
        <v>28</v>
      </c>
      <c r="D178">
        <v>44</v>
      </c>
      <c r="E178">
        <v>7</v>
      </c>
      <c r="F178">
        <v>6</v>
      </c>
      <c r="G178" t="s">
        <v>27</v>
      </c>
      <c r="H178">
        <v>6</v>
      </c>
      <c r="I178">
        <v>21</v>
      </c>
      <c r="J178">
        <v>1</v>
      </c>
      <c r="K178">
        <v>8</v>
      </c>
      <c r="L178">
        <v>6</v>
      </c>
      <c r="M178">
        <v>41</v>
      </c>
      <c r="N178">
        <v>144</v>
      </c>
      <c r="O178">
        <v>283</v>
      </c>
      <c r="P178">
        <v>2</v>
      </c>
      <c r="Q178">
        <v>3</v>
      </c>
      <c r="R178">
        <v>3</v>
      </c>
      <c r="S178">
        <v>0</v>
      </c>
      <c r="T178">
        <v>0</v>
      </c>
      <c r="U178">
        <v>512</v>
      </c>
      <c r="V178">
        <v>30</v>
      </c>
      <c r="W178">
        <v>199</v>
      </c>
      <c r="X178">
        <v>283</v>
      </c>
    </row>
    <row r="179" spans="1:24" x14ac:dyDescent="0.2">
      <c r="A179">
        <v>178</v>
      </c>
      <c r="B179" s="1">
        <v>40781</v>
      </c>
      <c r="C179" t="s">
        <v>24</v>
      </c>
      <c r="D179">
        <v>44</v>
      </c>
      <c r="E179">
        <v>7</v>
      </c>
      <c r="F179">
        <v>6</v>
      </c>
      <c r="G179" t="s">
        <v>27</v>
      </c>
      <c r="H179">
        <v>7</v>
      </c>
      <c r="I179">
        <v>22</v>
      </c>
      <c r="J179">
        <v>0</v>
      </c>
      <c r="K179">
        <v>15</v>
      </c>
      <c r="L179">
        <v>7</v>
      </c>
      <c r="M179">
        <v>28</v>
      </c>
      <c r="N179">
        <v>96</v>
      </c>
      <c r="O179">
        <v>276</v>
      </c>
      <c r="P179">
        <v>1</v>
      </c>
      <c r="Q179">
        <v>3</v>
      </c>
      <c r="R179">
        <v>4</v>
      </c>
      <c r="S179">
        <v>0</v>
      </c>
      <c r="T179">
        <v>0</v>
      </c>
      <c r="U179">
        <v>452</v>
      </c>
      <c r="V179">
        <v>37</v>
      </c>
      <c r="W179">
        <v>139</v>
      </c>
      <c r="X179">
        <v>276</v>
      </c>
    </row>
    <row r="180" spans="1:24" x14ac:dyDescent="0.2">
      <c r="A180">
        <v>179</v>
      </c>
      <c r="B180" s="1">
        <v>40781</v>
      </c>
      <c r="C180" t="s">
        <v>24</v>
      </c>
      <c r="D180">
        <v>44</v>
      </c>
      <c r="E180">
        <v>7</v>
      </c>
      <c r="F180">
        <v>6</v>
      </c>
      <c r="G180" t="s">
        <v>26</v>
      </c>
      <c r="H180">
        <v>8</v>
      </c>
      <c r="I180">
        <v>16</v>
      </c>
      <c r="J180">
        <v>1</v>
      </c>
      <c r="K180">
        <v>9</v>
      </c>
      <c r="L180">
        <v>19</v>
      </c>
      <c r="M180">
        <v>35</v>
      </c>
      <c r="N180">
        <v>95</v>
      </c>
      <c r="O180">
        <v>148</v>
      </c>
      <c r="P180">
        <v>1</v>
      </c>
      <c r="Q180">
        <v>3</v>
      </c>
      <c r="R180">
        <v>5</v>
      </c>
      <c r="S180">
        <v>3</v>
      </c>
      <c r="T180">
        <v>0</v>
      </c>
      <c r="U180">
        <v>335</v>
      </c>
      <c r="V180">
        <v>26</v>
      </c>
      <c r="W180">
        <v>161</v>
      </c>
      <c r="X180">
        <v>148</v>
      </c>
    </row>
    <row r="181" spans="1:24" x14ac:dyDescent="0.2">
      <c r="A181">
        <v>180</v>
      </c>
      <c r="B181" s="1">
        <v>40781</v>
      </c>
      <c r="C181" t="s">
        <v>28</v>
      </c>
      <c r="D181">
        <v>44</v>
      </c>
      <c r="E181">
        <v>7</v>
      </c>
      <c r="F181">
        <v>6</v>
      </c>
      <c r="G181" t="s">
        <v>27</v>
      </c>
      <c r="H181">
        <v>9</v>
      </c>
      <c r="I181">
        <v>14</v>
      </c>
      <c r="J181">
        <v>0</v>
      </c>
      <c r="K181">
        <v>7</v>
      </c>
      <c r="L181">
        <v>4</v>
      </c>
      <c r="M181">
        <v>28</v>
      </c>
      <c r="N181">
        <v>63</v>
      </c>
      <c r="O181">
        <v>261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377</v>
      </c>
      <c r="V181">
        <v>21</v>
      </c>
      <c r="W181">
        <v>95</v>
      </c>
      <c r="X181">
        <v>261</v>
      </c>
    </row>
    <row r="182" spans="1:24" x14ac:dyDescent="0.2">
      <c r="A182">
        <v>181</v>
      </c>
      <c r="B182" s="1">
        <v>40785</v>
      </c>
      <c r="C182" t="s">
        <v>24</v>
      </c>
      <c r="D182">
        <v>48</v>
      </c>
      <c r="E182">
        <v>8</v>
      </c>
      <c r="F182">
        <v>3</v>
      </c>
      <c r="G182" t="s">
        <v>25</v>
      </c>
      <c r="H182">
        <v>1</v>
      </c>
      <c r="I182">
        <v>19</v>
      </c>
      <c r="J182">
        <v>2</v>
      </c>
      <c r="K182">
        <v>7</v>
      </c>
      <c r="L182">
        <v>4</v>
      </c>
      <c r="M182">
        <v>48</v>
      </c>
      <c r="N182">
        <v>234</v>
      </c>
      <c r="O182">
        <v>189</v>
      </c>
      <c r="P182">
        <v>4</v>
      </c>
      <c r="Q182">
        <v>4</v>
      </c>
      <c r="R182">
        <v>2</v>
      </c>
      <c r="S182">
        <v>1</v>
      </c>
      <c r="T182">
        <v>0</v>
      </c>
      <c r="U182">
        <v>514</v>
      </c>
      <c r="V182">
        <v>28</v>
      </c>
      <c r="W182">
        <v>297</v>
      </c>
      <c r="X182">
        <v>189</v>
      </c>
    </row>
    <row r="183" spans="1:24" x14ac:dyDescent="0.2">
      <c r="A183">
        <v>182</v>
      </c>
      <c r="B183" s="1">
        <v>40785</v>
      </c>
      <c r="C183" t="s">
        <v>28</v>
      </c>
      <c r="D183">
        <v>48</v>
      </c>
      <c r="E183">
        <v>8</v>
      </c>
      <c r="F183">
        <v>3</v>
      </c>
      <c r="G183" t="s">
        <v>25</v>
      </c>
      <c r="H183">
        <v>2</v>
      </c>
      <c r="I183">
        <v>30</v>
      </c>
      <c r="J183">
        <v>1</v>
      </c>
      <c r="K183">
        <v>15</v>
      </c>
      <c r="L183">
        <v>9</v>
      </c>
      <c r="M183">
        <v>44</v>
      </c>
      <c r="N183">
        <v>129</v>
      </c>
      <c r="O183">
        <v>203</v>
      </c>
      <c r="P183">
        <v>1</v>
      </c>
      <c r="Q183">
        <v>3</v>
      </c>
      <c r="R183">
        <v>0</v>
      </c>
      <c r="S183">
        <v>3</v>
      </c>
      <c r="T183">
        <v>0</v>
      </c>
      <c r="U183">
        <v>438</v>
      </c>
      <c r="V183">
        <v>46</v>
      </c>
      <c r="W183">
        <v>189</v>
      </c>
      <c r="X183">
        <v>203</v>
      </c>
    </row>
    <row r="184" spans="1:24" x14ac:dyDescent="0.2">
      <c r="A184">
        <v>183</v>
      </c>
      <c r="B184" s="1">
        <v>40785</v>
      </c>
      <c r="C184" t="s">
        <v>28</v>
      </c>
      <c r="D184">
        <v>48</v>
      </c>
      <c r="E184">
        <v>8</v>
      </c>
      <c r="F184">
        <v>3</v>
      </c>
      <c r="G184" t="s">
        <v>26</v>
      </c>
      <c r="H184">
        <v>3</v>
      </c>
      <c r="I184">
        <v>25</v>
      </c>
      <c r="J184">
        <v>0</v>
      </c>
      <c r="K184">
        <v>17</v>
      </c>
      <c r="L184">
        <v>6</v>
      </c>
      <c r="M184">
        <v>38</v>
      </c>
      <c r="N184">
        <v>62</v>
      </c>
      <c r="O184">
        <v>226</v>
      </c>
      <c r="P184">
        <v>2</v>
      </c>
      <c r="Q184">
        <v>3</v>
      </c>
      <c r="R184">
        <v>5</v>
      </c>
      <c r="S184">
        <v>3</v>
      </c>
      <c r="T184">
        <v>0</v>
      </c>
      <c r="U184">
        <v>387</v>
      </c>
      <c r="V184">
        <v>42</v>
      </c>
      <c r="W184">
        <v>119</v>
      </c>
      <c r="X184">
        <v>226</v>
      </c>
    </row>
    <row r="185" spans="1:24" x14ac:dyDescent="0.2">
      <c r="A185">
        <v>184</v>
      </c>
      <c r="B185" s="1">
        <v>40785</v>
      </c>
      <c r="C185" t="s">
        <v>28</v>
      </c>
      <c r="D185">
        <v>48</v>
      </c>
      <c r="E185">
        <v>8</v>
      </c>
      <c r="F185">
        <v>3</v>
      </c>
      <c r="G185" t="s">
        <v>25</v>
      </c>
      <c r="H185">
        <v>4</v>
      </c>
      <c r="I185">
        <v>33</v>
      </c>
      <c r="J185">
        <v>2</v>
      </c>
      <c r="K185">
        <v>19</v>
      </c>
      <c r="L185">
        <v>8</v>
      </c>
      <c r="M185">
        <v>38</v>
      </c>
      <c r="N185">
        <v>131</v>
      </c>
      <c r="O185">
        <v>224</v>
      </c>
      <c r="P185">
        <v>2</v>
      </c>
      <c r="Q185">
        <v>3</v>
      </c>
      <c r="R185">
        <v>3</v>
      </c>
      <c r="S185">
        <v>1</v>
      </c>
      <c r="T185">
        <v>0</v>
      </c>
      <c r="U185">
        <v>464</v>
      </c>
      <c r="V185">
        <v>54</v>
      </c>
      <c r="W185">
        <v>186</v>
      </c>
      <c r="X185">
        <v>224</v>
      </c>
    </row>
    <row r="186" spans="1:24" x14ac:dyDescent="0.2">
      <c r="A186">
        <v>185</v>
      </c>
      <c r="B186" s="1">
        <v>40785</v>
      </c>
      <c r="C186" t="s">
        <v>24</v>
      </c>
      <c r="D186">
        <v>48</v>
      </c>
      <c r="E186">
        <v>8</v>
      </c>
      <c r="F186">
        <v>3</v>
      </c>
      <c r="G186" t="s">
        <v>26</v>
      </c>
      <c r="H186">
        <v>5</v>
      </c>
      <c r="I186">
        <v>8</v>
      </c>
      <c r="J186">
        <v>2</v>
      </c>
      <c r="K186">
        <v>12</v>
      </c>
      <c r="L186">
        <v>7</v>
      </c>
      <c r="M186">
        <v>15</v>
      </c>
      <c r="N186">
        <v>123</v>
      </c>
      <c r="O186">
        <v>121</v>
      </c>
      <c r="P186">
        <v>4</v>
      </c>
      <c r="Q186">
        <v>2</v>
      </c>
      <c r="R186">
        <v>2</v>
      </c>
      <c r="S186">
        <v>0</v>
      </c>
      <c r="T186">
        <v>0</v>
      </c>
      <c r="U186">
        <v>296</v>
      </c>
      <c r="V186">
        <v>22</v>
      </c>
      <c r="W186">
        <v>153</v>
      </c>
      <c r="X186">
        <v>121</v>
      </c>
    </row>
    <row r="187" spans="1:24" x14ac:dyDescent="0.2">
      <c r="A187">
        <v>186</v>
      </c>
      <c r="B187" s="1">
        <v>40785</v>
      </c>
      <c r="C187" t="s">
        <v>24</v>
      </c>
      <c r="D187">
        <v>48</v>
      </c>
      <c r="E187">
        <v>8</v>
      </c>
      <c r="F187">
        <v>3</v>
      </c>
      <c r="G187" t="s">
        <v>27</v>
      </c>
      <c r="H187">
        <v>6</v>
      </c>
      <c r="I187">
        <v>17</v>
      </c>
      <c r="J187">
        <v>0</v>
      </c>
      <c r="K187">
        <v>8</v>
      </c>
      <c r="L187">
        <v>4</v>
      </c>
      <c r="M187">
        <v>36</v>
      </c>
      <c r="N187">
        <v>96</v>
      </c>
      <c r="O187">
        <v>123</v>
      </c>
      <c r="P187">
        <v>1</v>
      </c>
      <c r="Q187">
        <v>3</v>
      </c>
      <c r="R187">
        <v>1</v>
      </c>
      <c r="S187">
        <v>0</v>
      </c>
      <c r="T187">
        <v>0</v>
      </c>
      <c r="U187">
        <v>289</v>
      </c>
      <c r="V187">
        <v>25</v>
      </c>
      <c r="W187">
        <v>141</v>
      </c>
      <c r="X187">
        <v>123</v>
      </c>
    </row>
    <row r="188" spans="1:24" x14ac:dyDescent="0.2">
      <c r="A188">
        <v>187</v>
      </c>
      <c r="B188" s="1">
        <v>40785</v>
      </c>
      <c r="C188" t="s">
        <v>28</v>
      </c>
      <c r="D188">
        <v>48</v>
      </c>
      <c r="E188">
        <v>8</v>
      </c>
      <c r="F188">
        <v>3</v>
      </c>
      <c r="G188" t="s">
        <v>27</v>
      </c>
      <c r="H188">
        <v>7</v>
      </c>
      <c r="I188">
        <v>35</v>
      </c>
      <c r="J188">
        <v>0</v>
      </c>
      <c r="K188">
        <v>18</v>
      </c>
      <c r="L188">
        <v>8</v>
      </c>
      <c r="M188">
        <v>27</v>
      </c>
      <c r="N188">
        <v>103</v>
      </c>
      <c r="O188">
        <v>225</v>
      </c>
      <c r="P188">
        <v>2</v>
      </c>
      <c r="Q188">
        <v>0</v>
      </c>
      <c r="R188">
        <v>5</v>
      </c>
      <c r="S188">
        <v>2</v>
      </c>
      <c r="T188">
        <v>0</v>
      </c>
      <c r="U188">
        <v>425</v>
      </c>
      <c r="V188">
        <v>53</v>
      </c>
      <c r="W188">
        <v>147</v>
      </c>
      <c r="X188">
        <v>225</v>
      </c>
    </row>
    <row r="189" spans="1:24" x14ac:dyDescent="0.2">
      <c r="A189">
        <v>188</v>
      </c>
      <c r="B189" s="1">
        <v>40785</v>
      </c>
      <c r="C189" t="s">
        <v>24</v>
      </c>
      <c r="D189">
        <v>48</v>
      </c>
      <c r="E189">
        <v>8</v>
      </c>
      <c r="F189">
        <v>3</v>
      </c>
      <c r="G189" t="s">
        <v>26</v>
      </c>
      <c r="H189">
        <v>8</v>
      </c>
      <c r="I189">
        <v>15</v>
      </c>
      <c r="J189">
        <v>2</v>
      </c>
      <c r="K189">
        <v>9</v>
      </c>
      <c r="L189">
        <v>6</v>
      </c>
      <c r="M189">
        <v>12</v>
      </c>
      <c r="N189">
        <v>73</v>
      </c>
      <c r="O189">
        <v>114</v>
      </c>
      <c r="P189">
        <v>3</v>
      </c>
      <c r="Q189">
        <v>2</v>
      </c>
      <c r="R189">
        <v>0</v>
      </c>
      <c r="S189">
        <v>3</v>
      </c>
      <c r="T189">
        <v>0</v>
      </c>
      <c r="U189">
        <v>239</v>
      </c>
      <c r="V189">
        <v>26</v>
      </c>
      <c r="W189">
        <v>99</v>
      </c>
      <c r="X189">
        <v>114</v>
      </c>
    </row>
    <row r="190" spans="1:24" x14ac:dyDescent="0.2">
      <c r="A190">
        <v>189</v>
      </c>
      <c r="B190" s="1">
        <v>40785</v>
      </c>
      <c r="C190" t="s">
        <v>24</v>
      </c>
      <c r="D190">
        <v>48</v>
      </c>
      <c r="E190">
        <v>8</v>
      </c>
      <c r="F190">
        <v>3</v>
      </c>
      <c r="G190" t="s">
        <v>27</v>
      </c>
      <c r="H190">
        <v>9</v>
      </c>
      <c r="I190">
        <v>13</v>
      </c>
      <c r="J190">
        <v>2</v>
      </c>
      <c r="K190">
        <v>6</v>
      </c>
      <c r="L190">
        <v>2</v>
      </c>
      <c r="M190">
        <v>24</v>
      </c>
      <c r="N190">
        <v>105</v>
      </c>
      <c r="O190">
        <v>201</v>
      </c>
      <c r="P190">
        <v>2</v>
      </c>
      <c r="Q190">
        <v>1</v>
      </c>
      <c r="R190">
        <v>2</v>
      </c>
      <c r="S190">
        <v>2</v>
      </c>
      <c r="T190">
        <v>0</v>
      </c>
      <c r="U190">
        <v>360</v>
      </c>
      <c r="V190">
        <v>21</v>
      </c>
      <c r="W190">
        <v>138</v>
      </c>
      <c r="X190">
        <v>201</v>
      </c>
    </row>
    <row r="191" spans="1:24" x14ac:dyDescent="0.2">
      <c r="A191">
        <v>190</v>
      </c>
      <c r="B191" s="1">
        <v>40788</v>
      </c>
      <c r="C191" t="s">
        <v>28</v>
      </c>
      <c r="D191">
        <v>50</v>
      </c>
      <c r="E191">
        <v>8</v>
      </c>
      <c r="F191">
        <v>6</v>
      </c>
      <c r="G191" t="s">
        <v>25</v>
      </c>
      <c r="H191">
        <v>1</v>
      </c>
      <c r="I191">
        <v>36</v>
      </c>
      <c r="J191">
        <v>2</v>
      </c>
      <c r="K191">
        <v>10</v>
      </c>
      <c r="L191">
        <v>9</v>
      </c>
      <c r="M191">
        <v>45</v>
      </c>
      <c r="N191">
        <v>188</v>
      </c>
      <c r="O191">
        <v>179</v>
      </c>
      <c r="P191">
        <v>0</v>
      </c>
      <c r="Q191">
        <v>3</v>
      </c>
      <c r="R191">
        <v>0</v>
      </c>
      <c r="S191">
        <v>3</v>
      </c>
      <c r="T191">
        <v>0</v>
      </c>
      <c r="U191">
        <v>475</v>
      </c>
      <c r="V191">
        <v>48</v>
      </c>
      <c r="W191">
        <v>248</v>
      </c>
      <c r="X191">
        <v>179</v>
      </c>
    </row>
    <row r="192" spans="1:24" x14ac:dyDescent="0.2">
      <c r="A192">
        <v>191</v>
      </c>
      <c r="B192" s="1">
        <v>40788</v>
      </c>
      <c r="C192" t="s">
        <v>24</v>
      </c>
      <c r="D192">
        <v>50</v>
      </c>
      <c r="E192">
        <v>8</v>
      </c>
      <c r="F192">
        <v>6</v>
      </c>
      <c r="G192" t="s">
        <v>25</v>
      </c>
      <c r="H192">
        <v>2</v>
      </c>
      <c r="I192">
        <v>23</v>
      </c>
      <c r="J192">
        <v>4</v>
      </c>
      <c r="K192">
        <v>14</v>
      </c>
      <c r="L192">
        <v>11</v>
      </c>
      <c r="M192">
        <v>41</v>
      </c>
      <c r="N192">
        <v>159</v>
      </c>
      <c r="O192">
        <v>127</v>
      </c>
      <c r="P192">
        <v>1</v>
      </c>
      <c r="Q192">
        <v>3</v>
      </c>
      <c r="R192">
        <v>0</v>
      </c>
      <c r="S192">
        <v>6</v>
      </c>
      <c r="T192">
        <v>0</v>
      </c>
      <c r="U192">
        <v>389</v>
      </c>
      <c r="V192">
        <v>41</v>
      </c>
      <c r="W192">
        <v>221</v>
      </c>
      <c r="X192">
        <v>127</v>
      </c>
    </row>
    <row r="193" spans="1:24" x14ac:dyDescent="0.2">
      <c r="A193">
        <v>192</v>
      </c>
      <c r="B193" s="1">
        <v>40788</v>
      </c>
      <c r="C193" t="s">
        <v>24</v>
      </c>
      <c r="D193">
        <v>50</v>
      </c>
      <c r="E193">
        <v>8</v>
      </c>
      <c r="F193">
        <v>6</v>
      </c>
      <c r="G193" t="s">
        <v>26</v>
      </c>
      <c r="H193">
        <v>3</v>
      </c>
      <c r="I193">
        <v>25</v>
      </c>
      <c r="J193">
        <v>2</v>
      </c>
      <c r="K193">
        <v>12</v>
      </c>
      <c r="L193">
        <v>12</v>
      </c>
      <c r="M193">
        <v>38</v>
      </c>
      <c r="N193">
        <v>139</v>
      </c>
      <c r="O193">
        <v>166</v>
      </c>
      <c r="P193">
        <v>0</v>
      </c>
      <c r="Q193">
        <v>2</v>
      </c>
      <c r="R193">
        <v>1</v>
      </c>
      <c r="S193">
        <v>2</v>
      </c>
      <c r="T193">
        <v>0</v>
      </c>
      <c r="U193">
        <v>399</v>
      </c>
      <c r="V193">
        <v>39</v>
      </c>
      <c r="W193">
        <v>194</v>
      </c>
      <c r="X193">
        <v>166</v>
      </c>
    </row>
    <row r="194" spans="1:24" x14ac:dyDescent="0.2">
      <c r="A194">
        <v>193</v>
      </c>
      <c r="B194" s="1">
        <v>40788</v>
      </c>
      <c r="C194" t="s">
        <v>24</v>
      </c>
      <c r="D194">
        <v>50</v>
      </c>
      <c r="E194">
        <v>8</v>
      </c>
      <c r="F194">
        <v>6</v>
      </c>
      <c r="G194" t="s">
        <v>25</v>
      </c>
      <c r="H194">
        <v>4</v>
      </c>
      <c r="I194">
        <v>22</v>
      </c>
      <c r="J194">
        <v>2</v>
      </c>
      <c r="K194">
        <v>10</v>
      </c>
      <c r="L194">
        <v>10</v>
      </c>
      <c r="M194">
        <v>30</v>
      </c>
      <c r="N194">
        <v>205</v>
      </c>
      <c r="O194">
        <v>128</v>
      </c>
      <c r="P194">
        <v>2</v>
      </c>
      <c r="Q194">
        <v>2</v>
      </c>
      <c r="R194">
        <v>3</v>
      </c>
      <c r="S194">
        <v>2</v>
      </c>
      <c r="T194">
        <v>0</v>
      </c>
      <c r="U194">
        <v>416</v>
      </c>
      <c r="V194">
        <v>34</v>
      </c>
      <c r="W194">
        <v>254</v>
      </c>
      <c r="X194">
        <v>128</v>
      </c>
    </row>
    <row r="195" spans="1:24" x14ac:dyDescent="0.2">
      <c r="A195">
        <v>194</v>
      </c>
      <c r="B195" s="1">
        <v>40788</v>
      </c>
      <c r="C195" t="s">
        <v>24</v>
      </c>
      <c r="D195">
        <v>50</v>
      </c>
      <c r="E195">
        <v>8</v>
      </c>
      <c r="F195">
        <v>6</v>
      </c>
      <c r="G195" t="s">
        <v>26</v>
      </c>
      <c r="H195">
        <v>5</v>
      </c>
      <c r="I195">
        <v>17</v>
      </c>
      <c r="J195">
        <v>2</v>
      </c>
      <c r="K195">
        <v>13</v>
      </c>
      <c r="L195">
        <v>3</v>
      </c>
      <c r="M195">
        <v>40</v>
      </c>
      <c r="N195">
        <v>160</v>
      </c>
      <c r="O195">
        <v>97</v>
      </c>
      <c r="P195">
        <v>0</v>
      </c>
      <c r="Q195">
        <v>0</v>
      </c>
      <c r="R195">
        <v>4</v>
      </c>
      <c r="S195">
        <v>0</v>
      </c>
      <c r="T195">
        <v>0</v>
      </c>
      <c r="U195">
        <v>336</v>
      </c>
      <c r="V195">
        <v>32</v>
      </c>
      <c r="W195">
        <v>207</v>
      </c>
      <c r="X195">
        <v>97</v>
      </c>
    </row>
    <row r="196" spans="1:24" x14ac:dyDescent="0.2">
      <c r="A196">
        <v>195</v>
      </c>
      <c r="B196" s="1">
        <v>40788</v>
      </c>
      <c r="C196" t="s">
        <v>28</v>
      </c>
      <c r="D196">
        <v>50</v>
      </c>
      <c r="E196">
        <v>8</v>
      </c>
      <c r="F196">
        <v>6</v>
      </c>
      <c r="G196" t="s">
        <v>27</v>
      </c>
      <c r="H196">
        <v>6</v>
      </c>
      <c r="I196">
        <v>25</v>
      </c>
      <c r="J196">
        <v>1</v>
      </c>
      <c r="K196">
        <v>8</v>
      </c>
      <c r="L196">
        <v>10</v>
      </c>
      <c r="M196">
        <v>32</v>
      </c>
      <c r="N196">
        <v>168</v>
      </c>
      <c r="O196">
        <v>142</v>
      </c>
      <c r="P196">
        <v>2</v>
      </c>
      <c r="Q196">
        <v>3</v>
      </c>
      <c r="R196">
        <v>5</v>
      </c>
      <c r="S196">
        <v>6</v>
      </c>
      <c r="T196">
        <v>0</v>
      </c>
      <c r="U196">
        <v>402</v>
      </c>
      <c r="V196">
        <v>34</v>
      </c>
      <c r="W196">
        <v>226</v>
      </c>
      <c r="X196">
        <v>142</v>
      </c>
    </row>
    <row r="197" spans="1:24" x14ac:dyDescent="0.2">
      <c r="A197">
        <v>196</v>
      </c>
      <c r="B197" s="1">
        <v>40788</v>
      </c>
      <c r="C197" t="s">
        <v>28</v>
      </c>
      <c r="D197">
        <v>50</v>
      </c>
      <c r="E197">
        <v>8</v>
      </c>
      <c r="F197">
        <v>6</v>
      </c>
      <c r="G197" t="s">
        <v>27</v>
      </c>
      <c r="H197">
        <v>7</v>
      </c>
      <c r="I197">
        <v>26</v>
      </c>
      <c r="J197">
        <v>0</v>
      </c>
      <c r="K197">
        <v>16</v>
      </c>
      <c r="L197">
        <v>8</v>
      </c>
      <c r="M197">
        <v>20</v>
      </c>
      <c r="N197">
        <v>144</v>
      </c>
      <c r="O197">
        <v>227</v>
      </c>
      <c r="P197">
        <v>2</v>
      </c>
      <c r="Q197">
        <v>1</v>
      </c>
      <c r="R197">
        <v>2</v>
      </c>
      <c r="S197">
        <v>0</v>
      </c>
      <c r="T197">
        <v>0</v>
      </c>
      <c r="U197">
        <v>446</v>
      </c>
      <c r="V197">
        <v>42</v>
      </c>
      <c r="W197">
        <v>177</v>
      </c>
      <c r="X197">
        <v>227</v>
      </c>
    </row>
    <row r="198" spans="1:24" x14ac:dyDescent="0.2">
      <c r="A198">
        <v>197</v>
      </c>
      <c r="B198" s="1">
        <v>40788</v>
      </c>
      <c r="C198" t="s">
        <v>24</v>
      </c>
      <c r="D198">
        <v>50</v>
      </c>
      <c r="E198">
        <v>8</v>
      </c>
      <c r="F198">
        <v>6</v>
      </c>
      <c r="G198" t="s">
        <v>26</v>
      </c>
      <c r="H198">
        <v>8</v>
      </c>
      <c r="I198">
        <v>21</v>
      </c>
      <c r="J198">
        <v>2</v>
      </c>
      <c r="K198">
        <v>9</v>
      </c>
      <c r="L198">
        <v>3</v>
      </c>
      <c r="M198">
        <v>29</v>
      </c>
      <c r="N198">
        <v>136</v>
      </c>
      <c r="O198">
        <v>147</v>
      </c>
      <c r="P198">
        <v>2</v>
      </c>
      <c r="Q198">
        <v>3</v>
      </c>
      <c r="R198">
        <v>0</v>
      </c>
      <c r="S198">
        <v>2</v>
      </c>
      <c r="T198">
        <v>0</v>
      </c>
      <c r="U198">
        <v>354</v>
      </c>
      <c r="V198">
        <v>32</v>
      </c>
      <c r="W198">
        <v>175</v>
      </c>
      <c r="X198">
        <v>147</v>
      </c>
    </row>
    <row r="199" spans="1:24" x14ac:dyDescent="0.2">
      <c r="A199">
        <v>198</v>
      </c>
      <c r="B199" s="1">
        <v>40788</v>
      </c>
      <c r="C199" t="s">
        <v>28</v>
      </c>
      <c r="D199">
        <v>50</v>
      </c>
      <c r="E199">
        <v>8</v>
      </c>
      <c r="F199">
        <v>6</v>
      </c>
      <c r="G199" t="s">
        <v>27</v>
      </c>
      <c r="H199">
        <v>9</v>
      </c>
      <c r="I199">
        <v>22</v>
      </c>
      <c r="J199">
        <v>2</v>
      </c>
      <c r="K199">
        <v>8</v>
      </c>
      <c r="L199">
        <v>6</v>
      </c>
      <c r="M199">
        <v>32</v>
      </c>
      <c r="N199">
        <v>238</v>
      </c>
      <c r="O199">
        <v>143</v>
      </c>
      <c r="P199">
        <v>1</v>
      </c>
      <c r="Q199">
        <v>2</v>
      </c>
      <c r="R199">
        <v>2</v>
      </c>
      <c r="S199">
        <v>1</v>
      </c>
      <c r="T199">
        <v>0</v>
      </c>
      <c r="U199">
        <v>457</v>
      </c>
      <c r="V199">
        <v>32</v>
      </c>
      <c r="W199">
        <v>282</v>
      </c>
      <c r="X199">
        <v>143</v>
      </c>
    </row>
    <row r="200" spans="1:24" x14ac:dyDescent="0.2">
      <c r="A200">
        <v>199</v>
      </c>
      <c r="B200" s="1">
        <v>40792</v>
      </c>
      <c r="C200" t="s">
        <v>24</v>
      </c>
      <c r="D200">
        <v>54</v>
      </c>
      <c r="E200">
        <v>9</v>
      </c>
      <c r="F200">
        <v>3</v>
      </c>
      <c r="G200" t="s">
        <v>25</v>
      </c>
      <c r="H200">
        <v>1</v>
      </c>
      <c r="I200">
        <v>27</v>
      </c>
      <c r="J200">
        <v>3</v>
      </c>
      <c r="K200">
        <v>9</v>
      </c>
      <c r="L200">
        <v>7</v>
      </c>
      <c r="M200">
        <v>38</v>
      </c>
      <c r="N200">
        <v>204</v>
      </c>
      <c r="O200">
        <v>146</v>
      </c>
      <c r="P200">
        <v>3</v>
      </c>
      <c r="Q200">
        <v>4</v>
      </c>
      <c r="R200">
        <v>5</v>
      </c>
      <c r="S200">
        <v>1</v>
      </c>
      <c r="T200">
        <v>0</v>
      </c>
      <c r="U200">
        <v>447</v>
      </c>
      <c r="V200">
        <v>39</v>
      </c>
      <c r="W200">
        <v>262</v>
      </c>
      <c r="X200">
        <v>146</v>
      </c>
    </row>
    <row r="201" spans="1:24" x14ac:dyDescent="0.2">
      <c r="A201">
        <v>200</v>
      </c>
      <c r="B201" s="1">
        <v>40792</v>
      </c>
      <c r="C201" t="s">
        <v>24</v>
      </c>
      <c r="D201">
        <v>54</v>
      </c>
      <c r="E201">
        <v>9</v>
      </c>
      <c r="F201">
        <v>3</v>
      </c>
      <c r="G201" t="s">
        <v>25</v>
      </c>
      <c r="H201">
        <v>2</v>
      </c>
      <c r="I201">
        <v>23</v>
      </c>
      <c r="J201">
        <v>3</v>
      </c>
      <c r="K201">
        <v>7</v>
      </c>
      <c r="L201">
        <v>5</v>
      </c>
      <c r="M201">
        <v>34</v>
      </c>
      <c r="N201">
        <v>131</v>
      </c>
      <c r="O201">
        <v>124</v>
      </c>
      <c r="P201">
        <v>2</v>
      </c>
      <c r="Q201">
        <v>3</v>
      </c>
      <c r="R201">
        <v>3</v>
      </c>
      <c r="S201">
        <v>4</v>
      </c>
      <c r="T201">
        <v>0</v>
      </c>
      <c r="U201">
        <v>339</v>
      </c>
      <c r="V201">
        <v>33</v>
      </c>
      <c r="W201">
        <v>182</v>
      </c>
      <c r="X201">
        <v>124</v>
      </c>
    </row>
    <row r="202" spans="1:24" x14ac:dyDescent="0.2">
      <c r="A202">
        <v>201</v>
      </c>
      <c r="B202" s="1">
        <v>40792</v>
      </c>
      <c r="C202" t="s">
        <v>24</v>
      </c>
      <c r="D202">
        <v>54</v>
      </c>
      <c r="E202">
        <v>9</v>
      </c>
      <c r="F202">
        <v>3</v>
      </c>
      <c r="G202" t="s">
        <v>26</v>
      </c>
      <c r="H202">
        <v>3</v>
      </c>
      <c r="I202">
        <v>27</v>
      </c>
      <c r="J202">
        <v>2</v>
      </c>
      <c r="K202">
        <v>12</v>
      </c>
      <c r="L202">
        <v>4</v>
      </c>
      <c r="M202">
        <v>28</v>
      </c>
      <c r="N202">
        <v>167</v>
      </c>
      <c r="O202">
        <v>197</v>
      </c>
      <c r="P202">
        <v>4</v>
      </c>
      <c r="Q202">
        <v>1</v>
      </c>
      <c r="R202">
        <v>2</v>
      </c>
      <c r="S202">
        <v>4</v>
      </c>
      <c r="T202">
        <v>0</v>
      </c>
      <c r="U202">
        <v>448</v>
      </c>
      <c r="V202">
        <v>41</v>
      </c>
      <c r="W202">
        <v>210</v>
      </c>
      <c r="X202">
        <v>197</v>
      </c>
    </row>
    <row r="203" spans="1:24" x14ac:dyDescent="0.2">
      <c r="A203">
        <v>202</v>
      </c>
      <c r="B203" s="1">
        <v>40792</v>
      </c>
      <c r="C203" t="s">
        <v>28</v>
      </c>
      <c r="D203">
        <v>54</v>
      </c>
      <c r="E203">
        <v>9</v>
      </c>
      <c r="F203">
        <v>3</v>
      </c>
      <c r="G203" t="s">
        <v>25</v>
      </c>
      <c r="H203">
        <v>4</v>
      </c>
      <c r="I203">
        <v>30</v>
      </c>
      <c r="J203">
        <v>3</v>
      </c>
      <c r="K203">
        <v>18</v>
      </c>
      <c r="L203">
        <v>12</v>
      </c>
      <c r="M203">
        <v>39</v>
      </c>
      <c r="N203">
        <v>118</v>
      </c>
      <c r="O203">
        <v>192</v>
      </c>
      <c r="P203">
        <v>5</v>
      </c>
      <c r="Q203">
        <v>3</v>
      </c>
      <c r="R203">
        <v>2</v>
      </c>
      <c r="S203">
        <v>1</v>
      </c>
      <c r="T203">
        <v>0</v>
      </c>
      <c r="U203">
        <v>423</v>
      </c>
      <c r="V203">
        <v>51</v>
      </c>
      <c r="W203">
        <v>180</v>
      </c>
      <c r="X203">
        <v>192</v>
      </c>
    </row>
    <row r="204" spans="1:24" x14ac:dyDescent="0.2">
      <c r="A204">
        <v>203</v>
      </c>
      <c r="B204" s="1">
        <v>40792</v>
      </c>
      <c r="C204" t="s">
        <v>24</v>
      </c>
      <c r="D204">
        <v>54</v>
      </c>
      <c r="E204">
        <v>9</v>
      </c>
      <c r="F204">
        <v>3</v>
      </c>
      <c r="G204" t="s">
        <v>26</v>
      </c>
      <c r="H204">
        <v>5</v>
      </c>
      <c r="I204">
        <v>22</v>
      </c>
      <c r="J204">
        <v>3</v>
      </c>
      <c r="K204">
        <v>10</v>
      </c>
      <c r="L204">
        <v>6</v>
      </c>
      <c r="M204">
        <v>30</v>
      </c>
      <c r="N204">
        <v>114</v>
      </c>
      <c r="O204">
        <v>123</v>
      </c>
      <c r="P204">
        <v>7</v>
      </c>
      <c r="Q204">
        <v>3</v>
      </c>
      <c r="R204">
        <v>2</v>
      </c>
      <c r="S204">
        <v>0</v>
      </c>
      <c r="T204">
        <v>0</v>
      </c>
      <c r="U204">
        <v>320</v>
      </c>
      <c r="V204">
        <v>35</v>
      </c>
      <c r="W204">
        <v>162</v>
      </c>
      <c r="X204">
        <v>123</v>
      </c>
    </row>
    <row r="205" spans="1:24" x14ac:dyDescent="0.2">
      <c r="A205">
        <v>204</v>
      </c>
      <c r="B205" s="1">
        <v>40792</v>
      </c>
      <c r="C205" t="s">
        <v>28</v>
      </c>
      <c r="D205">
        <v>54</v>
      </c>
      <c r="E205">
        <v>9</v>
      </c>
      <c r="F205">
        <v>3</v>
      </c>
      <c r="G205" t="s">
        <v>27</v>
      </c>
      <c r="H205">
        <v>6</v>
      </c>
      <c r="I205">
        <v>29</v>
      </c>
      <c r="J205">
        <v>1</v>
      </c>
      <c r="K205">
        <v>10</v>
      </c>
      <c r="L205">
        <v>10</v>
      </c>
      <c r="M205">
        <v>28</v>
      </c>
      <c r="N205">
        <v>112</v>
      </c>
      <c r="O205">
        <v>164</v>
      </c>
      <c r="P205">
        <v>5</v>
      </c>
      <c r="Q205">
        <v>10</v>
      </c>
      <c r="R205">
        <v>9</v>
      </c>
      <c r="S205">
        <v>8</v>
      </c>
      <c r="T205">
        <v>0</v>
      </c>
      <c r="U205">
        <v>386</v>
      </c>
      <c r="V205">
        <v>40</v>
      </c>
      <c r="W205">
        <v>182</v>
      </c>
      <c r="X205">
        <v>164</v>
      </c>
    </row>
    <row r="206" spans="1:24" x14ac:dyDescent="0.2">
      <c r="A206">
        <v>205</v>
      </c>
      <c r="B206" s="1">
        <v>40792</v>
      </c>
      <c r="C206" t="s">
        <v>24</v>
      </c>
      <c r="D206">
        <v>54</v>
      </c>
      <c r="E206">
        <v>9</v>
      </c>
      <c r="F206">
        <v>3</v>
      </c>
      <c r="G206" t="s">
        <v>27</v>
      </c>
      <c r="H206">
        <v>7</v>
      </c>
      <c r="I206">
        <v>29</v>
      </c>
      <c r="J206">
        <v>0</v>
      </c>
      <c r="K206">
        <v>14</v>
      </c>
      <c r="L206">
        <v>7</v>
      </c>
      <c r="M206">
        <v>33</v>
      </c>
      <c r="N206">
        <v>180</v>
      </c>
      <c r="O206">
        <v>181</v>
      </c>
      <c r="P206">
        <v>3</v>
      </c>
      <c r="Q206">
        <v>3</v>
      </c>
      <c r="R206">
        <v>5</v>
      </c>
      <c r="S206">
        <v>0</v>
      </c>
      <c r="T206">
        <v>0</v>
      </c>
      <c r="U206">
        <v>455</v>
      </c>
      <c r="V206">
        <v>43</v>
      </c>
      <c r="W206">
        <v>231</v>
      </c>
      <c r="X206">
        <v>181</v>
      </c>
    </row>
    <row r="207" spans="1:24" x14ac:dyDescent="0.2">
      <c r="A207">
        <v>206</v>
      </c>
      <c r="B207" s="1">
        <v>40792</v>
      </c>
      <c r="C207" t="s">
        <v>28</v>
      </c>
      <c r="D207">
        <v>54</v>
      </c>
      <c r="E207">
        <v>9</v>
      </c>
      <c r="F207">
        <v>3</v>
      </c>
      <c r="G207" t="s">
        <v>26</v>
      </c>
      <c r="H207">
        <v>8</v>
      </c>
      <c r="I207">
        <v>20</v>
      </c>
      <c r="J207">
        <v>3</v>
      </c>
      <c r="K207">
        <v>11</v>
      </c>
      <c r="L207">
        <v>7</v>
      </c>
      <c r="M207">
        <v>37</v>
      </c>
      <c r="N207">
        <v>112</v>
      </c>
      <c r="O207">
        <v>178</v>
      </c>
      <c r="P207">
        <v>1</v>
      </c>
      <c r="Q207">
        <v>1</v>
      </c>
      <c r="R207">
        <v>3</v>
      </c>
      <c r="S207">
        <v>14</v>
      </c>
      <c r="T207">
        <v>0</v>
      </c>
      <c r="U207">
        <v>387</v>
      </c>
      <c r="V207">
        <v>34</v>
      </c>
      <c r="W207">
        <v>175</v>
      </c>
      <c r="X207">
        <v>178</v>
      </c>
    </row>
    <row r="208" spans="1:24" x14ac:dyDescent="0.2">
      <c r="A208">
        <v>207</v>
      </c>
      <c r="B208" s="1">
        <v>40792</v>
      </c>
      <c r="C208" t="s">
        <v>28</v>
      </c>
      <c r="D208">
        <v>54</v>
      </c>
      <c r="E208">
        <v>9</v>
      </c>
      <c r="F208">
        <v>3</v>
      </c>
      <c r="G208" t="s">
        <v>27</v>
      </c>
      <c r="H208">
        <v>9</v>
      </c>
      <c r="I208">
        <v>22</v>
      </c>
      <c r="J208">
        <v>2</v>
      </c>
      <c r="K208">
        <v>10</v>
      </c>
      <c r="L208">
        <v>12</v>
      </c>
      <c r="M208">
        <v>38</v>
      </c>
      <c r="N208">
        <v>167</v>
      </c>
      <c r="O208">
        <v>177</v>
      </c>
      <c r="P208">
        <v>3</v>
      </c>
      <c r="Q208">
        <v>3</v>
      </c>
      <c r="R208">
        <v>2</v>
      </c>
      <c r="S208">
        <v>1</v>
      </c>
      <c r="T208">
        <v>0</v>
      </c>
      <c r="U208">
        <v>437</v>
      </c>
      <c r="V208">
        <v>34</v>
      </c>
      <c r="W208">
        <v>226</v>
      </c>
      <c r="X208">
        <v>177</v>
      </c>
    </row>
    <row r="209" spans="1:24" x14ac:dyDescent="0.2">
      <c r="A209">
        <v>208</v>
      </c>
      <c r="B209" s="1">
        <v>40795</v>
      </c>
      <c r="C209" t="s">
        <v>24</v>
      </c>
      <c r="D209">
        <v>57</v>
      </c>
      <c r="E209">
        <v>9</v>
      </c>
      <c r="F209">
        <v>6</v>
      </c>
      <c r="G209" t="s">
        <v>25</v>
      </c>
      <c r="H209">
        <v>1</v>
      </c>
      <c r="I209">
        <v>30</v>
      </c>
      <c r="J209">
        <v>3</v>
      </c>
      <c r="K209">
        <v>8</v>
      </c>
      <c r="L209">
        <v>10</v>
      </c>
      <c r="M209">
        <v>102</v>
      </c>
      <c r="N209">
        <v>254</v>
      </c>
      <c r="O209">
        <v>189</v>
      </c>
      <c r="P209">
        <v>3</v>
      </c>
      <c r="Q209">
        <v>4</v>
      </c>
      <c r="R209">
        <v>3</v>
      </c>
      <c r="S209">
        <v>3</v>
      </c>
      <c r="T209">
        <v>0</v>
      </c>
      <c r="U209">
        <v>609</v>
      </c>
      <c r="V209">
        <v>41</v>
      </c>
      <c r="W209">
        <v>379</v>
      </c>
      <c r="X209">
        <v>189</v>
      </c>
    </row>
    <row r="210" spans="1:24" x14ac:dyDescent="0.2">
      <c r="A210">
        <v>209</v>
      </c>
      <c r="B210" s="1">
        <v>40795</v>
      </c>
      <c r="C210" t="s">
        <v>24</v>
      </c>
      <c r="D210">
        <v>57</v>
      </c>
      <c r="E210">
        <v>9</v>
      </c>
      <c r="F210">
        <v>6</v>
      </c>
      <c r="G210" t="s">
        <v>25</v>
      </c>
      <c r="H210">
        <v>2</v>
      </c>
      <c r="I210">
        <v>27</v>
      </c>
      <c r="J210">
        <v>3</v>
      </c>
      <c r="K210">
        <v>10</v>
      </c>
      <c r="L210">
        <v>2</v>
      </c>
      <c r="M210">
        <v>44</v>
      </c>
      <c r="N210">
        <v>108</v>
      </c>
      <c r="O210">
        <v>162</v>
      </c>
      <c r="P210">
        <v>1</v>
      </c>
      <c r="Q210">
        <v>2</v>
      </c>
      <c r="R210">
        <v>2</v>
      </c>
      <c r="S210">
        <v>4</v>
      </c>
      <c r="T210">
        <v>0</v>
      </c>
      <c r="U210">
        <v>365</v>
      </c>
      <c r="V210">
        <v>40</v>
      </c>
      <c r="W210">
        <v>163</v>
      </c>
      <c r="X210">
        <v>162</v>
      </c>
    </row>
    <row r="211" spans="1:24" x14ac:dyDescent="0.2">
      <c r="A211">
        <v>210</v>
      </c>
      <c r="B211" s="1">
        <v>40795</v>
      </c>
      <c r="C211" t="s">
        <v>24</v>
      </c>
      <c r="D211">
        <v>57</v>
      </c>
      <c r="E211">
        <v>9</v>
      </c>
      <c r="F211">
        <v>6</v>
      </c>
      <c r="G211" t="s">
        <v>26</v>
      </c>
      <c r="H211">
        <v>3</v>
      </c>
      <c r="I211">
        <v>25</v>
      </c>
      <c r="J211">
        <v>3</v>
      </c>
      <c r="K211">
        <v>15</v>
      </c>
      <c r="L211">
        <v>4</v>
      </c>
      <c r="M211">
        <v>42</v>
      </c>
      <c r="N211">
        <v>158</v>
      </c>
      <c r="O211">
        <v>127</v>
      </c>
      <c r="P211">
        <v>2</v>
      </c>
      <c r="Q211">
        <v>2</v>
      </c>
      <c r="R211">
        <v>1</v>
      </c>
      <c r="S211">
        <v>4</v>
      </c>
      <c r="T211">
        <v>0</v>
      </c>
      <c r="U211">
        <v>383</v>
      </c>
      <c r="V211">
        <v>43</v>
      </c>
      <c r="W211">
        <v>213</v>
      </c>
      <c r="X211">
        <v>127</v>
      </c>
    </row>
    <row r="212" spans="1:24" x14ac:dyDescent="0.2">
      <c r="A212">
        <v>211</v>
      </c>
      <c r="B212" s="1">
        <v>40795</v>
      </c>
      <c r="C212" t="s">
        <v>24</v>
      </c>
      <c r="D212">
        <v>57</v>
      </c>
      <c r="E212">
        <v>9</v>
      </c>
      <c r="F212">
        <v>6</v>
      </c>
      <c r="G212" t="s">
        <v>25</v>
      </c>
      <c r="H212">
        <v>4</v>
      </c>
      <c r="I212">
        <v>37</v>
      </c>
      <c r="J212">
        <v>4</v>
      </c>
      <c r="K212">
        <v>20</v>
      </c>
      <c r="L212">
        <v>10</v>
      </c>
      <c r="M212">
        <v>41</v>
      </c>
      <c r="N212">
        <v>109</v>
      </c>
      <c r="O212">
        <v>259</v>
      </c>
      <c r="P212">
        <v>2</v>
      </c>
      <c r="Q212">
        <v>3</v>
      </c>
      <c r="R212">
        <v>6</v>
      </c>
      <c r="S212">
        <v>5</v>
      </c>
      <c r="T212">
        <v>0</v>
      </c>
      <c r="U212">
        <v>496</v>
      </c>
      <c r="V212">
        <v>61</v>
      </c>
      <c r="W212">
        <v>176</v>
      </c>
      <c r="X212">
        <v>259</v>
      </c>
    </row>
    <row r="213" spans="1:24" x14ac:dyDescent="0.2">
      <c r="A213">
        <v>212</v>
      </c>
      <c r="B213" s="1">
        <v>40795</v>
      </c>
      <c r="C213" t="s">
        <v>24</v>
      </c>
      <c r="D213">
        <v>57</v>
      </c>
      <c r="E213">
        <v>9</v>
      </c>
      <c r="F213">
        <v>6</v>
      </c>
      <c r="G213" t="s">
        <v>26</v>
      </c>
      <c r="H213">
        <v>5</v>
      </c>
      <c r="I213">
        <v>27</v>
      </c>
      <c r="J213">
        <v>3</v>
      </c>
      <c r="K213">
        <v>11</v>
      </c>
      <c r="L213">
        <v>9</v>
      </c>
      <c r="M213">
        <v>58</v>
      </c>
      <c r="N213">
        <v>83</v>
      </c>
      <c r="O213">
        <v>146</v>
      </c>
      <c r="P213">
        <v>6</v>
      </c>
      <c r="Q213">
        <v>4</v>
      </c>
      <c r="R213">
        <v>3</v>
      </c>
      <c r="S213">
        <v>1</v>
      </c>
      <c r="T213">
        <v>0</v>
      </c>
      <c r="U213">
        <v>351</v>
      </c>
      <c r="V213">
        <v>41</v>
      </c>
      <c r="W213">
        <v>164</v>
      </c>
      <c r="X213">
        <v>146</v>
      </c>
    </row>
    <row r="214" spans="1:24" x14ac:dyDescent="0.2">
      <c r="A214">
        <v>213</v>
      </c>
      <c r="B214" s="1">
        <v>40795</v>
      </c>
      <c r="C214" t="s">
        <v>28</v>
      </c>
      <c r="D214">
        <v>57</v>
      </c>
      <c r="E214">
        <v>9</v>
      </c>
      <c r="F214">
        <v>6</v>
      </c>
      <c r="G214" t="s">
        <v>27</v>
      </c>
      <c r="H214">
        <v>6</v>
      </c>
      <c r="I214">
        <v>31</v>
      </c>
      <c r="J214">
        <v>1</v>
      </c>
      <c r="K214">
        <v>12</v>
      </c>
      <c r="L214">
        <v>7</v>
      </c>
      <c r="M214">
        <v>38</v>
      </c>
      <c r="N214">
        <v>139</v>
      </c>
      <c r="O214">
        <v>251</v>
      </c>
      <c r="P214">
        <v>1</v>
      </c>
      <c r="Q214">
        <v>4</v>
      </c>
      <c r="R214">
        <v>4</v>
      </c>
      <c r="S214">
        <v>3</v>
      </c>
      <c r="T214">
        <v>0</v>
      </c>
      <c r="U214">
        <v>491</v>
      </c>
      <c r="V214">
        <v>44</v>
      </c>
      <c r="W214">
        <v>196</v>
      </c>
      <c r="X214">
        <v>251</v>
      </c>
    </row>
    <row r="215" spans="1:24" x14ac:dyDescent="0.2">
      <c r="A215">
        <v>214</v>
      </c>
      <c r="B215" s="1">
        <v>40795</v>
      </c>
      <c r="C215" t="s">
        <v>28</v>
      </c>
      <c r="D215">
        <v>57</v>
      </c>
      <c r="E215">
        <v>9</v>
      </c>
      <c r="F215">
        <v>6</v>
      </c>
      <c r="G215" t="s">
        <v>27</v>
      </c>
      <c r="H215">
        <v>7</v>
      </c>
      <c r="I215">
        <v>42</v>
      </c>
      <c r="J215">
        <v>2</v>
      </c>
      <c r="K215">
        <v>19</v>
      </c>
      <c r="L215">
        <v>6</v>
      </c>
      <c r="M215">
        <v>44</v>
      </c>
      <c r="N215">
        <v>130</v>
      </c>
      <c r="O215">
        <v>228</v>
      </c>
      <c r="P215">
        <v>0</v>
      </c>
      <c r="Q215">
        <v>9</v>
      </c>
      <c r="R215">
        <v>6</v>
      </c>
      <c r="S215">
        <v>0</v>
      </c>
      <c r="T215">
        <v>0</v>
      </c>
      <c r="U215">
        <v>486</v>
      </c>
      <c r="V215">
        <v>63</v>
      </c>
      <c r="W215">
        <v>195</v>
      </c>
      <c r="X215">
        <v>228</v>
      </c>
    </row>
    <row r="216" spans="1:24" x14ac:dyDescent="0.2">
      <c r="A216">
        <v>215</v>
      </c>
      <c r="B216" s="1">
        <v>40795</v>
      </c>
      <c r="C216" t="s">
        <v>28</v>
      </c>
      <c r="D216">
        <v>57</v>
      </c>
      <c r="E216">
        <v>9</v>
      </c>
      <c r="F216">
        <v>6</v>
      </c>
      <c r="G216" t="s">
        <v>26</v>
      </c>
      <c r="H216">
        <v>8</v>
      </c>
      <c r="I216">
        <v>18</v>
      </c>
      <c r="J216">
        <v>3</v>
      </c>
      <c r="K216">
        <v>8</v>
      </c>
      <c r="L216">
        <v>3</v>
      </c>
      <c r="M216">
        <v>43</v>
      </c>
      <c r="N216">
        <v>151</v>
      </c>
      <c r="O216">
        <v>185</v>
      </c>
      <c r="P216">
        <v>0</v>
      </c>
      <c r="Q216">
        <v>3</v>
      </c>
      <c r="R216">
        <v>4</v>
      </c>
      <c r="S216">
        <v>9</v>
      </c>
      <c r="T216">
        <v>0</v>
      </c>
      <c r="U216">
        <v>427</v>
      </c>
      <c r="V216">
        <v>29</v>
      </c>
      <c r="W216">
        <v>213</v>
      </c>
      <c r="X216">
        <v>185</v>
      </c>
    </row>
    <row r="217" spans="1:24" x14ac:dyDescent="0.2">
      <c r="A217">
        <v>216</v>
      </c>
      <c r="B217" s="1">
        <v>40795</v>
      </c>
      <c r="C217" t="s">
        <v>24</v>
      </c>
      <c r="D217">
        <v>57</v>
      </c>
      <c r="E217">
        <v>9</v>
      </c>
      <c r="F217">
        <v>6</v>
      </c>
      <c r="G217" t="s">
        <v>27</v>
      </c>
      <c r="H217">
        <v>9</v>
      </c>
      <c r="I217">
        <v>28</v>
      </c>
      <c r="J217">
        <v>2</v>
      </c>
      <c r="K217">
        <v>16</v>
      </c>
      <c r="L217">
        <v>9</v>
      </c>
      <c r="M217">
        <v>48</v>
      </c>
      <c r="N217">
        <v>204</v>
      </c>
      <c r="O217">
        <v>246</v>
      </c>
      <c r="P217">
        <v>3</v>
      </c>
      <c r="Q217">
        <v>9</v>
      </c>
      <c r="R217">
        <v>5</v>
      </c>
      <c r="S217">
        <v>4</v>
      </c>
      <c r="T217">
        <v>0</v>
      </c>
      <c r="U217">
        <v>574</v>
      </c>
      <c r="V217">
        <v>46</v>
      </c>
      <c r="W217">
        <v>282</v>
      </c>
      <c r="X217">
        <v>246</v>
      </c>
    </row>
    <row r="218" spans="1:24" s="4" customFormat="1" x14ac:dyDescent="0.2">
      <c r="A218" s="4">
        <v>217</v>
      </c>
      <c r="B218" s="13">
        <v>40799</v>
      </c>
      <c r="C218" s="4" t="s">
        <v>28</v>
      </c>
      <c r="D218" s="4">
        <v>61</v>
      </c>
      <c r="E218" s="4">
        <v>10</v>
      </c>
      <c r="F218" s="4">
        <v>3</v>
      </c>
      <c r="G218" s="4" t="s">
        <v>25</v>
      </c>
      <c r="H218" s="4">
        <v>1</v>
      </c>
      <c r="I218" s="4">
        <v>31</v>
      </c>
      <c r="J218" s="4">
        <v>5</v>
      </c>
      <c r="K218" s="4">
        <v>8</v>
      </c>
      <c r="L218" s="4">
        <v>6</v>
      </c>
      <c r="M218" s="4">
        <v>44</v>
      </c>
      <c r="N218" s="4">
        <v>218</v>
      </c>
      <c r="O218" s="4">
        <v>233</v>
      </c>
      <c r="P218" s="4">
        <v>3</v>
      </c>
      <c r="Q218" s="4">
        <v>3</v>
      </c>
      <c r="R218" s="4">
        <v>1</v>
      </c>
      <c r="S218" s="4">
        <v>3</v>
      </c>
      <c r="T218" s="4">
        <v>0</v>
      </c>
      <c r="U218" s="4">
        <v>555</v>
      </c>
      <c r="V218" s="4">
        <v>44</v>
      </c>
      <c r="W218" s="4">
        <v>278</v>
      </c>
      <c r="X218" s="4">
        <v>233</v>
      </c>
    </row>
    <row r="219" spans="1:24" x14ac:dyDescent="0.2">
      <c r="A219">
        <v>218</v>
      </c>
      <c r="B219" s="1">
        <v>40799</v>
      </c>
      <c r="C219" t="s">
        <v>24</v>
      </c>
      <c r="D219">
        <v>61</v>
      </c>
      <c r="E219">
        <v>10</v>
      </c>
      <c r="F219">
        <v>3</v>
      </c>
      <c r="G219" t="s">
        <v>25</v>
      </c>
      <c r="H219">
        <v>2</v>
      </c>
      <c r="I219">
        <v>21</v>
      </c>
      <c r="J219">
        <v>3</v>
      </c>
      <c r="K219">
        <v>10</v>
      </c>
      <c r="L219">
        <v>6</v>
      </c>
      <c r="M219">
        <v>41</v>
      </c>
      <c r="N219">
        <v>143</v>
      </c>
      <c r="O219">
        <v>155</v>
      </c>
      <c r="P219">
        <v>2</v>
      </c>
      <c r="Q219">
        <v>3</v>
      </c>
      <c r="R219">
        <v>5</v>
      </c>
      <c r="S219">
        <v>4</v>
      </c>
      <c r="T219">
        <v>0</v>
      </c>
      <c r="U219">
        <v>393</v>
      </c>
      <c r="V219">
        <v>34</v>
      </c>
      <c r="W219">
        <v>204</v>
      </c>
      <c r="X219">
        <v>155</v>
      </c>
    </row>
    <row r="220" spans="1:24" x14ac:dyDescent="0.2">
      <c r="A220">
        <v>219</v>
      </c>
      <c r="B220" s="1">
        <v>40799</v>
      </c>
      <c r="C220" t="s">
        <v>28</v>
      </c>
      <c r="D220">
        <v>61</v>
      </c>
      <c r="E220">
        <v>10</v>
      </c>
      <c r="F220">
        <v>3</v>
      </c>
      <c r="G220" t="s">
        <v>26</v>
      </c>
      <c r="H220">
        <v>3</v>
      </c>
      <c r="I220">
        <v>30</v>
      </c>
      <c r="J220">
        <v>2</v>
      </c>
      <c r="K220">
        <v>15</v>
      </c>
      <c r="L220">
        <v>5</v>
      </c>
      <c r="M220">
        <v>42</v>
      </c>
      <c r="N220">
        <v>109</v>
      </c>
      <c r="O220">
        <v>213</v>
      </c>
      <c r="P220">
        <v>0</v>
      </c>
      <c r="Q220">
        <v>4</v>
      </c>
      <c r="R220">
        <v>3</v>
      </c>
      <c r="S220">
        <v>5</v>
      </c>
      <c r="T220">
        <v>0</v>
      </c>
      <c r="U220">
        <v>428</v>
      </c>
      <c r="V220">
        <v>47</v>
      </c>
      <c r="W220">
        <v>168</v>
      </c>
      <c r="X220">
        <v>213</v>
      </c>
    </row>
    <row r="221" spans="1:24" x14ac:dyDescent="0.2">
      <c r="A221">
        <v>220</v>
      </c>
      <c r="B221" s="1">
        <v>40799</v>
      </c>
      <c r="C221" t="s">
        <v>24</v>
      </c>
      <c r="D221">
        <v>61</v>
      </c>
      <c r="E221">
        <v>10</v>
      </c>
      <c r="F221">
        <v>3</v>
      </c>
      <c r="G221" t="s">
        <v>25</v>
      </c>
      <c r="H221">
        <v>4</v>
      </c>
      <c r="I221">
        <v>36</v>
      </c>
      <c r="J221">
        <v>2</v>
      </c>
      <c r="K221">
        <v>19</v>
      </c>
      <c r="L221">
        <v>8</v>
      </c>
      <c r="M221">
        <v>48</v>
      </c>
      <c r="N221">
        <v>164</v>
      </c>
      <c r="O221">
        <v>202</v>
      </c>
      <c r="P221">
        <v>4</v>
      </c>
      <c r="Q221">
        <v>5</v>
      </c>
      <c r="R221">
        <v>3</v>
      </c>
      <c r="S221">
        <v>2</v>
      </c>
      <c r="T221">
        <v>0</v>
      </c>
      <c r="U221">
        <v>493</v>
      </c>
      <c r="V221">
        <v>57</v>
      </c>
      <c r="W221">
        <v>234</v>
      </c>
      <c r="X221">
        <v>202</v>
      </c>
    </row>
    <row r="222" spans="1:24" x14ac:dyDescent="0.2">
      <c r="A222">
        <v>221</v>
      </c>
      <c r="B222" s="1">
        <v>40799</v>
      </c>
      <c r="C222" t="s">
        <v>24</v>
      </c>
      <c r="D222">
        <v>61</v>
      </c>
      <c r="E222">
        <v>10</v>
      </c>
      <c r="F222">
        <v>3</v>
      </c>
      <c r="G222" t="s">
        <v>26</v>
      </c>
      <c r="H222">
        <v>5</v>
      </c>
      <c r="I222">
        <v>26</v>
      </c>
      <c r="J222">
        <v>1</v>
      </c>
      <c r="K222">
        <v>9</v>
      </c>
      <c r="L222">
        <v>6</v>
      </c>
      <c r="M222">
        <v>49</v>
      </c>
      <c r="N222">
        <v>126</v>
      </c>
      <c r="O222">
        <v>162</v>
      </c>
      <c r="P222">
        <v>6</v>
      </c>
      <c r="Q222">
        <v>3</v>
      </c>
      <c r="R222">
        <v>2</v>
      </c>
      <c r="S222">
        <v>3</v>
      </c>
      <c r="T222">
        <v>0</v>
      </c>
      <c r="U222">
        <v>393</v>
      </c>
      <c r="V222">
        <v>36</v>
      </c>
      <c r="W222">
        <v>195</v>
      </c>
      <c r="X222">
        <v>162</v>
      </c>
    </row>
    <row r="223" spans="1:24" x14ac:dyDescent="0.2">
      <c r="A223">
        <v>222</v>
      </c>
      <c r="B223" s="1">
        <v>40799</v>
      </c>
      <c r="C223" t="s">
        <v>28</v>
      </c>
      <c r="D223">
        <v>61</v>
      </c>
      <c r="E223">
        <v>10</v>
      </c>
      <c r="F223">
        <v>3</v>
      </c>
      <c r="G223" t="s">
        <v>27</v>
      </c>
      <c r="H223">
        <v>6</v>
      </c>
      <c r="I223">
        <v>33</v>
      </c>
      <c r="J223">
        <v>1</v>
      </c>
      <c r="K223">
        <v>13</v>
      </c>
      <c r="L223">
        <v>8</v>
      </c>
      <c r="M223">
        <v>24</v>
      </c>
      <c r="N223">
        <v>169</v>
      </c>
      <c r="O223">
        <v>256</v>
      </c>
      <c r="P223">
        <v>2</v>
      </c>
      <c r="Q223">
        <v>4</v>
      </c>
      <c r="R223">
        <v>3</v>
      </c>
      <c r="S223">
        <v>1</v>
      </c>
      <c r="T223">
        <v>0</v>
      </c>
      <c r="U223">
        <v>514</v>
      </c>
      <c r="V223">
        <v>47</v>
      </c>
      <c r="W223">
        <v>211</v>
      </c>
      <c r="X223">
        <v>256</v>
      </c>
    </row>
    <row r="224" spans="1:24" x14ac:dyDescent="0.2">
      <c r="A224">
        <v>223</v>
      </c>
      <c r="B224" s="1">
        <v>40799</v>
      </c>
      <c r="C224" t="s">
        <v>28</v>
      </c>
      <c r="D224">
        <v>61</v>
      </c>
      <c r="E224">
        <v>10</v>
      </c>
      <c r="F224">
        <v>3</v>
      </c>
      <c r="G224" t="s">
        <v>27</v>
      </c>
      <c r="H224">
        <v>7</v>
      </c>
      <c r="I224">
        <v>43</v>
      </c>
      <c r="J224">
        <v>0</v>
      </c>
      <c r="K224">
        <v>17</v>
      </c>
      <c r="L224">
        <v>12</v>
      </c>
      <c r="M224">
        <v>54</v>
      </c>
      <c r="N224">
        <v>257</v>
      </c>
      <c r="O224">
        <v>180</v>
      </c>
      <c r="P224">
        <v>1</v>
      </c>
      <c r="Q224">
        <v>5</v>
      </c>
      <c r="R224">
        <v>3</v>
      </c>
      <c r="S224">
        <v>2</v>
      </c>
      <c r="T224">
        <v>0</v>
      </c>
      <c r="U224">
        <v>574</v>
      </c>
      <c r="V224">
        <v>60</v>
      </c>
      <c r="W224">
        <v>334</v>
      </c>
      <c r="X224">
        <v>180</v>
      </c>
    </row>
    <row r="225" spans="1:24" x14ac:dyDescent="0.2">
      <c r="A225">
        <v>224</v>
      </c>
      <c r="B225" s="1">
        <v>40799</v>
      </c>
      <c r="C225" t="s">
        <v>24</v>
      </c>
      <c r="D225">
        <v>61</v>
      </c>
      <c r="E225">
        <v>10</v>
      </c>
      <c r="F225">
        <v>3</v>
      </c>
      <c r="G225" t="s">
        <v>26</v>
      </c>
      <c r="H225">
        <v>8</v>
      </c>
      <c r="I225">
        <v>20</v>
      </c>
      <c r="J225">
        <v>3</v>
      </c>
      <c r="K225">
        <v>6</v>
      </c>
      <c r="L225">
        <v>4</v>
      </c>
      <c r="M225">
        <v>43</v>
      </c>
      <c r="N225">
        <v>167</v>
      </c>
      <c r="O225">
        <v>161</v>
      </c>
      <c r="P225">
        <v>1</v>
      </c>
      <c r="Q225">
        <v>2</v>
      </c>
      <c r="R225">
        <v>2</v>
      </c>
      <c r="S225">
        <v>7</v>
      </c>
      <c r="T225">
        <v>0</v>
      </c>
      <c r="U225">
        <v>416</v>
      </c>
      <c r="V225">
        <v>29</v>
      </c>
      <c r="W225">
        <v>226</v>
      </c>
      <c r="X225">
        <v>161</v>
      </c>
    </row>
    <row r="226" spans="1:24" x14ac:dyDescent="0.2">
      <c r="A226">
        <v>225</v>
      </c>
      <c r="B226" s="1">
        <v>40799</v>
      </c>
      <c r="C226" t="s">
        <v>24</v>
      </c>
      <c r="D226">
        <v>61</v>
      </c>
      <c r="E226">
        <v>10</v>
      </c>
      <c r="F226">
        <v>3</v>
      </c>
      <c r="G226" t="s">
        <v>27</v>
      </c>
      <c r="H226">
        <v>9</v>
      </c>
      <c r="I226">
        <v>25</v>
      </c>
      <c r="J226">
        <v>4</v>
      </c>
      <c r="K226">
        <v>16</v>
      </c>
      <c r="L226">
        <v>11</v>
      </c>
      <c r="M226">
        <v>65</v>
      </c>
      <c r="N226">
        <v>314</v>
      </c>
      <c r="O226">
        <v>107</v>
      </c>
      <c r="P226">
        <v>6</v>
      </c>
      <c r="Q226">
        <v>5</v>
      </c>
      <c r="R226">
        <v>2</v>
      </c>
      <c r="S226">
        <v>4</v>
      </c>
      <c r="T226">
        <v>0</v>
      </c>
      <c r="U226">
        <v>559</v>
      </c>
      <c r="V226">
        <v>45</v>
      </c>
      <c r="W226">
        <v>407</v>
      </c>
      <c r="X226">
        <v>107</v>
      </c>
    </row>
    <row r="227" spans="1:24" x14ac:dyDescent="0.2">
      <c r="A227">
        <v>226</v>
      </c>
      <c r="B227" s="1">
        <v>40802</v>
      </c>
      <c r="C227" t="s">
        <v>28</v>
      </c>
      <c r="D227">
        <v>64</v>
      </c>
      <c r="E227">
        <v>10</v>
      </c>
      <c r="F227">
        <v>6</v>
      </c>
      <c r="G227" t="s">
        <v>25</v>
      </c>
      <c r="H227">
        <v>1</v>
      </c>
      <c r="I227">
        <v>29</v>
      </c>
      <c r="J227">
        <v>5</v>
      </c>
      <c r="K227">
        <v>8</v>
      </c>
      <c r="L227">
        <v>7</v>
      </c>
      <c r="M227">
        <v>31</v>
      </c>
      <c r="N227">
        <v>218</v>
      </c>
      <c r="O227">
        <v>242</v>
      </c>
      <c r="P227">
        <v>6</v>
      </c>
      <c r="Q227">
        <v>6</v>
      </c>
      <c r="R227">
        <v>4</v>
      </c>
      <c r="S227">
        <v>5</v>
      </c>
      <c r="T227">
        <v>0</v>
      </c>
      <c r="U227">
        <v>561</v>
      </c>
      <c r="V227">
        <v>42</v>
      </c>
      <c r="W227">
        <v>277</v>
      </c>
      <c r="X227">
        <v>242</v>
      </c>
    </row>
    <row r="228" spans="1:24" x14ac:dyDescent="0.2">
      <c r="A228">
        <v>227</v>
      </c>
      <c r="B228" s="1">
        <v>40802</v>
      </c>
      <c r="C228" t="s">
        <v>24</v>
      </c>
      <c r="D228">
        <v>64</v>
      </c>
      <c r="E228">
        <v>10</v>
      </c>
      <c r="F228">
        <v>6</v>
      </c>
      <c r="G228" t="s">
        <v>25</v>
      </c>
      <c r="H228">
        <v>2</v>
      </c>
      <c r="I228">
        <v>20</v>
      </c>
      <c r="J228">
        <v>3</v>
      </c>
      <c r="K228">
        <v>8</v>
      </c>
      <c r="L228">
        <v>7</v>
      </c>
      <c r="M228">
        <v>35</v>
      </c>
      <c r="N228">
        <v>103</v>
      </c>
      <c r="O228">
        <v>162</v>
      </c>
      <c r="P228">
        <v>4</v>
      </c>
      <c r="Q228">
        <v>3</v>
      </c>
      <c r="R228">
        <v>2</v>
      </c>
      <c r="S228">
        <v>4</v>
      </c>
      <c r="T228">
        <v>0</v>
      </c>
      <c r="U228">
        <v>351</v>
      </c>
      <c r="V228">
        <v>31</v>
      </c>
      <c r="W228">
        <v>158</v>
      </c>
      <c r="X228">
        <v>162</v>
      </c>
    </row>
    <row r="229" spans="1:24" x14ac:dyDescent="0.2">
      <c r="A229">
        <v>228</v>
      </c>
      <c r="B229" s="1">
        <v>40802</v>
      </c>
      <c r="C229" t="s">
        <v>24</v>
      </c>
      <c r="D229">
        <v>64</v>
      </c>
      <c r="E229">
        <v>10</v>
      </c>
      <c r="F229">
        <v>6</v>
      </c>
      <c r="G229" t="s">
        <v>26</v>
      </c>
      <c r="H229">
        <v>3</v>
      </c>
      <c r="I229">
        <v>22</v>
      </c>
      <c r="J229">
        <v>2</v>
      </c>
      <c r="K229">
        <v>12</v>
      </c>
      <c r="L229">
        <v>7</v>
      </c>
      <c r="M229">
        <v>38</v>
      </c>
      <c r="N229">
        <v>130</v>
      </c>
      <c r="O229">
        <v>135</v>
      </c>
      <c r="P229">
        <v>1</v>
      </c>
      <c r="Q229">
        <v>2</v>
      </c>
      <c r="R229">
        <v>4</v>
      </c>
      <c r="S229">
        <v>4</v>
      </c>
      <c r="T229">
        <v>0</v>
      </c>
      <c r="U229">
        <v>357</v>
      </c>
      <c r="V229">
        <v>36</v>
      </c>
      <c r="W229">
        <v>186</v>
      </c>
      <c r="X229">
        <v>135</v>
      </c>
    </row>
    <row r="230" spans="1:24" x14ac:dyDescent="0.2">
      <c r="A230">
        <v>229</v>
      </c>
      <c r="B230" s="1">
        <v>40802</v>
      </c>
      <c r="C230" t="s">
        <v>24</v>
      </c>
      <c r="D230">
        <v>64</v>
      </c>
      <c r="E230">
        <v>10</v>
      </c>
      <c r="F230">
        <v>6</v>
      </c>
      <c r="G230" t="s">
        <v>25</v>
      </c>
      <c r="H230">
        <v>4</v>
      </c>
      <c r="I230">
        <v>24</v>
      </c>
      <c r="J230">
        <v>3</v>
      </c>
      <c r="K230">
        <v>10</v>
      </c>
      <c r="L230">
        <v>5</v>
      </c>
      <c r="M230">
        <v>28</v>
      </c>
      <c r="N230">
        <v>176</v>
      </c>
      <c r="O230">
        <v>158</v>
      </c>
      <c r="P230">
        <v>1</v>
      </c>
      <c r="Q230">
        <v>1</v>
      </c>
      <c r="R230">
        <v>5</v>
      </c>
      <c r="S230">
        <v>1</v>
      </c>
      <c r="T230">
        <v>0</v>
      </c>
      <c r="U230">
        <v>412</v>
      </c>
      <c r="V230">
        <v>37</v>
      </c>
      <c r="W230">
        <v>217</v>
      </c>
      <c r="X230">
        <v>158</v>
      </c>
    </row>
    <row r="231" spans="1:24" x14ac:dyDescent="0.2">
      <c r="A231">
        <v>230</v>
      </c>
      <c r="B231" s="1">
        <v>40802</v>
      </c>
      <c r="C231" t="s">
        <v>28</v>
      </c>
      <c r="D231">
        <v>64</v>
      </c>
      <c r="E231">
        <v>10</v>
      </c>
      <c r="F231">
        <v>6</v>
      </c>
      <c r="G231" t="s">
        <v>26</v>
      </c>
      <c r="H231">
        <v>5</v>
      </c>
      <c r="I231">
        <v>35</v>
      </c>
      <c r="J231">
        <v>1</v>
      </c>
      <c r="K231">
        <v>12</v>
      </c>
      <c r="L231">
        <v>11</v>
      </c>
      <c r="M231">
        <v>25</v>
      </c>
      <c r="N231">
        <v>195</v>
      </c>
      <c r="O231">
        <v>221</v>
      </c>
      <c r="P231">
        <v>4</v>
      </c>
      <c r="Q231">
        <v>9</v>
      </c>
      <c r="R231">
        <v>5</v>
      </c>
      <c r="S231">
        <v>2</v>
      </c>
      <c r="T231">
        <v>0</v>
      </c>
      <c r="U231">
        <v>520</v>
      </c>
      <c r="V231">
        <v>48</v>
      </c>
      <c r="W231">
        <v>251</v>
      </c>
      <c r="X231">
        <v>221</v>
      </c>
    </row>
    <row r="232" spans="1:24" x14ac:dyDescent="0.2">
      <c r="A232">
        <v>231</v>
      </c>
      <c r="B232" s="1">
        <v>40802</v>
      </c>
      <c r="C232" t="s">
        <v>28</v>
      </c>
      <c r="D232">
        <v>64</v>
      </c>
      <c r="E232">
        <v>10</v>
      </c>
      <c r="F232">
        <v>6</v>
      </c>
      <c r="G232" t="s">
        <v>27</v>
      </c>
      <c r="H232">
        <v>6</v>
      </c>
      <c r="I232">
        <v>37</v>
      </c>
      <c r="J232">
        <v>1</v>
      </c>
      <c r="K232">
        <v>14</v>
      </c>
      <c r="L232">
        <v>8</v>
      </c>
      <c r="M232">
        <v>28</v>
      </c>
      <c r="N232">
        <v>223</v>
      </c>
      <c r="O232">
        <v>246</v>
      </c>
      <c r="P232">
        <v>4</v>
      </c>
      <c r="Q232">
        <v>3</v>
      </c>
      <c r="R232">
        <v>6</v>
      </c>
      <c r="S232">
        <v>4</v>
      </c>
      <c r="T232">
        <v>0</v>
      </c>
      <c r="U232">
        <v>574</v>
      </c>
      <c r="V232">
        <v>52</v>
      </c>
      <c r="W232">
        <v>276</v>
      </c>
      <c r="X232">
        <v>246</v>
      </c>
    </row>
    <row r="233" spans="1:24" x14ac:dyDescent="0.2">
      <c r="A233">
        <v>232</v>
      </c>
      <c r="B233" s="1">
        <v>40802</v>
      </c>
      <c r="C233" t="s">
        <v>24</v>
      </c>
      <c r="D233">
        <v>64</v>
      </c>
      <c r="E233">
        <v>10</v>
      </c>
      <c r="F233">
        <v>6</v>
      </c>
      <c r="G233" t="s">
        <v>27</v>
      </c>
      <c r="H233">
        <v>7</v>
      </c>
      <c r="I233">
        <v>34</v>
      </c>
      <c r="J233">
        <v>0</v>
      </c>
      <c r="K233">
        <v>23</v>
      </c>
      <c r="L233">
        <v>6</v>
      </c>
      <c r="M233">
        <v>42</v>
      </c>
      <c r="N233">
        <v>197</v>
      </c>
      <c r="O233">
        <v>182</v>
      </c>
      <c r="P233">
        <v>3</v>
      </c>
      <c r="Q233">
        <v>4</v>
      </c>
      <c r="R233">
        <v>0</v>
      </c>
      <c r="S233">
        <v>2</v>
      </c>
      <c r="T233">
        <v>0</v>
      </c>
      <c r="U233">
        <v>493</v>
      </c>
      <c r="V233">
        <v>57</v>
      </c>
      <c r="W233">
        <v>254</v>
      </c>
      <c r="X233">
        <v>182</v>
      </c>
    </row>
    <row r="234" spans="1:24" x14ac:dyDescent="0.2">
      <c r="A234">
        <v>233</v>
      </c>
      <c r="B234" s="1">
        <v>40802</v>
      </c>
      <c r="C234" t="s">
        <v>24</v>
      </c>
      <c r="D234">
        <v>64</v>
      </c>
      <c r="E234">
        <v>10</v>
      </c>
      <c r="F234">
        <v>6</v>
      </c>
      <c r="G234" t="s">
        <v>26</v>
      </c>
      <c r="H234">
        <v>8</v>
      </c>
      <c r="I234">
        <v>19</v>
      </c>
      <c r="J234">
        <v>3</v>
      </c>
      <c r="K234">
        <v>6</v>
      </c>
      <c r="L234">
        <v>4</v>
      </c>
      <c r="M234">
        <v>44</v>
      </c>
      <c r="N234">
        <v>192</v>
      </c>
      <c r="O234">
        <v>168</v>
      </c>
      <c r="P234">
        <v>1</v>
      </c>
      <c r="Q234">
        <v>0</v>
      </c>
      <c r="R234">
        <v>3</v>
      </c>
      <c r="S234">
        <v>8</v>
      </c>
      <c r="T234">
        <v>0</v>
      </c>
      <c r="U234">
        <v>448</v>
      </c>
      <c r="V234">
        <v>28</v>
      </c>
      <c r="W234">
        <v>252</v>
      </c>
      <c r="X234">
        <v>168</v>
      </c>
    </row>
    <row r="235" spans="1:24" x14ac:dyDescent="0.2">
      <c r="A235">
        <v>234</v>
      </c>
      <c r="B235" s="1">
        <v>40802</v>
      </c>
      <c r="C235" t="s">
        <v>28</v>
      </c>
      <c r="D235">
        <v>64</v>
      </c>
      <c r="E235">
        <v>10</v>
      </c>
      <c r="F235">
        <v>6</v>
      </c>
      <c r="G235" t="s">
        <v>27</v>
      </c>
      <c r="H235">
        <v>9</v>
      </c>
      <c r="I235">
        <v>38</v>
      </c>
      <c r="J235">
        <v>4</v>
      </c>
      <c r="K235">
        <v>13</v>
      </c>
      <c r="L235">
        <v>8</v>
      </c>
      <c r="M235">
        <v>31</v>
      </c>
      <c r="N235">
        <v>214</v>
      </c>
      <c r="O235">
        <v>148</v>
      </c>
      <c r="P235">
        <v>3</v>
      </c>
      <c r="Q235">
        <v>2</v>
      </c>
      <c r="R235">
        <v>3</v>
      </c>
      <c r="S235">
        <v>2</v>
      </c>
      <c r="T235">
        <v>0</v>
      </c>
      <c r="U235">
        <v>466</v>
      </c>
      <c r="V235">
        <v>55</v>
      </c>
      <c r="W235">
        <v>263</v>
      </c>
      <c r="X235">
        <v>148</v>
      </c>
    </row>
    <row r="236" spans="1:24" x14ac:dyDescent="0.2">
      <c r="A236">
        <v>235</v>
      </c>
      <c r="B236" s="1">
        <v>40806</v>
      </c>
      <c r="C236" t="s">
        <v>28</v>
      </c>
      <c r="D236">
        <v>68</v>
      </c>
      <c r="E236">
        <v>11</v>
      </c>
      <c r="F236">
        <v>3</v>
      </c>
      <c r="G236" t="s">
        <v>25</v>
      </c>
      <c r="H236">
        <v>1</v>
      </c>
      <c r="I236">
        <v>32</v>
      </c>
      <c r="J236">
        <v>7</v>
      </c>
      <c r="K236">
        <v>6</v>
      </c>
      <c r="L236">
        <v>10</v>
      </c>
      <c r="M236">
        <v>28</v>
      </c>
      <c r="N236">
        <v>240</v>
      </c>
      <c r="O236">
        <v>185</v>
      </c>
      <c r="P236">
        <v>3</v>
      </c>
      <c r="Q236">
        <v>6</v>
      </c>
      <c r="R236">
        <v>4</v>
      </c>
      <c r="S236">
        <v>10</v>
      </c>
      <c r="T236">
        <v>0</v>
      </c>
      <c r="U236">
        <v>531</v>
      </c>
      <c r="V236">
        <v>45</v>
      </c>
      <c r="W236">
        <v>301</v>
      </c>
      <c r="X236">
        <v>185</v>
      </c>
    </row>
    <row r="237" spans="1:24" x14ac:dyDescent="0.2">
      <c r="A237">
        <v>236</v>
      </c>
      <c r="B237" s="1">
        <v>40806</v>
      </c>
      <c r="C237" t="s">
        <v>24</v>
      </c>
      <c r="D237">
        <v>68</v>
      </c>
      <c r="E237">
        <v>11</v>
      </c>
      <c r="F237">
        <v>3</v>
      </c>
      <c r="G237" t="s">
        <v>25</v>
      </c>
      <c r="H237">
        <v>2</v>
      </c>
      <c r="I237">
        <v>22</v>
      </c>
      <c r="J237">
        <v>3</v>
      </c>
      <c r="K237">
        <v>9</v>
      </c>
      <c r="L237">
        <v>6</v>
      </c>
      <c r="M237">
        <v>39</v>
      </c>
      <c r="N237">
        <v>147</v>
      </c>
      <c r="O237">
        <v>158</v>
      </c>
      <c r="P237">
        <v>3</v>
      </c>
      <c r="Q237">
        <v>6</v>
      </c>
      <c r="R237">
        <v>8</v>
      </c>
      <c r="S237">
        <v>9</v>
      </c>
      <c r="T237">
        <v>0</v>
      </c>
      <c r="U237">
        <v>410</v>
      </c>
      <c r="V237">
        <v>34</v>
      </c>
      <c r="W237">
        <v>218</v>
      </c>
      <c r="X237">
        <v>158</v>
      </c>
    </row>
    <row r="238" spans="1:24" x14ac:dyDescent="0.2">
      <c r="A238">
        <v>237</v>
      </c>
      <c r="B238" s="1">
        <v>40806</v>
      </c>
      <c r="C238" t="s">
        <v>28</v>
      </c>
      <c r="D238">
        <v>68</v>
      </c>
      <c r="E238">
        <v>11</v>
      </c>
      <c r="F238">
        <v>3</v>
      </c>
      <c r="G238" t="s">
        <v>26</v>
      </c>
      <c r="H238">
        <v>3</v>
      </c>
      <c r="I238">
        <v>28</v>
      </c>
      <c r="J238">
        <v>4</v>
      </c>
      <c r="K238">
        <v>12</v>
      </c>
      <c r="L238">
        <v>10</v>
      </c>
      <c r="M238">
        <v>35</v>
      </c>
      <c r="N238">
        <v>153</v>
      </c>
      <c r="O238">
        <v>206</v>
      </c>
      <c r="P238">
        <v>1</v>
      </c>
      <c r="Q238">
        <v>3</v>
      </c>
      <c r="R238">
        <v>2</v>
      </c>
      <c r="S238">
        <v>3</v>
      </c>
      <c r="T238">
        <v>0</v>
      </c>
      <c r="U238">
        <v>457</v>
      </c>
      <c r="V238">
        <v>44</v>
      </c>
      <c r="W238">
        <v>207</v>
      </c>
      <c r="X238">
        <v>206</v>
      </c>
    </row>
    <row r="239" spans="1:24" x14ac:dyDescent="0.2">
      <c r="A239">
        <v>238</v>
      </c>
      <c r="B239" s="1">
        <v>40806</v>
      </c>
      <c r="C239" t="s">
        <v>28</v>
      </c>
      <c r="D239">
        <v>68</v>
      </c>
      <c r="E239">
        <v>11</v>
      </c>
      <c r="F239">
        <v>3</v>
      </c>
      <c r="G239" t="s">
        <v>25</v>
      </c>
      <c r="H239">
        <v>4</v>
      </c>
      <c r="I239">
        <v>30</v>
      </c>
      <c r="J239">
        <v>4</v>
      </c>
      <c r="K239">
        <v>12</v>
      </c>
      <c r="L239">
        <v>7</v>
      </c>
      <c r="M239">
        <v>24</v>
      </c>
      <c r="N239">
        <v>215</v>
      </c>
      <c r="O239">
        <v>204</v>
      </c>
      <c r="P239">
        <v>0</v>
      </c>
      <c r="Q239">
        <v>3</v>
      </c>
      <c r="R239">
        <v>4</v>
      </c>
      <c r="S239">
        <v>4</v>
      </c>
      <c r="T239">
        <v>0</v>
      </c>
      <c r="U239">
        <v>507</v>
      </c>
      <c r="V239">
        <v>46</v>
      </c>
      <c r="W239">
        <v>257</v>
      </c>
      <c r="X239">
        <v>204</v>
      </c>
    </row>
    <row r="240" spans="1:24" x14ac:dyDescent="0.2">
      <c r="A240">
        <v>239</v>
      </c>
      <c r="B240" s="1">
        <v>40806</v>
      </c>
      <c r="C240" t="s">
        <v>24</v>
      </c>
      <c r="D240">
        <v>68</v>
      </c>
      <c r="E240">
        <v>11</v>
      </c>
      <c r="F240">
        <v>3</v>
      </c>
      <c r="G240" t="s">
        <v>26</v>
      </c>
      <c r="H240">
        <v>5</v>
      </c>
      <c r="I240">
        <v>32</v>
      </c>
      <c r="J240">
        <v>4</v>
      </c>
      <c r="K240">
        <v>15</v>
      </c>
      <c r="L240">
        <v>6</v>
      </c>
      <c r="M240">
        <v>36</v>
      </c>
      <c r="N240">
        <v>173</v>
      </c>
      <c r="O240">
        <v>154</v>
      </c>
      <c r="P240">
        <v>1</v>
      </c>
      <c r="Q240">
        <v>7</v>
      </c>
      <c r="R240">
        <v>6</v>
      </c>
      <c r="S240">
        <v>3</v>
      </c>
      <c r="T240">
        <v>0</v>
      </c>
      <c r="U240">
        <v>437</v>
      </c>
      <c r="V240">
        <v>51</v>
      </c>
      <c r="W240">
        <v>232</v>
      </c>
      <c r="X240">
        <v>154</v>
      </c>
    </row>
    <row r="241" spans="1:24" x14ac:dyDescent="0.2">
      <c r="A241">
        <v>240</v>
      </c>
      <c r="B241" s="1">
        <v>40806</v>
      </c>
      <c r="C241" t="s">
        <v>24</v>
      </c>
      <c r="D241">
        <v>68</v>
      </c>
      <c r="E241">
        <v>11</v>
      </c>
      <c r="F241">
        <v>3</v>
      </c>
      <c r="G241" t="s">
        <v>27</v>
      </c>
      <c r="H241">
        <v>6</v>
      </c>
      <c r="I241">
        <v>28</v>
      </c>
      <c r="J241">
        <v>0</v>
      </c>
      <c r="K241">
        <v>11</v>
      </c>
      <c r="L241">
        <v>5</v>
      </c>
      <c r="M241">
        <v>24</v>
      </c>
      <c r="N241">
        <v>170</v>
      </c>
      <c r="O241">
        <v>156</v>
      </c>
      <c r="P241">
        <v>1</v>
      </c>
      <c r="Q241">
        <v>5</v>
      </c>
      <c r="R241">
        <v>4</v>
      </c>
      <c r="S241">
        <v>2</v>
      </c>
      <c r="T241">
        <v>0</v>
      </c>
      <c r="U241">
        <v>406</v>
      </c>
      <c r="V241">
        <v>39</v>
      </c>
      <c r="W241">
        <v>211</v>
      </c>
      <c r="X241">
        <v>156</v>
      </c>
    </row>
    <row r="242" spans="1:24" x14ac:dyDescent="0.2">
      <c r="A242">
        <v>241</v>
      </c>
      <c r="B242" s="1">
        <v>40806</v>
      </c>
      <c r="C242" t="s">
        <v>28</v>
      </c>
      <c r="D242">
        <v>68</v>
      </c>
      <c r="E242">
        <v>11</v>
      </c>
      <c r="F242">
        <v>3</v>
      </c>
      <c r="G242" t="s">
        <v>27</v>
      </c>
      <c r="H242">
        <v>7</v>
      </c>
      <c r="I242">
        <v>47</v>
      </c>
      <c r="J242">
        <v>1</v>
      </c>
      <c r="K242">
        <v>21</v>
      </c>
      <c r="L242">
        <v>17</v>
      </c>
      <c r="M242">
        <v>38</v>
      </c>
      <c r="N242">
        <v>227</v>
      </c>
      <c r="O242">
        <v>251</v>
      </c>
      <c r="P242">
        <v>3</v>
      </c>
      <c r="Q242">
        <v>2</v>
      </c>
      <c r="R242">
        <v>4</v>
      </c>
      <c r="S242">
        <v>3</v>
      </c>
      <c r="T242">
        <v>0</v>
      </c>
      <c r="U242">
        <v>614</v>
      </c>
      <c r="V242">
        <v>69</v>
      </c>
      <c r="W242">
        <v>294</v>
      </c>
      <c r="X242">
        <v>251</v>
      </c>
    </row>
    <row r="243" spans="1:24" x14ac:dyDescent="0.2">
      <c r="A243">
        <v>242</v>
      </c>
      <c r="B243" s="1">
        <v>40806</v>
      </c>
      <c r="C243" t="s">
        <v>24</v>
      </c>
      <c r="D243">
        <v>68</v>
      </c>
      <c r="E243">
        <v>11</v>
      </c>
      <c r="F243">
        <v>3</v>
      </c>
      <c r="G243" t="s">
        <v>26</v>
      </c>
      <c r="H243">
        <v>8</v>
      </c>
      <c r="I243">
        <v>18</v>
      </c>
      <c r="J243">
        <v>2</v>
      </c>
      <c r="K243">
        <v>7</v>
      </c>
      <c r="L243">
        <v>5</v>
      </c>
      <c r="M243">
        <v>57</v>
      </c>
      <c r="N243">
        <v>179</v>
      </c>
      <c r="O243">
        <v>127</v>
      </c>
      <c r="P243">
        <v>3</v>
      </c>
      <c r="Q243">
        <v>2</v>
      </c>
      <c r="R243">
        <v>2</v>
      </c>
      <c r="S243">
        <v>7</v>
      </c>
      <c r="T243">
        <v>0</v>
      </c>
      <c r="U243">
        <v>409</v>
      </c>
      <c r="V243">
        <v>27</v>
      </c>
      <c r="W243">
        <v>255</v>
      </c>
      <c r="X243">
        <v>127</v>
      </c>
    </row>
    <row r="244" spans="1:24" x14ac:dyDescent="0.2">
      <c r="A244">
        <v>243</v>
      </c>
      <c r="B244" s="1">
        <v>40806</v>
      </c>
      <c r="C244" t="s">
        <v>24</v>
      </c>
      <c r="D244">
        <v>68</v>
      </c>
      <c r="E244">
        <v>11</v>
      </c>
      <c r="F244">
        <v>3</v>
      </c>
      <c r="G244" t="s">
        <v>27</v>
      </c>
      <c r="H244">
        <v>9</v>
      </c>
      <c r="I244">
        <v>32</v>
      </c>
      <c r="J244">
        <v>2</v>
      </c>
      <c r="K244">
        <v>13</v>
      </c>
      <c r="L244">
        <v>5</v>
      </c>
      <c r="M244">
        <v>28</v>
      </c>
      <c r="N244">
        <v>175</v>
      </c>
      <c r="O244">
        <v>197</v>
      </c>
      <c r="P244">
        <v>2</v>
      </c>
      <c r="Q244">
        <v>4</v>
      </c>
      <c r="R244">
        <v>4</v>
      </c>
      <c r="S244">
        <v>0</v>
      </c>
      <c r="T244">
        <v>0</v>
      </c>
      <c r="U244">
        <v>462</v>
      </c>
      <c r="V244">
        <v>47</v>
      </c>
      <c r="W244">
        <v>218</v>
      </c>
      <c r="X244">
        <v>197</v>
      </c>
    </row>
    <row r="245" spans="1:24" x14ac:dyDescent="0.2">
      <c r="A245">
        <v>244</v>
      </c>
      <c r="B245" s="1">
        <v>40809</v>
      </c>
      <c r="C245" t="s">
        <v>24</v>
      </c>
      <c r="D245">
        <v>71</v>
      </c>
      <c r="E245">
        <v>11</v>
      </c>
      <c r="F245">
        <v>6</v>
      </c>
      <c r="G245" t="s">
        <v>25</v>
      </c>
      <c r="H245">
        <v>1</v>
      </c>
      <c r="I245">
        <v>29</v>
      </c>
      <c r="J245">
        <v>7</v>
      </c>
      <c r="K245">
        <v>4</v>
      </c>
      <c r="L245">
        <v>8</v>
      </c>
      <c r="M245">
        <v>57</v>
      </c>
      <c r="N245">
        <v>227</v>
      </c>
      <c r="O245">
        <v>218</v>
      </c>
      <c r="P245">
        <v>4</v>
      </c>
      <c r="Q245">
        <v>2</v>
      </c>
      <c r="R245">
        <v>3</v>
      </c>
      <c r="S245">
        <v>8</v>
      </c>
      <c r="T245">
        <v>0</v>
      </c>
      <c r="U245">
        <v>567</v>
      </c>
      <c r="V245">
        <v>40</v>
      </c>
      <c r="W245">
        <v>309</v>
      </c>
      <c r="X245">
        <v>218</v>
      </c>
    </row>
    <row r="246" spans="1:24" x14ac:dyDescent="0.2">
      <c r="A246">
        <v>245</v>
      </c>
      <c r="B246" s="1">
        <v>40809</v>
      </c>
      <c r="C246" t="s">
        <v>28</v>
      </c>
      <c r="D246">
        <v>71</v>
      </c>
      <c r="E246">
        <v>11</v>
      </c>
      <c r="F246">
        <v>6</v>
      </c>
      <c r="G246" t="s">
        <v>25</v>
      </c>
      <c r="H246">
        <v>2</v>
      </c>
      <c r="I246">
        <v>27</v>
      </c>
      <c r="J246">
        <v>4</v>
      </c>
      <c r="K246">
        <v>9</v>
      </c>
      <c r="L246">
        <v>11</v>
      </c>
      <c r="M246">
        <v>39</v>
      </c>
      <c r="N246">
        <v>147</v>
      </c>
      <c r="O246">
        <v>153</v>
      </c>
      <c r="P246">
        <v>2</v>
      </c>
      <c r="Q246">
        <v>4</v>
      </c>
      <c r="R246">
        <v>3</v>
      </c>
      <c r="S246">
        <v>8</v>
      </c>
      <c r="T246">
        <v>0</v>
      </c>
      <c r="U246">
        <v>407</v>
      </c>
      <c r="V246">
        <v>40</v>
      </c>
      <c r="W246">
        <v>214</v>
      </c>
      <c r="X246">
        <v>153</v>
      </c>
    </row>
    <row r="247" spans="1:24" x14ac:dyDescent="0.2">
      <c r="A247">
        <v>246</v>
      </c>
      <c r="B247" s="1">
        <v>40809</v>
      </c>
      <c r="C247" t="s">
        <v>28</v>
      </c>
      <c r="D247">
        <v>71</v>
      </c>
      <c r="E247">
        <v>11</v>
      </c>
      <c r="F247">
        <v>6</v>
      </c>
      <c r="G247" t="s">
        <v>26</v>
      </c>
      <c r="H247">
        <v>3</v>
      </c>
      <c r="I247">
        <v>30</v>
      </c>
      <c r="J247">
        <v>3</v>
      </c>
      <c r="K247">
        <v>12</v>
      </c>
      <c r="L247">
        <v>6</v>
      </c>
      <c r="M247">
        <v>28</v>
      </c>
      <c r="N247">
        <v>146</v>
      </c>
      <c r="O247">
        <v>163</v>
      </c>
      <c r="P247">
        <v>2</v>
      </c>
      <c r="Q247">
        <v>2</v>
      </c>
      <c r="R247">
        <v>4</v>
      </c>
      <c r="S247">
        <v>5</v>
      </c>
      <c r="T247">
        <v>0</v>
      </c>
      <c r="U247">
        <v>401</v>
      </c>
      <c r="V247">
        <v>45</v>
      </c>
      <c r="W247">
        <v>193</v>
      </c>
      <c r="X247">
        <v>163</v>
      </c>
    </row>
    <row r="248" spans="1:24" x14ac:dyDescent="0.2">
      <c r="A248">
        <v>247</v>
      </c>
      <c r="B248" s="1">
        <v>40809</v>
      </c>
      <c r="C248" t="s">
        <v>24</v>
      </c>
      <c r="D248">
        <v>71</v>
      </c>
      <c r="E248">
        <v>11</v>
      </c>
      <c r="F248">
        <v>6</v>
      </c>
      <c r="G248" t="s">
        <v>25</v>
      </c>
      <c r="H248">
        <v>4</v>
      </c>
      <c r="I248">
        <v>36</v>
      </c>
      <c r="J248">
        <v>4</v>
      </c>
      <c r="K248">
        <v>13</v>
      </c>
      <c r="L248">
        <v>3</v>
      </c>
      <c r="M248">
        <v>28</v>
      </c>
      <c r="N248">
        <v>231</v>
      </c>
      <c r="O248">
        <v>199</v>
      </c>
      <c r="P248">
        <v>2</v>
      </c>
      <c r="Q248">
        <v>4</v>
      </c>
      <c r="R248">
        <v>3</v>
      </c>
      <c r="S248">
        <v>2</v>
      </c>
      <c r="T248">
        <v>0</v>
      </c>
      <c r="U248">
        <v>525</v>
      </c>
      <c r="V248">
        <v>53</v>
      </c>
      <c r="W248">
        <v>273</v>
      </c>
      <c r="X248">
        <v>199</v>
      </c>
    </row>
    <row r="249" spans="1:24" x14ac:dyDescent="0.2">
      <c r="A249">
        <v>248</v>
      </c>
      <c r="B249" s="1">
        <v>40809</v>
      </c>
      <c r="C249" t="s">
        <v>24</v>
      </c>
      <c r="D249">
        <v>71</v>
      </c>
      <c r="E249">
        <v>11</v>
      </c>
      <c r="F249">
        <v>6</v>
      </c>
      <c r="G249" t="s">
        <v>26</v>
      </c>
      <c r="H249">
        <v>5</v>
      </c>
      <c r="I249">
        <v>34</v>
      </c>
      <c r="J249">
        <v>3</v>
      </c>
      <c r="K249">
        <v>11</v>
      </c>
      <c r="L249">
        <v>3</v>
      </c>
      <c r="M249">
        <v>22</v>
      </c>
      <c r="N249">
        <v>173</v>
      </c>
      <c r="O249">
        <v>164</v>
      </c>
      <c r="P249">
        <v>1</v>
      </c>
      <c r="Q249">
        <v>3</v>
      </c>
      <c r="R249">
        <v>3</v>
      </c>
      <c r="S249">
        <v>2</v>
      </c>
      <c r="T249">
        <v>0</v>
      </c>
      <c r="U249">
        <v>419</v>
      </c>
      <c r="V249">
        <v>48</v>
      </c>
      <c r="W249">
        <v>207</v>
      </c>
      <c r="X249">
        <v>164</v>
      </c>
    </row>
    <row r="250" spans="1:24" x14ac:dyDescent="0.2">
      <c r="A250">
        <v>249</v>
      </c>
      <c r="B250" s="1">
        <v>40809</v>
      </c>
      <c r="C250" t="s">
        <v>28</v>
      </c>
      <c r="D250">
        <v>71</v>
      </c>
      <c r="E250">
        <v>11</v>
      </c>
      <c r="F250">
        <v>6</v>
      </c>
      <c r="G250" t="s">
        <v>27</v>
      </c>
      <c r="H250">
        <v>6</v>
      </c>
      <c r="I250">
        <v>33</v>
      </c>
      <c r="J250">
        <v>1</v>
      </c>
      <c r="K250">
        <v>12</v>
      </c>
      <c r="L250">
        <v>10</v>
      </c>
      <c r="M250">
        <v>36</v>
      </c>
      <c r="N250">
        <v>193</v>
      </c>
      <c r="O250">
        <v>221</v>
      </c>
      <c r="P250">
        <v>2</v>
      </c>
      <c r="Q250">
        <v>3</v>
      </c>
      <c r="R250">
        <v>2</v>
      </c>
      <c r="S250">
        <v>4</v>
      </c>
      <c r="T250">
        <v>0</v>
      </c>
      <c r="U250">
        <v>517</v>
      </c>
      <c r="V250">
        <v>46</v>
      </c>
      <c r="W250">
        <v>250</v>
      </c>
      <c r="X250">
        <v>221</v>
      </c>
    </row>
    <row r="251" spans="1:24" x14ac:dyDescent="0.2">
      <c r="A251">
        <v>250</v>
      </c>
      <c r="B251" s="1">
        <v>40809</v>
      </c>
      <c r="C251" t="s">
        <v>24</v>
      </c>
      <c r="D251">
        <v>71</v>
      </c>
      <c r="E251">
        <v>11</v>
      </c>
      <c r="F251">
        <v>6</v>
      </c>
      <c r="G251" t="s">
        <v>27</v>
      </c>
      <c r="H251">
        <v>7</v>
      </c>
      <c r="I251">
        <v>42</v>
      </c>
      <c r="J251">
        <v>1</v>
      </c>
      <c r="K251">
        <v>18</v>
      </c>
      <c r="L251">
        <v>3</v>
      </c>
      <c r="M251">
        <v>37</v>
      </c>
      <c r="N251">
        <v>196</v>
      </c>
      <c r="O251">
        <v>164</v>
      </c>
      <c r="P251">
        <v>2</v>
      </c>
      <c r="Q251">
        <v>3</v>
      </c>
      <c r="R251">
        <v>3</v>
      </c>
      <c r="S251">
        <v>3</v>
      </c>
      <c r="T251">
        <v>0</v>
      </c>
      <c r="U251">
        <v>472</v>
      </c>
      <c r="V251">
        <v>61</v>
      </c>
      <c r="W251">
        <v>247</v>
      </c>
      <c r="X251">
        <v>164</v>
      </c>
    </row>
    <row r="252" spans="1:24" x14ac:dyDescent="0.2">
      <c r="A252">
        <v>251</v>
      </c>
      <c r="B252" s="1">
        <v>40809</v>
      </c>
      <c r="C252" t="s">
        <v>28</v>
      </c>
      <c r="D252">
        <v>71</v>
      </c>
      <c r="E252">
        <v>11</v>
      </c>
      <c r="F252">
        <v>6</v>
      </c>
      <c r="G252" t="s">
        <v>26</v>
      </c>
      <c r="H252">
        <v>8</v>
      </c>
      <c r="I252">
        <v>23</v>
      </c>
      <c r="J252">
        <v>5</v>
      </c>
      <c r="K252">
        <v>10</v>
      </c>
      <c r="L252">
        <v>5</v>
      </c>
      <c r="M252">
        <v>33</v>
      </c>
      <c r="N252">
        <v>153</v>
      </c>
      <c r="O252">
        <v>141</v>
      </c>
      <c r="P252">
        <v>0</v>
      </c>
      <c r="Q252">
        <v>0</v>
      </c>
      <c r="R252">
        <v>0</v>
      </c>
      <c r="S252">
        <v>19</v>
      </c>
      <c r="T252">
        <v>0</v>
      </c>
      <c r="U252">
        <v>389</v>
      </c>
      <c r="V252">
        <v>38</v>
      </c>
      <c r="W252">
        <v>210</v>
      </c>
      <c r="X252">
        <v>141</v>
      </c>
    </row>
    <row r="253" spans="1:24" x14ac:dyDescent="0.2">
      <c r="A253">
        <v>252</v>
      </c>
      <c r="B253" s="1">
        <v>40809</v>
      </c>
      <c r="C253" t="s">
        <v>24</v>
      </c>
      <c r="D253">
        <v>71</v>
      </c>
      <c r="E253">
        <v>11</v>
      </c>
      <c r="F253">
        <v>6</v>
      </c>
      <c r="G253" t="s">
        <v>27</v>
      </c>
      <c r="H253">
        <v>9</v>
      </c>
      <c r="I253">
        <v>32</v>
      </c>
      <c r="J253">
        <v>1</v>
      </c>
      <c r="K253">
        <v>17</v>
      </c>
      <c r="L253">
        <v>4</v>
      </c>
      <c r="M253">
        <v>32</v>
      </c>
      <c r="N253">
        <v>216</v>
      </c>
      <c r="O253">
        <v>172</v>
      </c>
      <c r="P253">
        <v>2</v>
      </c>
      <c r="Q253">
        <v>5</v>
      </c>
      <c r="R253">
        <v>7</v>
      </c>
      <c r="S253">
        <v>2</v>
      </c>
      <c r="T253">
        <v>0</v>
      </c>
      <c r="U253">
        <v>490</v>
      </c>
      <c r="V253">
        <v>50</v>
      </c>
      <c r="W253">
        <v>268</v>
      </c>
      <c r="X253">
        <v>172</v>
      </c>
    </row>
    <row r="254" spans="1:24" x14ac:dyDescent="0.2">
      <c r="A254">
        <v>253</v>
      </c>
      <c r="B254" s="1">
        <v>40813</v>
      </c>
      <c r="C254" t="s">
        <v>28</v>
      </c>
      <c r="D254">
        <v>75</v>
      </c>
      <c r="E254">
        <v>12</v>
      </c>
      <c r="F254">
        <v>3</v>
      </c>
      <c r="G254" t="s">
        <v>25</v>
      </c>
      <c r="H254">
        <v>1</v>
      </c>
      <c r="I254">
        <v>29</v>
      </c>
      <c r="J254">
        <v>6</v>
      </c>
      <c r="K254">
        <v>5</v>
      </c>
      <c r="L254">
        <v>8</v>
      </c>
      <c r="M254">
        <v>28</v>
      </c>
      <c r="N254">
        <v>244</v>
      </c>
      <c r="O254">
        <v>149</v>
      </c>
      <c r="P254">
        <v>2</v>
      </c>
      <c r="Q254">
        <v>3</v>
      </c>
      <c r="R254">
        <v>5</v>
      </c>
      <c r="S254">
        <v>8</v>
      </c>
      <c r="T254">
        <v>0</v>
      </c>
      <c r="U254">
        <v>487</v>
      </c>
      <c r="V254">
        <v>40</v>
      </c>
      <c r="W254">
        <v>298</v>
      </c>
      <c r="X254">
        <v>149</v>
      </c>
    </row>
    <row r="255" spans="1:24" x14ac:dyDescent="0.2">
      <c r="A255">
        <v>254</v>
      </c>
      <c r="B255" s="1">
        <v>40813</v>
      </c>
      <c r="C255" t="s">
        <v>24</v>
      </c>
      <c r="D255">
        <v>75</v>
      </c>
      <c r="E255">
        <v>12</v>
      </c>
      <c r="F255">
        <v>3</v>
      </c>
      <c r="G255" t="s">
        <v>25</v>
      </c>
      <c r="H255">
        <v>2</v>
      </c>
      <c r="I255">
        <v>26</v>
      </c>
      <c r="J255">
        <v>3</v>
      </c>
      <c r="K255">
        <v>10</v>
      </c>
      <c r="L255">
        <v>4</v>
      </c>
      <c r="M255">
        <v>26</v>
      </c>
      <c r="N255">
        <v>119</v>
      </c>
      <c r="O255">
        <v>113</v>
      </c>
      <c r="P255">
        <v>2</v>
      </c>
      <c r="Q255">
        <v>4</v>
      </c>
      <c r="R255">
        <v>6</v>
      </c>
      <c r="S255">
        <v>17</v>
      </c>
      <c r="T255">
        <v>1</v>
      </c>
      <c r="U255">
        <v>331</v>
      </c>
      <c r="V255">
        <v>39</v>
      </c>
      <c r="W255">
        <v>178</v>
      </c>
      <c r="X255">
        <v>113</v>
      </c>
    </row>
    <row r="256" spans="1:24" x14ac:dyDescent="0.2">
      <c r="A256">
        <v>255</v>
      </c>
      <c r="B256" s="1">
        <v>40813</v>
      </c>
      <c r="C256" t="s">
        <v>24</v>
      </c>
      <c r="D256">
        <v>75</v>
      </c>
      <c r="E256">
        <v>12</v>
      </c>
      <c r="F256">
        <v>3</v>
      </c>
      <c r="G256" t="s">
        <v>26</v>
      </c>
      <c r="H256">
        <v>3</v>
      </c>
      <c r="I256">
        <v>23</v>
      </c>
      <c r="J256">
        <v>1</v>
      </c>
      <c r="K256">
        <v>16</v>
      </c>
      <c r="L256">
        <v>4</v>
      </c>
      <c r="M256">
        <v>33</v>
      </c>
      <c r="N256">
        <v>141</v>
      </c>
      <c r="O256">
        <v>158</v>
      </c>
      <c r="P256">
        <v>2</v>
      </c>
      <c r="Q256">
        <v>4</v>
      </c>
      <c r="R256">
        <v>5</v>
      </c>
      <c r="S256">
        <v>3</v>
      </c>
      <c r="T256">
        <v>1</v>
      </c>
      <c r="U256">
        <v>391</v>
      </c>
      <c r="V256">
        <v>40</v>
      </c>
      <c r="W256">
        <v>192</v>
      </c>
      <c r="X256">
        <v>158</v>
      </c>
    </row>
    <row r="257" spans="1:24" x14ac:dyDescent="0.2">
      <c r="A257">
        <v>256</v>
      </c>
      <c r="B257" s="1">
        <v>40813</v>
      </c>
      <c r="C257" t="s">
        <v>24</v>
      </c>
      <c r="D257">
        <v>75</v>
      </c>
      <c r="E257">
        <v>12</v>
      </c>
      <c r="F257">
        <v>3</v>
      </c>
      <c r="G257" t="s">
        <v>25</v>
      </c>
      <c r="H257">
        <v>4</v>
      </c>
      <c r="I257">
        <v>37</v>
      </c>
      <c r="J257">
        <v>2</v>
      </c>
      <c r="K257">
        <v>17</v>
      </c>
      <c r="L257">
        <v>6</v>
      </c>
      <c r="M257">
        <v>21</v>
      </c>
      <c r="N257">
        <v>218</v>
      </c>
      <c r="O257">
        <v>159</v>
      </c>
      <c r="P257">
        <v>4</v>
      </c>
      <c r="Q257">
        <v>2</v>
      </c>
      <c r="R257">
        <v>3</v>
      </c>
      <c r="S257">
        <v>2</v>
      </c>
      <c r="T257">
        <v>1</v>
      </c>
      <c r="U257">
        <v>472</v>
      </c>
      <c r="V257">
        <v>56</v>
      </c>
      <c r="W257">
        <v>256</v>
      </c>
      <c r="X257">
        <v>159</v>
      </c>
    </row>
    <row r="258" spans="1:24" x14ac:dyDescent="0.2">
      <c r="A258">
        <v>257</v>
      </c>
      <c r="B258" s="1">
        <v>40813</v>
      </c>
      <c r="C258" t="s">
        <v>28</v>
      </c>
      <c r="D258">
        <v>75</v>
      </c>
      <c r="E258">
        <v>12</v>
      </c>
      <c r="F258">
        <v>3</v>
      </c>
      <c r="G258" t="s">
        <v>26</v>
      </c>
      <c r="H258">
        <v>5</v>
      </c>
      <c r="I258">
        <v>40</v>
      </c>
      <c r="J258">
        <v>3</v>
      </c>
      <c r="K258">
        <v>16</v>
      </c>
      <c r="L258">
        <v>6</v>
      </c>
      <c r="M258">
        <v>35</v>
      </c>
      <c r="N258">
        <v>237</v>
      </c>
      <c r="O258">
        <v>173</v>
      </c>
      <c r="P258">
        <v>3</v>
      </c>
      <c r="Q258">
        <v>2</v>
      </c>
      <c r="R258">
        <v>7</v>
      </c>
      <c r="S258">
        <v>3</v>
      </c>
      <c r="T258">
        <v>0</v>
      </c>
      <c r="U258">
        <v>525</v>
      </c>
      <c r="V258">
        <v>59</v>
      </c>
      <c r="W258">
        <v>293</v>
      </c>
      <c r="X258">
        <v>173</v>
      </c>
    </row>
    <row r="259" spans="1:24" x14ac:dyDescent="0.2">
      <c r="A259">
        <v>258</v>
      </c>
      <c r="B259" s="1">
        <v>40813</v>
      </c>
      <c r="C259" t="s">
        <v>24</v>
      </c>
      <c r="D259">
        <v>75</v>
      </c>
      <c r="E259">
        <v>12</v>
      </c>
      <c r="F259">
        <v>3</v>
      </c>
      <c r="G259" t="s">
        <v>27</v>
      </c>
      <c r="H259">
        <v>6</v>
      </c>
      <c r="I259">
        <v>40</v>
      </c>
      <c r="J259">
        <v>1</v>
      </c>
      <c r="K259">
        <v>13</v>
      </c>
      <c r="L259">
        <v>6</v>
      </c>
      <c r="M259">
        <v>34</v>
      </c>
      <c r="N259">
        <v>226</v>
      </c>
      <c r="O259">
        <v>195</v>
      </c>
      <c r="P259">
        <v>3</v>
      </c>
      <c r="Q259">
        <v>2</v>
      </c>
      <c r="R259">
        <v>7</v>
      </c>
      <c r="S259">
        <v>3</v>
      </c>
      <c r="T259">
        <v>0</v>
      </c>
      <c r="U259">
        <v>530</v>
      </c>
      <c r="V259">
        <v>54</v>
      </c>
      <c r="W259">
        <v>281</v>
      </c>
      <c r="X259">
        <v>195</v>
      </c>
    </row>
    <row r="260" spans="1:24" x14ac:dyDescent="0.2">
      <c r="A260">
        <v>259</v>
      </c>
      <c r="B260" s="1">
        <v>40813</v>
      </c>
      <c r="C260" t="s">
        <v>28</v>
      </c>
      <c r="D260">
        <v>75</v>
      </c>
      <c r="E260">
        <v>12</v>
      </c>
      <c r="F260">
        <v>3</v>
      </c>
      <c r="G260" t="s">
        <v>27</v>
      </c>
      <c r="H260">
        <v>7</v>
      </c>
      <c r="I260">
        <v>45</v>
      </c>
      <c r="J260">
        <v>1</v>
      </c>
      <c r="K260">
        <v>19</v>
      </c>
      <c r="L260">
        <v>11</v>
      </c>
      <c r="M260">
        <v>29</v>
      </c>
      <c r="N260">
        <v>236</v>
      </c>
      <c r="O260">
        <v>188</v>
      </c>
      <c r="P260">
        <v>3</v>
      </c>
      <c r="Q260">
        <v>3</v>
      </c>
      <c r="R260">
        <v>1</v>
      </c>
      <c r="S260">
        <v>1</v>
      </c>
      <c r="T260">
        <v>0</v>
      </c>
      <c r="U260">
        <v>537</v>
      </c>
      <c r="V260">
        <v>65</v>
      </c>
      <c r="W260">
        <v>284</v>
      </c>
      <c r="X260">
        <v>188</v>
      </c>
    </row>
    <row r="261" spans="1:24" x14ac:dyDescent="0.2">
      <c r="A261">
        <v>260</v>
      </c>
      <c r="B261" s="1">
        <v>40813</v>
      </c>
      <c r="C261" t="s">
        <v>24</v>
      </c>
      <c r="D261">
        <v>75</v>
      </c>
      <c r="E261">
        <v>12</v>
      </c>
      <c r="F261">
        <v>3</v>
      </c>
      <c r="G261" t="s">
        <v>26</v>
      </c>
      <c r="H261">
        <v>8</v>
      </c>
      <c r="I261">
        <v>20</v>
      </c>
      <c r="J261">
        <v>5</v>
      </c>
      <c r="K261">
        <v>6</v>
      </c>
      <c r="L261">
        <v>4</v>
      </c>
      <c r="M261">
        <v>28</v>
      </c>
      <c r="N261">
        <v>126</v>
      </c>
      <c r="O261">
        <v>119</v>
      </c>
      <c r="P261">
        <v>0</v>
      </c>
      <c r="Q261">
        <v>2</v>
      </c>
      <c r="R261">
        <v>3</v>
      </c>
      <c r="S261">
        <v>10</v>
      </c>
      <c r="T261">
        <v>1</v>
      </c>
      <c r="U261">
        <v>324</v>
      </c>
      <c r="V261">
        <v>31</v>
      </c>
      <c r="W261">
        <v>173</v>
      </c>
      <c r="X261">
        <v>119</v>
      </c>
    </row>
    <row r="262" spans="1:24" x14ac:dyDescent="0.2">
      <c r="A262">
        <v>261</v>
      </c>
      <c r="B262" s="1">
        <v>40813</v>
      </c>
      <c r="C262" t="s">
        <v>28</v>
      </c>
      <c r="D262">
        <v>75</v>
      </c>
      <c r="E262">
        <v>12</v>
      </c>
      <c r="F262">
        <v>3</v>
      </c>
      <c r="G262" t="s">
        <v>27</v>
      </c>
      <c r="H262">
        <v>9</v>
      </c>
      <c r="I262">
        <v>43</v>
      </c>
      <c r="J262">
        <v>2</v>
      </c>
      <c r="K262">
        <v>14</v>
      </c>
      <c r="L262">
        <v>3</v>
      </c>
      <c r="M262">
        <v>26</v>
      </c>
      <c r="N262">
        <v>219</v>
      </c>
      <c r="O262">
        <v>168</v>
      </c>
      <c r="P262">
        <v>2</v>
      </c>
      <c r="Q262">
        <v>2</v>
      </c>
      <c r="R262">
        <v>3</v>
      </c>
      <c r="S262">
        <v>2</v>
      </c>
      <c r="T262">
        <v>0</v>
      </c>
      <c r="U262">
        <v>484</v>
      </c>
      <c r="V262">
        <v>59</v>
      </c>
      <c r="W262">
        <v>257</v>
      </c>
      <c r="X262">
        <v>168</v>
      </c>
    </row>
    <row r="263" spans="1:24" x14ac:dyDescent="0.2">
      <c r="A263">
        <v>262</v>
      </c>
      <c r="B263" s="1">
        <v>40816</v>
      </c>
      <c r="C263" t="s">
        <v>24</v>
      </c>
      <c r="D263">
        <v>78</v>
      </c>
      <c r="E263">
        <v>12</v>
      </c>
      <c r="F263">
        <v>6</v>
      </c>
      <c r="G263" t="s">
        <v>25</v>
      </c>
      <c r="H263">
        <v>1</v>
      </c>
      <c r="I263">
        <v>26</v>
      </c>
      <c r="J263">
        <v>5</v>
      </c>
      <c r="K263">
        <v>5</v>
      </c>
      <c r="L263">
        <v>4</v>
      </c>
      <c r="M263">
        <v>28</v>
      </c>
      <c r="N263">
        <v>218</v>
      </c>
      <c r="O263">
        <v>186</v>
      </c>
      <c r="P263">
        <v>5</v>
      </c>
      <c r="Q263">
        <v>3</v>
      </c>
      <c r="R263">
        <v>4</v>
      </c>
      <c r="S263">
        <v>3</v>
      </c>
      <c r="T263">
        <v>0</v>
      </c>
      <c r="U263">
        <v>487</v>
      </c>
      <c r="V263">
        <v>36</v>
      </c>
      <c r="W263">
        <v>265</v>
      </c>
      <c r="X263">
        <v>186</v>
      </c>
    </row>
    <row r="264" spans="1:24" x14ac:dyDescent="0.2">
      <c r="A264">
        <v>263</v>
      </c>
      <c r="B264" s="1">
        <v>40816</v>
      </c>
      <c r="C264" t="s">
        <v>28</v>
      </c>
      <c r="D264">
        <v>78</v>
      </c>
      <c r="E264">
        <v>12</v>
      </c>
      <c r="F264">
        <v>6</v>
      </c>
      <c r="G264" t="s">
        <v>25</v>
      </c>
      <c r="H264">
        <v>2</v>
      </c>
      <c r="I264">
        <v>33</v>
      </c>
      <c r="J264">
        <v>4</v>
      </c>
      <c r="K264">
        <v>7</v>
      </c>
      <c r="L264">
        <v>10</v>
      </c>
      <c r="M264">
        <v>34</v>
      </c>
      <c r="N264">
        <v>134</v>
      </c>
      <c r="O264">
        <v>199</v>
      </c>
      <c r="P264">
        <v>6</v>
      </c>
      <c r="Q264">
        <v>1</v>
      </c>
      <c r="R264">
        <v>3</v>
      </c>
      <c r="S264">
        <v>16</v>
      </c>
      <c r="T264">
        <v>0</v>
      </c>
      <c r="U264">
        <v>447</v>
      </c>
      <c r="V264">
        <v>44</v>
      </c>
      <c r="W264">
        <v>204</v>
      </c>
      <c r="X264">
        <v>199</v>
      </c>
    </row>
    <row r="265" spans="1:24" x14ac:dyDescent="0.2">
      <c r="A265">
        <v>264</v>
      </c>
      <c r="B265" s="1">
        <v>40816</v>
      </c>
      <c r="C265" t="s">
        <v>28</v>
      </c>
      <c r="D265">
        <v>78</v>
      </c>
      <c r="E265">
        <v>12</v>
      </c>
      <c r="F265">
        <v>6</v>
      </c>
      <c r="G265" t="s">
        <v>26</v>
      </c>
      <c r="H265">
        <v>3</v>
      </c>
      <c r="I265">
        <v>34</v>
      </c>
      <c r="J265">
        <v>1</v>
      </c>
      <c r="K265">
        <v>15</v>
      </c>
      <c r="L265">
        <v>7</v>
      </c>
      <c r="M265">
        <v>35</v>
      </c>
      <c r="N265">
        <v>123</v>
      </c>
      <c r="O265">
        <v>163</v>
      </c>
      <c r="P265">
        <v>0</v>
      </c>
      <c r="Q265">
        <v>2</v>
      </c>
      <c r="R265">
        <v>5</v>
      </c>
      <c r="S265">
        <v>9</v>
      </c>
      <c r="T265">
        <v>0</v>
      </c>
      <c r="U265">
        <v>394</v>
      </c>
      <c r="V265">
        <v>50</v>
      </c>
      <c r="W265">
        <v>181</v>
      </c>
      <c r="X265">
        <v>163</v>
      </c>
    </row>
    <row r="266" spans="1:24" x14ac:dyDescent="0.2">
      <c r="A266">
        <v>265</v>
      </c>
      <c r="B266" s="1">
        <v>40816</v>
      </c>
      <c r="C266" t="s">
        <v>24</v>
      </c>
      <c r="D266">
        <v>78</v>
      </c>
      <c r="E266">
        <v>12</v>
      </c>
      <c r="F266">
        <v>6</v>
      </c>
      <c r="G266" t="s">
        <v>25</v>
      </c>
      <c r="H266">
        <v>4</v>
      </c>
      <c r="I266">
        <v>30</v>
      </c>
      <c r="J266">
        <v>2</v>
      </c>
      <c r="K266">
        <v>16</v>
      </c>
      <c r="L266">
        <v>6</v>
      </c>
      <c r="M266">
        <v>29</v>
      </c>
      <c r="N266">
        <v>183</v>
      </c>
      <c r="O266">
        <v>102</v>
      </c>
      <c r="P266">
        <v>3</v>
      </c>
      <c r="Q266">
        <v>4</v>
      </c>
      <c r="R266">
        <v>4</v>
      </c>
      <c r="S266">
        <v>0</v>
      </c>
      <c r="T266">
        <v>0</v>
      </c>
      <c r="U266">
        <v>379</v>
      </c>
      <c r="V266">
        <v>48</v>
      </c>
      <c r="W266">
        <v>229</v>
      </c>
      <c r="X266">
        <v>102</v>
      </c>
    </row>
    <row r="267" spans="1:24" x14ac:dyDescent="0.2">
      <c r="A267">
        <v>266</v>
      </c>
      <c r="B267" s="1">
        <v>40816</v>
      </c>
      <c r="C267" t="s">
        <v>24</v>
      </c>
      <c r="D267">
        <v>78</v>
      </c>
      <c r="E267">
        <v>12</v>
      </c>
      <c r="F267">
        <v>6</v>
      </c>
      <c r="G267" t="s">
        <v>26</v>
      </c>
      <c r="H267">
        <v>5</v>
      </c>
      <c r="I267">
        <v>30</v>
      </c>
      <c r="J267">
        <v>2</v>
      </c>
      <c r="K267">
        <v>13</v>
      </c>
      <c r="L267">
        <v>8</v>
      </c>
      <c r="M267">
        <v>22</v>
      </c>
      <c r="N267">
        <v>209</v>
      </c>
      <c r="O267">
        <v>109</v>
      </c>
      <c r="P267">
        <v>2</v>
      </c>
      <c r="Q267">
        <v>0</v>
      </c>
      <c r="R267">
        <v>3</v>
      </c>
      <c r="S267">
        <v>2</v>
      </c>
      <c r="T267">
        <v>0</v>
      </c>
      <c r="U267">
        <v>400</v>
      </c>
      <c r="V267">
        <v>45</v>
      </c>
      <c r="W267">
        <v>246</v>
      </c>
      <c r="X267">
        <v>109</v>
      </c>
    </row>
    <row r="268" spans="1:24" x14ac:dyDescent="0.2">
      <c r="A268">
        <v>267</v>
      </c>
      <c r="B268" s="1">
        <v>40816</v>
      </c>
      <c r="C268" t="s">
        <v>24</v>
      </c>
      <c r="D268">
        <v>78</v>
      </c>
      <c r="E268">
        <v>12</v>
      </c>
      <c r="F268">
        <v>6</v>
      </c>
      <c r="G268" t="s">
        <v>27</v>
      </c>
      <c r="H268">
        <v>6</v>
      </c>
      <c r="I268">
        <v>32</v>
      </c>
      <c r="J268">
        <v>1</v>
      </c>
      <c r="K268">
        <v>11</v>
      </c>
      <c r="L268">
        <v>7</v>
      </c>
      <c r="M268">
        <v>34</v>
      </c>
      <c r="N268">
        <v>252</v>
      </c>
      <c r="O268">
        <v>133</v>
      </c>
      <c r="P268">
        <v>1</v>
      </c>
      <c r="Q268">
        <v>1</v>
      </c>
      <c r="R268">
        <v>3</v>
      </c>
      <c r="S268">
        <v>1</v>
      </c>
      <c r="T268">
        <v>0</v>
      </c>
      <c r="U268">
        <v>476</v>
      </c>
      <c r="V268">
        <v>44</v>
      </c>
      <c r="W268">
        <v>299</v>
      </c>
      <c r="X268">
        <v>133</v>
      </c>
    </row>
    <row r="269" spans="1:24" x14ac:dyDescent="0.2">
      <c r="A269">
        <v>268</v>
      </c>
      <c r="B269" s="1">
        <v>40816</v>
      </c>
      <c r="C269" t="s">
        <v>28</v>
      </c>
      <c r="D269">
        <v>78</v>
      </c>
      <c r="E269">
        <v>12</v>
      </c>
      <c r="F269">
        <v>6</v>
      </c>
      <c r="G269" t="s">
        <v>27</v>
      </c>
      <c r="H269">
        <v>7</v>
      </c>
      <c r="I269">
        <v>48</v>
      </c>
      <c r="J269">
        <v>1</v>
      </c>
      <c r="K269">
        <v>25</v>
      </c>
      <c r="L269">
        <v>9</v>
      </c>
      <c r="M269">
        <v>23</v>
      </c>
      <c r="N269">
        <v>232</v>
      </c>
      <c r="O269">
        <v>219</v>
      </c>
      <c r="P269">
        <v>3</v>
      </c>
      <c r="Q269">
        <v>1</v>
      </c>
      <c r="R269">
        <v>2</v>
      </c>
      <c r="S269">
        <v>2</v>
      </c>
      <c r="T269">
        <v>0</v>
      </c>
      <c r="U269">
        <v>565</v>
      </c>
      <c r="V269">
        <v>74</v>
      </c>
      <c r="W269">
        <v>272</v>
      </c>
      <c r="X269">
        <v>219</v>
      </c>
    </row>
    <row r="270" spans="1:24" x14ac:dyDescent="0.2">
      <c r="A270">
        <v>269</v>
      </c>
      <c r="B270" s="1">
        <v>40816</v>
      </c>
      <c r="C270" t="s">
        <v>24</v>
      </c>
      <c r="D270">
        <v>78</v>
      </c>
      <c r="E270">
        <v>12</v>
      </c>
      <c r="F270">
        <v>6</v>
      </c>
      <c r="G270" t="s">
        <v>26</v>
      </c>
      <c r="H270">
        <v>8</v>
      </c>
      <c r="I270">
        <v>23</v>
      </c>
      <c r="J270">
        <v>4</v>
      </c>
      <c r="K270">
        <v>7</v>
      </c>
      <c r="L270">
        <v>5</v>
      </c>
      <c r="M270">
        <v>25</v>
      </c>
      <c r="N270">
        <v>100</v>
      </c>
      <c r="O270">
        <v>105</v>
      </c>
      <c r="P270">
        <v>1</v>
      </c>
      <c r="Q270">
        <v>1</v>
      </c>
      <c r="R270">
        <v>1</v>
      </c>
      <c r="S270">
        <v>10</v>
      </c>
      <c r="T270">
        <v>2</v>
      </c>
      <c r="U270">
        <v>284</v>
      </c>
      <c r="V270">
        <v>34</v>
      </c>
      <c r="W270">
        <v>143</v>
      </c>
      <c r="X270">
        <v>105</v>
      </c>
    </row>
    <row r="271" spans="1:24" x14ac:dyDescent="0.2">
      <c r="A271">
        <v>270</v>
      </c>
      <c r="B271" s="1">
        <v>40816</v>
      </c>
      <c r="C271" t="s">
        <v>28</v>
      </c>
      <c r="D271">
        <v>78</v>
      </c>
      <c r="E271">
        <v>12</v>
      </c>
      <c r="F271">
        <v>6</v>
      </c>
      <c r="G271" t="s">
        <v>27</v>
      </c>
      <c r="H271">
        <v>9</v>
      </c>
      <c r="I271">
        <v>45</v>
      </c>
      <c r="J271">
        <v>1</v>
      </c>
      <c r="K271">
        <v>13</v>
      </c>
      <c r="L271">
        <v>10</v>
      </c>
      <c r="M271">
        <v>33</v>
      </c>
      <c r="N271">
        <v>207</v>
      </c>
      <c r="O271">
        <v>122</v>
      </c>
      <c r="P271">
        <v>0</v>
      </c>
      <c r="Q271">
        <v>1</v>
      </c>
      <c r="R271">
        <v>4</v>
      </c>
      <c r="S271">
        <v>3</v>
      </c>
      <c r="T271">
        <v>0</v>
      </c>
      <c r="U271">
        <v>439</v>
      </c>
      <c r="V271">
        <v>59</v>
      </c>
      <c r="W271">
        <v>258</v>
      </c>
      <c r="X271">
        <v>122</v>
      </c>
    </row>
    <row r="272" spans="1:24" x14ac:dyDescent="0.2">
      <c r="A272">
        <v>271</v>
      </c>
      <c r="B272" s="1">
        <v>40820</v>
      </c>
      <c r="C272" t="s">
        <v>24</v>
      </c>
      <c r="D272">
        <v>82</v>
      </c>
      <c r="E272">
        <v>13</v>
      </c>
      <c r="F272">
        <v>3</v>
      </c>
      <c r="G272" t="s">
        <v>25</v>
      </c>
      <c r="H272">
        <v>1</v>
      </c>
      <c r="I272">
        <v>31</v>
      </c>
      <c r="J272">
        <v>5</v>
      </c>
      <c r="K272">
        <v>9</v>
      </c>
      <c r="L272">
        <v>4</v>
      </c>
      <c r="M272">
        <v>25</v>
      </c>
      <c r="N272">
        <v>192</v>
      </c>
      <c r="O272">
        <v>208</v>
      </c>
      <c r="P272">
        <v>4</v>
      </c>
      <c r="Q272">
        <v>3</v>
      </c>
      <c r="R272">
        <v>6</v>
      </c>
      <c r="S272">
        <v>4</v>
      </c>
      <c r="T272">
        <v>2</v>
      </c>
      <c r="U272">
        <v>493</v>
      </c>
      <c r="V272">
        <v>45</v>
      </c>
      <c r="W272">
        <v>238</v>
      </c>
      <c r="X272">
        <v>208</v>
      </c>
    </row>
    <row r="273" spans="1:24" x14ac:dyDescent="0.2">
      <c r="A273">
        <v>272</v>
      </c>
      <c r="B273" s="1">
        <v>40820</v>
      </c>
      <c r="C273" t="s">
        <v>24</v>
      </c>
      <c r="D273">
        <v>82</v>
      </c>
      <c r="E273">
        <v>13</v>
      </c>
      <c r="F273">
        <v>3</v>
      </c>
      <c r="G273" t="s">
        <v>25</v>
      </c>
      <c r="H273">
        <v>2</v>
      </c>
      <c r="I273">
        <v>20</v>
      </c>
      <c r="J273">
        <v>3</v>
      </c>
      <c r="K273">
        <v>11</v>
      </c>
      <c r="L273">
        <v>3</v>
      </c>
      <c r="M273">
        <v>26</v>
      </c>
      <c r="N273">
        <v>141</v>
      </c>
      <c r="O273">
        <v>114</v>
      </c>
      <c r="P273">
        <v>5</v>
      </c>
      <c r="Q273">
        <v>5</v>
      </c>
      <c r="R273">
        <v>3</v>
      </c>
      <c r="S273">
        <v>2</v>
      </c>
      <c r="T273">
        <v>2</v>
      </c>
      <c r="U273">
        <v>335</v>
      </c>
      <c r="V273">
        <v>34</v>
      </c>
      <c r="W273">
        <v>185</v>
      </c>
      <c r="X273">
        <v>114</v>
      </c>
    </row>
    <row r="274" spans="1:24" x14ac:dyDescent="0.2">
      <c r="A274">
        <v>273</v>
      </c>
      <c r="B274" s="1">
        <v>40820</v>
      </c>
      <c r="C274" t="s">
        <v>24</v>
      </c>
      <c r="D274">
        <v>82</v>
      </c>
      <c r="E274">
        <v>13</v>
      </c>
      <c r="F274">
        <v>3</v>
      </c>
      <c r="G274" t="s">
        <v>26</v>
      </c>
      <c r="H274">
        <v>3</v>
      </c>
      <c r="I274">
        <v>22</v>
      </c>
      <c r="J274">
        <v>1</v>
      </c>
      <c r="K274">
        <v>14</v>
      </c>
      <c r="L274">
        <v>2</v>
      </c>
      <c r="M274">
        <v>18</v>
      </c>
      <c r="N274">
        <v>158</v>
      </c>
      <c r="O274">
        <v>93</v>
      </c>
      <c r="P274">
        <v>4</v>
      </c>
      <c r="Q274">
        <v>2</v>
      </c>
      <c r="R274">
        <v>2</v>
      </c>
      <c r="S274">
        <v>2</v>
      </c>
      <c r="T274">
        <v>1</v>
      </c>
      <c r="U274">
        <v>319</v>
      </c>
      <c r="V274">
        <v>37</v>
      </c>
      <c r="W274">
        <v>188</v>
      </c>
      <c r="X274">
        <v>93</v>
      </c>
    </row>
    <row r="275" spans="1:24" x14ac:dyDescent="0.2">
      <c r="A275">
        <v>274</v>
      </c>
      <c r="B275" s="1">
        <v>40820</v>
      </c>
      <c r="C275" t="s">
        <v>28</v>
      </c>
      <c r="D275">
        <v>82</v>
      </c>
      <c r="E275">
        <v>13</v>
      </c>
      <c r="F275">
        <v>3</v>
      </c>
      <c r="G275" t="s">
        <v>25</v>
      </c>
      <c r="H275">
        <v>4</v>
      </c>
      <c r="I275">
        <v>37</v>
      </c>
      <c r="J275">
        <v>3</v>
      </c>
      <c r="K275">
        <v>8</v>
      </c>
      <c r="L275">
        <v>9</v>
      </c>
      <c r="M275">
        <v>33</v>
      </c>
      <c r="N275">
        <v>228</v>
      </c>
      <c r="O275">
        <v>177</v>
      </c>
      <c r="P275">
        <v>2</v>
      </c>
      <c r="Q275">
        <v>4</v>
      </c>
      <c r="R275">
        <v>1</v>
      </c>
      <c r="S275">
        <v>2</v>
      </c>
      <c r="T275">
        <v>0</v>
      </c>
      <c r="U275">
        <v>504</v>
      </c>
      <c r="V275">
        <v>48</v>
      </c>
      <c r="W275">
        <v>279</v>
      </c>
      <c r="X275">
        <v>177</v>
      </c>
    </row>
    <row r="276" spans="1:24" x14ac:dyDescent="0.2">
      <c r="A276">
        <v>275</v>
      </c>
      <c r="B276" s="1">
        <v>40820</v>
      </c>
      <c r="C276" t="s">
        <v>28</v>
      </c>
      <c r="D276">
        <v>82</v>
      </c>
      <c r="E276">
        <v>13</v>
      </c>
      <c r="F276">
        <v>3</v>
      </c>
      <c r="G276" t="s">
        <v>26</v>
      </c>
      <c r="H276">
        <v>5</v>
      </c>
      <c r="I276">
        <v>39</v>
      </c>
      <c r="J276">
        <v>4</v>
      </c>
      <c r="K276">
        <v>18</v>
      </c>
      <c r="L276">
        <v>9</v>
      </c>
      <c r="M276">
        <v>40</v>
      </c>
      <c r="N276">
        <v>188</v>
      </c>
      <c r="O276">
        <v>207</v>
      </c>
      <c r="P276">
        <v>4</v>
      </c>
      <c r="Q276">
        <v>4</v>
      </c>
      <c r="R276">
        <v>1</v>
      </c>
      <c r="S276">
        <v>2</v>
      </c>
      <c r="T276">
        <v>0</v>
      </c>
      <c r="U276">
        <v>516</v>
      </c>
      <c r="V276">
        <v>61</v>
      </c>
      <c r="W276">
        <v>248</v>
      </c>
      <c r="X276">
        <v>207</v>
      </c>
    </row>
    <row r="277" spans="1:24" x14ac:dyDescent="0.2">
      <c r="A277">
        <v>276</v>
      </c>
      <c r="B277" s="1">
        <v>40820</v>
      </c>
      <c r="C277" t="s">
        <v>24</v>
      </c>
      <c r="D277">
        <v>82</v>
      </c>
      <c r="E277">
        <v>13</v>
      </c>
      <c r="F277">
        <v>3</v>
      </c>
      <c r="G277" t="s">
        <v>27</v>
      </c>
      <c r="H277">
        <v>6</v>
      </c>
      <c r="I277">
        <v>30</v>
      </c>
      <c r="J277">
        <v>1</v>
      </c>
      <c r="K277">
        <v>15</v>
      </c>
      <c r="L277">
        <v>5</v>
      </c>
      <c r="M277">
        <v>25</v>
      </c>
      <c r="N277">
        <v>196</v>
      </c>
      <c r="O277">
        <v>121</v>
      </c>
      <c r="P277">
        <v>9</v>
      </c>
      <c r="Q277">
        <v>4</v>
      </c>
      <c r="R277">
        <v>4</v>
      </c>
      <c r="S277">
        <v>5</v>
      </c>
      <c r="T277">
        <v>0</v>
      </c>
      <c r="U277">
        <v>415</v>
      </c>
      <c r="V277">
        <v>46</v>
      </c>
      <c r="W277">
        <v>248</v>
      </c>
      <c r="X277">
        <v>121</v>
      </c>
    </row>
    <row r="278" spans="1:24" x14ac:dyDescent="0.2">
      <c r="A278">
        <v>277</v>
      </c>
      <c r="B278" s="1">
        <v>40820</v>
      </c>
      <c r="C278" t="s">
        <v>28</v>
      </c>
      <c r="D278">
        <v>82</v>
      </c>
      <c r="E278">
        <v>13</v>
      </c>
      <c r="F278">
        <v>3</v>
      </c>
      <c r="G278" t="s">
        <v>27</v>
      </c>
      <c r="H278">
        <v>7</v>
      </c>
      <c r="I278">
        <v>46</v>
      </c>
      <c r="J278">
        <v>1</v>
      </c>
      <c r="K278">
        <v>23</v>
      </c>
      <c r="L278">
        <v>12</v>
      </c>
      <c r="M278">
        <v>26</v>
      </c>
      <c r="N278">
        <v>223</v>
      </c>
      <c r="O278">
        <v>159</v>
      </c>
      <c r="P278">
        <v>2</v>
      </c>
      <c r="Q278">
        <v>4</v>
      </c>
      <c r="R278">
        <v>2</v>
      </c>
      <c r="S278">
        <v>0</v>
      </c>
      <c r="T278">
        <v>0</v>
      </c>
      <c r="U278">
        <v>498</v>
      </c>
      <c r="V278">
        <v>70</v>
      </c>
      <c r="W278">
        <v>269</v>
      </c>
      <c r="X278">
        <v>159</v>
      </c>
    </row>
    <row r="279" spans="1:24" x14ac:dyDescent="0.2">
      <c r="A279">
        <v>278</v>
      </c>
      <c r="B279" s="1">
        <v>40820</v>
      </c>
      <c r="C279" t="s">
        <v>28</v>
      </c>
      <c r="D279">
        <v>82</v>
      </c>
      <c r="E279">
        <v>13</v>
      </c>
      <c r="F279">
        <v>3</v>
      </c>
      <c r="G279" t="s">
        <v>26</v>
      </c>
      <c r="H279">
        <v>8</v>
      </c>
      <c r="I279">
        <v>26</v>
      </c>
      <c r="J279">
        <v>5</v>
      </c>
      <c r="K279">
        <v>12</v>
      </c>
      <c r="L279">
        <v>7</v>
      </c>
      <c r="M279">
        <v>21</v>
      </c>
      <c r="N279">
        <v>124</v>
      </c>
      <c r="O279">
        <v>176</v>
      </c>
      <c r="P279">
        <v>0</v>
      </c>
      <c r="Q279">
        <v>0</v>
      </c>
      <c r="R279">
        <v>1</v>
      </c>
      <c r="S279">
        <v>22</v>
      </c>
      <c r="T279">
        <v>0</v>
      </c>
      <c r="U279">
        <v>394</v>
      </c>
      <c r="V279">
        <v>43</v>
      </c>
      <c r="W279">
        <v>175</v>
      </c>
      <c r="X279">
        <v>176</v>
      </c>
    </row>
    <row r="280" spans="1:24" x14ac:dyDescent="0.2">
      <c r="A280">
        <v>279</v>
      </c>
      <c r="B280" s="1">
        <v>40820</v>
      </c>
      <c r="C280" t="s">
        <v>24</v>
      </c>
      <c r="D280">
        <v>82</v>
      </c>
      <c r="E280">
        <v>13</v>
      </c>
      <c r="F280">
        <v>3</v>
      </c>
      <c r="G280" t="s">
        <v>27</v>
      </c>
      <c r="H280">
        <v>9</v>
      </c>
      <c r="I280">
        <v>26</v>
      </c>
      <c r="J280">
        <v>0</v>
      </c>
      <c r="K280">
        <v>10</v>
      </c>
      <c r="L280">
        <v>5</v>
      </c>
      <c r="M280">
        <v>40</v>
      </c>
      <c r="N280">
        <v>174</v>
      </c>
      <c r="O280">
        <v>124</v>
      </c>
      <c r="P280">
        <v>4</v>
      </c>
      <c r="Q280">
        <v>3</v>
      </c>
      <c r="R280">
        <v>1</v>
      </c>
      <c r="S280">
        <v>1</v>
      </c>
      <c r="T280">
        <v>0</v>
      </c>
      <c r="U280">
        <v>388</v>
      </c>
      <c r="V280">
        <v>36</v>
      </c>
      <c r="W280">
        <v>228</v>
      </c>
      <c r="X280">
        <v>124</v>
      </c>
    </row>
    <row r="281" spans="1:24" x14ac:dyDescent="0.2">
      <c r="A281">
        <v>280</v>
      </c>
      <c r="B281" s="1">
        <v>40823</v>
      </c>
      <c r="C281" t="s">
        <v>24</v>
      </c>
      <c r="D281">
        <v>85</v>
      </c>
      <c r="E281">
        <v>13</v>
      </c>
      <c r="F281">
        <v>6</v>
      </c>
      <c r="G281" t="s">
        <v>25</v>
      </c>
      <c r="H281">
        <v>1</v>
      </c>
      <c r="I281">
        <v>32</v>
      </c>
      <c r="J281">
        <v>6</v>
      </c>
      <c r="K281">
        <v>7</v>
      </c>
      <c r="L281">
        <v>6</v>
      </c>
      <c r="M281">
        <v>33</v>
      </c>
      <c r="N281">
        <v>160</v>
      </c>
      <c r="O281">
        <v>154</v>
      </c>
      <c r="P281">
        <v>2</v>
      </c>
      <c r="Q281">
        <v>2</v>
      </c>
      <c r="R281">
        <v>3</v>
      </c>
      <c r="S281">
        <v>4</v>
      </c>
      <c r="T281">
        <v>1</v>
      </c>
      <c r="U281">
        <v>410</v>
      </c>
      <c r="V281">
        <v>45</v>
      </c>
      <c r="W281">
        <v>210</v>
      </c>
      <c r="X281">
        <v>154</v>
      </c>
    </row>
    <row r="282" spans="1:24" x14ac:dyDescent="0.2">
      <c r="A282">
        <v>281</v>
      </c>
      <c r="B282" s="1">
        <v>40823</v>
      </c>
      <c r="C282" t="s">
        <v>24</v>
      </c>
      <c r="D282">
        <v>85</v>
      </c>
      <c r="E282">
        <v>13</v>
      </c>
      <c r="F282">
        <v>6</v>
      </c>
      <c r="G282" t="s">
        <v>25</v>
      </c>
      <c r="H282">
        <v>2</v>
      </c>
      <c r="I282">
        <v>23</v>
      </c>
      <c r="J282">
        <v>3</v>
      </c>
      <c r="K282">
        <v>7</v>
      </c>
      <c r="L282">
        <v>5</v>
      </c>
      <c r="M282">
        <v>21</v>
      </c>
      <c r="N282">
        <v>118</v>
      </c>
      <c r="O282">
        <v>114</v>
      </c>
      <c r="P282">
        <v>4</v>
      </c>
      <c r="Q282">
        <v>2</v>
      </c>
      <c r="R282">
        <v>5</v>
      </c>
      <c r="S282">
        <v>6</v>
      </c>
      <c r="T282">
        <v>1</v>
      </c>
      <c r="U282">
        <v>309</v>
      </c>
      <c r="V282">
        <v>33</v>
      </c>
      <c r="W282">
        <v>161</v>
      </c>
      <c r="X282">
        <v>114</v>
      </c>
    </row>
    <row r="283" spans="1:24" x14ac:dyDescent="0.2">
      <c r="A283">
        <v>282</v>
      </c>
      <c r="B283" s="1">
        <v>40823</v>
      </c>
      <c r="C283" t="s">
        <v>24</v>
      </c>
      <c r="D283">
        <v>85</v>
      </c>
      <c r="E283">
        <v>13</v>
      </c>
      <c r="F283">
        <v>6</v>
      </c>
      <c r="G283" t="s">
        <v>26</v>
      </c>
      <c r="H283">
        <v>3</v>
      </c>
      <c r="I283">
        <v>27</v>
      </c>
      <c r="J283">
        <v>1</v>
      </c>
      <c r="K283">
        <v>15</v>
      </c>
      <c r="L283">
        <v>3</v>
      </c>
      <c r="M283">
        <v>15</v>
      </c>
      <c r="N283">
        <v>93</v>
      </c>
      <c r="O283">
        <v>120</v>
      </c>
      <c r="P283">
        <v>2</v>
      </c>
      <c r="Q283">
        <v>2</v>
      </c>
      <c r="R283">
        <v>2</v>
      </c>
      <c r="S283">
        <v>1</v>
      </c>
      <c r="T283">
        <v>0</v>
      </c>
      <c r="U283">
        <v>281</v>
      </c>
      <c r="V283">
        <v>43</v>
      </c>
      <c r="W283">
        <v>118</v>
      </c>
      <c r="X283">
        <v>120</v>
      </c>
    </row>
    <row r="284" spans="1:24" x14ac:dyDescent="0.2">
      <c r="A284">
        <v>283</v>
      </c>
      <c r="B284" s="1">
        <v>40823</v>
      </c>
      <c r="C284" t="s">
        <v>28</v>
      </c>
      <c r="D284">
        <v>85</v>
      </c>
      <c r="E284">
        <v>13</v>
      </c>
      <c r="F284">
        <v>6</v>
      </c>
      <c r="G284" t="s">
        <v>25</v>
      </c>
      <c r="H284">
        <v>4</v>
      </c>
      <c r="I284">
        <v>50</v>
      </c>
      <c r="J284">
        <v>2</v>
      </c>
      <c r="K284">
        <v>16</v>
      </c>
      <c r="L284">
        <v>8</v>
      </c>
      <c r="M284">
        <v>38</v>
      </c>
      <c r="N284">
        <v>168</v>
      </c>
      <c r="O284">
        <v>115</v>
      </c>
      <c r="P284">
        <v>2</v>
      </c>
      <c r="Q284">
        <v>0</v>
      </c>
      <c r="R284">
        <v>4</v>
      </c>
      <c r="S284">
        <v>4</v>
      </c>
      <c r="T284">
        <v>0</v>
      </c>
      <c r="U284">
        <v>407</v>
      </c>
      <c r="V284">
        <v>68</v>
      </c>
      <c r="W284">
        <v>224</v>
      </c>
      <c r="X284">
        <v>115</v>
      </c>
    </row>
    <row r="285" spans="1:24" x14ac:dyDescent="0.2">
      <c r="A285">
        <v>284</v>
      </c>
      <c r="B285" s="1">
        <v>40823</v>
      </c>
      <c r="C285" t="s">
        <v>28</v>
      </c>
      <c r="D285">
        <v>85</v>
      </c>
      <c r="E285">
        <v>13</v>
      </c>
      <c r="F285">
        <v>6</v>
      </c>
      <c r="G285" t="s">
        <v>26</v>
      </c>
      <c r="H285">
        <v>5</v>
      </c>
      <c r="I285">
        <v>40</v>
      </c>
      <c r="J285">
        <v>4</v>
      </c>
      <c r="K285">
        <v>16</v>
      </c>
      <c r="L285">
        <v>10</v>
      </c>
      <c r="M285">
        <v>38</v>
      </c>
      <c r="N285">
        <v>141</v>
      </c>
      <c r="O285">
        <v>180</v>
      </c>
      <c r="P285">
        <v>2</v>
      </c>
      <c r="Q285">
        <v>3</v>
      </c>
      <c r="R285">
        <v>3</v>
      </c>
      <c r="S285">
        <v>4</v>
      </c>
      <c r="T285">
        <v>0</v>
      </c>
      <c r="U285">
        <v>441</v>
      </c>
      <c r="V285">
        <v>60</v>
      </c>
      <c r="W285">
        <v>201</v>
      </c>
      <c r="X285">
        <v>180</v>
      </c>
    </row>
    <row r="286" spans="1:24" x14ac:dyDescent="0.2">
      <c r="A286">
        <v>285</v>
      </c>
      <c r="B286" s="1">
        <v>40823</v>
      </c>
      <c r="C286" t="s">
        <v>28</v>
      </c>
      <c r="D286">
        <v>85</v>
      </c>
      <c r="E286">
        <v>13</v>
      </c>
      <c r="F286">
        <v>6</v>
      </c>
      <c r="G286" t="s">
        <v>27</v>
      </c>
      <c r="H286">
        <v>6</v>
      </c>
      <c r="I286">
        <v>36</v>
      </c>
      <c r="J286">
        <v>1</v>
      </c>
      <c r="K286">
        <v>19</v>
      </c>
      <c r="L286">
        <v>12</v>
      </c>
      <c r="M286">
        <v>24</v>
      </c>
      <c r="N286">
        <v>122</v>
      </c>
      <c r="O286">
        <v>165</v>
      </c>
      <c r="P286">
        <v>2</v>
      </c>
      <c r="Q286">
        <v>3</v>
      </c>
      <c r="R286">
        <v>3</v>
      </c>
      <c r="S286">
        <v>7</v>
      </c>
      <c r="T286">
        <v>0</v>
      </c>
      <c r="U286">
        <v>394</v>
      </c>
      <c r="V286">
        <v>56</v>
      </c>
      <c r="W286">
        <v>173</v>
      </c>
      <c r="X286">
        <v>165</v>
      </c>
    </row>
    <row r="287" spans="1:24" x14ac:dyDescent="0.2">
      <c r="A287">
        <v>286</v>
      </c>
      <c r="B287" s="1">
        <v>40823</v>
      </c>
      <c r="C287" t="s">
        <v>28</v>
      </c>
      <c r="D287">
        <v>85</v>
      </c>
      <c r="E287">
        <v>13</v>
      </c>
      <c r="F287">
        <v>6</v>
      </c>
      <c r="G287" t="s">
        <v>27</v>
      </c>
      <c r="H287">
        <v>7</v>
      </c>
      <c r="I287">
        <v>57</v>
      </c>
      <c r="J287">
        <v>1</v>
      </c>
      <c r="K287">
        <v>21</v>
      </c>
      <c r="L287">
        <v>10</v>
      </c>
      <c r="M287">
        <v>19</v>
      </c>
      <c r="N287">
        <v>162</v>
      </c>
      <c r="O287">
        <v>121</v>
      </c>
      <c r="P287">
        <v>2</v>
      </c>
      <c r="Q287">
        <v>3</v>
      </c>
      <c r="R287">
        <v>3</v>
      </c>
      <c r="S287">
        <v>0</v>
      </c>
      <c r="T287">
        <v>0</v>
      </c>
      <c r="U287">
        <v>399</v>
      </c>
      <c r="V287">
        <v>79</v>
      </c>
      <c r="W287">
        <v>199</v>
      </c>
      <c r="X287">
        <v>121</v>
      </c>
    </row>
    <row r="288" spans="1:24" x14ac:dyDescent="0.2">
      <c r="A288">
        <v>287</v>
      </c>
      <c r="B288" s="1">
        <v>40823</v>
      </c>
      <c r="C288" t="s">
        <v>24</v>
      </c>
      <c r="D288">
        <v>85</v>
      </c>
      <c r="E288">
        <v>13</v>
      </c>
      <c r="F288">
        <v>6</v>
      </c>
      <c r="G288" t="s">
        <v>26</v>
      </c>
      <c r="H288">
        <v>8</v>
      </c>
      <c r="I288">
        <v>15</v>
      </c>
      <c r="J288">
        <v>6</v>
      </c>
      <c r="K288">
        <v>9</v>
      </c>
      <c r="L288">
        <v>3</v>
      </c>
      <c r="M288">
        <v>27</v>
      </c>
      <c r="N288">
        <v>90</v>
      </c>
      <c r="O288">
        <v>134</v>
      </c>
      <c r="P288">
        <v>2</v>
      </c>
      <c r="Q288">
        <v>2</v>
      </c>
      <c r="R288">
        <v>3</v>
      </c>
      <c r="S288">
        <v>2</v>
      </c>
      <c r="T288">
        <v>2</v>
      </c>
      <c r="U288">
        <v>295</v>
      </c>
      <c r="V288">
        <v>30</v>
      </c>
      <c r="W288">
        <v>129</v>
      </c>
      <c r="X288">
        <v>134</v>
      </c>
    </row>
    <row r="289" spans="1:24" x14ac:dyDescent="0.2">
      <c r="A289">
        <v>288</v>
      </c>
      <c r="B289" s="1">
        <v>40823</v>
      </c>
      <c r="C289" t="s">
        <v>24</v>
      </c>
      <c r="D289">
        <v>85</v>
      </c>
      <c r="E289">
        <v>13</v>
      </c>
      <c r="F289">
        <v>6</v>
      </c>
      <c r="G289" t="s">
        <v>27</v>
      </c>
      <c r="H289">
        <v>9</v>
      </c>
      <c r="I289">
        <v>27</v>
      </c>
      <c r="J289">
        <v>0</v>
      </c>
      <c r="K289">
        <v>13</v>
      </c>
      <c r="L289">
        <v>8</v>
      </c>
      <c r="M289">
        <v>27</v>
      </c>
      <c r="N289">
        <v>140</v>
      </c>
      <c r="O289">
        <v>104</v>
      </c>
      <c r="P289">
        <v>3</v>
      </c>
      <c r="Q289">
        <v>6</v>
      </c>
      <c r="R289">
        <v>5</v>
      </c>
      <c r="S289">
        <v>0</v>
      </c>
      <c r="T289">
        <v>1</v>
      </c>
      <c r="U289">
        <v>334</v>
      </c>
      <c r="V289">
        <v>40</v>
      </c>
      <c r="W289">
        <v>189</v>
      </c>
      <c r="X289">
        <v>104</v>
      </c>
    </row>
    <row r="290" spans="1:24" x14ac:dyDescent="0.2">
      <c r="A290">
        <v>289</v>
      </c>
      <c r="B290" s="1">
        <v>40827</v>
      </c>
      <c r="C290" t="s">
        <v>28</v>
      </c>
      <c r="D290">
        <v>89</v>
      </c>
      <c r="E290">
        <v>14</v>
      </c>
      <c r="F290">
        <v>3</v>
      </c>
      <c r="G290" t="s">
        <v>25</v>
      </c>
      <c r="H290">
        <v>1</v>
      </c>
      <c r="I290">
        <v>38</v>
      </c>
      <c r="J290">
        <v>4</v>
      </c>
      <c r="K290">
        <v>6</v>
      </c>
      <c r="L290">
        <v>8</v>
      </c>
      <c r="M290">
        <v>25</v>
      </c>
      <c r="N290">
        <v>56</v>
      </c>
      <c r="O290">
        <v>269</v>
      </c>
      <c r="P290">
        <v>4</v>
      </c>
      <c r="Q290">
        <v>5</v>
      </c>
      <c r="R290">
        <v>1</v>
      </c>
      <c r="S290">
        <v>4</v>
      </c>
      <c r="T290">
        <v>1</v>
      </c>
      <c r="U290">
        <v>421</v>
      </c>
      <c r="V290">
        <v>48</v>
      </c>
      <c r="W290">
        <v>103</v>
      </c>
      <c r="X290">
        <v>269</v>
      </c>
    </row>
    <row r="291" spans="1:24" x14ac:dyDescent="0.2">
      <c r="A291">
        <v>290</v>
      </c>
      <c r="B291" s="1">
        <v>40827</v>
      </c>
      <c r="C291" t="s">
        <v>28</v>
      </c>
      <c r="D291">
        <v>89</v>
      </c>
      <c r="E291">
        <v>14</v>
      </c>
      <c r="F291">
        <v>3</v>
      </c>
      <c r="G291" t="s">
        <v>25</v>
      </c>
      <c r="H291">
        <v>2</v>
      </c>
      <c r="I291">
        <v>30</v>
      </c>
      <c r="J291">
        <v>3</v>
      </c>
      <c r="K291">
        <v>10</v>
      </c>
      <c r="L291">
        <v>7</v>
      </c>
      <c r="M291">
        <v>23</v>
      </c>
      <c r="N291">
        <v>124</v>
      </c>
      <c r="O291">
        <v>162</v>
      </c>
      <c r="P291">
        <v>3</v>
      </c>
      <c r="Q291">
        <v>3</v>
      </c>
      <c r="R291">
        <v>5</v>
      </c>
      <c r="S291">
        <v>11</v>
      </c>
      <c r="T291">
        <v>0</v>
      </c>
      <c r="U291">
        <v>381</v>
      </c>
      <c r="V291">
        <v>43</v>
      </c>
      <c r="W291">
        <v>176</v>
      </c>
      <c r="X291">
        <v>162</v>
      </c>
    </row>
    <row r="292" spans="1:24" x14ac:dyDescent="0.2">
      <c r="A292">
        <v>291</v>
      </c>
      <c r="B292" s="1">
        <v>40827</v>
      </c>
      <c r="C292" t="s">
        <v>24</v>
      </c>
      <c r="D292">
        <v>89</v>
      </c>
      <c r="E292">
        <v>14</v>
      </c>
      <c r="F292">
        <v>3</v>
      </c>
      <c r="G292" t="s">
        <v>26</v>
      </c>
      <c r="H292">
        <v>3</v>
      </c>
      <c r="I292">
        <v>33</v>
      </c>
      <c r="J292">
        <v>1</v>
      </c>
      <c r="K292">
        <v>14</v>
      </c>
      <c r="L292">
        <v>3</v>
      </c>
      <c r="M292">
        <v>32</v>
      </c>
      <c r="N292">
        <v>143</v>
      </c>
      <c r="O292">
        <v>121</v>
      </c>
      <c r="P292">
        <v>3</v>
      </c>
      <c r="Q292">
        <v>3</v>
      </c>
      <c r="R292">
        <v>1</v>
      </c>
      <c r="S292">
        <v>3</v>
      </c>
      <c r="T292">
        <v>1</v>
      </c>
      <c r="U292">
        <v>358</v>
      </c>
      <c r="V292">
        <v>48</v>
      </c>
      <c r="W292">
        <v>188</v>
      </c>
      <c r="X292">
        <v>121</v>
      </c>
    </row>
    <row r="293" spans="1:24" x14ac:dyDescent="0.2">
      <c r="A293">
        <v>292</v>
      </c>
      <c r="B293" s="1">
        <v>40827</v>
      </c>
      <c r="C293" t="s">
        <v>24</v>
      </c>
      <c r="D293">
        <v>89</v>
      </c>
      <c r="E293">
        <v>14</v>
      </c>
      <c r="F293">
        <v>3</v>
      </c>
      <c r="G293" t="s">
        <v>25</v>
      </c>
      <c r="H293">
        <v>4</v>
      </c>
      <c r="I293">
        <v>46</v>
      </c>
      <c r="J293">
        <v>3</v>
      </c>
      <c r="K293">
        <v>17</v>
      </c>
      <c r="L293">
        <v>7</v>
      </c>
      <c r="M293">
        <v>31</v>
      </c>
      <c r="N293">
        <v>163</v>
      </c>
      <c r="O293">
        <v>159</v>
      </c>
      <c r="P293">
        <v>5</v>
      </c>
      <c r="Q293">
        <v>3</v>
      </c>
      <c r="R293">
        <v>4</v>
      </c>
      <c r="S293">
        <v>2</v>
      </c>
      <c r="T293">
        <v>0</v>
      </c>
      <c r="U293">
        <v>440</v>
      </c>
      <c r="V293">
        <v>66</v>
      </c>
      <c r="W293">
        <v>215</v>
      </c>
      <c r="X293">
        <v>159</v>
      </c>
    </row>
    <row r="294" spans="1:24" x14ac:dyDescent="0.2">
      <c r="A294">
        <v>293</v>
      </c>
      <c r="B294" s="1">
        <v>40827</v>
      </c>
      <c r="C294" t="s">
        <v>24</v>
      </c>
      <c r="D294">
        <v>89</v>
      </c>
      <c r="E294">
        <v>14</v>
      </c>
      <c r="F294">
        <v>3</v>
      </c>
      <c r="G294" t="s">
        <v>26</v>
      </c>
      <c r="H294">
        <v>5</v>
      </c>
      <c r="I294">
        <v>37</v>
      </c>
      <c r="J294">
        <v>3</v>
      </c>
      <c r="K294">
        <v>14</v>
      </c>
      <c r="L294">
        <v>7</v>
      </c>
      <c r="M294">
        <v>31</v>
      </c>
      <c r="N294">
        <v>156</v>
      </c>
      <c r="O294">
        <v>185</v>
      </c>
      <c r="P294">
        <v>3</v>
      </c>
      <c r="Q294">
        <v>5</v>
      </c>
      <c r="R294">
        <v>3</v>
      </c>
      <c r="S294">
        <v>2</v>
      </c>
      <c r="T294">
        <v>0</v>
      </c>
      <c r="U294">
        <v>446</v>
      </c>
      <c r="V294">
        <v>54</v>
      </c>
      <c r="W294">
        <v>207</v>
      </c>
      <c r="X294">
        <v>185</v>
      </c>
    </row>
    <row r="295" spans="1:24" x14ac:dyDescent="0.2">
      <c r="A295">
        <v>294</v>
      </c>
      <c r="B295" s="1">
        <v>40827</v>
      </c>
      <c r="C295" t="s">
        <v>24</v>
      </c>
      <c r="D295">
        <v>89</v>
      </c>
      <c r="E295">
        <v>14</v>
      </c>
      <c r="F295">
        <v>3</v>
      </c>
      <c r="G295" t="s">
        <v>27</v>
      </c>
      <c r="H295">
        <v>6</v>
      </c>
      <c r="I295">
        <v>31</v>
      </c>
      <c r="J295">
        <v>1</v>
      </c>
      <c r="K295">
        <v>13</v>
      </c>
      <c r="L295">
        <v>9</v>
      </c>
      <c r="M295">
        <v>34</v>
      </c>
      <c r="N295">
        <v>127</v>
      </c>
      <c r="O295">
        <v>178</v>
      </c>
      <c r="P295">
        <v>7</v>
      </c>
      <c r="Q295">
        <v>5</v>
      </c>
      <c r="R295">
        <v>4</v>
      </c>
      <c r="S295">
        <v>2</v>
      </c>
      <c r="T295">
        <v>1</v>
      </c>
      <c r="U295">
        <v>412</v>
      </c>
      <c r="V295">
        <v>45</v>
      </c>
      <c r="W295">
        <v>188</v>
      </c>
      <c r="X295">
        <v>178</v>
      </c>
    </row>
    <row r="296" spans="1:24" x14ac:dyDescent="0.2">
      <c r="A296">
        <v>295</v>
      </c>
      <c r="B296" s="1">
        <v>40827</v>
      </c>
      <c r="C296" t="s">
        <v>28</v>
      </c>
      <c r="D296">
        <v>89</v>
      </c>
      <c r="E296">
        <v>14</v>
      </c>
      <c r="F296">
        <v>3</v>
      </c>
      <c r="G296" t="s">
        <v>27</v>
      </c>
      <c r="H296">
        <v>7</v>
      </c>
      <c r="I296">
        <v>55</v>
      </c>
      <c r="J296">
        <v>1</v>
      </c>
      <c r="K296">
        <v>23</v>
      </c>
      <c r="L296">
        <v>11</v>
      </c>
      <c r="M296">
        <v>29</v>
      </c>
      <c r="N296">
        <v>222</v>
      </c>
      <c r="O296">
        <v>223</v>
      </c>
      <c r="P296">
        <v>4</v>
      </c>
      <c r="Q296">
        <v>3</v>
      </c>
      <c r="R296">
        <v>3</v>
      </c>
      <c r="S296">
        <v>2</v>
      </c>
      <c r="T296">
        <v>0</v>
      </c>
      <c r="U296">
        <v>576</v>
      </c>
      <c r="V296">
        <v>79</v>
      </c>
      <c r="W296">
        <v>274</v>
      </c>
      <c r="X296">
        <v>223</v>
      </c>
    </row>
    <row r="297" spans="1:24" x14ac:dyDescent="0.2">
      <c r="A297">
        <v>296</v>
      </c>
      <c r="B297" s="1">
        <v>40827</v>
      </c>
      <c r="C297" t="s">
        <v>28</v>
      </c>
      <c r="D297">
        <v>89</v>
      </c>
      <c r="E297">
        <v>14</v>
      </c>
      <c r="F297">
        <v>3</v>
      </c>
      <c r="G297" t="s">
        <v>26</v>
      </c>
      <c r="H297">
        <v>8</v>
      </c>
      <c r="I297">
        <v>23</v>
      </c>
      <c r="J297">
        <v>7</v>
      </c>
      <c r="K297">
        <v>11</v>
      </c>
      <c r="L297">
        <v>5</v>
      </c>
      <c r="M297">
        <v>32</v>
      </c>
      <c r="N297">
        <v>202</v>
      </c>
      <c r="O297">
        <v>173</v>
      </c>
      <c r="P297">
        <v>2</v>
      </c>
      <c r="Q297">
        <v>1</v>
      </c>
      <c r="R297">
        <v>4</v>
      </c>
      <c r="S297">
        <v>11</v>
      </c>
      <c r="T297">
        <v>0</v>
      </c>
      <c r="U297">
        <v>471</v>
      </c>
      <c r="V297">
        <v>41</v>
      </c>
      <c r="W297">
        <v>257</v>
      </c>
      <c r="X297">
        <v>173</v>
      </c>
    </row>
    <row r="298" spans="1:24" x14ac:dyDescent="0.2">
      <c r="A298">
        <v>297</v>
      </c>
      <c r="B298" s="1">
        <v>40827</v>
      </c>
      <c r="C298" t="s">
        <v>24</v>
      </c>
      <c r="D298">
        <v>89</v>
      </c>
      <c r="E298">
        <v>14</v>
      </c>
      <c r="F298">
        <v>3</v>
      </c>
      <c r="G298" t="s">
        <v>27</v>
      </c>
      <c r="H298">
        <v>9</v>
      </c>
      <c r="I298">
        <v>34</v>
      </c>
      <c r="J298">
        <v>0</v>
      </c>
      <c r="K298">
        <v>16</v>
      </c>
      <c r="L298">
        <v>11</v>
      </c>
      <c r="M298">
        <v>41</v>
      </c>
      <c r="N298">
        <v>142</v>
      </c>
      <c r="O298">
        <v>133</v>
      </c>
      <c r="P298">
        <v>3</v>
      </c>
      <c r="Q298">
        <v>5</v>
      </c>
      <c r="R298">
        <v>2</v>
      </c>
      <c r="S298">
        <v>2</v>
      </c>
      <c r="T298">
        <v>0</v>
      </c>
      <c r="U298">
        <v>389</v>
      </c>
      <c r="V298">
        <v>50</v>
      </c>
      <c r="W298">
        <v>206</v>
      </c>
      <c r="X298">
        <v>133</v>
      </c>
    </row>
    <row r="299" spans="1:24" x14ac:dyDescent="0.2">
      <c r="A299">
        <v>298</v>
      </c>
      <c r="B299" s="1">
        <v>40830</v>
      </c>
      <c r="C299" t="s">
        <v>24</v>
      </c>
      <c r="D299">
        <v>92</v>
      </c>
      <c r="E299">
        <v>14</v>
      </c>
      <c r="F299">
        <v>6</v>
      </c>
      <c r="G299" t="s">
        <v>25</v>
      </c>
      <c r="H299">
        <v>1</v>
      </c>
      <c r="I299">
        <v>40</v>
      </c>
      <c r="J299">
        <v>5</v>
      </c>
      <c r="K299">
        <v>8</v>
      </c>
      <c r="L299">
        <v>5</v>
      </c>
      <c r="M299">
        <v>36</v>
      </c>
      <c r="N299">
        <v>197</v>
      </c>
      <c r="O299">
        <v>169</v>
      </c>
      <c r="P299">
        <v>2</v>
      </c>
      <c r="Q299">
        <v>2</v>
      </c>
      <c r="R299">
        <v>4</v>
      </c>
      <c r="S299">
        <v>5</v>
      </c>
      <c r="T299">
        <v>0</v>
      </c>
      <c r="U299">
        <v>473</v>
      </c>
      <c r="V299">
        <v>53</v>
      </c>
      <c r="W299">
        <v>251</v>
      </c>
      <c r="X299">
        <v>169</v>
      </c>
    </row>
    <row r="300" spans="1:24" x14ac:dyDescent="0.2">
      <c r="A300">
        <v>299</v>
      </c>
      <c r="B300" s="1">
        <v>40830</v>
      </c>
      <c r="C300" t="s">
        <v>24</v>
      </c>
      <c r="D300">
        <v>92</v>
      </c>
      <c r="E300">
        <v>14</v>
      </c>
      <c r="F300">
        <v>6</v>
      </c>
      <c r="G300" t="s">
        <v>25</v>
      </c>
      <c r="H300">
        <v>2</v>
      </c>
      <c r="I300">
        <v>32</v>
      </c>
      <c r="J300">
        <v>5</v>
      </c>
      <c r="K300">
        <v>9</v>
      </c>
      <c r="L300">
        <v>6</v>
      </c>
      <c r="M300">
        <v>27</v>
      </c>
      <c r="N300">
        <v>135</v>
      </c>
      <c r="O300">
        <v>143</v>
      </c>
      <c r="P300">
        <v>1</v>
      </c>
      <c r="Q300">
        <v>2</v>
      </c>
      <c r="R300">
        <v>2</v>
      </c>
      <c r="S300">
        <v>6</v>
      </c>
      <c r="T300">
        <v>0</v>
      </c>
      <c r="U300">
        <v>368</v>
      </c>
      <c r="V300">
        <v>46</v>
      </c>
      <c r="W300">
        <v>179</v>
      </c>
      <c r="X300">
        <v>143</v>
      </c>
    </row>
    <row r="301" spans="1:24" x14ac:dyDescent="0.2">
      <c r="A301">
        <v>300</v>
      </c>
      <c r="B301" s="1">
        <v>40830</v>
      </c>
      <c r="C301" t="s">
        <v>28</v>
      </c>
      <c r="D301">
        <v>92</v>
      </c>
      <c r="E301">
        <v>14</v>
      </c>
      <c r="F301">
        <v>6</v>
      </c>
      <c r="G301" t="s">
        <v>26</v>
      </c>
      <c r="H301">
        <v>3</v>
      </c>
      <c r="I301">
        <v>35</v>
      </c>
      <c r="J301">
        <v>1</v>
      </c>
      <c r="K301">
        <v>12</v>
      </c>
      <c r="L301">
        <v>6</v>
      </c>
      <c r="M301">
        <v>38</v>
      </c>
      <c r="N301">
        <v>131</v>
      </c>
      <c r="O301">
        <v>145</v>
      </c>
      <c r="P301">
        <v>0</v>
      </c>
      <c r="Q301">
        <v>3</v>
      </c>
      <c r="R301">
        <v>1</v>
      </c>
      <c r="S301">
        <v>3</v>
      </c>
      <c r="T301">
        <v>0</v>
      </c>
      <c r="U301">
        <v>375</v>
      </c>
      <c r="V301">
        <v>48</v>
      </c>
      <c r="W301">
        <v>182</v>
      </c>
      <c r="X301">
        <v>145</v>
      </c>
    </row>
    <row r="302" spans="1:24" x14ac:dyDescent="0.2">
      <c r="A302">
        <v>301</v>
      </c>
      <c r="B302" s="1">
        <v>40830</v>
      </c>
      <c r="C302" t="s">
        <v>24</v>
      </c>
      <c r="D302">
        <v>92</v>
      </c>
      <c r="E302">
        <v>14</v>
      </c>
      <c r="F302">
        <v>6</v>
      </c>
      <c r="G302" t="s">
        <v>25</v>
      </c>
      <c r="H302">
        <v>4</v>
      </c>
      <c r="I302">
        <v>47</v>
      </c>
      <c r="J302">
        <v>1</v>
      </c>
      <c r="K302">
        <v>11</v>
      </c>
      <c r="L302">
        <v>7</v>
      </c>
      <c r="M302">
        <v>27</v>
      </c>
      <c r="N302">
        <v>186</v>
      </c>
      <c r="O302">
        <v>180</v>
      </c>
      <c r="P302">
        <v>3</v>
      </c>
      <c r="Q302">
        <v>3</v>
      </c>
      <c r="R302">
        <v>1</v>
      </c>
      <c r="S302">
        <v>2</v>
      </c>
      <c r="T302">
        <v>1</v>
      </c>
      <c r="U302">
        <v>469</v>
      </c>
      <c r="V302">
        <v>59</v>
      </c>
      <c r="W302">
        <v>229</v>
      </c>
      <c r="X302">
        <v>180</v>
      </c>
    </row>
    <row r="303" spans="1:24" x14ac:dyDescent="0.2">
      <c r="A303">
        <v>302</v>
      </c>
      <c r="B303" s="1">
        <v>40830</v>
      </c>
      <c r="C303" t="s">
        <v>24</v>
      </c>
      <c r="D303">
        <v>92</v>
      </c>
      <c r="E303">
        <v>14</v>
      </c>
      <c r="F303">
        <v>6</v>
      </c>
      <c r="G303" t="s">
        <v>26</v>
      </c>
      <c r="H303">
        <v>5</v>
      </c>
      <c r="I303">
        <v>41</v>
      </c>
      <c r="J303">
        <v>2</v>
      </c>
      <c r="K303">
        <v>14</v>
      </c>
      <c r="L303">
        <v>8</v>
      </c>
      <c r="M303">
        <v>40</v>
      </c>
      <c r="N303">
        <v>202</v>
      </c>
      <c r="O303">
        <v>175</v>
      </c>
      <c r="P303">
        <v>1</v>
      </c>
      <c r="Q303">
        <v>3</v>
      </c>
      <c r="R303">
        <v>2</v>
      </c>
      <c r="S303">
        <v>2</v>
      </c>
      <c r="T303">
        <v>1</v>
      </c>
      <c r="U303">
        <v>491</v>
      </c>
      <c r="V303">
        <v>57</v>
      </c>
      <c r="W303">
        <v>258</v>
      </c>
      <c r="X303">
        <v>175</v>
      </c>
    </row>
    <row r="304" spans="1:24" x14ac:dyDescent="0.2">
      <c r="A304">
        <v>303</v>
      </c>
      <c r="B304" s="1">
        <v>40830</v>
      </c>
      <c r="C304" t="s">
        <v>28</v>
      </c>
      <c r="D304">
        <v>92</v>
      </c>
      <c r="E304">
        <v>14</v>
      </c>
      <c r="F304">
        <v>6</v>
      </c>
      <c r="G304" t="s">
        <v>27</v>
      </c>
      <c r="H304">
        <v>6</v>
      </c>
      <c r="I304">
        <v>34</v>
      </c>
      <c r="J304">
        <v>1</v>
      </c>
      <c r="K304">
        <v>15</v>
      </c>
      <c r="L304">
        <v>11</v>
      </c>
      <c r="M304">
        <v>41</v>
      </c>
      <c r="N304">
        <v>139</v>
      </c>
      <c r="O304">
        <v>163</v>
      </c>
      <c r="P304">
        <v>1</v>
      </c>
      <c r="Q304">
        <v>2</v>
      </c>
      <c r="R304">
        <v>2</v>
      </c>
      <c r="S304">
        <v>5</v>
      </c>
      <c r="T304">
        <v>0</v>
      </c>
      <c r="U304">
        <v>414</v>
      </c>
      <c r="V304">
        <v>50</v>
      </c>
      <c r="W304">
        <v>201</v>
      </c>
      <c r="X304">
        <v>163</v>
      </c>
    </row>
    <row r="305" spans="1:24" x14ac:dyDescent="0.2">
      <c r="A305">
        <v>304</v>
      </c>
      <c r="B305" s="1">
        <v>40830</v>
      </c>
      <c r="C305" t="s">
        <v>24</v>
      </c>
      <c r="D305">
        <v>92</v>
      </c>
      <c r="E305">
        <v>14</v>
      </c>
      <c r="F305">
        <v>6</v>
      </c>
      <c r="G305" t="s">
        <v>27</v>
      </c>
      <c r="H305">
        <v>7</v>
      </c>
      <c r="I305">
        <v>51</v>
      </c>
      <c r="J305">
        <v>1</v>
      </c>
      <c r="K305">
        <v>20</v>
      </c>
      <c r="L305">
        <v>3</v>
      </c>
      <c r="M305">
        <v>33</v>
      </c>
      <c r="N305">
        <v>226</v>
      </c>
      <c r="O305">
        <v>157</v>
      </c>
      <c r="P305">
        <v>1</v>
      </c>
      <c r="Q305">
        <v>2</v>
      </c>
      <c r="R305">
        <v>2</v>
      </c>
      <c r="S305">
        <v>1</v>
      </c>
      <c r="T305">
        <v>0</v>
      </c>
      <c r="U305">
        <v>497</v>
      </c>
      <c r="V305">
        <v>72</v>
      </c>
      <c r="W305">
        <v>268</v>
      </c>
      <c r="X305">
        <v>157</v>
      </c>
    </row>
    <row r="306" spans="1:24" x14ac:dyDescent="0.2">
      <c r="A306">
        <v>305</v>
      </c>
      <c r="B306" s="1">
        <v>40830</v>
      </c>
      <c r="C306" t="s">
        <v>28</v>
      </c>
      <c r="D306">
        <v>92</v>
      </c>
      <c r="E306">
        <v>14</v>
      </c>
      <c r="F306">
        <v>6</v>
      </c>
      <c r="G306" t="s">
        <v>26</v>
      </c>
      <c r="H306">
        <v>8</v>
      </c>
      <c r="I306">
        <v>21</v>
      </c>
      <c r="J306">
        <v>7</v>
      </c>
      <c r="K306">
        <v>11</v>
      </c>
      <c r="L306">
        <v>6</v>
      </c>
      <c r="M306">
        <v>28</v>
      </c>
      <c r="N306">
        <v>153</v>
      </c>
      <c r="O306">
        <v>139</v>
      </c>
      <c r="P306">
        <v>0</v>
      </c>
      <c r="Q306">
        <v>0</v>
      </c>
      <c r="R306">
        <v>0</v>
      </c>
      <c r="S306">
        <v>6</v>
      </c>
      <c r="T306">
        <v>0</v>
      </c>
      <c r="U306">
        <v>371</v>
      </c>
      <c r="V306">
        <v>39</v>
      </c>
      <c r="W306">
        <v>193</v>
      </c>
      <c r="X306">
        <v>139</v>
      </c>
    </row>
    <row r="307" spans="1:24" x14ac:dyDescent="0.2">
      <c r="A307">
        <v>306</v>
      </c>
      <c r="B307" s="1">
        <v>40830</v>
      </c>
      <c r="C307" t="s">
        <v>28</v>
      </c>
      <c r="D307">
        <v>92</v>
      </c>
      <c r="E307">
        <v>14</v>
      </c>
      <c r="F307">
        <v>6</v>
      </c>
      <c r="G307" t="s">
        <v>27</v>
      </c>
      <c r="H307">
        <v>9</v>
      </c>
      <c r="I307">
        <v>38</v>
      </c>
      <c r="J307">
        <v>0</v>
      </c>
      <c r="K307">
        <v>16</v>
      </c>
      <c r="L307">
        <v>9</v>
      </c>
      <c r="M307">
        <v>35</v>
      </c>
      <c r="N307">
        <v>161</v>
      </c>
      <c r="O307">
        <v>152</v>
      </c>
      <c r="P307">
        <v>2</v>
      </c>
      <c r="Q307">
        <v>3</v>
      </c>
      <c r="R307">
        <v>1</v>
      </c>
      <c r="S307">
        <v>2</v>
      </c>
      <c r="T307">
        <v>0</v>
      </c>
      <c r="U307">
        <v>419</v>
      </c>
      <c r="V307">
        <v>54</v>
      </c>
      <c r="W307">
        <v>213</v>
      </c>
      <c r="X307">
        <v>152</v>
      </c>
    </row>
    <row r="308" spans="1:24" x14ac:dyDescent="0.2">
      <c r="A308">
        <v>307</v>
      </c>
      <c r="B308" s="1">
        <v>40834</v>
      </c>
      <c r="C308" t="s">
        <v>24</v>
      </c>
      <c r="D308">
        <v>96</v>
      </c>
      <c r="E308">
        <v>15</v>
      </c>
      <c r="F308">
        <v>3</v>
      </c>
      <c r="G308" t="s">
        <v>25</v>
      </c>
      <c r="H308">
        <v>1</v>
      </c>
      <c r="I308">
        <v>47</v>
      </c>
      <c r="J308">
        <v>4</v>
      </c>
      <c r="K308">
        <v>8</v>
      </c>
      <c r="L308">
        <v>8</v>
      </c>
      <c r="M308">
        <v>42</v>
      </c>
      <c r="N308">
        <v>182</v>
      </c>
      <c r="O308">
        <v>189</v>
      </c>
      <c r="P308">
        <v>3</v>
      </c>
      <c r="Q308">
        <v>3</v>
      </c>
      <c r="R308">
        <v>3</v>
      </c>
      <c r="S308">
        <v>3</v>
      </c>
      <c r="T308">
        <v>0</v>
      </c>
      <c r="U308">
        <v>492</v>
      </c>
      <c r="V308">
        <v>59</v>
      </c>
      <c r="W308">
        <v>244</v>
      </c>
      <c r="X308">
        <v>189</v>
      </c>
    </row>
    <row r="309" spans="1:24" x14ac:dyDescent="0.2">
      <c r="A309">
        <v>308</v>
      </c>
      <c r="B309" s="1">
        <v>40834</v>
      </c>
      <c r="C309" t="s">
        <v>28</v>
      </c>
      <c r="D309">
        <v>96</v>
      </c>
      <c r="E309">
        <v>15</v>
      </c>
      <c r="F309">
        <v>3</v>
      </c>
      <c r="G309" t="s">
        <v>25</v>
      </c>
      <c r="H309">
        <v>2</v>
      </c>
      <c r="I309">
        <v>33</v>
      </c>
      <c r="J309">
        <v>4</v>
      </c>
      <c r="K309">
        <v>8</v>
      </c>
      <c r="L309">
        <v>7</v>
      </c>
      <c r="M309">
        <v>31</v>
      </c>
      <c r="N309">
        <v>118</v>
      </c>
      <c r="O309">
        <v>131</v>
      </c>
      <c r="P309">
        <v>5</v>
      </c>
      <c r="Q309">
        <v>1</v>
      </c>
      <c r="R309">
        <v>1</v>
      </c>
      <c r="S309">
        <v>6</v>
      </c>
      <c r="T309">
        <v>0</v>
      </c>
      <c r="U309">
        <v>345</v>
      </c>
      <c r="V309">
        <v>45</v>
      </c>
      <c r="W309">
        <v>169</v>
      </c>
      <c r="X309">
        <v>131</v>
      </c>
    </row>
    <row r="310" spans="1:24" x14ac:dyDescent="0.2">
      <c r="A310">
        <v>309</v>
      </c>
      <c r="B310" s="1">
        <v>40834</v>
      </c>
      <c r="C310" t="s">
        <v>28</v>
      </c>
      <c r="D310">
        <v>96</v>
      </c>
      <c r="E310">
        <v>15</v>
      </c>
      <c r="F310">
        <v>3</v>
      </c>
      <c r="G310" t="s">
        <v>26</v>
      </c>
      <c r="H310">
        <v>3</v>
      </c>
      <c r="I310">
        <v>37</v>
      </c>
      <c r="J310">
        <v>1</v>
      </c>
      <c r="K310">
        <v>14</v>
      </c>
      <c r="L310">
        <v>11</v>
      </c>
      <c r="M310">
        <v>23</v>
      </c>
      <c r="N310">
        <v>136</v>
      </c>
      <c r="O310">
        <v>122</v>
      </c>
      <c r="P310">
        <v>2</v>
      </c>
      <c r="Q310">
        <v>0</v>
      </c>
      <c r="R310">
        <v>3</v>
      </c>
      <c r="S310">
        <v>2</v>
      </c>
      <c r="T310">
        <v>0</v>
      </c>
      <c r="U310">
        <v>351</v>
      </c>
      <c r="V310">
        <v>52</v>
      </c>
      <c r="W310">
        <v>177</v>
      </c>
      <c r="X310">
        <v>122</v>
      </c>
    </row>
    <row r="311" spans="1:24" x14ac:dyDescent="0.2">
      <c r="A311">
        <v>310</v>
      </c>
      <c r="B311" s="1">
        <v>40834</v>
      </c>
      <c r="C311" t="s">
        <v>24</v>
      </c>
      <c r="D311">
        <v>96</v>
      </c>
      <c r="E311">
        <v>15</v>
      </c>
      <c r="F311">
        <v>3</v>
      </c>
      <c r="G311" t="s">
        <v>25</v>
      </c>
      <c r="H311">
        <v>4</v>
      </c>
      <c r="I311">
        <v>48</v>
      </c>
      <c r="J311">
        <v>2</v>
      </c>
      <c r="K311">
        <v>8</v>
      </c>
      <c r="L311">
        <v>4</v>
      </c>
      <c r="M311">
        <v>23</v>
      </c>
      <c r="N311">
        <v>147</v>
      </c>
      <c r="O311">
        <v>97</v>
      </c>
      <c r="P311">
        <v>3</v>
      </c>
      <c r="Q311">
        <v>3</v>
      </c>
      <c r="R311">
        <v>3</v>
      </c>
      <c r="S311">
        <v>1</v>
      </c>
      <c r="T311">
        <v>0</v>
      </c>
      <c r="U311">
        <v>339</v>
      </c>
      <c r="V311">
        <v>58</v>
      </c>
      <c r="W311">
        <v>184</v>
      </c>
      <c r="X311">
        <v>97</v>
      </c>
    </row>
    <row r="312" spans="1:24" x14ac:dyDescent="0.2">
      <c r="A312">
        <v>311</v>
      </c>
      <c r="B312" s="1">
        <v>40834</v>
      </c>
      <c r="C312" t="s">
        <v>24</v>
      </c>
      <c r="D312">
        <v>96</v>
      </c>
      <c r="E312">
        <v>15</v>
      </c>
      <c r="F312">
        <v>3</v>
      </c>
      <c r="G312" t="s">
        <v>26</v>
      </c>
      <c r="H312">
        <v>5</v>
      </c>
      <c r="I312">
        <v>46</v>
      </c>
      <c r="J312">
        <v>3</v>
      </c>
      <c r="K312">
        <v>14</v>
      </c>
      <c r="L312">
        <v>6</v>
      </c>
      <c r="M312">
        <v>34</v>
      </c>
      <c r="N312">
        <v>169</v>
      </c>
      <c r="O312">
        <v>154</v>
      </c>
      <c r="P312">
        <v>3</v>
      </c>
      <c r="Q312">
        <v>5</v>
      </c>
      <c r="R312">
        <v>5</v>
      </c>
      <c r="S312">
        <v>3</v>
      </c>
      <c r="T312">
        <v>0</v>
      </c>
      <c r="U312">
        <v>442</v>
      </c>
      <c r="V312">
        <v>63</v>
      </c>
      <c r="W312">
        <v>225</v>
      </c>
      <c r="X312">
        <v>154</v>
      </c>
    </row>
    <row r="313" spans="1:24" x14ac:dyDescent="0.2">
      <c r="A313">
        <v>312</v>
      </c>
      <c r="B313" s="1">
        <v>40834</v>
      </c>
      <c r="C313" t="s">
        <v>24</v>
      </c>
      <c r="D313">
        <v>96</v>
      </c>
      <c r="E313">
        <v>15</v>
      </c>
      <c r="F313">
        <v>3</v>
      </c>
      <c r="G313" t="s">
        <v>27</v>
      </c>
      <c r="H313">
        <v>6</v>
      </c>
      <c r="I313">
        <v>31</v>
      </c>
      <c r="J313">
        <v>1</v>
      </c>
      <c r="K313">
        <v>20</v>
      </c>
      <c r="L313">
        <v>4</v>
      </c>
      <c r="M313">
        <v>39</v>
      </c>
      <c r="N313">
        <v>131</v>
      </c>
      <c r="O313">
        <v>128</v>
      </c>
      <c r="P313">
        <v>2</v>
      </c>
      <c r="Q313">
        <v>2</v>
      </c>
      <c r="R313">
        <v>5</v>
      </c>
      <c r="S313">
        <v>5</v>
      </c>
      <c r="T313">
        <v>1</v>
      </c>
      <c r="U313">
        <v>369</v>
      </c>
      <c r="V313">
        <v>52</v>
      </c>
      <c r="W313">
        <v>188</v>
      </c>
      <c r="X313">
        <v>128</v>
      </c>
    </row>
    <row r="314" spans="1:24" x14ac:dyDescent="0.2">
      <c r="A314">
        <v>313</v>
      </c>
      <c r="B314" s="1">
        <v>40834</v>
      </c>
      <c r="C314" t="s">
        <v>28</v>
      </c>
      <c r="D314">
        <v>96</v>
      </c>
      <c r="E314">
        <v>15</v>
      </c>
      <c r="F314">
        <v>3</v>
      </c>
      <c r="G314" t="s">
        <v>27</v>
      </c>
      <c r="H314">
        <v>7</v>
      </c>
      <c r="I314">
        <v>55</v>
      </c>
      <c r="J314">
        <v>1</v>
      </c>
      <c r="K314">
        <v>19</v>
      </c>
      <c r="L314">
        <v>12</v>
      </c>
      <c r="M314">
        <v>28</v>
      </c>
      <c r="N314">
        <v>237</v>
      </c>
      <c r="O314">
        <v>145</v>
      </c>
      <c r="P314">
        <v>1</v>
      </c>
      <c r="Q314">
        <v>2</v>
      </c>
      <c r="R314">
        <v>1</v>
      </c>
      <c r="S314">
        <v>0</v>
      </c>
      <c r="T314">
        <v>0</v>
      </c>
      <c r="U314">
        <v>501</v>
      </c>
      <c r="V314">
        <v>75</v>
      </c>
      <c r="W314">
        <v>281</v>
      </c>
      <c r="X314">
        <v>145</v>
      </c>
    </row>
    <row r="315" spans="1:24" x14ac:dyDescent="0.2">
      <c r="A315">
        <v>314</v>
      </c>
      <c r="B315" s="1">
        <v>40834</v>
      </c>
      <c r="C315" t="s">
        <v>24</v>
      </c>
      <c r="D315">
        <v>96</v>
      </c>
      <c r="E315">
        <v>15</v>
      </c>
      <c r="F315">
        <v>3</v>
      </c>
      <c r="G315" t="s">
        <v>26</v>
      </c>
      <c r="H315">
        <v>8</v>
      </c>
      <c r="I315">
        <v>18</v>
      </c>
      <c r="J315">
        <v>4</v>
      </c>
      <c r="K315">
        <v>7</v>
      </c>
      <c r="L315">
        <v>2</v>
      </c>
      <c r="M315">
        <v>32</v>
      </c>
      <c r="N315">
        <v>138</v>
      </c>
      <c r="O315">
        <v>107</v>
      </c>
      <c r="P315">
        <v>3</v>
      </c>
      <c r="Q315">
        <v>0</v>
      </c>
      <c r="R315">
        <v>5</v>
      </c>
      <c r="S315">
        <v>8</v>
      </c>
      <c r="T315">
        <v>1</v>
      </c>
      <c r="U315">
        <v>325</v>
      </c>
      <c r="V315">
        <v>29</v>
      </c>
      <c r="W315">
        <v>188</v>
      </c>
      <c r="X315">
        <v>107</v>
      </c>
    </row>
    <row r="316" spans="1:24" x14ac:dyDescent="0.2">
      <c r="A316">
        <v>315</v>
      </c>
      <c r="B316" s="1">
        <v>40834</v>
      </c>
      <c r="C316" t="s">
        <v>28</v>
      </c>
      <c r="D316">
        <v>96</v>
      </c>
      <c r="E316">
        <v>15</v>
      </c>
      <c r="F316">
        <v>3</v>
      </c>
      <c r="G316" t="s">
        <v>27</v>
      </c>
      <c r="H316">
        <v>9</v>
      </c>
      <c r="I316">
        <v>34</v>
      </c>
      <c r="J316">
        <v>1</v>
      </c>
      <c r="K316">
        <v>15</v>
      </c>
      <c r="L316">
        <v>12</v>
      </c>
      <c r="M316">
        <v>31</v>
      </c>
      <c r="N316">
        <v>178</v>
      </c>
      <c r="O316">
        <v>144</v>
      </c>
      <c r="P316">
        <v>1</v>
      </c>
      <c r="Q316">
        <v>2</v>
      </c>
      <c r="R316">
        <v>3</v>
      </c>
      <c r="S316">
        <v>1</v>
      </c>
      <c r="T316">
        <v>0</v>
      </c>
      <c r="U316">
        <v>422</v>
      </c>
      <c r="V316">
        <v>50</v>
      </c>
      <c r="W316">
        <v>228</v>
      </c>
      <c r="X316">
        <v>144</v>
      </c>
    </row>
    <row r="317" spans="1:24" x14ac:dyDescent="0.2">
      <c r="A317">
        <v>316</v>
      </c>
      <c r="B317" s="1">
        <v>40837</v>
      </c>
      <c r="C317" t="s">
        <v>24</v>
      </c>
      <c r="D317">
        <v>99</v>
      </c>
      <c r="E317">
        <v>15</v>
      </c>
      <c r="F317">
        <v>6</v>
      </c>
      <c r="G317" t="s">
        <v>25</v>
      </c>
      <c r="H317">
        <v>1</v>
      </c>
      <c r="I317">
        <v>40</v>
      </c>
      <c r="J317">
        <v>2</v>
      </c>
      <c r="K317">
        <v>6</v>
      </c>
      <c r="L317">
        <v>3</v>
      </c>
      <c r="M317">
        <v>31</v>
      </c>
      <c r="N317">
        <v>295</v>
      </c>
      <c r="O317">
        <v>194</v>
      </c>
      <c r="P317">
        <v>3</v>
      </c>
      <c r="Q317">
        <v>4</v>
      </c>
      <c r="R317">
        <v>10</v>
      </c>
      <c r="S317">
        <v>3</v>
      </c>
      <c r="T317">
        <v>0</v>
      </c>
      <c r="U317">
        <v>591</v>
      </c>
      <c r="V317">
        <v>48</v>
      </c>
      <c r="W317">
        <v>349</v>
      </c>
      <c r="X317">
        <v>194</v>
      </c>
    </row>
    <row r="318" spans="1:24" x14ac:dyDescent="0.2">
      <c r="A318">
        <v>317</v>
      </c>
      <c r="B318" s="1">
        <v>40837</v>
      </c>
      <c r="C318" t="s">
        <v>24</v>
      </c>
      <c r="D318">
        <v>99</v>
      </c>
      <c r="E318">
        <v>15</v>
      </c>
      <c r="F318">
        <v>6</v>
      </c>
      <c r="G318" t="s">
        <v>25</v>
      </c>
      <c r="H318">
        <v>2</v>
      </c>
      <c r="I318">
        <v>36</v>
      </c>
      <c r="J318">
        <v>4</v>
      </c>
      <c r="K318">
        <v>8</v>
      </c>
      <c r="L318">
        <v>3</v>
      </c>
      <c r="M318">
        <v>23</v>
      </c>
      <c r="N318">
        <v>159</v>
      </c>
      <c r="O318">
        <v>123</v>
      </c>
      <c r="P318">
        <v>2</v>
      </c>
      <c r="Q318">
        <v>2</v>
      </c>
      <c r="R318">
        <v>8</v>
      </c>
      <c r="S318">
        <v>4</v>
      </c>
      <c r="T318">
        <v>0</v>
      </c>
      <c r="U318">
        <v>372</v>
      </c>
      <c r="V318">
        <v>48</v>
      </c>
      <c r="W318">
        <v>201</v>
      </c>
      <c r="X318">
        <v>123</v>
      </c>
    </row>
    <row r="319" spans="1:24" x14ac:dyDescent="0.2">
      <c r="A319">
        <v>318</v>
      </c>
      <c r="B319" s="1">
        <v>40837</v>
      </c>
      <c r="C319" t="s">
        <v>28</v>
      </c>
      <c r="D319">
        <v>99</v>
      </c>
      <c r="E319">
        <v>15</v>
      </c>
      <c r="F319">
        <v>6</v>
      </c>
      <c r="G319" t="s">
        <v>26</v>
      </c>
      <c r="H319">
        <v>3</v>
      </c>
      <c r="I319">
        <v>33</v>
      </c>
      <c r="J319">
        <v>1</v>
      </c>
      <c r="K319">
        <v>16</v>
      </c>
      <c r="L319">
        <v>9</v>
      </c>
      <c r="M319">
        <v>29</v>
      </c>
      <c r="N319">
        <v>115</v>
      </c>
      <c r="O319">
        <v>174</v>
      </c>
      <c r="P319">
        <v>2</v>
      </c>
      <c r="Q319">
        <v>3</v>
      </c>
      <c r="R319">
        <v>3</v>
      </c>
      <c r="S319">
        <v>2</v>
      </c>
      <c r="T319">
        <v>0</v>
      </c>
      <c r="U319">
        <v>387</v>
      </c>
      <c r="V319">
        <v>50</v>
      </c>
      <c r="W319">
        <v>163</v>
      </c>
      <c r="X319">
        <v>174</v>
      </c>
    </row>
    <row r="320" spans="1:24" x14ac:dyDescent="0.2">
      <c r="A320">
        <v>319</v>
      </c>
      <c r="B320" s="1">
        <v>40837</v>
      </c>
      <c r="C320" t="s">
        <v>28</v>
      </c>
      <c r="D320">
        <v>99</v>
      </c>
      <c r="E320">
        <v>15</v>
      </c>
      <c r="F320">
        <v>6</v>
      </c>
      <c r="G320" t="s">
        <v>25</v>
      </c>
      <c r="H320">
        <v>4</v>
      </c>
      <c r="I320">
        <v>47</v>
      </c>
      <c r="J320">
        <v>2</v>
      </c>
      <c r="K320">
        <v>12</v>
      </c>
      <c r="L320">
        <v>10</v>
      </c>
      <c r="M320">
        <v>27</v>
      </c>
      <c r="N320">
        <v>139</v>
      </c>
      <c r="O320">
        <v>178</v>
      </c>
      <c r="P320">
        <v>1</v>
      </c>
      <c r="Q320">
        <v>2</v>
      </c>
      <c r="R320">
        <v>3</v>
      </c>
      <c r="S320">
        <v>2</v>
      </c>
      <c r="T320">
        <v>0</v>
      </c>
      <c r="U320">
        <v>423</v>
      </c>
      <c r="V320">
        <v>61</v>
      </c>
      <c r="W320">
        <v>184</v>
      </c>
      <c r="X320">
        <v>178</v>
      </c>
    </row>
    <row r="321" spans="1:24" x14ac:dyDescent="0.2">
      <c r="A321">
        <v>320</v>
      </c>
      <c r="B321" s="1">
        <v>40837</v>
      </c>
      <c r="C321" t="s">
        <v>28</v>
      </c>
      <c r="D321">
        <v>99</v>
      </c>
      <c r="E321">
        <v>15</v>
      </c>
      <c r="F321">
        <v>6</v>
      </c>
      <c r="G321" t="s">
        <v>26</v>
      </c>
      <c r="H321">
        <v>5</v>
      </c>
      <c r="I321">
        <v>48</v>
      </c>
      <c r="J321">
        <v>2</v>
      </c>
      <c r="K321">
        <v>19</v>
      </c>
      <c r="L321">
        <v>13</v>
      </c>
      <c r="M321">
        <v>32</v>
      </c>
      <c r="N321">
        <v>168</v>
      </c>
      <c r="O321">
        <v>112</v>
      </c>
      <c r="P321">
        <v>1</v>
      </c>
      <c r="Q321">
        <v>3</v>
      </c>
      <c r="R321">
        <v>2</v>
      </c>
      <c r="S321">
        <v>3</v>
      </c>
      <c r="T321">
        <v>0</v>
      </c>
      <c r="U321">
        <v>403</v>
      </c>
      <c r="V321">
        <v>69</v>
      </c>
      <c r="W321">
        <v>222</v>
      </c>
      <c r="X321">
        <v>112</v>
      </c>
    </row>
    <row r="322" spans="1:24" x14ac:dyDescent="0.2">
      <c r="A322">
        <v>321</v>
      </c>
      <c r="B322" s="1">
        <v>40837</v>
      </c>
      <c r="C322" t="s">
        <v>28</v>
      </c>
      <c r="D322">
        <v>99</v>
      </c>
      <c r="E322">
        <v>15</v>
      </c>
      <c r="F322">
        <v>6</v>
      </c>
      <c r="G322" t="s">
        <v>27</v>
      </c>
      <c r="H322">
        <v>6</v>
      </c>
      <c r="I322">
        <v>31</v>
      </c>
      <c r="J322">
        <v>1</v>
      </c>
      <c r="K322">
        <v>17</v>
      </c>
      <c r="L322">
        <v>9</v>
      </c>
      <c r="M322">
        <v>41</v>
      </c>
      <c r="N322">
        <v>129</v>
      </c>
      <c r="O322">
        <v>173</v>
      </c>
      <c r="P322">
        <v>2</v>
      </c>
      <c r="Q322">
        <v>2</v>
      </c>
      <c r="R322">
        <v>1</v>
      </c>
      <c r="S322">
        <v>4</v>
      </c>
      <c r="T322">
        <v>0</v>
      </c>
      <c r="U322">
        <v>410</v>
      </c>
      <c r="V322">
        <v>49</v>
      </c>
      <c r="W322">
        <v>188</v>
      </c>
      <c r="X322">
        <v>173</v>
      </c>
    </row>
    <row r="323" spans="1:24" x14ac:dyDescent="0.2">
      <c r="A323">
        <v>322</v>
      </c>
      <c r="B323" s="1">
        <v>40837</v>
      </c>
      <c r="C323" t="s">
        <v>24</v>
      </c>
      <c r="D323">
        <v>99</v>
      </c>
      <c r="E323">
        <v>15</v>
      </c>
      <c r="F323">
        <v>6</v>
      </c>
      <c r="G323" t="s">
        <v>27</v>
      </c>
      <c r="H323">
        <v>7</v>
      </c>
      <c r="I323">
        <v>57</v>
      </c>
      <c r="J323">
        <v>2</v>
      </c>
      <c r="K323">
        <v>17</v>
      </c>
      <c r="L323">
        <v>2</v>
      </c>
      <c r="M323">
        <v>23</v>
      </c>
      <c r="N323">
        <v>148</v>
      </c>
      <c r="O323">
        <v>270</v>
      </c>
      <c r="P323">
        <v>2</v>
      </c>
      <c r="Q323">
        <v>2</v>
      </c>
      <c r="R323">
        <v>1</v>
      </c>
      <c r="S323">
        <v>0</v>
      </c>
      <c r="T323">
        <v>0</v>
      </c>
      <c r="U323">
        <v>524</v>
      </c>
      <c r="V323">
        <v>76</v>
      </c>
      <c r="W323">
        <v>178</v>
      </c>
      <c r="X323">
        <v>270</v>
      </c>
    </row>
    <row r="324" spans="1:24" x14ac:dyDescent="0.2">
      <c r="A324">
        <v>323</v>
      </c>
      <c r="B324" s="1">
        <v>40837</v>
      </c>
      <c r="C324" t="s">
        <v>24</v>
      </c>
      <c r="D324">
        <v>99</v>
      </c>
      <c r="E324">
        <v>15</v>
      </c>
      <c r="F324">
        <v>6</v>
      </c>
      <c r="G324" t="s">
        <v>26</v>
      </c>
      <c r="H324">
        <v>8</v>
      </c>
      <c r="I324">
        <v>17</v>
      </c>
      <c r="J324">
        <v>5</v>
      </c>
      <c r="K324">
        <v>9</v>
      </c>
      <c r="L324">
        <v>2</v>
      </c>
      <c r="M324">
        <v>31</v>
      </c>
      <c r="N324">
        <v>121</v>
      </c>
      <c r="O324">
        <v>89</v>
      </c>
      <c r="P324">
        <v>0</v>
      </c>
      <c r="Q324">
        <v>2</v>
      </c>
      <c r="R324">
        <v>4</v>
      </c>
      <c r="S324">
        <v>7</v>
      </c>
      <c r="T324">
        <v>0</v>
      </c>
      <c r="U324">
        <v>287</v>
      </c>
      <c r="V324">
        <v>31</v>
      </c>
      <c r="W324">
        <v>167</v>
      </c>
      <c r="X324">
        <v>89</v>
      </c>
    </row>
    <row r="325" spans="1:24" x14ac:dyDescent="0.2">
      <c r="A325">
        <v>324</v>
      </c>
      <c r="B325" s="1">
        <v>40837</v>
      </c>
      <c r="C325" t="s">
        <v>24</v>
      </c>
      <c r="D325">
        <v>99</v>
      </c>
      <c r="E325">
        <v>15</v>
      </c>
      <c r="F325">
        <v>6</v>
      </c>
      <c r="G325" t="s">
        <v>27</v>
      </c>
      <c r="H325">
        <v>9</v>
      </c>
      <c r="I325">
        <v>36</v>
      </c>
      <c r="J325">
        <v>2</v>
      </c>
      <c r="K325">
        <v>12</v>
      </c>
      <c r="L325">
        <v>2</v>
      </c>
      <c r="M325">
        <v>26</v>
      </c>
      <c r="N325">
        <v>245</v>
      </c>
      <c r="O325">
        <v>152</v>
      </c>
      <c r="P325">
        <v>2</v>
      </c>
      <c r="Q325">
        <v>1</v>
      </c>
      <c r="R325">
        <v>2</v>
      </c>
      <c r="S325">
        <v>1</v>
      </c>
      <c r="T325">
        <v>0</v>
      </c>
      <c r="U325">
        <v>481</v>
      </c>
      <c r="V325">
        <v>50</v>
      </c>
      <c r="W325">
        <v>279</v>
      </c>
      <c r="X325">
        <v>152</v>
      </c>
    </row>
    <row r="326" spans="1:24" x14ac:dyDescent="0.2">
      <c r="A326">
        <v>325</v>
      </c>
      <c r="B326" s="1">
        <v>40841</v>
      </c>
      <c r="C326" t="s">
        <v>28</v>
      </c>
      <c r="D326">
        <v>103</v>
      </c>
      <c r="E326">
        <v>16</v>
      </c>
      <c r="F326">
        <v>3</v>
      </c>
      <c r="G326" t="s">
        <v>25</v>
      </c>
      <c r="H326">
        <v>1</v>
      </c>
      <c r="I326">
        <v>48</v>
      </c>
      <c r="J326">
        <v>2</v>
      </c>
      <c r="K326">
        <v>3</v>
      </c>
      <c r="L326">
        <v>5</v>
      </c>
      <c r="M326">
        <v>36</v>
      </c>
      <c r="N326">
        <v>231</v>
      </c>
      <c r="O326">
        <v>165</v>
      </c>
      <c r="P326">
        <v>1</v>
      </c>
      <c r="Q326">
        <v>2</v>
      </c>
      <c r="R326">
        <v>2</v>
      </c>
      <c r="S326">
        <v>5</v>
      </c>
      <c r="T326">
        <v>0</v>
      </c>
      <c r="U326">
        <v>500</v>
      </c>
      <c r="V326">
        <v>53</v>
      </c>
      <c r="W326">
        <v>282</v>
      </c>
      <c r="X326">
        <v>165</v>
      </c>
    </row>
    <row r="327" spans="1:24" x14ac:dyDescent="0.2">
      <c r="A327">
        <v>326</v>
      </c>
      <c r="B327" s="1">
        <v>40841</v>
      </c>
      <c r="C327" t="s">
        <v>28</v>
      </c>
      <c r="D327">
        <v>103</v>
      </c>
      <c r="E327">
        <v>16</v>
      </c>
      <c r="F327">
        <v>3</v>
      </c>
      <c r="G327" t="s">
        <v>25</v>
      </c>
      <c r="H327">
        <v>2</v>
      </c>
      <c r="I327">
        <v>38</v>
      </c>
      <c r="J327">
        <v>3</v>
      </c>
      <c r="K327">
        <v>7</v>
      </c>
      <c r="L327">
        <v>9</v>
      </c>
      <c r="M327">
        <v>34</v>
      </c>
      <c r="N327">
        <v>118</v>
      </c>
      <c r="O327">
        <v>122</v>
      </c>
      <c r="P327">
        <v>2</v>
      </c>
      <c r="Q327">
        <v>1</v>
      </c>
      <c r="R327">
        <v>2</v>
      </c>
      <c r="S327">
        <v>3</v>
      </c>
      <c r="T327">
        <v>0</v>
      </c>
      <c r="U327">
        <v>339</v>
      </c>
      <c r="V327">
        <v>48</v>
      </c>
      <c r="W327">
        <v>169</v>
      </c>
      <c r="X327">
        <v>122</v>
      </c>
    </row>
    <row r="328" spans="1:24" x14ac:dyDescent="0.2">
      <c r="A328">
        <v>327</v>
      </c>
      <c r="B328" s="1">
        <v>40841</v>
      </c>
      <c r="C328" t="s">
        <v>28</v>
      </c>
      <c r="D328">
        <v>103</v>
      </c>
      <c r="E328">
        <v>16</v>
      </c>
      <c r="F328">
        <v>3</v>
      </c>
      <c r="G328" t="s">
        <v>26</v>
      </c>
      <c r="H328">
        <v>3</v>
      </c>
      <c r="I328">
        <v>35</v>
      </c>
      <c r="J328">
        <v>1</v>
      </c>
      <c r="K328">
        <v>17</v>
      </c>
      <c r="L328">
        <v>7</v>
      </c>
      <c r="M328">
        <v>23</v>
      </c>
      <c r="N328">
        <v>141</v>
      </c>
      <c r="O328">
        <v>109</v>
      </c>
      <c r="P328">
        <v>0</v>
      </c>
      <c r="Q328">
        <v>0</v>
      </c>
      <c r="R328">
        <v>0</v>
      </c>
      <c r="S328">
        <v>2</v>
      </c>
      <c r="T328">
        <v>0</v>
      </c>
      <c r="U328">
        <v>335</v>
      </c>
      <c r="V328">
        <v>53</v>
      </c>
      <c r="W328">
        <v>173</v>
      </c>
      <c r="X328">
        <v>109</v>
      </c>
    </row>
    <row r="329" spans="1:24" x14ac:dyDescent="0.2">
      <c r="A329">
        <v>328</v>
      </c>
      <c r="B329" s="1">
        <v>40841</v>
      </c>
      <c r="C329" t="s">
        <v>28</v>
      </c>
      <c r="D329">
        <v>103</v>
      </c>
      <c r="E329">
        <v>16</v>
      </c>
      <c r="F329">
        <v>3</v>
      </c>
      <c r="G329" t="s">
        <v>25</v>
      </c>
      <c r="H329">
        <v>4</v>
      </c>
      <c r="I329">
        <v>52</v>
      </c>
      <c r="J329">
        <v>1</v>
      </c>
      <c r="K329">
        <v>6</v>
      </c>
      <c r="L329">
        <v>8</v>
      </c>
      <c r="M329">
        <v>30</v>
      </c>
      <c r="N329">
        <v>194</v>
      </c>
      <c r="O329">
        <v>133</v>
      </c>
      <c r="P329">
        <v>2</v>
      </c>
      <c r="Q329">
        <v>3</v>
      </c>
      <c r="R329">
        <v>0</v>
      </c>
      <c r="S329">
        <v>2</v>
      </c>
      <c r="T329">
        <v>0</v>
      </c>
      <c r="U329">
        <v>431</v>
      </c>
      <c r="V329">
        <v>59</v>
      </c>
      <c r="W329">
        <v>239</v>
      </c>
      <c r="X329">
        <v>133</v>
      </c>
    </row>
    <row r="330" spans="1:24" x14ac:dyDescent="0.2">
      <c r="A330">
        <v>329</v>
      </c>
      <c r="B330" s="1">
        <v>40841</v>
      </c>
      <c r="C330" t="s">
        <v>24</v>
      </c>
      <c r="D330">
        <v>103</v>
      </c>
      <c r="E330">
        <v>16</v>
      </c>
      <c r="F330">
        <v>3</v>
      </c>
      <c r="G330" t="s">
        <v>26</v>
      </c>
      <c r="H330">
        <v>5</v>
      </c>
      <c r="I330">
        <v>38</v>
      </c>
      <c r="J330">
        <v>2</v>
      </c>
      <c r="K330">
        <v>14</v>
      </c>
      <c r="L330">
        <v>4</v>
      </c>
      <c r="M330">
        <v>26</v>
      </c>
      <c r="N330">
        <v>182</v>
      </c>
      <c r="O330">
        <v>147</v>
      </c>
      <c r="P330">
        <v>6</v>
      </c>
      <c r="Q330">
        <v>2</v>
      </c>
      <c r="R330">
        <v>5</v>
      </c>
      <c r="S330">
        <v>3</v>
      </c>
      <c r="T330">
        <v>0</v>
      </c>
      <c r="U330">
        <v>429</v>
      </c>
      <c r="V330">
        <v>54</v>
      </c>
      <c r="W330">
        <v>228</v>
      </c>
      <c r="X330">
        <v>147</v>
      </c>
    </row>
    <row r="331" spans="1:24" x14ac:dyDescent="0.2">
      <c r="A331">
        <v>330</v>
      </c>
      <c r="B331" s="1">
        <v>40841</v>
      </c>
      <c r="C331" t="s">
        <v>24</v>
      </c>
      <c r="D331">
        <v>103</v>
      </c>
      <c r="E331">
        <v>16</v>
      </c>
      <c r="F331">
        <v>3</v>
      </c>
      <c r="G331" t="s">
        <v>27</v>
      </c>
      <c r="H331">
        <v>6</v>
      </c>
      <c r="I331">
        <v>32</v>
      </c>
      <c r="J331">
        <v>1</v>
      </c>
      <c r="K331">
        <v>12</v>
      </c>
      <c r="L331">
        <v>6</v>
      </c>
      <c r="M331">
        <v>26</v>
      </c>
      <c r="N331">
        <v>131</v>
      </c>
      <c r="O331">
        <v>93</v>
      </c>
      <c r="P331">
        <v>1</v>
      </c>
      <c r="Q331">
        <v>3</v>
      </c>
      <c r="R331">
        <v>6</v>
      </c>
      <c r="S331">
        <v>2</v>
      </c>
      <c r="T331">
        <v>0</v>
      </c>
      <c r="U331">
        <v>313</v>
      </c>
      <c r="V331">
        <v>45</v>
      </c>
      <c r="W331">
        <v>175</v>
      </c>
      <c r="X331">
        <v>93</v>
      </c>
    </row>
    <row r="332" spans="1:24" x14ac:dyDescent="0.2">
      <c r="A332">
        <v>331</v>
      </c>
      <c r="B332" s="1">
        <v>40841</v>
      </c>
      <c r="C332" t="s">
        <v>24</v>
      </c>
      <c r="D332">
        <v>103</v>
      </c>
      <c r="E332">
        <v>16</v>
      </c>
      <c r="F332">
        <v>3</v>
      </c>
      <c r="G332" t="s">
        <v>27</v>
      </c>
      <c r="H332">
        <v>7</v>
      </c>
      <c r="I332">
        <v>49</v>
      </c>
      <c r="J332">
        <v>1</v>
      </c>
      <c r="K332">
        <v>16</v>
      </c>
      <c r="L332">
        <v>6</v>
      </c>
      <c r="M332">
        <v>24</v>
      </c>
      <c r="N332">
        <v>223</v>
      </c>
      <c r="O332">
        <v>114</v>
      </c>
      <c r="P332">
        <v>3</v>
      </c>
      <c r="Q332">
        <v>2</v>
      </c>
      <c r="R332">
        <v>2</v>
      </c>
      <c r="S332">
        <v>1</v>
      </c>
      <c r="T332">
        <v>0</v>
      </c>
      <c r="U332">
        <v>441</v>
      </c>
      <c r="V332">
        <v>66</v>
      </c>
      <c r="W332">
        <v>261</v>
      </c>
      <c r="X332">
        <v>114</v>
      </c>
    </row>
    <row r="333" spans="1:24" x14ac:dyDescent="0.2">
      <c r="A333">
        <v>332</v>
      </c>
      <c r="B333" s="1">
        <v>40841</v>
      </c>
      <c r="C333" t="s">
        <v>24</v>
      </c>
      <c r="D333">
        <v>103</v>
      </c>
      <c r="E333">
        <v>16</v>
      </c>
      <c r="F333">
        <v>3</v>
      </c>
      <c r="G333" t="s">
        <v>26</v>
      </c>
      <c r="H333">
        <v>8</v>
      </c>
      <c r="I333">
        <v>16</v>
      </c>
      <c r="J333">
        <v>3</v>
      </c>
      <c r="K333">
        <v>6</v>
      </c>
      <c r="L333">
        <v>6</v>
      </c>
      <c r="M333">
        <v>33</v>
      </c>
      <c r="N333">
        <v>156</v>
      </c>
      <c r="O333">
        <v>96</v>
      </c>
      <c r="P333">
        <v>2</v>
      </c>
      <c r="Q333">
        <v>2</v>
      </c>
      <c r="R333">
        <v>3</v>
      </c>
      <c r="S333">
        <v>7</v>
      </c>
      <c r="T333">
        <v>0</v>
      </c>
      <c r="U333">
        <v>330</v>
      </c>
      <c r="V333">
        <v>25</v>
      </c>
      <c r="W333">
        <v>209</v>
      </c>
      <c r="X333">
        <v>96</v>
      </c>
    </row>
    <row r="334" spans="1:24" x14ac:dyDescent="0.2">
      <c r="A334">
        <v>333</v>
      </c>
      <c r="B334" s="1">
        <v>40841</v>
      </c>
      <c r="C334" t="s">
        <v>24</v>
      </c>
      <c r="D334">
        <v>103</v>
      </c>
      <c r="E334">
        <v>16</v>
      </c>
      <c r="F334">
        <v>3</v>
      </c>
      <c r="G334" t="s">
        <v>27</v>
      </c>
      <c r="H334">
        <v>9</v>
      </c>
      <c r="I334">
        <v>45</v>
      </c>
      <c r="J334">
        <v>2</v>
      </c>
      <c r="K334">
        <v>21</v>
      </c>
      <c r="L334">
        <v>4</v>
      </c>
      <c r="M334">
        <v>33</v>
      </c>
      <c r="N334">
        <v>192</v>
      </c>
      <c r="O334">
        <v>159</v>
      </c>
      <c r="P334">
        <v>4</v>
      </c>
      <c r="Q334">
        <v>3</v>
      </c>
      <c r="R334">
        <v>3</v>
      </c>
      <c r="S334">
        <v>0</v>
      </c>
      <c r="T334">
        <v>0</v>
      </c>
      <c r="U334">
        <v>466</v>
      </c>
      <c r="V334">
        <v>68</v>
      </c>
      <c r="W334">
        <v>239</v>
      </c>
      <c r="X334">
        <v>159</v>
      </c>
    </row>
    <row r="335" spans="1:24" x14ac:dyDescent="0.2">
      <c r="A335">
        <v>334</v>
      </c>
      <c r="B335" s="1">
        <v>40844</v>
      </c>
      <c r="C335" t="s">
        <v>28</v>
      </c>
      <c r="D335">
        <v>106</v>
      </c>
      <c r="E335">
        <v>16</v>
      </c>
      <c r="F335">
        <v>6</v>
      </c>
      <c r="G335" t="s">
        <v>25</v>
      </c>
      <c r="H335">
        <v>1</v>
      </c>
      <c r="I335">
        <v>45</v>
      </c>
      <c r="J335">
        <v>2</v>
      </c>
      <c r="K335">
        <v>5</v>
      </c>
      <c r="L335">
        <v>4</v>
      </c>
      <c r="M335">
        <v>33</v>
      </c>
      <c r="N335">
        <v>218</v>
      </c>
      <c r="O335">
        <v>171</v>
      </c>
      <c r="P335">
        <v>5</v>
      </c>
      <c r="Q335">
        <v>5</v>
      </c>
      <c r="R335">
        <v>2</v>
      </c>
      <c r="S335">
        <v>5</v>
      </c>
      <c r="T335">
        <v>0</v>
      </c>
      <c r="U335">
        <v>495</v>
      </c>
      <c r="V335">
        <v>52</v>
      </c>
      <c r="W335">
        <v>272</v>
      </c>
      <c r="X335">
        <v>171</v>
      </c>
    </row>
    <row r="336" spans="1:24" x14ac:dyDescent="0.2">
      <c r="A336">
        <v>335</v>
      </c>
      <c r="B336" s="1">
        <v>40844</v>
      </c>
      <c r="C336" t="s">
        <v>24</v>
      </c>
      <c r="D336">
        <v>106</v>
      </c>
      <c r="E336">
        <v>16</v>
      </c>
      <c r="F336">
        <v>6</v>
      </c>
      <c r="G336" t="s">
        <v>25</v>
      </c>
      <c r="H336">
        <v>2</v>
      </c>
      <c r="I336">
        <v>32</v>
      </c>
      <c r="J336">
        <v>3</v>
      </c>
      <c r="K336">
        <v>13</v>
      </c>
      <c r="L336">
        <v>9</v>
      </c>
      <c r="M336">
        <v>28</v>
      </c>
      <c r="N336">
        <v>175</v>
      </c>
      <c r="O336">
        <v>96</v>
      </c>
      <c r="P336">
        <v>4</v>
      </c>
      <c r="Q336">
        <v>1</v>
      </c>
      <c r="R336">
        <v>2</v>
      </c>
      <c r="S336">
        <v>3</v>
      </c>
      <c r="T336">
        <v>0</v>
      </c>
      <c r="U336">
        <v>366</v>
      </c>
      <c r="V336">
        <v>48</v>
      </c>
      <c r="W336">
        <v>222</v>
      </c>
      <c r="X336">
        <v>96</v>
      </c>
    </row>
    <row r="337" spans="1:24" x14ac:dyDescent="0.2">
      <c r="A337">
        <v>336</v>
      </c>
      <c r="B337" s="1">
        <v>40844</v>
      </c>
      <c r="C337" t="s">
        <v>24</v>
      </c>
      <c r="D337">
        <v>106</v>
      </c>
      <c r="E337">
        <v>16</v>
      </c>
      <c r="F337">
        <v>6</v>
      </c>
      <c r="G337" t="s">
        <v>26</v>
      </c>
      <c r="H337">
        <v>3</v>
      </c>
      <c r="I337">
        <v>25</v>
      </c>
      <c r="J337">
        <v>0</v>
      </c>
      <c r="K337">
        <v>17</v>
      </c>
      <c r="L337">
        <v>4</v>
      </c>
      <c r="M337">
        <v>26</v>
      </c>
      <c r="N337">
        <v>167</v>
      </c>
      <c r="O337">
        <v>147</v>
      </c>
      <c r="P337">
        <v>4</v>
      </c>
      <c r="Q337">
        <v>3</v>
      </c>
      <c r="R337">
        <v>4</v>
      </c>
      <c r="S337">
        <v>2</v>
      </c>
      <c r="T337">
        <v>0</v>
      </c>
      <c r="U337">
        <v>399</v>
      </c>
      <c r="V337">
        <v>42</v>
      </c>
      <c r="W337">
        <v>210</v>
      </c>
      <c r="X337">
        <v>147</v>
      </c>
    </row>
    <row r="338" spans="1:24" x14ac:dyDescent="0.2">
      <c r="A338">
        <v>337</v>
      </c>
      <c r="B338" s="1">
        <v>40844</v>
      </c>
      <c r="C338" t="s">
        <v>24</v>
      </c>
      <c r="D338">
        <v>106</v>
      </c>
      <c r="E338">
        <v>16</v>
      </c>
      <c r="F338">
        <v>6</v>
      </c>
      <c r="G338" t="s">
        <v>25</v>
      </c>
      <c r="H338">
        <v>4</v>
      </c>
      <c r="I338">
        <v>56</v>
      </c>
      <c r="J338">
        <v>1</v>
      </c>
      <c r="K338">
        <v>9</v>
      </c>
      <c r="L338">
        <v>7</v>
      </c>
      <c r="M338">
        <v>27</v>
      </c>
      <c r="N338">
        <v>214</v>
      </c>
      <c r="O338">
        <v>133</v>
      </c>
      <c r="P338">
        <v>4</v>
      </c>
      <c r="Q338">
        <v>6</v>
      </c>
      <c r="R338">
        <v>2</v>
      </c>
      <c r="S338">
        <v>0</v>
      </c>
      <c r="T338">
        <v>0</v>
      </c>
      <c r="U338">
        <v>459</v>
      </c>
      <c r="V338">
        <v>66</v>
      </c>
      <c r="W338">
        <v>260</v>
      </c>
      <c r="X338">
        <v>133</v>
      </c>
    </row>
    <row r="339" spans="1:24" x14ac:dyDescent="0.2">
      <c r="A339">
        <v>338</v>
      </c>
      <c r="B339" s="1">
        <v>40844</v>
      </c>
      <c r="C339" t="s">
        <v>28</v>
      </c>
      <c r="D339">
        <v>106</v>
      </c>
      <c r="E339">
        <v>16</v>
      </c>
      <c r="F339">
        <v>6</v>
      </c>
      <c r="G339" t="s">
        <v>26</v>
      </c>
      <c r="H339">
        <v>5</v>
      </c>
      <c r="I339">
        <v>53</v>
      </c>
      <c r="J339">
        <v>1</v>
      </c>
      <c r="K339">
        <v>18</v>
      </c>
      <c r="L339">
        <v>10</v>
      </c>
      <c r="M339">
        <v>26</v>
      </c>
      <c r="N339">
        <v>133</v>
      </c>
      <c r="O339">
        <v>164</v>
      </c>
      <c r="P339">
        <v>1</v>
      </c>
      <c r="Q339">
        <v>4</v>
      </c>
      <c r="R339">
        <v>2</v>
      </c>
      <c r="S339">
        <v>0</v>
      </c>
      <c r="T339">
        <v>0</v>
      </c>
      <c r="U339">
        <v>412</v>
      </c>
      <c r="V339">
        <v>72</v>
      </c>
      <c r="W339">
        <v>176</v>
      </c>
      <c r="X339">
        <v>164</v>
      </c>
    </row>
    <row r="340" spans="1:24" x14ac:dyDescent="0.2">
      <c r="A340">
        <v>339</v>
      </c>
      <c r="B340" s="1">
        <v>40844</v>
      </c>
      <c r="C340" t="s">
        <v>24</v>
      </c>
      <c r="D340">
        <v>106</v>
      </c>
      <c r="E340">
        <v>16</v>
      </c>
      <c r="F340">
        <v>6</v>
      </c>
      <c r="G340" t="s">
        <v>27</v>
      </c>
      <c r="H340">
        <v>6</v>
      </c>
      <c r="I340">
        <v>38</v>
      </c>
      <c r="J340">
        <v>1</v>
      </c>
      <c r="K340">
        <v>20</v>
      </c>
      <c r="L340">
        <v>9</v>
      </c>
      <c r="M340">
        <v>33</v>
      </c>
      <c r="N340">
        <v>153</v>
      </c>
      <c r="O340">
        <v>124</v>
      </c>
      <c r="P340">
        <v>1</v>
      </c>
      <c r="Q340">
        <v>6</v>
      </c>
      <c r="R340">
        <v>8</v>
      </c>
      <c r="S340">
        <v>2</v>
      </c>
      <c r="T340">
        <v>0</v>
      </c>
      <c r="U340">
        <v>395</v>
      </c>
      <c r="V340">
        <v>59</v>
      </c>
      <c r="W340">
        <v>212</v>
      </c>
      <c r="X340">
        <v>124</v>
      </c>
    </row>
    <row r="341" spans="1:24" x14ac:dyDescent="0.2">
      <c r="A341">
        <v>340</v>
      </c>
      <c r="B341" s="1">
        <v>40844</v>
      </c>
      <c r="C341" t="s">
        <v>28</v>
      </c>
      <c r="D341">
        <v>106</v>
      </c>
      <c r="E341">
        <v>16</v>
      </c>
      <c r="F341">
        <v>6</v>
      </c>
      <c r="G341" t="s">
        <v>27</v>
      </c>
      <c r="H341">
        <v>7</v>
      </c>
      <c r="I341">
        <v>56</v>
      </c>
      <c r="J341">
        <v>1</v>
      </c>
      <c r="K341">
        <v>18</v>
      </c>
      <c r="L341">
        <v>9</v>
      </c>
      <c r="M341">
        <v>32</v>
      </c>
      <c r="N341">
        <v>189</v>
      </c>
      <c r="O341">
        <v>131</v>
      </c>
      <c r="P341">
        <v>1</v>
      </c>
      <c r="Q341">
        <v>1</v>
      </c>
      <c r="R341">
        <v>4</v>
      </c>
      <c r="S341">
        <v>1</v>
      </c>
      <c r="T341">
        <v>0</v>
      </c>
      <c r="U341">
        <v>443</v>
      </c>
      <c r="V341">
        <v>75</v>
      </c>
      <c r="W341">
        <v>237</v>
      </c>
      <c r="X341">
        <v>131</v>
      </c>
    </row>
    <row r="342" spans="1:24" x14ac:dyDescent="0.2">
      <c r="A342">
        <v>341</v>
      </c>
      <c r="B342" s="1">
        <v>40844</v>
      </c>
      <c r="C342" t="s">
        <v>28</v>
      </c>
      <c r="D342">
        <v>106</v>
      </c>
      <c r="E342">
        <v>16</v>
      </c>
      <c r="F342">
        <v>6</v>
      </c>
      <c r="G342" t="s">
        <v>26</v>
      </c>
      <c r="H342">
        <v>8</v>
      </c>
      <c r="I342">
        <v>31</v>
      </c>
      <c r="J342">
        <v>6</v>
      </c>
      <c r="K342">
        <v>11</v>
      </c>
      <c r="L342">
        <v>5</v>
      </c>
      <c r="M342">
        <v>35</v>
      </c>
      <c r="N342">
        <v>116</v>
      </c>
      <c r="O342">
        <v>142</v>
      </c>
      <c r="P342">
        <v>1</v>
      </c>
      <c r="Q342">
        <v>0</v>
      </c>
      <c r="R342">
        <v>1</v>
      </c>
      <c r="S342">
        <v>20</v>
      </c>
      <c r="T342">
        <v>1</v>
      </c>
      <c r="U342">
        <v>369</v>
      </c>
      <c r="V342">
        <v>48</v>
      </c>
      <c r="W342">
        <v>178</v>
      </c>
      <c r="X342">
        <v>142</v>
      </c>
    </row>
    <row r="343" spans="1:24" x14ac:dyDescent="0.2">
      <c r="A343">
        <v>342</v>
      </c>
      <c r="B343" s="1">
        <v>40844</v>
      </c>
      <c r="C343" t="s">
        <v>24</v>
      </c>
      <c r="D343">
        <v>106</v>
      </c>
      <c r="E343">
        <v>16</v>
      </c>
      <c r="F343">
        <v>6</v>
      </c>
      <c r="G343" t="s">
        <v>27</v>
      </c>
      <c r="H343">
        <v>9</v>
      </c>
      <c r="I343">
        <v>47</v>
      </c>
      <c r="J343">
        <v>1</v>
      </c>
      <c r="K343">
        <v>15</v>
      </c>
      <c r="L343">
        <v>8</v>
      </c>
      <c r="M343">
        <v>24</v>
      </c>
      <c r="N343">
        <v>255</v>
      </c>
      <c r="O343">
        <v>185</v>
      </c>
      <c r="P343">
        <v>2</v>
      </c>
      <c r="Q343">
        <v>4</v>
      </c>
      <c r="R343">
        <v>4</v>
      </c>
      <c r="S343">
        <v>1</v>
      </c>
      <c r="T343">
        <v>0</v>
      </c>
      <c r="U343">
        <v>546</v>
      </c>
      <c r="V343">
        <v>63</v>
      </c>
      <c r="W343">
        <v>298</v>
      </c>
      <c r="X343">
        <v>185</v>
      </c>
    </row>
    <row r="344" spans="1:24" x14ac:dyDescent="0.2">
      <c r="A344">
        <v>343</v>
      </c>
      <c r="B344" s="1">
        <v>40848</v>
      </c>
      <c r="C344" t="s">
        <v>24</v>
      </c>
      <c r="D344">
        <v>109</v>
      </c>
      <c r="E344">
        <v>17</v>
      </c>
      <c r="F344">
        <v>3</v>
      </c>
      <c r="G344" t="s">
        <v>25</v>
      </c>
      <c r="H344">
        <v>1</v>
      </c>
      <c r="I344">
        <v>41</v>
      </c>
      <c r="J344">
        <v>4</v>
      </c>
      <c r="K344">
        <v>6</v>
      </c>
      <c r="L344">
        <v>9</v>
      </c>
      <c r="M344">
        <v>43</v>
      </c>
      <c r="N344">
        <v>219</v>
      </c>
      <c r="O344">
        <v>154</v>
      </c>
      <c r="P344">
        <v>10</v>
      </c>
      <c r="Q344">
        <v>5</v>
      </c>
      <c r="R344">
        <v>8</v>
      </c>
      <c r="S344">
        <v>1</v>
      </c>
      <c r="T344">
        <v>0</v>
      </c>
      <c r="U344">
        <v>500</v>
      </c>
      <c r="V344">
        <v>51</v>
      </c>
      <c r="W344">
        <v>295</v>
      </c>
      <c r="X344">
        <v>154</v>
      </c>
    </row>
    <row r="345" spans="1:24" x14ac:dyDescent="0.2">
      <c r="A345">
        <v>344</v>
      </c>
      <c r="B345" s="1">
        <v>40848</v>
      </c>
      <c r="C345" t="s">
        <v>28</v>
      </c>
      <c r="D345">
        <v>109</v>
      </c>
      <c r="E345">
        <v>17</v>
      </c>
      <c r="F345">
        <v>3</v>
      </c>
      <c r="G345" t="s">
        <v>25</v>
      </c>
      <c r="H345">
        <v>2</v>
      </c>
      <c r="I345">
        <v>34</v>
      </c>
      <c r="J345">
        <v>3</v>
      </c>
      <c r="K345">
        <v>8</v>
      </c>
      <c r="L345">
        <v>6</v>
      </c>
      <c r="M345">
        <v>30</v>
      </c>
      <c r="N345">
        <v>115</v>
      </c>
      <c r="O345">
        <v>103</v>
      </c>
      <c r="P345">
        <v>7</v>
      </c>
      <c r="Q345">
        <v>7</v>
      </c>
      <c r="R345">
        <v>2</v>
      </c>
      <c r="S345">
        <v>4</v>
      </c>
      <c r="T345">
        <v>0</v>
      </c>
      <c r="U345">
        <v>319</v>
      </c>
      <c r="V345">
        <v>45</v>
      </c>
      <c r="W345">
        <v>171</v>
      </c>
      <c r="X345">
        <v>103</v>
      </c>
    </row>
    <row r="346" spans="1:24" x14ac:dyDescent="0.2">
      <c r="A346">
        <v>345</v>
      </c>
      <c r="B346" s="1">
        <v>40848</v>
      </c>
      <c r="C346" t="s">
        <v>24</v>
      </c>
      <c r="D346">
        <v>109</v>
      </c>
      <c r="E346">
        <v>17</v>
      </c>
      <c r="F346">
        <v>3</v>
      </c>
      <c r="G346" t="s">
        <v>26</v>
      </c>
      <c r="H346">
        <v>3</v>
      </c>
      <c r="I346">
        <v>35</v>
      </c>
      <c r="J346">
        <v>0</v>
      </c>
      <c r="K346">
        <v>13</v>
      </c>
      <c r="L346">
        <v>4</v>
      </c>
      <c r="M346">
        <v>29</v>
      </c>
      <c r="N346">
        <v>139</v>
      </c>
      <c r="O346">
        <v>128</v>
      </c>
      <c r="P346">
        <v>2</v>
      </c>
      <c r="Q346">
        <v>6</v>
      </c>
      <c r="R346">
        <v>3</v>
      </c>
      <c r="S346">
        <v>2</v>
      </c>
      <c r="T346">
        <v>1</v>
      </c>
      <c r="U346">
        <v>362</v>
      </c>
      <c r="V346">
        <v>48</v>
      </c>
      <c r="W346">
        <v>185</v>
      </c>
      <c r="X346">
        <v>128</v>
      </c>
    </row>
    <row r="347" spans="1:24" x14ac:dyDescent="0.2">
      <c r="A347">
        <v>346</v>
      </c>
      <c r="B347" s="1">
        <v>40848</v>
      </c>
      <c r="C347" t="s">
        <v>24</v>
      </c>
      <c r="D347">
        <v>109</v>
      </c>
      <c r="E347">
        <v>17</v>
      </c>
      <c r="F347">
        <v>3</v>
      </c>
      <c r="G347" t="s">
        <v>25</v>
      </c>
      <c r="H347">
        <v>4</v>
      </c>
      <c r="I347">
        <v>52</v>
      </c>
      <c r="J347">
        <v>1</v>
      </c>
      <c r="K347">
        <v>7</v>
      </c>
      <c r="L347">
        <v>4</v>
      </c>
      <c r="M347">
        <v>26</v>
      </c>
      <c r="N347">
        <v>225</v>
      </c>
      <c r="O347">
        <v>146</v>
      </c>
      <c r="P347">
        <v>6</v>
      </c>
      <c r="Q347">
        <v>4</v>
      </c>
      <c r="R347">
        <v>3</v>
      </c>
      <c r="S347">
        <v>1</v>
      </c>
      <c r="T347">
        <v>0</v>
      </c>
      <c r="U347">
        <v>475</v>
      </c>
      <c r="V347">
        <v>60</v>
      </c>
      <c r="W347">
        <v>269</v>
      </c>
      <c r="X347">
        <v>146</v>
      </c>
    </row>
    <row r="348" spans="1:24" x14ac:dyDescent="0.2">
      <c r="A348">
        <v>347</v>
      </c>
      <c r="B348" s="1">
        <v>40848</v>
      </c>
      <c r="C348" t="s">
        <v>28</v>
      </c>
      <c r="D348">
        <v>109</v>
      </c>
      <c r="E348">
        <v>17</v>
      </c>
      <c r="F348">
        <v>3</v>
      </c>
      <c r="G348" t="s">
        <v>26</v>
      </c>
      <c r="H348">
        <v>5</v>
      </c>
      <c r="I348">
        <v>49</v>
      </c>
      <c r="J348">
        <v>1</v>
      </c>
      <c r="K348">
        <v>16</v>
      </c>
      <c r="L348">
        <v>12</v>
      </c>
      <c r="M348">
        <v>29</v>
      </c>
      <c r="N348">
        <v>197</v>
      </c>
      <c r="O348">
        <v>139</v>
      </c>
      <c r="P348">
        <v>6</v>
      </c>
      <c r="Q348">
        <v>1</v>
      </c>
      <c r="R348">
        <v>4</v>
      </c>
      <c r="S348">
        <v>0</v>
      </c>
      <c r="T348">
        <v>0</v>
      </c>
      <c r="U348">
        <v>454</v>
      </c>
      <c r="V348">
        <v>66</v>
      </c>
      <c r="W348">
        <v>249</v>
      </c>
      <c r="X348">
        <v>139</v>
      </c>
    </row>
    <row r="349" spans="1:24" x14ac:dyDescent="0.2">
      <c r="A349">
        <v>348</v>
      </c>
      <c r="B349" s="1">
        <v>40848</v>
      </c>
      <c r="C349" t="s">
        <v>24</v>
      </c>
      <c r="D349">
        <v>109</v>
      </c>
      <c r="E349">
        <v>17</v>
      </c>
      <c r="F349">
        <v>3</v>
      </c>
      <c r="G349" t="s">
        <v>27</v>
      </c>
      <c r="H349">
        <v>6</v>
      </c>
      <c r="I349">
        <v>41</v>
      </c>
      <c r="J349">
        <v>1</v>
      </c>
      <c r="K349">
        <v>13</v>
      </c>
      <c r="L349">
        <v>10</v>
      </c>
      <c r="M349">
        <v>24</v>
      </c>
      <c r="N349">
        <v>140</v>
      </c>
      <c r="O349">
        <v>122</v>
      </c>
      <c r="P349">
        <v>2</v>
      </c>
      <c r="Q349">
        <v>2</v>
      </c>
      <c r="R349">
        <v>3</v>
      </c>
      <c r="S349">
        <v>3</v>
      </c>
      <c r="T349">
        <v>1</v>
      </c>
      <c r="U349">
        <v>362</v>
      </c>
      <c r="V349">
        <v>55</v>
      </c>
      <c r="W349">
        <v>184</v>
      </c>
      <c r="X349">
        <v>122</v>
      </c>
    </row>
    <row r="350" spans="1:24" x14ac:dyDescent="0.2">
      <c r="A350">
        <v>349</v>
      </c>
      <c r="B350" s="1">
        <v>40848</v>
      </c>
      <c r="C350" t="s">
        <v>28</v>
      </c>
      <c r="D350">
        <v>109</v>
      </c>
      <c r="E350">
        <v>17</v>
      </c>
      <c r="F350">
        <v>3</v>
      </c>
      <c r="G350" t="s">
        <v>27</v>
      </c>
      <c r="H350">
        <v>7</v>
      </c>
      <c r="I350">
        <v>58</v>
      </c>
      <c r="J350">
        <v>1</v>
      </c>
      <c r="K350">
        <v>21</v>
      </c>
      <c r="L350">
        <v>9</v>
      </c>
      <c r="M350">
        <v>30</v>
      </c>
      <c r="N350">
        <v>201</v>
      </c>
      <c r="O350">
        <v>119</v>
      </c>
      <c r="P350">
        <v>1</v>
      </c>
      <c r="Q350">
        <v>4</v>
      </c>
      <c r="R350">
        <v>4</v>
      </c>
      <c r="S350">
        <v>1</v>
      </c>
      <c r="T350">
        <v>0</v>
      </c>
      <c r="U350">
        <v>449</v>
      </c>
      <c r="V350">
        <v>80</v>
      </c>
      <c r="W350">
        <v>250</v>
      </c>
      <c r="X350">
        <v>119</v>
      </c>
    </row>
    <row r="351" spans="1:24" x14ac:dyDescent="0.2">
      <c r="A351">
        <v>350</v>
      </c>
      <c r="B351" s="1">
        <v>40848</v>
      </c>
      <c r="C351" t="s">
        <v>24</v>
      </c>
      <c r="D351">
        <v>109</v>
      </c>
      <c r="E351">
        <v>17</v>
      </c>
      <c r="F351">
        <v>3</v>
      </c>
      <c r="G351" t="s">
        <v>26</v>
      </c>
      <c r="H351">
        <v>8</v>
      </c>
      <c r="I351">
        <v>23</v>
      </c>
      <c r="J351">
        <v>5</v>
      </c>
      <c r="K351">
        <v>9</v>
      </c>
      <c r="L351">
        <v>2</v>
      </c>
      <c r="M351">
        <v>14</v>
      </c>
      <c r="N351">
        <v>98</v>
      </c>
      <c r="O351">
        <v>135</v>
      </c>
      <c r="P351">
        <v>3</v>
      </c>
      <c r="Q351">
        <v>0</v>
      </c>
      <c r="R351">
        <v>0</v>
      </c>
      <c r="S351">
        <v>19</v>
      </c>
      <c r="T351">
        <v>0</v>
      </c>
      <c r="U351">
        <v>308</v>
      </c>
      <c r="V351">
        <v>37</v>
      </c>
      <c r="W351">
        <v>136</v>
      </c>
      <c r="X351">
        <v>135</v>
      </c>
    </row>
    <row r="352" spans="1:24" x14ac:dyDescent="0.2">
      <c r="A352">
        <v>351</v>
      </c>
      <c r="B352" s="1">
        <v>40848</v>
      </c>
      <c r="C352" t="s">
        <v>28</v>
      </c>
      <c r="D352">
        <v>109</v>
      </c>
      <c r="E352">
        <v>17</v>
      </c>
      <c r="F352">
        <v>3</v>
      </c>
      <c r="G352" t="s">
        <v>27</v>
      </c>
      <c r="H352">
        <v>9</v>
      </c>
      <c r="I352">
        <v>52</v>
      </c>
      <c r="J352">
        <v>0</v>
      </c>
      <c r="K352">
        <v>23</v>
      </c>
      <c r="L352">
        <v>9</v>
      </c>
      <c r="M352">
        <v>27</v>
      </c>
      <c r="N352">
        <v>231</v>
      </c>
      <c r="O352">
        <v>196</v>
      </c>
      <c r="P352">
        <v>2</v>
      </c>
      <c r="Q352">
        <v>2</v>
      </c>
      <c r="R352">
        <v>1</v>
      </c>
      <c r="S352">
        <v>3</v>
      </c>
      <c r="T352">
        <v>0</v>
      </c>
      <c r="U352">
        <v>546</v>
      </c>
      <c r="V352">
        <v>75</v>
      </c>
      <c r="W352">
        <v>275</v>
      </c>
      <c r="X352">
        <v>196</v>
      </c>
    </row>
    <row r="353" spans="1:24" x14ac:dyDescent="0.2">
      <c r="A353">
        <v>352</v>
      </c>
      <c r="B353" s="1">
        <v>40851</v>
      </c>
      <c r="C353" t="s">
        <v>24</v>
      </c>
      <c r="D353">
        <v>112</v>
      </c>
      <c r="E353">
        <v>17</v>
      </c>
      <c r="F353">
        <v>6</v>
      </c>
      <c r="G353" t="s">
        <v>25</v>
      </c>
      <c r="H353">
        <v>1</v>
      </c>
      <c r="I353">
        <v>57</v>
      </c>
      <c r="J353">
        <v>2</v>
      </c>
      <c r="K353">
        <v>20</v>
      </c>
      <c r="L353">
        <v>6</v>
      </c>
      <c r="M353">
        <v>28</v>
      </c>
      <c r="N353">
        <v>247</v>
      </c>
      <c r="O353">
        <v>153</v>
      </c>
      <c r="P353">
        <v>3</v>
      </c>
      <c r="Q353">
        <v>2</v>
      </c>
      <c r="R353">
        <v>2</v>
      </c>
      <c r="S353">
        <v>1</v>
      </c>
      <c r="T353">
        <v>0</v>
      </c>
      <c r="U353">
        <v>521</v>
      </c>
      <c r="V353">
        <v>79</v>
      </c>
      <c r="W353">
        <v>289</v>
      </c>
      <c r="X353">
        <v>153</v>
      </c>
    </row>
    <row r="354" spans="1:24" x14ac:dyDescent="0.2">
      <c r="A354">
        <v>353</v>
      </c>
      <c r="B354" s="1">
        <v>40851</v>
      </c>
      <c r="C354" t="s">
        <v>24</v>
      </c>
      <c r="D354">
        <v>112</v>
      </c>
      <c r="E354">
        <v>17</v>
      </c>
      <c r="F354">
        <v>6</v>
      </c>
      <c r="G354" t="s">
        <v>25</v>
      </c>
      <c r="H354">
        <v>2</v>
      </c>
      <c r="I354">
        <v>30</v>
      </c>
      <c r="J354">
        <v>3</v>
      </c>
      <c r="K354">
        <v>12</v>
      </c>
      <c r="L354">
        <v>5</v>
      </c>
      <c r="M354">
        <v>22</v>
      </c>
      <c r="N354">
        <v>108</v>
      </c>
      <c r="O354">
        <v>112</v>
      </c>
      <c r="P354">
        <v>0</v>
      </c>
      <c r="Q354">
        <v>0</v>
      </c>
      <c r="R354">
        <v>2</v>
      </c>
      <c r="S354">
        <v>5</v>
      </c>
      <c r="T354">
        <v>0</v>
      </c>
      <c r="U354">
        <v>299</v>
      </c>
      <c r="V354">
        <v>45</v>
      </c>
      <c r="W354">
        <v>142</v>
      </c>
      <c r="X354">
        <v>112</v>
      </c>
    </row>
    <row r="355" spans="1:24" x14ac:dyDescent="0.2">
      <c r="A355">
        <v>354</v>
      </c>
      <c r="B355" s="1">
        <v>40851</v>
      </c>
      <c r="C355" t="s">
        <v>24</v>
      </c>
      <c r="D355">
        <v>112</v>
      </c>
      <c r="E355">
        <v>17</v>
      </c>
      <c r="F355">
        <v>6</v>
      </c>
      <c r="G355" t="s">
        <v>26</v>
      </c>
      <c r="H355">
        <v>3</v>
      </c>
      <c r="I355">
        <v>33</v>
      </c>
      <c r="J355">
        <v>0</v>
      </c>
      <c r="K355">
        <v>17</v>
      </c>
      <c r="L355">
        <v>4</v>
      </c>
      <c r="M355">
        <v>23</v>
      </c>
      <c r="N355">
        <v>160</v>
      </c>
      <c r="O355">
        <v>138</v>
      </c>
      <c r="P355">
        <v>4</v>
      </c>
      <c r="Q355">
        <v>1</v>
      </c>
      <c r="R355">
        <v>4</v>
      </c>
      <c r="S355">
        <v>1</v>
      </c>
      <c r="T355">
        <v>1</v>
      </c>
      <c r="U355">
        <v>386</v>
      </c>
      <c r="V355">
        <v>50</v>
      </c>
      <c r="W355">
        <v>197</v>
      </c>
      <c r="X355">
        <v>138</v>
      </c>
    </row>
    <row r="356" spans="1:24" x14ac:dyDescent="0.2">
      <c r="A356">
        <v>355</v>
      </c>
      <c r="B356" s="1">
        <v>40851</v>
      </c>
      <c r="C356" t="s">
        <v>28</v>
      </c>
      <c r="D356">
        <v>112</v>
      </c>
      <c r="E356">
        <v>17</v>
      </c>
      <c r="F356">
        <v>6</v>
      </c>
      <c r="G356" t="s">
        <v>25</v>
      </c>
      <c r="H356">
        <v>4</v>
      </c>
      <c r="I356">
        <v>50</v>
      </c>
      <c r="J356">
        <v>1</v>
      </c>
      <c r="K356">
        <v>12</v>
      </c>
      <c r="L356">
        <v>6</v>
      </c>
      <c r="M356">
        <v>24</v>
      </c>
      <c r="N356">
        <v>216</v>
      </c>
      <c r="O356">
        <v>162</v>
      </c>
      <c r="P356">
        <v>6</v>
      </c>
      <c r="Q356">
        <v>5</v>
      </c>
      <c r="R356">
        <v>0</v>
      </c>
      <c r="S356">
        <v>2</v>
      </c>
      <c r="T356">
        <v>0</v>
      </c>
      <c r="U356">
        <v>484</v>
      </c>
      <c r="V356">
        <v>63</v>
      </c>
      <c r="W356">
        <v>259</v>
      </c>
      <c r="X356">
        <v>162</v>
      </c>
    </row>
    <row r="357" spans="1:24" x14ac:dyDescent="0.2">
      <c r="A357">
        <v>356</v>
      </c>
      <c r="B357" s="1">
        <v>40851</v>
      </c>
      <c r="C357" t="s">
        <v>24</v>
      </c>
      <c r="D357">
        <v>112</v>
      </c>
      <c r="E357">
        <v>17</v>
      </c>
      <c r="F357">
        <v>6</v>
      </c>
      <c r="G357" t="s">
        <v>26</v>
      </c>
      <c r="H357">
        <v>5</v>
      </c>
      <c r="I357">
        <v>38</v>
      </c>
      <c r="J357">
        <v>1</v>
      </c>
      <c r="K357">
        <v>14</v>
      </c>
      <c r="L357">
        <v>4</v>
      </c>
      <c r="M357">
        <v>26</v>
      </c>
      <c r="N357">
        <v>205</v>
      </c>
      <c r="O357">
        <v>129</v>
      </c>
      <c r="P357">
        <v>1</v>
      </c>
      <c r="Q357">
        <v>1</v>
      </c>
      <c r="R357">
        <v>2</v>
      </c>
      <c r="S357">
        <v>0</v>
      </c>
      <c r="T357">
        <v>1</v>
      </c>
      <c r="U357">
        <v>422</v>
      </c>
      <c r="V357">
        <v>53</v>
      </c>
      <c r="W357">
        <v>239</v>
      </c>
      <c r="X357">
        <v>129</v>
      </c>
    </row>
    <row r="358" spans="1:24" x14ac:dyDescent="0.2">
      <c r="A358">
        <v>357</v>
      </c>
      <c r="B358" s="1">
        <v>40851</v>
      </c>
      <c r="C358" t="s">
        <v>28</v>
      </c>
      <c r="D358">
        <v>112</v>
      </c>
      <c r="E358">
        <v>17</v>
      </c>
      <c r="F358">
        <v>6</v>
      </c>
      <c r="G358" t="s">
        <v>27</v>
      </c>
      <c r="H358">
        <v>6</v>
      </c>
      <c r="I358">
        <v>41</v>
      </c>
      <c r="J358">
        <v>2</v>
      </c>
      <c r="K358">
        <v>15</v>
      </c>
      <c r="L358">
        <v>11</v>
      </c>
      <c r="M358">
        <v>21</v>
      </c>
      <c r="N358">
        <v>163</v>
      </c>
      <c r="O358">
        <v>124</v>
      </c>
      <c r="P358">
        <v>2</v>
      </c>
      <c r="Q358">
        <v>1</v>
      </c>
      <c r="R358">
        <v>1</v>
      </c>
      <c r="S358">
        <v>4</v>
      </c>
      <c r="T358">
        <v>0</v>
      </c>
      <c r="U358">
        <v>385</v>
      </c>
      <c r="V358">
        <v>58</v>
      </c>
      <c r="W358">
        <v>203</v>
      </c>
      <c r="X358">
        <v>124</v>
      </c>
    </row>
    <row r="359" spans="1:24" x14ac:dyDescent="0.2">
      <c r="A359">
        <v>358</v>
      </c>
      <c r="B359" s="1">
        <v>40851</v>
      </c>
      <c r="C359" t="s">
        <v>24</v>
      </c>
      <c r="D359">
        <v>112</v>
      </c>
      <c r="E359">
        <v>17</v>
      </c>
      <c r="F359">
        <v>6</v>
      </c>
      <c r="G359" t="s">
        <v>27</v>
      </c>
      <c r="H359">
        <v>7</v>
      </c>
      <c r="I359">
        <v>57</v>
      </c>
      <c r="J359">
        <v>2</v>
      </c>
      <c r="K359">
        <v>20</v>
      </c>
      <c r="L359">
        <v>6</v>
      </c>
      <c r="M359">
        <v>28</v>
      </c>
      <c r="N359">
        <v>247</v>
      </c>
      <c r="O359">
        <v>153</v>
      </c>
      <c r="P359">
        <v>3</v>
      </c>
      <c r="Q359">
        <v>2</v>
      </c>
      <c r="R359">
        <v>2</v>
      </c>
      <c r="S359">
        <v>1</v>
      </c>
      <c r="T359">
        <v>0</v>
      </c>
      <c r="U359">
        <v>521</v>
      </c>
      <c r="V359">
        <v>79</v>
      </c>
      <c r="W359">
        <v>289</v>
      </c>
      <c r="X359">
        <v>153</v>
      </c>
    </row>
    <row r="360" spans="1:24" x14ac:dyDescent="0.2">
      <c r="A360">
        <v>359</v>
      </c>
      <c r="B360" s="1">
        <v>40851</v>
      </c>
      <c r="C360" t="s">
        <v>28</v>
      </c>
      <c r="D360">
        <v>112</v>
      </c>
      <c r="E360">
        <v>17</v>
      </c>
      <c r="F360">
        <v>6</v>
      </c>
      <c r="G360" t="s">
        <v>26</v>
      </c>
      <c r="H360">
        <v>8</v>
      </c>
      <c r="I360">
        <v>25</v>
      </c>
      <c r="J360">
        <v>6</v>
      </c>
      <c r="K360">
        <v>10</v>
      </c>
      <c r="L360">
        <v>6</v>
      </c>
      <c r="M360">
        <v>18</v>
      </c>
      <c r="N360">
        <v>108</v>
      </c>
      <c r="O360">
        <v>122</v>
      </c>
      <c r="P360">
        <v>1</v>
      </c>
      <c r="Q360">
        <v>0</v>
      </c>
      <c r="R360">
        <v>0</v>
      </c>
      <c r="S360">
        <v>19</v>
      </c>
      <c r="T360">
        <v>0</v>
      </c>
      <c r="U360">
        <v>315</v>
      </c>
      <c r="V360">
        <v>41</v>
      </c>
      <c r="W360">
        <v>152</v>
      </c>
      <c r="X360">
        <v>122</v>
      </c>
    </row>
    <row r="361" spans="1:24" x14ac:dyDescent="0.2">
      <c r="A361">
        <v>360</v>
      </c>
      <c r="B361" s="1">
        <v>40851</v>
      </c>
      <c r="C361" t="s">
        <v>28</v>
      </c>
      <c r="D361">
        <v>112</v>
      </c>
      <c r="E361">
        <v>17</v>
      </c>
      <c r="F361">
        <v>6</v>
      </c>
      <c r="G361" t="s">
        <v>27</v>
      </c>
      <c r="H361">
        <v>9</v>
      </c>
      <c r="I361">
        <v>53</v>
      </c>
      <c r="J361">
        <v>0</v>
      </c>
      <c r="K361">
        <v>19</v>
      </c>
      <c r="L361">
        <v>5</v>
      </c>
      <c r="M361">
        <v>33</v>
      </c>
      <c r="N361">
        <v>218</v>
      </c>
      <c r="O361">
        <v>133</v>
      </c>
      <c r="P361">
        <v>0</v>
      </c>
      <c r="Q361">
        <v>0</v>
      </c>
      <c r="R361">
        <v>1</v>
      </c>
      <c r="S361">
        <v>2</v>
      </c>
      <c r="T361">
        <v>0</v>
      </c>
      <c r="U361">
        <v>464</v>
      </c>
      <c r="V361">
        <v>72</v>
      </c>
      <c r="W361">
        <v>259</v>
      </c>
      <c r="X361">
        <v>133</v>
      </c>
    </row>
    <row r="362" spans="1:24" x14ac:dyDescent="0.2">
      <c r="A362">
        <v>361</v>
      </c>
      <c r="B362" s="1">
        <v>40855</v>
      </c>
      <c r="C362" t="s">
        <v>28</v>
      </c>
      <c r="D362">
        <v>116</v>
      </c>
      <c r="E362">
        <v>18</v>
      </c>
      <c r="F362">
        <v>3</v>
      </c>
      <c r="G362" t="s">
        <v>25</v>
      </c>
      <c r="H362">
        <v>1</v>
      </c>
      <c r="I362">
        <v>43</v>
      </c>
      <c r="J362">
        <v>6</v>
      </c>
      <c r="K362">
        <v>5</v>
      </c>
      <c r="L362">
        <v>5</v>
      </c>
      <c r="M362">
        <v>32</v>
      </c>
      <c r="N362">
        <v>210</v>
      </c>
      <c r="O362">
        <v>156</v>
      </c>
      <c r="P362">
        <v>5</v>
      </c>
      <c r="Q362">
        <v>5</v>
      </c>
      <c r="R362">
        <v>1</v>
      </c>
      <c r="S362">
        <v>2</v>
      </c>
      <c r="T362">
        <v>0</v>
      </c>
      <c r="U362">
        <v>470</v>
      </c>
      <c r="V362">
        <v>54</v>
      </c>
      <c r="W362">
        <v>260</v>
      </c>
      <c r="X362">
        <v>156</v>
      </c>
    </row>
    <row r="363" spans="1:24" x14ac:dyDescent="0.2">
      <c r="A363">
        <v>362</v>
      </c>
      <c r="B363" s="1">
        <v>40855</v>
      </c>
      <c r="C363" t="s">
        <v>28</v>
      </c>
      <c r="D363">
        <v>116</v>
      </c>
      <c r="E363">
        <v>18</v>
      </c>
      <c r="F363">
        <v>3</v>
      </c>
      <c r="G363" t="s">
        <v>25</v>
      </c>
      <c r="H363">
        <v>2</v>
      </c>
      <c r="I363">
        <v>34</v>
      </c>
      <c r="J363">
        <v>2</v>
      </c>
      <c r="K363">
        <v>10</v>
      </c>
      <c r="L363">
        <v>13</v>
      </c>
      <c r="M363">
        <v>25</v>
      </c>
      <c r="N363">
        <v>123</v>
      </c>
      <c r="O363">
        <v>131</v>
      </c>
      <c r="P363">
        <v>6</v>
      </c>
      <c r="Q363">
        <v>1</v>
      </c>
      <c r="R363">
        <v>2</v>
      </c>
      <c r="S363">
        <v>5</v>
      </c>
      <c r="T363">
        <v>0</v>
      </c>
      <c r="U363">
        <v>352</v>
      </c>
      <c r="V363">
        <v>46</v>
      </c>
      <c r="W363">
        <v>175</v>
      </c>
      <c r="X363">
        <v>131</v>
      </c>
    </row>
    <row r="364" spans="1:24" x14ac:dyDescent="0.2">
      <c r="A364">
        <v>363</v>
      </c>
      <c r="B364" s="1">
        <v>40855</v>
      </c>
      <c r="C364" t="s">
        <v>28</v>
      </c>
      <c r="D364">
        <v>116</v>
      </c>
      <c r="E364">
        <v>18</v>
      </c>
      <c r="F364">
        <v>3</v>
      </c>
      <c r="G364" t="s">
        <v>26</v>
      </c>
      <c r="H364">
        <v>3</v>
      </c>
      <c r="I364">
        <v>40</v>
      </c>
      <c r="J364">
        <v>0</v>
      </c>
      <c r="K364">
        <v>16</v>
      </c>
      <c r="L364">
        <v>9</v>
      </c>
      <c r="M364">
        <v>21</v>
      </c>
      <c r="N364">
        <v>119</v>
      </c>
      <c r="O364">
        <v>153</v>
      </c>
      <c r="P364">
        <v>4</v>
      </c>
      <c r="Q364">
        <v>3</v>
      </c>
      <c r="R364">
        <v>1</v>
      </c>
      <c r="S364">
        <v>3</v>
      </c>
      <c r="T364">
        <v>0</v>
      </c>
      <c r="U364">
        <v>369</v>
      </c>
      <c r="V364">
        <v>56</v>
      </c>
      <c r="W364">
        <v>160</v>
      </c>
      <c r="X364">
        <v>153</v>
      </c>
    </row>
    <row r="365" spans="1:24" x14ac:dyDescent="0.2">
      <c r="A365">
        <v>364</v>
      </c>
      <c r="B365" s="1">
        <v>40855</v>
      </c>
      <c r="C365" t="s">
        <v>28</v>
      </c>
      <c r="D365">
        <v>116</v>
      </c>
      <c r="E365">
        <v>18</v>
      </c>
      <c r="F365">
        <v>3</v>
      </c>
      <c r="G365" t="s">
        <v>25</v>
      </c>
      <c r="H365">
        <v>4</v>
      </c>
      <c r="I365">
        <v>52</v>
      </c>
      <c r="J365">
        <v>1</v>
      </c>
      <c r="K365">
        <v>11</v>
      </c>
      <c r="L365">
        <v>10</v>
      </c>
      <c r="M365">
        <v>25</v>
      </c>
      <c r="N365">
        <v>201</v>
      </c>
      <c r="O365">
        <v>140</v>
      </c>
      <c r="P365">
        <v>4</v>
      </c>
      <c r="Q365">
        <v>2</v>
      </c>
      <c r="R365">
        <v>4</v>
      </c>
      <c r="S365">
        <v>2</v>
      </c>
      <c r="T365">
        <v>0</v>
      </c>
      <c r="U365">
        <v>452</v>
      </c>
      <c r="V365">
        <v>64</v>
      </c>
      <c r="W365">
        <v>248</v>
      </c>
      <c r="X365">
        <v>140</v>
      </c>
    </row>
    <row r="366" spans="1:24" x14ac:dyDescent="0.2">
      <c r="A366">
        <v>365</v>
      </c>
      <c r="B366" s="1">
        <v>40855</v>
      </c>
      <c r="C366" t="s">
        <v>28</v>
      </c>
      <c r="D366">
        <v>116</v>
      </c>
      <c r="E366">
        <v>18</v>
      </c>
      <c r="F366">
        <v>3</v>
      </c>
      <c r="G366" t="s">
        <v>26</v>
      </c>
      <c r="H366">
        <v>5</v>
      </c>
      <c r="I366">
        <v>40</v>
      </c>
      <c r="J366">
        <v>1</v>
      </c>
      <c r="K366">
        <v>12</v>
      </c>
      <c r="L366">
        <v>6</v>
      </c>
      <c r="M366">
        <v>27</v>
      </c>
      <c r="N366">
        <v>195</v>
      </c>
      <c r="O366">
        <v>112</v>
      </c>
      <c r="P366">
        <v>2</v>
      </c>
      <c r="Q366">
        <v>2</v>
      </c>
      <c r="R366">
        <v>5</v>
      </c>
      <c r="S366">
        <v>1</v>
      </c>
      <c r="T366">
        <v>0</v>
      </c>
      <c r="U366">
        <v>403</v>
      </c>
      <c r="V366">
        <v>53</v>
      </c>
      <c r="W366">
        <v>238</v>
      </c>
      <c r="X366">
        <v>112</v>
      </c>
    </row>
    <row r="367" spans="1:24" x14ac:dyDescent="0.2">
      <c r="A367">
        <v>366</v>
      </c>
      <c r="B367" s="1">
        <v>40855</v>
      </c>
      <c r="C367" t="s">
        <v>28</v>
      </c>
      <c r="D367">
        <v>116</v>
      </c>
      <c r="E367">
        <v>18</v>
      </c>
      <c r="F367">
        <v>3</v>
      </c>
      <c r="G367" t="s">
        <v>27</v>
      </c>
      <c r="H367">
        <v>6</v>
      </c>
      <c r="I367">
        <v>47</v>
      </c>
      <c r="J367">
        <v>1</v>
      </c>
      <c r="K367">
        <v>18</v>
      </c>
      <c r="L367">
        <v>12</v>
      </c>
      <c r="M367">
        <v>28</v>
      </c>
      <c r="N367">
        <v>160</v>
      </c>
      <c r="O367">
        <v>147</v>
      </c>
      <c r="P367">
        <v>5</v>
      </c>
      <c r="Q367">
        <v>3</v>
      </c>
      <c r="R367">
        <v>3</v>
      </c>
      <c r="S367">
        <v>4</v>
      </c>
      <c r="T367">
        <v>0</v>
      </c>
      <c r="U367">
        <v>428</v>
      </c>
      <c r="V367">
        <v>66</v>
      </c>
      <c r="W367">
        <v>215</v>
      </c>
      <c r="X367">
        <v>147</v>
      </c>
    </row>
    <row r="368" spans="1:24" x14ac:dyDescent="0.2">
      <c r="A368">
        <v>367</v>
      </c>
      <c r="B368" s="1">
        <v>40855</v>
      </c>
      <c r="C368" t="s">
        <v>28</v>
      </c>
      <c r="D368">
        <v>116</v>
      </c>
      <c r="E368">
        <v>18</v>
      </c>
      <c r="F368">
        <v>3</v>
      </c>
      <c r="G368" t="s">
        <v>27</v>
      </c>
      <c r="H368">
        <v>7</v>
      </c>
      <c r="I368">
        <v>59</v>
      </c>
      <c r="J368">
        <v>1</v>
      </c>
      <c r="K368">
        <v>24</v>
      </c>
      <c r="L368">
        <v>8</v>
      </c>
      <c r="M368">
        <v>25</v>
      </c>
      <c r="N368">
        <v>248</v>
      </c>
      <c r="O368">
        <v>131</v>
      </c>
      <c r="P368">
        <v>2</v>
      </c>
      <c r="Q368">
        <v>2</v>
      </c>
      <c r="R368">
        <v>5</v>
      </c>
      <c r="S368">
        <v>2</v>
      </c>
      <c r="T368">
        <v>0</v>
      </c>
      <c r="U368">
        <v>507</v>
      </c>
      <c r="V368">
        <v>84</v>
      </c>
      <c r="W368">
        <v>292</v>
      </c>
      <c r="X368">
        <v>131</v>
      </c>
    </row>
    <row r="369" spans="1:24" x14ac:dyDescent="0.2">
      <c r="A369">
        <v>368</v>
      </c>
      <c r="B369" s="1">
        <v>40855</v>
      </c>
      <c r="C369" t="s">
        <v>28</v>
      </c>
      <c r="D369">
        <v>116</v>
      </c>
      <c r="E369">
        <v>18</v>
      </c>
      <c r="F369">
        <v>3</v>
      </c>
      <c r="G369" t="s">
        <v>26</v>
      </c>
      <c r="H369">
        <v>8</v>
      </c>
      <c r="I369">
        <v>24</v>
      </c>
      <c r="J369">
        <v>6</v>
      </c>
      <c r="K369">
        <v>11</v>
      </c>
      <c r="L369">
        <v>3</v>
      </c>
      <c r="M369">
        <v>40</v>
      </c>
      <c r="N369">
        <v>137</v>
      </c>
      <c r="O369">
        <v>167</v>
      </c>
      <c r="P369">
        <v>1</v>
      </c>
      <c r="Q369">
        <v>2</v>
      </c>
      <c r="R369">
        <v>4</v>
      </c>
      <c r="S369">
        <v>12</v>
      </c>
      <c r="T369">
        <v>0</v>
      </c>
      <c r="U369">
        <v>407</v>
      </c>
      <c r="V369">
        <v>41</v>
      </c>
      <c r="W369">
        <v>199</v>
      </c>
      <c r="X369">
        <v>167</v>
      </c>
    </row>
    <row r="370" spans="1:24" x14ac:dyDescent="0.2">
      <c r="A370">
        <v>369</v>
      </c>
      <c r="B370" s="1">
        <v>40855</v>
      </c>
      <c r="C370" t="s">
        <v>28</v>
      </c>
      <c r="D370">
        <v>116</v>
      </c>
      <c r="E370">
        <v>18</v>
      </c>
      <c r="F370">
        <v>3</v>
      </c>
      <c r="G370" t="s">
        <v>27</v>
      </c>
      <c r="H370">
        <v>9</v>
      </c>
      <c r="I370">
        <v>50</v>
      </c>
      <c r="J370">
        <v>0</v>
      </c>
      <c r="K370">
        <v>21</v>
      </c>
      <c r="L370">
        <v>7</v>
      </c>
      <c r="M370">
        <v>24</v>
      </c>
      <c r="N370">
        <v>183</v>
      </c>
      <c r="O370">
        <v>201</v>
      </c>
      <c r="P370">
        <v>0</v>
      </c>
      <c r="Q370">
        <v>2</v>
      </c>
      <c r="R370">
        <v>2</v>
      </c>
      <c r="S370">
        <v>0</v>
      </c>
      <c r="T370">
        <v>0</v>
      </c>
      <c r="U370">
        <v>490</v>
      </c>
      <c r="V370">
        <v>71</v>
      </c>
      <c r="W370">
        <v>218</v>
      </c>
      <c r="X370">
        <v>201</v>
      </c>
    </row>
    <row r="371" spans="1:24" x14ac:dyDescent="0.2">
      <c r="A371">
        <v>370</v>
      </c>
      <c r="B371" s="1">
        <v>40858</v>
      </c>
      <c r="C371" t="s">
        <v>28</v>
      </c>
      <c r="D371">
        <v>119</v>
      </c>
      <c r="E371">
        <v>18</v>
      </c>
      <c r="F371">
        <v>6</v>
      </c>
      <c r="G371" t="s">
        <v>25</v>
      </c>
      <c r="H371">
        <v>1</v>
      </c>
      <c r="I371">
        <v>39</v>
      </c>
      <c r="J371">
        <v>7</v>
      </c>
      <c r="K371">
        <v>9</v>
      </c>
      <c r="L371">
        <v>10</v>
      </c>
      <c r="M371">
        <v>26</v>
      </c>
      <c r="N371">
        <v>197</v>
      </c>
      <c r="O371">
        <v>193</v>
      </c>
      <c r="P371">
        <v>2</v>
      </c>
      <c r="Q371">
        <v>1</v>
      </c>
      <c r="R371">
        <v>5</v>
      </c>
      <c r="S371">
        <v>2</v>
      </c>
      <c r="T371">
        <v>0</v>
      </c>
      <c r="U371">
        <v>491</v>
      </c>
      <c r="V371">
        <v>55</v>
      </c>
      <c r="W371">
        <v>243</v>
      </c>
      <c r="X371">
        <v>193</v>
      </c>
    </row>
    <row r="372" spans="1:24" x14ac:dyDescent="0.2">
      <c r="A372">
        <v>371</v>
      </c>
      <c r="B372" s="1">
        <v>40858</v>
      </c>
      <c r="C372" t="s">
        <v>28</v>
      </c>
      <c r="D372">
        <v>119</v>
      </c>
      <c r="E372">
        <v>18</v>
      </c>
      <c r="F372">
        <v>6</v>
      </c>
      <c r="G372" t="s">
        <v>25</v>
      </c>
      <c r="H372">
        <v>2</v>
      </c>
      <c r="I372">
        <v>37</v>
      </c>
      <c r="J372">
        <v>2</v>
      </c>
      <c r="K372">
        <v>12</v>
      </c>
      <c r="L372">
        <v>6</v>
      </c>
      <c r="M372">
        <v>25</v>
      </c>
      <c r="N372">
        <v>127</v>
      </c>
      <c r="O372">
        <v>149</v>
      </c>
      <c r="P372">
        <v>3</v>
      </c>
      <c r="Q372">
        <v>0</v>
      </c>
      <c r="R372">
        <v>3</v>
      </c>
      <c r="S372">
        <v>2</v>
      </c>
      <c r="T372">
        <v>0</v>
      </c>
      <c r="U372">
        <v>366</v>
      </c>
      <c r="V372">
        <v>51</v>
      </c>
      <c r="W372">
        <v>166</v>
      </c>
      <c r="X372">
        <v>149</v>
      </c>
    </row>
    <row r="373" spans="1:24" x14ac:dyDescent="0.2">
      <c r="A373">
        <v>372</v>
      </c>
      <c r="B373" s="1">
        <v>40858</v>
      </c>
      <c r="C373" t="s">
        <v>28</v>
      </c>
      <c r="D373">
        <v>119</v>
      </c>
      <c r="E373">
        <v>18</v>
      </c>
      <c r="F373">
        <v>6</v>
      </c>
      <c r="G373" t="s">
        <v>26</v>
      </c>
      <c r="H373">
        <v>3</v>
      </c>
      <c r="I373">
        <v>36</v>
      </c>
      <c r="J373">
        <v>0</v>
      </c>
      <c r="K373">
        <v>14</v>
      </c>
      <c r="L373">
        <v>7</v>
      </c>
      <c r="M373">
        <v>26</v>
      </c>
      <c r="N373">
        <v>164</v>
      </c>
      <c r="O373">
        <v>152</v>
      </c>
      <c r="P373">
        <v>1</v>
      </c>
      <c r="Q373">
        <v>2</v>
      </c>
      <c r="R373">
        <v>1</v>
      </c>
      <c r="S373">
        <v>2</v>
      </c>
      <c r="T373">
        <v>0</v>
      </c>
      <c r="U373">
        <v>405</v>
      </c>
      <c r="V373">
        <v>50</v>
      </c>
      <c r="W373">
        <v>203</v>
      </c>
      <c r="X373">
        <v>152</v>
      </c>
    </row>
    <row r="374" spans="1:24" x14ac:dyDescent="0.2">
      <c r="A374">
        <v>373</v>
      </c>
      <c r="B374" s="1">
        <v>40858</v>
      </c>
      <c r="C374" t="s">
        <v>28</v>
      </c>
      <c r="D374">
        <v>119</v>
      </c>
      <c r="E374">
        <v>18</v>
      </c>
      <c r="F374">
        <v>6</v>
      </c>
      <c r="G374" t="s">
        <v>25</v>
      </c>
      <c r="H374">
        <v>4</v>
      </c>
      <c r="I374">
        <v>55</v>
      </c>
      <c r="J374">
        <v>0</v>
      </c>
      <c r="K374">
        <v>16</v>
      </c>
      <c r="L374">
        <v>10</v>
      </c>
      <c r="M374">
        <v>21</v>
      </c>
      <c r="N374">
        <v>205</v>
      </c>
      <c r="O374">
        <v>128</v>
      </c>
      <c r="P374">
        <v>2</v>
      </c>
      <c r="Q374">
        <v>3</v>
      </c>
      <c r="R374">
        <v>1</v>
      </c>
      <c r="S374">
        <v>2</v>
      </c>
      <c r="T374">
        <v>0</v>
      </c>
      <c r="U374">
        <v>443</v>
      </c>
      <c r="V374">
        <v>71</v>
      </c>
      <c r="W374">
        <v>244</v>
      </c>
      <c r="X374">
        <v>128</v>
      </c>
    </row>
    <row r="375" spans="1:24" x14ac:dyDescent="0.2">
      <c r="A375">
        <v>374</v>
      </c>
      <c r="B375" s="1">
        <v>40858</v>
      </c>
      <c r="C375" t="s">
        <v>28</v>
      </c>
      <c r="D375">
        <v>119</v>
      </c>
      <c r="E375">
        <v>18</v>
      </c>
      <c r="F375">
        <v>6</v>
      </c>
      <c r="G375" t="s">
        <v>26</v>
      </c>
      <c r="H375">
        <v>5</v>
      </c>
      <c r="I375">
        <v>37</v>
      </c>
      <c r="J375">
        <v>1</v>
      </c>
      <c r="K375">
        <v>11</v>
      </c>
      <c r="L375">
        <v>8</v>
      </c>
      <c r="M375">
        <v>20</v>
      </c>
      <c r="N375">
        <v>175</v>
      </c>
      <c r="O375">
        <v>133</v>
      </c>
      <c r="P375">
        <v>1</v>
      </c>
      <c r="Q375">
        <v>4</v>
      </c>
      <c r="R375">
        <v>2</v>
      </c>
      <c r="S375">
        <v>1</v>
      </c>
      <c r="T375">
        <v>0</v>
      </c>
      <c r="U375">
        <v>393</v>
      </c>
      <c r="V375">
        <v>49</v>
      </c>
      <c r="W375">
        <v>211</v>
      </c>
      <c r="X375">
        <v>133</v>
      </c>
    </row>
    <row r="376" spans="1:24" x14ac:dyDescent="0.2">
      <c r="A376">
        <v>375</v>
      </c>
      <c r="B376" s="1">
        <v>40858</v>
      </c>
      <c r="C376" t="s">
        <v>28</v>
      </c>
      <c r="D376">
        <v>119</v>
      </c>
      <c r="E376">
        <v>18</v>
      </c>
      <c r="F376">
        <v>6</v>
      </c>
      <c r="G376" t="s">
        <v>27</v>
      </c>
      <c r="H376">
        <v>6</v>
      </c>
      <c r="I376">
        <v>47</v>
      </c>
      <c r="J376">
        <v>0</v>
      </c>
      <c r="K376">
        <v>20</v>
      </c>
      <c r="L376">
        <v>11</v>
      </c>
      <c r="M376">
        <v>23</v>
      </c>
      <c r="N376">
        <v>171</v>
      </c>
      <c r="O376">
        <v>154</v>
      </c>
      <c r="P376">
        <v>1</v>
      </c>
      <c r="Q376">
        <v>2</v>
      </c>
      <c r="R376">
        <v>3</v>
      </c>
      <c r="S376">
        <v>3</v>
      </c>
      <c r="T376">
        <v>0</v>
      </c>
      <c r="U376">
        <v>435</v>
      </c>
      <c r="V376">
        <v>67</v>
      </c>
      <c r="W376">
        <v>214</v>
      </c>
      <c r="X376">
        <v>154</v>
      </c>
    </row>
    <row r="377" spans="1:24" x14ac:dyDescent="0.2">
      <c r="A377">
        <v>376</v>
      </c>
      <c r="B377" s="1">
        <v>40858</v>
      </c>
      <c r="C377" t="s">
        <v>28</v>
      </c>
      <c r="D377">
        <v>119</v>
      </c>
      <c r="E377">
        <v>18</v>
      </c>
      <c r="F377">
        <v>6</v>
      </c>
      <c r="G377" t="s">
        <v>27</v>
      </c>
      <c r="H377">
        <v>7</v>
      </c>
      <c r="I377">
        <v>50</v>
      </c>
      <c r="J377">
        <v>1</v>
      </c>
      <c r="K377">
        <v>19</v>
      </c>
      <c r="L377">
        <v>8</v>
      </c>
      <c r="M377">
        <v>21</v>
      </c>
      <c r="N377">
        <v>210</v>
      </c>
      <c r="O377">
        <v>103</v>
      </c>
      <c r="P377">
        <v>0</v>
      </c>
      <c r="Q377">
        <v>3</v>
      </c>
      <c r="R377">
        <v>4</v>
      </c>
      <c r="S377">
        <v>0</v>
      </c>
      <c r="T377">
        <v>0</v>
      </c>
      <c r="U377">
        <v>419</v>
      </c>
      <c r="V377">
        <v>70</v>
      </c>
      <c r="W377">
        <v>246</v>
      </c>
      <c r="X377">
        <v>103</v>
      </c>
    </row>
    <row r="378" spans="1:24" x14ac:dyDescent="0.2">
      <c r="A378">
        <v>377</v>
      </c>
      <c r="B378" s="1">
        <v>40858</v>
      </c>
      <c r="C378" t="s">
        <v>28</v>
      </c>
      <c r="D378">
        <v>119</v>
      </c>
      <c r="E378">
        <v>18</v>
      </c>
      <c r="F378">
        <v>6</v>
      </c>
      <c r="G378" t="s">
        <v>26</v>
      </c>
      <c r="H378">
        <v>8</v>
      </c>
      <c r="I378">
        <v>31</v>
      </c>
      <c r="J378">
        <v>6</v>
      </c>
      <c r="K378">
        <v>9</v>
      </c>
      <c r="L378">
        <v>5</v>
      </c>
      <c r="M378">
        <v>28</v>
      </c>
      <c r="N378">
        <v>161</v>
      </c>
      <c r="O378">
        <v>129</v>
      </c>
      <c r="P378">
        <v>0</v>
      </c>
      <c r="Q378">
        <v>1</v>
      </c>
      <c r="R378">
        <v>6</v>
      </c>
      <c r="S378">
        <v>8</v>
      </c>
      <c r="T378">
        <v>0</v>
      </c>
      <c r="U378">
        <v>384</v>
      </c>
      <c r="V378">
        <v>46</v>
      </c>
      <c r="W378">
        <v>209</v>
      </c>
      <c r="X378">
        <v>129</v>
      </c>
    </row>
    <row r="379" spans="1:24" x14ac:dyDescent="0.2">
      <c r="A379">
        <v>378</v>
      </c>
      <c r="B379" s="1">
        <v>40858</v>
      </c>
      <c r="C379" t="s">
        <v>28</v>
      </c>
      <c r="D379">
        <v>119</v>
      </c>
      <c r="E379">
        <v>18</v>
      </c>
      <c r="F379">
        <v>6</v>
      </c>
      <c r="G379" t="s">
        <v>27</v>
      </c>
      <c r="H379">
        <v>9</v>
      </c>
      <c r="I379">
        <v>52</v>
      </c>
      <c r="J379">
        <v>0</v>
      </c>
      <c r="K379">
        <v>18</v>
      </c>
      <c r="L379">
        <v>9</v>
      </c>
      <c r="M379">
        <v>23</v>
      </c>
      <c r="N379">
        <v>180</v>
      </c>
      <c r="O379">
        <v>192</v>
      </c>
      <c r="P379">
        <v>0</v>
      </c>
      <c r="Q379">
        <v>0</v>
      </c>
      <c r="R379">
        <v>4</v>
      </c>
      <c r="S379">
        <v>0</v>
      </c>
      <c r="T379">
        <v>0</v>
      </c>
      <c r="U379">
        <v>478</v>
      </c>
      <c r="V379">
        <v>70</v>
      </c>
      <c r="W379">
        <v>216</v>
      </c>
      <c r="X379">
        <v>192</v>
      </c>
    </row>
    <row r="380" spans="1:24" x14ac:dyDescent="0.2">
      <c r="A380">
        <v>379</v>
      </c>
      <c r="B380" s="1">
        <v>40862</v>
      </c>
      <c r="C380" t="s">
        <v>24</v>
      </c>
      <c r="D380">
        <v>123</v>
      </c>
      <c r="E380">
        <v>19</v>
      </c>
      <c r="F380">
        <v>3</v>
      </c>
      <c r="G380" t="s">
        <v>25</v>
      </c>
      <c r="H380">
        <v>1</v>
      </c>
      <c r="I380">
        <v>42</v>
      </c>
      <c r="J380">
        <v>7</v>
      </c>
      <c r="K380">
        <v>11</v>
      </c>
      <c r="L380">
        <v>4</v>
      </c>
      <c r="M380">
        <v>26</v>
      </c>
      <c r="N380">
        <v>211</v>
      </c>
      <c r="O380">
        <v>160</v>
      </c>
      <c r="P380">
        <v>2</v>
      </c>
      <c r="Q380">
        <v>2</v>
      </c>
      <c r="R380">
        <v>6</v>
      </c>
      <c r="S380">
        <v>3</v>
      </c>
      <c r="T380">
        <v>0</v>
      </c>
      <c r="U380">
        <v>474</v>
      </c>
      <c r="V380">
        <v>60</v>
      </c>
      <c r="W380">
        <v>254</v>
      </c>
      <c r="X380">
        <v>160</v>
      </c>
    </row>
    <row r="381" spans="1:24" x14ac:dyDescent="0.2">
      <c r="A381">
        <v>380</v>
      </c>
      <c r="B381" s="1">
        <v>40862</v>
      </c>
      <c r="C381" t="s">
        <v>28</v>
      </c>
      <c r="D381">
        <v>123</v>
      </c>
      <c r="E381">
        <v>19</v>
      </c>
      <c r="F381">
        <v>3</v>
      </c>
      <c r="G381" t="s">
        <v>25</v>
      </c>
      <c r="H381">
        <v>2</v>
      </c>
      <c r="I381">
        <v>33</v>
      </c>
      <c r="J381">
        <v>3</v>
      </c>
      <c r="K381">
        <v>10</v>
      </c>
      <c r="L381">
        <v>8</v>
      </c>
      <c r="M381">
        <v>28</v>
      </c>
      <c r="N381">
        <v>201</v>
      </c>
      <c r="O381">
        <v>131</v>
      </c>
      <c r="P381">
        <v>3</v>
      </c>
      <c r="Q381">
        <v>1</v>
      </c>
      <c r="R381">
        <v>2</v>
      </c>
      <c r="S381">
        <v>2</v>
      </c>
      <c r="T381">
        <v>0</v>
      </c>
      <c r="U381">
        <v>422</v>
      </c>
      <c r="V381">
        <v>46</v>
      </c>
      <c r="W381">
        <v>245</v>
      </c>
      <c r="X381">
        <v>131</v>
      </c>
    </row>
    <row r="382" spans="1:24" x14ac:dyDescent="0.2">
      <c r="A382">
        <v>381</v>
      </c>
      <c r="B382" s="1">
        <v>40862</v>
      </c>
      <c r="C382" t="s">
        <v>24</v>
      </c>
      <c r="D382">
        <v>123</v>
      </c>
      <c r="E382">
        <v>19</v>
      </c>
      <c r="F382">
        <v>3</v>
      </c>
      <c r="G382" t="s">
        <v>26</v>
      </c>
      <c r="H382">
        <v>3</v>
      </c>
      <c r="I382">
        <v>35</v>
      </c>
      <c r="J382">
        <v>0</v>
      </c>
      <c r="K382">
        <v>19</v>
      </c>
      <c r="L382">
        <v>5</v>
      </c>
      <c r="M382">
        <v>22</v>
      </c>
      <c r="N382">
        <v>144</v>
      </c>
      <c r="O382">
        <v>130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359</v>
      </c>
      <c r="V382">
        <v>54</v>
      </c>
      <c r="W382">
        <v>175</v>
      </c>
      <c r="X382">
        <v>130</v>
      </c>
    </row>
    <row r="383" spans="1:24" x14ac:dyDescent="0.2">
      <c r="A383">
        <v>382</v>
      </c>
      <c r="B383" s="1">
        <v>40862</v>
      </c>
      <c r="C383" t="s">
        <v>24</v>
      </c>
      <c r="D383">
        <v>123</v>
      </c>
      <c r="E383">
        <v>19</v>
      </c>
      <c r="F383">
        <v>3</v>
      </c>
      <c r="G383" t="s">
        <v>25</v>
      </c>
      <c r="H383">
        <v>4</v>
      </c>
      <c r="I383">
        <v>55</v>
      </c>
      <c r="J383">
        <v>0</v>
      </c>
      <c r="K383">
        <v>8</v>
      </c>
      <c r="L383">
        <v>5</v>
      </c>
      <c r="M383">
        <v>25</v>
      </c>
      <c r="N383">
        <v>210</v>
      </c>
      <c r="O383">
        <v>99</v>
      </c>
      <c r="P383">
        <v>3</v>
      </c>
      <c r="Q383">
        <v>2</v>
      </c>
      <c r="R383">
        <v>0</v>
      </c>
      <c r="S383">
        <v>1</v>
      </c>
      <c r="T383">
        <v>0</v>
      </c>
      <c r="U383">
        <v>408</v>
      </c>
      <c r="V383">
        <v>63</v>
      </c>
      <c r="W383">
        <v>246</v>
      </c>
      <c r="X383">
        <v>99</v>
      </c>
    </row>
    <row r="384" spans="1:24" x14ac:dyDescent="0.2">
      <c r="A384">
        <v>383</v>
      </c>
      <c r="B384" s="1">
        <v>40862</v>
      </c>
      <c r="C384" t="s">
        <v>28</v>
      </c>
      <c r="D384">
        <v>123</v>
      </c>
      <c r="E384">
        <v>19</v>
      </c>
      <c r="F384">
        <v>3</v>
      </c>
      <c r="G384" t="s">
        <v>26</v>
      </c>
      <c r="H384">
        <v>5</v>
      </c>
      <c r="I384">
        <v>40</v>
      </c>
      <c r="J384">
        <v>0</v>
      </c>
      <c r="K384">
        <v>12</v>
      </c>
      <c r="L384">
        <v>11</v>
      </c>
      <c r="M384">
        <v>25</v>
      </c>
      <c r="N384">
        <v>190</v>
      </c>
      <c r="O384">
        <v>125</v>
      </c>
      <c r="P384">
        <v>1</v>
      </c>
      <c r="Q384">
        <v>2</v>
      </c>
      <c r="R384">
        <v>3</v>
      </c>
      <c r="S384">
        <v>1</v>
      </c>
      <c r="T384">
        <v>0</v>
      </c>
      <c r="U384">
        <v>410</v>
      </c>
      <c r="V384">
        <v>52</v>
      </c>
      <c r="W384">
        <v>233</v>
      </c>
      <c r="X384">
        <v>125</v>
      </c>
    </row>
    <row r="385" spans="1:24" x14ac:dyDescent="0.2">
      <c r="A385">
        <v>384</v>
      </c>
      <c r="B385" s="1">
        <v>40862</v>
      </c>
      <c r="C385" t="s">
        <v>24</v>
      </c>
      <c r="D385">
        <v>123</v>
      </c>
      <c r="E385">
        <v>19</v>
      </c>
      <c r="F385">
        <v>3</v>
      </c>
      <c r="G385" t="s">
        <v>27</v>
      </c>
      <c r="H385">
        <v>6</v>
      </c>
      <c r="I385">
        <v>45</v>
      </c>
      <c r="J385">
        <v>0</v>
      </c>
      <c r="K385">
        <v>18</v>
      </c>
      <c r="L385">
        <v>5</v>
      </c>
      <c r="M385">
        <v>24</v>
      </c>
      <c r="N385">
        <v>255</v>
      </c>
      <c r="O385">
        <v>136</v>
      </c>
      <c r="P385">
        <v>1</v>
      </c>
      <c r="Q385">
        <v>1</v>
      </c>
      <c r="R385">
        <v>2</v>
      </c>
      <c r="S385">
        <v>0</v>
      </c>
      <c r="T385">
        <v>0</v>
      </c>
      <c r="U385">
        <v>487</v>
      </c>
      <c r="V385">
        <v>63</v>
      </c>
      <c r="W385">
        <v>288</v>
      </c>
      <c r="X385">
        <v>136</v>
      </c>
    </row>
    <row r="386" spans="1:24" x14ac:dyDescent="0.2">
      <c r="A386">
        <v>385</v>
      </c>
      <c r="B386" s="1">
        <v>40862</v>
      </c>
      <c r="C386" t="s">
        <v>28</v>
      </c>
      <c r="D386">
        <v>123</v>
      </c>
      <c r="E386">
        <v>19</v>
      </c>
      <c r="F386">
        <v>3</v>
      </c>
      <c r="G386" t="s">
        <v>27</v>
      </c>
      <c r="H386">
        <v>7</v>
      </c>
      <c r="I386">
        <v>51</v>
      </c>
      <c r="J386">
        <v>1</v>
      </c>
      <c r="K386">
        <v>17</v>
      </c>
      <c r="L386">
        <v>10</v>
      </c>
      <c r="M386">
        <v>21</v>
      </c>
      <c r="N386">
        <v>235</v>
      </c>
      <c r="O386">
        <v>198</v>
      </c>
      <c r="P386">
        <v>2</v>
      </c>
      <c r="Q386">
        <v>0</v>
      </c>
      <c r="R386">
        <v>2</v>
      </c>
      <c r="S386">
        <v>0</v>
      </c>
      <c r="T386">
        <v>0</v>
      </c>
      <c r="U386">
        <v>537</v>
      </c>
      <c r="V386">
        <v>69</v>
      </c>
      <c r="W386">
        <v>270</v>
      </c>
      <c r="X386">
        <v>198</v>
      </c>
    </row>
    <row r="387" spans="1:24" x14ac:dyDescent="0.2">
      <c r="A387">
        <v>386</v>
      </c>
      <c r="B387" s="1">
        <v>40862</v>
      </c>
      <c r="C387" t="s">
        <v>28</v>
      </c>
      <c r="D387">
        <v>123</v>
      </c>
      <c r="E387">
        <v>19</v>
      </c>
      <c r="F387">
        <v>3</v>
      </c>
      <c r="G387" t="s">
        <v>26</v>
      </c>
      <c r="H387">
        <v>8</v>
      </c>
      <c r="I387">
        <v>29</v>
      </c>
      <c r="J387">
        <v>6</v>
      </c>
      <c r="K387">
        <v>11</v>
      </c>
      <c r="L387">
        <v>6</v>
      </c>
      <c r="M387">
        <v>34</v>
      </c>
      <c r="N387">
        <v>190</v>
      </c>
      <c r="O387">
        <v>98</v>
      </c>
      <c r="P387">
        <v>0</v>
      </c>
      <c r="Q387">
        <v>0</v>
      </c>
      <c r="R387">
        <v>1</v>
      </c>
      <c r="S387">
        <v>5</v>
      </c>
      <c r="T387">
        <v>0</v>
      </c>
      <c r="U387">
        <v>380</v>
      </c>
      <c r="V387">
        <v>46</v>
      </c>
      <c r="W387">
        <v>236</v>
      </c>
      <c r="X387">
        <v>98</v>
      </c>
    </row>
    <row r="388" spans="1:24" x14ac:dyDescent="0.2">
      <c r="A388">
        <v>387</v>
      </c>
      <c r="B388" s="1">
        <v>40862</v>
      </c>
      <c r="C388" t="s">
        <v>24</v>
      </c>
      <c r="D388">
        <v>123</v>
      </c>
      <c r="E388">
        <v>19</v>
      </c>
      <c r="F388">
        <v>3</v>
      </c>
      <c r="G388" t="s">
        <v>27</v>
      </c>
      <c r="H388">
        <v>9</v>
      </c>
      <c r="I388">
        <v>48</v>
      </c>
      <c r="J388">
        <v>0</v>
      </c>
      <c r="K388">
        <v>14</v>
      </c>
      <c r="L388">
        <v>4</v>
      </c>
      <c r="M388">
        <v>22</v>
      </c>
      <c r="N388">
        <v>222</v>
      </c>
      <c r="O388">
        <v>121</v>
      </c>
      <c r="P388">
        <v>2</v>
      </c>
      <c r="Q388">
        <v>1</v>
      </c>
      <c r="R388">
        <v>2</v>
      </c>
      <c r="S388">
        <v>0</v>
      </c>
      <c r="T388">
        <v>0</v>
      </c>
      <c r="U388">
        <v>436</v>
      </c>
      <c r="V388">
        <v>62</v>
      </c>
      <c r="W388">
        <v>253</v>
      </c>
      <c r="X388">
        <v>121</v>
      </c>
    </row>
    <row r="389" spans="1:24" x14ac:dyDescent="0.2">
      <c r="A389">
        <v>388</v>
      </c>
      <c r="B389" s="1">
        <v>40865</v>
      </c>
      <c r="C389" t="s">
        <v>28</v>
      </c>
      <c r="D389">
        <v>126</v>
      </c>
      <c r="E389">
        <v>19</v>
      </c>
      <c r="F389">
        <v>6</v>
      </c>
      <c r="G389" t="s">
        <v>25</v>
      </c>
      <c r="H389">
        <v>1</v>
      </c>
      <c r="I389">
        <v>42</v>
      </c>
      <c r="J389">
        <v>6</v>
      </c>
      <c r="K389">
        <v>11</v>
      </c>
      <c r="L389">
        <v>5</v>
      </c>
      <c r="M389">
        <v>23</v>
      </c>
      <c r="N389">
        <v>225</v>
      </c>
      <c r="O389">
        <v>183</v>
      </c>
      <c r="P389">
        <v>4</v>
      </c>
      <c r="Q389">
        <v>2</v>
      </c>
      <c r="R389">
        <v>1</v>
      </c>
      <c r="S389">
        <v>2</v>
      </c>
      <c r="T389">
        <v>0</v>
      </c>
      <c r="U389">
        <v>504</v>
      </c>
      <c r="V389">
        <v>59</v>
      </c>
      <c r="W389">
        <v>262</v>
      </c>
      <c r="X389">
        <v>183</v>
      </c>
    </row>
    <row r="390" spans="1:24" x14ac:dyDescent="0.2">
      <c r="A390">
        <v>389</v>
      </c>
      <c r="B390" s="1">
        <v>40865</v>
      </c>
      <c r="C390" t="s">
        <v>24</v>
      </c>
      <c r="D390">
        <v>126</v>
      </c>
      <c r="E390">
        <v>19</v>
      </c>
      <c r="F390">
        <v>6</v>
      </c>
      <c r="G390" t="s">
        <v>25</v>
      </c>
      <c r="H390">
        <v>2</v>
      </c>
      <c r="I390">
        <v>30</v>
      </c>
      <c r="J390">
        <v>2</v>
      </c>
      <c r="K390">
        <v>7</v>
      </c>
      <c r="L390">
        <v>3</v>
      </c>
      <c r="M390">
        <v>18</v>
      </c>
      <c r="N390">
        <v>159</v>
      </c>
      <c r="O390">
        <v>113</v>
      </c>
      <c r="P390">
        <v>3</v>
      </c>
      <c r="Q390">
        <v>2</v>
      </c>
      <c r="R390">
        <v>6</v>
      </c>
      <c r="S390">
        <v>0</v>
      </c>
      <c r="T390">
        <v>0</v>
      </c>
      <c r="U390">
        <v>343</v>
      </c>
      <c r="V390">
        <v>39</v>
      </c>
      <c r="W390">
        <v>191</v>
      </c>
      <c r="X390">
        <v>113</v>
      </c>
    </row>
    <row r="391" spans="1:24" x14ac:dyDescent="0.2">
      <c r="A391">
        <v>390</v>
      </c>
      <c r="B391" s="1">
        <v>40865</v>
      </c>
      <c r="C391" t="s">
        <v>24</v>
      </c>
      <c r="D391">
        <v>126</v>
      </c>
      <c r="E391">
        <v>19</v>
      </c>
      <c r="F391">
        <v>6</v>
      </c>
      <c r="G391" t="s">
        <v>26</v>
      </c>
      <c r="H391">
        <v>3</v>
      </c>
      <c r="I391">
        <v>38</v>
      </c>
      <c r="J391">
        <v>0</v>
      </c>
      <c r="K391">
        <v>23</v>
      </c>
      <c r="L391">
        <v>4</v>
      </c>
      <c r="M391">
        <v>25</v>
      </c>
      <c r="N391">
        <v>146</v>
      </c>
      <c r="O391">
        <v>143</v>
      </c>
      <c r="P391">
        <v>3</v>
      </c>
      <c r="Q391">
        <v>2</v>
      </c>
      <c r="R391">
        <v>3</v>
      </c>
      <c r="S391">
        <v>2</v>
      </c>
      <c r="T391">
        <v>0</v>
      </c>
      <c r="U391">
        <v>389</v>
      </c>
      <c r="V391">
        <v>61</v>
      </c>
      <c r="W391">
        <v>185</v>
      </c>
      <c r="X391">
        <v>143</v>
      </c>
    </row>
    <row r="392" spans="1:24" x14ac:dyDescent="0.2">
      <c r="A392">
        <v>391</v>
      </c>
      <c r="B392" s="1">
        <v>40865</v>
      </c>
      <c r="C392" t="s">
        <v>24</v>
      </c>
      <c r="D392">
        <v>126</v>
      </c>
      <c r="E392">
        <v>19</v>
      </c>
      <c r="F392">
        <v>6</v>
      </c>
      <c r="G392" t="s">
        <v>25</v>
      </c>
      <c r="H392">
        <v>4</v>
      </c>
      <c r="I392">
        <v>57</v>
      </c>
      <c r="J392">
        <v>0</v>
      </c>
      <c r="K392">
        <v>8</v>
      </c>
      <c r="L392">
        <v>4</v>
      </c>
      <c r="M392">
        <v>15</v>
      </c>
      <c r="N392">
        <v>170</v>
      </c>
      <c r="O392">
        <v>123</v>
      </c>
      <c r="P392">
        <v>2</v>
      </c>
      <c r="Q392">
        <v>2</v>
      </c>
      <c r="R392">
        <v>3</v>
      </c>
      <c r="S392">
        <v>0</v>
      </c>
      <c r="T392">
        <v>0</v>
      </c>
      <c r="U392">
        <v>384</v>
      </c>
      <c r="V392">
        <v>65</v>
      </c>
      <c r="W392">
        <v>196</v>
      </c>
      <c r="X392">
        <v>123</v>
      </c>
    </row>
    <row r="393" spans="1:24" x14ac:dyDescent="0.2">
      <c r="A393">
        <v>392</v>
      </c>
      <c r="B393" s="1">
        <v>40865</v>
      </c>
      <c r="C393" t="s">
        <v>24</v>
      </c>
      <c r="D393">
        <v>126</v>
      </c>
      <c r="E393">
        <v>19</v>
      </c>
      <c r="F393">
        <v>6</v>
      </c>
      <c r="G393" t="s">
        <v>26</v>
      </c>
      <c r="H393">
        <v>5</v>
      </c>
      <c r="I393">
        <v>35</v>
      </c>
      <c r="J393">
        <v>2</v>
      </c>
      <c r="K393">
        <v>10</v>
      </c>
      <c r="L393">
        <v>8</v>
      </c>
      <c r="M393">
        <v>23</v>
      </c>
      <c r="N393">
        <v>151</v>
      </c>
      <c r="O393">
        <v>124</v>
      </c>
      <c r="P393">
        <v>7</v>
      </c>
      <c r="Q393">
        <v>5</v>
      </c>
      <c r="R393">
        <v>4</v>
      </c>
      <c r="S393">
        <v>0</v>
      </c>
      <c r="T393">
        <v>0</v>
      </c>
      <c r="U393">
        <v>369</v>
      </c>
      <c r="V393">
        <v>47</v>
      </c>
      <c r="W393">
        <v>198</v>
      </c>
      <c r="X393">
        <v>124</v>
      </c>
    </row>
    <row r="394" spans="1:24" x14ac:dyDescent="0.2">
      <c r="A394">
        <v>393</v>
      </c>
      <c r="B394" s="1">
        <v>40865</v>
      </c>
      <c r="C394" t="s">
        <v>24</v>
      </c>
      <c r="D394">
        <v>126</v>
      </c>
      <c r="E394">
        <v>19</v>
      </c>
      <c r="F394">
        <v>6</v>
      </c>
      <c r="G394" t="s">
        <v>27</v>
      </c>
      <c r="H394">
        <v>6</v>
      </c>
      <c r="I394">
        <v>45</v>
      </c>
      <c r="J394">
        <v>1</v>
      </c>
      <c r="K394">
        <v>19</v>
      </c>
      <c r="L394">
        <v>7</v>
      </c>
      <c r="M394">
        <v>27</v>
      </c>
      <c r="N394">
        <v>195</v>
      </c>
      <c r="O394">
        <v>126</v>
      </c>
      <c r="P394">
        <v>5</v>
      </c>
      <c r="Q394">
        <v>3</v>
      </c>
      <c r="R394">
        <v>4</v>
      </c>
      <c r="S394">
        <v>2</v>
      </c>
      <c r="T394">
        <v>1</v>
      </c>
      <c r="U394">
        <v>435</v>
      </c>
      <c r="V394">
        <v>65</v>
      </c>
      <c r="W394">
        <v>243</v>
      </c>
      <c r="X394">
        <v>126</v>
      </c>
    </row>
    <row r="395" spans="1:24" x14ac:dyDescent="0.2">
      <c r="A395">
        <v>394</v>
      </c>
      <c r="B395" s="1">
        <v>40865</v>
      </c>
      <c r="C395" t="s">
        <v>28</v>
      </c>
      <c r="D395">
        <v>126</v>
      </c>
      <c r="E395">
        <v>19</v>
      </c>
      <c r="F395">
        <v>6</v>
      </c>
      <c r="G395" t="s">
        <v>27</v>
      </c>
      <c r="H395">
        <v>7</v>
      </c>
      <c r="I395">
        <v>48</v>
      </c>
      <c r="J395">
        <v>1</v>
      </c>
      <c r="K395">
        <v>19</v>
      </c>
      <c r="L395">
        <v>9</v>
      </c>
      <c r="M395">
        <v>27</v>
      </c>
      <c r="N395">
        <v>198</v>
      </c>
      <c r="O395">
        <v>173</v>
      </c>
      <c r="P395">
        <v>3</v>
      </c>
      <c r="Q395">
        <v>4</v>
      </c>
      <c r="R395">
        <v>1</v>
      </c>
      <c r="S395">
        <v>1</v>
      </c>
      <c r="T395">
        <v>0</v>
      </c>
      <c r="U395">
        <v>484</v>
      </c>
      <c r="V395">
        <v>68</v>
      </c>
      <c r="W395">
        <v>243</v>
      </c>
      <c r="X395">
        <v>173</v>
      </c>
    </row>
    <row r="396" spans="1:24" x14ac:dyDescent="0.2">
      <c r="A396">
        <v>395</v>
      </c>
      <c r="B396" s="1">
        <v>40865</v>
      </c>
      <c r="C396" t="s">
        <v>28</v>
      </c>
      <c r="D396">
        <v>126</v>
      </c>
      <c r="E396">
        <v>19</v>
      </c>
      <c r="F396">
        <v>6</v>
      </c>
      <c r="G396" t="s">
        <v>26</v>
      </c>
      <c r="H396">
        <v>8</v>
      </c>
      <c r="I396">
        <v>28</v>
      </c>
      <c r="J396">
        <v>6</v>
      </c>
      <c r="K396">
        <v>12</v>
      </c>
      <c r="L396">
        <v>4</v>
      </c>
      <c r="M396">
        <v>24</v>
      </c>
      <c r="N396">
        <v>185</v>
      </c>
      <c r="O396">
        <v>119</v>
      </c>
      <c r="P396">
        <v>1</v>
      </c>
      <c r="Q396">
        <v>2</v>
      </c>
      <c r="R396">
        <v>2</v>
      </c>
      <c r="S396">
        <v>17</v>
      </c>
      <c r="T396">
        <v>0</v>
      </c>
      <c r="U396">
        <v>400</v>
      </c>
      <c r="V396">
        <v>46</v>
      </c>
      <c r="W396">
        <v>235</v>
      </c>
      <c r="X396">
        <v>119</v>
      </c>
    </row>
    <row r="397" spans="1:24" x14ac:dyDescent="0.2">
      <c r="A397">
        <v>396</v>
      </c>
      <c r="B397" s="1">
        <v>40865</v>
      </c>
      <c r="C397" t="s">
        <v>28</v>
      </c>
      <c r="D397">
        <v>126</v>
      </c>
      <c r="E397">
        <v>19</v>
      </c>
      <c r="F397">
        <v>6</v>
      </c>
      <c r="G397" t="s">
        <v>27</v>
      </c>
      <c r="H397">
        <v>9</v>
      </c>
      <c r="I397">
        <v>48</v>
      </c>
      <c r="J397">
        <v>0</v>
      </c>
      <c r="K397">
        <v>20</v>
      </c>
      <c r="L397">
        <v>7</v>
      </c>
      <c r="M397">
        <v>22</v>
      </c>
      <c r="N397">
        <v>211</v>
      </c>
      <c r="O397">
        <v>157</v>
      </c>
      <c r="P397">
        <v>2</v>
      </c>
      <c r="Q397">
        <v>6</v>
      </c>
      <c r="R397">
        <v>2</v>
      </c>
      <c r="S397">
        <v>0</v>
      </c>
      <c r="T397">
        <v>0</v>
      </c>
      <c r="U397">
        <v>475</v>
      </c>
      <c r="V397">
        <v>68</v>
      </c>
      <c r="W397">
        <v>250</v>
      </c>
      <c r="X397">
        <v>157</v>
      </c>
    </row>
    <row r="398" spans="1:24" x14ac:dyDescent="0.2">
      <c r="A398">
        <v>397</v>
      </c>
      <c r="B398" s="1">
        <v>40869</v>
      </c>
      <c r="C398" t="s">
        <v>28</v>
      </c>
      <c r="D398">
        <v>130</v>
      </c>
      <c r="E398">
        <v>20</v>
      </c>
      <c r="F398">
        <v>3</v>
      </c>
      <c r="G398" t="s">
        <v>25</v>
      </c>
      <c r="H398">
        <v>1</v>
      </c>
      <c r="I398">
        <v>39</v>
      </c>
      <c r="J398">
        <v>6</v>
      </c>
      <c r="K398">
        <v>11</v>
      </c>
      <c r="L398">
        <v>7</v>
      </c>
      <c r="M398">
        <v>27</v>
      </c>
      <c r="N398">
        <v>255</v>
      </c>
      <c r="O398">
        <v>215</v>
      </c>
      <c r="P398">
        <v>3</v>
      </c>
      <c r="Q398">
        <v>5</v>
      </c>
      <c r="R398">
        <v>1</v>
      </c>
      <c r="S398">
        <v>1</v>
      </c>
      <c r="T398">
        <v>0</v>
      </c>
      <c r="U398">
        <v>570</v>
      </c>
      <c r="V398">
        <v>56</v>
      </c>
      <c r="W398">
        <v>299</v>
      </c>
      <c r="X398">
        <v>215</v>
      </c>
    </row>
    <row r="399" spans="1:24" x14ac:dyDescent="0.2">
      <c r="A399">
        <v>398</v>
      </c>
      <c r="B399" s="1">
        <v>40869</v>
      </c>
      <c r="C399" t="s">
        <v>28</v>
      </c>
      <c r="D399">
        <v>130</v>
      </c>
      <c r="E399">
        <v>20</v>
      </c>
      <c r="F399">
        <v>3</v>
      </c>
      <c r="G399" t="s">
        <v>25</v>
      </c>
      <c r="H399">
        <v>2</v>
      </c>
      <c r="I399">
        <v>29</v>
      </c>
      <c r="J399">
        <v>2</v>
      </c>
      <c r="K399">
        <v>8</v>
      </c>
      <c r="L399">
        <v>8</v>
      </c>
      <c r="M399">
        <v>27</v>
      </c>
      <c r="N399">
        <v>192</v>
      </c>
      <c r="O399">
        <v>151</v>
      </c>
      <c r="P399">
        <v>5</v>
      </c>
      <c r="Q399">
        <v>4</v>
      </c>
      <c r="R399">
        <v>1</v>
      </c>
      <c r="S399">
        <v>1</v>
      </c>
      <c r="T399">
        <v>0</v>
      </c>
      <c r="U399">
        <v>428</v>
      </c>
      <c r="V399">
        <v>39</v>
      </c>
      <c r="W399">
        <v>238</v>
      </c>
      <c r="X399">
        <v>151</v>
      </c>
    </row>
    <row r="400" spans="1:24" x14ac:dyDescent="0.2">
      <c r="A400">
        <v>399</v>
      </c>
      <c r="B400" s="1">
        <v>40869</v>
      </c>
      <c r="C400" t="s">
        <v>24</v>
      </c>
      <c r="D400">
        <v>130</v>
      </c>
      <c r="E400">
        <v>20</v>
      </c>
      <c r="F400">
        <v>3</v>
      </c>
      <c r="G400" t="s">
        <v>26</v>
      </c>
      <c r="H400">
        <v>3</v>
      </c>
      <c r="I400">
        <v>38</v>
      </c>
      <c r="J400">
        <v>0</v>
      </c>
      <c r="K400">
        <v>18</v>
      </c>
      <c r="L400">
        <v>4</v>
      </c>
      <c r="M400">
        <v>21</v>
      </c>
      <c r="N400">
        <v>199</v>
      </c>
      <c r="O400">
        <v>150</v>
      </c>
      <c r="P400">
        <v>1</v>
      </c>
      <c r="Q400">
        <v>1</v>
      </c>
      <c r="R400">
        <v>3</v>
      </c>
      <c r="S400">
        <v>0</v>
      </c>
      <c r="T400">
        <v>0</v>
      </c>
      <c r="U400">
        <v>435</v>
      </c>
      <c r="V400">
        <v>56</v>
      </c>
      <c r="W400">
        <v>229</v>
      </c>
      <c r="X400">
        <v>150</v>
      </c>
    </row>
    <row r="401" spans="1:24" x14ac:dyDescent="0.2">
      <c r="A401">
        <v>400</v>
      </c>
      <c r="B401" s="1">
        <v>40869</v>
      </c>
      <c r="C401" t="s">
        <v>24</v>
      </c>
      <c r="D401">
        <v>130</v>
      </c>
      <c r="E401">
        <v>20</v>
      </c>
      <c r="F401">
        <v>3</v>
      </c>
      <c r="G401" t="s">
        <v>25</v>
      </c>
      <c r="H401">
        <v>4</v>
      </c>
      <c r="I401">
        <v>52</v>
      </c>
      <c r="J401">
        <v>0</v>
      </c>
      <c r="K401">
        <v>7</v>
      </c>
      <c r="L401">
        <v>3</v>
      </c>
      <c r="M401">
        <v>25</v>
      </c>
      <c r="N401">
        <v>228</v>
      </c>
      <c r="O401">
        <v>161</v>
      </c>
      <c r="P401">
        <v>3</v>
      </c>
      <c r="Q401">
        <v>6</v>
      </c>
      <c r="R401">
        <v>7</v>
      </c>
      <c r="S401">
        <v>0</v>
      </c>
      <c r="T401">
        <v>1</v>
      </c>
      <c r="U401">
        <v>493</v>
      </c>
      <c r="V401">
        <v>59</v>
      </c>
      <c r="W401">
        <v>272</v>
      </c>
      <c r="X401">
        <v>161</v>
      </c>
    </row>
    <row r="402" spans="1:24" x14ac:dyDescent="0.2">
      <c r="A402">
        <v>401</v>
      </c>
      <c r="B402" s="1">
        <v>40869</v>
      </c>
      <c r="C402" t="s">
        <v>28</v>
      </c>
      <c r="D402">
        <v>130</v>
      </c>
      <c r="E402">
        <v>20</v>
      </c>
      <c r="F402">
        <v>3</v>
      </c>
      <c r="G402" t="s">
        <v>26</v>
      </c>
      <c r="H402">
        <v>5</v>
      </c>
      <c r="I402">
        <v>39</v>
      </c>
      <c r="J402">
        <v>2</v>
      </c>
      <c r="K402">
        <v>14</v>
      </c>
      <c r="L402">
        <v>10</v>
      </c>
      <c r="M402">
        <v>28</v>
      </c>
      <c r="N402">
        <v>229</v>
      </c>
      <c r="O402">
        <v>133</v>
      </c>
      <c r="P402">
        <v>3</v>
      </c>
      <c r="Q402">
        <v>1</v>
      </c>
      <c r="R402">
        <v>6</v>
      </c>
      <c r="S402">
        <v>1</v>
      </c>
      <c r="T402">
        <v>0</v>
      </c>
      <c r="U402">
        <v>466</v>
      </c>
      <c r="V402">
        <v>55</v>
      </c>
      <c r="W402">
        <v>278</v>
      </c>
      <c r="X402">
        <v>133</v>
      </c>
    </row>
    <row r="403" spans="1:24" x14ac:dyDescent="0.2">
      <c r="A403">
        <v>402</v>
      </c>
      <c r="B403" s="1">
        <v>40869</v>
      </c>
      <c r="C403" t="s">
        <v>24</v>
      </c>
      <c r="D403">
        <v>130</v>
      </c>
      <c r="E403">
        <v>20</v>
      </c>
      <c r="F403">
        <v>3</v>
      </c>
      <c r="G403" t="s">
        <v>27</v>
      </c>
      <c r="H403">
        <v>6</v>
      </c>
      <c r="I403">
        <v>48</v>
      </c>
      <c r="J403">
        <v>0</v>
      </c>
      <c r="K403">
        <v>18</v>
      </c>
      <c r="L403">
        <v>6</v>
      </c>
      <c r="M403">
        <v>25</v>
      </c>
      <c r="N403">
        <v>177</v>
      </c>
      <c r="O403">
        <v>152</v>
      </c>
      <c r="P403">
        <v>3</v>
      </c>
      <c r="Q403">
        <v>2</v>
      </c>
      <c r="R403">
        <v>4</v>
      </c>
      <c r="S403">
        <v>0</v>
      </c>
      <c r="T403">
        <v>0</v>
      </c>
      <c r="U403">
        <v>435</v>
      </c>
      <c r="V403">
        <v>66</v>
      </c>
      <c r="W403">
        <v>217</v>
      </c>
      <c r="X403">
        <v>152</v>
      </c>
    </row>
    <row r="404" spans="1:24" x14ac:dyDescent="0.2">
      <c r="A404">
        <v>403</v>
      </c>
      <c r="B404" s="1">
        <v>40869</v>
      </c>
      <c r="C404" t="s">
        <v>24</v>
      </c>
      <c r="D404">
        <v>130</v>
      </c>
      <c r="E404">
        <v>20</v>
      </c>
      <c r="F404">
        <v>3</v>
      </c>
      <c r="G404" t="s">
        <v>27</v>
      </c>
      <c r="H404">
        <v>7</v>
      </c>
      <c r="I404">
        <v>44</v>
      </c>
      <c r="J404">
        <v>2</v>
      </c>
      <c r="K404">
        <v>22</v>
      </c>
      <c r="L404">
        <v>9</v>
      </c>
      <c r="M404">
        <v>24</v>
      </c>
      <c r="N404">
        <v>294</v>
      </c>
      <c r="O404">
        <v>137</v>
      </c>
      <c r="P404">
        <v>4</v>
      </c>
      <c r="Q404">
        <v>3</v>
      </c>
      <c r="R404">
        <v>7</v>
      </c>
      <c r="S404">
        <v>0</v>
      </c>
      <c r="T404">
        <v>0</v>
      </c>
      <c r="U404">
        <v>546</v>
      </c>
      <c r="V404">
        <v>68</v>
      </c>
      <c r="W404">
        <v>341</v>
      </c>
      <c r="X404">
        <v>137</v>
      </c>
    </row>
    <row r="405" spans="1:24" x14ac:dyDescent="0.2">
      <c r="A405">
        <v>404</v>
      </c>
      <c r="B405" s="1">
        <v>40869</v>
      </c>
      <c r="C405" t="s">
        <v>24</v>
      </c>
      <c r="D405">
        <v>130</v>
      </c>
      <c r="E405">
        <v>20</v>
      </c>
      <c r="F405">
        <v>3</v>
      </c>
      <c r="G405" t="s">
        <v>26</v>
      </c>
      <c r="H405">
        <v>8</v>
      </c>
      <c r="I405">
        <v>26</v>
      </c>
      <c r="J405">
        <v>5</v>
      </c>
      <c r="K405">
        <v>11</v>
      </c>
      <c r="L405">
        <v>2</v>
      </c>
      <c r="M405">
        <v>35</v>
      </c>
      <c r="N405">
        <v>170</v>
      </c>
      <c r="O405">
        <v>124</v>
      </c>
      <c r="P405">
        <v>3</v>
      </c>
      <c r="Q405">
        <v>2</v>
      </c>
      <c r="R405">
        <v>2</v>
      </c>
      <c r="S405">
        <v>10</v>
      </c>
      <c r="T405">
        <v>0</v>
      </c>
      <c r="U405">
        <v>390</v>
      </c>
      <c r="V405">
        <v>42</v>
      </c>
      <c r="W405">
        <v>224</v>
      </c>
      <c r="X405">
        <v>124</v>
      </c>
    </row>
    <row r="406" spans="1:24" x14ac:dyDescent="0.2">
      <c r="A406">
        <v>405</v>
      </c>
      <c r="B406" s="1">
        <v>40869</v>
      </c>
      <c r="C406" t="s">
        <v>28</v>
      </c>
      <c r="D406">
        <v>130</v>
      </c>
      <c r="E406">
        <v>20</v>
      </c>
      <c r="F406">
        <v>3</v>
      </c>
      <c r="G406" t="s">
        <v>27</v>
      </c>
      <c r="H406">
        <v>9</v>
      </c>
      <c r="I406">
        <v>53</v>
      </c>
      <c r="J406">
        <v>1</v>
      </c>
      <c r="K406">
        <v>22</v>
      </c>
      <c r="L406">
        <v>5</v>
      </c>
      <c r="M406">
        <v>31</v>
      </c>
      <c r="N406">
        <v>222</v>
      </c>
      <c r="O406">
        <v>197</v>
      </c>
      <c r="P406">
        <v>2</v>
      </c>
      <c r="Q406">
        <v>5</v>
      </c>
      <c r="R406">
        <v>3</v>
      </c>
      <c r="S406">
        <v>0</v>
      </c>
      <c r="T406">
        <v>0</v>
      </c>
      <c r="U406">
        <v>541</v>
      </c>
      <c r="V406">
        <v>76</v>
      </c>
      <c r="W406">
        <v>268</v>
      </c>
      <c r="X406">
        <v>197</v>
      </c>
    </row>
    <row r="407" spans="1:24" x14ac:dyDescent="0.2">
      <c r="A407">
        <v>406</v>
      </c>
      <c r="B407" s="1">
        <v>40872</v>
      </c>
      <c r="C407" t="s">
        <v>28</v>
      </c>
      <c r="D407">
        <v>133</v>
      </c>
      <c r="E407">
        <v>20</v>
      </c>
      <c r="F407">
        <v>6</v>
      </c>
      <c r="G407" t="s">
        <v>25</v>
      </c>
      <c r="H407">
        <v>1</v>
      </c>
      <c r="I407">
        <v>37</v>
      </c>
      <c r="J407">
        <v>4</v>
      </c>
      <c r="K407">
        <v>7</v>
      </c>
      <c r="L407">
        <v>5</v>
      </c>
      <c r="M407">
        <v>22</v>
      </c>
      <c r="N407">
        <v>266</v>
      </c>
      <c r="O407">
        <v>205</v>
      </c>
      <c r="P407">
        <v>3</v>
      </c>
      <c r="Q407">
        <v>2</v>
      </c>
      <c r="R407">
        <v>1</v>
      </c>
      <c r="S407">
        <v>1</v>
      </c>
      <c r="T407">
        <v>0</v>
      </c>
      <c r="U407">
        <v>553</v>
      </c>
      <c r="V407">
        <v>48</v>
      </c>
      <c r="W407">
        <v>300</v>
      </c>
      <c r="X407">
        <v>205</v>
      </c>
    </row>
    <row r="408" spans="1:24" x14ac:dyDescent="0.2">
      <c r="A408">
        <v>407</v>
      </c>
      <c r="B408" s="1">
        <v>40872</v>
      </c>
      <c r="C408" t="s">
        <v>28</v>
      </c>
      <c r="D408">
        <v>133</v>
      </c>
      <c r="E408">
        <v>20</v>
      </c>
      <c r="F408">
        <v>6</v>
      </c>
      <c r="G408" t="s">
        <v>25</v>
      </c>
      <c r="H408">
        <v>2</v>
      </c>
      <c r="I408">
        <v>28</v>
      </c>
      <c r="J408">
        <v>1</v>
      </c>
      <c r="K408">
        <v>6</v>
      </c>
      <c r="L408">
        <v>6</v>
      </c>
      <c r="M408">
        <v>22</v>
      </c>
      <c r="N408">
        <v>196</v>
      </c>
      <c r="O408">
        <v>178</v>
      </c>
      <c r="P408">
        <v>2</v>
      </c>
      <c r="Q408">
        <v>4</v>
      </c>
      <c r="R408">
        <v>1</v>
      </c>
      <c r="S408">
        <v>1</v>
      </c>
      <c r="T408">
        <v>0</v>
      </c>
      <c r="U408">
        <v>445</v>
      </c>
      <c r="V408">
        <v>35</v>
      </c>
      <c r="W408">
        <v>232</v>
      </c>
      <c r="X408">
        <v>178</v>
      </c>
    </row>
    <row r="409" spans="1:24" x14ac:dyDescent="0.2">
      <c r="A409">
        <v>408</v>
      </c>
      <c r="B409" s="1">
        <v>40872</v>
      </c>
      <c r="C409" t="s">
        <v>28</v>
      </c>
      <c r="D409">
        <v>133</v>
      </c>
      <c r="E409">
        <v>20</v>
      </c>
      <c r="F409">
        <v>6</v>
      </c>
      <c r="G409" t="s">
        <v>26</v>
      </c>
      <c r="H409">
        <v>3</v>
      </c>
      <c r="I409">
        <v>37</v>
      </c>
      <c r="J409">
        <v>0</v>
      </c>
      <c r="K409">
        <v>13</v>
      </c>
      <c r="L409">
        <v>7</v>
      </c>
      <c r="M409">
        <v>19</v>
      </c>
      <c r="N409">
        <v>178</v>
      </c>
      <c r="O409">
        <v>209</v>
      </c>
      <c r="P409">
        <v>3</v>
      </c>
      <c r="Q409">
        <v>2</v>
      </c>
      <c r="R409">
        <v>0</v>
      </c>
      <c r="S409">
        <v>1</v>
      </c>
      <c r="T409">
        <v>0</v>
      </c>
      <c r="U409">
        <v>469</v>
      </c>
      <c r="V409">
        <v>50</v>
      </c>
      <c r="W409">
        <v>210</v>
      </c>
      <c r="X409">
        <v>209</v>
      </c>
    </row>
    <row r="410" spans="1:24" x14ac:dyDescent="0.2">
      <c r="A410">
        <v>409</v>
      </c>
      <c r="B410" s="1">
        <v>40872</v>
      </c>
      <c r="C410" t="s">
        <v>28</v>
      </c>
      <c r="D410">
        <v>133</v>
      </c>
      <c r="E410">
        <v>20</v>
      </c>
      <c r="F410">
        <v>6</v>
      </c>
      <c r="G410" t="s">
        <v>25</v>
      </c>
      <c r="H410">
        <v>4</v>
      </c>
      <c r="I410">
        <v>54</v>
      </c>
      <c r="J410">
        <v>1</v>
      </c>
      <c r="K410">
        <v>16</v>
      </c>
      <c r="L410">
        <v>7</v>
      </c>
      <c r="M410">
        <v>24</v>
      </c>
      <c r="N410">
        <v>227</v>
      </c>
      <c r="O410">
        <v>141</v>
      </c>
      <c r="P410">
        <v>2</v>
      </c>
      <c r="Q410">
        <v>1</v>
      </c>
      <c r="R410">
        <v>0</v>
      </c>
      <c r="S410">
        <v>1</v>
      </c>
      <c r="T410">
        <v>0</v>
      </c>
      <c r="U410">
        <v>474</v>
      </c>
      <c r="V410">
        <v>71</v>
      </c>
      <c r="W410">
        <v>262</v>
      </c>
      <c r="X410">
        <v>141</v>
      </c>
    </row>
    <row r="411" spans="1:24" x14ac:dyDescent="0.2">
      <c r="A411">
        <v>410</v>
      </c>
      <c r="B411" s="1">
        <v>40872</v>
      </c>
      <c r="C411" t="s">
        <v>28</v>
      </c>
      <c r="D411">
        <v>133</v>
      </c>
      <c r="E411">
        <v>20</v>
      </c>
      <c r="F411">
        <v>6</v>
      </c>
      <c r="G411" t="s">
        <v>26</v>
      </c>
      <c r="H411">
        <v>5</v>
      </c>
      <c r="I411">
        <v>36</v>
      </c>
      <c r="J411">
        <v>1</v>
      </c>
      <c r="K411">
        <v>11</v>
      </c>
      <c r="L411">
        <v>4</v>
      </c>
      <c r="M411">
        <v>29</v>
      </c>
      <c r="N411">
        <v>265</v>
      </c>
      <c r="O411">
        <v>198</v>
      </c>
      <c r="P411">
        <v>3</v>
      </c>
      <c r="Q411">
        <v>1</v>
      </c>
      <c r="R411">
        <v>0</v>
      </c>
      <c r="S411">
        <v>1</v>
      </c>
      <c r="T411">
        <v>0</v>
      </c>
      <c r="U411">
        <v>549</v>
      </c>
      <c r="V411">
        <v>48</v>
      </c>
      <c r="W411">
        <v>303</v>
      </c>
      <c r="X411">
        <v>198</v>
      </c>
    </row>
    <row r="412" spans="1:24" x14ac:dyDescent="0.2">
      <c r="A412">
        <v>411</v>
      </c>
      <c r="B412" s="1">
        <v>40872</v>
      </c>
      <c r="C412" t="s">
        <v>28</v>
      </c>
      <c r="D412">
        <v>133</v>
      </c>
      <c r="E412">
        <v>20</v>
      </c>
      <c r="F412">
        <v>6</v>
      </c>
      <c r="G412" t="s">
        <v>27</v>
      </c>
      <c r="H412">
        <v>6</v>
      </c>
      <c r="I412">
        <v>39</v>
      </c>
      <c r="J412">
        <v>0</v>
      </c>
      <c r="K412">
        <v>16</v>
      </c>
      <c r="L412">
        <v>6</v>
      </c>
      <c r="M412">
        <v>23</v>
      </c>
      <c r="N412">
        <v>183</v>
      </c>
      <c r="O412">
        <v>213</v>
      </c>
      <c r="P412">
        <v>0</v>
      </c>
      <c r="Q412">
        <v>1</v>
      </c>
      <c r="R412">
        <v>1</v>
      </c>
      <c r="S412">
        <v>1</v>
      </c>
      <c r="T412">
        <v>0</v>
      </c>
      <c r="U412">
        <v>483</v>
      </c>
      <c r="V412">
        <v>55</v>
      </c>
      <c r="W412">
        <v>215</v>
      </c>
      <c r="X412">
        <v>213</v>
      </c>
    </row>
    <row r="413" spans="1:24" x14ac:dyDescent="0.2">
      <c r="A413">
        <v>412</v>
      </c>
      <c r="B413" s="1">
        <v>40872</v>
      </c>
      <c r="C413" t="s">
        <v>28</v>
      </c>
      <c r="D413">
        <v>133</v>
      </c>
      <c r="E413">
        <v>20</v>
      </c>
      <c r="F413">
        <v>6</v>
      </c>
      <c r="G413" t="s">
        <v>27</v>
      </c>
      <c r="H413">
        <v>7</v>
      </c>
      <c r="I413">
        <v>49</v>
      </c>
      <c r="J413">
        <v>1</v>
      </c>
      <c r="K413">
        <v>20</v>
      </c>
      <c r="L413">
        <v>12</v>
      </c>
      <c r="M413">
        <v>25</v>
      </c>
      <c r="N413">
        <v>228</v>
      </c>
      <c r="O413">
        <v>167</v>
      </c>
      <c r="P413">
        <v>0</v>
      </c>
      <c r="Q413">
        <v>3</v>
      </c>
      <c r="R413">
        <v>3</v>
      </c>
      <c r="S413">
        <v>1</v>
      </c>
      <c r="T413">
        <v>0</v>
      </c>
      <c r="U413">
        <v>509</v>
      </c>
      <c r="V413">
        <v>70</v>
      </c>
      <c r="W413">
        <v>272</v>
      </c>
      <c r="X413">
        <v>167</v>
      </c>
    </row>
    <row r="414" spans="1:24" x14ac:dyDescent="0.2">
      <c r="A414">
        <v>413</v>
      </c>
      <c r="B414" s="1">
        <v>40872</v>
      </c>
      <c r="C414" t="s">
        <v>28</v>
      </c>
      <c r="D414">
        <v>133</v>
      </c>
      <c r="E414">
        <v>20</v>
      </c>
      <c r="F414">
        <v>6</v>
      </c>
      <c r="G414" t="s">
        <v>26</v>
      </c>
      <c r="H414">
        <v>8</v>
      </c>
      <c r="I414">
        <v>31</v>
      </c>
      <c r="J414">
        <v>6</v>
      </c>
      <c r="K414">
        <v>13</v>
      </c>
      <c r="L414">
        <v>4</v>
      </c>
      <c r="M414">
        <v>21</v>
      </c>
      <c r="N414">
        <v>197</v>
      </c>
      <c r="O414">
        <v>164</v>
      </c>
      <c r="P414">
        <v>2</v>
      </c>
      <c r="Q414">
        <v>1</v>
      </c>
      <c r="R414">
        <v>0</v>
      </c>
      <c r="S414">
        <v>5</v>
      </c>
      <c r="T414">
        <v>0</v>
      </c>
      <c r="U414">
        <v>444</v>
      </c>
      <c r="V414">
        <v>50</v>
      </c>
      <c r="W414">
        <v>230</v>
      </c>
      <c r="X414">
        <v>164</v>
      </c>
    </row>
    <row r="415" spans="1:24" x14ac:dyDescent="0.2">
      <c r="A415">
        <v>414</v>
      </c>
      <c r="B415" s="1">
        <v>40872</v>
      </c>
      <c r="C415" t="s">
        <v>28</v>
      </c>
      <c r="D415">
        <v>133</v>
      </c>
      <c r="E415">
        <v>20</v>
      </c>
      <c r="F415">
        <v>6</v>
      </c>
      <c r="G415" t="s">
        <v>27</v>
      </c>
      <c r="H415">
        <v>9</v>
      </c>
      <c r="I415">
        <v>52</v>
      </c>
      <c r="J415">
        <v>1</v>
      </c>
      <c r="K415">
        <v>20</v>
      </c>
      <c r="L415">
        <v>5</v>
      </c>
      <c r="M415">
        <v>27</v>
      </c>
      <c r="N415">
        <v>258</v>
      </c>
      <c r="O415">
        <v>153</v>
      </c>
      <c r="P415">
        <v>1</v>
      </c>
      <c r="Q415">
        <v>2</v>
      </c>
      <c r="R415">
        <v>1</v>
      </c>
      <c r="S415">
        <v>1</v>
      </c>
      <c r="T415">
        <v>0</v>
      </c>
      <c r="U415">
        <v>521</v>
      </c>
      <c r="V415">
        <v>73</v>
      </c>
      <c r="W415">
        <v>295</v>
      </c>
      <c r="X415">
        <v>153</v>
      </c>
    </row>
    <row r="416" spans="1:24" x14ac:dyDescent="0.2">
      <c r="A416">
        <v>415</v>
      </c>
      <c r="B416" s="1">
        <v>40876</v>
      </c>
      <c r="C416" t="s">
        <v>28</v>
      </c>
      <c r="D416">
        <v>137</v>
      </c>
      <c r="E416">
        <v>21</v>
      </c>
      <c r="F416">
        <v>3</v>
      </c>
      <c r="G416" t="s">
        <v>25</v>
      </c>
      <c r="H416">
        <v>1</v>
      </c>
      <c r="I416">
        <v>39</v>
      </c>
      <c r="J416">
        <v>2</v>
      </c>
      <c r="K416">
        <v>7</v>
      </c>
      <c r="L416">
        <v>5</v>
      </c>
      <c r="M416">
        <v>30</v>
      </c>
      <c r="N416">
        <v>227</v>
      </c>
      <c r="O416">
        <v>193</v>
      </c>
      <c r="P416">
        <v>1</v>
      </c>
      <c r="Q416">
        <v>1</v>
      </c>
      <c r="R416">
        <v>2</v>
      </c>
      <c r="S416">
        <v>1</v>
      </c>
      <c r="T416">
        <v>0</v>
      </c>
      <c r="U416">
        <v>508</v>
      </c>
      <c r="V416">
        <v>48</v>
      </c>
      <c r="W416">
        <v>267</v>
      </c>
      <c r="X416">
        <v>193</v>
      </c>
    </row>
    <row r="417" spans="1:24" x14ac:dyDescent="0.2">
      <c r="A417">
        <v>416</v>
      </c>
      <c r="B417" s="1">
        <v>40876</v>
      </c>
      <c r="C417" t="s">
        <v>24</v>
      </c>
      <c r="D417">
        <v>137</v>
      </c>
      <c r="E417">
        <v>21</v>
      </c>
      <c r="F417">
        <v>3</v>
      </c>
      <c r="G417" t="s">
        <v>25</v>
      </c>
      <c r="H417">
        <v>2</v>
      </c>
      <c r="I417">
        <v>26</v>
      </c>
      <c r="J417">
        <v>1</v>
      </c>
      <c r="K417">
        <v>6</v>
      </c>
      <c r="L417">
        <v>6</v>
      </c>
      <c r="M417">
        <v>18</v>
      </c>
      <c r="N417">
        <v>174</v>
      </c>
      <c r="O417">
        <v>134</v>
      </c>
      <c r="P417">
        <v>4</v>
      </c>
      <c r="Q417">
        <v>4</v>
      </c>
      <c r="R417">
        <v>5</v>
      </c>
      <c r="S417">
        <v>0</v>
      </c>
      <c r="T417">
        <v>0</v>
      </c>
      <c r="U417">
        <v>378</v>
      </c>
      <c r="V417">
        <v>33</v>
      </c>
      <c r="W417">
        <v>211</v>
      </c>
      <c r="X417">
        <v>134</v>
      </c>
    </row>
    <row r="418" spans="1:24" x14ac:dyDescent="0.2">
      <c r="A418">
        <v>417</v>
      </c>
      <c r="B418" s="1">
        <v>40876</v>
      </c>
      <c r="C418" t="s">
        <v>24</v>
      </c>
      <c r="D418">
        <v>137</v>
      </c>
      <c r="E418">
        <v>21</v>
      </c>
      <c r="F418">
        <v>3</v>
      </c>
      <c r="G418" t="s">
        <v>26</v>
      </c>
      <c r="H418">
        <v>3</v>
      </c>
      <c r="I418">
        <v>33</v>
      </c>
      <c r="J418">
        <v>0</v>
      </c>
      <c r="K418">
        <v>16</v>
      </c>
      <c r="L418">
        <v>5</v>
      </c>
      <c r="M418">
        <v>18</v>
      </c>
      <c r="N418">
        <v>176</v>
      </c>
      <c r="O418">
        <v>164</v>
      </c>
      <c r="P418">
        <v>1</v>
      </c>
      <c r="Q418">
        <v>4</v>
      </c>
      <c r="R418">
        <v>4</v>
      </c>
      <c r="S418">
        <v>3</v>
      </c>
      <c r="T418">
        <v>0</v>
      </c>
      <c r="U418">
        <v>424</v>
      </c>
      <c r="V418">
        <v>49</v>
      </c>
      <c r="W418">
        <v>211</v>
      </c>
      <c r="X418">
        <v>164</v>
      </c>
    </row>
    <row r="419" spans="1:24" x14ac:dyDescent="0.2">
      <c r="A419">
        <v>418</v>
      </c>
      <c r="B419" s="1">
        <v>40876</v>
      </c>
      <c r="C419" t="s">
        <v>24</v>
      </c>
      <c r="D419">
        <v>137</v>
      </c>
      <c r="E419">
        <v>21</v>
      </c>
      <c r="F419">
        <v>3</v>
      </c>
      <c r="G419" t="s">
        <v>25</v>
      </c>
      <c r="H419">
        <v>4</v>
      </c>
      <c r="I419">
        <v>49</v>
      </c>
      <c r="J419">
        <v>0</v>
      </c>
      <c r="K419">
        <v>6</v>
      </c>
      <c r="L419">
        <v>5</v>
      </c>
      <c r="M419">
        <v>21</v>
      </c>
      <c r="N419">
        <v>223</v>
      </c>
      <c r="O419">
        <v>119</v>
      </c>
      <c r="P419">
        <v>2</v>
      </c>
      <c r="Q419">
        <v>2</v>
      </c>
      <c r="R419">
        <v>2</v>
      </c>
      <c r="S419">
        <v>1</v>
      </c>
      <c r="T419">
        <v>0</v>
      </c>
      <c r="U419">
        <v>430</v>
      </c>
      <c r="V419">
        <v>55</v>
      </c>
      <c r="W419">
        <v>256</v>
      </c>
      <c r="X419">
        <v>119</v>
      </c>
    </row>
    <row r="420" spans="1:24" x14ac:dyDescent="0.2">
      <c r="A420">
        <v>419</v>
      </c>
      <c r="B420" s="1">
        <v>40876</v>
      </c>
      <c r="C420" t="s">
        <v>28</v>
      </c>
      <c r="D420">
        <v>137</v>
      </c>
      <c r="E420">
        <v>21</v>
      </c>
      <c r="F420">
        <v>3</v>
      </c>
      <c r="G420" t="s">
        <v>26</v>
      </c>
      <c r="H420">
        <v>5</v>
      </c>
      <c r="I420">
        <v>33</v>
      </c>
      <c r="J420">
        <v>2</v>
      </c>
      <c r="K420">
        <v>13</v>
      </c>
      <c r="L420">
        <v>7</v>
      </c>
      <c r="M420">
        <v>27</v>
      </c>
      <c r="N420">
        <v>211</v>
      </c>
      <c r="O420">
        <v>174</v>
      </c>
      <c r="P420">
        <v>0</v>
      </c>
      <c r="Q420">
        <v>4</v>
      </c>
      <c r="R420">
        <v>3</v>
      </c>
      <c r="S420">
        <v>1</v>
      </c>
      <c r="T420">
        <v>0</v>
      </c>
      <c r="U420">
        <v>475</v>
      </c>
      <c r="V420">
        <v>48</v>
      </c>
      <c r="W420">
        <v>253</v>
      </c>
      <c r="X420">
        <v>174</v>
      </c>
    </row>
    <row r="421" spans="1:24" x14ac:dyDescent="0.2">
      <c r="A421">
        <v>420</v>
      </c>
      <c r="B421" s="1">
        <v>40876</v>
      </c>
      <c r="C421" t="s">
        <v>24</v>
      </c>
      <c r="D421">
        <v>137</v>
      </c>
      <c r="E421">
        <v>21</v>
      </c>
      <c r="F421">
        <v>3</v>
      </c>
      <c r="G421" t="s">
        <v>27</v>
      </c>
      <c r="H421">
        <v>6</v>
      </c>
      <c r="I421">
        <v>34</v>
      </c>
      <c r="J421">
        <v>1</v>
      </c>
      <c r="K421">
        <v>15</v>
      </c>
      <c r="L421">
        <v>7</v>
      </c>
      <c r="M421">
        <v>20</v>
      </c>
      <c r="N421">
        <v>175</v>
      </c>
      <c r="O421">
        <v>142</v>
      </c>
      <c r="P421">
        <v>1</v>
      </c>
      <c r="Q421">
        <v>4</v>
      </c>
      <c r="R421">
        <v>3</v>
      </c>
      <c r="S421">
        <v>3</v>
      </c>
      <c r="T421">
        <v>0</v>
      </c>
      <c r="U421">
        <v>405</v>
      </c>
      <c r="V421">
        <v>50</v>
      </c>
      <c r="W421">
        <v>213</v>
      </c>
      <c r="X421">
        <v>142</v>
      </c>
    </row>
    <row r="422" spans="1:24" x14ac:dyDescent="0.2">
      <c r="A422">
        <v>421</v>
      </c>
      <c r="B422" s="1">
        <v>40876</v>
      </c>
      <c r="C422" t="s">
        <v>28</v>
      </c>
      <c r="D422">
        <v>137</v>
      </c>
      <c r="E422">
        <v>21</v>
      </c>
      <c r="F422">
        <v>3</v>
      </c>
      <c r="G422" t="s">
        <v>27</v>
      </c>
      <c r="H422">
        <v>7</v>
      </c>
      <c r="I422">
        <v>53</v>
      </c>
      <c r="J422">
        <v>1</v>
      </c>
      <c r="K422">
        <v>20</v>
      </c>
      <c r="L422">
        <v>8</v>
      </c>
      <c r="M422">
        <v>24</v>
      </c>
      <c r="N422">
        <v>214</v>
      </c>
      <c r="O422">
        <v>158</v>
      </c>
      <c r="P422">
        <v>1</v>
      </c>
      <c r="Q422">
        <v>4</v>
      </c>
      <c r="R422">
        <v>4</v>
      </c>
      <c r="S422">
        <v>1</v>
      </c>
      <c r="T422">
        <v>0</v>
      </c>
      <c r="U422">
        <v>488</v>
      </c>
      <c r="V422">
        <v>74</v>
      </c>
      <c r="W422">
        <v>256</v>
      </c>
      <c r="X422">
        <v>158</v>
      </c>
    </row>
    <row r="423" spans="1:24" x14ac:dyDescent="0.2">
      <c r="A423">
        <v>422</v>
      </c>
      <c r="B423" s="1">
        <v>40876</v>
      </c>
      <c r="C423" t="s">
        <v>28</v>
      </c>
      <c r="D423">
        <v>137</v>
      </c>
      <c r="E423">
        <v>21</v>
      </c>
      <c r="F423">
        <v>3</v>
      </c>
      <c r="G423" t="s">
        <v>26</v>
      </c>
      <c r="H423">
        <v>8</v>
      </c>
      <c r="I423">
        <v>30</v>
      </c>
      <c r="J423">
        <v>3</v>
      </c>
      <c r="K423">
        <v>14</v>
      </c>
      <c r="L423">
        <v>2</v>
      </c>
      <c r="M423">
        <v>23</v>
      </c>
      <c r="N423">
        <v>178</v>
      </c>
      <c r="O423">
        <v>151</v>
      </c>
      <c r="P423">
        <v>0</v>
      </c>
      <c r="Q423">
        <v>1</v>
      </c>
      <c r="R423">
        <v>1</v>
      </c>
      <c r="S423">
        <v>6</v>
      </c>
      <c r="T423">
        <v>0</v>
      </c>
      <c r="U423">
        <v>409</v>
      </c>
      <c r="V423">
        <v>47</v>
      </c>
      <c r="W423">
        <v>211</v>
      </c>
      <c r="X423">
        <v>151</v>
      </c>
    </row>
    <row r="424" spans="1:24" x14ac:dyDescent="0.2">
      <c r="A424">
        <v>423</v>
      </c>
      <c r="B424" s="1">
        <v>40876</v>
      </c>
      <c r="C424" t="s">
        <v>24</v>
      </c>
      <c r="D424">
        <v>137</v>
      </c>
      <c r="E424">
        <v>21</v>
      </c>
      <c r="F424">
        <v>3</v>
      </c>
      <c r="G424" t="s">
        <v>27</v>
      </c>
      <c r="H424">
        <v>9</v>
      </c>
      <c r="I424">
        <v>49</v>
      </c>
      <c r="J424">
        <v>1</v>
      </c>
      <c r="K424">
        <v>19</v>
      </c>
      <c r="L424">
        <v>6</v>
      </c>
      <c r="M424">
        <v>30</v>
      </c>
      <c r="N424">
        <v>251</v>
      </c>
      <c r="O424">
        <v>139</v>
      </c>
      <c r="P424">
        <v>4</v>
      </c>
      <c r="Q424">
        <v>5</v>
      </c>
      <c r="R424">
        <v>7</v>
      </c>
      <c r="S424">
        <v>0</v>
      </c>
      <c r="T424">
        <v>0</v>
      </c>
      <c r="U424">
        <v>511</v>
      </c>
      <c r="V424">
        <v>69</v>
      </c>
      <c r="W424">
        <v>303</v>
      </c>
      <c r="X424">
        <v>139</v>
      </c>
    </row>
    <row r="425" spans="1:24" x14ac:dyDescent="0.2">
      <c r="A425">
        <v>424</v>
      </c>
      <c r="B425" s="1">
        <v>40879</v>
      </c>
      <c r="C425" t="s">
        <v>24</v>
      </c>
      <c r="D425">
        <v>140</v>
      </c>
      <c r="E425">
        <v>21</v>
      </c>
      <c r="F425">
        <v>6</v>
      </c>
      <c r="G425" t="s">
        <v>25</v>
      </c>
      <c r="H425">
        <v>1</v>
      </c>
      <c r="I425">
        <v>37</v>
      </c>
      <c r="J425">
        <v>3</v>
      </c>
      <c r="K425">
        <v>12</v>
      </c>
      <c r="L425">
        <v>4</v>
      </c>
      <c r="M425">
        <v>20</v>
      </c>
      <c r="N425">
        <v>223</v>
      </c>
      <c r="O425">
        <v>147</v>
      </c>
      <c r="P425">
        <v>4</v>
      </c>
      <c r="Q425">
        <v>2</v>
      </c>
      <c r="R425">
        <v>3</v>
      </c>
      <c r="S425">
        <v>2</v>
      </c>
      <c r="T425">
        <v>0</v>
      </c>
      <c r="U425">
        <v>457</v>
      </c>
      <c r="V425">
        <v>52</v>
      </c>
      <c r="W425">
        <v>258</v>
      </c>
      <c r="X425">
        <v>147</v>
      </c>
    </row>
    <row r="426" spans="1:24" x14ac:dyDescent="0.2">
      <c r="A426">
        <v>425</v>
      </c>
      <c r="B426" s="1">
        <v>40879</v>
      </c>
      <c r="C426" t="s">
        <v>24</v>
      </c>
      <c r="D426">
        <v>140</v>
      </c>
      <c r="E426">
        <v>21</v>
      </c>
      <c r="F426">
        <v>6</v>
      </c>
      <c r="G426" t="s">
        <v>25</v>
      </c>
      <c r="H426">
        <v>2</v>
      </c>
      <c r="I426">
        <v>34</v>
      </c>
      <c r="J426">
        <v>1</v>
      </c>
      <c r="K426">
        <v>9</v>
      </c>
      <c r="L426">
        <v>5</v>
      </c>
      <c r="M426">
        <v>21</v>
      </c>
      <c r="N426">
        <v>183</v>
      </c>
      <c r="O426">
        <v>144</v>
      </c>
      <c r="P426">
        <v>3</v>
      </c>
      <c r="Q426">
        <v>3</v>
      </c>
      <c r="R426">
        <v>4</v>
      </c>
      <c r="S426">
        <v>1</v>
      </c>
      <c r="T426">
        <v>1</v>
      </c>
      <c r="U426">
        <v>409</v>
      </c>
      <c r="V426">
        <v>44</v>
      </c>
      <c r="W426">
        <v>220</v>
      </c>
      <c r="X426">
        <v>144</v>
      </c>
    </row>
    <row r="427" spans="1:24" x14ac:dyDescent="0.2">
      <c r="A427">
        <v>426</v>
      </c>
      <c r="B427" s="1">
        <v>40879</v>
      </c>
      <c r="C427" t="s">
        <v>24</v>
      </c>
      <c r="D427">
        <v>140</v>
      </c>
      <c r="E427">
        <v>21</v>
      </c>
      <c r="F427">
        <v>6</v>
      </c>
      <c r="G427" t="s">
        <v>26</v>
      </c>
      <c r="H427">
        <v>3</v>
      </c>
      <c r="I427">
        <v>38</v>
      </c>
      <c r="J427">
        <v>0</v>
      </c>
      <c r="K427">
        <v>19</v>
      </c>
      <c r="L427">
        <v>7</v>
      </c>
      <c r="M427">
        <v>21</v>
      </c>
      <c r="N427">
        <v>164</v>
      </c>
      <c r="O427">
        <v>125</v>
      </c>
      <c r="P427">
        <v>3</v>
      </c>
      <c r="Q427">
        <v>0</v>
      </c>
      <c r="R427">
        <v>4</v>
      </c>
      <c r="S427">
        <v>2</v>
      </c>
      <c r="T427">
        <v>0</v>
      </c>
      <c r="U427">
        <v>383</v>
      </c>
      <c r="V427">
        <v>57</v>
      </c>
      <c r="W427">
        <v>201</v>
      </c>
      <c r="X427">
        <v>125</v>
      </c>
    </row>
    <row r="428" spans="1:24" x14ac:dyDescent="0.2">
      <c r="A428">
        <v>427</v>
      </c>
      <c r="B428" s="1">
        <v>40879</v>
      </c>
      <c r="C428" t="s">
        <v>28</v>
      </c>
      <c r="D428">
        <v>140</v>
      </c>
      <c r="E428">
        <v>21</v>
      </c>
      <c r="F428">
        <v>6</v>
      </c>
      <c r="G428" t="s">
        <v>25</v>
      </c>
      <c r="H428">
        <v>4</v>
      </c>
      <c r="I428">
        <v>49</v>
      </c>
      <c r="J428">
        <v>0</v>
      </c>
      <c r="K428">
        <v>10</v>
      </c>
      <c r="L428">
        <v>9</v>
      </c>
      <c r="M428">
        <v>25</v>
      </c>
      <c r="N428">
        <v>197</v>
      </c>
      <c r="O428">
        <v>117</v>
      </c>
      <c r="P428">
        <v>4</v>
      </c>
      <c r="Q428">
        <v>1</v>
      </c>
      <c r="R428">
        <v>1</v>
      </c>
      <c r="S428">
        <v>0</v>
      </c>
      <c r="T428">
        <v>0</v>
      </c>
      <c r="U428">
        <v>413</v>
      </c>
      <c r="V428">
        <v>59</v>
      </c>
      <c r="W428">
        <v>237</v>
      </c>
      <c r="X428">
        <v>117</v>
      </c>
    </row>
    <row r="429" spans="1:24" x14ac:dyDescent="0.2">
      <c r="A429">
        <v>428</v>
      </c>
      <c r="B429" s="1">
        <v>40879</v>
      </c>
      <c r="C429" t="s">
        <v>28</v>
      </c>
      <c r="D429">
        <v>140</v>
      </c>
      <c r="E429">
        <v>21</v>
      </c>
      <c r="F429">
        <v>6</v>
      </c>
      <c r="G429" t="s">
        <v>26</v>
      </c>
      <c r="H429">
        <v>5</v>
      </c>
      <c r="I429">
        <v>33</v>
      </c>
      <c r="J429">
        <v>2</v>
      </c>
      <c r="K429">
        <v>14</v>
      </c>
      <c r="L429">
        <v>6</v>
      </c>
      <c r="M429">
        <v>21</v>
      </c>
      <c r="N429">
        <v>215</v>
      </c>
      <c r="O429">
        <v>152</v>
      </c>
      <c r="P429">
        <v>0</v>
      </c>
      <c r="Q429">
        <v>1</v>
      </c>
      <c r="R429">
        <v>7</v>
      </c>
      <c r="S429">
        <v>0</v>
      </c>
      <c r="T429">
        <v>0</v>
      </c>
      <c r="U429">
        <v>451</v>
      </c>
      <c r="V429">
        <v>49</v>
      </c>
      <c r="W429">
        <v>250</v>
      </c>
      <c r="X429">
        <v>152</v>
      </c>
    </row>
    <row r="430" spans="1:24" x14ac:dyDescent="0.2">
      <c r="A430">
        <v>429</v>
      </c>
      <c r="B430" s="1">
        <v>40879</v>
      </c>
      <c r="C430" t="s">
        <v>24</v>
      </c>
      <c r="D430">
        <v>140</v>
      </c>
      <c r="E430">
        <v>21</v>
      </c>
      <c r="F430">
        <v>6</v>
      </c>
      <c r="G430" t="s">
        <v>27</v>
      </c>
      <c r="H430">
        <v>6</v>
      </c>
      <c r="I430">
        <v>42</v>
      </c>
      <c r="J430">
        <v>0</v>
      </c>
      <c r="K430">
        <v>18</v>
      </c>
      <c r="L430">
        <v>1</v>
      </c>
      <c r="M430">
        <v>18</v>
      </c>
      <c r="N430">
        <v>188</v>
      </c>
      <c r="O430">
        <v>120</v>
      </c>
      <c r="P430">
        <v>2</v>
      </c>
      <c r="Q430">
        <v>4</v>
      </c>
      <c r="R430">
        <v>6</v>
      </c>
      <c r="S430">
        <v>0</v>
      </c>
      <c r="T430">
        <v>0</v>
      </c>
      <c r="U430">
        <v>399</v>
      </c>
      <c r="V430">
        <v>60</v>
      </c>
      <c r="W430">
        <v>219</v>
      </c>
      <c r="X430">
        <v>120</v>
      </c>
    </row>
    <row r="431" spans="1:24" x14ac:dyDescent="0.2">
      <c r="A431">
        <v>430</v>
      </c>
      <c r="B431" s="1">
        <v>40879</v>
      </c>
      <c r="C431" t="s">
        <v>28</v>
      </c>
      <c r="D431">
        <v>140</v>
      </c>
      <c r="E431">
        <v>21</v>
      </c>
      <c r="F431">
        <v>6</v>
      </c>
      <c r="G431" t="s">
        <v>27</v>
      </c>
      <c r="H431">
        <v>7</v>
      </c>
      <c r="I431">
        <v>54</v>
      </c>
      <c r="J431">
        <v>1</v>
      </c>
      <c r="K431">
        <v>22</v>
      </c>
      <c r="L431">
        <v>8</v>
      </c>
      <c r="M431">
        <v>30</v>
      </c>
      <c r="N431">
        <v>229</v>
      </c>
      <c r="O431">
        <v>198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546</v>
      </c>
      <c r="V431">
        <v>77</v>
      </c>
      <c r="W431">
        <v>271</v>
      </c>
      <c r="X431">
        <v>198</v>
      </c>
    </row>
    <row r="432" spans="1:24" x14ac:dyDescent="0.2">
      <c r="A432">
        <v>431</v>
      </c>
      <c r="B432" s="1">
        <v>40879</v>
      </c>
      <c r="C432" t="s">
        <v>28</v>
      </c>
      <c r="D432">
        <v>140</v>
      </c>
      <c r="E432">
        <v>21</v>
      </c>
      <c r="F432">
        <v>6</v>
      </c>
      <c r="G432" t="s">
        <v>26</v>
      </c>
      <c r="H432">
        <v>8</v>
      </c>
      <c r="I432">
        <v>29</v>
      </c>
      <c r="J432">
        <v>8</v>
      </c>
      <c r="K432">
        <v>13</v>
      </c>
      <c r="L432">
        <v>4</v>
      </c>
      <c r="M432">
        <v>22</v>
      </c>
      <c r="N432">
        <v>210</v>
      </c>
      <c r="O432">
        <v>137</v>
      </c>
      <c r="P432">
        <v>1</v>
      </c>
      <c r="Q432">
        <v>0</v>
      </c>
      <c r="R432">
        <v>2</v>
      </c>
      <c r="S432">
        <v>10</v>
      </c>
      <c r="T432">
        <v>0</v>
      </c>
      <c r="U432">
        <v>436</v>
      </c>
      <c r="V432">
        <v>50</v>
      </c>
      <c r="W432">
        <v>249</v>
      </c>
      <c r="X432">
        <v>137</v>
      </c>
    </row>
    <row r="433" spans="1:24" x14ac:dyDescent="0.2">
      <c r="A433">
        <v>432</v>
      </c>
      <c r="B433" s="1">
        <v>40879</v>
      </c>
      <c r="C433" t="s">
        <v>24</v>
      </c>
      <c r="D433">
        <v>140</v>
      </c>
      <c r="E433">
        <v>21</v>
      </c>
      <c r="F433">
        <v>6</v>
      </c>
      <c r="G433" t="s">
        <v>27</v>
      </c>
      <c r="H433">
        <v>9</v>
      </c>
      <c r="I433">
        <v>49</v>
      </c>
      <c r="J433">
        <v>1</v>
      </c>
      <c r="K433">
        <v>26</v>
      </c>
      <c r="L433">
        <v>6</v>
      </c>
      <c r="M433">
        <v>33</v>
      </c>
      <c r="N433">
        <v>272</v>
      </c>
      <c r="O433">
        <v>161</v>
      </c>
      <c r="P433">
        <v>3</v>
      </c>
      <c r="Q433">
        <v>1</v>
      </c>
      <c r="R433">
        <v>3</v>
      </c>
      <c r="S433">
        <v>0</v>
      </c>
      <c r="T433">
        <v>0</v>
      </c>
      <c r="U433">
        <v>555</v>
      </c>
      <c r="V433">
        <v>76</v>
      </c>
      <c r="W433">
        <v>318</v>
      </c>
      <c r="X433">
        <v>161</v>
      </c>
    </row>
    <row r="434" spans="1:24" x14ac:dyDescent="0.2">
      <c r="A434">
        <v>433</v>
      </c>
      <c r="B434" s="1">
        <v>40883</v>
      </c>
      <c r="C434" t="s">
        <v>28</v>
      </c>
      <c r="D434">
        <v>144</v>
      </c>
      <c r="E434">
        <v>22</v>
      </c>
      <c r="F434">
        <v>3</v>
      </c>
      <c r="G434" t="s">
        <v>25</v>
      </c>
      <c r="H434">
        <v>1</v>
      </c>
      <c r="I434">
        <v>34</v>
      </c>
      <c r="J434">
        <v>2</v>
      </c>
      <c r="K434">
        <v>11</v>
      </c>
      <c r="L434">
        <v>7</v>
      </c>
      <c r="M434">
        <v>24</v>
      </c>
      <c r="N434">
        <v>198</v>
      </c>
      <c r="O434">
        <v>161</v>
      </c>
      <c r="P434">
        <v>2</v>
      </c>
      <c r="Q434">
        <v>5</v>
      </c>
      <c r="R434">
        <v>3</v>
      </c>
      <c r="S434">
        <v>2</v>
      </c>
      <c r="T434">
        <v>0</v>
      </c>
      <c r="U434">
        <v>449</v>
      </c>
      <c r="V434">
        <v>47</v>
      </c>
      <c r="W434">
        <v>241</v>
      </c>
      <c r="X434">
        <v>161</v>
      </c>
    </row>
    <row r="435" spans="1:24" x14ac:dyDescent="0.2">
      <c r="A435">
        <v>434</v>
      </c>
      <c r="B435" s="1">
        <v>40883</v>
      </c>
      <c r="C435" t="s">
        <v>24</v>
      </c>
      <c r="D435">
        <v>144</v>
      </c>
      <c r="E435">
        <v>22</v>
      </c>
      <c r="F435">
        <v>3</v>
      </c>
      <c r="G435" t="s">
        <v>25</v>
      </c>
      <c r="H435">
        <v>2</v>
      </c>
      <c r="I435">
        <v>39</v>
      </c>
      <c r="J435">
        <v>1</v>
      </c>
      <c r="K435">
        <v>8</v>
      </c>
      <c r="L435">
        <v>3</v>
      </c>
      <c r="M435">
        <v>27</v>
      </c>
      <c r="N435">
        <v>212</v>
      </c>
      <c r="O435">
        <v>167</v>
      </c>
      <c r="P435">
        <v>6</v>
      </c>
      <c r="Q435">
        <v>1</v>
      </c>
      <c r="R435">
        <v>3</v>
      </c>
      <c r="S435">
        <v>2</v>
      </c>
      <c r="T435">
        <v>0</v>
      </c>
      <c r="U435">
        <v>469</v>
      </c>
      <c r="V435">
        <v>48</v>
      </c>
      <c r="W435">
        <v>254</v>
      </c>
      <c r="X435">
        <v>167</v>
      </c>
    </row>
    <row r="436" spans="1:24" x14ac:dyDescent="0.2">
      <c r="A436">
        <v>435</v>
      </c>
      <c r="B436" s="1">
        <v>40883</v>
      </c>
      <c r="C436" t="s">
        <v>24</v>
      </c>
      <c r="D436">
        <v>144</v>
      </c>
      <c r="E436">
        <v>22</v>
      </c>
      <c r="F436">
        <v>3</v>
      </c>
      <c r="G436" t="s">
        <v>26</v>
      </c>
      <c r="H436">
        <v>3</v>
      </c>
      <c r="I436">
        <v>33</v>
      </c>
      <c r="J436">
        <v>0</v>
      </c>
      <c r="K436">
        <v>15</v>
      </c>
      <c r="L436">
        <v>6</v>
      </c>
      <c r="M436">
        <v>23</v>
      </c>
      <c r="N436">
        <v>165</v>
      </c>
      <c r="O436">
        <v>149</v>
      </c>
      <c r="P436">
        <v>5</v>
      </c>
      <c r="Q436">
        <v>4</v>
      </c>
      <c r="R436">
        <v>3</v>
      </c>
      <c r="S436">
        <v>1</v>
      </c>
      <c r="T436">
        <v>0</v>
      </c>
      <c r="U436">
        <v>404</v>
      </c>
      <c r="V436">
        <v>48</v>
      </c>
      <c r="W436">
        <v>207</v>
      </c>
      <c r="X436">
        <v>149</v>
      </c>
    </row>
    <row r="437" spans="1:24" x14ac:dyDescent="0.2">
      <c r="A437">
        <v>436</v>
      </c>
      <c r="B437" s="1">
        <v>40883</v>
      </c>
      <c r="C437" t="s">
        <v>28</v>
      </c>
      <c r="D437">
        <v>144</v>
      </c>
      <c r="E437">
        <v>22</v>
      </c>
      <c r="F437">
        <v>3</v>
      </c>
      <c r="G437" t="s">
        <v>25</v>
      </c>
      <c r="H437">
        <v>4</v>
      </c>
      <c r="I437">
        <v>45</v>
      </c>
      <c r="J437">
        <v>0</v>
      </c>
      <c r="K437">
        <v>11</v>
      </c>
      <c r="L437">
        <v>4</v>
      </c>
      <c r="M437">
        <v>26</v>
      </c>
      <c r="N437">
        <v>204</v>
      </c>
      <c r="O437">
        <v>147</v>
      </c>
      <c r="P437">
        <v>4</v>
      </c>
      <c r="Q437">
        <v>5</v>
      </c>
      <c r="R437">
        <v>3</v>
      </c>
      <c r="S437">
        <v>1</v>
      </c>
      <c r="T437">
        <v>0</v>
      </c>
      <c r="U437">
        <v>450</v>
      </c>
      <c r="V437">
        <v>56</v>
      </c>
      <c r="W437">
        <v>247</v>
      </c>
      <c r="X437">
        <v>147</v>
      </c>
    </row>
    <row r="438" spans="1:24" x14ac:dyDescent="0.2">
      <c r="A438">
        <v>437</v>
      </c>
      <c r="B438" s="1">
        <v>40883</v>
      </c>
      <c r="C438" t="s">
        <v>28</v>
      </c>
      <c r="D438">
        <v>144</v>
      </c>
      <c r="E438">
        <v>22</v>
      </c>
      <c r="F438">
        <v>3</v>
      </c>
      <c r="G438" t="s">
        <v>26</v>
      </c>
      <c r="H438">
        <v>5</v>
      </c>
      <c r="I438">
        <v>29</v>
      </c>
      <c r="J438">
        <v>2</v>
      </c>
      <c r="K438">
        <v>12</v>
      </c>
      <c r="L438">
        <v>5</v>
      </c>
      <c r="M438">
        <v>22</v>
      </c>
      <c r="N438">
        <v>217</v>
      </c>
      <c r="O438">
        <v>172</v>
      </c>
      <c r="P438">
        <v>1</v>
      </c>
      <c r="Q438">
        <v>3</v>
      </c>
      <c r="R438">
        <v>3</v>
      </c>
      <c r="S438">
        <v>1</v>
      </c>
      <c r="T438">
        <v>0</v>
      </c>
      <c r="U438">
        <v>467</v>
      </c>
      <c r="V438">
        <v>43</v>
      </c>
      <c r="W438">
        <v>252</v>
      </c>
      <c r="X438">
        <v>172</v>
      </c>
    </row>
    <row r="439" spans="1:24" x14ac:dyDescent="0.2">
      <c r="A439">
        <v>438</v>
      </c>
      <c r="B439" s="1">
        <v>40883</v>
      </c>
      <c r="C439" t="s">
        <v>24</v>
      </c>
      <c r="D439">
        <v>144</v>
      </c>
      <c r="E439">
        <v>22</v>
      </c>
      <c r="F439">
        <v>3</v>
      </c>
      <c r="G439" t="s">
        <v>27</v>
      </c>
      <c r="H439">
        <v>6</v>
      </c>
      <c r="I439">
        <v>37</v>
      </c>
      <c r="J439">
        <v>0</v>
      </c>
      <c r="K439">
        <v>15</v>
      </c>
      <c r="L439">
        <v>2</v>
      </c>
      <c r="M439">
        <v>22</v>
      </c>
      <c r="N439">
        <v>218</v>
      </c>
      <c r="O439">
        <v>186</v>
      </c>
      <c r="P439">
        <v>4</v>
      </c>
      <c r="Q439">
        <v>1</v>
      </c>
      <c r="R439">
        <v>2</v>
      </c>
      <c r="S439">
        <v>1</v>
      </c>
      <c r="T439">
        <v>1</v>
      </c>
      <c r="U439">
        <v>489</v>
      </c>
      <c r="V439">
        <v>52</v>
      </c>
      <c r="W439">
        <v>250</v>
      </c>
      <c r="X439">
        <v>186</v>
      </c>
    </row>
    <row r="440" spans="1:24" x14ac:dyDescent="0.2">
      <c r="A440">
        <v>439</v>
      </c>
      <c r="B440" s="1">
        <v>40883</v>
      </c>
      <c r="C440" t="s">
        <v>24</v>
      </c>
      <c r="D440">
        <v>144</v>
      </c>
      <c r="E440">
        <v>22</v>
      </c>
      <c r="F440">
        <v>3</v>
      </c>
      <c r="G440" t="s">
        <v>27</v>
      </c>
      <c r="H440">
        <v>7</v>
      </c>
      <c r="I440">
        <v>51</v>
      </c>
      <c r="J440">
        <v>0</v>
      </c>
      <c r="K440">
        <v>23</v>
      </c>
      <c r="L440">
        <v>7</v>
      </c>
      <c r="M440">
        <v>25</v>
      </c>
      <c r="N440">
        <v>255</v>
      </c>
      <c r="O440">
        <v>161</v>
      </c>
      <c r="P440">
        <v>6</v>
      </c>
      <c r="Q440">
        <v>6</v>
      </c>
      <c r="R440">
        <v>3</v>
      </c>
      <c r="S440">
        <v>1</v>
      </c>
      <c r="T440">
        <v>0</v>
      </c>
      <c r="U440">
        <v>538</v>
      </c>
      <c r="V440">
        <v>74</v>
      </c>
      <c r="W440">
        <v>303</v>
      </c>
      <c r="X440">
        <v>161</v>
      </c>
    </row>
    <row r="441" spans="1:24" x14ac:dyDescent="0.2">
      <c r="A441">
        <v>440</v>
      </c>
      <c r="B441" s="1">
        <v>40883</v>
      </c>
      <c r="C441" t="s">
        <v>24</v>
      </c>
      <c r="D441">
        <v>144</v>
      </c>
      <c r="E441">
        <v>22</v>
      </c>
      <c r="F441">
        <v>3</v>
      </c>
      <c r="G441" t="s">
        <v>26</v>
      </c>
      <c r="H441">
        <v>8</v>
      </c>
      <c r="I441">
        <v>30</v>
      </c>
      <c r="J441">
        <v>6</v>
      </c>
      <c r="K441">
        <v>13</v>
      </c>
      <c r="L441">
        <v>4</v>
      </c>
      <c r="M441">
        <v>22</v>
      </c>
      <c r="N441">
        <v>193</v>
      </c>
      <c r="O441">
        <v>136</v>
      </c>
      <c r="P441">
        <v>1</v>
      </c>
      <c r="Q441">
        <v>4</v>
      </c>
      <c r="R441">
        <v>9</v>
      </c>
      <c r="S441">
        <v>4</v>
      </c>
      <c r="T441">
        <v>0</v>
      </c>
      <c r="U441">
        <v>422</v>
      </c>
      <c r="V441">
        <v>49</v>
      </c>
      <c r="W441">
        <v>237</v>
      </c>
      <c r="X441">
        <v>136</v>
      </c>
    </row>
    <row r="442" spans="1:24" x14ac:dyDescent="0.2">
      <c r="A442">
        <v>441</v>
      </c>
      <c r="B442" s="1">
        <v>40883</v>
      </c>
      <c r="C442" t="s">
        <v>28</v>
      </c>
      <c r="D442">
        <v>144</v>
      </c>
      <c r="E442">
        <v>22</v>
      </c>
      <c r="F442">
        <v>3</v>
      </c>
      <c r="G442" t="s">
        <v>27</v>
      </c>
      <c r="H442">
        <v>9</v>
      </c>
      <c r="I442">
        <v>52</v>
      </c>
      <c r="J442">
        <v>1</v>
      </c>
      <c r="K442">
        <v>23</v>
      </c>
      <c r="L442">
        <v>6</v>
      </c>
      <c r="M442">
        <v>24</v>
      </c>
      <c r="N442">
        <v>256</v>
      </c>
      <c r="O442">
        <v>180</v>
      </c>
      <c r="P442">
        <v>4</v>
      </c>
      <c r="Q442">
        <v>1</v>
      </c>
      <c r="R442">
        <v>1</v>
      </c>
      <c r="S442">
        <v>3</v>
      </c>
      <c r="T442">
        <v>0</v>
      </c>
      <c r="U442">
        <v>551</v>
      </c>
      <c r="V442">
        <v>76</v>
      </c>
      <c r="W442">
        <v>295</v>
      </c>
      <c r="X442">
        <v>180</v>
      </c>
    </row>
    <row r="443" spans="1:24" x14ac:dyDescent="0.2">
      <c r="A443">
        <v>442</v>
      </c>
      <c r="B443" s="1">
        <v>40886</v>
      </c>
      <c r="C443" t="s">
        <v>28</v>
      </c>
      <c r="D443">
        <v>147</v>
      </c>
      <c r="E443">
        <v>22</v>
      </c>
      <c r="F443">
        <v>6</v>
      </c>
      <c r="G443" t="s">
        <v>25</v>
      </c>
      <c r="H443">
        <v>1</v>
      </c>
      <c r="I443">
        <v>32</v>
      </c>
      <c r="J443">
        <v>2</v>
      </c>
      <c r="K443">
        <v>8</v>
      </c>
      <c r="L443">
        <v>6</v>
      </c>
      <c r="M443">
        <v>27</v>
      </c>
      <c r="N443">
        <v>204</v>
      </c>
      <c r="O443">
        <v>168</v>
      </c>
      <c r="P443">
        <v>3</v>
      </c>
      <c r="Q443">
        <v>4</v>
      </c>
      <c r="R443">
        <v>3</v>
      </c>
      <c r="S443">
        <v>2</v>
      </c>
      <c r="T443">
        <v>0</v>
      </c>
      <c r="U443">
        <v>459</v>
      </c>
      <c r="V443">
        <v>42</v>
      </c>
      <c r="W443">
        <v>249</v>
      </c>
      <c r="X443">
        <v>168</v>
      </c>
    </row>
    <row r="444" spans="1:24" x14ac:dyDescent="0.2">
      <c r="A444">
        <v>443</v>
      </c>
      <c r="B444" s="1">
        <v>40886</v>
      </c>
      <c r="C444" t="s">
        <v>28</v>
      </c>
      <c r="D444">
        <v>147</v>
      </c>
      <c r="E444">
        <v>22</v>
      </c>
      <c r="F444">
        <v>6</v>
      </c>
      <c r="G444" t="s">
        <v>25</v>
      </c>
      <c r="H444">
        <v>2</v>
      </c>
      <c r="I444">
        <v>37</v>
      </c>
      <c r="J444">
        <v>0</v>
      </c>
      <c r="K444">
        <v>9</v>
      </c>
      <c r="L444">
        <v>7</v>
      </c>
      <c r="M444">
        <v>25</v>
      </c>
      <c r="N444">
        <v>185</v>
      </c>
      <c r="O444">
        <v>154</v>
      </c>
      <c r="P444">
        <v>0</v>
      </c>
      <c r="Q444">
        <v>3</v>
      </c>
      <c r="R444">
        <v>2</v>
      </c>
      <c r="S444">
        <v>1</v>
      </c>
      <c r="T444">
        <v>0</v>
      </c>
      <c r="U444">
        <v>423</v>
      </c>
      <c r="V444">
        <v>46</v>
      </c>
      <c r="W444">
        <v>223</v>
      </c>
      <c r="X444">
        <v>154</v>
      </c>
    </row>
    <row r="445" spans="1:24" x14ac:dyDescent="0.2">
      <c r="A445">
        <v>444</v>
      </c>
      <c r="B445" s="1">
        <v>40886</v>
      </c>
      <c r="C445" t="s">
        <v>28</v>
      </c>
      <c r="D445">
        <v>147</v>
      </c>
      <c r="E445">
        <v>22</v>
      </c>
      <c r="F445">
        <v>6</v>
      </c>
      <c r="G445" t="s">
        <v>26</v>
      </c>
      <c r="H445">
        <v>3</v>
      </c>
      <c r="I445">
        <v>36</v>
      </c>
      <c r="J445">
        <v>0</v>
      </c>
      <c r="K445">
        <v>14</v>
      </c>
      <c r="L445">
        <v>8</v>
      </c>
      <c r="M445">
        <v>25</v>
      </c>
      <c r="N445">
        <v>163</v>
      </c>
      <c r="O445">
        <v>166</v>
      </c>
      <c r="P445">
        <v>1</v>
      </c>
      <c r="Q445">
        <v>3</v>
      </c>
      <c r="R445">
        <v>1</v>
      </c>
      <c r="S445">
        <v>0</v>
      </c>
      <c r="T445">
        <v>0</v>
      </c>
      <c r="U445">
        <v>417</v>
      </c>
      <c r="V445">
        <v>50</v>
      </c>
      <c r="W445">
        <v>201</v>
      </c>
      <c r="X445">
        <v>166</v>
      </c>
    </row>
    <row r="446" spans="1:24" x14ac:dyDescent="0.2">
      <c r="A446">
        <v>445</v>
      </c>
      <c r="B446" s="1">
        <v>40886</v>
      </c>
      <c r="C446" t="s">
        <v>28</v>
      </c>
      <c r="D446">
        <v>147</v>
      </c>
      <c r="E446">
        <v>22</v>
      </c>
      <c r="F446">
        <v>6</v>
      </c>
      <c r="G446" t="s">
        <v>25</v>
      </c>
      <c r="H446">
        <v>4</v>
      </c>
      <c r="I446">
        <v>46</v>
      </c>
      <c r="J446">
        <v>0</v>
      </c>
      <c r="K446">
        <v>9</v>
      </c>
      <c r="L446">
        <v>2</v>
      </c>
      <c r="M446">
        <v>22</v>
      </c>
      <c r="N446">
        <v>189</v>
      </c>
      <c r="O446">
        <v>115</v>
      </c>
      <c r="P446">
        <v>1</v>
      </c>
      <c r="Q446">
        <v>4</v>
      </c>
      <c r="R446">
        <v>1</v>
      </c>
      <c r="S446">
        <v>1</v>
      </c>
      <c r="T446">
        <v>0</v>
      </c>
      <c r="U446">
        <v>390</v>
      </c>
      <c r="V446">
        <v>55</v>
      </c>
      <c r="W446">
        <v>220</v>
      </c>
      <c r="X446">
        <v>115</v>
      </c>
    </row>
    <row r="447" spans="1:24" x14ac:dyDescent="0.2">
      <c r="A447">
        <v>446</v>
      </c>
      <c r="B447" s="1">
        <v>40886</v>
      </c>
      <c r="C447" t="s">
        <v>28</v>
      </c>
      <c r="D447">
        <v>147</v>
      </c>
      <c r="E447">
        <v>22</v>
      </c>
      <c r="F447">
        <v>6</v>
      </c>
      <c r="G447" t="s">
        <v>26</v>
      </c>
      <c r="H447">
        <v>5</v>
      </c>
      <c r="I447">
        <v>30</v>
      </c>
      <c r="J447">
        <v>2</v>
      </c>
      <c r="K447">
        <v>10</v>
      </c>
      <c r="L447">
        <v>8</v>
      </c>
      <c r="M447">
        <v>30</v>
      </c>
      <c r="N447">
        <v>203</v>
      </c>
      <c r="O447">
        <v>179</v>
      </c>
      <c r="P447">
        <v>2</v>
      </c>
      <c r="Q447">
        <v>3</v>
      </c>
      <c r="R447">
        <v>2</v>
      </c>
      <c r="S447">
        <v>1</v>
      </c>
      <c r="T447">
        <v>0</v>
      </c>
      <c r="U447">
        <v>470</v>
      </c>
      <c r="V447">
        <v>42</v>
      </c>
      <c r="W447">
        <v>249</v>
      </c>
      <c r="X447">
        <v>179</v>
      </c>
    </row>
    <row r="448" spans="1:24" x14ac:dyDescent="0.2">
      <c r="A448">
        <v>447</v>
      </c>
      <c r="B448" s="1">
        <v>40886</v>
      </c>
      <c r="C448" t="s">
        <v>28</v>
      </c>
      <c r="D448">
        <v>147</v>
      </c>
      <c r="E448">
        <v>22</v>
      </c>
      <c r="F448">
        <v>6</v>
      </c>
      <c r="G448" t="s">
        <v>27</v>
      </c>
      <c r="H448">
        <v>6</v>
      </c>
      <c r="I448">
        <v>34</v>
      </c>
      <c r="J448">
        <v>0</v>
      </c>
      <c r="K448">
        <v>16</v>
      </c>
      <c r="L448">
        <v>10</v>
      </c>
      <c r="M448">
        <v>18</v>
      </c>
      <c r="N448">
        <v>201</v>
      </c>
      <c r="O448">
        <v>210</v>
      </c>
      <c r="P448">
        <v>0</v>
      </c>
      <c r="Q448">
        <v>2</v>
      </c>
      <c r="R448">
        <v>3</v>
      </c>
      <c r="S448">
        <v>0</v>
      </c>
      <c r="T448">
        <v>0</v>
      </c>
      <c r="U448">
        <v>494</v>
      </c>
      <c r="V448">
        <v>50</v>
      </c>
      <c r="W448">
        <v>234</v>
      </c>
      <c r="X448">
        <v>210</v>
      </c>
    </row>
    <row r="449" spans="1:24" x14ac:dyDescent="0.2">
      <c r="A449">
        <v>448</v>
      </c>
      <c r="B449" s="1">
        <v>40886</v>
      </c>
      <c r="C449" t="s">
        <v>28</v>
      </c>
      <c r="D449">
        <v>147</v>
      </c>
      <c r="E449">
        <v>22</v>
      </c>
      <c r="F449">
        <v>6</v>
      </c>
      <c r="G449" t="s">
        <v>27</v>
      </c>
      <c r="H449">
        <v>7</v>
      </c>
      <c r="I449">
        <v>50</v>
      </c>
      <c r="J449">
        <v>0</v>
      </c>
      <c r="K449">
        <v>24</v>
      </c>
      <c r="L449">
        <v>6</v>
      </c>
      <c r="M449">
        <v>26</v>
      </c>
      <c r="N449">
        <v>239</v>
      </c>
      <c r="O449">
        <v>153</v>
      </c>
      <c r="P449">
        <v>1</v>
      </c>
      <c r="Q449">
        <v>3</v>
      </c>
      <c r="R449">
        <v>2</v>
      </c>
      <c r="S449">
        <v>1</v>
      </c>
      <c r="T449">
        <v>0</v>
      </c>
      <c r="U449">
        <v>505</v>
      </c>
      <c r="V449">
        <v>74</v>
      </c>
      <c r="W449">
        <v>278</v>
      </c>
      <c r="X449">
        <v>153</v>
      </c>
    </row>
    <row r="450" spans="1:24" x14ac:dyDescent="0.2">
      <c r="A450">
        <v>449</v>
      </c>
      <c r="B450" s="1">
        <v>40886</v>
      </c>
      <c r="C450" t="s">
        <v>28</v>
      </c>
      <c r="D450">
        <v>147</v>
      </c>
      <c r="E450">
        <v>22</v>
      </c>
      <c r="F450">
        <v>6</v>
      </c>
      <c r="G450" t="s">
        <v>26</v>
      </c>
      <c r="H450">
        <v>8</v>
      </c>
      <c r="I450">
        <v>34</v>
      </c>
      <c r="J450">
        <v>3</v>
      </c>
      <c r="K450">
        <v>11</v>
      </c>
      <c r="L450">
        <v>3</v>
      </c>
      <c r="M450">
        <v>25</v>
      </c>
      <c r="N450">
        <v>174</v>
      </c>
      <c r="O450">
        <v>135</v>
      </c>
      <c r="P450">
        <v>0</v>
      </c>
      <c r="Q450">
        <v>1</v>
      </c>
      <c r="R450">
        <v>2</v>
      </c>
      <c r="S450">
        <v>4</v>
      </c>
      <c r="T450">
        <v>0</v>
      </c>
      <c r="U450">
        <v>392</v>
      </c>
      <c r="V450">
        <v>48</v>
      </c>
      <c r="W450">
        <v>209</v>
      </c>
      <c r="X450">
        <v>135</v>
      </c>
    </row>
    <row r="451" spans="1:24" x14ac:dyDescent="0.2">
      <c r="A451">
        <v>450</v>
      </c>
      <c r="B451" s="1">
        <v>40886</v>
      </c>
      <c r="C451" t="s">
        <v>28</v>
      </c>
      <c r="D451">
        <v>147</v>
      </c>
      <c r="E451">
        <v>22</v>
      </c>
      <c r="F451">
        <v>6</v>
      </c>
      <c r="G451" t="s">
        <v>27</v>
      </c>
      <c r="H451">
        <v>9</v>
      </c>
      <c r="I451">
        <v>49</v>
      </c>
      <c r="J451">
        <v>1</v>
      </c>
      <c r="K451">
        <v>20</v>
      </c>
      <c r="L451">
        <v>5</v>
      </c>
      <c r="M451">
        <v>27</v>
      </c>
      <c r="N451">
        <v>220</v>
      </c>
      <c r="O451">
        <v>169</v>
      </c>
      <c r="P451">
        <v>3</v>
      </c>
      <c r="Q451">
        <v>3</v>
      </c>
      <c r="R451">
        <v>0</v>
      </c>
      <c r="S451">
        <v>1</v>
      </c>
      <c r="T451">
        <v>0</v>
      </c>
      <c r="U451">
        <v>498</v>
      </c>
      <c r="V451">
        <v>70</v>
      </c>
      <c r="W451">
        <v>259</v>
      </c>
      <c r="X451">
        <v>169</v>
      </c>
    </row>
    <row r="452" spans="1:24" x14ac:dyDescent="0.2">
      <c r="A452">
        <v>451</v>
      </c>
      <c r="B452" s="1">
        <v>40890</v>
      </c>
      <c r="C452" t="s">
        <v>24</v>
      </c>
      <c r="D452">
        <v>151</v>
      </c>
      <c r="E452">
        <v>23</v>
      </c>
      <c r="F452">
        <v>3</v>
      </c>
      <c r="G452" t="s">
        <v>25</v>
      </c>
      <c r="H452">
        <v>1</v>
      </c>
      <c r="I452">
        <v>37</v>
      </c>
      <c r="J452">
        <v>3</v>
      </c>
      <c r="K452">
        <v>7</v>
      </c>
      <c r="L452">
        <v>4</v>
      </c>
      <c r="M452">
        <v>31</v>
      </c>
      <c r="N452">
        <v>225</v>
      </c>
      <c r="O452">
        <v>133</v>
      </c>
      <c r="P452">
        <v>4</v>
      </c>
      <c r="Q452">
        <v>2</v>
      </c>
      <c r="R452">
        <v>4</v>
      </c>
      <c r="S452">
        <v>1</v>
      </c>
      <c r="T452">
        <v>0</v>
      </c>
      <c r="U452">
        <v>451</v>
      </c>
      <c r="V452">
        <v>47</v>
      </c>
      <c r="W452">
        <v>271</v>
      </c>
      <c r="X452">
        <v>133</v>
      </c>
    </row>
    <row r="453" spans="1:24" x14ac:dyDescent="0.2">
      <c r="A453">
        <v>452</v>
      </c>
      <c r="B453" s="1">
        <v>40890</v>
      </c>
      <c r="C453" t="s">
        <v>24</v>
      </c>
      <c r="D453">
        <v>151</v>
      </c>
      <c r="E453">
        <v>23</v>
      </c>
      <c r="F453">
        <v>3</v>
      </c>
      <c r="G453" t="s">
        <v>25</v>
      </c>
      <c r="H453">
        <v>2</v>
      </c>
      <c r="I453">
        <v>39</v>
      </c>
      <c r="J453">
        <v>1</v>
      </c>
      <c r="K453">
        <v>8</v>
      </c>
      <c r="L453">
        <v>5</v>
      </c>
      <c r="M453">
        <v>20</v>
      </c>
      <c r="N453">
        <v>182</v>
      </c>
      <c r="O453">
        <v>133</v>
      </c>
      <c r="P453">
        <v>3</v>
      </c>
      <c r="Q453">
        <v>2</v>
      </c>
      <c r="R453">
        <v>5</v>
      </c>
      <c r="S453">
        <v>0</v>
      </c>
      <c r="T453">
        <v>0</v>
      </c>
      <c r="U453">
        <v>398</v>
      </c>
      <c r="V453">
        <v>48</v>
      </c>
      <c r="W453">
        <v>217</v>
      </c>
      <c r="X453">
        <v>133</v>
      </c>
    </row>
    <row r="454" spans="1:24" x14ac:dyDescent="0.2">
      <c r="A454">
        <v>453</v>
      </c>
      <c r="B454" s="1">
        <v>40890</v>
      </c>
      <c r="C454" t="s">
        <v>28</v>
      </c>
      <c r="D454">
        <v>151</v>
      </c>
      <c r="E454">
        <v>23</v>
      </c>
      <c r="F454">
        <v>3</v>
      </c>
      <c r="G454" t="s">
        <v>26</v>
      </c>
      <c r="H454">
        <v>3</v>
      </c>
      <c r="I454">
        <v>39</v>
      </c>
      <c r="J454">
        <v>0</v>
      </c>
      <c r="K454">
        <v>13</v>
      </c>
      <c r="L454">
        <v>10</v>
      </c>
      <c r="M454">
        <v>21</v>
      </c>
      <c r="N454">
        <v>174</v>
      </c>
      <c r="O454">
        <v>195</v>
      </c>
      <c r="P454">
        <v>4</v>
      </c>
      <c r="Q454">
        <v>2</v>
      </c>
      <c r="R454">
        <v>2</v>
      </c>
      <c r="S454">
        <v>0</v>
      </c>
      <c r="T454">
        <v>0</v>
      </c>
      <c r="U454">
        <v>460</v>
      </c>
      <c r="V454">
        <v>52</v>
      </c>
      <c r="W454">
        <v>213</v>
      </c>
      <c r="X454">
        <v>195</v>
      </c>
    </row>
    <row r="455" spans="1:24" x14ac:dyDescent="0.2">
      <c r="A455">
        <v>454</v>
      </c>
      <c r="B455" s="1">
        <v>40890</v>
      </c>
      <c r="C455" t="s">
        <v>28</v>
      </c>
      <c r="D455">
        <v>151</v>
      </c>
      <c r="E455">
        <v>23</v>
      </c>
      <c r="F455">
        <v>3</v>
      </c>
      <c r="G455" t="s">
        <v>25</v>
      </c>
      <c r="H455">
        <v>4</v>
      </c>
      <c r="I455">
        <v>44</v>
      </c>
      <c r="J455">
        <v>0</v>
      </c>
      <c r="K455">
        <v>8</v>
      </c>
      <c r="L455">
        <v>7</v>
      </c>
      <c r="M455">
        <v>32</v>
      </c>
      <c r="N455">
        <v>178</v>
      </c>
      <c r="O455">
        <v>122</v>
      </c>
      <c r="P455">
        <v>5</v>
      </c>
      <c r="Q455">
        <v>4</v>
      </c>
      <c r="R455">
        <v>2</v>
      </c>
      <c r="S455">
        <v>2</v>
      </c>
      <c r="T455">
        <v>0</v>
      </c>
      <c r="U455">
        <v>404</v>
      </c>
      <c r="V455">
        <v>52</v>
      </c>
      <c r="W455">
        <v>230</v>
      </c>
      <c r="X455">
        <v>122</v>
      </c>
    </row>
    <row r="456" spans="1:24" x14ac:dyDescent="0.2">
      <c r="A456">
        <v>455</v>
      </c>
      <c r="B456" s="1">
        <v>40890</v>
      </c>
      <c r="C456" t="s">
        <v>28</v>
      </c>
      <c r="D456">
        <v>151</v>
      </c>
      <c r="E456">
        <v>23</v>
      </c>
      <c r="F456">
        <v>3</v>
      </c>
      <c r="G456" t="s">
        <v>26</v>
      </c>
      <c r="H456">
        <v>5</v>
      </c>
      <c r="I456">
        <v>29</v>
      </c>
      <c r="J456">
        <v>1</v>
      </c>
      <c r="K456">
        <v>12</v>
      </c>
      <c r="L456">
        <v>4</v>
      </c>
      <c r="M456">
        <v>34</v>
      </c>
      <c r="N456">
        <v>208</v>
      </c>
      <c r="O456">
        <v>152</v>
      </c>
      <c r="P456">
        <v>3</v>
      </c>
      <c r="Q456">
        <v>3</v>
      </c>
      <c r="R456">
        <v>3</v>
      </c>
      <c r="S456">
        <v>1</v>
      </c>
      <c r="T456">
        <v>0</v>
      </c>
      <c r="U456">
        <v>450</v>
      </c>
      <c r="V456">
        <v>42</v>
      </c>
      <c r="W456">
        <v>256</v>
      </c>
      <c r="X456">
        <v>152</v>
      </c>
    </row>
    <row r="457" spans="1:24" x14ac:dyDescent="0.2">
      <c r="A457">
        <v>456</v>
      </c>
      <c r="B457" s="1">
        <v>40890</v>
      </c>
      <c r="C457" t="s">
        <v>24</v>
      </c>
      <c r="D457">
        <v>151</v>
      </c>
      <c r="E457">
        <v>23</v>
      </c>
      <c r="F457">
        <v>3</v>
      </c>
      <c r="G457" t="s">
        <v>27</v>
      </c>
      <c r="H457">
        <v>6</v>
      </c>
      <c r="I457">
        <v>46</v>
      </c>
      <c r="J457">
        <v>1</v>
      </c>
      <c r="K457">
        <v>13</v>
      </c>
      <c r="L457">
        <v>4</v>
      </c>
      <c r="M457">
        <v>23</v>
      </c>
      <c r="N457">
        <v>180</v>
      </c>
      <c r="O457">
        <v>137</v>
      </c>
      <c r="P457">
        <v>1</v>
      </c>
      <c r="Q457">
        <v>2</v>
      </c>
      <c r="R457">
        <v>8</v>
      </c>
      <c r="S457">
        <v>0</v>
      </c>
      <c r="T457">
        <v>0</v>
      </c>
      <c r="U457">
        <v>415</v>
      </c>
      <c r="V457">
        <v>60</v>
      </c>
      <c r="W457">
        <v>218</v>
      </c>
      <c r="X457">
        <v>137</v>
      </c>
    </row>
    <row r="458" spans="1:24" x14ac:dyDescent="0.2">
      <c r="A458">
        <v>457</v>
      </c>
      <c r="B458" s="1">
        <v>40890</v>
      </c>
      <c r="C458" t="s">
        <v>28</v>
      </c>
      <c r="D458">
        <v>151</v>
      </c>
      <c r="E458">
        <v>23</v>
      </c>
      <c r="F458">
        <v>3</v>
      </c>
      <c r="G458" t="s">
        <v>27</v>
      </c>
      <c r="H458">
        <v>7</v>
      </c>
      <c r="I458">
        <v>49</v>
      </c>
      <c r="J458">
        <v>0</v>
      </c>
      <c r="K458">
        <v>21</v>
      </c>
      <c r="L458">
        <v>6</v>
      </c>
      <c r="M458">
        <v>27</v>
      </c>
      <c r="N458">
        <v>236</v>
      </c>
      <c r="O458">
        <v>171</v>
      </c>
      <c r="P458">
        <v>1</v>
      </c>
      <c r="Q458">
        <v>3</v>
      </c>
      <c r="R458">
        <v>5</v>
      </c>
      <c r="S458">
        <v>1</v>
      </c>
      <c r="T458">
        <v>1</v>
      </c>
      <c r="U458">
        <v>521</v>
      </c>
      <c r="V458">
        <v>70</v>
      </c>
      <c r="W458">
        <v>279</v>
      </c>
      <c r="X458">
        <v>171</v>
      </c>
    </row>
    <row r="459" spans="1:24" x14ac:dyDescent="0.2">
      <c r="A459">
        <v>458</v>
      </c>
      <c r="B459" s="1">
        <v>40890</v>
      </c>
      <c r="C459" t="s">
        <v>24</v>
      </c>
      <c r="D459">
        <v>151</v>
      </c>
      <c r="E459">
        <v>23</v>
      </c>
      <c r="F459">
        <v>3</v>
      </c>
      <c r="G459" t="s">
        <v>26</v>
      </c>
      <c r="H459">
        <v>8</v>
      </c>
      <c r="I459">
        <v>28</v>
      </c>
      <c r="J459">
        <v>5</v>
      </c>
      <c r="K459">
        <v>10</v>
      </c>
      <c r="L459">
        <v>2</v>
      </c>
      <c r="M459">
        <v>35</v>
      </c>
      <c r="N459">
        <v>149</v>
      </c>
      <c r="O459">
        <v>127</v>
      </c>
      <c r="P459">
        <v>2</v>
      </c>
      <c r="Q459">
        <v>1</v>
      </c>
      <c r="R459">
        <v>4</v>
      </c>
      <c r="S459">
        <v>5</v>
      </c>
      <c r="T459">
        <v>0</v>
      </c>
      <c r="U459">
        <v>368</v>
      </c>
      <c r="V459">
        <v>43</v>
      </c>
      <c r="W459">
        <v>198</v>
      </c>
      <c r="X459">
        <v>127</v>
      </c>
    </row>
    <row r="460" spans="1:24" x14ac:dyDescent="0.2">
      <c r="A460">
        <v>459</v>
      </c>
      <c r="B460" s="1">
        <v>40890</v>
      </c>
      <c r="C460" t="s">
        <v>24</v>
      </c>
      <c r="D460">
        <v>151</v>
      </c>
      <c r="E460">
        <v>23</v>
      </c>
      <c r="F460">
        <v>3</v>
      </c>
      <c r="G460" t="s">
        <v>27</v>
      </c>
      <c r="H460">
        <v>9</v>
      </c>
      <c r="I460">
        <v>53</v>
      </c>
      <c r="J460">
        <v>1</v>
      </c>
      <c r="K460">
        <v>24</v>
      </c>
      <c r="L460">
        <v>5</v>
      </c>
      <c r="M460">
        <v>24</v>
      </c>
      <c r="N460">
        <v>257</v>
      </c>
      <c r="O460">
        <v>165</v>
      </c>
      <c r="P460">
        <v>4</v>
      </c>
      <c r="Q460">
        <v>2</v>
      </c>
      <c r="R460">
        <v>4</v>
      </c>
      <c r="S460">
        <v>2</v>
      </c>
      <c r="T460">
        <v>0</v>
      </c>
      <c r="U460">
        <v>541</v>
      </c>
      <c r="V460">
        <v>78</v>
      </c>
      <c r="W460">
        <v>298</v>
      </c>
      <c r="X460">
        <v>165</v>
      </c>
    </row>
    <row r="461" spans="1:24" x14ac:dyDescent="0.2">
      <c r="A461">
        <v>460</v>
      </c>
      <c r="B461" s="1">
        <v>40893</v>
      </c>
      <c r="C461" t="s">
        <v>24</v>
      </c>
      <c r="D461">
        <v>154</v>
      </c>
      <c r="E461">
        <v>23</v>
      </c>
      <c r="F461">
        <v>6</v>
      </c>
      <c r="G461" t="s">
        <v>25</v>
      </c>
      <c r="H461">
        <v>1</v>
      </c>
      <c r="I461">
        <v>43</v>
      </c>
      <c r="J461">
        <v>3</v>
      </c>
      <c r="K461">
        <v>9</v>
      </c>
      <c r="L461">
        <v>3</v>
      </c>
      <c r="M461">
        <v>37</v>
      </c>
      <c r="N461">
        <v>194</v>
      </c>
      <c r="O461">
        <v>173</v>
      </c>
      <c r="P461">
        <v>4</v>
      </c>
      <c r="Q461">
        <v>3</v>
      </c>
      <c r="R461">
        <v>3</v>
      </c>
      <c r="S461">
        <v>2</v>
      </c>
      <c r="T461">
        <v>0</v>
      </c>
      <c r="U461">
        <v>474</v>
      </c>
      <c r="V461">
        <v>55</v>
      </c>
      <c r="W461">
        <v>246</v>
      </c>
      <c r="X461">
        <v>173</v>
      </c>
    </row>
    <row r="462" spans="1:24" x14ac:dyDescent="0.2">
      <c r="A462">
        <v>461</v>
      </c>
      <c r="B462" s="1">
        <v>40893</v>
      </c>
      <c r="C462" t="s">
        <v>28</v>
      </c>
      <c r="D462">
        <v>154</v>
      </c>
      <c r="E462">
        <v>23</v>
      </c>
      <c r="F462">
        <v>6</v>
      </c>
      <c r="G462" t="s">
        <v>25</v>
      </c>
      <c r="H462">
        <v>2</v>
      </c>
      <c r="I462">
        <v>43</v>
      </c>
      <c r="J462">
        <v>1</v>
      </c>
      <c r="K462">
        <v>6</v>
      </c>
      <c r="L462">
        <v>6</v>
      </c>
      <c r="M462">
        <v>19</v>
      </c>
      <c r="N462">
        <v>163</v>
      </c>
      <c r="O462">
        <v>142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382</v>
      </c>
      <c r="V462">
        <v>50</v>
      </c>
      <c r="W462">
        <v>190</v>
      </c>
      <c r="X462">
        <v>142</v>
      </c>
    </row>
    <row r="463" spans="1:24" x14ac:dyDescent="0.2">
      <c r="A463">
        <v>462</v>
      </c>
      <c r="B463" s="1">
        <v>40893</v>
      </c>
      <c r="C463" t="s">
        <v>24</v>
      </c>
      <c r="D463">
        <v>154</v>
      </c>
      <c r="E463">
        <v>23</v>
      </c>
      <c r="F463">
        <v>6</v>
      </c>
      <c r="G463" t="s">
        <v>26</v>
      </c>
      <c r="H463">
        <v>3</v>
      </c>
      <c r="I463">
        <v>39</v>
      </c>
      <c r="J463">
        <v>0</v>
      </c>
      <c r="K463">
        <v>14</v>
      </c>
      <c r="L463">
        <v>2</v>
      </c>
      <c r="M463">
        <v>23</v>
      </c>
      <c r="N463">
        <v>153</v>
      </c>
      <c r="O463">
        <v>137</v>
      </c>
      <c r="P463">
        <v>1</v>
      </c>
      <c r="Q463">
        <v>2</v>
      </c>
      <c r="R463">
        <v>1</v>
      </c>
      <c r="S463">
        <v>0</v>
      </c>
      <c r="T463">
        <v>1</v>
      </c>
      <c r="U463">
        <v>373</v>
      </c>
      <c r="V463">
        <v>53</v>
      </c>
      <c r="W463">
        <v>182</v>
      </c>
      <c r="X463">
        <v>137</v>
      </c>
    </row>
    <row r="464" spans="1:24" x14ac:dyDescent="0.2">
      <c r="A464">
        <v>463</v>
      </c>
      <c r="B464" s="1">
        <v>40893</v>
      </c>
      <c r="C464" t="s">
        <v>28</v>
      </c>
      <c r="D464">
        <v>154</v>
      </c>
      <c r="E464">
        <v>23</v>
      </c>
      <c r="F464">
        <v>6</v>
      </c>
      <c r="G464" t="s">
        <v>25</v>
      </c>
      <c r="H464">
        <v>4</v>
      </c>
      <c r="I464">
        <v>46</v>
      </c>
      <c r="J464">
        <v>0</v>
      </c>
      <c r="K464">
        <v>6</v>
      </c>
      <c r="L464">
        <v>13</v>
      </c>
      <c r="M464">
        <v>25</v>
      </c>
      <c r="N464">
        <v>167</v>
      </c>
      <c r="O464">
        <v>108</v>
      </c>
      <c r="P464">
        <v>2</v>
      </c>
      <c r="Q464">
        <v>5</v>
      </c>
      <c r="R464">
        <v>1</v>
      </c>
      <c r="S464">
        <v>1</v>
      </c>
      <c r="T464">
        <v>0</v>
      </c>
      <c r="U464">
        <v>374</v>
      </c>
      <c r="V464">
        <v>52</v>
      </c>
      <c r="W464">
        <v>214</v>
      </c>
      <c r="X464">
        <v>108</v>
      </c>
    </row>
    <row r="465" spans="1:24" x14ac:dyDescent="0.2">
      <c r="A465">
        <v>464</v>
      </c>
      <c r="B465" s="1">
        <v>40893</v>
      </c>
      <c r="C465" t="s">
        <v>24</v>
      </c>
      <c r="D465">
        <v>154</v>
      </c>
      <c r="E465">
        <v>23</v>
      </c>
      <c r="F465">
        <v>6</v>
      </c>
      <c r="G465" t="s">
        <v>26</v>
      </c>
      <c r="H465">
        <v>5</v>
      </c>
      <c r="I465">
        <v>29</v>
      </c>
      <c r="J465">
        <v>1</v>
      </c>
      <c r="K465">
        <v>10</v>
      </c>
      <c r="L465">
        <v>6</v>
      </c>
      <c r="M465">
        <v>33</v>
      </c>
      <c r="N465">
        <v>165</v>
      </c>
      <c r="O465">
        <v>119</v>
      </c>
      <c r="P465">
        <v>4</v>
      </c>
      <c r="Q465">
        <v>4</v>
      </c>
      <c r="R465">
        <v>5</v>
      </c>
      <c r="S465">
        <v>1</v>
      </c>
      <c r="T465">
        <v>0</v>
      </c>
      <c r="U465">
        <v>377</v>
      </c>
      <c r="V465">
        <v>40</v>
      </c>
      <c r="W465">
        <v>218</v>
      </c>
      <c r="X465">
        <v>119</v>
      </c>
    </row>
    <row r="466" spans="1:24" x14ac:dyDescent="0.2">
      <c r="A466">
        <v>465</v>
      </c>
      <c r="B466" s="1">
        <v>40893</v>
      </c>
      <c r="C466" t="s">
        <v>24</v>
      </c>
      <c r="D466">
        <v>154</v>
      </c>
      <c r="E466">
        <v>23</v>
      </c>
      <c r="F466">
        <v>6</v>
      </c>
      <c r="G466" t="s">
        <v>27</v>
      </c>
      <c r="H466">
        <v>6</v>
      </c>
      <c r="I466">
        <v>38</v>
      </c>
      <c r="J466">
        <v>0</v>
      </c>
      <c r="K466">
        <v>13</v>
      </c>
      <c r="L466">
        <v>2</v>
      </c>
      <c r="M466">
        <v>29</v>
      </c>
      <c r="N466">
        <v>168</v>
      </c>
      <c r="O466">
        <v>141</v>
      </c>
      <c r="P466">
        <v>0</v>
      </c>
      <c r="Q466">
        <v>2</v>
      </c>
      <c r="R466">
        <v>5</v>
      </c>
      <c r="S466">
        <v>0</v>
      </c>
      <c r="T466">
        <v>1</v>
      </c>
      <c r="U466">
        <v>399</v>
      </c>
      <c r="V466">
        <v>51</v>
      </c>
      <c r="W466">
        <v>206</v>
      </c>
      <c r="X466">
        <v>141</v>
      </c>
    </row>
    <row r="467" spans="1:24" x14ac:dyDescent="0.2">
      <c r="A467">
        <v>466</v>
      </c>
      <c r="B467" s="1">
        <v>40893</v>
      </c>
      <c r="C467" t="s">
        <v>28</v>
      </c>
      <c r="D467">
        <v>154</v>
      </c>
      <c r="E467">
        <v>23</v>
      </c>
      <c r="F467">
        <v>6</v>
      </c>
      <c r="G467" t="s">
        <v>27</v>
      </c>
      <c r="H467">
        <v>7</v>
      </c>
      <c r="I467">
        <v>47</v>
      </c>
      <c r="J467">
        <v>0</v>
      </c>
      <c r="K467">
        <v>18</v>
      </c>
      <c r="L467">
        <v>9</v>
      </c>
      <c r="M467">
        <v>28</v>
      </c>
      <c r="N467">
        <v>221</v>
      </c>
      <c r="O467">
        <v>153</v>
      </c>
      <c r="P467">
        <v>1</v>
      </c>
      <c r="Q467">
        <v>4</v>
      </c>
      <c r="R467">
        <v>3</v>
      </c>
      <c r="S467">
        <v>1</v>
      </c>
      <c r="T467">
        <v>0</v>
      </c>
      <c r="U467">
        <v>485</v>
      </c>
      <c r="V467">
        <v>65</v>
      </c>
      <c r="W467">
        <v>267</v>
      </c>
      <c r="X467">
        <v>153</v>
      </c>
    </row>
    <row r="468" spans="1:24" x14ac:dyDescent="0.2">
      <c r="A468">
        <v>467</v>
      </c>
      <c r="B468" s="1">
        <v>40893</v>
      </c>
      <c r="C468" t="s">
        <v>24</v>
      </c>
      <c r="D468">
        <v>154</v>
      </c>
      <c r="E468">
        <v>23</v>
      </c>
      <c r="F468">
        <v>6</v>
      </c>
      <c r="G468" t="s">
        <v>26</v>
      </c>
      <c r="H468">
        <v>8</v>
      </c>
      <c r="I468">
        <v>30</v>
      </c>
      <c r="J468">
        <v>4</v>
      </c>
      <c r="K468">
        <v>9</v>
      </c>
      <c r="L468">
        <v>3</v>
      </c>
      <c r="M468">
        <v>25</v>
      </c>
      <c r="N468">
        <v>124</v>
      </c>
      <c r="O468">
        <v>130</v>
      </c>
      <c r="P468">
        <v>0</v>
      </c>
      <c r="Q468">
        <v>1</v>
      </c>
      <c r="R468">
        <v>5</v>
      </c>
      <c r="S468">
        <v>0</v>
      </c>
      <c r="T468">
        <v>1</v>
      </c>
      <c r="U468">
        <v>332</v>
      </c>
      <c r="V468">
        <v>43</v>
      </c>
      <c r="W468">
        <v>158</v>
      </c>
      <c r="X468">
        <v>130</v>
      </c>
    </row>
    <row r="469" spans="1:24" x14ac:dyDescent="0.2">
      <c r="A469">
        <v>468</v>
      </c>
      <c r="B469" s="1">
        <v>40893</v>
      </c>
      <c r="C469" t="s">
        <v>28</v>
      </c>
      <c r="D469">
        <v>154</v>
      </c>
      <c r="E469">
        <v>23</v>
      </c>
      <c r="F469">
        <v>6</v>
      </c>
      <c r="G469" t="s">
        <v>27</v>
      </c>
      <c r="H469">
        <v>9</v>
      </c>
      <c r="I469">
        <v>52</v>
      </c>
      <c r="J469">
        <v>1</v>
      </c>
      <c r="K469">
        <v>25</v>
      </c>
      <c r="L469">
        <v>7</v>
      </c>
      <c r="M469">
        <v>24</v>
      </c>
      <c r="N469">
        <v>274</v>
      </c>
      <c r="O469">
        <v>182</v>
      </c>
      <c r="P469">
        <v>2</v>
      </c>
      <c r="Q469">
        <v>4</v>
      </c>
      <c r="R469">
        <v>1</v>
      </c>
      <c r="S469">
        <v>0</v>
      </c>
      <c r="T469">
        <v>0</v>
      </c>
      <c r="U469">
        <v>572</v>
      </c>
      <c r="V469">
        <v>78</v>
      </c>
      <c r="W469">
        <v>312</v>
      </c>
      <c r="X469">
        <v>182</v>
      </c>
    </row>
    <row r="470" spans="1:24" x14ac:dyDescent="0.2">
      <c r="A470">
        <v>469</v>
      </c>
      <c r="B470" s="1">
        <v>40897</v>
      </c>
      <c r="C470" t="s">
        <v>24</v>
      </c>
      <c r="D470">
        <v>158</v>
      </c>
      <c r="E470">
        <v>24</v>
      </c>
      <c r="F470">
        <v>3</v>
      </c>
      <c r="G470" t="s">
        <v>25</v>
      </c>
      <c r="H470">
        <v>1</v>
      </c>
      <c r="I470">
        <v>42</v>
      </c>
      <c r="J470">
        <v>3</v>
      </c>
      <c r="K470">
        <v>11</v>
      </c>
      <c r="L470">
        <v>3</v>
      </c>
      <c r="M470">
        <v>34</v>
      </c>
      <c r="N470">
        <v>202</v>
      </c>
      <c r="O470">
        <v>191</v>
      </c>
      <c r="P470">
        <v>3</v>
      </c>
      <c r="Q470">
        <v>2</v>
      </c>
      <c r="R470">
        <v>4</v>
      </c>
      <c r="S470">
        <v>2</v>
      </c>
      <c r="T470">
        <v>0</v>
      </c>
      <c r="U470">
        <v>497</v>
      </c>
      <c r="V470">
        <v>56</v>
      </c>
      <c r="W470">
        <v>250</v>
      </c>
      <c r="X470">
        <v>191</v>
      </c>
    </row>
    <row r="471" spans="1:24" x14ac:dyDescent="0.2">
      <c r="A471">
        <v>470</v>
      </c>
      <c r="B471" s="1">
        <v>40897</v>
      </c>
      <c r="C471" t="s">
        <v>28</v>
      </c>
      <c r="D471">
        <v>158</v>
      </c>
      <c r="E471">
        <v>24</v>
      </c>
      <c r="F471">
        <v>3</v>
      </c>
      <c r="G471" t="s">
        <v>25</v>
      </c>
      <c r="H471">
        <v>2</v>
      </c>
      <c r="I471">
        <v>44</v>
      </c>
      <c r="J471">
        <v>0</v>
      </c>
      <c r="K471">
        <v>8</v>
      </c>
      <c r="L471">
        <v>7</v>
      </c>
      <c r="M471">
        <v>23</v>
      </c>
      <c r="N471">
        <v>202</v>
      </c>
      <c r="O471">
        <v>176</v>
      </c>
      <c r="P471">
        <v>3</v>
      </c>
      <c r="Q471">
        <v>2</v>
      </c>
      <c r="R471">
        <v>2</v>
      </c>
      <c r="S471">
        <v>0</v>
      </c>
      <c r="T471">
        <v>0</v>
      </c>
      <c r="U471">
        <v>467</v>
      </c>
      <c r="V471">
        <v>52</v>
      </c>
      <c r="W471">
        <v>239</v>
      </c>
      <c r="X471">
        <v>176</v>
      </c>
    </row>
    <row r="472" spans="1:24" x14ac:dyDescent="0.2">
      <c r="A472">
        <v>471</v>
      </c>
      <c r="B472" s="1">
        <v>40897</v>
      </c>
      <c r="C472" t="s">
        <v>24</v>
      </c>
      <c r="D472">
        <v>158</v>
      </c>
      <c r="E472">
        <v>24</v>
      </c>
      <c r="F472">
        <v>3</v>
      </c>
      <c r="G472" t="s">
        <v>26</v>
      </c>
      <c r="H472">
        <v>3</v>
      </c>
      <c r="I472">
        <v>37</v>
      </c>
      <c r="J472">
        <v>1</v>
      </c>
      <c r="K472">
        <v>12</v>
      </c>
      <c r="L472">
        <v>8</v>
      </c>
      <c r="M472">
        <v>23</v>
      </c>
      <c r="N472">
        <v>152</v>
      </c>
      <c r="O472">
        <v>157</v>
      </c>
      <c r="P472">
        <v>2</v>
      </c>
      <c r="Q472">
        <v>3</v>
      </c>
      <c r="R472">
        <v>4</v>
      </c>
      <c r="S472">
        <v>1</v>
      </c>
      <c r="T472">
        <v>0</v>
      </c>
      <c r="U472">
        <v>400</v>
      </c>
      <c r="V472">
        <v>50</v>
      </c>
      <c r="W472">
        <v>193</v>
      </c>
      <c r="X472">
        <v>157</v>
      </c>
    </row>
    <row r="473" spans="1:24" x14ac:dyDescent="0.2">
      <c r="A473">
        <v>472</v>
      </c>
      <c r="B473" s="1">
        <v>40897</v>
      </c>
      <c r="C473" t="s">
        <v>28</v>
      </c>
      <c r="D473">
        <v>158</v>
      </c>
      <c r="E473">
        <v>24</v>
      </c>
      <c r="F473">
        <v>3</v>
      </c>
      <c r="G473" t="s">
        <v>25</v>
      </c>
      <c r="H473">
        <v>4</v>
      </c>
      <c r="I473">
        <v>43</v>
      </c>
      <c r="J473">
        <v>0</v>
      </c>
      <c r="K473">
        <v>8</v>
      </c>
      <c r="L473">
        <v>9</v>
      </c>
      <c r="M473">
        <v>29</v>
      </c>
      <c r="N473">
        <v>163</v>
      </c>
      <c r="O473">
        <v>115</v>
      </c>
      <c r="P473">
        <v>4</v>
      </c>
      <c r="Q473">
        <v>3</v>
      </c>
      <c r="R473">
        <v>2</v>
      </c>
      <c r="S473">
        <v>2</v>
      </c>
      <c r="T473">
        <v>0</v>
      </c>
      <c r="U473">
        <v>378</v>
      </c>
      <c r="V473">
        <v>51</v>
      </c>
      <c r="W473">
        <v>212</v>
      </c>
      <c r="X473">
        <v>115</v>
      </c>
    </row>
    <row r="474" spans="1:24" x14ac:dyDescent="0.2">
      <c r="A474">
        <v>473</v>
      </c>
      <c r="B474" s="1">
        <v>40897</v>
      </c>
      <c r="C474" t="s">
        <v>24</v>
      </c>
      <c r="D474">
        <v>158</v>
      </c>
      <c r="E474">
        <v>24</v>
      </c>
      <c r="F474">
        <v>3</v>
      </c>
      <c r="G474" t="s">
        <v>26</v>
      </c>
      <c r="H474">
        <v>5</v>
      </c>
      <c r="I474">
        <v>33</v>
      </c>
      <c r="J474">
        <v>3</v>
      </c>
      <c r="K474">
        <v>13</v>
      </c>
      <c r="L474">
        <v>7</v>
      </c>
      <c r="M474">
        <v>33</v>
      </c>
      <c r="N474">
        <v>130</v>
      </c>
      <c r="O474">
        <v>133</v>
      </c>
      <c r="P474">
        <v>4</v>
      </c>
      <c r="Q474">
        <v>4</v>
      </c>
      <c r="R474">
        <v>2</v>
      </c>
      <c r="S474">
        <v>0</v>
      </c>
      <c r="T474">
        <v>0</v>
      </c>
      <c r="U474">
        <v>362</v>
      </c>
      <c r="V474">
        <v>49</v>
      </c>
      <c r="W474">
        <v>180</v>
      </c>
      <c r="X474">
        <v>133</v>
      </c>
    </row>
    <row r="475" spans="1:24" x14ac:dyDescent="0.2">
      <c r="A475">
        <v>474</v>
      </c>
      <c r="B475" s="1">
        <v>40897</v>
      </c>
      <c r="C475" t="s">
        <v>24</v>
      </c>
      <c r="D475">
        <v>158</v>
      </c>
      <c r="E475">
        <v>24</v>
      </c>
      <c r="F475">
        <v>3</v>
      </c>
      <c r="G475" t="s">
        <v>27</v>
      </c>
      <c r="H475">
        <v>6</v>
      </c>
      <c r="I475">
        <v>36</v>
      </c>
      <c r="J475">
        <v>0</v>
      </c>
      <c r="K475">
        <v>15</v>
      </c>
      <c r="L475">
        <v>7</v>
      </c>
      <c r="M475">
        <v>29</v>
      </c>
      <c r="N475">
        <v>155</v>
      </c>
      <c r="O475">
        <v>128</v>
      </c>
      <c r="P475">
        <v>2</v>
      </c>
      <c r="Q475">
        <v>3</v>
      </c>
      <c r="R475">
        <v>4</v>
      </c>
      <c r="S475">
        <v>1</v>
      </c>
      <c r="T475">
        <v>0</v>
      </c>
      <c r="U475">
        <v>380</v>
      </c>
      <c r="V475">
        <v>51</v>
      </c>
      <c r="W475">
        <v>201</v>
      </c>
      <c r="X475">
        <v>128</v>
      </c>
    </row>
    <row r="476" spans="1:24" x14ac:dyDescent="0.2">
      <c r="A476">
        <v>475</v>
      </c>
      <c r="B476" s="1">
        <v>40897</v>
      </c>
      <c r="C476" t="s">
        <v>28</v>
      </c>
      <c r="D476">
        <v>158</v>
      </c>
      <c r="E476">
        <v>24</v>
      </c>
      <c r="F476">
        <v>3</v>
      </c>
      <c r="G476" t="s">
        <v>27</v>
      </c>
      <c r="H476">
        <v>7</v>
      </c>
      <c r="I476">
        <v>50</v>
      </c>
      <c r="J476">
        <v>0</v>
      </c>
      <c r="K476">
        <v>16</v>
      </c>
      <c r="L476">
        <v>9</v>
      </c>
      <c r="M476">
        <v>31</v>
      </c>
      <c r="N476">
        <v>208</v>
      </c>
      <c r="O476">
        <v>181</v>
      </c>
      <c r="P476">
        <v>2</v>
      </c>
      <c r="Q476">
        <v>3</v>
      </c>
      <c r="R476">
        <v>3</v>
      </c>
      <c r="S476">
        <v>0</v>
      </c>
      <c r="T476">
        <v>0</v>
      </c>
      <c r="U476">
        <v>503</v>
      </c>
      <c r="V476">
        <v>66</v>
      </c>
      <c r="W476">
        <v>256</v>
      </c>
      <c r="X476">
        <v>181</v>
      </c>
    </row>
    <row r="477" spans="1:24" x14ac:dyDescent="0.2">
      <c r="A477">
        <v>476</v>
      </c>
      <c r="B477" s="1">
        <v>40897</v>
      </c>
      <c r="C477" t="s">
        <v>28</v>
      </c>
      <c r="D477">
        <v>158</v>
      </c>
      <c r="E477">
        <v>24</v>
      </c>
      <c r="F477">
        <v>3</v>
      </c>
      <c r="G477" t="s">
        <v>26</v>
      </c>
      <c r="H477">
        <v>8</v>
      </c>
      <c r="I477">
        <v>27</v>
      </c>
      <c r="J477">
        <v>7</v>
      </c>
      <c r="K477">
        <v>8</v>
      </c>
      <c r="L477">
        <v>3</v>
      </c>
      <c r="M477">
        <v>29</v>
      </c>
      <c r="N477">
        <v>117</v>
      </c>
      <c r="O477">
        <v>104</v>
      </c>
      <c r="P477">
        <v>1</v>
      </c>
      <c r="Q477">
        <v>1</v>
      </c>
      <c r="R477">
        <v>0</v>
      </c>
      <c r="S477">
        <v>2</v>
      </c>
      <c r="T477">
        <v>1</v>
      </c>
      <c r="U477">
        <v>300</v>
      </c>
      <c r="V477">
        <v>42</v>
      </c>
      <c r="W477">
        <v>153</v>
      </c>
      <c r="X477">
        <v>104</v>
      </c>
    </row>
    <row r="478" spans="1:24" x14ac:dyDescent="0.2">
      <c r="A478">
        <v>477</v>
      </c>
      <c r="B478" s="1">
        <v>40897</v>
      </c>
      <c r="C478" t="s">
        <v>24</v>
      </c>
      <c r="D478">
        <v>158</v>
      </c>
      <c r="E478">
        <v>24</v>
      </c>
      <c r="F478">
        <v>3</v>
      </c>
      <c r="G478" t="s">
        <v>27</v>
      </c>
      <c r="H478">
        <v>9</v>
      </c>
      <c r="I478">
        <v>49</v>
      </c>
      <c r="J478">
        <v>0</v>
      </c>
      <c r="K478">
        <v>22</v>
      </c>
      <c r="L478">
        <v>8</v>
      </c>
      <c r="M478">
        <v>26</v>
      </c>
      <c r="N478">
        <v>291</v>
      </c>
      <c r="O478">
        <v>188</v>
      </c>
      <c r="P478">
        <v>0</v>
      </c>
      <c r="Q478">
        <v>2</v>
      </c>
      <c r="R478">
        <v>3</v>
      </c>
      <c r="S478">
        <v>1</v>
      </c>
      <c r="T478">
        <v>0</v>
      </c>
      <c r="U478">
        <v>590</v>
      </c>
      <c r="V478">
        <v>71</v>
      </c>
      <c r="W478">
        <v>331</v>
      </c>
      <c r="X478">
        <v>188</v>
      </c>
    </row>
    <row r="479" spans="1:24" x14ac:dyDescent="0.2">
      <c r="A479">
        <v>478</v>
      </c>
      <c r="B479" s="1">
        <v>40900</v>
      </c>
      <c r="C479" t="s">
        <v>28</v>
      </c>
      <c r="D479">
        <v>161</v>
      </c>
      <c r="E479">
        <v>24</v>
      </c>
      <c r="F479">
        <v>6</v>
      </c>
      <c r="G479" t="s">
        <v>25</v>
      </c>
      <c r="H479">
        <v>1</v>
      </c>
      <c r="I479">
        <v>43</v>
      </c>
      <c r="J479">
        <v>3</v>
      </c>
      <c r="K479">
        <v>7</v>
      </c>
      <c r="L479">
        <v>6</v>
      </c>
      <c r="M479">
        <v>33</v>
      </c>
      <c r="N479">
        <v>246</v>
      </c>
      <c r="O479">
        <v>179</v>
      </c>
      <c r="P479">
        <v>3</v>
      </c>
      <c r="Q479">
        <v>3</v>
      </c>
      <c r="R479">
        <v>1</v>
      </c>
      <c r="S479">
        <v>2</v>
      </c>
      <c r="T479">
        <v>0</v>
      </c>
      <c r="U479">
        <v>526</v>
      </c>
      <c r="V479">
        <v>53</v>
      </c>
      <c r="W479">
        <v>294</v>
      </c>
      <c r="X479">
        <v>179</v>
      </c>
    </row>
    <row r="480" spans="1:24" x14ac:dyDescent="0.2">
      <c r="A480">
        <v>479</v>
      </c>
      <c r="B480" s="1">
        <v>40900</v>
      </c>
      <c r="C480" t="s">
        <v>24</v>
      </c>
      <c r="D480">
        <v>161</v>
      </c>
      <c r="E480">
        <v>24</v>
      </c>
      <c r="F480">
        <v>6</v>
      </c>
      <c r="G480" t="s">
        <v>25</v>
      </c>
      <c r="H480">
        <v>2</v>
      </c>
      <c r="I480">
        <v>36</v>
      </c>
      <c r="J480">
        <v>1</v>
      </c>
      <c r="K480">
        <v>8</v>
      </c>
      <c r="L480">
        <v>7</v>
      </c>
      <c r="M480">
        <v>23</v>
      </c>
      <c r="N480">
        <v>224</v>
      </c>
      <c r="O480">
        <v>152</v>
      </c>
      <c r="P480">
        <v>3</v>
      </c>
      <c r="Q480">
        <v>2</v>
      </c>
      <c r="R480">
        <v>0</v>
      </c>
      <c r="S480">
        <v>0</v>
      </c>
      <c r="T480">
        <v>0</v>
      </c>
      <c r="U480">
        <v>456</v>
      </c>
      <c r="V480">
        <v>45</v>
      </c>
      <c r="W480">
        <v>259</v>
      </c>
      <c r="X480">
        <v>152</v>
      </c>
    </row>
    <row r="481" spans="1:24" x14ac:dyDescent="0.2">
      <c r="A481">
        <v>480</v>
      </c>
      <c r="B481" s="1">
        <v>40900</v>
      </c>
      <c r="C481" t="s">
        <v>24</v>
      </c>
      <c r="D481">
        <v>161</v>
      </c>
      <c r="E481">
        <v>24</v>
      </c>
      <c r="F481">
        <v>6</v>
      </c>
      <c r="G481" t="s">
        <v>26</v>
      </c>
      <c r="H481">
        <v>3</v>
      </c>
      <c r="I481">
        <v>34</v>
      </c>
      <c r="J481">
        <v>1</v>
      </c>
      <c r="K481">
        <v>14</v>
      </c>
      <c r="L481">
        <v>4</v>
      </c>
      <c r="M481">
        <v>21</v>
      </c>
      <c r="N481">
        <v>202</v>
      </c>
      <c r="O481">
        <v>156</v>
      </c>
      <c r="P481">
        <v>3</v>
      </c>
      <c r="Q481">
        <v>1</v>
      </c>
      <c r="R481">
        <v>0</v>
      </c>
      <c r="S481">
        <v>1</v>
      </c>
      <c r="T481">
        <v>0</v>
      </c>
      <c r="U481">
        <v>437</v>
      </c>
      <c r="V481">
        <v>49</v>
      </c>
      <c r="W481">
        <v>232</v>
      </c>
      <c r="X481">
        <v>156</v>
      </c>
    </row>
    <row r="482" spans="1:24" x14ac:dyDescent="0.2">
      <c r="A482">
        <v>481</v>
      </c>
      <c r="B482" s="1">
        <v>40900</v>
      </c>
      <c r="C482" t="s">
        <v>28</v>
      </c>
      <c r="D482">
        <v>161</v>
      </c>
      <c r="E482">
        <v>24</v>
      </c>
      <c r="F482">
        <v>6</v>
      </c>
      <c r="G482" t="s">
        <v>25</v>
      </c>
      <c r="H482">
        <v>4</v>
      </c>
      <c r="I482">
        <v>41</v>
      </c>
      <c r="J482">
        <v>0</v>
      </c>
      <c r="K482">
        <v>7</v>
      </c>
      <c r="L482">
        <v>9</v>
      </c>
      <c r="M482">
        <v>22</v>
      </c>
      <c r="N482">
        <v>148</v>
      </c>
      <c r="O482">
        <v>102</v>
      </c>
      <c r="P482">
        <v>3</v>
      </c>
      <c r="Q482">
        <v>5</v>
      </c>
      <c r="R482">
        <v>2</v>
      </c>
      <c r="S482">
        <v>1</v>
      </c>
      <c r="T482">
        <v>0</v>
      </c>
      <c r="U482">
        <v>340</v>
      </c>
      <c r="V482">
        <v>48</v>
      </c>
      <c r="W482">
        <v>190</v>
      </c>
      <c r="X482">
        <v>102</v>
      </c>
    </row>
    <row r="483" spans="1:24" x14ac:dyDescent="0.2">
      <c r="A483">
        <v>482</v>
      </c>
      <c r="B483" s="1">
        <v>40900</v>
      </c>
      <c r="C483" t="s">
        <v>24</v>
      </c>
      <c r="D483">
        <v>161</v>
      </c>
      <c r="E483">
        <v>24</v>
      </c>
      <c r="F483">
        <v>6</v>
      </c>
      <c r="G483" t="s">
        <v>26</v>
      </c>
      <c r="H483">
        <v>5</v>
      </c>
      <c r="I483">
        <v>33</v>
      </c>
      <c r="J483">
        <v>3</v>
      </c>
      <c r="K483">
        <v>11</v>
      </c>
      <c r="L483">
        <v>5</v>
      </c>
      <c r="M483">
        <v>27</v>
      </c>
      <c r="N483">
        <v>135</v>
      </c>
      <c r="O483">
        <v>113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331</v>
      </c>
      <c r="V483">
        <v>47</v>
      </c>
      <c r="W483">
        <v>171</v>
      </c>
      <c r="X483">
        <v>113</v>
      </c>
    </row>
    <row r="484" spans="1:24" x14ac:dyDescent="0.2">
      <c r="A484">
        <v>483</v>
      </c>
      <c r="B484" s="1">
        <v>40900</v>
      </c>
      <c r="C484" t="s">
        <v>24</v>
      </c>
      <c r="D484">
        <v>161</v>
      </c>
      <c r="E484">
        <v>24</v>
      </c>
      <c r="F484">
        <v>6</v>
      </c>
      <c r="G484" t="s">
        <v>27</v>
      </c>
      <c r="H484">
        <v>6</v>
      </c>
      <c r="I484">
        <v>38</v>
      </c>
      <c r="J484">
        <v>0</v>
      </c>
      <c r="K484">
        <v>22</v>
      </c>
      <c r="L484">
        <v>7</v>
      </c>
      <c r="M484">
        <v>29</v>
      </c>
      <c r="N484">
        <v>168</v>
      </c>
      <c r="O484">
        <v>170</v>
      </c>
      <c r="P484">
        <v>5</v>
      </c>
      <c r="Q484">
        <v>1</v>
      </c>
      <c r="R484">
        <v>3</v>
      </c>
      <c r="S484">
        <v>0</v>
      </c>
      <c r="T484">
        <v>1</v>
      </c>
      <c r="U484">
        <v>444</v>
      </c>
      <c r="V484">
        <v>60</v>
      </c>
      <c r="W484">
        <v>213</v>
      </c>
      <c r="X484">
        <v>170</v>
      </c>
    </row>
    <row r="485" spans="1:24" x14ac:dyDescent="0.2">
      <c r="A485">
        <v>484</v>
      </c>
      <c r="B485" s="1">
        <v>40900</v>
      </c>
      <c r="C485" t="s">
        <v>28</v>
      </c>
      <c r="D485">
        <v>161</v>
      </c>
      <c r="E485">
        <v>24</v>
      </c>
      <c r="F485">
        <v>6</v>
      </c>
      <c r="G485" t="s">
        <v>27</v>
      </c>
      <c r="H485">
        <v>7</v>
      </c>
      <c r="I485">
        <v>52</v>
      </c>
      <c r="J485">
        <v>0</v>
      </c>
      <c r="K485">
        <v>15</v>
      </c>
      <c r="L485">
        <v>12</v>
      </c>
      <c r="M485">
        <v>29</v>
      </c>
      <c r="N485">
        <v>210</v>
      </c>
      <c r="O485">
        <v>173</v>
      </c>
      <c r="P485">
        <v>2</v>
      </c>
      <c r="Q485">
        <v>3</v>
      </c>
      <c r="R485">
        <v>4</v>
      </c>
      <c r="S485">
        <v>0</v>
      </c>
      <c r="T485">
        <v>0</v>
      </c>
      <c r="U485">
        <v>500</v>
      </c>
      <c r="V485">
        <v>67</v>
      </c>
      <c r="W485">
        <v>260</v>
      </c>
      <c r="X485">
        <v>173</v>
      </c>
    </row>
    <row r="486" spans="1:24" x14ac:dyDescent="0.2">
      <c r="A486">
        <v>485</v>
      </c>
      <c r="B486" s="1">
        <v>40900</v>
      </c>
      <c r="C486" t="s">
        <v>24</v>
      </c>
      <c r="D486">
        <v>161</v>
      </c>
      <c r="E486">
        <v>24</v>
      </c>
      <c r="F486">
        <v>6</v>
      </c>
      <c r="G486" t="s">
        <v>26</v>
      </c>
      <c r="H486">
        <v>8</v>
      </c>
      <c r="I486">
        <v>26</v>
      </c>
      <c r="J486">
        <v>7</v>
      </c>
      <c r="K486">
        <v>8</v>
      </c>
      <c r="L486">
        <v>5</v>
      </c>
      <c r="M486">
        <v>26</v>
      </c>
      <c r="N486">
        <v>190</v>
      </c>
      <c r="O486">
        <v>98</v>
      </c>
      <c r="P486">
        <v>1</v>
      </c>
      <c r="Q486">
        <v>0</v>
      </c>
      <c r="R486">
        <v>2</v>
      </c>
      <c r="S486">
        <v>2</v>
      </c>
      <c r="T486">
        <v>0</v>
      </c>
      <c r="U486">
        <v>365</v>
      </c>
      <c r="V486">
        <v>41</v>
      </c>
      <c r="W486">
        <v>226</v>
      </c>
      <c r="X486">
        <v>98</v>
      </c>
    </row>
    <row r="487" spans="1:24" x14ac:dyDescent="0.2">
      <c r="A487">
        <v>486</v>
      </c>
      <c r="B487" s="1">
        <v>40900</v>
      </c>
      <c r="C487" t="s">
        <v>28</v>
      </c>
      <c r="D487">
        <v>161</v>
      </c>
      <c r="E487">
        <v>24</v>
      </c>
      <c r="F487">
        <v>6</v>
      </c>
      <c r="G487" t="s">
        <v>27</v>
      </c>
      <c r="H487">
        <v>9</v>
      </c>
      <c r="I487">
        <v>53</v>
      </c>
      <c r="J487">
        <v>1</v>
      </c>
      <c r="K487">
        <v>21</v>
      </c>
      <c r="L487">
        <v>10</v>
      </c>
      <c r="M487">
        <v>35</v>
      </c>
      <c r="N487">
        <v>269</v>
      </c>
      <c r="O487">
        <v>175</v>
      </c>
      <c r="P487">
        <v>4</v>
      </c>
      <c r="Q487">
        <v>2</v>
      </c>
      <c r="R487">
        <v>2</v>
      </c>
      <c r="S487">
        <v>1</v>
      </c>
      <c r="T487">
        <v>0</v>
      </c>
      <c r="U487">
        <v>573</v>
      </c>
      <c r="V487">
        <v>75</v>
      </c>
      <c r="W487">
        <v>323</v>
      </c>
      <c r="X487">
        <v>175</v>
      </c>
    </row>
    <row r="488" spans="1:24" x14ac:dyDescent="0.2">
      <c r="A488">
        <v>487</v>
      </c>
      <c r="B488" s="1">
        <v>40904</v>
      </c>
      <c r="C488" t="s">
        <v>24</v>
      </c>
      <c r="D488">
        <v>165</v>
      </c>
      <c r="E488">
        <v>25</v>
      </c>
      <c r="F488">
        <v>3</v>
      </c>
      <c r="G488" t="s">
        <v>25</v>
      </c>
      <c r="H488">
        <v>1</v>
      </c>
      <c r="I488">
        <v>38</v>
      </c>
      <c r="J488">
        <v>3</v>
      </c>
      <c r="K488">
        <v>5</v>
      </c>
      <c r="L488">
        <v>3</v>
      </c>
      <c r="M488">
        <v>26</v>
      </c>
      <c r="N488">
        <v>260</v>
      </c>
      <c r="O488">
        <v>143</v>
      </c>
      <c r="P488">
        <v>4</v>
      </c>
      <c r="Q488">
        <v>1</v>
      </c>
      <c r="R488">
        <v>4</v>
      </c>
      <c r="S488">
        <v>2</v>
      </c>
      <c r="T488">
        <v>0</v>
      </c>
      <c r="U488">
        <v>489</v>
      </c>
      <c r="V488">
        <v>46</v>
      </c>
      <c r="W488">
        <v>300</v>
      </c>
      <c r="X488">
        <v>143</v>
      </c>
    </row>
    <row r="489" spans="1:24" x14ac:dyDescent="0.2">
      <c r="A489">
        <v>488</v>
      </c>
      <c r="B489" s="1">
        <v>40904</v>
      </c>
      <c r="C489" t="s">
        <v>24</v>
      </c>
      <c r="D489">
        <v>165</v>
      </c>
      <c r="E489">
        <v>25</v>
      </c>
      <c r="F489">
        <v>3</v>
      </c>
      <c r="G489" t="s">
        <v>25</v>
      </c>
      <c r="H489">
        <v>2</v>
      </c>
      <c r="I489">
        <v>34</v>
      </c>
      <c r="J489">
        <v>0</v>
      </c>
      <c r="K489">
        <v>10</v>
      </c>
      <c r="L489">
        <v>3</v>
      </c>
      <c r="M489">
        <v>22</v>
      </c>
      <c r="N489">
        <v>185</v>
      </c>
      <c r="O489">
        <v>139</v>
      </c>
      <c r="P489">
        <v>4</v>
      </c>
      <c r="Q489">
        <v>2</v>
      </c>
      <c r="R489">
        <v>2</v>
      </c>
      <c r="S489">
        <v>1</v>
      </c>
      <c r="T489">
        <v>1</v>
      </c>
      <c r="U489">
        <v>403</v>
      </c>
      <c r="V489">
        <v>44</v>
      </c>
      <c r="W489">
        <v>219</v>
      </c>
      <c r="X489">
        <v>139</v>
      </c>
    </row>
    <row r="490" spans="1:24" x14ac:dyDescent="0.2">
      <c r="A490">
        <v>489</v>
      </c>
      <c r="B490" s="1">
        <v>40904</v>
      </c>
      <c r="C490" t="s">
        <v>24</v>
      </c>
      <c r="D490">
        <v>165</v>
      </c>
      <c r="E490">
        <v>25</v>
      </c>
      <c r="F490">
        <v>3</v>
      </c>
      <c r="G490" t="s">
        <v>26</v>
      </c>
      <c r="H490">
        <v>3</v>
      </c>
      <c r="I490">
        <v>32</v>
      </c>
      <c r="J490">
        <v>0</v>
      </c>
      <c r="K490">
        <v>15</v>
      </c>
      <c r="L490">
        <v>4</v>
      </c>
      <c r="M490">
        <v>21</v>
      </c>
      <c r="N490">
        <v>193</v>
      </c>
      <c r="O490">
        <v>151</v>
      </c>
      <c r="P490">
        <v>3</v>
      </c>
      <c r="Q490">
        <v>4</v>
      </c>
      <c r="R490">
        <v>4</v>
      </c>
      <c r="S490">
        <v>0</v>
      </c>
      <c r="T490">
        <v>0</v>
      </c>
      <c r="U490">
        <v>427</v>
      </c>
      <c r="V490">
        <v>47</v>
      </c>
      <c r="W490">
        <v>229</v>
      </c>
      <c r="X490">
        <v>151</v>
      </c>
    </row>
    <row r="491" spans="1:24" x14ac:dyDescent="0.2">
      <c r="A491">
        <v>490</v>
      </c>
      <c r="B491" s="1">
        <v>40904</v>
      </c>
      <c r="C491" t="s">
        <v>24</v>
      </c>
      <c r="D491">
        <v>165</v>
      </c>
      <c r="E491">
        <v>25</v>
      </c>
      <c r="F491">
        <v>3</v>
      </c>
      <c r="G491" t="s">
        <v>25</v>
      </c>
      <c r="H491">
        <v>4</v>
      </c>
      <c r="I491">
        <v>39</v>
      </c>
      <c r="J491">
        <v>1</v>
      </c>
      <c r="K491">
        <v>11</v>
      </c>
      <c r="L491">
        <v>2</v>
      </c>
      <c r="M491">
        <v>17</v>
      </c>
      <c r="N491">
        <v>117</v>
      </c>
      <c r="O491">
        <v>124</v>
      </c>
      <c r="P491">
        <v>4</v>
      </c>
      <c r="Q491">
        <v>3</v>
      </c>
      <c r="R491">
        <v>4</v>
      </c>
      <c r="S491">
        <v>0</v>
      </c>
      <c r="T491">
        <v>0</v>
      </c>
      <c r="U491">
        <v>322</v>
      </c>
      <c r="V491">
        <v>51</v>
      </c>
      <c r="W491">
        <v>147</v>
      </c>
      <c r="X491">
        <v>124</v>
      </c>
    </row>
    <row r="492" spans="1:24" x14ac:dyDescent="0.2">
      <c r="A492">
        <v>491</v>
      </c>
      <c r="B492" s="1">
        <v>40904</v>
      </c>
      <c r="C492" t="s">
        <v>24</v>
      </c>
      <c r="D492">
        <v>165</v>
      </c>
      <c r="E492">
        <v>25</v>
      </c>
      <c r="F492">
        <v>3</v>
      </c>
      <c r="G492" t="s">
        <v>26</v>
      </c>
      <c r="H492">
        <v>5</v>
      </c>
      <c r="I492">
        <v>35</v>
      </c>
      <c r="J492">
        <v>4</v>
      </c>
      <c r="K492">
        <v>9</v>
      </c>
      <c r="L492">
        <v>4</v>
      </c>
      <c r="M492">
        <v>23</v>
      </c>
      <c r="N492">
        <v>133</v>
      </c>
      <c r="O492">
        <v>115</v>
      </c>
      <c r="P492">
        <v>5</v>
      </c>
      <c r="Q492">
        <v>1</v>
      </c>
      <c r="R492">
        <v>3</v>
      </c>
      <c r="S492">
        <v>0</v>
      </c>
      <c r="T492">
        <v>0</v>
      </c>
      <c r="U492">
        <v>332</v>
      </c>
      <c r="V492">
        <v>48</v>
      </c>
      <c r="W492">
        <v>169</v>
      </c>
      <c r="X492">
        <v>115</v>
      </c>
    </row>
    <row r="493" spans="1:24" x14ac:dyDescent="0.2">
      <c r="A493">
        <v>492</v>
      </c>
      <c r="B493" s="1">
        <v>40904</v>
      </c>
      <c r="C493" t="s">
        <v>24</v>
      </c>
      <c r="D493">
        <v>165</v>
      </c>
      <c r="E493">
        <v>25</v>
      </c>
      <c r="F493">
        <v>3</v>
      </c>
      <c r="G493" t="s">
        <v>27</v>
      </c>
      <c r="H493">
        <v>6</v>
      </c>
      <c r="I493">
        <v>42</v>
      </c>
      <c r="J493">
        <v>0</v>
      </c>
      <c r="K493">
        <v>19</v>
      </c>
      <c r="L493">
        <v>3</v>
      </c>
      <c r="M493">
        <v>22</v>
      </c>
      <c r="N493">
        <v>160</v>
      </c>
      <c r="O493">
        <v>189</v>
      </c>
      <c r="P493">
        <v>0</v>
      </c>
      <c r="Q493">
        <v>0</v>
      </c>
      <c r="R493">
        <v>3</v>
      </c>
      <c r="S493">
        <v>0</v>
      </c>
      <c r="T493">
        <v>0</v>
      </c>
      <c r="U493">
        <v>438</v>
      </c>
      <c r="V493">
        <v>61</v>
      </c>
      <c r="W493">
        <v>188</v>
      </c>
      <c r="X493">
        <v>189</v>
      </c>
    </row>
    <row r="494" spans="1:24" x14ac:dyDescent="0.2">
      <c r="A494">
        <v>493</v>
      </c>
      <c r="B494" s="1">
        <v>40904</v>
      </c>
      <c r="C494" t="s">
        <v>24</v>
      </c>
      <c r="D494">
        <v>165</v>
      </c>
      <c r="E494">
        <v>25</v>
      </c>
      <c r="F494">
        <v>3</v>
      </c>
      <c r="G494" t="s">
        <v>27</v>
      </c>
      <c r="H494">
        <v>7</v>
      </c>
      <c r="I494">
        <v>48</v>
      </c>
      <c r="J494">
        <v>0</v>
      </c>
      <c r="K494">
        <v>19</v>
      </c>
      <c r="L494">
        <v>4</v>
      </c>
      <c r="M494">
        <v>20</v>
      </c>
      <c r="N494">
        <v>188</v>
      </c>
      <c r="O494">
        <v>120</v>
      </c>
      <c r="P494">
        <v>5</v>
      </c>
      <c r="Q494">
        <v>2</v>
      </c>
      <c r="R494">
        <v>2</v>
      </c>
      <c r="S494">
        <v>2</v>
      </c>
      <c r="T494">
        <v>0</v>
      </c>
      <c r="U494">
        <v>410</v>
      </c>
      <c r="V494">
        <v>67</v>
      </c>
      <c r="W494">
        <v>223</v>
      </c>
      <c r="X494">
        <v>120</v>
      </c>
    </row>
    <row r="495" spans="1:24" x14ac:dyDescent="0.2">
      <c r="A495">
        <v>494</v>
      </c>
      <c r="B495" s="1">
        <v>40904</v>
      </c>
      <c r="C495" t="s">
        <v>24</v>
      </c>
      <c r="D495">
        <v>165</v>
      </c>
      <c r="E495">
        <v>25</v>
      </c>
      <c r="F495">
        <v>3</v>
      </c>
      <c r="G495" t="s">
        <v>26</v>
      </c>
      <c r="H495">
        <v>8</v>
      </c>
      <c r="I495">
        <v>28</v>
      </c>
      <c r="J495">
        <v>7</v>
      </c>
      <c r="K495">
        <v>7</v>
      </c>
      <c r="L495">
        <v>2</v>
      </c>
      <c r="M495">
        <v>36</v>
      </c>
      <c r="N495">
        <v>197</v>
      </c>
      <c r="O495">
        <v>117</v>
      </c>
      <c r="P495">
        <v>0</v>
      </c>
      <c r="Q495">
        <v>0</v>
      </c>
      <c r="R495">
        <v>3</v>
      </c>
      <c r="S495">
        <v>2</v>
      </c>
      <c r="T495">
        <v>0</v>
      </c>
      <c r="U495">
        <v>399</v>
      </c>
      <c r="V495">
        <v>42</v>
      </c>
      <c r="W495">
        <v>240</v>
      </c>
      <c r="X495">
        <v>117</v>
      </c>
    </row>
    <row r="496" spans="1:24" x14ac:dyDescent="0.2">
      <c r="A496">
        <v>495</v>
      </c>
      <c r="B496" s="1">
        <v>40904</v>
      </c>
      <c r="C496" t="s">
        <v>24</v>
      </c>
      <c r="D496">
        <v>165</v>
      </c>
      <c r="E496">
        <v>25</v>
      </c>
      <c r="F496">
        <v>3</v>
      </c>
      <c r="G496" t="s">
        <v>27</v>
      </c>
      <c r="H496">
        <v>9</v>
      </c>
      <c r="I496">
        <v>52</v>
      </c>
      <c r="J496">
        <v>4</v>
      </c>
      <c r="K496">
        <v>17</v>
      </c>
      <c r="L496">
        <v>4</v>
      </c>
      <c r="M496">
        <v>29</v>
      </c>
      <c r="N496">
        <v>210</v>
      </c>
      <c r="O496">
        <v>140</v>
      </c>
      <c r="P496">
        <v>2</v>
      </c>
      <c r="Q496">
        <v>2</v>
      </c>
      <c r="R496">
        <v>3</v>
      </c>
      <c r="S496">
        <v>0</v>
      </c>
      <c r="T496">
        <v>0</v>
      </c>
      <c r="U496">
        <v>463</v>
      </c>
      <c r="V496">
        <v>73</v>
      </c>
      <c r="W496">
        <v>250</v>
      </c>
      <c r="X496">
        <v>140</v>
      </c>
    </row>
    <row r="497" spans="1:24" x14ac:dyDescent="0.2">
      <c r="A497">
        <v>496</v>
      </c>
      <c r="B497" s="1">
        <v>40907</v>
      </c>
      <c r="C497" t="s">
        <v>28</v>
      </c>
      <c r="D497">
        <v>168</v>
      </c>
      <c r="E497">
        <v>25</v>
      </c>
      <c r="F497">
        <v>6</v>
      </c>
      <c r="G497" t="s">
        <v>25</v>
      </c>
      <c r="H497">
        <v>1</v>
      </c>
      <c r="I497">
        <v>42</v>
      </c>
      <c r="J497">
        <v>4</v>
      </c>
      <c r="K497">
        <v>4</v>
      </c>
      <c r="L497">
        <v>3</v>
      </c>
      <c r="M497">
        <v>22</v>
      </c>
      <c r="N497">
        <v>244</v>
      </c>
      <c r="O497">
        <v>118</v>
      </c>
      <c r="P497">
        <v>3</v>
      </c>
      <c r="Q497">
        <v>3</v>
      </c>
      <c r="R497">
        <v>1</v>
      </c>
      <c r="S497">
        <v>1</v>
      </c>
      <c r="T497">
        <v>0</v>
      </c>
      <c r="U497">
        <v>445</v>
      </c>
      <c r="V497">
        <v>50</v>
      </c>
      <c r="W497">
        <v>277</v>
      </c>
      <c r="X497">
        <v>118</v>
      </c>
    </row>
    <row r="498" spans="1:24" x14ac:dyDescent="0.2">
      <c r="A498">
        <v>497</v>
      </c>
      <c r="B498" s="1">
        <v>40907</v>
      </c>
      <c r="C498" t="s">
        <v>28</v>
      </c>
      <c r="D498">
        <v>168</v>
      </c>
      <c r="E498">
        <v>25</v>
      </c>
      <c r="F498">
        <v>6</v>
      </c>
      <c r="G498" t="s">
        <v>25</v>
      </c>
      <c r="H498">
        <v>2</v>
      </c>
      <c r="I498">
        <v>38</v>
      </c>
      <c r="J498">
        <v>0</v>
      </c>
      <c r="K498">
        <v>7</v>
      </c>
      <c r="L498">
        <v>5</v>
      </c>
      <c r="M498">
        <v>21</v>
      </c>
      <c r="N498">
        <v>161</v>
      </c>
      <c r="O498">
        <v>156</v>
      </c>
      <c r="P498">
        <v>2</v>
      </c>
      <c r="Q498">
        <v>3</v>
      </c>
      <c r="R498">
        <v>0</v>
      </c>
      <c r="S498">
        <v>4</v>
      </c>
      <c r="T498">
        <v>0</v>
      </c>
      <c r="U498">
        <v>397</v>
      </c>
      <c r="V498">
        <v>45</v>
      </c>
      <c r="W498">
        <v>196</v>
      </c>
      <c r="X498">
        <v>156</v>
      </c>
    </row>
    <row r="499" spans="1:24" x14ac:dyDescent="0.2">
      <c r="A499">
        <v>498</v>
      </c>
      <c r="B499" s="1">
        <v>40907</v>
      </c>
      <c r="C499" t="s">
        <v>28</v>
      </c>
      <c r="D499">
        <v>168</v>
      </c>
      <c r="E499">
        <v>25</v>
      </c>
      <c r="F499">
        <v>6</v>
      </c>
      <c r="G499" t="s">
        <v>26</v>
      </c>
      <c r="H499">
        <v>3</v>
      </c>
      <c r="I499">
        <v>35</v>
      </c>
      <c r="J499">
        <v>0</v>
      </c>
      <c r="K499">
        <v>13</v>
      </c>
      <c r="L499">
        <v>9</v>
      </c>
      <c r="M499">
        <v>23</v>
      </c>
      <c r="N499">
        <v>187</v>
      </c>
      <c r="O499">
        <v>149</v>
      </c>
      <c r="P499">
        <v>3</v>
      </c>
      <c r="Q499">
        <v>7</v>
      </c>
      <c r="R499">
        <v>0</v>
      </c>
      <c r="S499">
        <v>2</v>
      </c>
      <c r="T499">
        <v>0</v>
      </c>
      <c r="U499">
        <v>428</v>
      </c>
      <c r="V499">
        <v>48</v>
      </c>
      <c r="W499">
        <v>231</v>
      </c>
      <c r="X499">
        <v>149</v>
      </c>
    </row>
    <row r="500" spans="1:24" x14ac:dyDescent="0.2">
      <c r="A500">
        <v>499</v>
      </c>
      <c r="B500" s="1">
        <v>40907</v>
      </c>
      <c r="C500" t="s">
        <v>28</v>
      </c>
      <c r="D500">
        <v>168</v>
      </c>
      <c r="E500">
        <v>25</v>
      </c>
      <c r="F500">
        <v>6</v>
      </c>
      <c r="G500" t="s">
        <v>25</v>
      </c>
      <c r="H500">
        <v>4</v>
      </c>
      <c r="I500">
        <v>45</v>
      </c>
      <c r="J500">
        <v>1</v>
      </c>
      <c r="K500">
        <v>8</v>
      </c>
      <c r="L500">
        <v>4</v>
      </c>
      <c r="M500">
        <v>20</v>
      </c>
      <c r="N500">
        <v>146</v>
      </c>
      <c r="O500">
        <v>129</v>
      </c>
      <c r="P500">
        <v>1</v>
      </c>
      <c r="Q500">
        <v>2</v>
      </c>
      <c r="R500">
        <v>1</v>
      </c>
      <c r="S500">
        <v>0</v>
      </c>
      <c r="T500">
        <v>0</v>
      </c>
      <c r="U500">
        <v>357</v>
      </c>
      <c r="V500">
        <v>54</v>
      </c>
      <c r="W500">
        <v>174</v>
      </c>
      <c r="X500">
        <v>129</v>
      </c>
    </row>
    <row r="501" spans="1:24" x14ac:dyDescent="0.2">
      <c r="A501">
        <v>500</v>
      </c>
      <c r="B501" s="1">
        <v>40907</v>
      </c>
      <c r="C501" t="s">
        <v>28</v>
      </c>
      <c r="D501">
        <v>168</v>
      </c>
      <c r="E501">
        <v>25</v>
      </c>
      <c r="F501">
        <v>6</v>
      </c>
      <c r="G501" t="s">
        <v>26</v>
      </c>
      <c r="H501">
        <v>5</v>
      </c>
      <c r="I501">
        <v>37</v>
      </c>
      <c r="J501">
        <v>4</v>
      </c>
      <c r="K501">
        <v>10</v>
      </c>
      <c r="L501">
        <v>2</v>
      </c>
      <c r="M501">
        <v>19</v>
      </c>
      <c r="N501">
        <v>147</v>
      </c>
      <c r="O501">
        <v>103</v>
      </c>
      <c r="P501">
        <v>0</v>
      </c>
      <c r="Q501">
        <v>1</v>
      </c>
      <c r="R501">
        <v>5</v>
      </c>
      <c r="S501">
        <v>0</v>
      </c>
      <c r="T501">
        <v>0</v>
      </c>
      <c r="U501">
        <v>328</v>
      </c>
      <c r="V501">
        <v>51</v>
      </c>
      <c r="W501">
        <v>174</v>
      </c>
      <c r="X501">
        <v>103</v>
      </c>
    </row>
    <row r="502" spans="1:24" x14ac:dyDescent="0.2">
      <c r="A502">
        <v>501</v>
      </c>
      <c r="B502" s="1">
        <v>40907</v>
      </c>
      <c r="C502" t="s">
        <v>28</v>
      </c>
      <c r="D502">
        <v>168</v>
      </c>
      <c r="E502">
        <v>25</v>
      </c>
      <c r="F502">
        <v>6</v>
      </c>
      <c r="G502" t="s">
        <v>27</v>
      </c>
      <c r="H502">
        <v>6</v>
      </c>
      <c r="I502">
        <v>44</v>
      </c>
      <c r="J502">
        <v>0</v>
      </c>
      <c r="K502">
        <v>16</v>
      </c>
      <c r="L502">
        <v>5</v>
      </c>
      <c r="M502">
        <v>18</v>
      </c>
      <c r="N502">
        <v>201</v>
      </c>
      <c r="O502">
        <v>207</v>
      </c>
      <c r="P502">
        <v>3</v>
      </c>
      <c r="Q502">
        <v>0</v>
      </c>
      <c r="R502">
        <v>1</v>
      </c>
      <c r="S502">
        <v>1</v>
      </c>
      <c r="T502">
        <v>0</v>
      </c>
      <c r="U502">
        <v>496</v>
      </c>
      <c r="V502">
        <v>60</v>
      </c>
      <c r="W502">
        <v>229</v>
      </c>
      <c r="X502">
        <v>207</v>
      </c>
    </row>
    <row r="503" spans="1:24" x14ac:dyDescent="0.2">
      <c r="A503">
        <v>502</v>
      </c>
      <c r="B503" s="1">
        <v>40907</v>
      </c>
      <c r="C503" t="s">
        <v>28</v>
      </c>
      <c r="D503">
        <v>168</v>
      </c>
      <c r="E503">
        <v>25</v>
      </c>
      <c r="F503">
        <v>6</v>
      </c>
      <c r="G503" t="s">
        <v>27</v>
      </c>
      <c r="H503">
        <v>7</v>
      </c>
      <c r="I503">
        <v>45</v>
      </c>
      <c r="J503">
        <v>1</v>
      </c>
      <c r="K503">
        <v>17</v>
      </c>
      <c r="L503">
        <v>8</v>
      </c>
      <c r="M503">
        <v>18</v>
      </c>
      <c r="N503">
        <v>169</v>
      </c>
      <c r="O503">
        <v>143</v>
      </c>
      <c r="P503">
        <v>0</v>
      </c>
      <c r="Q503">
        <v>4</v>
      </c>
      <c r="R503">
        <v>3</v>
      </c>
      <c r="S503">
        <v>1</v>
      </c>
      <c r="T503">
        <v>0</v>
      </c>
      <c r="U503">
        <v>409</v>
      </c>
      <c r="V503">
        <v>63</v>
      </c>
      <c r="W503">
        <v>203</v>
      </c>
      <c r="X503">
        <v>143</v>
      </c>
    </row>
    <row r="504" spans="1:24" x14ac:dyDescent="0.2">
      <c r="A504">
        <v>503</v>
      </c>
      <c r="B504" s="1">
        <v>40907</v>
      </c>
      <c r="C504" t="s">
        <v>28</v>
      </c>
      <c r="D504">
        <v>168</v>
      </c>
      <c r="E504">
        <v>25</v>
      </c>
      <c r="F504">
        <v>6</v>
      </c>
      <c r="G504" t="s">
        <v>26</v>
      </c>
      <c r="H504">
        <v>8</v>
      </c>
      <c r="I504">
        <v>34</v>
      </c>
      <c r="J504">
        <v>7</v>
      </c>
      <c r="K504">
        <v>9</v>
      </c>
      <c r="L504">
        <v>6</v>
      </c>
      <c r="M504">
        <v>26</v>
      </c>
      <c r="N504">
        <v>181</v>
      </c>
      <c r="O504">
        <v>106</v>
      </c>
      <c r="P504">
        <v>1</v>
      </c>
      <c r="Q504">
        <v>1</v>
      </c>
      <c r="R504">
        <v>2</v>
      </c>
      <c r="S504">
        <v>3</v>
      </c>
      <c r="T504">
        <v>0</v>
      </c>
      <c r="U504">
        <v>376</v>
      </c>
      <c r="V504">
        <v>50</v>
      </c>
      <c r="W504">
        <v>220</v>
      </c>
      <c r="X504">
        <v>106</v>
      </c>
    </row>
    <row r="505" spans="1:24" x14ac:dyDescent="0.2">
      <c r="A505">
        <v>504</v>
      </c>
      <c r="B505" s="1">
        <v>40907</v>
      </c>
      <c r="C505" t="s">
        <v>28</v>
      </c>
      <c r="D505">
        <v>168</v>
      </c>
      <c r="E505">
        <v>25</v>
      </c>
      <c r="F505">
        <v>6</v>
      </c>
      <c r="G505" t="s">
        <v>27</v>
      </c>
      <c r="H505">
        <v>9</v>
      </c>
      <c r="I505">
        <v>55</v>
      </c>
      <c r="J505">
        <v>1</v>
      </c>
      <c r="K505">
        <v>15</v>
      </c>
      <c r="L505">
        <v>7</v>
      </c>
      <c r="M505">
        <v>16</v>
      </c>
      <c r="N505">
        <v>182</v>
      </c>
      <c r="O505">
        <v>145</v>
      </c>
      <c r="P505">
        <v>6</v>
      </c>
      <c r="Q505">
        <v>5</v>
      </c>
      <c r="R505">
        <v>1</v>
      </c>
      <c r="S505">
        <v>0</v>
      </c>
      <c r="T505">
        <v>0</v>
      </c>
      <c r="U505">
        <v>433</v>
      </c>
      <c r="V505">
        <v>71</v>
      </c>
      <c r="W505">
        <v>217</v>
      </c>
      <c r="X505">
        <v>145</v>
      </c>
    </row>
    <row r="506" spans="1:24" x14ac:dyDescent="0.2">
      <c r="A506">
        <v>505</v>
      </c>
      <c r="B506" s="1">
        <v>40911</v>
      </c>
      <c r="C506" t="s">
        <v>24</v>
      </c>
      <c r="D506">
        <v>171</v>
      </c>
      <c r="E506">
        <v>26</v>
      </c>
      <c r="F506">
        <v>3</v>
      </c>
      <c r="G506" t="s">
        <v>25</v>
      </c>
      <c r="H506">
        <v>1</v>
      </c>
      <c r="I506">
        <v>39</v>
      </c>
      <c r="J506">
        <v>4</v>
      </c>
      <c r="K506">
        <v>7</v>
      </c>
      <c r="L506">
        <v>5</v>
      </c>
      <c r="M506">
        <v>24</v>
      </c>
      <c r="N506">
        <v>232</v>
      </c>
      <c r="O506">
        <v>133</v>
      </c>
      <c r="P506">
        <v>3</v>
      </c>
      <c r="Q506">
        <v>4</v>
      </c>
      <c r="R506">
        <v>2</v>
      </c>
      <c r="S506">
        <v>0</v>
      </c>
      <c r="T506">
        <v>0</v>
      </c>
      <c r="U506">
        <v>453</v>
      </c>
      <c r="V506">
        <v>50</v>
      </c>
      <c r="W506">
        <v>270</v>
      </c>
      <c r="X506">
        <v>133</v>
      </c>
    </row>
    <row r="507" spans="1:24" x14ac:dyDescent="0.2">
      <c r="A507">
        <v>506</v>
      </c>
      <c r="B507" s="1">
        <v>40911</v>
      </c>
      <c r="C507" t="s">
        <v>28</v>
      </c>
      <c r="D507">
        <v>171</v>
      </c>
      <c r="E507">
        <v>26</v>
      </c>
      <c r="F507">
        <v>3</v>
      </c>
      <c r="G507" t="s">
        <v>25</v>
      </c>
      <c r="H507">
        <v>2</v>
      </c>
      <c r="I507">
        <v>44</v>
      </c>
      <c r="J507">
        <v>0</v>
      </c>
      <c r="K507">
        <v>7</v>
      </c>
      <c r="L507">
        <v>7</v>
      </c>
      <c r="M507">
        <v>22</v>
      </c>
      <c r="N507">
        <v>158</v>
      </c>
      <c r="O507">
        <v>171</v>
      </c>
      <c r="P507">
        <v>3</v>
      </c>
      <c r="Q507">
        <v>3</v>
      </c>
      <c r="R507">
        <v>1</v>
      </c>
      <c r="S507">
        <v>1</v>
      </c>
      <c r="T507">
        <v>0</v>
      </c>
      <c r="U507">
        <v>417</v>
      </c>
      <c r="V507">
        <v>51</v>
      </c>
      <c r="W507">
        <v>195</v>
      </c>
      <c r="X507">
        <v>171</v>
      </c>
    </row>
    <row r="508" spans="1:24" x14ac:dyDescent="0.2">
      <c r="A508">
        <v>507</v>
      </c>
      <c r="B508" s="1">
        <v>40911</v>
      </c>
      <c r="C508" t="s">
        <v>24</v>
      </c>
      <c r="D508">
        <v>171</v>
      </c>
      <c r="E508">
        <v>26</v>
      </c>
      <c r="F508">
        <v>3</v>
      </c>
      <c r="G508" t="s">
        <v>26</v>
      </c>
      <c r="H508">
        <v>3</v>
      </c>
      <c r="I508">
        <v>33</v>
      </c>
      <c r="J508">
        <v>0</v>
      </c>
      <c r="K508">
        <v>15</v>
      </c>
      <c r="L508">
        <v>4</v>
      </c>
      <c r="M508">
        <v>22</v>
      </c>
      <c r="N508">
        <v>165</v>
      </c>
      <c r="O508">
        <v>144</v>
      </c>
      <c r="P508">
        <v>2</v>
      </c>
      <c r="Q508">
        <v>5</v>
      </c>
      <c r="R508">
        <v>3</v>
      </c>
      <c r="S508">
        <v>0</v>
      </c>
      <c r="T508">
        <v>0</v>
      </c>
      <c r="U508">
        <v>393</v>
      </c>
      <c r="V508">
        <v>48</v>
      </c>
      <c r="W508">
        <v>201</v>
      </c>
      <c r="X508">
        <v>144</v>
      </c>
    </row>
    <row r="509" spans="1:24" x14ac:dyDescent="0.2">
      <c r="A509">
        <v>508</v>
      </c>
      <c r="B509" s="1">
        <v>40911</v>
      </c>
      <c r="C509" t="s">
        <v>24</v>
      </c>
      <c r="D509">
        <v>171</v>
      </c>
      <c r="E509">
        <v>26</v>
      </c>
      <c r="F509">
        <v>3</v>
      </c>
      <c r="G509" t="s">
        <v>25</v>
      </c>
      <c r="H509">
        <v>4</v>
      </c>
      <c r="I509">
        <v>40</v>
      </c>
      <c r="J509">
        <v>1</v>
      </c>
      <c r="K509">
        <v>9</v>
      </c>
      <c r="L509">
        <v>2</v>
      </c>
      <c r="M509">
        <v>22</v>
      </c>
      <c r="N509">
        <v>161</v>
      </c>
      <c r="O509">
        <v>125</v>
      </c>
      <c r="P509">
        <v>3</v>
      </c>
      <c r="Q509">
        <v>5</v>
      </c>
      <c r="R509">
        <v>3</v>
      </c>
      <c r="S509">
        <v>0</v>
      </c>
      <c r="T509">
        <v>0</v>
      </c>
      <c r="U509">
        <v>371</v>
      </c>
      <c r="V509">
        <v>50</v>
      </c>
      <c r="W509">
        <v>196</v>
      </c>
      <c r="X509">
        <v>125</v>
      </c>
    </row>
    <row r="510" spans="1:24" x14ac:dyDescent="0.2">
      <c r="A510">
        <v>509</v>
      </c>
      <c r="B510" s="1">
        <v>40911</v>
      </c>
      <c r="C510" t="s">
        <v>28</v>
      </c>
      <c r="D510">
        <v>171</v>
      </c>
      <c r="E510">
        <v>26</v>
      </c>
      <c r="F510">
        <v>3</v>
      </c>
      <c r="G510" t="s">
        <v>26</v>
      </c>
      <c r="H510">
        <v>5</v>
      </c>
      <c r="I510">
        <v>41</v>
      </c>
      <c r="J510">
        <v>4</v>
      </c>
      <c r="K510">
        <v>11</v>
      </c>
      <c r="L510">
        <v>7</v>
      </c>
      <c r="M510">
        <v>31</v>
      </c>
      <c r="N510">
        <v>210</v>
      </c>
      <c r="O510">
        <v>158</v>
      </c>
      <c r="P510">
        <v>2</v>
      </c>
      <c r="Q510">
        <v>1</v>
      </c>
      <c r="R510">
        <v>2</v>
      </c>
      <c r="S510">
        <v>0</v>
      </c>
      <c r="T510">
        <v>0</v>
      </c>
      <c r="U510">
        <v>467</v>
      </c>
      <c r="V510">
        <v>56</v>
      </c>
      <c r="W510">
        <v>253</v>
      </c>
      <c r="X510">
        <v>158</v>
      </c>
    </row>
    <row r="511" spans="1:24" x14ac:dyDescent="0.2">
      <c r="A511">
        <v>510</v>
      </c>
      <c r="B511" s="1">
        <v>40911</v>
      </c>
      <c r="C511" t="s">
        <v>28</v>
      </c>
      <c r="D511">
        <v>171</v>
      </c>
      <c r="E511">
        <v>26</v>
      </c>
      <c r="F511">
        <v>3</v>
      </c>
      <c r="G511" t="s">
        <v>27</v>
      </c>
      <c r="H511">
        <v>6</v>
      </c>
      <c r="I511">
        <v>40</v>
      </c>
      <c r="J511">
        <v>0</v>
      </c>
      <c r="K511">
        <v>18</v>
      </c>
      <c r="L511">
        <v>6</v>
      </c>
      <c r="M511">
        <v>19</v>
      </c>
      <c r="N511">
        <v>226</v>
      </c>
      <c r="O511">
        <v>197</v>
      </c>
      <c r="P511">
        <v>2</v>
      </c>
      <c r="Q511">
        <v>2</v>
      </c>
      <c r="R511">
        <v>4</v>
      </c>
      <c r="S511">
        <v>0</v>
      </c>
      <c r="T511">
        <v>0</v>
      </c>
      <c r="U511">
        <v>514</v>
      </c>
      <c r="V511">
        <v>58</v>
      </c>
      <c r="W511">
        <v>259</v>
      </c>
      <c r="X511">
        <v>197</v>
      </c>
    </row>
    <row r="512" spans="1:24" x14ac:dyDescent="0.2">
      <c r="A512">
        <v>511</v>
      </c>
      <c r="B512" s="1">
        <v>40911</v>
      </c>
      <c r="C512" t="s">
        <v>28</v>
      </c>
      <c r="D512">
        <v>171</v>
      </c>
      <c r="E512">
        <v>26</v>
      </c>
      <c r="F512">
        <v>3</v>
      </c>
      <c r="G512" t="s">
        <v>27</v>
      </c>
      <c r="H512">
        <v>7</v>
      </c>
      <c r="I512">
        <v>43</v>
      </c>
      <c r="J512">
        <v>1</v>
      </c>
      <c r="K512">
        <v>14</v>
      </c>
      <c r="L512">
        <v>3</v>
      </c>
      <c r="M512">
        <v>18</v>
      </c>
      <c r="N512">
        <v>215</v>
      </c>
      <c r="O512">
        <v>230</v>
      </c>
      <c r="P512">
        <v>2</v>
      </c>
      <c r="Q512">
        <v>3</v>
      </c>
      <c r="R512">
        <v>4</v>
      </c>
      <c r="S512">
        <v>1</v>
      </c>
      <c r="T512">
        <v>0</v>
      </c>
      <c r="U512">
        <v>534</v>
      </c>
      <c r="V512">
        <v>58</v>
      </c>
      <c r="W512">
        <v>246</v>
      </c>
      <c r="X512">
        <v>230</v>
      </c>
    </row>
    <row r="513" spans="1:24" x14ac:dyDescent="0.2">
      <c r="A513">
        <v>512</v>
      </c>
      <c r="B513" s="1">
        <v>40911</v>
      </c>
      <c r="C513" t="s">
        <v>24</v>
      </c>
      <c r="D513">
        <v>171</v>
      </c>
      <c r="E513">
        <v>26</v>
      </c>
      <c r="F513">
        <v>3</v>
      </c>
      <c r="G513" t="s">
        <v>26</v>
      </c>
      <c r="H513">
        <v>8</v>
      </c>
      <c r="I513">
        <v>32</v>
      </c>
      <c r="J513">
        <v>6</v>
      </c>
      <c r="K513">
        <v>8</v>
      </c>
      <c r="L513">
        <v>5</v>
      </c>
      <c r="M513">
        <v>22</v>
      </c>
      <c r="N513">
        <v>186</v>
      </c>
      <c r="O513">
        <v>96</v>
      </c>
      <c r="P513">
        <v>1</v>
      </c>
      <c r="Q513">
        <v>1</v>
      </c>
      <c r="R513">
        <v>2</v>
      </c>
      <c r="S513">
        <v>2</v>
      </c>
      <c r="T513">
        <v>0</v>
      </c>
      <c r="U513">
        <v>361</v>
      </c>
      <c r="V513">
        <v>46</v>
      </c>
      <c r="W513">
        <v>219</v>
      </c>
      <c r="X513">
        <v>96</v>
      </c>
    </row>
    <row r="514" spans="1:24" x14ac:dyDescent="0.2">
      <c r="A514">
        <v>513</v>
      </c>
      <c r="B514" s="1">
        <v>40911</v>
      </c>
      <c r="C514" t="s">
        <v>24</v>
      </c>
      <c r="D514">
        <v>171</v>
      </c>
      <c r="E514">
        <v>26</v>
      </c>
      <c r="F514">
        <v>3</v>
      </c>
      <c r="G514" t="s">
        <v>27</v>
      </c>
      <c r="H514">
        <v>9</v>
      </c>
      <c r="I514">
        <v>51</v>
      </c>
      <c r="J514">
        <v>2</v>
      </c>
      <c r="K514">
        <v>23</v>
      </c>
      <c r="L514">
        <v>7</v>
      </c>
      <c r="M514">
        <v>25</v>
      </c>
      <c r="N514">
        <v>254</v>
      </c>
      <c r="O514">
        <v>141</v>
      </c>
      <c r="P514">
        <v>4</v>
      </c>
      <c r="Q514">
        <v>3</v>
      </c>
      <c r="R514">
        <v>3</v>
      </c>
      <c r="S514">
        <v>2</v>
      </c>
      <c r="T514">
        <v>0</v>
      </c>
      <c r="U514">
        <v>515</v>
      </c>
      <c r="V514">
        <v>76</v>
      </c>
      <c r="W514">
        <v>298</v>
      </c>
      <c r="X514">
        <v>141</v>
      </c>
    </row>
    <row r="515" spans="1:24" x14ac:dyDescent="0.2">
      <c r="A515">
        <v>514</v>
      </c>
      <c r="B515" s="1">
        <v>40914</v>
      </c>
      <c r="C515" t="s">
        <v>28</v>
      </c>
      <c r="D515">
        <v>174</v>
      </c>
      <c r="E515">
        <v>26</v>
      </c>
      <c r="F515">
        <v>6</v>
      </c>
      <c r="G515" t="s">
        <v>25</v>
      </c>
      <c r="H515">
        <v>1</v>
      </c>
      <c r="I515">
        <v>39</v>
      </c>
      <c r="J515">
        <v>4</v>
      </c>
      <c r="K515">
        <v>6</v>
      </c>
      <c r="L515">
        <v>5</v>
      </c>
      <c r="M515">
        <v>20</v>
      </c>
      <c r="N515">
        <v>234</v>
      </c>
      <c r="O515">
        <v>152</v>
      </c>
      <c r="P515">
        <v>2</v>
      </c>
      <c r="Q515">
        <v>2</v>
      </c>
      <c r="R515">
        <v>2</v>
      </c>
      <c r="S515">
        <v>2</v>
      </c>
      <c r="T515">
        <v>0</v>
      </c>
      <c r="U515">
        <v>468</v>
      </c>
      <c r="V515">
        <v>49</v>
      </c>
      <c r="W515">
        <v>267</v>
      </c>
      <c r="X515">
        <v>152</v>
      </c>
    </row>
    <row r="516" spans="1:24" x14ac:dyDescent="0.2">
      <c r="A516">
        <v>515</v>
      </c>
      <c r="B516" s="1">
        <v>40914</v>
      </c>
      <c r="C516" t="s">
        <v>24</v>
      </c>
      <c r="D516">
        <v>174</v>
      </c>
      <c r="E516">
        <v>26</v>
      </c>
      <c r="F516">
        <v>6</v>
      </c>
      <c r="G516" t="s">
        <v>25</v>
      </c>
      <c r="H516">
        <v>2</v>
      </c>
      <c r="I516">
        <v>40</v>
      </c>
      <c r="J516">
        <v>0</v>
      </c>
      <c r="K516">
        <v>7</v>
      </c>
      <c r="L516">
        <v>4</v>
      </c>
      <c r="M516">
        <v>18</v>
      </c>
      <c r="N516">
        <v>168</v>
      </c>
      <c r="O516">
        <v>119</v>
      </c>
      <c r="P516">
        <v>0</v>
      </c>
      <c r="Q516">
        <v>2</v>
      </c>
      <c r="R516">
        <v>2</v>
      </c>
      <c r="S516">
        <v>0</v>
      </c>
      <c r="T516">
        <v>0</v>
      </c>
      <c r="U516">
        <v>360</v>
      </c>
      <c r="V516">
        <v>47</v>
      </c>
      <c r="W516">
        <v>194</v>
      </c>
      <c r="X516">
        <v>119</v>
      </c>
    </row>
    <row r="517" spans="1:24" x14ac:dyDescent="0.2">
      <c r="A517">
        <v>516</v>
      </c>
      <c r="B517" s="1">
        <v>40914</v>
      </c>
      <c r="C517" t="s">
        <v>24</v>
      </c>
      <c r="D517">
        <v>174</v>
      </c>
      <c r="E517">
        <v>26</v>
      </c>
      <c r="F517">
        <v>6</v>
      </c>
      <c r="G517" t="s">
        <v>26</v>
      </c>
      <c r="H517">
        <v>3</v>
      </c>
      <c r="I517">
        <v>37</v>
      </c>
      <c r="J517">
        <v>0</v>
      </c>
      <c r="K517">
        <v>13</v>
      </c>
      <c r="L517">
        <v>4</v>
      </c>
      <c r="M517">
        <v>21</v>
      </c>
      <c r="N517">
        <v>183</v>
      </c>
      <c r="O517">
        <v>142</v>
      </c>
      <c r="P517">
        <v>2</v>
      </c>
      <c r="Q517">
        <v>3</v>
      </c>
      <c r="R517">
        <v>3</v>
      </c>
      <c r="S517">
        <v>2</v>
      </c>
      <c r="T517">
        <v>0</v>
      </c>
      <c r="U517">
        <v>410</v>
      </c>
      <c r="V517">
        <v>50</v>
      </c>
      <c r="W517">
        <v>218</v>
      </c>
      <c r="X517">
        <v>142</v>
      </c>
    </row>
    <row r="518" spans="1:24" x14ac:dyDescent="0.2">
      <c r="A518">
        <v>517</v>
      </c>
      <c r="B518" s="1">
        <v>40914</v>
      </c>
      <c r="C518" t="s">
        <v>28</v>
      </c>
      <c r="D518">
        <v>174</v>
      </c>
      <c r="E518">
        <v>26</v>
      </c>
      <c r="F518">
        <v>6</v>
      </c>
      <c r="G518" t="s">
        <v>25</v>
      </c>
      <c r="H518">
        <v>4</v>
      </c>
      <c r="I518">
        <v>44</v>
      </c>
      <c r="J518">
        <v>1</v>
      </c>
      <c r="K518">
        <v>7</v>
      </c>
      <c r="L518">
        <v>8</v>
      </c>
      <c r="M518">
        <v>20</v>
      </c>
      <c r="N518">
        <v>173</v>
      </c>
      <c r="O518">
        <v>121</v>
      </c>
      <c r="P518">
        <v>0</v>
      </c>
      <c r="Q518">
        <v>2</v>
      </c>
      <c r="R518">
        <v>0</v>
      </c>
      <c r="S518">
        <v>0</v>
      </c>
      <c r="T518">
        <v>0</v>
      </c>
      <c r="U518">
        <v>376</v>
      </c>
      <c r="V518">
        <v>52</v>
      </c>
      <c r="W518">
        <v>203</v>
      </c>
      <c r="X518">
        <v>121</v>
      </c>
    </row>
    <row r="519" spans="1:24" x14ac:dyDescent="0.2">
      <c r="A519">
        <v>518</v>
      </c>
      <c r="B519" s="1">
        <v>40914</v>
      </c>
      <c r="C519" t="s">
        <v>24</v>
      </c>
      <c r="D519">
        <v>174</v>
      </c>
      <c r="E519">
        <v>26</v>
      </c>
      <c r="F519">
        <v>6</v>
      </c>
      <c r="G519" t="s">
        <v>26</v>
      </c>
      <c r="H519">
        <v>5</v>
      </c>
      <c r="I519">
        <v>39</v>
      </c>
      <c r="J519">
        <v>4</v>
      </c>
      <c r="K519">
        <v>16</v>
      </c>
      <c r="L519">
        <v>2</v>
      </c>
      <c r="M519">
        <v>28</v>
      </c>
      <c r="N519">
        <v>163</v>
      </c>
      <c r="O519">
        <v>109</v>
      </c>
      <c r="P519">
        <v>4</v>
      </c>
      <c r="Q519">
        <v>0</v>
      </c>
      <c r="R519">
        <v>3</v>
      </c>
      <c r="S519">
        <v>0</v>
      </c>
      <c r="T519">
        <v>0</v>
      </c>
      <c r="U519">
        <v>368</v>
      </c>
      <c r="V519">
        <v>59</v>
      </c>
      <c r="W519">
        <v>200</v>
      </c>
      <c r="X519">
        <v>109</v>
      </c>
    </row>
    <row r="520" spans="1:24" x14ac:dyDescent="0.2">
      <c r="A520">
        <v>519</v>
      </c>
      <c r="B520" s="1">
        <v>40914</v>
      </c>
      <c r="C520" t="s">
        <v>24</v>
      </c>
      <c r="D520">
        <v>174</v>
      </c>
      <c r="E520">
        <v>26</v>
      </c>
      <c r="F520">
        <v>6</v>
      </c>
      <c r="G520" t="s">
        <v>27</v>
      </c>
      <c r="H520">
        <v>6</v>
      </c>
      <c r="I520">
        <v>36</v>
      </c>
      <c r="J520">
        <v>0</v>
      </c>
      <c r="K520">
        <v>16</v>
      </c>
      <c r="L520">
        <v>3</v>
      </c>
      <c r="M520">
        <v>17</v>
      </c>
      <c r="N520">
        <v>240</v>
      </c>
      <c r="O520">
        <v>176</v>
      </c>
      <c r="P520">
        <v>1</v>
      </c>
      <c r="Q520">
        <v>2</v>
      </c>
      <c r="R520">
        <v>3</v>
      </c>
      <c r="S520">
        <v>0</v>
      </c>
      <c r="T520">
        <v>0</v>
      </c>
      <c r="U520">
        <v>494</v>
      </c>
      <c r="V520">
        <v>52</v>
      </c>
      <c r="W520">
        <v>266</v>
      </c>
      <c r="X520">
        <v>176</v>
      </c>
    </row>
    <row r="521" spans="1:24" x14ac:dyDescent="0.2">
      <c r="A521">
        <v>520</v>
      </c>
      <c r="B521" s="1">
        <v>40914</v>
      </c>
      <c r="C521" t="s">
        <v>28</v>
      </c>
      <c r="D521">
        <v>174</v>
      </c>
      <c r="E521">
        <v>26</v>
      </c>
      <c r="F521">
        <v>6</v>
      </c>
      <c r="G521" t="s">
        <v>27</v>
      </c>
      <c r="H521">
        <v>7</v>
      </c>
      <c r="I521">
        <v>40</v>
      </c>
      <c r="J521">
        <v>2</v>
      </c>
      <c r="K521">
        <v>12</v>
      </c>
      <c r="L521">
        <v>5</v>
      </c>
      <c r="M521">
        <v>21</v>
      </c>
      <c r="N521">
        <v>203</v>
      </c>
      <c r="O521">
        <v>210</v>
      </c>
      <c r="P521">
        <v>2</v>
      </c>
      <c r="Q521">
        <v>3</v>
      </c>
      <c r="R521">
        <v>2</v>
      </c>
      <c r="S521">
        <v>1</v>
      </c>
      <c r="T521">
        <v>0</v>
      </c>
      <c r="U521">
        <v>501</v>
      </c>
      <c r="V521">
        <v>54</v>
      </c>
      <c r="W521">
        <v>237</v>
      </c>
      <c r="X521">
        <v>210</v>
      </c>
    </row>
    <row r="522" spans="1:24" x14ac:dyDescent="0.2">
      <c r="A522">
        <v>521</v>
      </c>
      <c r="B522" s="1">
        <v>40914</v>
      </c>
      <c r="C522" t="s">
        <v>28</v>
      </c>
      <c r="D522">
        <v>174</v>
      </c>
      <c r="E522">
        <v>26</v>
      </c>
      <c r="F522">
        <v>6</v>
      </c>
      <c r="G522" t="s">
        <v>26</v>
      </c>
      <c r="H522">
        <v>8</v>
      </c>
      <c r="I522">
        <v>35</v>
      </c>
      <c r="J522">
        <v>7</v>
      </c>
      <c r="K522">
        <v>11</v>
      </c>
      <c r="L522">
        <v>3</v>
      </c>
      <c r="M522">
        <v>29</v>
      </c>
      <c r="N522">
        <v>218</v>
      </c>
      <c r="O522">
        <v>92</v>
      </c>
      <c r="P522">
        <v>2</v>
      </c>
      <c r="Q522">
        <v>2</v>
      </c>
      <c r="R522">
        <v>1</v>
      </c>
      <c r="S522">
        <v>2</v>
      </c>
      <c r="T522">
        <v>0</v>
      </c>
      <c r="U522">
        <v>402</v>
      </c>
      <c r="V522">
        <v>53</v>
      </c>
      <c r="W522">
        <v>257</v>
      </c>
      <c r="X522">
        <v>92</v>
      </c>
    </row>
    <row r="523" spans="1:24" x14ac:dyDescent="0.2">
      <c r="A523">
        <v>522</v>
      </c>
      <c r="B523" s="1">
        <v>40914</v>
      </c>
      <c r="C523" t="s">
        <v>24</v>
      </c>
      <c r="D523">
        <v>174</v>
      </c>
      <c r="E523">
        <v>26</v>
      </c>
      <c r="F523">
        <v>6</v>
      </c>
      <c r="G523" t="s">
        <v>27</v>
      </c>
      <c r="H523">
        <v>9</v>
      </c>
      <c r="I523">
        <v>57</v>
      </c>
      <c r="J523">
        <v>0</v>
      </c>
      <c r="K523">
        <v>25</v>
      </c>
      <c r="L523">
        <v>2</v>
      </c>
      <c r="M523">
        <v>19</v>
      </c>
      <c r="N523">
        <v>226</v>
      </c>
      <c r="O523">
        <v>122</v>
      </c>
      <c r="P523">
        <v>3</v>
      </c>
      <c r="Q523">
        <v>1</v>
      </c>
      <c r="R523">
        <v>3</v>
      </c>
      <c r="S523">
        <v>1</v>
      </c>
      <c r="T523">
        <v>0</v>
      </c>
      <c r="U523">
        <v>459</v>
      </c>
      <c r="V523">
        <v>82</v>
      </c>
      <c r="W523">
        <v>255</v>
      </c>
      <c r="X523">
        <v>122</v>
      </c>
    </row>
    <row r="524" spans="1:24" x14ac:dyDescent="0.2">
      <c r="A524">
        <v>523</v>
      </c>
      <c r="B524" s="1">
        <v>40918</v>
      </c>
      <c r="C524" t="s">
        <v>28</v>
      </c>
      <c r="D524">
        <v>178</v>
      </c>
      <c r="E524">
        <v>27</v>
      </c>
      <c r="F524">
        <v>3</v>
      </c>
      <c r="G524" t="s">
        <v>25</v>
      </c>
      <c r="H524">
        <v>1</v>
      </c>
      <c r="I524">
        <v>37</v>
      </c>
      <c r="J524">
        <v>4</v>
      </c>
      <c r="K524">
        <v>6</v>
      </c>
      <c r="L524">
        <v>7</v>
      </c>
      <c r="M524">
        <v>22</v>
      </c>
      <c r="N524">
        <v>216</v>
      </c>
      <c r="O524">
        <v>141</v>
      </c>
      <c r="P524">
        <v>6</v>
      </c>
      <c r="Q524">
        <v>3</v>
      </c>
      <c r="R524">
        <v>2</v>
      </c>
      <c r="S524">
        <v>2</v>
      </c>
      <c r="T524">
        <v>0</v>
      </c>
      <c r="U524">
        <v>446</v>
      </c>
      <c r="V524">
        <v>47</v>
      </c>
      <c r="W524">
        <v>258</v>
      </c>
      <c r="X524">
        <v>141</v>
      </c>
    </row>
    <row r="525" spans="1:24" x14ac:dyDescent="0.2">
      <c r="A525">
        <v>524</v>
      </c>
      <c r="B525" s="1">
        <v>40918</v>
      </c>
      <c r="C525" t="s">
        <v>28</v>
      </c>
      <c r="D525">
        <v>178</v>
      </c>
      <c r="E525">
        <v>27</v>
      </c>
      <c r="F525">
        <v>3</v>
      </c>
      <c r="G525" t="s">
        <v>25</v>
      </c>
      <c r="H525">
        <v>2</v>
      </c>
      <c r="I525">
        <v>38</v>
      </c>
      <c r="J525">
        <v>0</v>
      </c>
      <c r="K525">
        <v>8</v>
      </c>
      <c r="L525">
        <v>8</v>
      </c>
      <c r="M525">
        <v>23</v>
      </c>
      <c r="N525">
        <v>199</v>
      </c>
      <c r="O525">
        <v>135</v>
      </c>
      <c r="P525">
        <v>2</v>
      </c>
      <c r="Q525">
        <v>0</v>
      </c>
      <c r="R525">
        <v>1</v>
      </c>
      <c r="S525">
        <v>0</v>
      </c>
      <c r="T525">
        <v>0</v>
      </c>
      <c r="U525">
        <v>414</v>
      </c>
      <c r="V525">
        <v>46</v>
      </c>
      <c r="W525">
        <v>233</v>
      </c>
      <c r="X525">
        <v>135</v>
      </c>
    </row>
    <row r="526" spans="1:24" x14ac:dyDescent="0.2">
      <c r="A526">
        <v>525</v>
      </c>
      <c r="B526" s="1">
        <v>40918</v>
      </c>
      <c r="C526" t="s">
        <v>28</v>
      </c>
      <c r="D526">
        <v>178</v>
      </c>
      <c r="E526">
        <v>27</v>
      </c>
      <c r="F526">
        <v>3</v>
      </c>
      <c r="G526" t="s">
        <v>26</v>
      </c>
      <c r="H526">
        <v>3</v>
      </c>
      <c r="I526">
        <v>34</v>
      </c>
      <c r="J526">
        <v>0</v>
      </c>
      <c r="K526">
        <v>16</v>
      </c>
      <c r="L526">
        <v>8</v>
      </c>
      <c r="M526">
        <v>28</v>
      </c>
      <c r="N526">
        <v>179</v>
      </c>
      <c r="O526">
        <v>155</v>
      </c>
      <c r="P526">
        <v>5</v>
      </c>
      <c r="Q526">
        <v>1</v>
      </c>
      <c r="R526">
        <v>2</v>
      </c>
      <c r="S526">
        <v>0</v>
      </c>
      <c r="T526">
        <v>0</v>
      </c>
      <c r="U526">
        <v>428</v>
      </c>
      <c r="V526">
        <v>50</v>
      </c>
      <c r="W526">
        <v>223</v>
      </c>
      <c r="X526">
        <v>155</v>
      </c>
    </row>
    <row r="527" spans="1:24" x14ac:dyDescent="0.2">
      <c r="A527">
        <v>526</v>
      </c>
      <c r="B527" s="1">
        <v>40918</v>
      </c>
      <c r="C527" t="s">
        <v>28</v>
      </c>
      <c r="D527">
        <v>178</v>
      </c>
      <c r="E527">
        <v>27</v>
      </c>
      <c r="F527">
        <v>3</v>
      </c>
      <c r="G527" t="s">
        <v>25</v>
      </c>
      <c r="H527">
        <v>4</v>
      </c>
      <c r="I527">
        <v>46</v>
      </c>
      <c r="J527">
        <v>1</v>
      </c>
      <c r="K527">
        <v>9</v>
      </c>
      <c r="L527">
        <v>7</v>
      </c>
      <c r="M527">
        <v>21</v>
      </c>
      <c r="N527">
        <v>167</v>
      </c>
      <c r="O527">
        <v>123</v>
      </c>
      <c r="P527">
        <v>4</v>
      </c>
      <c r="Q527">
        <v>5</v>
      </c>
      <c r="R527">
        <v>0</v>
      </c>
      <c r="S527">
        <v>1</v>
      </c>
      <c r="T527">
        <v>0</v>
      </c>
      <c r="U527">
        <v>384</v>
      </c>
      <c r="V527">
        <v>56</v>
      </c>
      <c r="W527">
        <v>205</v>
      </c>
      <c r="X527">
        <v>123</v>
      </c>
    </row>
    <row r="528" spans="1:24" x14ac:dyDescent="0.2">
      <c r="A528">
        <v>527</v>
      </c>
      <c r="B528" s="1">
        <v>40918</v>
      </c>
      <c r="C528" t="s">
        <v>28</v>
      </c>
      <c r="D528">
        <v>178</v>
      </c>
      <c r="E528">
        <v>27</v>
      </c>
      <c r="F528">
        <v>3</v>
      </c>
      <c r="G528" t="s">
        <v>26</v>
      </c>
      <c r="H528">
        <v>5</v>
      </c>
      <c r="I528">
        <v>43</v>
      </c>
      <c r="J528">
        <v>4</v>
      </c>
      <c r="K528">
        <v>16</v>
      </c>
      <c r="L528">
        <v>7</v>
      </c>
      <c r="M528">
        <v>27</v>
      </c>
      <c r="N528">
        <v>188</v>
      </c>
      <c r="O528">
        <v>133</v>
      </c>
      <c r="P528">
        <v>1</v>
      </c>
      <c r="Q528">
        <v>5</v>
      </c>
      <c r="R528">
        <v>5</v>
      </c>
      <c r="S528">
        <v>0</v>
      </c>
      <c r="T528">
        <v>0</v>
      </c>
      <c r="U528">
        <v>429</v>
      </c>
      <c r="V528">
        <v>63</v>
      </c>
      <c r="W528">
        <v>233</v>
      </c>
      <c r="X528">
        <v>133</v>
      </c>
    </row>
    <row r="529" spans="1:24" x14ac:dyDescent="0.2">
      <c r="A529">
        <v>528</v>
      </c>
      <c r="B529" s="1">
        <v>40918</v>
      </c>
      <c r="C529" t="s">
        <v>28</v>
      </c>
      <c r="D529">
        <v>178</v>
      </c>
      <c r="E529">
        <v>27</v>
      </c>
      <c r="F529">
        <v>3</v>
      </c>
      <c r="G529" t="s">
        <v>27</v>
      </c>
      <c r="H529">
        <v>6</v>
      </c>
      <c r="I529">
        <v>36</v>
      </c>
      <c r="J529">
        <v>0</v>
      </c>
      <c r="K529">
        <v>17</v>
      </c>
      <c r="L529">
        <v>5</v>
      </c>
      <c r="M529">
        <v>22</v>
      </c>
      <c r="N529">
        <v>228</v>
      </c>
      <c r="O529">
        <v>159</v>
      </c>
      <c r="P529">
        <v>2</v>
      </c>
      <c r="Q529">
        <v>1</v>
      </c>
      <c r="R529">
        <v>1</v>
      </c>
      <c r="S529">
        <v>0</v>
      </c>
      <c r="T529">
        <v>0</v>
      </c>
      <c r="U529">
        <v>471</v>
      </c>
      <c r="V529">
        <v>53</v>
      </c>
      <c r="W529">
        <v>259</v>
      </c>
      <c r="X529">
        <v>159</v>
      </c>
    </row>
    <row r="530" spans="1:24" x14ac:dyDescent="0.2">
      <c r="A530">
        <v>529</v>
      </c>
      <c r="B530" s="1">
        <v>40918</v>
      </c>
      <c r="C530" t="s">
        <v>28</v>
      </c>
      <c r="D530">
        <v>178</v>
      </c>
      <c r="E530">
        <v>27</v>
      </c>
      <c r="F530">
        <v>3</v>
      </c>
      <c r="G530" t="s">
        <v>27</v>
      </c>
      <c r="H530">
        <v>7</v>
      </c>
      <c r="I530">
        <v>41</v>
      </c>
      <c r="J530">
        <v>2</v>
      </c>
      <c r="K530">
        <v>10</v>
      </c>
      <c r="L530">
        <v>6</v>
      </c>
      <c r="M530">
        <v>17</v>
      </c>
      <c r="N530">
        <v>220</v>
      </c>
      <c r="O530">
        <v>203</v>
      </c>
      <c r="P530">
        <v>1</v>
      </c>
      <c r="Q530">
        <v>3</v>
      </c>
      <c r="R530">
        <v>2</v>
      </c>
      <c r="S530">
        <v>1</v>
      </c>
      <c r="T530">
        <v>0</v>
      </c>
      <c r="U530">
        <v>506</v>
      </c>
      <c r="V530">
        <v>53</v>
      </c>
      <c r="W530">
        <v>250</v>
      </c>
      <c r="X530">
        <v>203</v>
      </c>
    </row>
    <row r="531" spans="1:24" x14ac:dyDescent="0.2">
      <c r="A531">
        <v>530</v>
      </c>
      <c r="B531" s="1">
        <v>40918</v>
      </c>
      <c r="C531" t="s">
        <v>28</v>
      </c>
      <c r="D531">
        <v>178</v>
      </c>
      <c r="E531">
        <v>27</v>
      </c>
      <c r="F531">
        <v>3</v>
      </c>
      <c r="G531" t="s">
        <v>26</v>
      </c>
      <c r="H531">
        <v>8</v>
      </c>
      <c r="I531">
        <v>34</v>
      </c>
      <c r="J531">
        <v>7</v>
      </c>
      <c r="K531">
        <v>11</v>
      </c>
      <c r="L531">
        <v>4</v>
      </c>
      <c r="M531">
        <v>24</v>
      </c>
      <c r="N531">
        <v>204</v>
      </c>
      <c r="O531">
        <v>118</v>
      </c>
      <c r="P531">
        <v>3</v>
      </c>
      <c r="Q531">
        <v>1</v>
      </c>
      <c r="R531">
        <v>4</v>
      </c>
      <c r="S531">
        <v>1</v>
      </c>
      <c r="T531">
        <v>0</v>
      </c>
      <c r="U531">
        <v>411</v>
      </c>
      <c r="V531">
        <v>52</v>
      </c>
      <c r="W531">
        <v>241</v>
      </c>
      <c r="X531">
        <v>118</v>
      </c>
    </row>
    <row r="532" spans="1:24" x14ac:dyDescent="0.2">
      <c r="A532">
        <v>531</v>
      </c>
      <c r="B532" s="1">
        <v>40918</v>
      </c>
      <c r="C532" t="s">
        <v>28</v>
      </c>
      <c r="D532">
        <v>178</v>
      </c>
      <c r="E532">
        <v>27</v>
      </c>
      <c r="F532">
        <v>3</v>
      </c>
      <c r="G532" t="s">
        <v>27</v>
      </c>
      <c r="H532">
        <v>9</v>
      </c>
      <c r="I532">
        <v>58</v>
      </c>
      <c r="J532">
        <v>1</v>
      </c>
      <c r="K532">
        <v>26</v>
      </c>
      <c r="L532">
        <v>5</v>
      </c>
      <c r="M532">
        <v>25</v>
      </c>
      <c r="N532">
        <v>231</v>
      </c>
      <c r="O532">
        <v>152</v>
      </c>
      <c r="P532">
        <v>0</v>
      </c>
      <c r="Q532">
        <v>1</v>
      </c>
      <c r="R532">
        <v>2</v>
      </c>
      <c r="S532">
        <v>2</v>
      </c>
      <c r="T532">
        <v>0</v>
      </c>
      <c r="U532">
        <v>503</v>
      </c>
      <c r="V532">
        <v>85</v>
      </c>
      <c r="W532">
        <v>266</v>
      </c>
      <c r="X532">
        <v>152</v>
      </c>
    </row>
    <row r="533" spans="1:24" x14ac:dyDescent="0.2">
      <c r="A533">
        <v>532</v>
      </c>
      <c r="B533" s="1">
        <v>40921</v>
      </c>
      <c r="C533" t="s">
        <v>28</v>
      </c>
      <c r="D533">
        <v>181</v>
      </c>
      <c r="E533">
        <v>27</v>
      </c>
      <c r="F533">
        <v>6</v>
      </c>
      <c r="G533" t="s">
        <v>25</v>
      </c>
      <c r="H533">
        <v>1</v>
      </c>
      <c r="I533">
        <v>41</v>
      </c>
      <c r="J533">
        <v>4</v>
      </c>
      <c r="K533">
        <v>5</v>
      </c>
      <c r="L533">
        <v>7</v>
      </c>
      <c r="M533">
        <v>28</v>
      </c>
      <c r="N533">
        <v>197</v>
      </c>
      <c r="O533">
        <v>161</v>
      </c>
      <c r="P533">
        <v>2</v>
      </c>
      <c r="Q533">
        <v>3</v>
      </c>
      <c r="R533">
        <v>4</v>
      </c>
      <c r="S533">
        <v>2</v>
      </c>
      <c r="T533">
        <v>0</v>
      </c>
      <c r="U533">
        <v>454</v>
      </c>
      <c r="V533">
        <v>50</v>
      </c>
      <c r="W533">
        <v>243</v>
      </c>
      <c r="X533">
        <v>161</v>
      </c>
    </row>
    <row r="534" spans="1:24" x14ac:dyDescent="0.2">
      <c r="A534">
        <v>533</v>
      </c>
      <c r="B534" s="1">
        <v>40921</v>
      </c>
      <c r="C534" t="s">
        <v>28</v>
      </c>
      <c r="D534">
        <v>181</v>
      </c>
      <c r="E534">
        <v>27</v>
      </c>
      <c r="F534">
        <v>6</v>
      </c>
      <c r="G534" t="s">
        <v>25</v>
      </c>
      <c r="H534">
        <v>2</v>
      </c>
      <c r="I534">
        <v>41</v>
      </c>
      <c r="J534">
        <v>0</v>
      </c>
      <c r="K534">
        <v>6</v>
      </c>
      <c r="L534">
        <v>6</v>
      </c>
      <c r="M534">
        <v>18</v>
      </c>
      <c r="N534">
        <v>204</v>
      </c>
      <c r="O534">
        <v>157</v>
      </c>
      <c r="P534">
        <v>4</v>
      </c>
      <c r="Q534">
        <v>3</v>
      </c>
      <c r="R534">
        <v>3</v>
      </c>
      <c r="S534">
        <v>0</v>
      </c>
      <c r="T534">
        <v>0</v>
      </c>
      <c r="U534">
        <v>442</v>
      </c>
      <c r="V534">
        <v>47</v>
      </c>
      <c r="W534">
        <v>238</v>
      </c>
      <c r="X534">
        <v>157</v>
      </c>
    </row>
    <row r="535" spans="1:24" x14ac:dyDescent="0.2">
      <c r="A535">
        <v>534</v>
      </c>
      <c r="B535" s="1">
        <v>40921</v>
      </c>
      <c r="C535" t="s">
        <v>28</v>
      </c>
      <c r="D535">
        <v>181</v>
      </c>
      <c r="E535">
        <v>27</v>
      </c>
      <c r="F535">
        <v>6</v>
      </c>
      <c r="G535" t="s">
        <v>26</v>
      </c>
      <c r="H535">
        <v>3</v>
      </c>
      <c r="I535">
        <v>35</v>
      </c>
      <c r="J535">
        <v>0</v>
      </c>
      <c r="K535">
        <v>16</v>
      </c>
      <c r="L535">
        <v>6</v>
      </c>
      <c r="M535">
        <v>19</v>
      </c>
      <c r="N535">
        <v>160</v>
      </c>
      <c r="O535">
        <v>169</v>
      </c>
      <c r="P535">
        <v>2</v>
      </c>
      <c r="Q535">
        <v>1</v>
      </c>
      <c r="R535">
        <v>3</v>
      </c>
      <c r="S535">
        <v>0</v>
      </c>
      <c r="T535">
        <v>0</v>
      </c>
      <c r="U535">
        <v>411</v>
      </c>
      <c r="V535">
        <v>51</v>
      </c>
      <c r="W535">
        <v>191</v>
      </c>
      <c r="X535">
        <v>169</v>
      </c>
    </row>
    <row r="536" spans="1:24" x14ac:dyDescent="0.2">
      <c r="A536">
        <v>535</v>
      </c>
      <c r="B536" s="1">
        <v>40921</v>
      </c>
      <c r="C536" t="s">
        <v>28</v>
      </c>
      <c r="D536">
        <v>181</v>
      </c>
      <c r="E536">
        <v>27</v>
      </c>
      <c r="F536">
        <v>6</v>
      </c>
      <c r="G536" t="s">
        <v>25</v>
      </c>
      <c r="H536">
        <v>4</v>
      </c>
      <c r="I536">
        <v>44</v>
      </c>
      <c r="J536">
        <v>0</v>
      </c>
      <c r="K536">
        <v>8</v>
      </c>
      <c r="L536">
        <v>6</v>
      </c>
      <c r="M536">
        <v>19</v>
      </c>
      <c r="N536">
        <v>182</v>
      </c>
      <c r="O536">
        <v>136</v>
      </c>
      <c r="P536">
        <v>4</v>
      </c>
      <c r="Q536">
        <v>2</v>
      </c>
      <c r="R536">
        <v>2</v>
      </c>
      <c r="S536">
        <v>2</v>
      </c>
      <c r="T536">
        <v>0</v>
      </c>
      <c r="U536">
        <v>405</v>
      </c>
      <c r="V536">
        <v>52</v>
      </c>
      <c r="W536">
        <v>217</v>
      </c>
      <c r="X536">
        <v>136</v>
      </c>
    </row>
    <row r="537" spans="1:24" x14ac:dyDescent="0.2">
      <c r="A537">
        <v>536</v>
      </c>
      <c r="B537" s="1">
        <v>40921</v>
      </c>
      <c r="C537" t="s">
        <v>28</v>
      </c>
      <c r="D537">
        <v>181</v>
      </c>
      <c r="E537">
        <v>27</v>
      </c>
      <c r="F537">
        <v>6</v>
      </c>
      <c r="G537" t="s">
        <v>26</v>
      </c>
      <c r="H537">
        <v>5</v>
      </c>
      <c r="I537">
        <v>40</v>
      </c>
      <c r="J537">
        <v>4</v>
      </c>
      <c r="K537">
        <v>15</v>
      </c>
      <c r="L537">
        <v>5</v>
      </c>
      <c r="M537">
        <v>24</v>
      </c>
      <c r="N537">
        <v>174</v>
      </c>
      <c r="O537">
        <v>143</v>
      </c>
      <c r="P537">
        <v>1</v>
      </c>
      <c r="Q537">
        <v>0</v>
      </c>
      <c r="R537">
        <v>2</v>
      </c>
      <c r="S537">
        <v>0</v>
      </c>
      <c r="T537">
        <v>0</v>
      </c>
      <c r="U537">
        <v>408</v>
      </c>
      <c r="V537">
        <v>59</v>
      </c>
      <c r="W537">
        <v>206</v>
      </c>
      <c r="X537">
        <v>143</v>
      </c>
    </row>
    <row r="538" spans="1:24" x14ac:dyDescent="0.2">
      <c r="A538">
        <v>537</v>
      </c>
      <c r="B538" s="1">
        <v>40921</v>
      </c>
      <c r="C538" t="s">
        <v>28</v>
      </c>
      <c r="D538">
        <v>181</v>
      </c>
      <c r="E538">
        <v>27</v>
      </c>
      <c r="F538">
        <v>6</v>
      </c>
      <c r="G538" t="s">
        <v>27</v>
      </c>
      <c r="H538">
        <v>6</v>
      </c>
      <c r="I538">
        <v>35</v>
      </c>
      <c r="J538">
        <v>0</v>
      </c>
      <c r="K538">
        <v>16</v>
      </c>
      <c r="L538">
        <v>5</v>
      </c>
      <c r="M538">
        <v>13</v>
      </c>
      <c r="N538">
        <v>207</v>
      </c>
      <c r="O538">
        <v>170</v>
      </c>
      <c r="P538">
        <v>4</v>
      </c>
      <c r="Q538">
        <v>1</v>
      </c>
      <c r="R538">
        <v>1</v>
      </c>
      <c r="S538">
        <v>0</v>
      </c>
      <c r="T538">
        <v>0</v>
      </c>
      <c r="U538">
        <v>452</v>
      </c>
      <c r="V538">
        <v>51</v>
      </c>
      <c r="W538">
        <v>231</v>
      </c>
      <c r="X538">
        <v>170</v>
      </c>
    </row>
    <row r="539" spans="1:24" x14ac:dyDescent="0.2">
      <c r="A539">
        <v>538</v>
      </c>
      <c r="B539" s="1">
        <v>40921</v>
      </c>
      <c r="C539" t="s">
        <v>28</v>
      </c>
      <c r="D539">
        <v>181</v>
      </c>
      <c r="E539">
        <v>27</v>
      </c>
      <c r="F539">
        <v>6</v>
      </c>
      <c r="G539" t="s">
        <v>27</v>
      </c>
      <c r="H539">
        <v>7</v>
      </c>
      <c r="I539">
        <v>38</v>
      </c>
      <c r="J539">
        <v>1</v>
      </c>
      <c r="K539">
        <v>10</v>
      </c>
      <c r="L539">
        <v>7</v>
      </c>
      <c r="M539">
        <v>26</v>
      </c>
      <c r="N539">
        <v>254</v>
      </c>
      <c r="O539">
        <v>213</v>
      </c>
      <c r="P539">
        <v>2</v>
      </c>
      <c r="Q539">
        <v>2</v>
      </c>
      <c r="R539">
        <v>3</v>
      </c>
      <c r="S539">
        <v>1</v>
      </c>
      <c r="T539">
        <v>0</v>
      </c>
      <c r="U539">
        <v>557</v>
      </c>
      <c r="V539">
        <v>49</v>
      </c>
      <c r="W539">
        <v>295</v>
      </c>
      <c r="X539">
        <v>213</v>
      </c>
    </row>
    <row r="540" spans="1:24" x14ac:dyDescent="0.2">
      <c r="A540">
        <v>539</v>
      </c>
      <c r="B540" s="1">
        <v>40921</v>
      </c>
      <c r="C540" t="s">
        <v>28</v>
      </c>
      <c r="D540">
        <v>181</v>
      </c>
      <c r="E540">
        <v>27</v>
      </c>
      <c r="F540">
        <v>6</v>
      </c>
      <c r="G540" t="s">
        <v>26</v>
      </c>
      <c r="H540">
        <v>8</v>
      </c>
      <c r="I540">
        <v>37</v>
      </c>
      <c r="J540">
        <v>8</v>
      </c>
      <c r="K540">
        <v>10</v>
      </c>
      <c r="L540">
        <v>3</v>
      </c>
      <c r="M540">
        <v>25</v>
      </c>
      <c r="N540">
        <v>216</v>
      </c>
      <c r="O540">
        <v>112</v>
      </c>
      <c r="P540">
        <v>1</v>
      </c>
      <c r="Q540">
        <v>1</v>
      </c>
      <c r="R540">
        <v>2</v>
      </c>
      <c r="S540">
        <v>1</v>
      </c>
      <c r="T540">
        <v>0</v>
      </c>
      <c r="U540">
        <v>416</v>
      </c>
      <c r="V540">
        <v>55</v>
      </c>
      <c r="W540">
        <v>249</v>
      </c>
      <c r="X540">
        <v>112</v>
      </c>
    </row>
    <row r="541" spans="1:24" x14ac:dyDescent="0.2">
      <c r="A541">
        <v>540</v>
      </c>
      <c r="B541" s="1">
        <v>40921</v>
      </c>
      <c r="C541" t="s">
        <v>28</v>
      </c>
      <c r="D541">
        <v>181</v>
      </c>
      <c r="E541">
        <v>27</v>
      </c>
      <c r="F541">
        <v>6</v>
      </c>
      <c r="G541" t="s">
        <v>27</v>
      </c>
      <c r="H541">
        <v>9</v>
      </c>
      <c r="I541">
        <v>62</v>
      </c>
      <c r="J541">
        <v>1</v>
      </c>
      <c r="K541">
        <v>24</v>
      </c>
      <c r="L541">
        <v>8</v>
      </c>
      <c r="M541">
        <v>26</v>
      </c>
      <c r="N541">
        <v>266</v>
      </c>
      <c r="O541">
        <v>171</v>
      </c>
      <c r="P541">
        <v>1</v>
      </c>
      <c r="Q541">
        <v>2</v>
      </c>
      <c r="R541">
        <v>2</v>
      </c>
      <c r="S541">
        <v>1</v>
      </c>
      <c r="T541">
        <v>0</v>
      </c>
      <c r="U541">
        <v>564</v>
      </c>
      <c r="V541">
        <v>87</v>
      </c>
      <c r="W541">
        <v>306</v>
      </c>
      <c r="X541">
        <v>171</v>
      </c>
    </row>
    <row r="542" spans="1:24" x14ac:dyDescent="0.2">
      <c r="A542">
        <v>541</v>
      </c>
      <c r="B542" s="1">
        <v>40925</v>
      </c>
      <c r="C542" t="s">
        <v>28</v>
      </c>
      <c r="D542">
        <v>185</v>
      </c>
      <c r="E542">
        <v>28</v>
      </c>
      <c r="F542">
        <v>3</v>
      </c>
      <c r="G542" t="s">
        <v>25</v>
      </c>
      <c r="H542">
        <v>1</v>
      </c>
      <c r="I542">
        <v>40</v>
      </c>
      <c r="J542">
        <v>1</v>
      </c>
      <c r="K542">
        <v>5</v>
      </c>
      <c r="L542">
        <v>5</v>
      </c>
      <c r="M542">
        <v>22</v>
      </c>
      <c r="N542">
        <v>218</v>
      </c>
      <c r="O542">
        <v>179</v>
      </c>
      <c r="P542">
        <v>3</v>
      </c>
      <c r="Q542">
        <v>2</v>
      </c>
      <c r="R542">
        <v>3</v>
      </c>
      <c r="S542">
        <v>0</v>
      </c>
      <c r="T542">
        <v>0</v>
      </c>
      <c r="U542">
        <v>478</v>
      </c>
      <c r="V542">
        <v>46</v>
      </c>
      <c r="W542">
        <v>253</v>
      </c>
      <c r="X542">
        <v>179</v>
      </c>
    </row>
    <row r="543" spans="1:24" x14ac:dyDescent="0.2">
      <c r="A543">
        <v>542</v>
      </c>
      <c r="B543" s="1">
        <v>40925</v>
      </c>
      <c r="C543" t="s">
        <v>28</v>
      </c>
      <c r="D543">
        <v>185</v>
      </c>
      <c r="E543">
        <v>28</v>
      </c>
      <c r="F543">
        <v>3</v>
      </c>
      <c r="G543" t="s">
        <v>25</v>
      </c>
      <c r="H543">
        <v>2</v>
      </c>
      <c r="I543">
        <v>40</v>
      </c>
      <c r="J543">
        <v>0</v>
      </c>
      <c r="K543">
        <v>6</v>
      </c>
      <c r="L543">
        <v>4</v>
      </c>
      <c r="M543">
        <v>21</v>
      </c>
      <c r="N543">
        <v>189</v>
      </c>
      <c r="O543">
        <v>168</v>
      </c>
      <c r="P543">
        <v>3</v>
      </c>
      <c r="Q543">
        <v>2</v>
      </c>
      <c r="R543">
        <v>2</v>
      </c>
      <c r="S543">
        <v>0</v>
      </c>
      <c r="T543">
        <v>0</v>
      </c>
      <c r="U543">
        <v>435</v>
      </c>
      <c r="V543">
        <v>46</v>
      </c>
      <c r="W543">
        <v>221</v>
      </c>
      <c r="X543">
        <v>168</v>
      </c>
    </row>
    <row r="544" spans="1:24" x14ac:dyDescent="0.2">
      <c r="A544">
        <v>543</v>
      </c>
      <c r="B544" s="1">
        <v>40925</v>
      </c>
      <c r="C544" t="s">
        <v>28</v>
      </c>
      <c r="D544">
        <v>185</v>
      </c>
      <c r="E544">
        <v>28</v>
      </c>
      <c r="F544">
        <v>3</v>
      </c>
      <c r="G544" t="s">
        <v>26</v>
      </c>
      <c r="H544">
        <v>3</v>
      </c>
      <c r="I544">
        <v>38</v>
      </c>
      <c r="J544">
        <v>0</v>
      </c>
      <c r="K544">
        <v>17</v>
      </c>
      <c r="L544">
        <v>9</v>
      </c>
      <c r="M544">
        <v>19</v>
      </c>
      <c r="N544">
        <v>178</v>
      </c>
      <c r="O544">
        <v>171</v>
      </c>
      <c r="P544">
        <v>3</v>
      </c>
      <c r="Q544">
        <v>4</v>
      </c>
      <c r="R544">
        <v>2</v>
      </c>
      <c r="S544">
        <v>0</v>
      </c>
      <c r="T544">
        <v>0</v>
      </c>
      <c r="U544">
        <v>441</v>
      </c>
      <c r="V544">
        <v>55</v>
      </c>
      <c r="W544">
        <v>215</v>
      </c>
      <c r="X544">
        <v>171</v>
      </c>
    </row>
    <row r="545" spans="1:24" x14ac:dyDescent="0.2">
      <c r="A545">
        <v>544</v>
      </c>
      <c r="B545" s="1">
        <v>40925</v>
      </c>
      <c r="C545" t="s">
        <v>28</v>
      </c>
      <c r="D545">
        <v>185</v>
      </c>
      <c r="E545">
        <v>28</v>
      </c>
      <c r="F545">
        <v>3</v>
      </c>
      <c r="G545" t="s">
        <v>25</v>
      </c>
      <c r="H545">
        <v>4</v>
      </c>
      <c r="I545">
        <v>47</v>
      </c>
      <c r="J545">
        <v>0</v>
      </c>
      <c r="K545">
        <v>7</v>
      </c>
      <c r="L545">
        <v>11</v>
      </c>
      <c r="M545">
        <v>24</v>
      </c>
      <c r="N545">
        <v>187</v>
      </c>
      <c r="O545">
        <v>127</v>
      </c>
      <c r="P545">
        <v>4</v>
      </c>
      <c r="Q545">
        <v>5</v>
      </c>
      <c r="R545">
        <v>1</v>
      </c>
      <c r="S545">
        <v>1</v>
      </c>
      <c r="T545">
        <v>0</v>
      </c>
      <c r="U545">
        <v>414</v>
      </c>
      <c r="V545">
        <v>54</v>
      </c>
      <c r="W545">
        <v>233</v>
      </c>
      <c r="X545">
        <v>127</v>
      </c>
    </row>
    <row r="546" spans="1:24" x14ac:dyDescent="0.2">
      <c r="A546">
        <v>545</v>
      </c>
      <c r="B546" s="1">
        <v>40925</v>
      </c>
      <c r="C546" t="s">
        <v>28</v>
      </c>
      <c r="D546">
        <v>185</v>
      </c>
      <c r="E546">
        <v>28</v>
      </c>
      <c r="F546">
        <v>3</v>
      </c>
      <c r="G546" t="s">
        <v>26</v>
      </c>
      <c r="H546">
        <v>5</v>
      </c>
      <c r="I546">
        <v>42</v>
      </c>
      <c r="J546">
        <v>4</v>
      </c>
      <c r="K546">
        <v>13</v>
      </c>
      <c r="L546">
        <v>6</v>
      </c>
      <c r="M546">
        <v>21</v>
      </c>
      <c r="N546">
        <v>160</v>
      </c>
      <c r="O546">
        <v>156</v>
      </c>
      <c r="P546">
        <v>2</v>
      </c>
      <c r="Q546">
        <v>1</v>
      </c>
      <c r="R546">
        <v>3</v>
      </c>
      <c r="S546">
        <v>0</v>
      </c>
      <c r="T546">
        <v>0</v>
      </c>
      <c r="U546">
        <v>408</v>
      </c>
      <c r="V546">
        <v>59</v>
      </c>
      <c r="W546">
        <v>193</v>
      </c>
      <c r="X546">
        <v>156</v>
      </c>
    </row>
    <row r="547" spans="1:24" x14ac:dyDescent="0.2">
      <c r="A547">
        <v>546</v>
      </c>
      <c r="B547" s="1">
        <v>40925</v>
      </c>
      <c r="C547" t="s">
        <v>28</v>
      </c>
      <c r="D547">
        <v>185</v>
      </c>
      <c r="E547">
        <v>28</v>
      </c>
      <c r="F547">
        <v>3</v>
      </c>
      <c r="G547" t="s">
        <v>27</v>
      </c>
      <c r="H547">
        <v>6</v>
      </c>
      <c r="I547">
        <v>33</v>
      </c>
      <c r="J547">
        <v>0</v>
      </c>
      <c r="K547">
        <v>14</v>
      </c>
      <c r="L547">
        <v>5</v>
      </c>
      <c r="M547">
        <v>2</v>
      </c>
      <c r="N547">
        <v>213</v>
      </c>
      <c r="O547">
        <v>184</v>
      </c>
      <c r="P547">
        <v>4</v>
      </c>
      <c r="Q547">
        <v>1</v>
      </c>
      <c r="R547">
        <v>2</v>
      </c>
      <c r="S547">
        <v>1</v>
      </c>
      <c r="T547">
        <v>0</v>
      </c>
      <c r="U547">
        <v>459</v>
      </c>
      <c r="V547">
        <v>47</v>
      </c>
      <c r="W547">
        <v>228</v>
      </c>
      <c r="X547">
        <v>184</v>
      </c>
    </row>
    <row r="548" spans="1:24" x14ac:dyDescent="0.2">
      <c r="A548">
        <v>547</v>
      </c>
      <c r="B548" s="1">
        <v>40925</v>
      </c>
      <c r="C548" t="s">
        <v>28</v>
      </c>
      <c r="D548">
        <v>185</v>
      </c>
      <c r="E548">
        <v>28</v>
      </c>
      <c r="F548">
        <v>3</v>
      </c>
      <c r="G548" t="s">
        <v>27</v>
      </c>
      <c r="H548">
        <v>7</v>
      </c>
      <c r="I548">
        <v>39</v>
      </c>
      <c r="J548">
        <v>1</v>
      </c>
      <c r="K548">
        <v>9</v>
      </c>
      <c r="L548">
        <v>7</v>
      </c>
      <c r="M548">
        <v>24</v>
      </c>
      <c r="N548">
        <v>249</v>
      </c>
      <c r="O548">
        <v>207</v>
      </c>
      <c r="P548">
        <v>4</v>
      </c>
      <c r="Q548">
        <v>1</v>
      </c>
      <c r="R548">
        <v>3</v>
      </c>
      <c r="S548">
        <v>1</v>
      </c>
      <c r="T548">
        <v>0</v>
      </c>
      <c r="U548">
        <v>545</v>
      </c>
      <c r="V548">
        <v>49</v>
      </c>
      <c r="W548">
        <v>289</v>
      </c>
      <c r="X548">
        <v>207</v>
      </c>
    </row>
    <row r="549" spans="1:24" x14ac:dyDescent="0.2">
      <c r="A549">
        <v>548</v>
      </c>
      <c r="B549" s="1">
        <v>40925</v>
      </c>
      <c r="C549" t="s">
        <v>28</v>
      </c>
      <c r="D549">
        <v>185</v>
      </c>
      <c r="E549">
        <v>28</v>
      </c>
      <c r="F549">
        <v>3</v>
      </c>
      <c r="G549" t="s">
        <v>26</v>
      </c>
      <c r="H549">
        <v>8</v>
      </c>
      <c r="I549">
        <v>36</v>
      </c>
      <c r="J549">
        <v>8</v>
      </c>
      <c r="K549">
        <v>10</v>
      </c>
      <c r="L549">
        <v>4</v>
      </c>
      <c r="M549">
        <v>26</v>
      </c>
      <c r="N549">
        <v>202</v>
      </c>
      <c r="O549">
        <v>167</v>
      </c>
      <c r="P549">
        <v>1</v>
      </c>
      <c r="Q549">
        <v>1</v>
      </c>
      <c r="R549">
        <v>3</v>
      </c>
      <c r="S549">
        <v>1</v>
      </c>
      <c r="T549">
        <v>0</v>
      </c>
      <c r="U549">
        <v>459</v>
      </c>
      <c r="V549">
        <v>54</v>
      </c>
      <c r="W549">
        <v>238</v>
      </c>
      <c r="X549">
        <v>167</v>
      </c>
    </row>
    <row r="550" spans="1:24" x14ac:dyDescent="0.2">
      <c r="A550">
        <v>549</v>
      </c>
      <c r="B550" s="1">
        <v>40925</v>
      </c>
      <c r="C550" t="s">
        <v>28</v>
      </c>
      <c r="D550">
        <v>185</v>
      </c>
      <c r="E550">
        <v>28</v>
      </c>
      <c r="F550">
        <v>3</v>
      </c>
      <c r="G550" t="s">
        <v>27</v>
      </c>
      <c r="H550">
        <v>9</v>
      </c>
      <c r="I550">
        <v>65</v>
      </c>
      <c r="J550">
        <v>1</v>
      </c>
      <c r="K550">
        <v>25</v>
      </c>
      <c r="L550">
        <v>9</v>
      </c>
      <c r="M550">
        <v>24</v>
      </c>
      <c r="N550">
        <v>275</v>
      </c>
      <c r="O550">
        <v>206</v>
      </c>
      <c r="P550">
        <v>1</v>
      </c>
      <c r="Q550">
        <v>1</v>
      </c>
      <c r="R550">
        <v>2</v>
      </c>
      <c r="S550">
        <v>1</v>
      </c>
      <c r="T550">
        <v>0</v>
      </c>
      <c r="U550">
        <v>610</v>
      </c>
      <c r="V550">
        <v>91</v>
      </c>
      <c r="W550">
        <v>313</v>
      </c>
      <c r="X550">
        <v>206</v>
      </c>
    </row>
    <row r="551" spans="1:24" x14ac:dyDescent="0.2">
      <c r="A551">
        <v>550</v>
      </c>
      <c r="B551" s="1">
        <v>40928</v>
      </c>
      <c r="C551" t="s">
        <v>28</v>
      </c>
      <c r="D551">
        <v>188</v>
      </c>
      <c r="E551">
        <v>28</v>
      </c>
      <c r="F551">
        <v>6</v>
      </c>
      <c r="G551" t="s">
        <v>25</v>
      </c>
      <c r="H551">
        <v>1</v>
      </c>
      <c r="I551">
        <v>43</v>
      </c>
      <c r="J551">
        <v>2</v>
      </c>
      <c r="K551">
        <v>9</v>
      </c>
      <c r="L551">
        <v>8</v>
      </c>
      <c r="M551">
        <v>23</v>
      </c>
      <c r="N551">
        <v>191</v>
      </c>
      <c r="O551">
        <v>163</v>
      </c>
      <c r="P551">
        <v>4</v>
      </c>
      <c r="Q551">
        <v>3</v>
      </c>
      <c r="R551">
        <v>2</v>
      </c>
      <c r="S551">
        <v>1</v>
      </c>
      <c r="T551">
        <v>0</v>
      </c>
      <c r="U551">
        <v>449</v>
      </c>
      <c r="V551">
        <v>54</v>
      </c>
      <c r="W551">
        <v>232</v>
      </c>
      <c r="X551">
        <v>163</v>
      </c>
    </row>
    <row r="552" spans="1:24" x14ac:dyDescent="0.2">
      <c r="A552">
        <v>551</v>
      </c>
      <c r="B552" s="1">
        <v>40928</v>
      </c>
      <c r="C552" t="s">
        <v>28</v>
      </c>
      <c r="D552">
        <v>188</v>
      </c>
      <c r="E552">
        <v>28</v>
      </c>
      <c r="F552">
        <v>6</v>
      </c>
      <c r="G552" t="s">
        <v>25</v>
      </c>
      <c r="H552">
        <v>2</v>
      </c>
      <c r="I552">
        <v>39</v>
      </c>
      <c r="J552">
        <v>0</v>
      </c>
      <c r="K552">
        <v>8</v>
      </c>
      <c r="L552">
        <v>13</v>
      </c>
      <c r="M552">
        <v>15</v>
      </c>
      <c r="N552">
        <v>206</v>
      </c>
      <c r="O552">
        <v>178</v>
      </c>
      <c r="P552">
        <v>0</v>
      </c>
      <c r="Q552">
        <v>4</v>
      </c>
      <c r="R552">
        <v>1</v>
      </c>
      <c r="S552">
        <v>0</v>
      </c>
      <c r="T552">
        <v>0</v>
      </c>
      <c r="U552">
        <v>464</v>
      </c>
      <c r="V552">
        <v>47</v>
      </c>
      <c r="W552">
        <v>239</v>
      </c>
      <c r="X552">
        <v>178</v>
      </c>
    </row>
    <row r="553" spans="1:24" x14ac:dyDescent="0.2">
      <c r="A553">
        <v>552</v>
      </c>
      <c r="B553" s="1">
        <v>40928</v>
      </c>
      <c r="C553" t="s">
        <v>28</v>
      </c>
      <c r="D553">
        <v>188</v>
      </c>
      <c r="E553">
        <v>28</v>
      </c>
      <c r="F553">
        <v>6</v>
      </c>
      <c r="G553" t="s">
        <v>26</v>
      </c>
      <c r="H553">
        <v>3</v>
      </c>
      <c r="I553">
        <v>37</v>
      </c>
      <c r="J553">
        <v>0</v>
      </c>
      <c r="K553">
        <v>19</v>
      </c>
      <c r="L553">
        <v>9</v>
      </c>
      <c r="M553">
        <v>16</v>
      </c>
      <c r="N553">
        <v>193</v>
      </c>
      <c r="O553">
        <v>185</v>
      </c>
      <c r="P553">
        <v>3</v>
      </c>
      <c r="Q553">
        <v>1</v>
      </c>
      <c r="R553">
        <v>0</v>
      </c>
      <c r="S553">
        <v>2</v>
      </c>
      <c r="T553">
        <v>0</v>
      </c>
      <c r="U553">
        <v>465</v>
      </c>
      <c r="V553">
        <v>56</v>
      </c>
      <c r="W553">
        <v>224</v>
      </c>
      <c r="X553">
        <v>185</v>
      </c>
    </row>
    <row r="554" spans="1:24" x14ac:dyDescent="0.2">
      <c r="A554">
        <v>553</v>
      </c>
      <c r="B554" s="1">
        <v>40928</v>
      </c>
      <c r="C554" t="s">
        <v>28</v>
      </c>
      <c r="D554">
        <v>188</v>
      </c>
      <c r="E554">
        <v>28</v>
      </c>
      <c r="F554">
        <v>6</v>
      </c>
      <c r="G554" t="s">
        <v>25</v>
      </c>
      <c r="H554">
        <v>4</v>
      </c>
      <c r="I554">
        <v>47</v>
      </c>
      <c r="J554">
        <v>0</v>
      </c>
      <c r="K554">
        <v>9</v>
      </c>
      <c r="L554">
        <v>11</v>
      </c>
      <c r="M554">
        <v>21</v>
      </c>
      <c r="N554">
        <v>190</v>
      </c>
      <c r="O554">
        <v>145</v>
      </c>
      <c r="P554">
        <v>6</v>
      </c>
      <c r="Q554">
        <v>1</v>
      </c>
      <c r="R554">
        <v>2</v>
      </c>
      <c r="S554">
        <v>0</v>
      </c>
      <c r="T554">
        <v>0</v>
      </c>
      <c r="U554">
        <v>432</v>
      </c>
      <c r="V554">
        <v>56</v>
      </c>
      <c r="W554">
        <v>231</v>
      </c>
      <c r="X554">
        <v>145</v>
      </c>
    </row>
    <row r="555" spans="1:24" x14ac:dyDescent="0.2">
      <c r="A555">
        <v>554</v>
      </c>
      <c r="B555" s="1">
        <v>40928</v>
      </c>
      <c r="C555" t="s">
        <v>28</v>
      </c>
      <c r="D555">
        <v>188</v>
      </c>
      <c r="E555">
        <v>28</v>
      </c>
      <c r="F555">
        <v>6</v>
      </c>
      <c r="G555" t="s">
        <v>26</v>
      </c>
      <c r="H555">
        <v>5</v>
      </c>
      <c r="I555">
        <v>44</v>
      </c>
      <c r="J555">
        <v>4</v>
      </c>
      <c r="K555">
        <v>16</v>
      </c>
      <c r="L555">
        <v>5</v>
      </c>
      <c r="M555">
        <v>25</v>
      </c>
      <c r="N555">
        <v>151</v>
      </c>
      <c r="O555">
        <v>144</v>
      </c>
      <c r="P555">
        <v>5</v>
      </c>
      <c r="Q555">
        <v>4</v>
      </c>
      <c r="R555">
        <v>2</v>
      </c>
      <c r="S555">
        <v>0</v>
      </c>
      <c r="T555">
        <v>0</v>
      </c>
      <c r="U555">
        <v>400</v>
      </c>
      <c r="V555">
        <v>64</v>
      </c>
      <c r="W555">
        <v>192</v>
      </c>
      <c r="X555">
        <v>144</v>
      </c>
    </row>
    <row r="556" spans="1:24" x14ac:dyDescent="0.2">
      <c r="A556">
        <v>555</v>
      </c>
      <c r="B556" s="1">
        <v>40928</v>
      </c>
      <c r="C556" t="s">
        <v>28</v>
      </c>
      <c r="D556">
        <v>188</v>
      </c>
      <c r="E556">
        <v>28</v>
      </c>
      <c r="F556">
        <v>6</v>
      </c>
      <c r="G556" t="s">
        <v>27</v>
      </c>
      <c r="H556">
        <v>6</v>
      </c>
      <c r="I556">
        <v>37</v>
      </c>
      <c r="J556">
        <v>0</v>
      </c>
      <c r="K556">
        <v>16</v>
      </c>
      <c r="L556">
        <v>10</v>
      </c>
      <c r="M556">
        <v>13</v>
      </c>
      <c r="N556">
        <v>195</v>
      </c>
      <c r="O556">
        <v>186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461</v>
      </c>
      <c r="V556">
        <v>53</v>
      </c>
      <c r="W556">
        <v>222</v>
      </c>
      <c r="X556">
        <v>186</v>
      </c>
    </row>
    <row r="557" spans="1:24" x14ac:dyDescent="0.2">
      <c r="A557">
        <v>556</v>
      </c>
      <c r="B557" s="1">
        <v>40928</v>
      </c>
      <c r="C557" t="s">
        <v>28</v>
      </c>
      <c r="D557">
        <v>188</v>
      </c>
      <c r="E557">
        <v>28</v>
      </c>
      <c r="F557">
        <v>6</v>
      </c>
      <c r="G557" t="s">
        <v>27</v>
      </c>
      <c r="H557">
        <v>7</v>
      </c>
      <c r="I557">
        <v>40</v>
      </c>
      <c r="J557">
        <v>2</v>
      </c>
      <c r="K557">
        <v>7</v>
      </c>
      <c r="L557">
        <v>7</v>
      </c>
      <c r="M557">
        <v>18</v>
      </c>
      <c r="N557">
        <v>248</v>
      </c>
      <c r="O557">
        <v>193</v>
      </c>
      <c r="P557">
        <v>4</v>
      </c>
      <c r="Q557">
        <v>2</v>
      </c>
      <c r="R557">
        <v>1</v>
      </c>
      <c r="S557">
        <v>1</v>
      </c>
      <c r="T557">
        <v>0</v>
      </c>
      <c r="U557">
        <v>523</v>
      </c>
      <c r="V557">
        <v>49</v>
      </c>
      <c r="W557">
        <v>281</v>
      </c>
      <c r="X557">
        <v>193</v>
      </c>
    </row>
    <row r="558" spans="1:24" x14ac:dyDescent="0.2">
      <c r="A558">
        <v>557</v>
      </c>
      <c r="B558" s="1">
        <v>40928</v>
      </c>
      <c r="C558" t="s">
        <v>28</v>
      </c>
      <c r="D558">
        <v>188</v>
      </c>
      <c r="E558">
        <v>28</v>
      </c>
      <c r="F558">
        <v>6</v>
      </c>
      <c r="G558" t="s">
        <v>26</v>
      </c>
      <c r="H558">
        <v>8</v>
      </c>
      <c r="I558">
        <v>33</v>
      </c>
      <c r="J558">
        <v>11</v>
      </c>
      <c r="K558">
        <v>11</v>
      </c>
      <c r="L558">
        <v>5</v>
      </c>
      <c r="M558">
        <v>21</v>
      </c>
      <c r="N558">
        <v>187</v>
      </c>
      <c r="O558">
        <v>165</v>
      </c>
      <c r="P558">
        <v>0</v>
      </c>
      <c r="Q558">
        <v>1</v>
      </c>
      <c r="R558">
        <v>2</v>
      </c>
      <c r="S558">
        <v>0</v>
      </c>
      <c r="T558">
        <v>0</v>
      </c>
      <c r="U558">
        <v>436</v>
      </c>
      <c r="V558">
        <v>55</v>
      </c>
      <c r="W558">
        <v>216</v>
      </c>
      <c r="X558">
        <v>165</v>
      </c>
    </row>
    <row r="559" spans="1:24" x14ac:dyDescent="0.2">
      <c r="A559">
        <v>558</v>
      </c>
      <c r="B559" s="1">
        <v>40928</v>
      </c>
      <c r="C559" t="s">
        <v>28</v>
      </c>
      <c r="D559">
        <v>188</v>
      </c>
      <c r="E559">
        <v>28</v>
      </c>
      <c r="F559">
        <v>6</v>
      </c>
      <c r="G559" t="s">
        <v>27</v>
      </c>
      <c r="H559">
        <v>9</v>
      </c>
      <c r="I559">
        <v>64</v>
      </c>
      <c r="J559">
        <v>0</v>
      </c>
      <c r="K559">
        <v>23</v>
      </c>
      <c r="L559">
        <v>11</v>
      </c>
      <c r="M559">
        <v>26</v>
      </c>
      <c r="N559">
        <v>259</v>
      </c>
      <c r="O559">
        <v>191</v>
      </c>
      <c r="P559">
        <v>5</v>
      </c>
      <c r="Q559">
        <v>2</v>
      </c>
      <c r="R559">
        <v>4</v>
      </c>
      <c r="S559">
        <v>0</v>
      </c>
      <c r="T559">
        <v>0</v>
      </c>
      <c r="U559">
        <v>585</v>
      </c>
      <c r="V559">
        <v>87</v>
      </c>
      <c r="W559">
        <v>307</v>
      </c>
      <c r="X559">
        <v>191</v>
      </c>
    </row>
    <row r="560" spans="1:24" x14ac:dyDescent="0.2">
      <c r="A560">
        <v>559</v>
      </c>
      <c r="B560" s="1">
        <v>40932</v>
      </c>
      <c r="C560" t="s">
        <v>28</v>
      </c>
      <c r="D560">
        <v>192</v>
      </c>
      <c r="E560">
        <v>29</v>
      </c>
      <c r="F560">
        <v>3</v>
      </c>
      <c r="G560" t="s">
        <v>25</v>
      </c>
      <c r="H560">
        <v>1</v>
      </c>
      <c r="I560">
        <v>46</v>
      </c>
      <c r="J560">
        <v>2</v>
      </c>
      <c r="K560">
        <v>8</v>
      </c>
      <c r="L560">
        <v>9</v>
      </c>
      <c r="M560">
        <v>21</v>
      </c>
      <c r="N560">
        <v>197</v>
      </c>
      <c r="O560">
        <v>186</v>
      </c>
      <c r="P560">
        <v>4</v>
      </c>
      <c r="Q560">
        <v>2</v>
      </c>
      <c r="R560">
        <v>2</v>
      </c>
      <c r="S560">
        <v>0</v>
      </c>
      <c r="T560">
        <v>0</v>
      </c>
      <c r="U560">
        <v>477</v>
      </c>
      <c r="V560">
        <v>56</v>
      </c>
      <c r="W560">
        <v>235</v>
      </c>
      <c r="X560">
        <v>186</v>
      </c>
    </row>
    <row r="561" spans="1:24" x14ac:dyDescent="0.2">
      <c r="A561">
        <v>560</v>
      </c>
      <c r="B561" s="1">
        <v>40932</v>
      </c>
      <c r="C561" t="s">
        <v>28</v>
      </c>
      <c r="D561">
        <v>192</v>
      </c>
      <c r="E561">
        <v>29</v>
      </c>
      <c r="F561">
        <v>3</v>
      </c>
      <c r="G561" t="s">
        <v>25</v>
      </c>
      <c r="H561">
        <v>2</v>
      </c>
      <c r="I561">
        <v>40</v>
      </c>
      <c r="J561">
        <v>0</v>
      </c>
      <c r="K561">
        <v>8</v>
      </c>
      <c r="L561">
        <v>8</v>
      </c>
      <c r="M561">
        <v>23</v>
      </c>
      <c r="N561">
        <v>219</v>
      </c>
      <c r="O561">
        <v>171</v>
      </c>
      <c r="P561">
        <v>3</v>
      </c>
      <c r="Q561">
        <v>4</v>
      </c>
      <c r="R561">
        <v>1</v>
      </c>
      <c r="S561">
        <v>0</v>
      </c>
      <c r="T561">
        <v>0</v>
      </c>
      <c r="U561">
        <v>477</v>
      </c>
      <c r="V561">
        <v>48</v>
      </c>
      <c r="W561">
        <v>258</v>
      </c>
      <c r="X561">
        <v>171</v>
      </c>
    </row>
    <row r="562" spans="1:24" x14ac:dyDescent="0.2">
      <c r="A562">
        <v>561</v>
      </c>
      <c r="B562" s="1">
        <v>40932</v>
      </c>
      <c r="C562" t="s">
        <v>28</v>
      </c>
      <c r="D562">
        <v>192</v>
      </c>
      <c r="E562">
        <v>29</v>
      </c>
      <c r="F562">
        <v>3</v>
      </c>
      <c r="G562" t="s">
        <v>26</v>
      </c>
      <c r="H562">
        <v>3</v>
      </c>
      <c r="I562">
        <v>40</v>
      </c>
      <c r="J562">
        <v>0</v>
      </c>
      <c r="K562">
        <v>19</v>
      </c>
      <c r="L562">
        <v>8</v>
      </c>
      <c r="M562">
        <v>22</v>
      </c>
      <c r="N562">
        <v>220</v>
      </c>
      <c r="O562">
        <v>196</v>
      </c>
      <c r="P562">
        <v>0</v>
      </c>
      <c r="Q562">
        <v>4</v>
      </c>
      <c r="R562">
        <v>4</v>
      </c>
      <c r="S562">
        <v>2</v>
      </c>
      <c r="T562">
        <v>0</v>
      </c>
      <c r="U562">
        <v>515</v>
      </c>
      <c r="V562">
        <v>59</v>
      </c>
      <c r="W562">
        <v>260</v>
      </c>
      <c r="X562">
        <v>196</v>
      </c>
    </row>
    <row r="563" spans="1:24" x14ac:dyDescent="0.2">
      <c r="A563">
        <v>562</v>
      </c>
      <c r="B563" s="1">
        <v>40932</v>
      </c>
      <c r="C563" t="s">
        <v>28</v>
      </c>
      <c r="D563">
        <v>192</v>
      </c>
      <c r="E563">
        <v>29</v>
      </c>
      <c r="F563">
        <v>3</v>
      </c>
      <c r="G563" t="s">
        <v>25</v>
      </c>
      <c r="H563">
        <v>4</v>
      </c>
      <c r="I563">
        <v>46</v>
      </c>
      <c r="J563">
        <v>0</v>
      </c>
      <c r="K563">
        <v>9</v>
      </c>
      <c r="L563">
        <v>10</v>
      </c>
      <c r="M563">
        <v>26</v>
      </c>
      <c r="N563">
        <v>173</v>
      </c>
      <c r="O563">
        <v>133</v>
      </c>
      <c r="P563">
        <v>5</v>
      </c>
      <c r="Q563">
        <v>4</v>
      </c>
      <c r="R563">
        <v>0</v>
      </c>
      <c r="S563">
        <v>1</v>
      </c>
      <c r="T563">
        <v>0</v>
      </c>
      <c r="U563">
        <v>407</v>
      </c>
      <c r="V563">
        <v>55</v>
      </c>
      <c r="W563">
        <v>219</v>
      </c>
      <c r="X563">
        <v>133</v>
      </c>
    </row>
    <row r="564" spans="1:24" x14ac:dyDescent="0.2">
      <c r="A564">
        <v>563</v>
      </c>
      <c r="B564" s="1">
        <v>40932</v>
      </c>
      <c r="C564" t="s">
        <v>28</v>
      </c>
      <c r="D564">
        <v>192</v>
      </c>
      <c r="E564">
        <v>29</v>
      </c>
      <c r="F564">
        <v>3</v>
      </c>
      <c r="G564" t="s">
        <v>26</v>
      </c>
      <c r="H564">
        <v>5</v>
      </c>
      <c r="I564">
        <v>45</v>
      </c>
      <c r="J564">
        <v>4</v>
      </c>
      <c r="K564">
        <v>14</v>
      </c>
      <c r="L564">
        <v>4</v>
      </c>
      <c r="M564">
        <v>25</v>
      </c>
      <c r="N564">
        <v>172</v>
      </c>
      <c r="O564">
        <v>160</v>
      </c>
      <c r="P564">
        <v>0</v>
      </c>
      <c r="Q564">
        <v>0</v>
      </c>
      <c r="R564">
        <v>3</v>
      </c>
      <c r="S564">
        <v>0</v>
      </c>
      <c r="T564">
        <v>0</v>
      </c>
      <c r="U564">
        <v>427</v>
      </c>
      <c r="V564">
        <v>63</v>
      </c>
      <c r="W564">
        <v>204</v>
      </c>
      <c r="X564">
        <v>160</v>
      </c>
    </row>
    <row r="565" spans="1:24" x14ac:dyDescent="0.2">
      <c r="A565">
        <v>564</v>
      </c>
      <c r="B565" s="1">
        <v>40932</v>
      </c>
      <c r="C565" t="s">
        <v>28</v>
      </c>
      <c r="D565">
        <v>192</v>
      </c>
      <c r="E565">
        <v>29</v>
      </c>
      <c r="F565">
        <v>3</v>
      </c>
      <c r="G565" t="s">
        <v>27</v>
      </c>
      <c r="H565">
        <v>6</v>
      </c>
      <c r="I565">
        <v>36</v>
      </c>
      <c r="J565">
        <v>0</v>
      </c>
      <c r="K565">
        <v>18</v>
      </c>
      <c r="L565">
        <v>7</v>
      </c>
      <c r="M565">
        <v>14</v>
      </c>
      <c r="N565">
        <v>210</v>
      </c>
      <c r="O565">
        <v>236</v>
      </c>
      <c r="P565">
        <v>0</v>
      </c>
      <c r="Q565">
        <v>4</v>
      </c>
      <c r="R565">
        <v>2</v>
      </c>
      <c r="S565">
        <v>1</v>
      </c>
      <c r="T565">
        <v>0</v>
      </c>
      <c r="U565">
        <v>528</v>
      </c>
      <c r="V565">
        <v>54</v>
      </c>
      <c r="W565">
        <v>238</v>
      </c>
      <c r="X565">
        <v>236</v>
      </c>
    </row>
    <row r="566" spans="1:24" x14ac:dyDescent="0.2">
      <c r="A566">
        <v>565</v>
      </c>
      <c r="B566" s="1">
        <v>40932</v>
      </c>
      <c r="C566" t="s">
        <v>28</v>
      </c>
      <c r="D566">
        <v>192</v>
      </c>
      <c r="E566">
        <v>29</v>
      </c>
      <c r="F566">
        <v>3</v>
      </c>
      <c r="G566" t="s">
        <v>27</v>
      </c>
      <c r="H566">
        <v>7</v>
      </c>
      <c r="I566">
        <v>37</v>
      </c>
      <c r="J566">
        <v>1</v>
      </c>
      <c r="K566">
        <v>10</v>
      </c>
      <c r="L566">
        <v>7</v>
      </c>
      <c r="M566">
        <v>24</v>
      </c>
      <c r="N566">
        <v>218</v>
      </c>
      <c r="O566">
        <v>211</v>
      </c>
      <c r="P566">
        <v>4</v>
      </c>
      <c r="Q566">
        <v>1</v>
      </c>
      <c r="R566">
        <v>2</v>
      </c>
      <c r="S566">
        <v>0</v>
      </c>
      <c r="T566">
        <v>0</v>
      </c>
      <c r="U566">
        <v>515</v>
      </c>
      <c r="V566">
        <v>48</v>
      </c>
      <c r="W566">
        <v>256</v>
      </c>
      <c r="X566">
        <v>211</v>
      </c>
    </row>
    <row r="567" spans="1:24" x14ac:dyDescent="0.2">
      <c r="A567">
        <v>566</v>
      </c>
      <c r="B567" s="1">
        <v>40932</v>
      </c>
      <c r="C567" t="s">
        <v>28</v>
      </c>
      <c r="D567">
        <v>192</v>
      </c>
      <c r="E567">
        <v>29</v>
      </c>
      <c r="F567">
        <v>3</v>
      </c>
      <c r="G567" t="s">
        <v>26</v>
      </c>
      <c r="H567">
        <v>8</v>
      </c>
      <c r="I567">
        <v>34</v>
      </c>
      <c r="J567">
        <v>13</v>
      </c>
      <c r="K567">
        <v>12</v>
      </c>
      <c r="L567">
        <v>3</v>
      </c>
      <c r="M567">
        <v>21</v>
      </c>
      <c r="N567">
        <v>177</v>
      </c>
      <c r="O567">
        <v>169</v>
      </c>
      <c r="P567">
        <v>1</v>
      </c>
      <c r="Q567">
        <v>0</v>
      </c>
      <c r="R567">
        <v>2</v>
      </c>
      <c r="S567">
        <v>0</v>
      </c>
      <c r="T567">
        <v>0</v>
      </c>
      <c r="U567">
        <v>432</v>
      </c>
      <c r="V567">
        <v>59</v>
      </c>
      <c r="W567">
        <v>204</v>
      </c>
      <c r="X567">
        <v>169</v>
      </c>
    </row>
    <row r="568" spans="1:24" x14ac:dyDescent="0.2">
      <c r="A568">
        <v>567</v>
      </c>
      <c r="B568" s="1">
        <v>40932</v>
      </c>
      <c r="C568" t="s">
        <v>28</v>
      </c>
      <c r="D568">
        <v>192</v>
      </c>
      <c r="E568">
        <v>29</v>
      </c>
      <c r="F568">
        <v>3</v>
      </c>
      <c r="G568" t="s">
        <v>27</v>
      </c>
      <c r="H568">
        <v>9</v>
      </c>
      <c r="I568">
        <v>63</v>
      </c>
      <c r="J568">
        <v>0</v>
      </c>
      <c r="K568">
        <v>23</v>
      </c>
      <c r="L568">
        <v>7</v>
      </c>
      <c r="M568">
        <v>28</v>
      </c>
      <c r="N568">
        <v>247</v>
      </c>
      <c r="O568">
        <v>195</v>
      </c>
      <c r="P568">
        <v>2</v>
      </c>
      <c r="Q568">
        <v>3</v>
      </c>
      <c r="R568">
        <v>1</v>
      </c>
      <c r="S568">
        <v>0</v>
      </c>
      <c r="T568">
        <v>0</v>
      </c>
      <c r="U568">
        <v>569</v>
      </c>
      <c r="V568">
        <v>86</v>
      </c>
      <c r="W568">
        <v>288</v>
      </c>
      <c r="X568">
        <v>195</v>
      </c>
    </row>
    <row r="569" spans="1:24" x14ac:dyDescent="0.2">
      <c r="A569">
        <v>568</v>
      </c>
      <c r="B569" s="1">
        <v>40935</v>
      </c>
      <c r="C569" t="s">
        <v>28</v>
      </c>
      <c r="D569">
        <v>195</v>
      </c>
      <c r="E569">
        <v>29</v>
      </c>
      <c r="F569">
        <v>6</v>
      </c>
      <c r="G569" t="s">
        <v>25</v>
      </c>
      <c r="H569">
        <v>1</v>
      </c>
      <c r="I569">
        <v>47</v>
      </c>
      <c r="J569">
        <v>2</v>
      </c>
      <c r="K569">
        <v>12</v>
      </c>
      <c r="L569">
        <v>8</v>
      </c>
      <c r="M569">
        <v>19</v>
      </c>
      <c r="N569">
        <v>185</v>
      </c>
      <c r="O569">
        <v>215</v>
      </c>
      <c r="P569">
        <v>2</v>
      </c>
      <c r="Q569">
        <v>2</v>
      </c>
      <c r="R569">
        <v>4</v>
      </c>
      <c r="S569">
        <v>0</v>
      </c>
      <c r="T569">
        <v>0</v>
      </c>
      <c r="U569">
        <v>496</v>
      </c>
      <c r="V569">
        <v>61</v>
      </c>
      <c r="W569">
        <v>220</v>
      </c>
      <c r="X569">
        <v>215</v>
      </c>
    </row>
    <row r="570" spans="1:24" x14ac:dyDescent="0.2">
      <c r="A570">
        <v>569</v>
      </c>
      <c r="B570" s="1">
        <v>40935</v>
      </c>
      <c r="C570" t="s">
        <v>28</v>
      </c>
      <c r="D570">
        <v>195</v>
      </c>
      <c r="E570">
        <v>29</v>
      </c>
      <c r="F570">
        <v>6</v>
      </c>
      <c r="G570" t="s">
        <v>25</v>
      </c>
      <c r="H570">
        <v>2</v>
      </c>
      <c r="I570">
        <v>38</v>
      </c>
      <c r="J570">
        <v>0</v>
      </c>
      <c r="K570">
        <v>9</v>
      </c>
      <c r="L570">
        <v>9</v>
      </c>
      <c r="M570">
        <v>18</v>
      </c>
      <c r="N570">
        <v>233</v>
      </c>
      <c r="O570">
        <v>190</v>
      </c>
      <c r="P570">
        <v>1</v>
      </c>
      <c r="Q570">
        <v>3</v>
      </c>
      <c r="R570">
        <v>1</v>
      </c>
      <c r="S570">
        <v>2</v>
      </c>
      <c r="T570">
        <v>0</v>
      </c>
      <c r="U570">
        <v>504</v>
      </c>
      <c r="V570">
        <v>47</v>
      </c>
      <c r="W570">
        <v>267</v>
      </c>
      <c r="X570">
        <v>190</v>
      </c>
    </row>
    <row r="571" spans="1:24" x14ac:dyDescent="0.2">
      <c r="A571">
        <v>570</v>
      </c>
      <c r="B571" s="1">
        <v>40935</v>
      </c>
      <c r="C571" t="s">
        <v>28</v>
      </c>
      <c r="D571">
        <v>195</v>
      </c>
      <c r="E571">
        <v>29</v>
      </c>
      <c r="F571">
        <v>6</v>
      </c>
      <c r="G571" t="s">
        <v>26</v>
      </c>
      <c r="H571">
        <v>3</v>
      </c>
      <c r="I571">
        <v>38</v>
      </c>
      <c r="J571">
        <v>0</v>
      </c>
      <c r="K571">
        <v>19</v>
      </c>
      <c r="L571">
        <v>6</v>
      </c>
      <c r="M571">
        <v>26</v>
      </c>
      <c r="N571">
        <v>203</v>
      </c>
      <c r="O571">
        <v>167</v>
      </c>
      <c r="P571">
        <v>3</v>
      </c>
      <c r="Q571">
        <v>5</v>
      </c>
      <c r="R571">
        <v>2</v>
      </c>
      <c r="S571">
        <v>1</v>
      </c>
      <c r="T571">
        <v>0</v>
      </c>
      <c r="U571">
        <v>470</v>
      </c>
      <c r="V571">
        <v>57</v>
      </c>
      <c r="W571">
        <v>246</v>
      </c>
      <c r="X571">
        <v>167</v>
      </c>
    </row>
    <row r="572" spans="1:24" x14ac:dyDescent="0.2">
      <c r="A572">
        <v>571</v>
      </c>
      <c r="B572" s="1">
        <v>40935</v>
      </c>
      <c r="C572" t="s">
        <v>28</v>
      </c>
      <c r="D572">
        <v>195</v>
      </c>
      <c r="E572">
        <v>29</v>
      </c>
      <c r="F572">
        <v>6</v>
      </c>
      <c r="G572" t="s">
        <v>25</v>
      </c>
      <c r="H572">
        <v>4</v>
      </c>
      <c r="I572">
        <v>49</v>
      </c>
      <c r="J572">
        <v>0</v>
      </c>
      <c r="K572">
        <v>11</v>
      </c>
      <c r="L572">
        <v>9</v>
      </c>
      <c r="M572">
        <v>18</v>
      </c>
      <c r="N572">
        <v>151</v>
      </c>
      <c r="O572">
        <v>168</v>
      </c>
      <c r="P572">
        <v>6</v>
      </c>
      <c r="Q572">
        <v>1</v>
      </c>
      <c r="R572">
        <v>1</v>
      </c>
      <c r="S572">
        <v>1</v>
      </c>
      <c r="T572">
        <v>0</v>
      </c>
      <c r="U572">
        <v>415</v>
      </c>
      <c r="V572">
        <v>60</v>
      </c>
      <c r="W572">
        <v>187</v>
      </c>
      <c r="X572">
        <v>168</v>
      </c>
    </row>
    <row r="573" spans="1:24" x14ac:dyDescent="0.2">
      <c r="A573">
        <v>572</v>
      </c>
      <c r="B573" s="1">
        <v>40935</v>
      </c>
      <c r="C573" t="s">
        <v>28</v>
      </c>
      <c r="D573">
        <v>195</v>
      </c>
      <c r="E573">
        <v>29</v>
      </c>
      <c r="F573">
        <v>6</v>
      </c>
      <c r="G573" t="s">
        <v>26</v>
      </c>
      <c r="H573">
        <v>5</v>
      </c>
      <c r="I573">
        <v>45</v>
      </c>
      <c r="J573">
        <v>3</v>
      </c>
      <c r="K573">
        <v>12</v>
      </c>
      <c r="L573">
        <v>2</v>
      </c>
      <c r="M573">
        <v>14</v>
      </c>
      <c r="N573">
        <v>158</v>
      </c>
      <c r="O573">
        <v>184</v>
      </c>
      <c r="P573">
        <v>1</v>
      </c>
      <c r="Q573">
        <v>2</v>
      </c>
      <c r="R573">
        <v>4</v>
      </c>
      <c r="S573">
        <v>0</v>
      </c>
      <c r="T573">
        <v>0</v>
      </c>
      <c r="U573">
        <v>425</v>
      </c>
      <c r="V573">
        <v>60</v>
      </c>
      <c r="W573">
        <v>181</v>
      </c>
      <c r="X573">
        <v>184</v>
      </c>
    </row>
    <row r="574" spans="1:24" x14ac:dyDescent="0.2">
      <c r="A574">
        <v>573</v>
      </c>
      <c r="B574" s="1">
        <v>40935</v>
      </c>
      <c r="C574" t="s">
        <v>28</v>
      </c>
      <c r="D574">
        <v>195</v>
      </c>
      <c r="E574">
        <v>29</v>
      </c>
      <c r="F574">
        <v>6</v>
      </c>
      <c r="G574" t="s">
        <v>27</v>
      </c>
      <c r="H574">
        <v>6</v>
      </c>
      <c r="I574">
        <v>39</v>
      </c>
      <c r="J574">
        <v>0</v>
      </c>
      <c r="K574">
        <v>17</v>
      </c>
      <c r="L574">
        <v>3</v>
      </c>
      <c r="M574">
        <v>15</v>
      </c>
      <c r="N574">
        <v>248</v>
      </c>
      <c r="O574">
        <v>235</v>
      </c>
      <c r="P574">
        <v>1</v>
      </c>
      <c r="Q574">
        <v>3</v>
      </c>
      <c r="R574">
        <v>0</v>
      </c>
      <c r="S574">
        <v>2</v>
      </c>
      <c r="T574">
        <v>0</v>
      </c>
      <c r="U574">
        <v>563</v>
      </c>
      <c r="V574">
        <v>56</v>
      </c>
      <c r="W574">
        <v>272</v>
      </c>
      <c r="X574">
        <v>235</v>
      </c>
    </row>
    <row r="575" spans="1:24" x14ac:dyDescent="0.2">
      <c r="A575">
        <v>574</v>
      </c>
      <c r="B575" s="1">
        <v>40935</v>
      </c>
      <c r="C575" t="s">
        <v>28</v>
      </c>
      <c r="D575">
        <v>195</v>
      </c>
      <c r="E575">
        <v>29</v>
      </c>
      <c r="F575">
        <v>6</v>
      </c>
      <c r="G575" t="s">
        <v>27</v>
      </c>
      <c r="H575">
        <v>7</v>
      </c>
      <c r="I575">
        <v>35</v>
      </c>
      <c r="J575">
        <v>2</v>
      </c>
      <c r="K575">
        <v>12</v>
      </c>
      <c r="L575">
        <v>3</v>
      </c>
      <c r="M575">
        <v>20</v>
      </c>
      <c r="N575">
        <v>233</v>
      </c>
      <c r="O575">
        <v>218</v>
      </c>
      <c r="P575">
        <v>7</v>
      </c>
      <c r="Q575">
        <v>3</v>
      </c>
      <c r="R575">
        <v>2</v>
      </c>
      <c r="S575">
        <v>0</v>
      </c>
      <c r="T575">
        <v>0</v>
      </c>
      <c r="U575">
        <v>535</v>
      </c>
      <c r="V575">
        <v>49</v>
      </c>
      <c r="W575">
        <v>268</v>
      </c>
      <c r="X575">
        <v>218</v>
      </c>
    </row>
    <row r="576" spans="1:24" x14ac:dyDescent="0.2">
      <c r="A576">
        <v>575</v>
      </c>
      <c r="B576" s="1">
        <v>40935</v>
      </c>
      <c r="C576" t="s">
        <v>28</v>
      </c>
      <c r="D576">
        <v>195</v>
      </c>
      <c r="E576">
        <v>29</v>
      </c>
      <c r="F576">
        <v>6</v>
      </c>
      <c r="G576" t="s">
        <v>26</v>
      </c>
      <c r="H576">
        <v>8</v>
      </c>
      <c r="I576">
        <v>32</v>
      </c>
      <c r="J576">
        <v>13</v>
      </c>
      <c r="K576">
        <v>11</v>
      </c>
      <c r="L576">
        <v>7</v>
      </c>
      <c r="M576">
        <v>15</v>
      </c>
      <c r="N576">
        <v>191</v>
      </c>
      <c r="O576">
        <v>188</v>
      </c>
      <c r="P576">
        <v>0</v>
      </c>
      <c r="Q576">
        <v>1</v>
      </c>
      <c r="R576">
        <v>5</v>
      </c>
      <c r="S576">
        <v>0</v>
      </c>
      <c r="T576">
        <v>0</v>
      </c>
      <c r="U576">
        <v>463</v>
      </c>
      <c r="V576">
        <v>56</v>
      </c>
      <c r="W576">
        <v>219</v>
      </c>
      <c r="X576">
        <v>188</v>
      </c>
    </row>
    <row r="577" spans="1:24" x14ac:dyDescent="0.2">
      <c r="A577">
        <v>576</v>
      </c>
      <c r="B577" s="1">
        <v>40935</v>
      </c>
      <c r="C577" t="s">
        <v>28</v>
      </c>
      <c r="D577">
        <v>195</v>
      </c>
      <c r="E577">
        <v>29</v>
      </c>
      <c r="F577">
        <v>6</v>
      </c>
      <c r="G577" t="s">
        <v>27</v>
      </c>
      <c r="H577">
        <v>9</v>
      </c>
      <c r="I577">
        <v>60</v>
      </c>
      <c r="J577">
        <v>0</v>
      </c>
      <c r="K577">
        <v>20</v>
      </c>
      <c r="L577">
        <v>5</v>
      </c>
      <c r="M577">
        <v>24</v>
      </c>
      <c r="N577">
        <v>260</v>
      </c>
      <c r="O577">
        <v>174</v>
      </c>
      <c r="P577">
        <v>3</v>
      </c>
      <c r="Q577">
        <v>0</v>
      </c>
      <c r="R577">
        <v>5</v>
      </c>
      <c r="S577">
        <v>0</v>
      </c>
      <c r="T577">
        <v>0</v>
      </c>
      <c r="U577">
        <v>551</v>
      </c>
      <c r="V577">
        <v>80</v>
      </c>
      <c r="W577">
        <v>297</v>
      </c>
      <c r="X577">
        <v>174</v>
      </c>
    </row>
    <row r="578" spans="1:24" x14ac:dyDescent="0.2">
      <c r="A578">
        <v>577</v>
      </c>
      <c r="B578" s="1">
        <v>40939</v>
      </c>
      <c r="C578" t="s">
        <v>28</v>
      </c>
      <c r="D578">
        <v>199</v>
      </c>
      <c r="E578">
        <v>30</v>
      </c>
      <c r="F578">
        <v>3</v>
      </c>
      <c r="G578" t="s">
        <v>25</v>
      </c>
      <c r="H578">
        <v>1</v>
      </c>
      <c r="I578">
        <v>47</v>
      </c>
      <c r="J578">
        <v>5</v>
      </c>
      <c r="K578">
        <v>9</v>
      </c>
      <c r="L578">
        <v>3</v>
      </c>
      <c r="M578">
        <v>15</v>
      </c>
      <c r="N578">
        <v>240</v>
      </c>
      <c r="O578">
        <v>157</v>
      </c>
      <c r="P578">
        <v>4</v>
      </c>
      <c r="Q578">
        <v>2</v>
      </c>
      <c r="R578">
        <v>4</v>
      </c>
      <c r="S578">
        <v>0</v>
      </c>
      <c r="T578">
        <v>0</v>
      </c>
      <c r="U578">
        <v>486</v>
      </c>
      <c r="V578">
        <v>61</v>
      </c>
      <c r="W578">
        <v>268</v>
      </c>
      <c r="X578">
        <v>157</v>
      </c>
    </row>
    <row r="579" spans="1:24" x14ac:dyDescent="0.2">
      <c r="A579">
        <v>578</v>
      </c>
      <c r="B579" s="1">
        <v>40939</v>
      </c>
      <c r="C579" t="s">
        <v>24</v>
      </c>
      <c r="D579">
        <v>199</v>
      </c>
      <c r="E579">
        <v>30</v>
      </c>
      <c r="F579">
        <v>3</v>
      </c>
      <c r="G579" t="s">
        <v>25</v>
      </c>
      <c r="H579">
        <v>2</v>
      </c>
      <c r="I579">
        <v>36</v>
      </c>
      <c r="J579">
        <v>0</v>
      </c>
      <c r="K579">
        <v>9</v>
      </c>
      <c r="L579">
        <v>5</v>
      </c>
      <c r="M579">
        <v>17</v>
      </c>
      <c r="N579">
        <v>210</v>
      </c>
      <c r="O579">
        <v>204</v>
      </c>
      <c r="P579">
        <v>1</v>
      </c>
      <c r="Q579">
        <v>4</v>
      </c>
      <c r="R579">
        <v>4</v>
      </c>
      <c r="S579">
        <v>1</v>
      </c>
      <c r="T579">
        <v>0</v>
      </c>
      <c r="U579">
        <v>491</v>
      </c>
      <c r="V579">
        <v>45</v>
      </c>
      <c r="W579">
        <v>242</v>
      </c>
      <c r="X579">
        <v>204</v>
      </c>
    </row>
    <row r="580" spans="1:24" x14ac:dyDescent="0.2">
      <c r="A580">
        <v>579</v>
      </c>
      <c r="B580" s="1">
        <v>40939</v>
      </c>
      <c r="C580" t="s">
        <v>28</v>
      </c>
      <c r="D580">
        <v>199</v>
      </c>
      <c r="E580">
        <v>30</v>
      </c>
      <c r="F580">
        <v>3</v>
      </c>
      <c r="G580" t="s">
        <v>26</v>
      </c>
      <c r="H580">
        <v>3</v>
      </c>
      <c r="I580">
        <v>39</v>
      </c>
      <c r="J580">
        <v>0</v>
      </c>
      <c r="K580">
        <v>17</v>
      </c>
      <c r="L580">
        <v>7</v>
      </c>
      <c r="M580">
        <v>21</v>
      </c>
      <c r="N580">
        <v>231</v>
      </c>
      <c r="O580">
        <v>179</v>
      </c>
      <c r="P580">
        <v>3</v>
      </c>
      <c r="Q580">
        <v>5</v>
      </c>
      <c r="R580">
        <v>2</v>
      </c>
      <c r="S580">
        <v>1</v>
      </c>
      <c r="T580">
        <v>0</v>
      </c>
      <c r="U580">
        <v>505</v>
      </c>
      <c r="V580">
        <v>56</v>
      </c>
      <c r="W580">
        <v>270</v>
      </c>
      <c r="X580">
        <v>179</v>
      </c>
    </row>
    <row r="581" spans="1:24" x14ac:dyDescent="0.2">
      <c r="A581">
        <v>580</v>
      </c>
      <c r="B581" s="1">
        <v>40939</v>
      </c>
      <c r="C581" t="s">
        <v>24</v>
      </c>
      <c r="D581">
        <v>199</v>
      </c>
      <c r="E581">
        <v>30</v>
      </c>
      <c r="F581">
        <v>3</v>
      </c>
      <c r="G581" t="s">
        <v>25</v>
      </c>
      <c r="H581">
        <v>4</v>
      </c>
      <c r="I581">
        <v>48</v>
      </c>
      <c r="J581">
        <v>0</v>
      </c>
      <c r="K581">
        <v>9</v>
      </c>
      <c r="L581">
        <v>8</v>
      </c>
      <c r="M581">
        <v>25</v>
      </c>
      <c r="N581">
        <v>154</v>
      </c>
      <c r="O581">
        <v>165</v>
      </c>
      <c r="P581">
        <v>3</v>
      </c>
      <c r="Q581">
        <v>2</v>
      </c>
      <c r="R581">
        <v>3</v>
      </c>
      <c r="S581">
        <v>1</v>
      </c>
      <c r="T581">
        <v>0</v>
      </c>
      <c r="U581">
        <v>418</v>
      </c>
      <c r="V581">
        <v>57</v>
      </c>
      <c r="W581">
        <v>196</v>
      </c>
      <c r="X581">
        <v>165</v>
      </c>
    </row>
    <row r="582" spans="1:24" x14ac:dyDescent="0.2">
      <c r="A582">
        <v>581</v>
      </c>
      <c r="B582" s="1">
        <v>40939</v>
      </c>
      <c r="C582" t="s">
        <v>28</v>
      </c>
      <c r="D582">
        <v>199</v>
      </c>
      <c r="E582">
        <v>30</v>
      </c>
      <c r="F582">
        <v>3</v>
      </c>
      <c r="G582" t="s">
        <v>26</v>
      </c>
      <c r="H582">
        <v>5</v>
      </c>
      <c r="I582">
        <v>42</v>
      </c>
      <c r="J582">
        <v>3</v>
      </c>
      <c r="K582">
        <v>10</v>
      </c>
      <c r="L582">
        <v>4</v>
      </c>
      <c r="M582">
        <v>17</v>
      </c>
      <c r="N582">
        <v>185</v>
      </c>
      <c r="O582">
        <v>191</v>
      </c>
      <c r="P582">
        <v>2</v>
      </c>
      <c r="Q582">
        <v>1</v>
      </c>
      <c r="R582">
        <v>1</v>
      </c>
      <c r="S582">
        <v>0</v>
      </c>
      <c r="T582">
        <v>0</v>
      </c>
      <c r="U582">
        <v>456</v>
      </c>
      <c r="V582">
        <v>55</v>
      </c>
      <c r="W582">
        <v>210</v>
      </c>
      <c r="X582">
        <v>191</v>
      </c>
    </row>
    <row r="583" spans="1:24" x14ac:dyDescent="0.2">
      <c r="A583">
        <v>582</v>
      </c>
      <c r="B583" s="1">
        <v>40939</v>
      </c>
      <c r="C583" t="s">
        <v>24</v>
      </c>
      <c r="D583">
        <v>199</v>
      </c>
      <c r="E583">
        <v>30</v>
      </c>
      <c r="F583">
        <v>3</v>
      </c>
      <c r="G583" t="s">
        <v>27</v>
      </c>
      <c r="H583">
        <v>6</v>
      </c>
      <c r="I583">
        <v>43</v>
      </c>
      <c r="J583">
        <v>0</v>
      </c>
      <c r="K583">
        <v>14</v>
      </c>
      <c r="L583">
        <v>4</v>
      </c>
      <c r="M583">
        <v>21</v>
      </c>
      <c r="N583">
        <v>211</v>
      </c>
      <c r="O583">
        <v>228</v>
      </c>
      <c r="P583">
        <v>2</v>
      </c>
      <c r="Q583">
        <v>2</v>
      </c>
      <c r="R583">
        <v>4</v>
      </c>
      <c r="S583">
        <v>0</v>
      </c>
      <c r="T583">
        <v>0</v>
      </c>
      <c r="U583">
        <v>529</v>
      </c>
      <c r="V583">
        <v>57</v>
      </c>
      <c r="W583">
        <v>244</v>
      </c>
      <c r="X583">
        <v>228</v>
      </c>
    </row>
    <row r="584" spans="1:24" x14ac:dyDescent="0.2">
      <c r="A584">
        <v>583</v>
      </c>
      <c r="B584" s="1">
        <v>40939</v>
      </c>
      <c r="C584" t="s">
        <v>24</v>
      </c>
      <c r="D584">
        <v>199</v>
      </c>
      <c r="E584">
        <v>30</v>
      </c>
      <c r="F584">
        <v>3</v>
      </c>
      <c r="G584" t="s">
        <v>27</v>
      </c>
      <c r="H584">
        <v>7</v>
      </c>
      <c r="I584">
        <v>41</v>
      </c>
      <c r="J584">
        <v>3</v>
      </c>
      <c r="K584">
        <v>8</v>
      </c>
      <c r="L584">
        <v>3</v>
      </c>
      <c r="M584">
        <v>22</v>
      </c>
      <c r="N584">
        <v>207</v>
      </c>
      <c r="O584">
        <v>174</v>
      </c>
      <c r="P584">
        <v>4</v>
      </c>
      <c r="Q584">
        <v>1</v>
      </c>
      <c r="R584">
        <v>3</v>
      </c>
      <c r="S584">
        <v>0</v>
      </c>
      <c r="T584">
        <v>0</v>
      </c>
      <c r="U584">
        <v>466</v>
      </c>
      <c r="V584">
        <v>52</v>
      </c>
      <c r="W584">
        <v>240</v>
      </c>
      <c r="X584">
        <v>174</v>
      </c>
    </row>
    <row r="585" spans="1:24" x14ac:dyDescent="0.2">
      <c r="A585">
        <v>584</v>
      </c>
      <c r="B585" s="1">
        <v>40939</v>
      </c>
      <c r="C585" t="s">
        <v>24</v>
      </c>
      <c r="D585">
        <v>199</v>
      </c>
      <c r="E585">
        <v>30</v>
      </c>
      <c r="F585">
        <v>3</v>
      </c>
      <c r="G585" t="s">
        <v>26</v>
      </c>
      <c r="H585">
        <v>8</v>
      </c>
      <c r="I585">
        <v>34</v>
      </c>
      <c r="J585">
        <v>11</v>
      </c>
      <c r="K585">
        <v>11</v>
      </c>
      <c r="L585">
        <v>3</v>
      </c>
      <c r="M585">
        <v>20</v>
      </c>
      <c r="N585">
        <v>177</v>
      </c>
      <c r="O585">
        <v>153</v>
      </c>
      <c r="P585">
        <v>3</v>
      </c>
      <c r="Q585">
        <v>0</v>
      </c>
      <c r="R585">
        <v>1</v>
      </c>
      <c r="S585">
        <v>1</v>
      </c>
      <c r="T585">
        <v>0</v>
      </c>
      <c r="U585">
        <v>414</v>
      </c>
      <c r="V585">
        <v>56</v>
      </c>
      <c r="W585">
        <v>205</v>
      </c>
      <c r="X585">
        <v>153</v>
      </c>
    </row>
    <row r="586" spans="1:24" x14ac:dyDescent="0.2">
      <c r="A586">
        <v>585</v>
      </c>
      <c r="B586" s="1">
        <v>40939</v>
      </c>
      <c r="C586" t="s">
        <v>28</v>
      </c>
      <c r="D586">
        <v>199</v>
      </c>
      <c r="E586">
        <v>30</v>
      </c>
      <c r="F586">
        <v>3</v>
      </c>
      <c r="G586" t="s">
        <v>27</v>
      </c>
      <c r="H586">
        <v>9</v>
      </c>
      <c r="I586">
        <v>61</v>
      </c>
      <c r="J586">
        <v>0</v>
      </c>
      <c r="K586">
        <v>20</v>
      </c>
      <c r="L586">
        <v>7</v>
      </c>
      <c r="M586">
        <v>24</v>
      </c>
      <c r="N586">
        <v>288</v>
      </c>
      <c r="O586">
        <v>196</v>
      </c>
      <c r="P586">
        <v>3</v>
      </c>
      <c r="Q586">
        <v>3</v>
      </c>
      <c r="R586">
        <v>1</v>
      </c>
      <c r="S586">
        <v>0</v>
      </c>
      <c r="T586">
        <v>0</v>
      </c>
      <c r="U586">
        <v>603</v>
      </c>
      <c r="V586">
        <v>81</v>
      </c>
      <c r="W586">
        <v>326</v>
      </c>
      <c r="X586">
        <v>196</v>
      </c>
    </row>
    <row r="587" spans="1:24" x14ac:dyDescent="0.2">
      <c r="A587">
        <v>586</v>
      </c>
      <c r="B587" s="1">
        <v>40942</v>
      </c>
      <c r="C587" t="s">
        <v>24</v>
      </c>
      <c r="D587">
        <v>201</v>
      </c>
      <c r="E587">
        <v>30</v>
      </c>
      <c r="F587">
        <v>6</v>
      </c>
      <c r="G587" t="s">
        <v>25</v>
      </c>
      <c r="H587">
        <v>1</v>
      </c>
      <c r="I587">
        <v>40</v>
      </c>
      <c r="J587">
        <v>6</v>
      </c>
      <c r="K587">
        <v>8</v>
      </c>
      <c r="L587">
        <v>4</v>
      </c>
      <c r="M587">
        <v>17</v>
      </c>
      <c r="N587">
        <v>270</v>
      </c>
      <c r="O587">
        <v>175</v>
      </c>
      <c r="P587">
        <v>1</v>
      </c>
      <c r="Q587">
        <v>0</v>
      </c>
      <c r="R587">
        <v>4</v>
      </c>
      <c r="S587">
        <v>0</v>
      </c>
      <c r="T587">
        <v>0</v>
      </c>
      <c r="U587">
        <v>525</v>
      </c>
      <c r="V587">
        <v>54</v>
      </c>
      <c r="W587">
        <v>296</v>
      </c>
      <c r="X587">
        <v>175</v>
      </c>
    </row>
    <row r="588" spans="1:24" x14ac:dyDescent="0.2">
      <c r="A588">
        <v>587</v>
      </c>
      <c r="B588" s="1">
        <v>40942</v>
      </c>
      <c r="C588" t="s">
        <v>24</v>
      </c>
      <c r="D588">
        <v>201</v>
      </c>
      <c r="E588">
        <v>30</v>
      </c>
      <c r="F588">
        <v>6</v>
      </c>
      <c r="G588" t="s">
        <v>25</v>
      </c>
      <c r="H588">
        <v>2</v>
      </c>
      <c r="I588">
        <v>31</v>
      </c>
      <c r="J588">
        <v>0</v>
      </c>
      <c r="K588">
        <v>10</v>
      </c>
      <c r="L588">
        <v>5</v>
      </c>
      <c r="M588">
        <v>21</v>
      </c>
      <c r="N588">
        <v>202</v>
      </c>
      <c r="O588">
        <v>174</v>
      </c>
      <c r="P588">
        <v>4</v>
      </c>
      <c r="Q588">
        <v>2</v>
      </c>
      <c r="R588">
        <v>2</v>
      </c>
      <c r="S588">
        <v>0</v>
      </c>
      <c r="T588">
        <v>0</v>
      </c>
      <c r="U588">
        <v>451</v>
      </c>
      <c r="V588">
        <v>41</v>
      </c>
      <c r="W588">
        <v>236</v>
      </c>
      <c r="X588">
        <v>174</v>
      </c>
    </row>
    <row r="589" spans="1:24" x14ac:dyDescent="0.2">
      <c r="A589">
        <v>588</v>
      </c>
      <c r="B589" s="1">
        <v>40942</v>
      </c>
      <c r="C589" t="s">
        <v>28</v>
      </c>
      <c r="D589">
        <v>201</v>
      </c>
      <c r="E589">
        <v>30</v>
      </c>
      <c r="F589">
        <v>6</v>
      </c>
      <c r="G589" t="s">
        <v>26</v>
      </c>
      <c r="H589">
        <v>3</v>
      </c>
      <c r="I589">
        <v>41</v>
      </c>
      <c r="J589">
        <v>0</v>
      </c>
      <c r="K589">
        <v>20</v>
      </c>
      <c r="L589">
        <v>12</v>
      </c>
      <c r="M589">
        <v>23</v>
      </c>
      <c r="N589">
        <v>224</v>
      </c>
      <c r="O589">
        <v>201</v>
      </c>
      <c r="P589">
        <v>6</v>
      </c>
      <c r="Q589">
        <v>1</v>
      </c>
      <c r="R589">
        <v>2</v>
      </c>
      <c r="S589">
        <v>1</v>
      </c>
      <c r="T589">
        <v>0</v>
      </c>
      <c r="U589">
        <v>531</v>
      </c>
      <c r="V589">
        <v>61</v>
      </c>
      <c r="W589">
        <v>269</v>
      </c>
      <c r="X589">
        <v>201</v>
      </c>
    </row>
    <row r="590" spans="1:24" x14ac:dyDescent="0.2">
      <c r="A590">
        <v>589</v>
      </c>
      <c r="B590" s="1">
        <v>40942</v>
      </c>
      <c r="C590" t="s">
        <v>24</v>
      </c>
      <c r="D590">
        <v>201</v>
      </c>
      <c r="E590">
        <v>30</v>
      </c>
      <c r="F590">
        <v>6</v>
      </c>
      <c r="G590" t="s">
        <v>25</v>
      </c>
      <c r="H590">
        <v>4</v>
      </c>
      <c r="I590">
        <v>56</v>
      </c>
      <c r="J590">
        <v>1</v>
      </c>
      <c r="K590">
        <v>10</v>
      </c>
      <c r="L590">
        <v>5</v>
      </c>
      <c r="M590">
        <v>20</v>
      </c>
      <c r="N590">
        <v>189</v>
      </c>
      <c r="O590">
        <v>145</v>
      </c>
      <c r="P590">
        <v>3</v>
      </c>
      <c r="Q590">
        <v>2</v>
      </c>
      <c r="R590">
        <v>3</v>
      </c>
      <c r="S590">
        <v>1</v>
      </c>
      <c r="T590">
        <v>0</v>
      </c>
      <c r="U590">
        <v>435</v>
      </c>
      <c r="V590">
        <v>67</v>
      </c>
      <c r="W590">
        <v>223</v>
      </c>
      <c r="X590">
        <v>145</v>
      </c>
    </row>
    <row r="591" spans="1:24" x14ac:dyDescent="0.2">
      <c r="A591">
        <v>590</v>
      </c>
      <c r="B591" s="1">
        <v>40942</v>
      </c>
      <c r="C591" t="s">
        <v>28</v>
      </c>
      <c r="D591">
        <v>201</v>
      </c>
      <c r="E591">
        <v>30</v>
      </c>
      <c r="F591">
        <v>6</v>
      </c>
      <c r="G591" t="s">
        <v>26</v>
      </c>
      <c r="H591">
        <v>5</v>
      </c>
      <c r="I591">
        <v>39</v>
      </c>
      <c r="J591">
        <v>6</v>
      </c>
      <c r="K591">
        <v>8</v>
      </c>
      <c r="L591">
        <v>2</v>
      </c>
      <c r="M591">
        <v>17</v>
      </c>
      <c r="N591">
        <v>209</v>
      </c>
      <c r="O591">
        <v>178</v>
      </c>
      <c r="P591">
        <v>0</v>
      </c>
      <c r="Q591">
        <v>5</v>
      </c>
      <c r="R591">
        <v>2</v>
      </c>
      <c r="S591">
        <v>0</v>
      </c>
      <c r="T591">
        <v>0</v>
      </c>
      <c r="U591">
        <v>466</v>
      </c>
      <c r="V591">
        <v>53</v>
      </c>
      <c r="W591">
        <v>235</v>
      </c>
      <c r="X591">
        <v>178</v>
      </c>
    </row>
    <row r="592" spans="1:24" x14ac:dyDescent="0.2">
      <c r="A592">
        <v>591</v>
      </c>
      <c r="B592" s="1">
        <v>40942</v>
      </c>
      <c r="C592" t="s">
        <v>28</v>
      </c>
      <c r="D592">
        <v>201</v>
      </c>
      <c r="E592">
        <v>30</v>
      </c>
      <c r="F592">
        <v>6</v>
      </c>
      <c r="G592" t="s">
        <v>27</v>
      </c>
      <c r="H592">
        <v>6</v>
      </c>
      <c r="I592">
        <v>37</v>
      </c>
      <c r="J592">
        <v>0</v>
      </c>
      <c r="K592">
        <v>18</v>
      </c>
      <c r="L592">
        <v>8</v>
      </c>
      <c r="M592">
        <v>19</v>
      </c>
      <c r="N592">
        <v>258</v>
      </c>
      <c r="O592">
        <v>243</v>
      </c>
      <c r="P592">
        <v>1</v>
      </c>
      <c r="Q592">
        <v>1</v>
      </c>
      <c r="R592">
        <v>1</v>
      </c>
      <c r="S592">
        <v>0</v>
      </c>
      <c r="T592">
        <v>0</v>
      </c>
      <c r="U592">
        <v>586</v>
      </c>
      <c r="V592">
        <v>55</v>
      </c>
      <c r="W592">
        <v>288</v>
      </c>
      <c r="X592">
        <v>243</v>
      </c>
    </row>
    <row r="593" spans="1:24" x14ac:dyDescent="0.2">
      <c r="A593">
        <v>592</v>
      </c>
      <c r="B593" s="1">
        <v>40942</v>
      </c>
      <c r="C593" t="s">
        <v>24</v>
      </c>
      <c r="D593">
        <v>201</v>
      </c>
      <c r="E593">
        <v>30</v>
      </c>
      <c r="F593">
        <v>6</v>
      </c>
      <c r="G593" t="s">
        <v>27</v>
      </c>
      <c r="H593">
        <v>7</v>
      </c>
      <c r="I593">
        <v>38</v>
      </c>
      <c r="J593">
        <v>3</v>
      </c>
      <c r="K593">
        <v>7</v>
      </c>
      <c r="L593">
        <v>4</v>
      </c>
      <c r="M593">
        <v>28</v>
      </c>
      <c r="N593">
        <v>195</v>
      </c>
      <c r="O593">
        <v>165</v>
      </c>
      <c r="P593">
        <v>3</v>
      </c>
      <c r="Q593">
        <v>2</v>
      </c>
      <c r="R593">
        <v>2</v>
      </c>
      <c r="S593">
        <v>1</v>
      </c>
      <c r="T593">
        <v>0</v>
      </c>
      <c r="U593">
        <v>448</v>
      </c>
      <c r="V593">
        <v>48</v>
      </c>
      <c r="W593">
        <v>235</v>
      </c>
      <c r="X593">
        <v>165</v>
      </c>
    </row>
    <row r="594" spans="1:24" x14ac:dyDescent="0.2">
      <c r="A594">
        <v>593</v>
      </c>
      <c r="B594" s="1">
        <v>40942</v>
      </c>
      <c r="C594" t="s">
        <v>28</v>
      </c>
      <c r="D594">
        <v>201</v>
      </c>
      <c r="E594">
        <v>30</v>
      </c>
      <c r="F594">
        <v>6</v>
      </c>
      <c r="G594" t="s">
        <v>26</v>
      </c>
      <c r="H594">
        <v>8</v>
      </c>
      <c r="I594">
        <v>37</v>
      </c>
      <c r="J594">
        <v>12</v>
      </c>
      <c r="K594">
        <v>13</v>
      </c>
      <c r="L594">
        <v>6</v>
      </c>
      <c r="M594">
        <v>20</v>
      </c>
      <c r="N594">
        <v>165</v>
      </c>
      <c r="O594">
        <v>129</v>
      </c>
      <c r="P594">
        <v>1</v>
      </c>
      <c r="Q594">
        <v>1</v>
      </c>
      <c r="R594">
        <v>0</v>
      </c>
      <c r="S594">
        <v>1</v>
      </c>
      <c r="T594">
        <v>0</v>
      </c>
      <c r="U594">
        <v>385</v>
      </c>
      <c r="V594">
        <v>62</v>
      </c>
      <c r="W594">
        <v>194</v>
      </c>
      <c r="X594">
        <v>129</v>
      </c>
    </row>
    <row r="595" spans="1:24" x14ac:dyDescent="0.2">
      <c r="A595">
        <v>594</v>
      </c>
      <c r="B595" s="1">
        <v>40942</v>
      </c>
      <c r="C595" t="s">
        <v>24</v>
      </c>
      <c r="D595">
        <v>201</v>
      </c>
      <c r="E595">
        <v>30</v>
      </c>
      <c r="F595">
        <v>6</v>
      </c>
      <c r="G595" t="s">
        <v>27</v>
      </c>
      <c r="H595">
        <v>9</v>
      </c>
      <c r="I595">
        <v>62</v>
      </c>
      <c r="J595">
        <v>2</v>
      </c>
      <c r="K595">
        <v>15</v>
      </c>
      <c r="L595">
        <v>5</v>
      </c>
      <c r="M595">
        <v>27</v>
      </c>
      <c r="N595">
        <v>253</v>
      </c>
      <c r="O595">
        <v>158</v>
      </c>
      <c r="P595">
        <v>1</v>
      </c>
      <c r="Q595">
        <v>4</v>
      </c>
      <c r="R595">
        <v>2</v>
      </c>
      <c r="S595">
        <v>0</v>
      </c>
      <c r="T595">
        <v>0</v>
      </c>
      <c r="U595">
        <v>529</v>
      </c>
      <c r="V595">
        <v>79</v>
      </c>
      <c r="W595">
        <v>292</v>
      </c>
      <c r="X595">
        <v>158</v>
      </c>
    </row>
    <row r="596" spans="1:24" x14ac:dyDescent="0.2">
      <c r="A596">
        <v>595</v>
      </c>
      <c r="B596" s="1">
        <v>40946</v>
      </c>
      <c r="C596" t="s">
        <v>28</v>
      </c>
      <c r="D596">
        <v>205</v>
      </c>
      <c r="E596">
        <v>31</v>
      </c>
      <c r="F596">
        <v>3</v>
      </c>
      <c r="G596" t="s">
        <v>25</v>
      </c>
      <c r="H596">
        <v>1</v>
      </c>
      <c r="I596">
        <v>38</v>
      </c>
      <c r="J596">
        <v>6</v>
      </c>
      <c r="K596">
        <v>4</v>
      </c>
      <c r="L596">
        <v>5</v>
      </c>
      <c r="M596">
        <v>20</v>
      </c>
      <c r="N596">
        <v>255</v>
      </c>
      <c r="O596">
        <v>198</v>
      </c>
      <c r="P596">
        <v>2</v>
      </c>
      <c r="Q596">
        <v>2</v>
      </c>
      <c r="R596">
        <v>4</v>
      </c>
      <c r="S596">
        <v>0</v>
      </c>
      <c r="T596">
        <v>0</v>
      </c>
      <c r="U596">
        <v>534</v>
      </c>
      <c r="V596">
        <v>48</v>
      </c>
      <c r="W596">
        <v>288</v>
      </c>
      <c r="X596">
        <v>198</v>
      </c>
    </row>
    <row r="597" spans="1:24" x14ac:dyDescent="0.2">
      <c r="A597">
        <v>596</v>
      </c>
      <c r="B597" s="1">
        <v>40946</v>
      </c>
      <c r="C597" t="s">
        <v>24</v>
      </c>
      <c r="D597">
        <v>205</v>
      </c>
      <c r="E597">
        <v>31</v>
      </c>
      <c r="F597">
        <v>3</v>
      </c>
      <c r="G597" t="s">
        <v>25</v>
      </c>
      <c r="H597">
        <v>2</v>
      </c>
      <c r="I597">
        <v>41</v>
      </c>
      <c r="J597">
        <v>0</v>
      </c>
      <c r="K597">
        <v>9</v>
      </c>
      <c r="L597">
        <v>6</v>
      </c>
      <c r="M597">
        <v>15</v>
      </c>
      <c r="N597">
        <v>180</v>
      </c>
      <c r="O597">
        <v>199</v>
      </c>
      <c r="P597">
        <v>3</v>
      </c>
      <c r="Q597">
        <v>2</v>
      </c>
      <c r="R597">
        <v>5</v>
      </c>
      <c r="S597">
        <v>1</v>
      </c>
      <c r="T597">
        <v>0</v>
      </c>
      <c r="U597">
        <v>461</v>
      </c>
      <c r="V597">
        <v>50</v>
      </c>
      <c r="W597">
        <v>212</v>
      </c>
      <c r="X597">
        <v>199</v>
      </c>
    </row>
    <row r="598" spans="1:24" x14ac:dyDescent="0.2">
      <c r="A598">
        <v>597</v>
      </c>
      <c r="B598" s="1">
        <v>40946</v>
      </c>
      <c r="C598" t="s">
        <v>24</v>
      </c>
      <c r="D598">
        <v>205</v>
      </c>
      <c r="E598">
        <v>31</v>
      </c>
      <c r="F598">
        <v>3</v>
      </c>
      <c r="G598" t="s">
        <v>26</v>
      </c>
      <c r="H598">
        <v>3</v>
      </c>
      <c r="I598">
        <v>38</v>
      </c>
      <c r="J598">
        <v>0</v>
      </c>
      <c r="K598">
        <v>15</v>
      </c>
      <c r="L598">
        <v>4</v>
      </c>
      <c r="M598">
        <v>22</v>
      </c>
      <c r="N598">
        <v>178</v>
      </c>
      <c r="O598">
        <v>161</v>
      </c>
      <c r="P598">
        <v>3</v>
      </c>
      <c r="Q598">
        <v>2</v>
      </c>
      <c r="R598">
        <v>5</v>
      </c>
      <c r="S598">
        <v>0</v>
      </c>
      <c r="T598">
        <v>0</v>
      </c>
      <c r="U598">
        <v>428</v>
      </c>
      <c r="V598">
        <v>53</v>
      </c>
      <c r="W598">
        <v>214</v>
      </c>
      <c r="X598">
        <v>161</v>
      </c>
    </row>
    <row r="599" spans="1:24" x14ac:dyDescent="0.2">
      <c r="A599">
        <v>598</v>
      </c>
      <c r="B599" s="1">
        <v>40946</v>
      </c>
      <c r="C599" t="s">
        <v>28</v>
      </c>
      <c r="D599">
        <v>205</v>
      </c>
      <c r="E599">
        <v>31</v>
      </c>
      <c r="F599">
        <v>3</v>
      </c>
      <c r="G599" t="s">
        <v>25</v>
      </c>
      <c r="H599">
        <v>4</v>
      </c>
      <c r="I599">
        <v>53</v>
      </c>
      <c r="J599">
        <v>0</v>
      </c>
      <c r="K599">
        <v>9</v>
      </c>
      <c r="L599">
        <v>9</v>
      </c>
      <c r="M599">
        <v>24</v>
      </c>
      <c r="N599">
        <v>175</v>
      </c>
      <c r="O599">
        <v>182</v>
      </c>
      <c r="P599">
        <v>0</v>
      </c>
      <c r="Q599">
        <v>1</v>
      </c>
      <c r="R599">
        <v>2</v>
      </c>
      <c r="S599">
        <v>1</v>
      </c>
      <c r="T599">
        <v>0</v>
      </c>
      <c r="U599">
        <v>456</v>
      </c>
      <c r="V599">
        <v>62</v>
      </c>
      <c r="W599">
        <v>212</v>
      </c>
      <c r="X599">
        <v>182</v>
      </c>
    </row>
    <row r="600" spans="1:24" x14ac:dyDescent="0.2">
      <c r="A600">
        <v>599</v>
      </c>
      <c r="B600" s="1">
        <v>40946</v>
      </c>
      <c r="C600" t="s">
        <v>24</v>
      </c>
      <c r="D600">
        <v>205</v>
      </c>
      <c r="E600">
        <v>31</v>
      </c>
      <c r="F600">
        <v>3</v>
      </c>
      <c r="G600" t="s">
        <v>26</v>
      </c>
      <c r="H600">
        <v>5</v>
      </c>
      <c r="I600">
        <v>33</v>
      </c>
      <c r="J600">
        <v>5</v>
      </c>
      <c r="K600">
        <v>7</v>
      </c>
      <c r="L600">
        <v>5</v>
      </c>
      <c r="M600">
        <v>20</v>
      </c>
      <c r="N600">
        <v>236</v>
      </c>
      <c r="O600">
        <v>151</v>
      </c>
      <c r="P600">
        <v>1</v>
      </c>
      <c r="Q600">
        <v>0</v>
      </c>
      <c r="R600">
        <v>4</v>
      </c>
      <c r="S600">
        <v>0</v>
      </c>
      <c r="T600">
        <v>0</v>
      </c>
      <c r="U600">
        <v>462</v>
      </c>
      <c r="V600">
        <v>45</v>
      </c>
      <c r="W600">
        <v>266</v>
      </c>
      <c r="X600">
        <v>151</v>
      </c>
    </row>
    <row r="601" spans="1:24" x14ac:dyDescent="0.2">
      <c r="A601">
        <v>600</v>
      </c>
      <c r="B601" s="1">
        <v>40946</v>
      </c>
      <c r="C601" t="s">
        <v>24</v>
      </c>
      <c r="D601">
        <v>205</v>
      </c>
      <c r="E601">
        <v>31</v>
      </c>
      <c r="F601">
        <v>3</v>
      </c>
      <c r="G601" t="s">
        <v>27</v>
      </c>
      <c r="H601">
        <v>6</v>
      </c>
      <c r="I601">
        <v>39</v>
      </c>
      <c r="J601">
        <v>0</v>
      </c>
      <c r="K601">
        <v>16</v>
      </c>
      <c r="L601">
        <v>3</v>
      </c>
      <c r="M601">
        <v>19</v>
      </c>
      <c r="N601">
        <v>212</v>
      </c>
      <c r="O601">
        <v>203</v>
      </c>
      <c r="P601">
        <v>1</v>
      </c>
      <c r="Q601">
        <v>0</v>
      </c>
      <c r="R601">
        <v>2</v>
      </c>
      <c r="S601">
        <v>0</v>
      </c>
      <c r="T601">
        <v>0</v>
      </c>
      <c r="U601">
        <v>495</v>
      </c>
      <c r="V601">
        <v>55</v>
      </c>
      <c r="W601">
        <v>237</v>
      </c>
      <c r="X601">
        <v>203</v>
      </c>
    </row>
    <row r="602" spans="1:24" x14ac:dyDescent="0.2">
      <c r="A602">
        <v>601</v>
      </c>
      <c r="B602" s="1">
        <v>40946</v>
      </c>
      <c r="C602" t="s">
        <v>28</v>
      </c>
      <c r="D602">
        <v>205</v>
      </c>
      <c r="E602">
        <v>31</v>
      </c>
      <c r="F602">
        <v>3</v>
      </c>
      <c r="G602" t="s">
        <v>27</v>
      </c>
      <c r="H602">
        <v>7</v>
      </c>
      <c r="I602">
        <v>37</v>
      </c>
      <c r="J602">
        <v>5</v>
      </c>
      <c r="K602">
        <v>8</v>
      </c>
      <c r="L602">
        <v>3</v>
      </c>
      <c r="M602">
        <v>19</v>
      </c>
      <c r="N602">
        <v>180</v>
      </c>
      <c r="O602">
        <v>214</v>
      </c>
      <c r="P602">
        <v>5</v>
      </c>
      <c r="Q602">
        <v>2</v>
      </c>
      <c r="R602">
        <v>0</v>
      </c>
      <c r="S602">
        <v>0</v>
      </c>
      <c r="T602">
        <v>0</v>
      </c>
      <c r="U602">
        <v>473</v>
      </c>
      <c r="V602">
        <v>50</v>
      </c>
      <c r="W602">
        <v>209</v>
      </c>
      <c r="X602">
        <v>214</v>
      </c>
    </row>
    <row r="603" spans="1:24" x14ac:dyDescent="0.2">
      <c r="A603">
        <v>602</v>
      </c>
      <c r="B603" s="1">
        <v>40946</v>
      </c>
      <c r="C603" t="s">
        <v>28</v>
      </c>
      <c r="D603">
        <v>205</v>
      </c>
      <c r="E603">
        <v>31</v>
      </c>
      <c r="F603">
        <v>3</v>
      </c>
      <c r="G603" t="s">
        <v>26</v>
      </c>
      <c r="H603">
        <v>8</v>
      </c>
      <c r="I603">
        <v>38</v>
      </c>
      <c r="J603">
        <v>11</v>
      </c>
      <c r="K603">
        <v>11</v>
      </c>
      <c r="L603">
        <v>3</v>
      </c>
      <c r="M603">
        <v>22</v>
      </c>
      <c r="N603">
        <v>161</v>
      </c>
      <c r="O603">
        <v>145</v>
      </c>
      <c r="P603">
        <v>2</v>
      </c>
      <c r="Q603">
        <v>2</v>
      </c>
      <c r="R603">
        <v>3</v>
      </c>
      <c r="S603">
        <v>1</v>
      </c>
      <c r="T603">
        <v>0</v>
      </c>
      <c r="U603">
        <v>399</v>
      </c>
      <c r="V603">
        <v>60</v>
      </c>
      <c r="W603">
        <v>194</v>
      </c>
      <c r="X603">
        <v>145</v>
      </c>
    </row>
    <row r="604" spans="1:24" x14ac:dyDescent="0.2">
      <c r="A604">
        <v>603</v>
      </c>
      <c r="B604" s="1">
        <v>40946</v>
      </c>
      <c r="C604" t="s">
        <v>24</v>
      </c>
      <c r="D604">
        <v>205</v>
      </c>
      <c r="E604">
        <v>31</v>
      </c>
      <c r="F604">
        <v>3</v>
      </c>
      <c r="G604" t="s">
        <v>27</v>
      </c>
      <c r="H604">
        <v>9</v>
      </c>
      <c r="I604">
        <v>58</v>
      </c>
      <c r="J604">
        <v>2</v>
      </c>
      <c r="K604">
        <v>13</v>
      </c>
      <c r="L604">
        <v>4</v>
      </c>
      <c r="M604">
        <v>22</v>
      </c>
      <c r="N604">
        <v>260</v>
      </c>
      <c r="O604">
        <v>145</v>
      </c>
      <c r="P604">
        <v>6</v>
      </c>
      <c r="Q604">
        <v>1</v>
      </c>
      <c r="R604">
        <v>3</v>
      </c>
      <c r="S604">
        <v>0</v>
      </c>
      <c r="T604">
        <v>0</v>
      </c>
      <c r="U604">
        <v>514</v>
      </c>
      <c r="V604">
        <v>73</v>
      </c>
      <c r="W604">
        <v>296</v>
      </c>
      <c r="X604">
        <v>145</v>
      </c>
    </row>
    <row r="605" spans="1:24" x14ac:dyDescent="0.2">
      <c r="A605">
        <v>604</v>
      </c>
      <c r="B605" s="1">
        <v>40949</v>
      </c>
      <c r="C605" t="s">
        <v>28</v>
      </c>
      <c r="D605">
        <v>208</v>
      </c>
      <c r="E605">
        <v>31</v>
      </c>
      <c r="F605">
        <v>6</v>
      </c>
      <c r="G605" t="s">
        <v>25</v>
      </c>
      <c r="H605">
        <v>1</v>
      </c>
      <c r="I605">
        <v>38</v>
      </c>
      <c r="J605">
        <v>7</v>
      </c>
      <c r="K605">
        <v>5</v>
      </c>
      <c r="L605">
        <v>4</v>
      </c>
      <c r="M605">
        <v>20</v>
      </c>
      <c r="N605">
        <v>231</v>
      </c>
      <c r="O605">
        <v>203</v>
      </c>
      <c r="P605">
        <v>2</v>
      </c>
      <c r="Q605">
        <v>1</v>
      </c>
      <c r="R605">
        <v>2</v>
      </c>
      <c r="S605">
        <v>0</v>
      </c>
      <c r="T605">
        <v>0</v>
      </c>
      <c r="U605">
        <v>513</v>
      </c>
      <c r="V605">
        <v>50</v>
      </c>
      <c r="W605">
        <v>260</v>
      </c>
      <c r="X605">
        <v>203</v>
      </c>
    </row>
    <row r="606" spans="1:24" x14ac:dyDescent="0.2">
      <c r="A606">
        <v>605</v>
      </c>
      <c r="B606" s="1">
        <v>40949</v>
      </c>
      <c r="C606" t="s">
        <v>28</v>
      </c>
      <c r="D606">
        <v>208</v>
      </c>
      <c r="E606">
        <v>31</v>
      </c>
      <c r="F606">
        <v>6</v>
      </c>
      <c r="G606" t="s">
        <v>25</v>
      </c>
      <c r="H606">
        <v>2</v>
      </c>
      <c r="I606">
        <v>46</v>
      </c>
      <c r="J606">
        <v>0</v>
      </c>
      <c r="K606">
        <v>7</v>
      </c>
      <c r="L606">
        <v>7</v>
      </c>
      <c r="M606">
        <v>24</v>
      </c>
      <c r="N606">
        <v>202</v>
      </c>
      <c r="O606">
        <v>220</v>
      </c>
      <c r="P606">
        <v>4</v>
      </c>
      <c r="Q606">
        <v>1</v>
      </c>
      <c r="R606">
        <v>4</v>
      </c>
      <c r="S606">
        <v>2</v>
      </c>
      <c r="T606">
        <v>0</v>
      </c>
      <c r="U606">
        <v>517</v>
      </c>
      <c r="V606">
        <v>53</v>
      </c>
      <c r="W606">
        <v>244</v>
      </c>
      <c r="X606">
        <v>220</v>
      </c>
    </row>
    <row r="607" spans="1:24" x14ac:dyDescent="0.2">
      <c r="A607">
        <v>606</v>
      </c>
      <c r="B607" s="1">
        <v>40949</v>
      </c>
      <c r="C607" t="s">
        <v>28</v>
      </c>
      <c r="D607">
        <v>208</v>
      </c>
      <c r="E607">
        <v>31</v>
      </c>
      <c r="F607">
        <v>6</v>
      </c>
      <c r="G607" t="s">
        <v>26</v>
      </c>
      <c r="H607">
        <v>3</v>
      </c>
      <c r="I607">
        <v>42</v>
      </c>
      <c r="J607">
        <v>0</v>
      </c>
      <c r="K607">
        <v>16</v>
      </c>
      <c r="L607">
        <v>13</v>
      </c>
      <c r="M607">
        <v>28</v>
      </c>
      <c r="N607">
        <v>210</v>
      </c>
      <c r="O607">
        <v>169</v>
      </c>
      <c r="P607">
        <v>2</v>
      </c>
      <c r="Q607">
        <v>2</v>
      </c>
      <c r="R607">
        <v>2</v>
      </c>
      <c r="S607">
        <v>1</v>
      </c>
      <c r="T607">
        <v>0</v>
      </c>
      <c r="U607">
        <v>485</v>
      </c>
      <c r="V607">
        <v>58</v>
      </c>
      <c r="W607">
        <v>258</v>
      </c>
      <c r="X607">
        <v>169</v>
      </c>
    </row>
    <row r="608" spans="1:24" x14ac:dyDescent="0.2">
      <c r="A608">
        <v>607</v>
      </c>
      <c r="B608" s="1">
        <v>40949</v>
      </c>
      <c r="C608" t="s">
        <v>24</v>
      </c>
      <c r="D608">
        <v>208</v>
      </c>
      <c r="E608">
        <v>31</v>
      </c>
      <c r="F608">
        <v>6</v>
      </c>
      <c r="G608" t="s">
        <v>25</v>
      </c>
      <c r="H608">
        <v>4</v>
      </c>
      <c r="I608">
        <v>48</v>
      </c>
      <c r="J608">
        <v>1</v>
      </c>
      <c r="K608">
        <v>7</v>
      </c>
      <c r="L608">
        <v>3</v>
      </c>
      <c r="M608">
        <v>19</v>
      </c>
      <c r="N608">
        <v>185</v>
      </c>
      <c r="O608">
        <v>166</v>
      </c>
      <c r="P608">
        <v>1</v>
      </c>
      <c r="Q608">
        <v>2</v>
      </c>
      <c r="R608">
        <v>4</v>
      </c>
      <c r="S608">
        <v>1</v>
      </c>
      <c r="T608">
        <v>0</v>
      </c>
      <c r="U608">
        <v>437</v>
      </c>
      <c r="V608">
        <v>56</v>
      </c>
      <c r="W608">
        <v>215</v>
      </c>
      <c r="X608">
        <v>166</v>
      </c>
    </row>
    <row r="609" spans="1:24" x14ac:dyDescent="0.2">
      <c r="A609">
        <v>608</v>
      </c>
      <c r="B609" s="1">
        <v>40949</v>
      </c>
      <c r="C609" t="s">
        <v>24</v>
      </c>
      <c r="D609">
        <v>208</v>
      </c>
      <c r="E609">
        <v>31</v>
      </c>
      <c r="F609">
        <v>6</v>
      </c>
      <c r="G609" t="s">
        <v>26</v>
      </c>
      <c r="H609">
        <v>5</v>
      </c>
      <c r="I609">
        <v>34</v>
      </c>
      <c r="J609">
        <v>5</v>
      </c>
      <c r="K609">
        <v>9</v>
      </c>
      <c r="L609">
        <v>6</v>
      </c>
      <c r="M609">
        <v>24</v>
      </c>
      <c r="N609">
        <v>197</v>
      </c>
      <c r="O609">
        <v>134</v>
      </c>
      <c r="P609">
        <v>4</v>
      </c>
      <c r="Q609">
        <v>2</v>
      </c>
      <c r="R609">
        <v>7</v>
      </c>
      <c r="S609">
        <v>0</v>
      </c>
      <c r="T609">
        <v>0</v>
      </c>
      <c r="U609">
        <v>422</v>
      </c>
      <c r="V609">
        <v>48</v>
      </c>
      <c r="W609">
        <v>240</v>
      </c>
      <c r="X609">
        <v>134</v>
      </c>
    </row>
    <row r="610" spans="1:24" x14ac:dyDescent="0.2">
      <c r="A610">
        <v>609</v>
      </c>
      <c r="B610" s="1">
        <v>40949</v>
      </c>
      <c r="C610" t="s">
        <v>28</v>
      </c>
      <c r="D610">
        <v>208</v>
      </c>
      <c r="E610">
        <v>31</v>
      </c>
      <c r="F610">
        <v>6</v>
      </c>
      <c r="G610" t="s">
        <v>27</v>
      </c>
      <c r="H610">
        <v>6</v>
      </c>
      <c r="I610">
        <v>37</v>
      </c>
      <c r="J610">
        <v>1</v>
      </c>
      <c r="K610">
        <v>15</v>
      </c>
      <c r="L610">
        <v>8</v>
      </c>
      <c r="M610">
        <v>22</v>
      </c>
      <c r="N610">
        <v>226</v>
      </c>
      <c r="O610">
        <v>238</v>
      </c>
      <c r="P610">
        <v>4</v>
      </c>
      <c r="Q610">
        <v>1</v>
      </c>
      <c r="R610">
        <v>1</v>
      </c>
      <c r="S610">
        <v>0</v>
      </c>
      <c r="T610">
        <v>0</v>
      </c>
      <c r="U610">
        <v>553</v>
      </c>
      <c r="V610">
        <v>53</v>
      </c>
      <c r="W610">
        <v>262</v>
      </c>
      <c r="X610">
        <v>238</v>
      </c>
    </row>
    <row r="611" spans="1:24" x14ac:dyDescent="0.2">
      <c r="A611">
        <v>610</v>
      </c>
      <c r="B611" s="1">
        <v>40949</v>
      </c>
      <c r="C611" t="s">
        <v>24</v>
      </c>
      <c r="D611">
        <v>208</v>
      </c>
      <c r="E611">
        <v>31</v>
      </c>
      <c r="F611">
        <v>6</v>
      </c>
      <c r="G611" t="s">
        <v>27</v>
      </c>
      <c r="H611">
        <v>7</v>
      </c>
      <c r="I611">
        <v>46</v>
      </c>
      <c r="J611">
        <v>4</v>
      </c>
      <c r="K611">
        <v>9</v>
      </c>
      <c r="L611">
        <v>6</v>
      </c>
      <c r="M611">
        <v>16</v>
      </c>
      <c r="N611">
        <v>192</v>
      </c>
      <c r="O611">
        <v>214</v>
      </c>
      <c r="P611">
        <v>2</v>
      </c>
      <c r="Q611">
        <v>2</v>
      </c>
      <c r="R611">
        <v>6</v>
      </c>
      <c r="S611">
        <v>0</v>
      </c>
      <c r="T611">
        <v>0</v>
      </c>
      <c r="U611">
        <v>497</v>
      </c>
      <c r="V611">
        <v>59</v>
      </c>
      <c r="W611">
        <v>224</v>
      </c>
      <c r="X611">
        <v>214</v>
      </c>
    </row>
    <row r="612" spans="1:24" x14ac:dyDescent="0.2">
      <c r="A612">
        <v>611</v>
      </c>
      <c r="B612" s="1">
        <v>40949</v>
      </c>
      <c r="C612" t="s">
        <v>24</v>
      </c>
      <c r="D612">
        <v>208</v>
      </c>
      <c r="E612">
        <v>31</v>
      </c>
      <c r="F612">
        <v>6</v>
      </c>
      <c r="G612" t="s">
        <v>26</v>
      </c>
      <c r="H612">
        <v>8</v>
      </c>
      <c r="I612">
        <v>38</v>
      </c>
      <c r="J612">
        <v>10</v>
      </c>
      <c r="K612">
        <v>9</v>
      </c>
      <c r="L612">
        <v>5</v>
      </c>
      <c r="M612">
        <v>27</v>
      </c>
      <c r="N612">
        <v>212</v>
      </c>
      <c r="O612">
        <v>164</v>
      </c>
      <c r="P612">
        <v>1</v>
      </c>
      <c r="Q612">
        <v>0</v>
      </c>
      <c r="R612">
        <v>1</v>
      </c>
      <c r="S612">
        <v>1</v>
      </c>
      <c r="T612">
        <v>0</v>
      </c>
      <c r="U612">
        <v>468</v>
      </c>
      <c r="V612">
        <v>57</v>
      </c>
      <c r="W612">
        <v>247</v>
      </c>
      <c r="X612">
        <v>164</v>
      </c>
    </row>
    <row r="613" spans="1:24" x14ac:dyDescent="0.2">
      <c r="A613">
        <v>612</v>
      </c>
      <c r="B613" s="1">
        <v>40949</v>
      </c>
      <c r="C613" t="s">
        <v>24</v>
      </c>
      <c r="D613">
        <v>208</v>
      </c>
      <c r="E613">
        <v>31</v>
      </c>
      <c r="F613">
        <v>6</v>
      </c>
      <c r="G613" t="s">
        <v>27</v>
      </c>
      <c r="H613">
        <v>9</v>
      </c>
      <c r="I613">
        <v>65</v>
      </c>
      <c r="J613">
        <v>1</v>
      </c>
      <c r="K613">
        <v>19</v>
      </c>
      <c r="L613">
        <v>5</v>
      </c>
      <c r="M613">
        <v>21</v>
      </c>
      <c r="N613">
        <v>283</v>
      </c>
      <c r="O613">
        <v>170</v>
      </c>
      <c r="P613">
        <v>4</v>
      </c>
      <c r="Q613">
        <v>5</v>
      </c>
      <c r="R613">
        <v>1</v>
      </c>
      <c r="S613">
        <v>0</v>
      </c>
      <c r="T613">
        <v>0</v>
      </c>
      <c r="U613">
        <v>574</v>
      </c>
      <c r="V613">
        <v>85</v>
      </c>
      <c r="W613">
        <v>319</v>
      </c>
      <c r="X613">
        <v>170</v>
      </c>
    </row>
    <row r="614" spans="1:24" x14ac:dyDescent="0.2">
      <c r="A614">
        <v>613</v>
      </c>
      <c r="B614" s="1">
        <v>40953</v>
      </c>
      <c r="C614" t="s">
        <v>28</v>
      </c>
      <c r="D614">
        <v>212</v>
      </c>
      <c r="E614">
        <v>32</v>
      </c>
      <c r="F614">
        <v>3</v>
      </c>
      <c r="G614" t="s">
        <v>25</v>
      </c>
      <c r="H614">
        <v>1</v>
      </c>
      <c r="I614">
        <v>40</v>
      </c>
      <c r="J614">
        <v>7</v>
      </c>
      <c r="K614">
        <v>5</v>
      </c>
      <c r="L614">
        <v>8</v>
      </c>
      <c r="M614">
        <v>30</v>
      </c>
      <c r="N614">
        <v>221</v>
      </c>
      <c r="O614">
        <v>187</v>
      </c>
      <c r="P614">
        <v>0</v>
      </c>
      <c r="Q614">
        <v>2</v>
      </c>
      <c r="R614">
        <v>1</v>
      </c>
      <c r="S614">
        <v>0</v>
      </c>
      <c r="T614">
        <v>0</v>
      </c>
      <c r="U614">
        <v>501</v>
      </c>
      <c r="V614">
        <v>52</v>
      </c>
      <c r="W614">
        <v>262</v>
      </c>
      <c r="X614">
        <v>187</v>
      </c>
    </row>
    <row r="615" spans="1:24" x14ac:dyDescent="0.2">
      <c r="A615">
        <v>614</v>
      </c>
      <c r="B615" s="1">
        <v>40953</v>
      </c>
      <c r="C615" t="s">
        <v>24</v>
      </c>
      <c r="D615">
        <v>212</v>
      </c>
      <c r="E615">
        <v>32</v>
      </c>
      <c r="F615">
        <v>3</v>
      </c>
      <c r="G615" t="s">
        <v>25</v>
      </c>
      <c r="H615">
        <v>2</v>
      </c>
      <c r="I615">
        <v>36</v>
      </c>
      <c r="J615">
        <v>1</v>
      </c>
      <c r="K615">
        <v>7</v>
      </c>
      <c r="L615">
        <v>3</v>
      </c>
      <c r="M615">
        <v>21</v>
      </c>
      <c r="N615">
        <v>251</v>
      </c>
      <c r="O615">
        <v>175</v>
      </c>
      <c r="P615">
        <v>2</v>
      </c>
      <c r="Q615">
        <v>1</v>
      </c>
      <c r="R615">
        <v>3</v>
      </c>
      <c r="S615">
        <v>1</v>
      </c>
      <c r="T615">
        <v>0</v>
      </c>
      <c r="U615">
        <v>501</v>
      </c>
      <c r="V615">
        <v>44</v>
      </c>
      <c r="W615">
        <v>282</v>
      </c>
      <c r="X615">
        <v>175</v>
      </c>
    </row>
    <row r="616" spans="1:24" x14ac:dyDescent="0.2">
      <c r="A616">
        <v>615</v>
      </c>
      <c r="B616" s="1">
        <v>40953</v>
      </c>
      <c r="C616" t="s">
        <v>28</v>
      </c>
      <c r="D616">
        <v>212</v>
      </c>
      <c r="E616">
        <v>32</v>
      </c>
      <c r="F616">
        <v>3</v>
      </c>
      <c r="G616" t="s">
        <v>26</v>
      </c>
      <c r="H616">
        <v>3</v>
      </c>
      <c r="I616">
        <v>41</v>
      </c>
      <c r="J616">
        <v>0</v>
      </c>
      <c r="K616">
        <v>17</v>
      </c>
      <c r="L616">
        <v>6</v>
      </c>
      <c r="M616">
        <v>25</v>
      </c>
      <c r="N616">
        <v>187</v>
      </c>
      <c r="O616">
        <v>169</v>
      </c>
      <c r="P616">
        <v>6</v>
      </c>
      <c r="Q616">
        <v>4</v>
      </c>
      <c r="R616">
        <v>3</v>
      </c>
      <c r="S616">
        <v>2</v>
      </c>
      <c r="T616">
        <v>0</v>
      </c>
      <c r="U616">
        <v>460</v>
      </c>
      <c r="V616">
        <v>58</v>
      </c>
      <c r="W616">
        <v>233</v>
      </c>
      <c r="X616">
        <v>169</v>
      </c>
    </row>
    <row r="617" spans="1:24" x14ac:dyDescent="0.2">
      <c r="A617">
        <v>616</v>
      </c>
      <c r="B617" s="1">
        <v>40953</v>
      </c>
      <c r="C617" t="s">
        <v>24</v>
      </c>
      <c r="D617">
        <v>212</v>
      </c>
      <c r="E617">
        <v>32</v>
      </c>
      <c r="F617">
        <v>3</v>
      </c>
      <c r="G617" t="s">
        <v>25</v>
      </c>
      <c r="H617">
        <v>4</v>
      </c>
      <c r="I617">
        <v>41</v>
      </c>
      <c r="J617">
        <v>0</v>
      </c>
      <c r="K617">
        <v>7</v>
      </c>
      <c r="L617">
        <v>3</v>
      </c>
      <c r="M617">
        <v>23</v>
      </c>
      <c r="N617">
        <v>191</v>
      </c>
      <c r="O617">
        <v>147</v>
      </c>
      <c r="P617">
        <v>4</v>
      </c>
      <c r="Q617">
        <v>3</v>
      </c>
      <c r="R617">
        <v>3</v>
      </c>
      <c r="S617">
        <v>2</v>
      </c>
      <c r="T617">
        <v>0</v>
      </c>
      <c r="U617">
        <v>424</v>
      </c>
      <c r="V617">
        <v>48</v>
      </c>
      <c r="W617">
        <v>229</v>
      </c>
      <c r="X617">
        <v>147</v>
      </c>
    </row>
    <row r="618" spans="1:24" x14ac:dyDescent="0.2">
      <c r="A618">
        <v>617</v>
      </c>
      <c r="B618" s="1">
        <v>40953</v>
      </c>
      <c r="C618" t="s">
        <v>24</v>
      </c>
      <c r="D618">
        <v>212</v>
      </c>
      <c r="E618">
        <v>32</v>
      </c>
      <c r="F618">
        <v>3</v>
      </c>
      <c r="G618" t="s">
        <v>26</v>
      </c>
      <c r="H618">
        <v>5</v>
      </c>
      <c r="I618">
        <v>41</v>
      </c>
      <c r="J618">
        <v>5</v>
      </c>
      <c r="K618">
        <v>7</v>
      </c>
      <c r="L618">
        <v>6</v>
      </c>
      <c r="M618">
        <v>30</v>
      </c>
      <c r="N618">
        <v>185</v>
      </c>
      <c r="O618">
        <v>182</v>
      </c>
      <c r="P618">
        <v>3</v>
      </c>
      <c r="Q618">
        <v>3</v>
      </c>
      <c r="R618">
        <v>2</v>
      </c>
      <c r="S618">
        <v>0</v>
      </c>
      <c r="T618">
        <v>0</v>
      </c>
      <c r="U618">
        <v>464</v>
      </c>
      <c r="V618">
        <v>53</v>
      </c>
      <c r="W618">
        <v>229</v>
      </c>
      <c r="X618">
        <v>182</v>
      </c>
    </row>
    <row r="619" spans="1:24" x14ac:dyDescent="0.2">
      <c r="A619">
        <v>618</v>
      </c>
      <c r="B619" s="1">
        <v>40953</v>
      </c>
      <c r="C619" t="s">
        <v>28</v>
      </c>
      <c r="D619">
        <v>212</v>
      </c>
      <c r="E619">
        <v>32</v>
      </c>
      <c r="F619">
        <v>3</v>
      </c>
      <c r="G619" t="s">
        <v>27</v>
      </c>
      <c r="H619">
        <v>6</v>
      </c>
      <c r="I619">
        <v>35</v>
      </c>
      <c r="J619">
        <v>2</v>
      </c>
      <c r="K619">
        <v>17</v>
      </c>
      <c r="L619">
        <v>8</v>
      </c>
      <c r="M619">
        <v>20</v>
      </c>
      <c r="N619">
        <v>198</v>
      </c>
      <c r="O619">
        <v>258</v>
      </c>
      <c r="P619">
        <v>1</v>
      </c>
      <c r="Q619">
        <v>1</v>
      </c>
      <c r="R619">
        <v>2</v>
      </c>
      <c r="S619">
        <v>1</v>
      </c>
      <c r="T619">
        <v>0</v>
      </c>
      <c r="U619">
        <v>543</v>
      </c>
      <c r="V619">
        <v>54</v>
      </c>
      <c r="W619">
        <v>231</v>
      </c>
      <c r="X619">
        <v>258</v>
      </c>
    </row>
    <row r="620" spans="1:24" x14ac:dyDescent="0.2">
      <c r="A620">
        <v>619</v>
      </c>
      <c r="B620" s="1">
        <v>40953</v>
      </c>
      <c r="C620" t="s">
        <v>24</v>
      </c>
      <c r="D620">
        <v>212</v>
      </c>
      <c r="E620">
        <v>32</v>
      </c>
      <c r="F620">
        <v>3</v>
      </c>
      <c r="G620" t="s">
        <v>27</v>
      </c>
      <c r="H620">
        <v>7</v>
      </c>
      <c r="I620">
        <v>49</v>
      </c>
      <c r="J620">
        <v>4</v>
      </c>
      <c r="K620">
        <v>13</v>
      </c>
      <c r="L620">
        <v>3</v>
      </c>
      <c r="M620">
        <v>26</v>
      </c>
      <c r="N620">
        <v>200</v>
      </c>
      <c r="O620">
        <v>186</v>
      </c>
      <c r="P620">
        <v>2</v>
      </c>
      <c r="Q620">
        <v>1</v>
      </c>
      <c r="R620">
        <v>2</v>
      </c>
      <c r="S620">
        <v>0</v>
      </c>
      <c r="T620">
        <v>0</v>
      </c>
      <c r="U620">
        <v>486</v>
      </c>
      <c r="V620">
        <v>66</v>
      </c>
      <c r="W620">
        <v>234</v>
      </c>
      <c r="X620">
        <v>186</v>
      </c>
    </row>
    <row r="621" spans="1:24" x14ac:dyDescent="0.2">
      <c r="A621">
        <v>620</v>
      </c>
      <c r="B621" s="1">
        <v>40953</v>
      </c>
      <c r="C621" t="s">
        <v>28</v>
      </c>
      <c r="D621">
        <v>212</v>
      </c>
      <c r="E621">
        <v>32</v>
      </c>
      <c r="F621">
        <v>3</v>
      </c>
      <c r="G621" t="s">
        <v>26</v>
      </c>
      <c r="H621">
        <v>8</v>
      </c>
      <c r="I621">
        <v>43</v>
      </c>
      <c r="J621">
        <v>10</v>
      </c>
      <c r="K621">
        <v>10</v>
      </c>
      <c r="L621">
        <v>4</v>
      </c>
      <c r="M621">
        <v>23</v>
      </c>
      <c r="N621">
        <v>197</v>
      </c>
      <c r="O621">
        <v>215</v>
      </c>
      <c r="P621">
        <v>3</v>
      </c>
      <c r="Q621">
        <v>0</v>
      </c>
      <c r="R621">
        <v>4</v>
      </c>
      <c r="S621">
        <v>1</v>
      </c>
      <c r="T621">
        <v>1</v>
      </c>
      <c r="U621">
        <v>511</v>
      </c>
      <c r="V621">
        <v>63</v>
      </c>
      <c r="W621">
        <v>232</v>
      </c>
      <c r="X621">
        <v>215</v>
      </c>
    </row>
    <row r="622" spans="1:24" x14ac:dyDescent="0.2">
      <c r="A622">
        <v>621</v>
      </c>
      <c r="B622" s="1">
        <v>40953</v>
      </c>
      <c r="C622" t="s">
        <v>24</v>
      </c>
      <c r="D622">
        <v>212</v>
      </c>
      <c r="E622">
        <v>32</v>
      </c>
      <c r="F622">
        <v>3</v>
      </c>
      <c r="G622" t="s">
        <v>27</v>
      </c>
      <c r="H622">
        <v>9</v>
      </c>
      <c r="I622">
        <v>61</v>
      </c>
      <c r="J622">
        <v>1</v>
      </c>
      <c r="K622">
        <v>22</v>
      </c>
      <c r="L622">
        <v>7</v>
      </c>
      <c r="M622">
        <v>34</v>
      </c>
      <c r="N622">
        <v>230</v>
      </c>
      <c r="O622">
        <v>162</v>
      </c>
      <c r="P622">
        <v>6</v>
      </c>
      <c r="Q622">
        <v>1</v>
      </c>
      <c r="R622">
        <v>4</v>
      </c>
      <c r="S622">
        <v>0</v>
      </c>
      <c r="T622">
        <v>0</v>
      </c>
      <c r="U622">
        <v>528</v>
      </c>
      <c r="V622">
        <v>84</v>
      </c>
      <c r="W622">
        <v>282</v>
      </c>
      <c r="X622">
        <v>162</v>
      </c>
    </row>
    <row r="623" spans="1:24" x14ac:dyDescent="0.2">
      <c r="A623">
        <v>622</v>
      </c>
      <c r="B623" s="1">
        <v>40956</v>
      </c>
      <c r="C623" t="s">
        <v>28</v>
      </c>
      <c r="D623">
        <v>215</v>
      </c>
      <c r="E623">
        <v>32</v>
      </c>
      <c r="F623">
        <v>6</v>
      </c>
      <c r="G623" t="s">
        <v>25</v>
      </c>
      <c r="H623">
        <v>1</v>
      </c>
      <c r="I623">
        <v>38</v>
      </c>
      <c r="J623">
        <v>7</v>
      </c>
      <c r="K623">
        <v>5</v>
      </c>
      <c r="L623">
        <v>9</v>
      </c>
      <c r="M623">
        <v>26</v>
      </c>
      <c r="N623">
        <v>259</v>
      </c>
      <c r="O623">
        <v>215</v>
      </c>
      <c r="P623">
        <v>6</v>
      </c>
      <c r="Q623">
        <v>3</v>
      </c>
      <c r="R623">
        <v>1</v>
      </c>
      <c r="S623">
        <v>0</v>
      </c>
      <c r="T623">
        <v>0</v>
      </c>
      <c r="U623">
        <v>569</v>
      </c>
      <c r="V623">
        <v>50</v>
      </c>
      <c r="W623">
        <v>304</v>
      </c>
      <c r="X623">
        <v>215</v>
      </c>
    </row>
    <row r="624" spans="1:24" x14ac:dyDescent="0.2">
      <c r="A624">
        <v>623</v>
      </c>
      <c r="B624" s="1">
        <v>40956</v>
      </c>
      <c r="C624" t="s">
        <v>24</v>
      </c>
      <c r="D624">
        <v>215</v>
      </c>
      <c r="E624">
        <v>32</v>
      </c>
      <c r="F624">
        <v>6</v>
      </c>
      <c r="G624" t="s">
        <v>25</v>
      </c>
      <c r="H624">
        <v>2</v>
      </c>
      <c r="I624">
        <v>31</v>
      </c>
      <c r="J624">
        <v>1</v>
      </c>
      <c r="K624">
        <v>8</v>
      </c>
      <c r="L624">
        <v>2</v>
      </c>
      <c r="M624">
        <v>18</v>
      </c>
      <c r="N624">
        <v>255</v>
      </c>
      <c r="O624">
        <v>176</v>
      </c>
      <c r="P624">
        <v>4</v>
      </c>
      <c r="Q624">
        <v>1</v>
      </c>
      <c r="R624">
        <v>2</v>
      </c>
      <c r="S624">
        <v>1</v>
      </c>
      <c r="T624">
        <v>0</v>
      </c>
      <c r="U624">
        <v>499</v>
      </c>
      <c r="V624">
        <v>40</v>
      </c>
      <c r="W624">
        <v>283</v>
      </c>
      <c r="X624">
        <v>176</v>
      </c>
    </row>
    <row r="625" spans="1:24" x14ac:dyDescent="0.2">
      <c r="A625">
        <v>624</v>
      </c>
      <c r="B625" s="1">
        <v>40956</v>
      </c>
      <c r="C625" t="s">
        <v>24</v>
      </c>
      <c r="D625">
        <v>215</v>
      </c>
      <c r="E625">
        <v>32</v>
      </c>
      <c r="F625">
        <v>6</v>
      </c>
      <c r="G625" t="s">
        <v>26</v>
      </c>
      <c r="H625">
        <v>3</v>
      </c>
      <c r="I625">
        <v>35</v>
      </c>
      <c r="J625">
        <v>0</v>
      </c>
      <c r="K625">
        <v>18</v>
      </c>
      <c r="L625">
        <v>6</v>
      </c>
      <c r="M625">
        <v>22</v>
      </c>
      <c r="N625">
        <v>194</v>
      </c>
      <c r="O625">
        <v>155</v>
      </c>
      <c r="P625">
        <v>4</v>
      </c>
      <c r="Q625">
        <v>1</v>
      </c>
      <c r="R625">
        <v>8</v>
      </c>
      <c r="S625">
        <v>0</v>
      </c>
      <c r="T625">
        <v>1</v>
      </c>
      <c r="U625">
        <v>444</v>
      </c>
      <c r="V625">
        <v>53</v>
      </c>
      <c r="W625">
        <v>235</v>
      </c>
      <c r="X625">
        <v>155</v>
      </c>
    </row>
    <row r="626" spans="1:24" x14ac:dyDescent="0.2">
      <c r="A626">
        <v>625</v>
      </c>
      <c r="B626" s="1">
        <v>40956</v>
      </c>
      <c r="C626" t="s">
        <v>24</v>
      </c>
      <c r="D626">
        <v>215</v>
      </c>
      <c r="E626">
        <v>32</v>
      </c>
      <c r="F626">
        <v>6</v>
      </c>
      <c r="G626" t="s">
        <v>25</v>
      </c>
      <c r="H626">
        <v>4</v>
      </c>
      <c r="I626">
        <v>31</v>
      </c>
      <c r="J626">
        <v>1</v>
      </c>
      <c r="K626">
        <v>9</v>
      </c>
      <c r="L626">
        <v>2</v>
      </c>
      <c r="M626">
        <v>18</v>
      </c>
      <c r="N626">
        <v>178</v>
      </c>
      <c r="O626">
        <v>146</v>
      </c>
      <c r="P626">
        <v>4</v>
      </c>
      <c r="Q626">
        <v>3</v>
      </c>
      <c r="R626">
        <v>3</v>
      </c>
      <c r="S626">
        <v>1</v>
      </c>
      <c r="T626">
        <v>0</v>
      </c>
      <c r="U626">
        <v>396</v>
      </c>
      <c r="V626">
        <v>41</v>
      </c>
      <c r="W626">
        <v>209</v>
      </c>
      <c r="X626">
        <v>146</v>
      </c>
    </row>
    <row r="627" spans="1:24" x14ac:dyDescent="0.2">
      <c r="A627">
        <v>626</v>
      </c>
      <c r="B627" s="1">
        <v>40956</v>
      </c>
      <c r="C627" t="s">
        <v>24</v>
      </c>
      <c r="D627">
        <v>215</v>
      </c>
      <c r="E627">
        <v>32</v>
      </c>
      <c r="F627">
        <v>6</v>
      </c>
      <c r="G627" t="s">
        <v>26</v>
      </c>
      <c r="H627">
        <v>5</v>
      </c>
      <c r="I627">
        <v>32</v>
      </c>
      <c r="J627">
        <v>4</v>
      </c>
      <c r="K627">
        <v>10</v>
      </c>
      <c r="L627">
        <v>5</v>
      </c>
      <c r="M627">
        <v>29</v>
      </c>
      <c r="N627">
        <v>185</v>
      </c>
      <c r="O627">
        <v>142</v>
      </c>
      <c r="P627">
        <v>3</v>
      </c>
      <c r="Q627">
        <v>2</v>
      </c>
      <c r="R627">
        <v>3</v>
      </c>
      <c r="S627">
        <v>0</v>
      </c>
      <c r="T627">
        <v>0</v>
      </c>
      <c r="U627">
        <v>415</v>
      </c>
      <c r="V627">
        <v>46</v>
      </c>
      <c r="W627">
        <v>227</v>
      </c>
      <c r="X627">
        <v>142</v>
      </c>
    </row>
    <row r="628" spans="1:24" x14ac:dyDescent="0.2">
      <c r="A628">
        <v>627</v>
      </c>
      <c r="B628" s="1">
        <v>40956</v>
      </c>
      <c r="C628" t="s">
        <v>28</v>
      </c>
      <c r="D628">
        <v>215</v>
      </c>
      <c r="E628">
        <v>32</v>
      </c>
      <c r="F628">
        <v>6</v>
      </c>
      <c r="G628" t="s">
        <v>27</v>
      </c>
      <c r="H628">
        <v>6</v>
      </c>
      <c r="I628">
        <v>39</v>
      </c>
      <c r="J628">
        <v>1</v>
      </c>
      <c r="K628">
        <v>22</v>
      </c>
      <c r="L628">
        <v>5</v>
      </c>
      <c r="M628">
        <v>12</v>
      </c>
      <c r="N628">
        <v>183</v>
      </c>
      <c r="O628">
        <v>244</v>
      </c>
      <c r="P628">
        <v>4</v>
      </c>
      <c r="Q628">
        <v>0</v>
      </c>
      <c r="R628">
        <v>2</v>
      </c>
      <c r="S628">
        <v>3</v>
      </c>
      <c r="T628">
        <v>0</v>
      </c>
      <c r="U628">
        <v>515</v>
      </c>
      <c r="V628">
        <v>62</v>
      </c>
      <c r="W628">
        <v>209</v>
      </c>
      <c r="X628">
        <v>244</v>
      </c>
    </row>
    <row r="629" spans="1:24" x14ac:dyDescent="0.2">
      <c r="A629">
        <v>628</v>
      </c>
      <c r="B629" s="1">
        <v>40956</v>
      </c>
      <c r="C629" t="s">
        <v>24</v>
      </c>
      <c r="D629">
        <v>215</v>
      </c>
      <c r="E629">
        <v>32</v>
      </c>
      <c r="F629">
        <v>6</v>
      </c>
      <c r="G629" t="s">
        <v>27</v>
      </c>
      <c r="H629">
        <v>7</v>
      </c>
      <c r="I629">
        <v>46</v>
      </c>
      <c r="J629">
        <v>5</v>
      </c>
      <c r="K629">
        <v>11</v>
      </c>
      <c r="L629">
        <v>2</v>
      </c>
      <c r="M629">
        <v>18</v>
      </c>
      <c r="N629">
        <v>245</v>
      </c>
      <c r="O629">
        <v>216</v>
      </c>
      <c r="P629">
        <v>3</v>
      </c>
      <c r="Q629">
        <v>5</v>
      </c>
      <c r="R629">
        <v>8</v>
      </c>
      <c r="S629">
        <v>0</v>
      </c>
      <c r="T629">
        <v>0</v>
      </c>
      <c r="U629">
        <v>559</v>
      </c>
      <c r="V629">
        <v>62</v>
      </c>
      <c r="W629">
        <v>281</v>
      </c>
      <c r="X629">
        <v>216</v>
      </c>
    </row>
    <row r="630" spans="1:24" x14ac:dyDescent="0.2">
      <c r="A630">
        <v>629</v>
      </c>
      <c r="B630" s="1">
        <v>40956</v>
      </c>
      <c r="C630" t="s">
        <v>28</v>
      </c>
      <c r="D630">
        <v>215</v>
      </c>
      <c r="E630">
        <v>32</v>
      </c>
      <c r="F630">
        <v>6</v>
      </c>
      <c r="G630" t="s">
        <v>26</v>
      </c>
      <c r="H630">
        <v>8</v>
      </c>
      <c r="I630">
        <v>44</v>
      </c>
      <c r="J630">
        <v>12</v>
      </c>
      <c r="K630">
        <v>13</v>
      </c>
      <c r="L630">
        <v>5</v>
      </c>
      <c r="M630">
        <v>16</v>
      </c>
      <c r="N630">
        <v>210</v>
      </c>
      <c r="O630">
        <v>227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529</v>
      </c>
      <c r="V630">
        <v>69</v>
      </c>
      <c r="W630">
        <v>233</v>
      </c>
      <c r="X630">
        <v>227</v>
      </c>
    </row>
    <row r="631" spans="1:24" x14ac:dyDescent="0.2">
      <c r="A631">
        <v>630</v>
      </c>
      <c r="B631" s="1">
        <v>40956</v>
      </c>
      <c r="C631" t="s">
        <v>28</v>
      </c>
      <c r="D631">
        <v>215</v>
      </c>
      <c r="E631">
        <v>32</v>
      </c>
      <c r="F631">
        <v>6</v>
      </c>
      <c r="G631" t="s">
        <v>27</v>
      </c>
      <c r="H631">
        <v>9</v>
      </c>
      <c r="I631">
        <v>66</v>
      </c>
      <c r="J631">
        <v>2</v>
      </c>
      <c r="K631">
        <v>22</v>
      </c>
      <c r="L631">
        <v>8</v>
      </c>
      <c r="M631">
        <v>25</v>
      </c>
      <c r="N631">
        <v>229</v>
      </c>
      <c r="O631">
        <v>203</v>
      </c>
      <c r="P631">
        <v>2</v>
      </c>
      <c r="Q631">
        <v>3</v>
      </c>
      <c r="R631">
        <v>0</v>
      </c>
      <c r="S631">
        <v>0</v>
      </c>
      <c r="T631">
        <v>0</v>
      </c>
      <c r="U631">
        <v>560</v>
      </c>
      <c r="V631">
        <v>90</v>
      </c>
      <c r="W631">
        <v>267</v>
      </c>
      <c r="X631">
        <v>203</v>
      </c>
    </row>
    <row r="632" spans="1:24" x14ac:dyDescent="0.2">
      <c r="A632">
        <v>631</v>
      </c>
      <c r="B632" s="1">
        <v>40960</v>
      </c>
      <c r="C632" t="s">
        <v>28</v>
      </c>
      <c r="D632">
        <v>219</v>
      </c>
      <c r="E632">
        <v>33</v>
      </c>
      <c r="F632">
        <v>3</v>
      </c>
      <c r="G632" t="s">
        <v>25</v>
      </c>
      <c r="H632">
        <v>1</v>
      </c>
      <c r="I632">
        <v>37</v>
      </c>
      <c r="J632">
        <v>7</v>
      </c>
      <c r="K632">
        <v>4</v>
      </c>
      <c r="L632">
        <v>6</v>
      </c>
      <c r="M632">
        <v>22</v>
      </c>
      <c r="N632">
        <v>266</v>
      </c>
      <c r="O632">
        <v>197</v>
      </c>
      <c r="P632">
        <v>4</v>
      </c>
      <c r="Q632">
        <v>2</v>
      </c>
      <c r="R632">
        <v>0</v>
      </c>
      <c r="S632">
        <v>0</v>
      </c>
      <c r="T632">
        <v>0</v>
      </c>
      <c r="U632">
        <v>545</v>
      </c>
      <c r="V632">
        <v>48</v>
      </c>
      <c r="W632">
        <v>300</v>
      </c>
      <c r="X632">
        <v>197</v>
      </c>
    </row>
    <row r="633" spans="1:24" x14ac:dyDescent="0.2">
      <c r="A633">
        <v>632</v>
      </c>
      <c r="B633" s="1">
        <v>40960</v>
      </c>
      <c r="C633" t="s">
        <v>28</v>
      </c>
      <c r="D633">
        <v>219</v>
      </c>
      <c r="E633">
        <v>33</v>
      </c>
      <c r="F633">
        <v>3</v>
      </c>
      <c r="G633" t="s">
        <v>25</v>
      </c>
      <c r="H633">
        <v>2</v>
      </c>
      <c r="I633">
        <v>33</v>
      </c>
      <c r="J633">
        <v>1</v>
      </c>
      <c r="K633">
        <v>9</v>
      </c>
      <c r="L633">
        <v>8</v>
      </c>
      <c r="M633">
        <v>32</v>
      </c>
      <c r="N633">
        <v>271</v>
      </c>
      <c r="O633">
        <v>190</v>
      </c>
      <c r="P633">
        <v>3</v>
      </c>
      <c r="Q633">
        <v>2</v>
      </c>
      <c r="R633">
        <v>0</v>
      </c>
      <c r="S633">
        <v>1</v>
      </c>
      <c r="T633">
        <v>0</v>
      </c>
      <c r="U633">
        <v>550</v>
      </c>
      <c r="V633">
        <v>43</v>
      </c>
      <c r="W633">
        <v>317</v>
      </c>
      <c r="X633">
        <v>190</v>
      </c>
    </row>
    <row r="634" spans="1:24" x14ac:dyDescent="0.2">
      <c r="A634">
        <v>633</v>
      </c>
      <c r="B634" s="1">
        <v>40960</v>
      </c>
      <c r="C634" t="s">
        <v>24</v>
      </c>
      <c r="D634">
        <v>219</v>
      </c>
      <c r="E634">
        <v>33</v>
      </c>
      <c r="F634">
        <v>3</v>
      </c>
      <c r="G634" t="s">
        <v>26</v>
      </c>
      <c r="H634">
        <v>3</v>
      </c>
      <c r="I634">
        <v>41</v>
      </c>
      <c r="J634">
        <v>3</v>
      </c>
      <c r="K634">
        <v>12</v>
      </c>
      <c r="L634">
        <v>4</v>
      </c>
      <c r="M634">
        <v>18</v>
      </c>
      <c r="N634">
        <v>154</v>
      </c>
      <c r="O634">
        <v>149</v>
      </c>
      <c r="P634">
        <v>4</v>
      </c>
      <c r="Q634">
        <v>2</v>
      </c>
      <c r="R634">
        <v>2</v>
      </c>
      <c r="S634">
        <v>0</v>
      </c>
      <c r="T634">
        <v>0</v>
      </c>
      <c r="U634">
        <v>389</v>
      </c>
      <c r="V634">
        <v>56</v>
      </c>
      <c r="W634">
        <v>184</v>
      </c>
      <c r="X634">
        <v>149</v>
      </c>
    </row>
    <row r="635" spans="1:24" x14ac:dyDescent="0.2">
      <c r="A635">
        <v>634</v>
      </c>
      <c r="B635" s="1">
        <v>40960</v>
      </c>
      <c r="C635" t="s">
        <v>24</v>
      </c>
      <c r="D635">
        <v>219</v>
      </c>
      <c r="E635">
        <v>33</v>
      </c>
      <c r="F635">
        <v>3</v>
      </c>
      <c r="G635" t="s">
        <v>25</v>
      </c>
      <c r="H635">
        <v>4</v>
      </c>
      <c r="I635">
        <v>32</v>
      </c>
      <c r="J635">
        <v>1</v>
      </c>
      <c r="K635">
        <v>8</v>
      </c>
      <c r="L635">
        <v>4</v>
      </c>
      <c r="M635">
        <v>22</v>
      </c>
      <c r="N635">
        <v>146</v>
      </c>
      <c r="O635">
        <v>141</v>
      </c>
      <c r="P635">
        <v>3</v>
      </c>
      <c r="Q635">
        <v>1</v>
      </c>
      <c r="R635">
        <v>2</v>
      </c>
      <c r="S635">
        <v>0</v>
      </c>
      <c r="T635">
        <v>0</v>
      </c>
      <c r="U635">
        <v>360</v>
      </c>
      <c r="V635">
        <v>41</v>
      </c>
      <c r="W635">
        <v>178</v>
      </c>
      <c r="X635">
        <v>141</v>
      </c>
    </row>
    <row r="636" spans="1:24" x14ac:dyDescent="0.2">
      <c r="A636">
        <v>635</v>
      </c>
      <c r="B636" s="1">
        <v>40960</v>
      </c>
      <c r="C636" t="s">
        <v>24</v>
      </c>
      <c r="D636">
        <v>219</v>
      </c>
      <c r="E636">
        <v>33</v>
      </c>
      <c r="F636">
        <v>3</v>
      </c>
      <c r="G636" t="s">
        <v>26</v>
      </c>
      <c r="H636">
        <v>5</v>
      </c>
      <c r="I636">
        <v>40</v>
      </c>
      <c r="J636">
        <v>4</v>
      </c>
      <c r="K636">
        <v>8</v>
      </c>
      <c r="L636">
        <v>6</v>
      </c>
      <c r="M636">
        <v>30</v>
      </c>
      <c r="N636">
        <v>232</v>
      </c>
      <c r="O636">
        <v>173</v>
      </c>
      <c r="P636">
        <v>3</v>
      </c>
      <c r="Q636">
        <v>0</v>
      </c>
      <c r="R636">
        <v>2</v>
      </c>
      <c r="S636">
        <v>0</v>
      </c>
      <c r="T636">
        <v>0</v>
      </c>
      <c r="U636">
        <v>498</v>
      </c>
      <c r="V636">
        <v>52</v>
      </c>
      <c r="W636">
        <v>273</v>
      </c>
      <c r="X636">
        <v>173</v>
      </c>
    </row>
    <row r="637" spans="1:24" x14ac:dyDescent="0.2">
      <c r="A637">
        <v>636</v>
      </c>
      <c r="B637" s="1">
        <v>40960</v>
      </c>
      <c r="C637" t="s">
        <v>24</v>
      </c>
      <c r="D637">
        <v>219</v>
      </c>
      <c r="E637">
        <v>33</v>
      </c>
      <c r="F637">
        <v>3</v>
      </c>
      <c r="G637" t="s">
        <v>27</v>
      </c>
      <c r="H637">
        <v>6</v>
      </c>
      <c r="I637">
        <v>35</v>
      </c>
      <c r="J637">
        <v>2</v>
      </c>
      <c r="K637">
        <v>21</v>
      </c>
      <c r="L637">
        <v>2</v>
      </c>
      <c r="M637">
        <v>15</v>
      </c>
      <c r="N637">
        <v>144</v>
      </c>
      <c r="O637">
        <v>174</v>
      </c>
      <c r="P637">
        <v>1</v>
      </c>
      <c r="Q637">
        <v>2</v>
      </c>
      <c r="R637">
        <v>4</v>
      </c>
      <c r="S637">
        <v>0</v>
      </c>
      <c r="T637">
        <v>0</v>
      </c>
      <c r="U637">
        <v>400</v>
      </c>
      <c r="V637">
        <v>58</v>
      </c>
      <c r="W637">
        <v>168</v>
      </c>
      <c r="X637">
        <v>174</v>
      </c>
    </row>
    <row r="638" spans="1:24" x14ac:dyDescent="0.2">
      <c r="A638">
        <v>637</v>
      </c>
      <c r="B638" s="1">
        <v>40960</v>
      </c>
      <c r="C638" t="s">
        <v>28</v>
      </c>
      <c r="D638">
        <v>219</v>
      </c>
      <c r="E638">
        <v>33</v>
      </c>
      <c r="F638">
        <v>3</v>
      </c>
      <c r="G638" t="s">
        <v>27</v>
      </c>
      <c r="H638">
        <v>7</v>
      </c>
      <c r="I638">
        <v>48</v>
      </c>
      <c r="J638">
        <v>3</v>
      </c>
      <c r="K638">
        <v>10</v>
      </c>
      <c r="L638">
        <v>3</v>
      </c>
      <c r="M638">
        <v>26</v>
      </c>
      <c r="N638">
        <v>261</v>
      </c>
      <c r="O638">
        <v>208</v>
      </c>
      <c r="P638">
        <v>4</v>
      </c>
      <c r="Q638">
        <v>2</v>
      </c>
      <c r="R638">
        <v>2</v>
      </c>
      <c r="S638">
        <v>0</v>
      </c>
      <c r="T638">
        <v>0</v>
      </c>
      <c r="U638">
        <v>567</v>
      </c>
      <c r="V638">
        <v>61</v>
      </c>
      <c r="W638">
        <v>298</v>
      </c>
      <c r="X638">
        <v>208</v>
      </c>
    </row>
    <row r="639" spans="1:24" x14ac:dyDescent="0.2">
      <c r="A639">
        <v>638</v>
      </c>
      <c r="B639" s="1">
        <v>40960</v>
      </c>
      <c r="C639" t="s">
        <v>28</v>
      </c>
      <c r="D639">
        <v>219</v>
      </c>
      <c r="E639">
        <v>33</v>
      </c>
      <c r="F639">
        <v>3</v>
      </c>
      <c r="G639" t="s">
        <v>26</v>
      </c>
      <c r="H639">
        <v>8</v>
      </c>
      <c r="I639">
        <v>41</v>
      </c>
      <c r="J639">
        <v>12</v>
      </c>
      <c r="K639">
        <v>14</v>
      </c>
      <c r="L639">
        <v>5</v>
      </c>
      <c r="M639">
        <v>29</v>
      </c>
      <c r="N639">
        <v>213</v>
      </c>
      <c r="O639">
        <v>217</v>
      </c>
      <c r="P639">
        <v>2</v>
      </c>
      <c r="Q639">
        <v>1</v>
      </c>
      <c r="R639">
        <v>2</v>
      </c>
      <c r="S639">
        <v>1</v>
      </c>
      <c r="T639">
        <v>0</v>
      </c>
      <c r="U639">
        <v>537</v>
      </c>
      <c r="V639">
        <v>67</v>
      </c>
      <c r="W639">
        <v>253</v>
      </c>
      <c r="X639">
        <v>217</v>
      </c>
    </row>
    <row r="640" spans="1:24" x14ac:dyDescent="0.2">
      <c r="A640">
        <v>639</v>
      </c>
      <c r="B640" s="1">
        <v>40960</v>
      </c>
      <c r="C640" t="s">
        <v>24</v>
      </c>
      <c r="D640">
        <v>219</v>
      </c>
      <c r="E640">
        <v>33</v>
      </c>
      <c r="F640">
        <v>3</v>
      </c>
      <c r="G640" t="s">
        <v>27</v>
      </c>
      <c r="H640">
        <v>9</v>
      </c>
      <c r="I640">
        <v>66</v>
      </c>
      <c r="J640">
        <v>2</v>
      </c>
      <c r="K640">
        <v>21</v>
      </c>
      <c r="L640">
        <v>3</v>
      </c>
      <c r="M640">
        <v>31</v>
      </c>
      <c r="N640">
        <v>234</v>
      </c>
      <c r="O640">
        <v>168</v>
      </c>
      <c r="P640">
        <v>2</v>
      </c>
      <c r="Q640">
        <v>3</v>
      </c>
      <c r="R640">
        <v>2</v>
      </c>
      <c r="S640">
        <v>0</v>
      </c>
      <c r="T640">
        <v>0</v>
      </c>
      <c r="U640">
        <v>532</v>
      </c>
      <c r="V640">
        <v>89</v>
      </c>
      <c r="W640">
        <v>275</v>
      </c>
      <c r="X640">
        <v>168</v>
      </c>
    </row>
    <row r="641" spans="1:24" x14ac:dyDescent="0.2">
      <c r="A641">
        <v>640</v>
      </c>
      <c r="B641" s="1">
        <v>40963</v>
      </c>
      <c r="C641" t="s">
        <v>28</v>
      </c>
      <c r="D641">
        <v>222</v>
      </c>
      <c r="E641">
        <v>33</v>
      </c>
      <c r="F641">
        <v>6</v>
      </c>
      <c r="G641" t="s">
        <v>25</v>
      </c>
      <c r="H641">
        <v>1</v>
      </c>
      <c r="I641">
        <v>42</v>
      </c>
      <c r="J641">
        <v>7</v>
      </c>
      <c r="K641">
        <v>5</v>
      </c>
      <c r="L641">
        <v>3</v>
      </c>
      <c r="M641">
        <v>23</v>
      </c>
      <c r="N641">
        <v>237</v>
      </c>
      <c r="O641">
        <v>204</v>
      </c>
      <c r="P641">
        <v>3</v>
      </c>
      <c r="Q641">
        <v>0</v>
      </c>
      <c r="R641">
        <v>2</v>
      </c>
      <c r="S641">
        <v>0</v>
      </c>
      <c r="T641">
        <v>0</v>
      </c>
      <c r="U641">
        <v>526</v>
      </c>
      <c r="V641">
        <v>54</v>
      </c>
      <c r="W641">
        <v>268</v>
      </c>
      <c r="X641">
        <v>204</v>
      </c>
    </row>
    <row r="642" spans="1:24" x14ac:dyDescent="0.2">
      <c r="A642">
        <v>641</v>
      </c>
      <c r="B642" s="1">
        <v>40963</v>
      </c>
      <c r="C642" t="s">
        <v>28</v>
      </c>
      <c r="D642">
        <v>222</v>
      </c>
      <c r="E642">
        <v>33</v>
      </c>
      <c r="F642">
        <v>6</v>
      </c>
      <c r="G642" t="s">
        <v>25</v>
      </c>
      <c r="H642">
        <v>2</v>
      </c>
      <c r="I642">
        <v>32</v>
      </c>
      <c r="J642">
        <v>1</v>
      </c>
      <c r="K642">
        <v>8</v>
      </c>
      <c r="L642">
        <v>5</v>
      </c>
      <c r="M642">
        <v>28</v>
      </c>
      <c r="N642">
        <v>267</v>
      </c>
      <c r="O642">
        <v>205</v>
      </c>
      <c r="P642">
        <v>2</v>
      </c>
      <c r="Q642">
        <v>5</v>
      </c>
      <c r="R642">
        <v>1</v>
      </c>
      <c r="S642">
        <v>2</v>
      </c>
      <c r="T642">
        <v>0</v>
      </c>
      <c r="U642">
        <v>556</v>
      </c>
      <c r="V642">
        <v>41</v>
      </c>
      <c r="W642">
        <v>310</v>
      </c>
      <c r="X642">
        <v>205</v>
      </c>
    </row>
    <row r="643" spans="1:24" x14ac:dyDescent="0.2">
      <c r="A643">
        <v>642</v>
      </c>
      <c r="B643" s="1">
        <v>40963</v>
      </c>
      <c r="C643" t="s">
        <v>24</v>
      </c>
      <c r="D643">
        <v>222</v>
      </c>
      <c r="E643">
        <v>33</v>
      </c>
      <c r="F643">
        <v>6</v>
      </c>
      <c r="G643" t="s">
        <v>26</v>
      </c>
      <c r="H643">
        <v>3</v>
      </c>
      <c r="I643">
        <v>37</v>
      </c>
      <c r="J643">
        <v>2</v>
      </c>
      <c r="K643">
        <v>12</v>
      </c>
      <c r="L643">
        <v>4</v>
      </c>
      <c r="M643">
        <v>22</v>
      </c>
      <c r="N643">
        <v>145</v>
      </c>
      <c r="O643">
        <v>153</v>
      </c>
      <c r="P643">
        <v>2</v>
      </c>
      <c r="Q643">
        <v>2</v>
      </c>
      <c r="R643">
        <v>4</v>
      </c>
      <c r="S643">
        <v>2</v>
      </c>
      <c r="T643">
        <v>0</v>
      </c>
      <c r="U643">
        <v>385</v>
      </c>
      <c r="V643">
        <v>51</v>
      </c>
      <c r="W643">
        <v>181</v>
      </c>
      <c r="X643">
        <v>153</v>
      </c>
    </row>
    <row r="644" spans="1:24" x14ac:dyDescent="0.2">
      <c r="A644">
        <v>643</v>
      </c>
      <c r="B644" s="1">
        <v>40963</v>
      </c>
      <c r="C644" t="s">
        <v>28</v>
      </c>
      <c r="D644">
        <v>222</v>
      </c>
      <c r="E644">
        <v>33</v>
      </c>
      <c r="F644">
        <v>6</v>
      </c>
      <c r="G644" t="s">
        <v>25</v>
      </c>
      <c r="H644">
        <v>4</v>
      </c>
      <c r="I644">
        <v>33</v>
      </c>
      <c r="J644">
        <v>1</v>
      </c>
      <c r="K644">
        <v>7</v>
      </c>
      <c r="L644">
        <v>8</v>
      </c>
      <c r="M644">
        <v>26</v>
      </c>
      <c r="N644">
        <v>153</v>
      </c>
      <c r="O644">
        <v>138</v>
      </c>
      <c r="P644">
        <v>4</v>
      </c>
      <c r="Q644">
        <v>2</v>
      </c>
      <c r="R644">
        <v>0</v>
      </c>
      <c r="S644">
        <v>0</v>
      </c>
      <c r="T644">
        <v>0</v>
      </c>
      <c r="U644">
        <v>372</v>
      </c>
      <c r="V644">
        <v>41</v>
      </c>
      <c r="W644">
        <v>193</v>
      </c>
      <c r="X644">
        <v>138</v>
      </c>
    </row>
    <row r="645" spans="1:24" x14ac:dyDescent="0.2">
      <c r="A645">
        <v>644</v>
      </c>
      <c r="B645" s="1">
        <v>40963</v>
      </c>
      <c r="C645" t="s">
        <v>24</v>
      </c>
      <c r="D645">
        <v>222</v>
      </c>
      <c r="E645">
        <v>33</v>
      </c>
      <c r="F645">
        <v>6</v>
      </c>
      <c r="G645" t="s">
        <v>26</v>
      </c>
      <c r="H645">
        <v>5</v>
      </c>
      <c r="I645">
        <v>34</v>
      </c>
      <c r="J645">
        <v>4</v>
      </c>
      <c r="K645">
        <v>8</v>
      </c>
      <c r="L645">
        <v>1</v>
      </c>
      <c r="M645">
        <v>18</v>
      </c>
      <c r="N645">
        <v>185</v>
      </c>
      <c r="O645">
        <v>158</v>
      </c>
      <c r="P645">
        <v>2</v>
      </c>
      <c r="Q645">
        <v>1</v>
      </c>
      <c r="R645">
        <v>2</v>
      </c>
      <c r="S645">
        <v>0</v>
      </c>
      <c r="T645">
        <v>0</v>
      </c>
      <c r="U645">
        <v>413</v>
      </c>
      <c r="V645">
        <v>46</v>
      </c>
      <c r="W645">
        <v>209</v>
      </c>
      <c r="X645">
        <v>158</v>
      </c>
    </row>
    <row r="646" spans="1:24" x14ac:dyDescent="0.2">
      <c r="A646">
        <v>645</v>
      </c>
      <c r="B646" s="1">
        <v>40963</v>
      </c>
      <c r="C646" t="s">
        <v>24</v>
      </c>
      <c r="D646">
        <v>222</v>
      </c>
      <c r="E646">
        <v>33</v>
      </c>
      <c r="F646">
        <v>6</v>
      </c>
      <c r="G646" t="s">
        <v>27</v>
      </c>
      <c r="H646">
        <v>6</v>
      </c>
      <c r="I646">
        <v>34</v>
      </c>
      <c r="J646">
        <v>2</v>
      </c>
      <c r="K646">
        <v>17</v>
      </c>
      <c r="L646">
        <v>3</v>
      </c>
      <c r="M646">
        <v>14</v>
      </c>
      <c r="N646">
        <v>170</v>
      </c>
      <c r="O646">
        <v>151</v>
      </c>
      <c r="P646">
        <v>1</v>
      </c>
      <c r="Q646">
        <v>0</v>
      </c>
      <c r="R646">
        <v>2</v>
      </c>
      <c r="S646">
        <v>1</v>
      </c>
      <c r="T646">
        <v>0</v>
      </c>
      <c r="U646">
        <v>395</v>
      </c>
      <c r="V646">
        <v>53</v>
      </c>
      <c r="W646">
        <v>191</v>
      </c>
      <c r="X646">
        <v>151</v>
      </c>
    </row>
    <row r="647" spans="1:24" x14ac:dyDescent="0.2">
      <c r="A647">
        <v>646</v>
      </c>
      <c r="B647" s="1">
        <v>40963</v>
      </c>
      <c r="C647" t="s">
        <v>28</v>
      </c>
      <c r="D647">
        <v>222</v>
      </c>
      <c r="E647">
        <v>33</v>
      </c>
      <c r="F647">
        <v>6</v>
      </c>
      <c r="G647" t="s">
        <v>27</v>
      </c>
      <c r="H647">
        <v>7</v>
      </c>
      <c r="I647">
        <v>53</v>
      </c>
      <c r="J647">
        <v>3</v>
      </c>
      <c r="K647">
        <v>10</v>
      </c>
      <c r="L647">
        <v>6</v>
      </c>
      <c r="M647">
        <v>25</v>
      </c>
      <c r="N647">
        <v>227</v>
      </c>
      <c r="O647">
        <v>231</v>
      </c>
      <c r="P647">
        <v>3</v>
      </c>
      <c r="Q647">
        <v>0</v>
      </c>
      <c r="R647">
        <v>2</v>
      </c>
      <c r="S647">
        <v>1</v>
      </c>
      <c r="T647">
        <v>0</v>
      </c>
      <c r="U647">
        <v>561</v>
      </c>
      <c r="V647">
        <v>66</v>
      </c>
      <c r="W647">
        <v>264</v>
      </c>
      <c r="X647">
        <v>231</v>
      </c>
    </row>
    <row r="648" spans="1:24" x14ac:dyDescent="0.2">
      <c r="A648">
        <v>647</v>
      </c>
      <c r="B648" s="1">
        <v>40963</v>
      </c>
      <c r="C648" t="s">
        <v>24</v>
      </c>
      <c r="D648">
        <v>222</v>
      </c>
      <c r="E648">
        <v>33</v>
      </c>
      <c r="F648">
        <v>6</v>
      </c>
      <c r="G648" t="s">
        <v>26</v>
      </c>
      <c r="H648">
        <v>8</v>
      </c>
      <c r="I648">
        <v>36</v>
      </c>
      <c r="J648">
        <v>11</v>
      </c>
      <c r="K648">
        <v>9</v>
      </c>
      <c r="L648">
        <v>4</v>
      </c>
      <c r="M648">
        <v>21</v>
      </c>
      <c r="N648">
        <v>176</v>
      </c>
      <c r="O648">
        <v>155</v>
      </c>
      <c r="P648">
        <v>1</v>
      </c>
      <c r="Q648">
        <v>0</v>
      </c>
      <c r="R648">
        <v>3</v>
      </c>
      <c r="S648">
        <v>0</v>
      </c>
      <c r="T648">
        <v>0</v>
      </c>
      <c r="U648">
        <v>416</v>
      </c>
      <c r="V648">
        <v>56</v>
      </c>
      <c r="W648">
        <v>205</v>
      </c>
      <c r="X648">
        <v>155</v>
      </c>
    </row>
    <row r="649" spans="1:24" x14ac:dyDescent="0.2">
      <c r="A649">
        <v>648</v>
      </c>
      <c r="B649" s="1">
        <v>40963</v>
      </c>
      <c r="C649" t="s">
        <v>24</v>
      </c>
      <c r="D649">
        <v>222</v>
      </c>
      <c r="E649">
        <v>33</v>
      </c>
      <c r="F649">
        <v>6</v>
      </c>
      <c r="G649" t="s">
        <v>27</v>
      </c>
      <c r="H649">
        <v>9</v>
      </c>
      <c r="I649">
        <v>61</v>
      </c>
      <c r="J649">
        <v>2</v>
      </c>
      <c r="K649">
        <v>21</v>
      </c>
      <c r="L649">
        <v>6</v>
      </c>
      <c r="M649">
        <v>32</v>
      </c>
      <c r="N649">
        <v>210</v>
      </c>
      <c r="O649">
        <v>159</v>
      </c>
      <c r="P649">
        <v>8</v>
      </c>
      <c r="Q649">
        <v>2</v>
      </c>
      <c r="R649">
        <v>3</v>
      </c>
      <c r="S649">
        <v>1</v>
      </c>
      <c r="T649">
        <v>0</v>
      </c>
      <c r="U649">
        <v>505</v>
      </c>
      <c r="V649">
        <v>84</v>
      </c>
      <c r="W649">
        <v>262</v>
      </c>
      <c r="X649">
        <v>159</v>
      </c>
    </row>
    <row r="650" spans="1:24" x14ac:dyDescent="0.2">
      <c r="A650">
        <v>649</v>
      </c>
      <c r="B650" s="1">
        <v>40967</v>
      </c>
      <c r="C650" t="s">
        <v>28</v>
      </c>
      <c r="D650">
        <v>226</v>
      </c>
      <c r="E650">
        <v>34</v>
      </c>
      <c r="F650">
        <v>3</v>
      </c>
      <c r="G650" t="s">
        <v>25</v>
      </c>
      <c r="H650">
        <v>1</v>
      </c>
      <c r="I650">
        <v>38</v>
      </c>
      <c r="J650">
        <v>7</v>
      </c>
      <c r="K650">
        <v>5</v>
      </c>
      <c r="L650">
        <v>2</v>
      </c>
      <c r="M650">
        <v>31</v>
      </c>
      <c r="N650">
        <v>240</v>
      </c>
      <c r="O650">
        <v>210</v>
      </c>
      <c r="P650">
        <v>1</v>
      </c>
      <c r="Q650">
        <v>1</v>
      </c>
      <c r="R650">
        <v>1</v>
      </c>
      <c r="S650">
        <v>0</v>
      </c>
      <c r="T650">
        <v>0</v>
      </c>
      <c r="U650">
        <v>536</v>
      </c>
      <c r="V650">
        <v>50</v>
      </c>
      <c r="W650">
        <v>276</v>
      </c>
      <c r="X650">
        <v>210</v>
      </c>
    </row>
    <row r="651" spans="1:24" x14ac:dyDescent="0.2">
      <c r="A651">
        <v>650</v>
      </c>
      <c r="B651" s="1">
        <v>40967</v>
      </c>
      <c r="C651" t="s">
        <v>28</v>
      </c>
      <c r="D651">
        <v>226</v>
      </c>
      <c r="E651">
        <v>34</v>
      </c>
      <c r="F651">
        <v>3</v>
      </c>
      <c r="G651" t="s">
        <v>25</v>
      </c>
      <c r="H651">
        <v>2</v>
      </c>
      <c r="I651">
        <v>33</v>
      </c>
      <c r="J651">
        <v>1</v>
      </c>
      <c r="K651">
        <v>8</v>
      </c>
      <c r="L651">
        <v>6</v>
      </c>
      <c r="M651">
        <v>20</v>
      </c>
      <c r="N651">
        <v>241</v>
      </c>
      <c r="O651">
        <v>212</v>
      </c>
      <c r="P651">
        <v>5</v>
      </c>
      <c r="Q651">
        <v>0</v>
      </c>
      <c r="R651">
        <v>2</v>
      </c>
      <c r="S651">
        <v>1</v>
      </c>
      <c r="T651">
        <v>0</v>
      </c>
      <c r="U651">
        <v>529</v>
      </c>
      <c r="V651">
        <v>42</v>
      </c>
      <c r="W651">
        <v>275</v>
      </c>
      <c r="X651">
        <v>212</v>
      </c>
    </row>
    <row r="652" spans="1:24" x14ac:dyDescent="0.2">
      <c r="A652">
        <v>651</v>
      </c>
      <c r="B652" s="1">
        <v>40967</v>
      </c>
      <c r="C652" t="s">
        <v>28</v>
      </c>
      <c r="D652">
        <v>226</v>
      </c>
      <c r="E652">
        <v>34</v>
      </c>
      <c r="F652">
        <v>3</v>
      </c>
      <c r="G652" t="s">
        <v>26</v>
      </c>
      <c r="H652">
        <v>3</v>
      </c>
      <c r="I652">
        <v>36</v>
      </c>
      <c r="J652">
        <v>2</v>
      </c>
      <c r="K652">
        <v>12</v>
      </c>
      <c r="L652">
        <v>4</v>
      </c>
      <c r="M652">
        <v>18</v>
      </c>
      <c r="N652">
        <v>165</v>
      </c>
      <c r="O652">
        <v>183</v>
      </c>
      <c r="P652">
        <v>0</v>
      </c>
      <c r="Q652">
        <v>2</v>
      </c>
      <c r="R652">
        <v>4</v>
      </c>
      <c r="S652">
        <v>1</v>
      </c>
      <c r="T652">
        <v>0</v>
      </c>
      <c r="U652">
        <v>427</v>
      </c>
      <c r="V652">
        <v>50</v>
      </c>
      <c r="W652">
        <v>194</v>
      </c>
      <c r="X652">
        <v>183</v>
      </c>
    </row>
    <row r="653" spans="1:24" x14ac:dyDescent="0.2">
      <c r="A653">
        <v>652</v>
      </c>
      <c r="B653" s="1">
        <v>40967</v>
      </c>
      <c r="C653" t="s">
        <v>28</v>
      </c>
      <c r="D653">
        <v>226</v>
      </c>
      <c r="E653">
        <v>34</v>
      </c>
      <c r="F653">
        <v>3</v>
      </c>
      <c r="G653" t="s">
        <v>25</v>
      </c>
      <c r="H653">
        <v>4</v>
      </c>
      <c r="I653">
        <v>34</v>
      </c>
      <c r="J653">
        <v>1</v>
      </c>
      <c r="K653">
        <v>8</v>
      </c>
      <c r="L653">
        <v>5</v>
      </c>
      <c r="M653">
        <v>24</v>
      </c>
      <c r="N653">
        <v>193</v>
      </c>
      <c r="O653">
        <v>196</v>
      </c>
      <c r="P653">
        <v>2</v>
      </c>
      <c r="Q653">
        <v>4</v>
      </c>
      <c r="R653">
        <v>2</v>
      </c>
      <c r="S653">
        <v>0</v>
      </c>
      <c r="T653">
        <v>0</v>
      </c>
      <c r="U653">
        <v>469</v>
      </c>
      <c r="V653">
        <v>43</v>
      </c>
      <c r="W653">
        <v>230</v>
      </c>
      <c r="X653">
        <v>196</v>
      </c>
    </row>
    <row r="654" spans="1:24" x14ac:dyDescent="0.2">
      <c r="A654">
        <v>653</v>
      </c>
      <c r="B654" s="1">
        <v>40967</v>
      </c>
      <c r="C654" t="s">
        <v>24</v>
      </c>
      <c r="D654">
        <v>226</v>
      </c>
      <c r="E654">
        <v>34</v>
      </c>
      <c r="F654">
        <v>3</v>
      </c>
      <c r="G654" t="s">
        <v>26</v>
      </c>
      <c r="H654">
        <v>5</v>
      </c>
      <c r="I654">
        <v>36</v>
      </c>
      <c r="J654">
        <v>4</v>
      </c>
      <c r="K654">
        <v>6</v>
      </c>
      <c r="L654">
        <v>4</v>
      </c>
      <c r="M654">
        <v>24</v>
      </c>
      <c r="N654">
        <v>220</v>
      </c>
      <c r="O654">
        <v>161</v>
      </c>
      <c r="P654">
        <v>0</v>
      </c>
      <c r="Q654">
        <v>2</v>
      </c>
      <c r="R654">
        <v>2</v>
      </c>
      <c r="S654">
        <v>0</v>
      </c>
      <c r="T654">
        <v>0</v>
      </c>
      <c r="U654">
        <v>459</v>
      </c>
      <c r="V654">
        <v>46</v>
      </c>
      <c r="W654">
        <v>252</v>
      </c>
      <c r="X654">
        <v>161</v>
      </c>
    </row>
    <row r="655" spans="1:24" x14ac:dyDescent="0.2">
      <c r="A655">
        <v>654</v>
      </c>
      <c r="B655" s="1">
        <v>40967</v>
      </c>
      <c r="C655" t="s">
        <v>24</v>
      </c>
      <c r="D655">
        <v>226</v>
      </c>
      <c r="E655">
        <v>34</v>
      </c>
      <c r="F655">
        <v>3</v>
      </c>
      <c r="G655" t="s">
        <v>27</v>
      </c>
      <c r="H655">
        <v>6</v>
      </c>
      <c r="I655">
        <v>31</v>
      </c>
      <c r="J655">
        <v>1</v>
      </c>
      <c r="K655">
        <v>15</v>
      </c>
      <c r="L655">
        <v>4</v>
      </c>
      <c r="M655">
        <v>29</v>
      </c>
      <c r="N655">
        <v>178</v>
      </c>
      <c r="O655">
        <v>172</v>
      </c>
      <c r="P655">
        <v>0</v>
      </c>
      <c r="Q655">
        <v>2</v>
      </c>
      <c r="R655">
        <v>0</v>
      </c>
      <c r="S655">
        <v>0</v>
      </c>
      <c r="T655">
        <v>0</v>
      </c>
      <c r="U655">
        <v>432</v>
      </c>
      <c r="V655">
        <v>47</v>
      </c>
      <c r="W655">
        <v>213</v>
      </c>
      <c r="X655">
        <v>172</v>
      </c>
    </row>
    <row r="656" spans="1:24" x14ac:dyDescent="0.2">
      <c r="A656">
        <v>655</v>
      </c>
      <c r="B656" s="1">
        <v>40967</v>
      </c>
      <c r="C656" t="s">
        <v>28</v>
      </c>
      <c r="D656">
        <v>226</v>
      </c>
      <c r="E656">
        <v>34</v>
      </c>
      <c r="F656">
        <v>3</v>
      </c>
      <c r="G656" t="s">
        <v>27</v>
      </c>
      <c r="H656">
        <v>7</v>
      </c>
      <c r="I656">
        <v>50</v>
      </c>
      <c r="J656">
        <v>3</v>
      </c>
      <c r="K656">
        <v>11</v>
      </c>
      <c r="L656">
        <v>3</v>
      </c>
      <c r="M656">
        <v>21</v>
      </c>
      <c r="N656">
        <v>198</v>
      </c>
      <c r="O656">
        <v>227</v>
      </c>
      <c r="P656">
        <v>2</v>
      </c>
      <c r="Q656">
        <v>4</v>
      </c>
      <c r="R656">
        <v>1</v>
      </c>
      <c r="S656">
        <v>1</v>
      </c>
      <c r="T656">
        <v>1</v>
      </c>
      <c r="U656">
        <v>522</v>
      </c>
      <c r="V656">
        <v>64</v>
      </c>
      <c r="W656">
        <v>230</v>
      </c>
      <c r="X656">
        <v>227</v>
      </c>
    </row>
    <row r="657" spans="1:24" x14ac:dyDescent="0.2">
      <c r="A657">
        <v>656</v>
      </c>
      <c r="B657" s="1">
        <v>40967</v>
      </c>
      <c r="C657" t="s">
        <v>24</v>
      </c>
      <c r="D657">
        <v>226</v>
      </c>
      <c r="E657">
        <v>34</v>
      </c>
      <c r="F657">
        <v>3</v>
      </c>
      <c r="G657" t="s">
        <v>26</v>
      </c>
      <c r="H657">
        <v>8</v>
      </c>
      <c r="I657">
        <v>32</v>
      </c>
      <c r="J657">
        <v>10</v>
      </c>
      <c r="K657">
        <v>8</v>
      </c>
      <c r="L657">
        <v>2</v>
      </c>
      <c r="M657">
        <v>17</v>
      </c>
      <c r="N657">
        <v>205</v>
      </c>
      <c r="O657">
        <v>126</v>
      </c>
      <c r="P657">
        <v>2</v>
      </c>
      <c r="Q657">
        <v>1</v>
      </c>
      <c r="R657">
        <v>3</v>
      </c>
      <c r="S657">
        <v>1</v>
      </c>
      <c r="T657">
        <v>0</v>
      </c>
      <c r="U657">
        <v>407</v>
      </c>
      <c r="V657">
        <v>50</v>
      </c>
      <c r="W657">
        <v>231</v>
      </c>
      <c r="X657">
        <v>126</v>
      </c>
    </row>
    <row r="658" spans="1:24" x14ac:dyDescent="0.2">
      <c r="A658">
        <v>657</v>
      </c>
      <c r="B658" s="1">
        <v>40967</v>
      </c>
      <c r="C658" t="s">
        <v>24</v>
      </c>
      <c r="D658">
        <v>226</v>
      </c>
      <c r="E658">
        <v>34</v>
      </c>
      <c r="F658">
        <v>3</v>
      </c>
      <c r="G658" t="s">
        <v>27</v>
      </c>
      <c r="H658">
        <v>9</v>
      </c>
      <c r="I658">
        <v>67</v>
      </c>
      <c r="J658">
        <v>4</v>
      </c>
      <c r="K658">
        <v>18</v>
      </c>
      <c r="L658">
        <v>6</v>
      </c>
      <c r="M658">
        <v>21</v>
      </c>
      <c r="N658">
        <v>247</v>
      </c>
      <c r="O658">
        <v>160</v>
      </c>
      <c r="P658">
        <v>5</v>
      </c>
      <c r="Q658">
        <v>0</v>
      </c>
      <c r="R658">
        <v>2</v>
      </c>
      <c r="S658">
        <v>0</v>
      </c>
      <c r="T658">
        <v>0</v>
      </c>
      <c r="U658">
        <v>530</v>
      </c>
      <c r="V658">
        <v>89</v>
      </c>
      <c r="W658">
        <v>281</v>
      </c>
      <c r="X658">
        <v>160</v>
      </c>
    </row>
    <row r="659" spans="1:24" x14ac:dyDescent="0.2">
      <c r="A659">
        <v>658</v>
      </c>
      <c r="B659" s="1">
        <v>40974</v>
      </c>
      <c r="C659" t="s">
        <v>28</v>
      </c>
      <c r="D659">
        <v>234</v>
      </c>
      <c r="E659">
        <v>35</v>
      </c>
      <c r="F659">
        <v>3</v>
      </c>
      <c r="G659" t="s">
        <v>25</v>
      </c>
      <c r="H659">
        <v>1</v>
      </c>
      <c r="I659">
        <v>38</v>
      </c>
      <c r="J659">
        <v>7</v>
      </c>
      <c r="K659">
        <v>5</v>
      </c>
      <c r="L659">
        <v>3</v>
      </c>
      <c r="M659">
        <v>26</v>
      </c>
      <c r="N659">
        <v>229</v>
      </c>
      <c r="O659">
        <v>196</v>
      </c>
      <c r="P659">
        <v>2</v>
      </c>
      <c r="Q659">
        <v>1</v>
      </c>
      <c r="R659">
        <v>4</v>
      </c>
      <c r="S659">
        <v>0</v>
      </c>
      <c r="T659">
        <v>0</v>
      </c>
      <c r="U659">
        <v>511</v>
      </c>
      <c r="V659">
        <v>50</v>
      </c>
      <c r="W659">
        <v>265</v>
      </c>
      <c r="X659">
        <v>196</v>
      </c>
    </row>
    <row r="660" spans="1:24" x14ac:dyDescent="0.2">
      <c r="A660">
        <v>659</v>
      </c>
      <c r="B660" s="1">
        <v>40974</v>
      </c>
      <c r="C660" t="s">
        <v>28</v>
      </c>
      <c r="D660">
        <v>234</v>
      </c>
      <c r="E660">
        <v>35</v>
      </c>
      <c r="F660">
        <v>3</v>
      </c>
      <c r="G660" t="s">
        <v>25</v>
      </c>
      <c r="H660">
        <v>2</v>
      </c>
      <c r="I660">
        <v>32</v>
      </c>
      <c r="J660">
        <v>1</v>
      </c>
      <c r="K660">
        <v>8</v>
      </c>
      <c r="L660">
        <v>5</v>
      </c>
      <c r="M660">
        <v>20</v>
      </c>
      <c r="N660">
        <v>215</v>
      </c>
      <c r="O660">
        <v>198</v>
      </c>
      <c r="P660">
        <v>5</v>
      </c>
      <c r="Q660">
        <v>3</v>
      </c>
      <c r="R660">
        <v>3</v>
      </c>
      <c r="S660">
        <v>0</v>
      </c>
      <c r="T660">
        <v>0</v>
      </c>
      <c r="U660">
        <v>490</v>
      </c>
      <c r="V660">
        <v>41</v>
      </c>
      <c r="W660">
        <v>251</v>
      </c>
      <c r="X660">
        <v>198</v>
      </c>
    </row>
    <row r="661" spans="1:24" x14ac:dyDescent="0.2">
      <c r="A661">
        <v>660</v>
      </c>
      <c r="B661" s="1">
        <v>40974</v>
      </c>
      <c r="C661" t="s">
        <v>28</v>
      </c>
      <c r="D661">
        <v>234</v>
      </c>
      <c r="E661">
        <v>35</v>
      </c>
      <c r="F661">
        <v>3</v>
      </c>
      <c r="G661" t="s">
        <v>26</v>
      </c>
      <c r="H661">
        <v>3</v>
      </c>
      <c r="I661">
        <v>35</v>
      </c>
      <c r="J661">
        <v>2</v>
      </c>
      <c r="K661">
        <v>10</v>
      </c>
      <c r="L661">
        <v>2</v>
      </c>
      <c r="M661">
        <v>21</v>
      </c>
      <c r="N661">
        <v>151</v>
      </c>
      <c r="O661">
        <v>173</v>
      </c>
      <c r="P661">
        <v>1</v>
      </c>
      <c r="Q661">
        <v>2</v>
      </c>
      <c r="R661">
        <v>6</v>
      </c>
      <c r="S661">
        <v>0</v>
      </c>
      <c r="T661">
        <v>0</v>
      </c>
      <c r="U661">
        <v>403</v>
      </c>
      <c r="V661">
        <v>47</v>
      </c>
      <c r="W661">
        <v>183</v>
      </c>
      <c r="X661">
        <v>173</v>
      </c>
    </row>
    <row r="662" spans="1:24" x14ac:dyDescent="0.2">
      <c r="A662">
        <v>661</v>
      </c>
      <c r="B662" s="1">
        <v>40974</v>
      </c>
      <c r="C662" t="s">
        <v>28</v>
      </c>
      <c r="D662">
        <v>234</v>
      </c>
      <c r="E662">
        <v>35</v>
      </c>
      <c r="F662">
        <v>3</v>
      </c>
      <c r="G662" t="s">
        <v>25</v>
      </c>
      <c r="H662">
        <v>4</v>
      </c>
      <c r="I662">
        <v>36</v>
      </c>
      <c r="J662">
        <v>1</v>
      </c>
      <c r="K662">
        <v>9</v>
      </c>
      <c r="L662">
        <v>4</v>
      </c>
      <c r="M662">
        <v>23</v>
      </c>
      <c r="N662">
        <v>180</v>
      </c>
      <c r="O662">
        <v>173</v>
      </c>
      <c r="P662">
        <v>4</v>
      </c>
      <c r="Q662">
        <v>3</v>
      </c>
      <c r="R662">
        <v>6</v>
      </c>
      <c r="S662">
        <v>0</v>
      </c>
      <c r="T662">
        <v>0</v>
      </c>
      <c r="U662">
        <v>439</v>
      </c>
      <c r="V662">
        <v>46</v>
      </c>
      <c r="W662">
        <v>220</v>
      </c>
      <c r="X662">
        <v>173</v>
      </c>
    </row>
    <row r="663" spans="1:24" x14ac:dyDescent="0.2">
      <c r="A663">
        <v>662</v>
      </c>
      <c r="B663" s="1">
        <v>40974</v>
      </c>
      <c r="C663" t="s">
        <v>28</v>
      </c>
      <c r="D663">
        <v>234</v>
      </c>
      <c r="E663">
        <v>35</v>
      </c>
      <c r="F663">
        <v>3</v>
      </c>
      <c r="G663" t="s">
        <v>26</v>
      </c>
      <c r="H663">
        <v>5</v>
      </c>
      <c r="I663">
        <v>35</v>
      </c>
      <c r="J663">
        <v>4</v>
      </c>
      <c r="K663">
        <v>7</v>
      </c>
      <c r="L663">
        <v>2</v>
      </c>
      <c r="M663">
        <v>20</v>
      </c>
      <c r="N663">
        <v>237</v>
      </c>
      <c r="O663">
        <v>156</v>
      </c>
      <c r="P663">
        <v>4</v>
      </c>
      <c r="Q663">
        <v>4</v>
      </c>
      <c r="R663">
        <v>3</v>
      </c>
      <c r="S663">
        <v>0</v>
      </c>
      <c r="T663">
        <v>0</v>
      </c>
      <c r="U663">
        <v>472</v>
      </c>
      <c r="V663">
        <v>46</v>
      </c>
      <c r="W663">
        <v>270</v>
      </c>
      <c r="X663">
        <v>156</v>
      </c>
    </row>
    <row r="664" spans="1:24" x14ac:dyDescent="0.2">
      <c r="A664">
        <v>663</v>
      </c>
      <c r="B664" s="1">
        <v>40974</v>
      </c>
      <c r="C664" t="s">
        <v>28</v>
      </c>
      <c r="D664">
        <v>234</v>
      </c>
      <c r="E664">
        <v>35</v>
      </c>
      <c r="F664">
        <v>3</v>
      </c>
      <c r="G664" t="s">
        <v>27</v>
      </c>
      <c r="H664">
        <v>6</v>
      </c>
      <c r="I664">
        <v>29</v>
      </c>
      <c r="J664">
        <v>1</v>
      </c>
      <c r="K664">
        <v>16</v>
      </c>
      <c r="L664">
        <v>3</v>
      </c>
      <c r="M664">
        <v>19</v>
      </c>
      <c r="N664">
        <v>163</v>
      </c>
      <c r="O664">
        <v>182</v>
      </c>
      <c r="P664">
        <v>3</v>
      </c>
      <c r="Q664">
        <v>2</v>
      </c>
      <c r="R664">
        <v>2</v>
      </c>
      <c r="S664">
        <v>0</v>
      </c>
      <c r="T664">
        <v>0</v>
      </c>
      <c r="U664">
        <v>420</v>
      </c>
      <c r="V664">
        <v>46</v>
      </c>
      <c r="W664">
        <v>192</v>
      </c>
      <c r="X664">
        <v>182</v>
      </c>
    </row>
    <row r="665" spans="1:24" x14ac:dyDescent="0.2">
      <c r="A665">
        <v>664</v>
      </c>
      <c r="B665" s="1">
        <v>40974</v>
      </c>
      <c r="C665" t="s">
        <v>28</v>
      </c>
      <c r="D665">
        <v>234</v>
      </c>
      <c r="E665">
        <v>35</v>
      </c>
      <c r="F665">
        <v>3</v>
      </c>
      <c r="G665" t="s">
        <v>27</v>
      </c>
      <c r="H665">
        <v>7</v>
      </c>
      <c r="I665">
        <v>49</v>
      </c>
      <c r="J665">
        <v>3</v>
      </c>
      <c r="K665">
        <v>9</v>
      </c>
      <c r="L665">
        <v>2</v>
      </c>
      <c r="M665">
        <v>19</v>
      </c>
      <c r="N665">
        <v>184</v>
      </c>
      <c r="O665">
        <v>246</v>
      </c>
      <c r="P665">
        <v>6</v>
      </c>
      <c r="Q665">
        <v>4</v>
      </c>
      <c r="R665">
        <v>1</v>
      </c>
      <c r="S665">
        <v>0</v>
      </c>
      <c r="T665">
        <v>0</v>
      </c>
      <c r="U665">
        <v>523</v>
      </c>
      <c r="V665">
        <v>61</v>
      </c>
      <c r="W665">
        <v>216</v>
      </c>
      <c r="X665">
        <v>246</v>
      </c>
    </row>
    <row r="666" spans="1:24" x14ac:dyDescent="0.2">
      <c r="A666">
        <v>665</v>
      </c>
      <c r="B666" s="1">
        <v>40974</v>
      </c>
      <c r="C666" t="s">
        <v>28</v>
      </c>
      <c r="D666">
        <v>234</v>
      </c>
      <c r="E666">
        <v>35</v>
      </c>
      <c r="F666">
        <v>3</v>
      </c>
      <c r="G666" t="s">
        <v>26</v>
      </c>
      <c r="H666">
        <v>8</v>
      </c>
      <c r="I666">
        <v>31</v>
      </c>
      <c r="J666">
        <v>11</v>
      </c>
      <c r="K666">
        <v>8</v>
      </c>
      <c r="L666">
        <v>6</v>
      </c>
      <c r="M666">
        <v>22</v>
      </c>
      <c r="N666">
        <v>213</v>
      </c>
      <c r="O666">
        <v>141</v>
      </c>
      <c r="P666">
        <v>3</v>
      </c>
      <c r="Q666">
        <v>1</v>
      </c>
      <c r="R666">
        <v>5</v>
      </c>
      <c r="S666">
        <v>1</v>
      </c>
      <c r="T666">
        <v>0</v>
      </c>
      <c r="U666">
        <v>442</v>
      </c>
      <c r="V666">
        <v>50</v>
      </c>
      <c r="W666">
        <v>251</v>
      </c>
      <c r="X666">
        <v>141</v>
      </c>
    </row>
    <row r="667" spans="1:24" x14ac:dyDescent="0.2">
      <c r="A667">
        <v>666</v>
      </c>
      <c r="B667" s="1">
        <v>40974</v>
      </c>
      <c r="C667" t="s">
        <v>28</v>
      </c>
      <c r="D667">
        <v>234</v>
      </c>
      <c r="E667">
        <v>35</v>
      </c>
      <c r="F667">
        <v>3</v>
      </c>
      <c r="G667" t="s">
        <v>27</v>
      </c>
      <c r="H667">
        <v>9</v>
      </c>
      <c r="I667">
        <v>66</v>
      </c>
      <c r="J667">
        <v>4</v>
      </c>
      <c r="K667">
        <v>17</v>
      </c>
      <c r="L667">
        <v>4</v>
      </c>
      <c r="M667">
        <v>23</v>
      </c>
      <c r="N667">
        <v>251</v>
      </c>
      <c r="O667">
        <v>175</v>
      </c>
      <c r="P667">
        <v>6</v>
      </c>
      <c r="Q667">
        <v>4</v>
      </c>
      <c r="R667">
        <v>1</v>
      </c>
      <c r="S667">
        <v>0</v>
      </c>
      <c r="T667">
        <v>0</v>
      </c>
      <c r="U667">
        <v>551</v>
      </c>
      <c r="V667">
        <v>87</v>
      </c>
      <c r="W667">
        <v>289</v>
      </c>
      <c r="X667">
        <v>175</v>
      </c>
    </row>
    <row r="668" spans="1:24" x14ac:dyDescent="0.2">
      <c r="A668">
        <v>667</v>
      </c>
      <c r="B668" s="1">
        <v>40981</v>
      </c>
      <c r="C668" t="s">
        <v>28</v>
      </c>
      <c r="D668">
        <v>241</v>
      </c>
      <c r="E668">
        <v>36</v>
      </c>
      <c r="F668">
        <v>3</v>
      </c>
      <c r="G668" t="s">
        <v>25</v>
      </c>
      <c r="H668">
        <v>1</v>
      </c>
      <c r="I668">
        <v>39</v>
      </c>
      <c r="J668">
        <v>7</v>
      </c>
      <c r="K668">
        <v>6</v>
      </c>
      <c r="L668">
        <v>8</v>
      </c>
      <c r="M668">
        <v>23</v>
      </c>
      <c r="N668">
        <v>226</v>
      </c>
      <c r="O668">
        <v>203</v>
      </c>
      <c r="P668">
        <v>2</v>
      </c>
      <c r="Q668">
        <v>2</v>
      </c>
      <c r="R668">
        <v>2</v>
      </c>
      <c r="S668">
        <v>0</v>
      </c>
      <c r="T668">
        <v>0</v>
      </c>
      <c r="U668">
        <v>518</v>
      </c>
      <c r="V668">
        <v>52</v>
      </c>
      <c r="W668">
        <v>263</v>
      </c>
      <c r="X668">
        <v>203</v>
      </c>
    </row>
    <row r="669" spans="1:24" x14ac:dyDescent="0.2">
      <c r="A669">
        <v>668</v>
      </c>
      <c r="B669" s="1">
        <v>40981</v>
      </c>
      <c r="C669" t="s">
        <v>24</v>
      </c>
      <c r="D669">
        <v>241</v>
      </c>
      <c r="E669">
        <v>36</v>
      </c>
      <c r="F669">
        <v>3</v>
      </c>
      <c r="G669" t="s">
        <v>25</v>
      </c>
      <c r="H669">
        <v>2</v>
      </c>
      <c r="I669">
        <v>34</v>
      </c>
      <c r="J669">
        <v>2</v>
      </c>
      <c r="K669">
        <v>10</v>
      </c>
      <c r="L669">
        <v>2</v>
      </c>
      <c r="M669">
        <v>26</v>
      </c>
      <c r="N669">
        <v>256</v>
      </c>
      <c r="O669">
        <v>230</v>
      </c>
      <c r="P669">
        <v>4</v>
      </c>
      <c r="Q669">
        <v>2</v>
      </c>
      <c r="R669">
        <v>5</v>
      </c>
      <c r="S669">
        <v>0</v>
      </c>
      <c r="T669">
        <v>0</v>
      </c>
      <c r="U669">
        <v>571</v>
      </c>
      <c r="V669">
        <v>46</v>
      </c>
      <c r="W669">
        <v>295</v>
      </c>
      <c r="X669">
        <v>230</v>
      </c>
    </row>
    <row r="670" spans="1:24" x14ac:dyDescent="0.2">
      <c r="A670">
        <v>669</v>
      </c>
      <c r="B670" s="1">
        <v>40981</v>
      </c>
      <c r="C670" t="s">
        <v>24</v>
      </c>
      <c r="D670">
        <v>241</v>
      </c>
      <c r="E670">
        <v>36</v>
      </c>
      <c r="F670">
        <v>3</v>
      </c>
      <c r="G670" t="s">
        <v>26</v>
      </c>
      <c r="H670">
        <v>3</v>
      </c>
      <c r="I670">
        <v>33</v>
      </c>
      <c r="J670">
        <v>4</v>
      </c>
      <c r="K670">
        <v>6</v>
      </c>
      <c r="L670">
        <v>8</v>
      </c>
      <c r="M670">
        <v>19</v>
      </c>
      <c r="N670">
        <v>204</v>
      </c>
      <c r="O670">
        <v>153</v>
      </c>
      <c r="P670">
        <v>4</v>
      </c>
      <c r="Q670">
        <v>3</v>
      </c>
      <c r="R670">
        <v>6</v>
      </c>
      <c r="S670">
        <v>0</v>
      </c>
      <c r="T670">
        <v>0</v>
      </c>
      <c r="U670">
        <v>440</v>
      </c>
      <c r="V670">
        <v>43</v>
      </c>
      <c r="W670">
        <v>244</v>
      </c>
      <c r="X670">
        <v>153</v>
      </c>
    </row>
    <row r="671" spans="1:24" x14ac:dyDescent="0.2">
      <c r="A671">
        <v>670</v>
      </c>
      <c r="B671" s="1">
        <v>40981</v>
      </c>
      <c r="C671" t="s">
        <v>24</v>
      </c>
      <c r="D671">
        <v>241</v>
      </c>
      <c r="E671">
        <v>36</v>
      </c>
      <c r="F671">
        <v>3</v>
      </c>
      <c r="G671" t="s">
        <v>25</v>
      </c>
      <c r="H671">
        <v>4</v>
      </c>
      <c r="I671">
        <v>39</v>
      </c>
      <c r="J671">
        <v>2</v>
      </c>
      <c r="K671">
        <v>15</v>
      </c>
      <c r="L671">
        <v>3</v>
      </c>
      <c r="M671">
        <v>24</v>
      </c>
      <c r="N671">
        <v>187</v>
      </c>
      <c r="O671">
        <v>161</v>
      </c>
      <c r="P671">
        <v>0</v>
      </c>
      <c r="Q671">
        <v>3</v>
      </c>
      <c r="R671">
        <v>4</v>
      </c>
      <c r="S671">
        <v>0</v>
      </c>
      <c r="T671">
        <v>0</v>
      </c>
      <c r="U671">
        <v>438</v>
      </c>
      <c r="V671">
        <v>56</v>
      </c>
      <c r="W671">
        <v>221</v>
      </c>
      <c r="X671">
        <v>161</v>
      </c>
    </row>
    <row r="672" spans="1:24" x14ac:dyDescent="0.2">
      <c r="A672">
        <v>671</v>
      </c>
      <c r="B672" s="1">
        <v>40981</v>
      </c>
      <c r="C672" t="s">
        <v>28</v>
      </c>
      <c r="D672">
        <v>241</v>
      </c>
      <c r="E672">
        <v>36</v>
      </c>
      <c r="F672">
        <v>3</v>
      </c>
      <c r="G672" t="s">
        <v>26</v>
      </c>
      <c r="H672">
        <v>5</v>
      </c>
      <c r="I672">
        <v>34</v>
      </c>
      <c r="J672">
        <v>3</v>
      </c>
      <c r="K672">
        <v>9</v>
      </c>
      <c r="L672">
        <v>8</v>
      </c>
      <c r="M672">
        <v>22</v>
      </c>
      <c r="N672">
        <v>227</v>
      </c>
      <c r="O672">
        <v>179</v>
      </c>
      <c r="P672">
        <v>1</v>
      </c>
      <c r="Q672">
        <v>4</v>
      </c>
      <c r="R672">
        <v>2</v>
      </c>
      <c r="S672">
        <v>0</v>
      </c>
      <c r="T672">
        <v>0</v>
      </c>
      <c r="U672">
        <v>489</v>
      </c>
      <c r="V672">
        <v>46</v>
      </c>
      <c r="W672">
        <v>264</v>
      </c>
      <c r="X672">
        <v>179</v>
      </c>
    </row>
    <row r="673" spans="1:24" x14ac:dyDescent="0.2">
      <c r="A673">
        <v>672</v>
      </c>
      <c r="B673" s="1">
        <v>40981</v>
      </c>
      <c r="C673" t="s">
        <v>28</v>
      </c>
      <c r="D673">
        <v>241</v>
      </c>
      <c r="E673">
        <v>36</v>
      </c>
      <c r="F673">
        <v>3</v>
      </c>
      <c r="G673" t="s">
        <v>27</v>
      </c>
      <c r="H673">
        <v>6</v>
      </c>
      <c r="I673">
        <v>32</v>
      </c>
      <c r="J673">
        <v>1</v>
      </c>
      <c r="K673">
        <v>17</v>
      </c>
      <c r="L673">
        <v>9</v>
      </c>
      <c r="M673">
        <v>23</v>
      </c>
      <c r="N673">
        <v>196</v>
      </c>
      <c r="O673">
        <v>225</v>
      </c>
      <c r="P673">
        <v>3</v>
      </c>
      <c r="Q673">
        <v>1</v>
      </c>
      <c r="R673">
        <v>1</v>
      </c>
      <c r="S673">
        <v>0</v>
      </c>
      <c r="T673">
        <v>0</v>
      </c>
      <c r="U673">
        <v>508</v>
      </c>
      <c r="V673">
        <v>50</v>
      </c>
      <c r="W673">
        <v>233</v>
      </c>
      <c r="X673">
        <v>225</v>
      </c>
    </row>
    <row r="674" spans="1:24" x14ac:dyDescent="0.2">
      <c r="A674">
        <v>673</v>
      </c>
      <c r="B674" s="1">
        <v>40981</v>
      </c>
      <c r="C674" t="s">
        <v>24</v>
      </c>
      <c r="D674">
        <v>241</v>
      </c>
      <c r="E674">
        <v>36</v>
      </c>
      <c r="F674">
        <v>3</v>
      </c>
      <c r="G674" t="s">
        <v>27</v>
      </c>
      <c r="H674">
        <v>7</v>
      </c>
      <c r="I674">
        <v>52</v>
      </c>
      <c r="J674">
        <v>4</v>
      </c>
      <c r="K674">
        <v>7</v>
      </c>
      <c r="L674">
        <v>5</v>
      </c>
      <c r="M674">
        <v>30</v>
      </c>
      <c r="N674">
        <v>183</v>
      </c>
      <c r="O674">
        <v>189</v>
      </c>
      <c r="P674">
        <v>3</v>
      </c>
      <c r="Q674">
        <v>4</v>
      </c>
      <c r="R674">
        <v>5</v>
      </c>
      <c r="S674">
        <v>0</v>
      </c>
      <c r="T674">
        <v>0</v>
      </c>
      <c r="U674">
        <v>482</v>
      </c>
      <c r="V674">
        <v>63</v>
      </c>
      <c r="W674">
        <v>230</v>
      </c>
      <c r="X674">
        <v>189</v>
      </c>
    </row>
    <row r="675" spans="1:24" x14ac:dyDescent="0.2">
      <c r="A675">
        <v>674</v>
      </c>
      <c r="B675" s="1">
        <v>40981</v>
      </c>
      <c r="C675" t="s">
        <v>24</v>
      </c>
      <c r="D675">
        <v>241</v>
      </c>
      <c r="E675">
        <v>36</v>
      </c>
      <c r="F675">
        <v>3</v>
      </c>
      <c r="G675" t="s">
        <v>26</v>
      </c>
      <c r="H675">
        <v>8</v>
      </c>
      <c r="I675">
        <v>33</v>
      </c>
      <c r="J675">
        <v>16</v>
      </c>
      <c r="K675">
        <v>8</v>
      </c>
      <c r="L675">
        <v>9</v>
      </c>
      <c r="M675">
        <v>35</v>
      </c>
      <c r="N675">
        <v>182</v>
      </c>
      <c r="O675">
        <v>160</v>
      </c>
      <c r="P675">
        <v>3</v>
      </c>
      <c r="Q675">
        <v>1</v>
      </c>
      <c r="R675">
        <v>1</v>
      </c>
      <c r="S675">
        <v>0</v>
      </c>
      <c r="T675">
        <v>0</v>
      </c>
      <c r="U675">
        <v>448</v>
      </c>
      <c r="V675">
        <v>57</v>
      </c>
      <c r="W675">
        <v>231</v>
      </c>
      <c r="X675">
        <v>160</v>
      </c>
    </row>
    <row r="676" spans="1:24" x14ac:dyDescent="0.2">
      <c r="A676">
        <v>675</v>
      </c>
      <c r="B676" s="1">
        <v>40981</v>
      </c>
      <c r="C676" t="s">
        <v>28</v>
      </c>
      <c r="D676">
        <v>241</v>
      </c>
      <c r="E676">
        <v>36</v>
      </c>
      <c r="F676">
        <v>3</v>
      </c>
      <c r="G676" t="s">
        <v>27</v>
      </c>
      <c r="H676">
        <v>9</v>
      </c>
      <c r="I676">
        <v>66</v>
      </c>
      <c r="J676">
        <v>3</v>
      </c>
      <c r="K676">
        <v>15</v>
      </c>
      <c r="L676">
        <v>7</v>
      </c>
      <c r="M676">
        <v>26</v>
      </c>
      <c r="N676">
        <v>258</v>
      </c>
      <c r="O676">
        <v>164</v>
      </c>
      <c r="P676">
        <v>3</v>
      </c>
      <c r="Q676">
        <v>1</v>
      </c>
      <c r="R676">
        <v>1</v>
      </c>
      <c r="S676">
        <v>0</v>
      </c>
      <c r="T676">
        <v>0</v>
      </c>
      <c r="U676">
        <v>544</v>
      </c>
      <c r="V676">
        <v>84</v>
      </c>
      <c r="W676">
        <v>296</v>
      </c>
      <c r="X676">
        <v>164</v>
      </c>
    </row>
    <row r="677" spans="1:24" x14ac:dyDescent="0.2">
      <c r="A677">
        <v>676</v>
      </c>
      <c r="B677" s="1">
        <v>40988</v>
      </c>
      <c r="C677" t="s">
        <v>24</v>
      </c>
      <c r="D677">
        <v>248</v>
      </c>
      <c r="E677">
        <v>37</v>
      </c>
      <c r="F677">
        <v>3</v>
      </c>
      <c r="G677" t="s">
        <v>25</v>
      </c>
      <c r="H677">
        <v>1</v>
      </c>
      <c r="I677">
        <v>33</v>
      </c>
      <c r="J677">
        <v>6</v>
      </c>
      <c r="K677">
        <v>4</v>
      </c>
      <c r="L677">
        <v>4</v>
      </c>
      <c r="M677">
        <v>14</v>
      </c>
      <c r="N677">
        <v>215</v>
      </c>
      <c r="O677">
        <v>145</v>
      </c>
      <c r="P677">
        <v>4</v>
      </c>
      <c r="Q677">
        <v>0</v>
      </c>
      <c r="R677">
        <v>3</v>
      </c>
      <c r="S677">
        <v>0</v>
      </c>
      <c r="T677">
        <v>0</v>
      </c>
      <c r="U677">
        <v>428</v>
      </c>
      <c r="V677">
        <v>43</v>
      </c>
      <c r="W677">
        <v>240</v>
      </c>
      <c r="X677">
        <v>145</v>
      </c>
    </row>
    <row r="678" spans="1:24" x14ac:dyDescent="0.2">
      <c r="A678">
        <v>677</v>
      </c>
      <c r="B678" s="1">
        <v>40988</v>
      </c>
      <c r="C678" t="s">
        <v>24</v>
      </c>
      <c r="D678">
        <v>248</v>
      </c>
      <c r="E678">
        <v>37</v>
      </c>
      <c r="F678">
        <v>3</v>
      </c>
      <c r="G678" t="s">
        <v>25</v>
      </c>
      <c r="H678">
        <v>2</v>
      </c>
      <c r="I678">
        <v>37</v>
      </c>
      <c r="J678">
        <v>2</v>
      </c>
      <c r="K678">
        <v>6</v>
      </c>
      <c r="L678">
        <v>6</v>
      </c>
      <c r="M678">
        <v>34</v>
      </c>
      <c r="N678">
        <v>261</v>
      </c>
      <c r="O678">
        <v>220</v>
      </c>
      <c r="P678">
        <v>0</v>
      </c>
      <c r="Q678">
        <v>8</v>
      </c>
      <c r="R678">
        <v>3</v>
      </c>
      <c r="S678">
        <v>2</v>
      </c>
      <c r="T678">
        <v>1</v>
      </c>
      <c r="U678">
        <v>580</v>
      </c>
      <c r="V678">
        <v>45</v>
      </c>
      <c r="W678">
        <v>314</v>
      </c>
      <c r="X678">
        <v>220</v>
      </c>
    </row>
    <row r="679" spans="1:24" x14ac:dyDescent="0.2">
      <c r="A679">
        <v>678</v>
      </c>
      <c r="B679" s="1">
        <v>40988</v>
      </c>
      <c r="C679" t="s">
        <v>28</v>
      </c>
      <c r="D679">
        <v>248</v>
      </c>
      <c r="E679">
        <v>37</v>
      </c>
      <c r="F679">
        <v>3</v>
      </c>
      <c r="G679" t="s">
        <v>26</v>
      </c>
      <c r="H679">
        <v>3</v>
      </c>
      <c r="I679">
        <v>34</v>
      </c>
      <c r="J679">
        <v>4</v>
      </c>
      <c r="K679">
        <v>8</v>
      </c>
      <c r="L679">
        <v>1</v>
      </c>
      <c r="M679">
        <v>19</v>
      </c>
      <c r="N679">
        <v>209</v>
      </c>
      <c r="O679">
        <v>182</v>
      </c>
      <c r="P679">
        <v>5</v>
      </c>
      <c r="Q679">
        <v>4</v>
      </c>
      <c r="R679">
        <v>9</v>
      </c>
      <c r="S679">
        <v>0</v>
      </c>
      <c r="T679">
        <v>0</v>
      </c>
      <c r="U679">
        <v>475</v>
      </c>
      <c r="V679">
        <v>46</v>
      </c>
      <c r="W679">
        <v>247</v>
      </c>
      <c r="X679">
        <v>182</v>
      </c>
    </row>
    <row r="680" spans="1:24" x14ac:dyDescent="0.2">
      <c r="A680">
        <v>679</v>
      </c>
      <c r="B680" s="1">
        <v>40988</v>
      </c>
      <c r="C680" t="s">
        <v>28</v>
      </c>
      <c r="D680">
        <v>248</v>
      </c>
      <c r="E680">
        <v>37</v>
      </c>
      <c r="F680">
        <v>3</v>
      </c>
      <c r="G680" t="s">
        <v>25</v>
      </c>
      <c r="H680">
        <v>4</v>
      </c>
      <c r="I680">
        <v>39</v>
      </c>
      <c r="J680">
        <v>2</v>
      </c>
      <c r="K680">
        <v>13</v>
      </c>
      <c r="L680">
        <v>3</v>
      </c>
      <c r="M680">
        <v>26</v>
      </c>
      <c r="N680">
        <v>203</v>
      </c>
      <c r="O680">
        <v>157</v>
      </c>
      <c r="P680">
        <v>1</v>
      </c>
      <c r="Q680">
        <v>3</v>
      </c>
      <c r="R680">
        <v>4</v>
      </c>
      <c r="S680">
        <v>0</v>
      </c>
      <c r="T680">
        <v>0</v>
      </c>
      <c r="U680">
        <v>451</v>
      </c>
      <c r="V680">
        <v>54</v>
      </c>
      <c r="W680">
        <v>240</v>
      </c>
      <c r="X680">
        <v>157</v>
      </c>
    </row>
    <row r="681" spans="1:24" x14ac:dyDescent="0.2">
      <c r="A681">
        <v>680</v>
      </c>
      <c r="B681" s="1">
        <v>40988</v>
      </c>
      <c r="C681" t="s">
        <v>24</v>
      </c>
      <c r="D681">
        <v>248</v>
      </c>
      <c r="E681">
        <v>37</v>
      </c>
      <c r="F681">
        <v>3</v>
      </c>
      <c r="G681" t="s">
        <v>26</v>
      </c>
      <c r="H681">
        <v>5</v>
      </c>
      <c r="I681">
        <v>39</v>
      </c>
      <c r="J681">
        <v>4</v>
      </c>
      <c r="K681">
        <v>10</v>
      </c>
      <c r="L681">
        <v>5</v>
      </c>
      <c r="M681">
        <v>32</v>
      </c>
      <c r="N681">
        <v>175</v>
      </c>
      <c r="O681">
        <v>181</v>
      </c>
      <c r="P681">
        <v>3</v>
      </c>
      <c r="Q681">
        <v>3</v>
      </c>
      <c r="R681">
        <v>2</v>
      </c>
      <c r="S681">
        <v>0</v>
      </c>
      <c r="T681">
        <v>0</v>
      </c>
      <c r="U681">
        <v>454</v>
      </c>
      <c r="V681">
        <v>53</v>
      </c>
      <c r="W681">
        <v>220</v>
      </c>
      <c r="X681">
        <v>181</v>
      </c>
    </row>
    <row r="682" spans="1:24" x14ac:dyDescent="0.2">
      <c r="A682">
        <v>681</v>
      </c>
      <c r="B682" s="1">
        <v>40988</v>
      </c>
      <c r="C682" t="s">
        <v>24</v>
      </c>
      <c r="D682">
        <v>248</v>
      </c>
      <c r="E682">
        <v>37</v>
      </c>
      <c r="F682">
        <v>3</v>
      </c>
      <c r="G682" t="s">
        <v>27</v>
      </c>
      <c r="H682">
        <v>6</v>
      </c>
      <c r="I682">
        <v>35</v>
      </c>
      <c r="J682">
        <v>3</v>
      </c>
      <c r="K682">
        <v>14</v>
      </c>
      <c r="L682">
        <v>3</v>
      </c>
      <c r="M682">
        <v>19</v>
      </c>
      <c r="N682">
        <v>194</v>
      </c>
      <c r="O682">
        <v>199</v>
      </c>
      <c r="P682">
        <v>2</v>
      </c>
      <c r="Q682">
        <v>0</v>
      </c>
      <c r="R682">
        <v>3</v>
      </c>
      <c r="S682">
        <v>0</v>
      </c>
      <c r="T682">
        <v>0</v>
      </c>
      <c r="U682">
        <v>472</v>
      </c>
      <c r="V682">
        <v>52</v>
      </c>
      <c r="W682">
        <v>221</v>
      </c>
      <c r="X682">
        <v>199</v>
      </c>
    </row>
    <row r="683" spans="1:24" x14ac:dyDescent="0.2">
      <c r="A683">
        <v>682</v>
      </c>
      <c r="B683" s="1">
        <v>40988</v>
      </c>
      <c r="C683" t="s">
        <v>28</v>
      </c>
      <c r="D683">
        <v>248</v>
      </c>
      <c r="E683">
        <v>37</v>
      </c>
      <c r="F683">
        <v>3</v>
      </c>
      <c r="G683" t="s">
        <v>27</v>
      </c>
      <c r="H683">
        <v>7</v>
      </c>
      <c r="I683">
        <v>49</v>
      </c>
      <c r="J683">
        <v>5</v>
      </c>
      <c r="K683">
        <v>10</v>
      </c>
      <c r="L683">
        <v>7</v>
      </c>
      <c r="M683">
        <v>26</v>
      </c>
      <c r="N683">
        <v>201</v>
      </c>
      <c r="O683">
        <v>263</v>
      </c>
      <c r="P683">
        <v>4</v>
      </c>
      <c r="Q683">
        <v>1</v>
      </c>
      <c r="R683">
        <v>1</v>
      </c>
      <c r="S683">
        <v>0</v>
      </c>
      <c r="T683">
        <v>0</v>
      </c>
      <c r="U683">
        <v>567</v>
      </c>
      <c r="V683">
        <v>64</v>
      </c>
      <c r="W683">
        <v>240</v>
      </c>
      <c r="X683">
        <v>263</v>
      </c>
    </row>
    <row r="684" spans="1:24" x14ac:dyDescent="0.2">
      <c r="A684">
        <v>683</v>
      </c>
      <c r="B684" s="1">
        <v>40988</v>
      </c>
      <c r="C684" t="s">
        <v>24</v>
      </c>
      <c r="D684">
        <v>248</v>
      </c>
      <c r="E684">
        <v>37</v>
      </c>
      <c r="F684">
        <v>3</v>
      </c>
      <c r="G684" t="s">
        <v>26</v>
      </c>
      <c r="H684">
        <v>8</v>
      </c>
      <c r="I684">
        <v>25</v>
      </c>
      <c r="J684">
        <v>17</v>
      </c>
      <c r="K684">
        <v>6</v>
      </c>
      <c r="L684">
        <v>4</v>
      </c>
      <c r="M684">
        <v>32</v>
      </c>
      <c r="N684">
        <v>160</v>
      </c>
      <c r="O684">
        <v>159</v>
      </c>
      <c r="P684">
        <v>3</v>
      </c>
      <c r="Q684">
        <v>2</v>
      </c>
      <c r="R684">
        <v>2</v>
      </c>
      <c r="S684">
        <v>0</v>
      </c>
      <c r="T684">
        <v>0</v>
      </c>
      <c r="U684">
        <v>410</v>
      </c>
      <c r="V684">
        <v>48</v>
      </c>
      <c r="W684">
        <v>203</v>
      </c>
      <c r="X684">
        <v>159</v>
      </c>
    </row>
    <row r="685" spans="1:24" x14ac:dyDescent="0.2">
      <c r="A685">
        <v>684</v>
      </c>
      <c r="B685" s="1">
        <v>40988</v>
      </c>
      <c r="C685" t="s">
        <v>28</v>
      </c>
      <c r="D685">
        <v>248</v>
      </c>
      <c r="E685">
        <v>37</v>
      </c>
      <c r="F685">
        <v>3</v>
      </c>
      <c r="G685" t="s">
        <v>27</v>
      </c>
      <c r="H685">
        <v>9</v>
      </c>
      <c r="I685">
        <v>63</v>
      </c>
      <c r="J685">
        <v>4</v>
      </c>
      <c r="K685">
        <v>16</v>
      </c>
      <c r="L685">
        <v>3</v>
      </c>
      <c r="M685">
        <v>22</v>
      </c>
      <c r="N685">
        <v>232</v>
      </c>
      <c r="O685">
        <v>216</v>
      </c>
      <c r="P685">
        <v>6</v>
      </c>
      <c r="Q685">
        <v>4</v>
      </c>
      <c r="R685">
        <v>5</v>
      </c>
      <c r="S685">
        <v>0</v>
      </c>
      <c r="T685">
        <v>0</v>
      </c>
      <c r="U685">
        <v>571</v>
      </c>
      <c r="V685">
        <v>83</v>
      </c>
      <c r="W685">
        <v>272</v>
      </c>
      <c r="X685">
        <v>216</v>
      </c>
    </row>
    <row r="686" spans="1:24" x14ac:dyDescent="0.2">
      <c r="A686">
        <v>685</v>
      </c>
      <c r="B686" s="1">
        <v>40995</v>
      </c>
      <c r="C686" t="s">
        <v>24</v>
      </c>
      <c r="D686">
        <v>255</v>
      </c>
      <c r="E686">
        <v>38</v>
      </c>
      <c r="F686">
        <v>3</v>
      </c>
      <c r="G686" t="s">
        <v>25</v>
      </c>
      <c r="H686">
        <v>1</v>
      </c>
      <c r="I686">
        <v>30</v>
      </c>
      <c r="J686">
        <v>8</v>
      </c>
      <c r="K686">
        <v>5</v>
      </c>
      <c r="L686">
        <v>7</v>
      </c>
      <c r="M686">
        <v>34</v>
      </c>
      <c r="N686">
        <v>179</v>
      </c>
      <c r="O686">
        <v>149</v>
      </c>
      <c r="P686">
        <v>3</v>
      </c>
      <c r="Q686">
        <v>2</v>
      </c>
      <c r="R686">
        <v>2</v>
      </c>
      <c r="S686">
        <v>0</v>
      </c>
      <c r="T686">
        <v>0</v>
      </c>
      <c r="U686">
        <v>419</v>
      </c>
      <c r="V686">
        <v>43</v>
      </c>
      <c r="W686">
        <v>227</v>
      </c>
      <c r="X686">
        <v>149</v>
      </c>
    </row>
    <row r="687" spans="1:24" x14ac:dyDescent="0.2">
      <c r="A687">
        <v>686</v>
      </c>
      <c r="B687" s="1">
        <v>40995</v>
      </c>
      <c r="C687" t="s">
        <v>28</v>
      </c>
      <c r="D687">
        <v>255</v>
      </c>
      <c r="E687">
        <v>38</v>
      </c>
      <c r="F687">
        <v>3</v>
      </c>
      <c r="G687" t="s">
        <v>25</v>
      </c>
      <c r="H687">
        <v>2</v>
      </c>
      <c r="I687">
        <v>35</v>
      </c>
      <c r="J687">
        <v>2</v>
      </c>
      <c r="K687">
        <v>11</v>
      </c>
      <c r="L687">
        <v>5</v>
      </c>
      <c r="M687">
        <v>30</v>
      </c>
      <c r="N687">
        <v>301</v>
      </c>
      <c r="O687">
        <v>173</v>
      </c>
      <c r="P687">
        <v>2</v>
      </c>
      <c r="Q687">
        <v>4</v>
      </c>
      <c r="R687">
        <v>1</v>
      </c>
      <c r="S687">
        <v>3</v>
      </c>
      <c r="T687">
        <v>0</v>
      </c>
      <c r="U687">
        <v>567</v>
      </c>
      <c r="V687">
        <v>48</v>
      </c>
      <c r="W687">
        <v>346</v>
      </c>
      <c r="X687">
        <v>173</v>
      </c>
    </row>
    <row r="688" spans="1:24" x14ac:dyDescent="0.2">
      <c r="A688">
        <v>687</v>
      </c>
      <c r="B688" s="1">
        <v>40995</v>
      </c>
      <c r="C688" t="s">
        <v>24</v>
      </c>
      <c r="D688">
        <v>255</v>
      </c>
      <c r="E688">
        <v>38</v>
      </c>
      <c r="F688">
        <v>3</v>
      </c>
      <c r="G688" t="s">
        <v>26</v>
      </c>
      <c r="H688">
        <v>3</v>
      </c>
      <c r="I688">
        <v>42</v>
      </c>
      <c r="J688">
        <v>4</v>
      </c>
      <c r="K688">
        <v>5</v>
      </c>
      <c r="L688">
        <v>3</v>
      </c>
      <c r="M688">
        <v>14</v>
      </c>
      <c r="N688">
        <v>156</v>
      </c>
      <c r="O688">
        <v>201</v>
      </c>
      <c r="P688">
        <v>1</v>
      </c>
      <c r="Q688">
        <v>2</v>
      </c>
      <c r="R688">
        <v>2</v>
      </c>
      <c r="S688">
        <v>0</v>
      </c>
      <c r="T688">
        <v>0</v>
      </c>
      <c r="U688">
        <v>430</v>
      </c>
      <c r="V688">
        <v>51</v>
      </c>
      <c r="W688">
        <v>178</v>
      </c>
      <c r="X688">
        <v>201</v>
      </c>
    </row>
    <row r="689" spans="1:24" x14ac:dyDescent="0.2">
      <c r="A689">
        <v>688</v>
      </c>
      <c r="B689" s="1">
        <v>40995</v>
      </c>
      <c r="C689" t="s">
        <v>28</v>
      </c>
      <c r="D689">
        <v>255</v>
      </c>
      <c r="E689">
        <v>38</v>
      </c>
      <c r="F689">
        <v>3</v>
      </c>
      <c r="G689" t="s">
        <v>25</v>
      </c>
      <c r="H689">
        <v>4</v>
      </c>
      <c r="I689">
        <v>39</v>
      </c>
      <c r="J689">
        <v>0</v>
      </c>
      <c r="K689">
        <v>11</v>
      </c>
      <c r="L689">
        <v>7</v>
      </c>
      <c r="M689">
        <v>23</v>
      </c>
      <c r="N689">
        <v>249</v>
      </c>
      <c r="O689">
        <v>221</v>
      </c>
      <c r="P689">
        <v>0</v>
      </c>
      <c r="Q689">
        <v>2</v>
      </c>
      <c r="R689">
        <v>0</v>
      </c>
      <c r="S689">
        <v>0</v>
      </c>
      <c r="T689">
        <v>0</v>
      </c>
      <c r="U689">
        <v>552</v>
      </c>
      <c r="V689">
        <v>50</v>
      </c>
      <c r="W689">
        <v>281</v>
      </c>
      <c r="X689">
        <v>221</v>
      </c>
    </row>
    <row r="690" spans="1:24" x14ac:dyDescent="0.2">
      <c r="A690">
        <v>689</v>
      </c>
      <c r="B690" s="1">
        <v>40995</v>
      </c>
      <c r="C690" t="s">
        <v>24</v>
      </c>
      <c r="D690">
        <v>255</v>
      </c>
      <c r="E690">
        <v>38</v>
      </c>
      <c r="F690">
        <v>3</v>
      </c>
      <c r="G690" t="s">
        <v>26</v>
      </c>
      <c r="H690">
        <v>5</v>
      </c>
      <c r="I690">
        <v>43</v>
      </c>
      <c r="J690">
        <v>5</v>
      </c>
      <c r="K690">
        <v>13</v>
      </c>
      <c r="L690">
        <v>2</v>
      </c>
      <c r="M690">
        <v>20</v>
      </c>
      <c r="N690">
        <v>222</v>
      </c>
      <c r="O690">
        <v>165</v>
      </c>
      <c r="P690">
        <v>3</v>
      </c>
      <c r="Q690">
        <v>1</v>
      </c>
      <c r="R690">
        <v>2</v>
      </c>
      <c r="S690">
        <v>0</v>
      </c>
      <c r="T690">
        <v>0</v>
      </c>
      <c r="U690">
        <v>476</v>
      </c>
      <c r="V690">
        <v>61</v>
      </c>
      <c r="W690">
        <v>250</v>
      </c>
      <c r="X690">
        <v>165</v>
      </c>
    </row>
    <row r="691" spans="1:24" x14ac:dyDescent="0.2">
      <c r="A691">
        <v>690</v>
      </c>
      <c r="B691" s="1">
        <v>40995</v>
      </c>
      <c r="C691" t="s">
        <v>24</v>
      </c>
      <c r="D691">
        <v>255</v>
      </c>
      <c r="E691">
        <v>38</v>
      </c>
      <c r="F691">
        <v>3</v>
      </c>
      <c r="G691" t="s">
        <v>27</v>
      </c>
      <c r="H691">
        <v>6</v>
      </c>
      <c r="I691">
        <v>40</v>
      </c>
      <c r="J691">
        <v>1</v>
      </c>
      <c r="K691">
        <v>15</v>
      </c>
      <c r="L691">
        <v>5</v>
      </c>
      <c r="M691">
        <v>17</v>
      </c>
      <c r="N691">
        <v>176</v>
      </c>
      <c r="O691">
        <v>228</v>
      </c>
      <c r="P691">
        <v>2</v>
      </c>
      <c r="Q691">
        <v>2</v>
      </c>
      <c r="R691">
        <v>4</v>
      </c>
      <c r="S691">
        <v>0</v>
      </c>
      <c r="T691">
        <v>0</v>
      </c>
      <c r="U691">
        <v>490</v>
      </c>
      <c r="V691">
        <v>56</v>
      </c>
      <c r="W691">
        <v>206</v>
      </c>
      <c r="X691">
        <v>228</v>
      </c>
    </row>
    <row r="692" spans="1:24" x14ac:dyDescent="0.2">
      <c r="A692">
        <v>691</v>
      </c>
      <c r="B692" s="1">
        <v>40995</v>
      </c>
      <c r="C692" t="s">
        <v>24</v>
      </c>
      <c r="D692">
        <v>255</v>
      </c>
      <c r="E692">
        <v>38</v>
      </c>
      <c r="F692">
        <v>3</v>
      </c>
      <c r="G692" t="s">
        <v>27</v>
      </c>
      <c r="H692">
        <v>7</v>
      </c>
      <c r="I692">
        <v>37</v>
      </c>
      <c r="J692">
        <v>7</v>
      </c>
      <c r="K692">
        <v>7</v>
      </c>
      <c r="L692">
        <v>7</v>
      </c>
      <c r="M692">
        <v>29</v>
      </c>
      <c r="N692">
        <v>173</v>
      </c>
      <c r="O692">
        <v>187</v>
      </c>
      <c r="P692">
        <v>2</v>
      </c>
      <c r="Q692">
        <v>1</v>
      </c>
      <c r="R692">
        <v>1</v>
      </c>
      <c r="S692">
        <v>0</v>
      </c>
      <c r="T692">
        <v>0</v>
      </c>
      <c r="U692">
        <v>451</v>
      </c>
      <c r="V692">
        <v>51</v>
      </c>
      <c r="W692">
        <v>213</v>
      </c>
      <c r="X692">
        <v>187</v>
      </c>
    </row>
    <row r="693" spans="1:24" x14ac:dyDescent="0.2">
      <c r="A693">
        <v>692</v>
      </c>
      <c r="B693" s="1">
        <v>40995</v>
      </c>
      <c r="C693" t="s">
        <v>28</v>
      </c>
      <c r="D693">
        <v>255</v>
      </c>
      <c r="E693">
        <v>38</v>
      </c>
      <c r="F693">
        <v>3</v>
      </c>
      <c r="G693" t="s">
        <v>26</v>
      </c>
      <c r="H693">
        <v>8</v>
      </c>
      <c r="I693">
        <v>29</v>
      </c>
      <c r="J693">
        <v>20</v>
      </c>
      <c r="K693">
        <v>6</v>
      </c>
      <c r="L693">
        <v>4</v>
      </c>
      <c r="M693">
        <v>26</v>
      </c>
      <c r="N693">
        <v>156</v>
      </c>
      <c r="O693">
        <v>157</v>
      </c>
      <c r="P693">
        <v>2</v>
      </c>
      <c r="Q693">
        <v>0</v>
      </c>
      <c r="R693">
        <v>1</v>
      </c>
      <c r="S693">
        <v>0</v>
      </c>
      <c r="T693">
        <v>0</v>
      </c>
      <c r="U693">
        <v>401</v>
      </c>
      <c r="V693">
        <v>55</v>
      </c>
      <c r="W693">
        <v>189</v>
      </c>
      <c r="X693">
        <v>157</v>
      </c>
    </row>
    <row r="694" spans="1:24" x14ac:dyDescent="0.2">
      <c r="A694">
        <v>693</v>
      </c>
      <c r="B694" s="1">
        <v>40995</v>
      </c>
      <c r="C694" t="s">
        <v>28</v>
      </c>
      <c r="D694">
        <v>255</v>
      </c>
      <c r="E694">
        <v>38</v>
      </c>
      <c r="F694">
        <v>3</v>
      </c>
      <c r="G694" t="s">
        <v>27</v>
      </c>
      <c r="H694">
        <v>9</v>
      </c>
      <c r="I694">
        <v>60</v>
      </c>
      <c r="J694">
        <v>5</v>
      </c>
      <c r="K694">
        <v>15</v>
      </c>
      <c r="L694">
        <v>6</v>
      </c>
      <c r="M694">
        <v>28</v>
      </c>
      <c r="N694">
        <v>240</v>
      </c>
      <c r="O694">
        <v>229</v>
      </c>
      <c r="P694">
        <v>1</v>
      </c>
      <c r="Q694">
        <v>3</v>
      </c>
      <c r="R694">
        <v>1</v>
      </c>
      <c r="S694">
        <v>0</v>
      </c>
      <c r="T694">
        <v>0</v>
      </c>
      <c r="U694">
        <v>588</v>
      </c>
      <c r="V694">
        <v>80</v>
      </c>
      <c r="W694">
        <v>279</v>
      </c>
      <c r="X694">
        <v>229</v>
      </c>
    </row>
    <row r="695" spans="1:24" x14ac:dyDescent="0.2">
      <c r="A695">
        <v>694</v>
      </c>
      <c r="B695" s="1">
        <v>41002</v>
      </c>
      <c r="C695" t="s">
        <v>24</v>
      </c>
      <c r="D695">
        <v>261</v>
      </c>
      <c r="E695">
        <v>39</v>
      </c>
      <c r="F695">
        <v>3</v>
      </c>
      <c r="G695" t="s">
        <v>25</v>
      </c>
      <c r="H695">
        <v>1</v>
      </c>
      <c r="I695">
        <v>30</v>
      </c>
      <c r="J695">
        <v>12</v>
      </c>
      <c r="K695">
        <v>3</v>
      </c>
      <c r="L695">
        <v>10</v>
      </c>
      <c r="M695">
        <v>36</v>
      </c>
      <c r="N695">
        <v>179</v>
      </c>
      <c r="O695">
        <v>154</v>
      </c>
      <c r="P695">
        <v>5</v>
      </c>
      <c r="Q695">
        <v>2</v>
      </c>
      <c r="R695">
        <v>1</v>
      </c>
      <c r="S695">
        <v>0</v>
      </c>
      <c r="T695">
        <v>0</v>
      </c>
      <c r="U695">
        <v>432</v>
      </c>
      <c r="V695">
        <v>45</v>
      </c>
      <c r="W695">
        <v>233</v>
      </c>
      <c r="X695">
        <v>154</v>
      </c>
    </row>
    <row r="696" spans="1:24" x14ac:dyDescent="0.2">
      <c r="A696">
        <v>695</v>
      </c>
      <c r="B696" s="1">
        <v>41002</v>
      </c>
      <c r="C696" t="s">
        <v>24</v>
      </c>
      <c r="D696">
        <v>261</v>
      </c>
      <c r="E696">
        <v>39</v>
      </c>
      <c r="F696">
        <v>3</v>
      </c>
      <c r="G696" t="s">
        <v>25</v>
      </c>
      <c r="H696">
        <v>2</v>
      </c>
      <c r="I696">
        <v>46</v>
      </c>
      <c r="J696">
        <v>2</v>
      </c>
      <c r="K696">
        <v>9</v>
      </c>
      <c r="L696">
        <v>7</v>
      </c>
      <c r="M696">
        <v>25</v>
      </c>
      <c r="N696">
        <v>252</v>
      </c>
      <c r="O696">
        <v>216</v>
      </c>
      <c r="P696">
        <v>4</v>
      </c>
      <c r="Q696">
        <v>2</v>
      </c>
      <c r="R696">
        <v>2</v>
      </c>
      <c r="S696">
        <v>1</v>
      </c>
      <c r="T696">
        <v>0</v>
      </c>
      <c r="U696">
        <v>566</v>
      </c>
      <c r="V696">
        <v>57</v>
      </c>
      <c r="W696">
        <v>293</v>
      </c>
      <c r="X696">
        <v>216</v>
      </c>
    </row>
    <row r="697" spans="1:24" x14ac:dyDescent="0.2">
      <c r="A697">
        <v>696</v>
      </c>
      <c r="B697" s="1">
        <v>41002</v>
      </c>
      <c r="C697" t="s">
        <v>24</v>
      </c>
      <c r="D697">
        <v>261</v>
      </c>
      <c r="E697">
        <v>39</v>
      </c>
      <c r="F697">
        <v>3</v>
      </c>
      <c r="G697" t="s">
        <v>26</v>
      </c>
      <c r="H697">
        <v>3</v>
      </c>
      <c r="I697">
        <v>39</v>
      </c>
      <c r="J697">
        <v>7</v>
      </c>
      <c r="K697">
        <v>7</v>
      </c>
      <c r="L697">
        <v>4</v>
      </c>
      <c r="M697">
        <v>27</v>
      </c>
      <c r="N697">
        <v>278</v>
      </c>
      <c r="O697">
        <v>189</v>
      </c>
      <c r="P697">
        <v>2</v>
      </c>
      <c r="Q697">
        <v>1</v>
      </c>
      <c r="R697">
        <v>3</v>
      </c>
      <c r="S697">
        <v>0</v>
      </c>
      <c r="T697">
        <v>0</v>
      </c>
      <c r="U697">
        <v>557</v>
      </c>
      <c r="V697">
        <v>53</v>
      </c>
      <c r="W697">
        <v>315</v>
      </c>
      <c r="X697">
        <v>189</v>
      </c>
    </row>
    <row r="698" spans="1:24" x14ac:dyDescent="0.2">
      <c r="A698">
        <v>697</v>
      </c>
      <c r="B698" s="1">
        <v>41002</v>
      </c>
      <c r="C698" t="s">
        <v>24</v>
      </c>
      <c r="D698">
        <v>261</v>
      </c>
      <c r="E698">
        <v>39</v>
      </c>
      <c r="F698">
        <v>3</v>
      </c>
      <c r="G698" t="s">
        <v>25</v>
      </c>
      <c r="H698">
        <v>4</v>
      </c>
      <c r="I698">
        <v>39</v>
      </c>
      <c r="J698">
        <v>2</v>
      </c>
      <c r="K698">
        <v>10</v>
      </c>
      <c r="L698">
        <v>6</v>
      </c>
      <c r="M698">
        <v>21</v>
      </c>
      <c r="N698">
        <v>211</v>
      </c>
      <c r="O698">
        <v>209</v>
      </c>
      <c r="P698">
        <v>3</v>
      </c>
      <c r="Q698">
        <v>2</v>
      </c>
      <c r="R698">
        <v>3</v>
      </c>
      <c r="S698">
        <v>0</v>
      </c>
      <c r="T698">
        <v>0</v>
      </c>
      <c r="U698">
        <v>506</v>
      </c>
      <c r="V698">
        <v>51</v>
      </c>
      <c r="W698">
        <v>246</v>
      </c>
      <c r="X698">
        <v>209</v>
      </c>
    </row>
    <row r="699" spans="1:24" x14ac:dyDescent="0.2">
      <c r="A699">
        <v>698</v>
      </c>
      <c r="B699" s="1">
        <v>41002</v>
      </c>
      <c r="C699" t="s">
        <v>24</v>
      </c>
      <c r="D699">
        <v>261</v>
      </c>
      <c r="E699">
        <v>39</v>
      </c>
      <c r="F699">
        <v>3</v>
      </c>
      <c r="G699" t="s">
        <v>26</v>
      </c>
      <c r="H699">
        <v>5</v>
      </c>
      <c r="I699">
        <v>45</v>
      </c>
      <c r="J699">
        <v>9</v>
      </c>
      <c r="K699">
        <v>7</v>
      </c>
      <c r="L699">
        <v>3</v>
      </c>
      <c r="M699">
        <v>30</v>
      </c>
      <c r="N699">
        <v>265</v>
      </c>
      <c r="O699">
        <v>216</v>
      </c>
      <c r="P699">
        <v>3</v>
      </c>
      <c r="Q699">
        <v>2</v>
      </c>
      <c r="R699">
        <v>3</v>
      </c>
      <c r="S699">
        <v>0</v>
      </c>
      <c r="T699">
        <v>0</v>
      </c>
      <c r="U699">
        <v>583</v>
      </c>
      <c r="V699">
        <v>61</v>
      </c>
      <c r="W699">
        <v>306</v>
      </c>
      <c r="X699">
        <v>216</v>
      </c>
    </row>
    <row r="700" spans="1:24" x14ac:dyDescent="0.2">
      <c r="A700">
        <v>699</v>
      </c>
      <c r="B700" s="1">
        <v>41002</v>
      </c>
      <c r="C700" t="s">
        <v>24</v>
      </c>
      <c r="D700">
        <v>261</v>
      </c>
      <c r="E700">
        <v>39</v>
      </c>
      <c r="F700">
        <v>3</v>
      </c>
      <c r="G700" t="s">
        <v>27</v>
      </c>
      <c r="H700">
        <v>6</v>
      </c>
      <c r="I700">
        <v>42</v>
      </c>
      <c r="J700">
        <v>1</v>
      </c>
      <c r="K700">
        <v>16</v>
      </c>
      <c r="L700">
        <v>3</v>
      </c>
      <c r="M700">
        <v>18</v>
      </c>
      <c r="N700">
        <v>209</v>
      </c>
      <c r="O700">
        <v>234</v>
      </c>
      <c r="P700">
        <v>1</v>
      </c>
      <c r="Q700">
        <v>0</v>
      </c>
      <c r="R700">
        <v>2</v>
      </c>
      <c r="S700">
        <v>0</v>
      </c>
      <c r="T700">
        <v>0</v>
      </c>
      <c r="U700">
        <v>526</v>
      </c>
      <c r="V700">
        <v>59</v>
      </c>
      <c r="W700">
        <v>233</v>
      </c>
      <c r="X700">
        <v>234</v>
      </c>
    </row>
    <row r="701" spans="1:24" x14ac:dyDescent="0.2">
      <c r="A701">
        <v>700</v>
      </c>
      <c r="B701" s="1">
        <v>41002</v>
      </c>
      <c r="C701" t="s">
        <v>24</v>
      </c>
      <c r="D701">
        <v>261</v>
      </c>
      <c r="E701">
        <v>39</v>
      </c>
      <c r="F701">
        <v>3</v>
      </c>
      <c r="G701" t="s">
        <v>27</v>
      </c>
      <c r="H701">
        <v>7</v>
      </c>
      <c r="I701">
        <v>35</v>
      </c>
      <c r="J701">
        <v>10</v>
      </c>
      <c r="K701">
        <v>5</v>
      </c>
      <c r="L701">
        <v>10</v>
      </c>
      <c r="M701">
        <v>38</v>
      </c>
      <c r="N701">
        <v>224</v>
      </c>
      <c r="O701">
        <v>209</v>
      </c>
      <c r="P701">
        <v>6</v>
      </c>
      <c r="Q701">
        <v>1</v>
      </c>
      <c r="R701">
        <v>1</v>
      </c>
      <c r="S701">
        <v>0</v>
      </c>
      <c r="T701">
        <v>0</v>
      </c>
      <c r="U701">
        <v>539</v>
      </c>
      <c r="V701">
        <v>50</v>
      </c>
      <c r="W701">
        <v>280</v>
      </c>
      <c r="X701">
        <v>209</v>
      </c>
    </row>
    <row r="702" spans="1:24" x14ac:dyDescent="0.2">
      <c r="A702">
        <v>701</v>
      </c>
      <c r="B702" s="1">
        <v>41002</v>
      </c>
      <c r="C702" t="s">
        <v>24</v>
      </c>
      <c r="D702">
        <v>261</v>
      </c>
      <c r="E702">
        <v>39</v>
      </c>
      <c r="F702">
        <v>3</v>
      </c>
      <c r="G702" t="s">
        <v>26</v>
      </c>
      <c r="H702">
        <v>8</v>
      </c>
      <c r="I702">
        <v>29</v>
      </c>
      <c r="J702">
        <v>19</v>
      </c>
      <c r="K702">
        <v>4</v>
      </c>
      <c r="L702">
        <v>3</v>
      </c>
      <c r="M702">
        <v>27</v>
      </c>
      <c r="N702">
        <v>134</v>
      </c>
      <c r="O702">
        <v>133</v>
      </c>
      <c r="P702">
        <v>2</v>
      </c>
      <c r="Q702">
        <v>2</v>
      </c>
      <c r="R702">
        <v>1</v>
      </c>
      <c r="S702">
        <v>0</v>
      </c>
      <c r="T702">
        <v>0</v>
      </c>
      <c r="U702">
        <v>354</v>
      </c>
      <c r="V702">
        <v>52</v>
      </c>
      <c r="W702">
        <v>169</v>
      </c>
      <c r="X702">
        <v>133</v>
      </c>
    </row>
    <row r="703" spans="1:24" x14ac:dyDescent="0.2">
      <c r="A703">
        <v>702</v>
      </c>
      <c r="B703" s="1">
        <v>41002</v>
      </c>
      <c r="C703" t="s">
        <v>24</v>
      </c>
      <c r="D703">
        <v>261</v>
      </c>
      <c r="E703">
        <v>39</v>
      </c>
      <c r="F703">
        <v>3</v>
      </c>
      <c r="G703" t="s">
        <v>27</v>
      </c>
      <c r="H703">
        <v>9</v>
      </c>
      <c r="I703">
        <v>55</v>
      </c>
      <c r="J703">
        <v>4</v>
      </c>
      <c r="K703">
        <v>12</v>
      </c>
      <c r="L703">
        <v>2</v>
      </c>
      <c r="M703">
        <v>38</v>
      </c>
      <c r="N703">
        <v>222</v>
      </c>
      <c r="O703">
        <v>184</v>
      </c>
      <c r="P703">
        <v>4</v>
      </c>
      <c r="Q703">
        <v>1</v>
      </c>
      <c r="R703">
        <v>0</v>
      </c>
      <c r="S703">
        <v>0</v>
      </c>
      <c r="T703">
        <v>0</v>
      </c>
      <c r="U703">
        <v>522</v>
      </c>
      <c r="V703">
        <v>71</v>
      </c>
      <c r="W703">
        <v>267</v>
      </c>
      <c r="X703">
        <v>184</v>
      </c>
    </row>
    <row r="704" spans="1:24" x14ac:dyDescent="0.2">
      <c r="A704">
        <v>703</v>
      </c>
      <c r="B704" s="1">
        <v>41009</v>
      </c>
      <c r="C704" t="s">
        <v>28</v>
      </c>
      <c r="D704">
        <v>268</v>
      </c>
      <c r="E704">
        <v>40</v>
      </c>
      <c r="F704">
        <v>3</v>
      </c>
      <c r="G704" t="s">
        <v>25</v>
      </c>
      <c r="H704">
        <v>1</v>
      </c>
      <c r="I704">
        <v>36</v>
      </c>
      <c r="J704">
        <v>26</v>
      </c>
      <c r="K704">
        <v>6</v>
      </c>
      <c r="L704">
        <v>8</v>
      </c>
      <c r="M704">
        <v>33</v>
      </c>
      <c r="N704">
        <v>232</v>
      </c>
      <c r="O704">
        <v>234</v>
      </c>
      <c r="P704">
        <v>3</v>
      </c>
      <c r="Q704">
        <v>0</v>
      </c>
      <c r="R704">
        <v>0</v>
      </c>
      <c r="S704">
        <v>0</v>
      </c>
      <c r="T704">
        <v>0</v>
      </c>
      <c r="U704">
        <v>578</v>
      </c>
      <c r="V704">
        <v>68</v>
      </c>
      <c r="W704">
        <v>276</v>
      </c>
      <c r="X704">
        <v>234</v>
      </c>
    </row>
    <row r="705" spans="1:24" x14ac:dyDescent="0.2">
      <c r="A705">
        <v>704</v>
      </c>
      <c r="B705" s="1">
        <v>41009</v>
      </c>
      <c r="C705" t="s">
        <v>28</v>
      </c>
      <c r="D705">
        <v>268</v>
      </c>
      <c r="E705">
        <v>40</v>
      </c>
      <c r="F705">
        <v>3</v>
      </c>
      <c r="G705" t="s">
        <v>25</v>
      </c>
      <c r="H705">
        <v>2</v>
      </c>
      <c r="I705">
        <v>53</v>
      </c>
      <c r="J705">
        <v>3</v>
      </c>
      <c r="K705">
        <v>12</v>
      </c>
      <c r="L705">
        <v>4</v>
      </c>
      <c r="M705">
        <v>31</v>
      </c>
      <c r="N705">
        <v>362</v>
      </c>
      <c r="O705">
        <v>375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842</v>
      </c>
      <c r="V705">
        <v>68</v>
      </c>
      <c r="W705">
        <v>399</v>
      </c>
      <c r="X705">
        <v>375</v>
      </c>
    </row>
    <row r="706" spans="1:24" x14ac:dyDescent="0.2">
      <c r="A706">
        <v>705</v>
      </c>
      <c r="B706" s="1">
        <v>41009</v>
      </c>
      <c r="C706" t="s">
        <v>28</v>
      </c>
      <c r="D706">
        <v>268</v>
      </c>
      <c r="E706">
        <v>40</v>
      </c>
      <c r="F706">
        <v>3</v>
      </c>
      <c r="G706" t="s">
        <v>26</v>
      </c>
      <c r="H706">
        <v>3</v>
      </c>
      <c r="I706">
        <v>42</v>
      </c>
      <c r="J706">
        <v>7</v>
      </c>
      <c r="K706">
        <v>9</v>
      </c>
      <c r="L706">
        <v>5</v>
      </c>
      <c r="M706">
        <v>29</v>
      </c>
      <c r="N706">
        <v>307</v>
      </c>
      <c r="O706">
        <v>220</v>
      </c>
      <c r="P706">
        <v>4</v>
      </c>
      <c r="Q706">
        <v>2</v>
      </c>
      <c r="R706">
        <v>2</v>
      </c>
      <c r="S706">
        <v>0</v>
      </c>
      <c r="T706">
        <v>0</v>
      </c>
      <c r="U706">
        <v>627</v>
      </c>
      <c r="V706">
        <v>58</v>
      </c>
      <c r="W706">
        <v>349</v>
      </c>
      <c r="X706">
        <v>220</v>
      </c>
    </row>
    <row r="707" spans="1:24" x14ac:dyDescent="0.2">
      <c r="A707">
        <v>706</v>
      </c>
      <c r="B707" s="1">
        <v>41009</v>
      </c>
      <c r="C707" t="s">
        <v>24</v>
      </c>
      <c r="D707">
        <v>268</v>
      </c>
      <c r="E707">
        <v>40</v>
      </c>
      <c r="F707">
        <v>3</v>
      </c>
      <c r="G707" t="s">
        <v>25</v>
      </c>
      <c r="H707">
        <v>4</v>
      </c>
      <c r="I707">
        <v>48</v>
      </c>
      <c r="J707">
        <v>3</v>
      </c>
      <c r="K707">
        <v>10</v>
      </c>
      <c r="L707">
        <v>3</v>
      </c>
      <c r="M707">
        <v>18</v>
      </c>
      <c r="N707">
        <v>253</v>
      </c>
      <c r="O707">
        <v>178</v>
      </c>
      <c r="P707">
        <v>0</v>
      </c>
      <c r="Q707">
        <v>1</v>
      </c>
      <c r="R707">
        <v>2</v>
      </c>
      <c r="S707">
        <v>0</v>
      </c>
      <c r="T707">
        <v>0</v>
      </c>
      <c r="U707">
        <v>516</v>
      </c>
      <c r="V707">
        <v>61</v>
      </c>
      <c r="W707">
        <v>277</v>
      </c>
      <c r="X707">
        <v>178</v>
      </c>
    </row>
    <row r="708" spans="1:24" x14ac:dyDescent="0.2">
      <c r="A708">
        <v>707</v>
      </c>
      <c r="B708" s="1">
        <v>41009</v>
      </c>
      <c r="C708" t="s">
        <v>24</v>
      </c>
      <c r="D708">
        <v>268</v>
      </c>
      <c r="E708">
        <v>40</v>
      </c>
      <c r="F708">
        <v>3</v>
      </c>
      <c r="G708" t="s">
        <v>26</v>
      </c>
      <c r="H708">
        <v>5</v>
      </c>
      <c r="I708">
        <v>58</v>
      </c>
      <c r="J708">
        <v>17</v>
      </c>
      <c r="K708">
        <v>9</v>
      </c>
      <c r="L708">
        <v>4</v>
      </c>
      <c r="M708">
        <v>26</v>
      </c>
      <c r="N708">
        <v>293</v>
      </c>
      <c r="O708">
        <v>195</v>
      </c>
      <c r="P708">
        <v>8</v>
      </c>
      <c r="Q708">
        <v>0</v>
      </c>
      <c r="R708">
        <v>2</v>
      </c>
      <c r="S708">
        <v>0</v>
      </c>
      <c r="T708">
        <v>0</v>
      </c>
      <c r="U708">
        <v>612</v>
      </c>
      <c r="V708">
        <v>84</v>
      </c>
      <c r="W708">
        <v>333</v>
      </c>
      <c r="X708">
        <v>195</v>
      </c>
    </row>
    <row r="709" spans="1:24" x14ac:dyDescent="0.2">
      <c r="A709">
        <v>708</v>
      </c>
      <c r="B709" s="1">
        <v>41009</v>
      </c>
      <c r="C709" t="s">
        <v>24</v>
      </c>
      <c r="D709">
        <v>268</v>
      </c>
      <c r="E709">
        <v>40</v>
      </c>
      <c r="F709">
        <v>3</v>
      </c>
      <c r="G709" t="s">
        <v>27</v>
      </c>
      <c r="H709">
        <v>6</v>
      </c>
      <c r="I709">
        <v>40</v>
      </c>
      <c r="J709">
        <v>2</v>
      </c>
      <c r="K709">
        <v>16</v>
      </c>
      <c r="L709">
        <v>5</v>
      </c>
      <c r="M709">
        <v>22</v>
      </c>
      <c r="N709">
        <v>297</v>
      </c>
      <c r="O709">
        <v>246</v>
      </c>
      <c r="P709">
        <v>2</v>
      </c>
      <c r="Q709">
        <v>2</v>
      </c>
      <c r="R709">
        <v>4</v>
      </c>
      <c r="S709">
        <v>0</v>
      </c>
      <c r="T709">
        <v>0</v>
      </c>
      <c r="U709">
        <v>636</v>
      </c>
      <c r="V709">
        <v>58</v>
      </c>
      <c r="W709">
        <v>332</v>
      </c>
      <c r="X709">
        <v>246</v>
      </c>
    </row>
    <row r="710" spans="1:24" x14ac:dyDescent="0.2">
      <c r="A710">
        <v>709</v>
      </c>
      <c r="B710" s="1">
        <v>41009</v>
      </c>
      <c r="C710" t="s">
        <v>24</v>
      </c>
      <c r="D710">
        <v>268</v>
      </c>
      <c r="E710">
        <v>40</v>
      </c>
      <c r="F710">
        <v>3</v>
      </c>
      <c r="G710" t="s">
        <v>27</v>
      </c>
      <c r="H710">
        <v>7</v>
      </c>
      <c r="I710">
        <v>46</v>
      </c>
      <c r="J710">
        <v>12</v>
      </c>
      <c r="K710">
        <v>8</v>
      </c>
      <c r="L710">
        <v>10</v>
      </c>
      <c r="M710">
        <v>18</v>
      </c>
      <c r="N710">
        <v>213</v>
      </c>
      <c r="O710">
        <v>200</v>
      </c>
      <c r="P710">
        <v>6</v>
      </c>
      <c r="Q710">
        <v>1</v>
      </c>
      <c r="R710">
        <v>1</v>
      </c>
      <c r="S710">
        <v>0</v>
      </c>
      <c r="T710">
        <v>0</v>
      </c>
      <c r="U710">
        <v>515</v>
      </c>
      <c r="V710">
        <v>66</v>
      </c>
      <c r="W710">
        <v>249</v>
      </c>
      <c r="X710">
        <v>200</v>
      </c>
    </row>
    <row r="711" spans="1:24" x14ac:dyDescent="0.2">
      <c r="A711">
        <v>710</v>
      </c>
      <c r="B711" s="1">
        <v>41009</v>
      </c>
      <c r="C711" t="s">
        <v>28</v>
      </c>
      <c r="D711">
        <v>268</v>
      </c>
      <c r="E711">
        <v>40</v>
      </c>
      <c r="F711">
        <v>3</v>
      </c>
      <c r="G711" t="s">
        <v>26</v>
      </c>
      <c r="H711">
        <v>8</v>
      </c>
      <c r="I711">
        <v>38</v>
      </c>
      <c r="J711">
        <v>25</v>
      </c>
      <c r="K711">
        <v>7</v>
      </c>
      <c r="L711">
        <v>5</v>
      </c>
      <c r="M711">
        <v>21</v>
      </c>
      <c r="N711">
        <v>196</v>
      </c>
      <c r="O711">
        <v>216</v>
      </c>
      <c r="P711">
        <v>1</v>
      </c>
      <c r="Q711">
        <v>0</v>
      </c>
      <c r="R711">
        <v>1</v>
      </c>
      <c r="S711">
        <v>1</v>
      </c>
      <c r="T711">
        <v>0</v>
      </c>
      <c r="U711">
        <v>511</v>
      </c>
      <c r="V711">
        <v>70</v>
      </c>
      <c r="W711">
        <v>225</v>
      </c>
      <c r="X711">
        <v>216</v>
      </c>
    </row>
    <row r="712" spans="1:24" x14ac:dyDescent="0.2">
      <c r="A712">
        <v>711</v>
      </c>
      <c r="B712" s="1">
        <v>41009</v>
      </c>
      <c r="C712" t="s">
        <v>24</v>
      </c>
      <c r="D712">
        <v>268</v>
      </c>
      <c r="E712">
        <v>40</v>
      </c>
      <c r="F712">
        <v>3</v>
      </c>
      <c r="G712" t="s">
        <v>27</v>
      </c>
      <c r="H712">
        <v>9</v>
      </c>
      <c r="I712">
        <v>58</v>
      </c>
      <c r="J712">
        <v>6</v>
      </c>
      <c r="K712">
        <v>14</v>
      </c>
      <c r="L712">
        <v>7</v>
      </c>
      <c r="M712">
        <v>29</v>
      </c>
      <c r="N712">
        <v>303</v>
      </c>
      <c r="O712">
        <v>241</v>
      </c>
      <c r="P712">
        <v>3</v>
      </c>
      <c r="Q712">
        <v>2</v>
      </c>
      <c r="R712">
        <v>3</v>
      </c>
      <c r="S712">
        <v>0</v>
      </c>
      <c r="T712">
        <v>0</v>
      </c>
      <c r="U712">
        <v>666</v>
      </c>
      <c r="V712">
        <v>78</v>
      </c>
      <c r="W712">
        <v>347</v>
      </c>
      <c r="X712">
        <v>241</v>
      </c>
    </row>
    <row r="713" spans="1:24" x14ac:dyDescent="0.2">
      <c r="A713">
        <v>712</v>
      </c>
      <c r="B713" s="1">
        <v>41016</v>
      </c>
      <c r="C713" t="s">
        <v>28</v>
      </c>
      <c r="D713">
        <v>275</v>
      </c>
      <c r="E713">
        <v>41</v>
      </c>
      <c r="F713">
        <v>3</v>
      </c>
      <c r="G713" t="s">
        <v>25</v>
      </c>
      <c r="H713">
        <v>1</v>
      </c>
      <c r="I713">
        <v>36</v>
      </c>
      <c r="J713">
        <v>24</v>
      </c>
      <c r="K713">
        <v>3</v>
      </c>
      <c r="L713">
        <v>6</v>
      </c>
      <c r="M713">
        <v>27</v>
      </c>
      <c r="N713">
        <v>259</v>
      </c>
      <c r="O713">
        <v>208</v>
      </c>
      <c r="P713">
        <v>4</v>
      </c>
      <c r="Q713">
        <v>9</v>
      </c>
      <c r="R713">
        <v>2</v>
      </c>
      <c r="S713">
        <v>0</v>
      </c>
      <c r="T713">
        <v>0</v>
      </c>
      <c r="U713">
        <v>578</v>
      </c>
      <c r="V713">
        <v>63</v>
      </c>
      <c r="W713">
        <v>307</v>
      </c>
      <c r="X713">
        <v>208</v>
      </c>
    </row>
    <row r="714" spans="1:24" x14ac:dyDescent="0.2">
      <c r="A714">
        <v>713</v>
      </c>
      <c r="B714" s="1">
        <v>41016</v>
      </c>
      <c r="C714" t="s">
        <v>28</v>
      </c>
      <c r="D714">
        <v>275</v>
      </c>
      <c r="E714">
        <v>41</v>
      </c>
      <c r="F714">
        <v>3</v>
      </c>
      <c r="G714" t="s">
        <v>25</v>
      </c>
      <c r="H714">
        <v>2</v>
      </c>
      <c r="I714">
        <v>50</v>
      </c>
      <c r="J714">
        <v>3</v>
      </c>
      <c r="K714">
        <v>10</v>
      </c>
      <c r="L714">
        <v>4</v>
      </c>
      <c r="M714">
        <v>28</v>
      </c>
      <c r="N714">
        <v>304</v>
      </c>
      <c r="O714">
        <v>314</v>
      </c>
      <c r="P714">
        <v>1</v>
      </c>
      <c r="Q714">
        <v>3</v>
      </c>
      <c r="R714">
        <v>6</v>
      </c>
      <c r="S714">
        <v>0</v>
      </c>
      <c r="T714">
        <v>0</v>
      </c>
      <c r="U714">
        <v>723</v>
      </c>
      <c r="V714">
        <v>63</v>
      </c>
      <c r="W714">
        <v>346</v>
      </c>
      <c r="X714">
        <v>314</v>
      </c>
    </row>
    <row r="715" spans="1:24" x14ac:dyDescent="0.2">
      <c r="A715">
        <v>714</v>
      </c>
      <c r="B715" s="1">
        <v>41016</v>
      </c>
      <c r="C715" t="s">
        <v>24</v>
      </c>
      <c r="D715">
        <v>275</v>
      </c>
      <c r="E715">
        <v>41</v>
      </c>
      <c r="F715">
        <v>3</v>
      </c>
      <c r="G715" t="s">
        <v>26</v>
      </c>
      <c r="H715">
        <v>3</v>
      </c>
      <c r="I715">
        <v>39</v>
      </c>
      <c r="J715">
        <v>6</v>
      </c>
      <c r="K715">
        <v>8</v>
      </c>
      <c r="L715">
        <v>4</v>
      </c>
      <c r="M715">
        <v>36</v>
      </c>
      <c r="N715">
        <v>210</v>
      </c>
      <c r="O715">
        <v>185</v>
      </c>
      <c r="P715">
        <v>2</v>
      </c>
      <c r="Q715">
        <v>5</v>
      </c>
      <c r="R715">
        <v>3</v>
      </c>
      <c r="S715">
        <v>0</v>
      </c>
      <c r="T715">
        <v>0</v>
      </c>
      <c r="U715">
        <v>498</v>
      </c>
      <c r="V715">
        <v>53</v>
      </c>
      <c r="W715">
        <v>260</v>
      </c>
      <c r="X715">
        <v>185</v>
      </c>
    </row>
    <row r="716" spans="1:24" x14ac:dyDescent="0.2">
      <c r="A716">
        <v>715</v>
      </c>
      <c r="B716" s="1">
        <v>41016</v>
      </c>
      <c r="C716" t="s">
        <v>24</v>
      </c>
      <c r="D716">
        <v>275</v>
      </c>
      <c r="E716">
        <v>41</v>
      </c>
      <c r="F716">
        <v>3</v>
      </c>
      <c r="G716" t="s">
        <v>25</v>
      </c>
      <c r="H716">
        <v>4</v>
      </c>
      <c r="I716">
        <v>49</v>
      </c>
      <c r="J716">
        <v>3</v>
      </c>
      <c r="K716">
        <v>5</v>
      </c>
      <c r="L716">
        <v>2</v>
      </c>
      <c r="M716">
        <v>25</v>
      </c>
      <c r="N716">
        <v>186</v>
      </c>
      <c r="O716">
        <v>206</v>
      </c>
      <c r="P716">
        <v>1</v>
      </c>
      <c r="Q716">
        <v>4</v>
      </c>
      <c r="R716">
        <v>2</v>
      </c>
      <c r="S716">
        <v>0</v>
      </c>
      <c r="T716">
        <v>0</v>
      </c>
      <c r="U716">
        <v>483</v>
      </c>
      <c r="V716">
        <v>57</v>
      </c>
      <c r="W716">
        <v>220</v>
      </c>
      <c r="X716">
        <v>206</v>
      </c>
    </row>
    <row r="717" spans="1:24" x14ac:dyDescent="0.2">
      <c r="A717">
        <v>716</v>
      </c>
      <c r="B717" s="1">
        <v>41016</v>
      </c>
      <c r="C717" t="s">
        <v>24</v>
      </c>
      <c r="D717">
        <v>275</v>
      </c>
      <c r="E717">
        <v>41</v>
      </c>
      <c r="F717">
        <v>3</v>
      </c>
      <c r="G717" t="s">
        <v>26</v>
      </c>
      <c r="H717">
        <v>5</v>
      </c>
      <c r="I717">
        <v>54</v>
      </c>
      <c r="J717">
        <v>12</v>
      </c>
      <c r="K717">
        <v>7</v>
      </c>
      <c r="L717">
        <v>6</v>
      </c>
      <c r="M717">
        <v>28</v>
      </c>
      <c r="N717">
        <v>251</v>
      </c>
      <c r="O717">
        <v>202</v>
      </c>
      <c r="P717">
        <v>1</v>
      </c>
      <c r="Q717">
        <v>4</v>
      </c>
      <c r="R717">
        <v>2</v>
      </c>
      <c r="S717">
        <v>0</v>
      </c>
      <c r="T717">
        <v>0</v>
      </c>
      <c r="U717">
        <v>567</v>
      </c>
      <c r="V717">
        <v>73</v>
      </c>
      <c r="W717">
        <v>292</v>
      </c>
      <c r="X717">
        <v>202</v>
      </c>
    </row>
    <row r="718" spans="1:24" x14ac:dyDescent="0.2">
      <c r="A718">
        <v>717</v>
      </c>
      <c r="B718" s="1">
        <v>41016</v>
      </c>
      <c r="C718" t="s">
        <v>28</v>
      </c>
      <c r="D718">
        <v>275</v>
      </c>
      <c r="E718">
        <v>41</v>
      </c>
      <c r="F718">
        <v>3</v>
      </c>
      <c r="G718" t="s">
        <v>27</v>
      </c>
      <c r="H718">
        <v>6</v>
      </c>
      <c r="I718">
        <v>41</v>
      </c>
      <c r="J718">
        <v>3</v>
      </c>
      <c r="K718">
        <v>14</v>
      </c>
      <c r="L718">
        <v>4</v>
      </c>
      <c r="M718">
        <v>25</v>
      </c>
      <c r="N718">
        <v>247</v>
      </c>
      <c r="O718">
        <v>328</v>
      </c>
      <c r="P718">
        <v>5</v>
      </c>
      <c r="Q718">
        <v>2</v>
      </c>
      <c r="R718">
        <v>3</v>
      </c>
      <c r="S718">
        <v>0</v>
      </c>
      <c r="T718">
        <v>0</v>
      </c>
      <c r="U718">
        <v>672</v>
      </c>
      <c r="V718">
        <v>58</v>
      </c>
      <c r="W718">
        <v>286</v>
      </c>
      <c r="X718">
        <v>328</v>
      </c>
    </row>
    <row r="719" spans="1:24" x14ac:dyDescent="0.2">
      <c r="A719">
        <v>718</v>
      </c>
      <c r="B719" s="1">
        <v>41016</v>
      </c>
      <c r="C719" t="s">
        <v>24</v>
      </c>
      <c r="D719">
        <v>275</v>
      </c>
      <c r="E719">
        <v>41</v>
      </c>
      <c r="F719">
        <v>3</v>
      </c>
      <c r="G719" t="s">
        <v>27</v>
      </c>
      <c r="H719">
        <v>7</v>
      </c>
      <c r="I719">
        <v>49</v>
      </c>
      <c r="J719">
        <v>13</v>
      </c>
      <c r="K719">
        <v>11</v>
      </c>
      <c r="L719">
        <v>9</v>
      </c>
      <c r="M719">
        <v>40</v>
      </c>
      <c r="N719">
        <v>227</v>
      </c>
      <c r="O719">
        <v>255</v>
      </c>
      <c r="P719">
        <v>4</v>
      </c>
      <c r="Q719">
        <v>7</v>
      </c>
      <c r="R719">
        <v>5</v>
      </c>
      <c r="S719">
        <v>0</v>
      </c>
      <c r="T719">
        <v>0</v>
      </c>
      <c r="U719">
        <v>620</v>
      </c>
      <c r="V719">
        <v>73</v>
      </c>
      <c r="W719">
        <v>292</v>
      </c>
      <c r="X719">
        <v>255</v>
      </c>
    </row>
    <row r="720" spans="1:24" x14ac:dyDescent="0.2">
      <c r="A720">
        <v>719</v>
      </c>
      <c r="B720" s="1">
        <v>41016</v>
      </c>
      <c r="C720" t="s">
        <v>28</v>
      </c>
      <c r="D720">
        <v>275</v>
      </c>
      <c r="E720">
        <v>41</v>
      </c>
      <c r="F720">
        <v>3</v>
      </c>
      <c r="G720" t="s">
        <v>26</v>
      </c>
      <c r="H720">
        <v>8</v>
      </c>
      <c r="I720">
        <v>32</v>
      </c>
      <c r="J720">
        <v>23</v>
      </c>
      <c r="K720">
        <v>8</v>
      </c>
      <c r="L720">
        <v>3</v>
      </c>
      <c r="M720">
        <v>35</v>
      </c>
      <c r="N720">
        <v>185</v>
      </c>
      <c r="O720">
        <v>262</v>
      </c>
      <c r="P720">
        <v>2</v>
      </c>
      <c r="Q720">
        <v>4</v>
      </c>
      <c r="R720">
        <v>4</v>
      </c>
      <c r="S720">
        <v>0</v>
      </c>
      <c r="T720">
        <v>0</v>
      </c>
      <c r="U720">
        <v>558</v>
      </c>
      <c r="V720">
        <v>63</v>
      </c>
      <c r="W720">
        <v>233</v>
      </c>
      <c r="X720">
        <v>262</v>
      </c>
    </row>
    <row r="721" spans="1:24" x14ac:dyDescent="0.2">
      <c r="A721">
        <v>720</v>
      </c>
      <c r="B721" s="1">
        <v>41016</v>
      </c>
      <c r="C721" t="s">
        <v>24</v>
      </c>
      <c r="D721">
        <v>275</v>
      </c>
      <c r="E721">
        <v>41</v>
      </c>
      <c r="F721">
        <v>3</v>
      </c>
      <c r="G721" t="s">
        <v>27</v>
      </c>
      <c r="H721">
        <v>9</v>
      </c>
      <c r="I721">
        <v>49</v>
      </c>
      <c r="J721">
        <v>7</v>
      </c>
      <c r="K721">
        <v>12</v>
      </c>
      <c r="L721">
        <v>2</v>
      </c>
      <c r="M721">
        <v>25</v>
      </c>
      <c r="N721">
        <v>230</v>
      </c>
      <c r="O721">
        <v>190</v>
      </c>
      <c r="P721">
        <v>3</v>
      </c>
      <c r="Q721">
        <v>3</v>
      </c>
      <c r="R721">
        <v>2</v>
      </c>
      <c r="S721">
        <v>0</v>
      </c>
      <c r="T721">
        <v>0</v>
      </c>
      <c r="U721">
        <v>523</v>
      </c>
      <c r="V721">
        <v>68</v>
      </c>
      <c r="W721">
        <v>265</v>
      </c>
      <c r="X721">
        <v>190</v>
      </c>
    </row>
    <row r="722" spans="1:24" x14ac:dyDescent="0.2">
      <c r="A722">
        <v>721</v>
      </c>
      <c r="B722" s="1">
        <v>41023</v>
      </c>
      <c r="C722" t="s">
        <v>28</v>
      </c>
      <c r="D722">
        <v>282</v>
      </c>
      <c r="E722">
        <v>42</v>
      </c>
      <c r="F722">
        <v>3</v>
      </c>
      <c r="G722" t="s">
        <v>25</v>
      </c>
      <c r="H722">
        <v>1</v>
      </c>
      <c r="I722">
        <v>39</v>
      </c>
      <c r="J722">
        <v>29</v>
      </c>
      <c r="K722">
        <v>4</v>
      </c>
      <c r="L722">
        <v>6</v>
      </c>
      <c r="M722">
        <v>23</v>
      </c>
      <c r="N722">
        <v>265</v>
      </c>
      <c r="O722">
        <v>221</v>
      </c>
      <c r="P722">
        <v>5</v>
      </c>
      <c r="Q722">
        <v>2</v>
      </c>
      <c r="R722">
        <v>2</v>
      </c>
      <c r="S722">
        <v>0</v>
      </c>
      <c r="T722">
        <v>0</v>
      </c>
      <c r="U722">
        <v>596</v>
      </c>
      <c r="V722">
        <v>72</v>
      </c>
      <c r="W722">
        <v>303</v>
      </c>
      <c r="X722">
        <v>221</v>
      </c>
    </row>
    <row r="723" spans="1:24" x14ac:dyDescent="0.2">
      <c r="A723">
        <v>722</v>
      </c>
      <c r="B723" s="1">
        <v>41023</v>
      </c>
      <c r="C723" t="s">
        <v>24</v>
      </c>
      <c r="D723">
        <v>282</v>
      </c>
      <c r="E723">
        <v>42</v>
      </c>
      <c r="F723">
        <v>3</v>
      </c>
      <c r="G723" t="s">
        <v>25</v>
      </c>
      <c r="H723">
        <v>2</v>
      </c>
      <c r="I723">
        <v>38</v>
      </c>
      <c r="J723">
        <v>3</v>
      </c>
      <c r="K723">
        <v>11</v>
      </c>
      <c r="L723">
        <v>3</v>
      </c>
      <c r="M723">
        <v>35</v>
      </c>
      <c r="N723">
        <v>275</v>
      </c>
      <c r="O723">
        <v>245</v>
      </c>
      <c r="P723">
        <v>4</v>
      </c>
      <c r="Q723">
        <v>2</v>
      </c>
      <c r="R723">
        <v>2</v>
      </c>
      <c r="S723">
        <v>0</v>
      </c>
      <c r="T723">
        <v>0</v>
      </c>
      <c r="U723">
        <v>618</v>
      </c>
      <c r="V723">
        <v>52</v>
      </c>
      <c r="W723">
        <v>321</v>
      </c>
      <c r="X723">
        <v>245</v>
      </c>
    </row>
    <row r="724" spans="1:24" x14ac:dyDescent="0.2">
      <c r="A724">
        <v>723</v>
      </c>
      <c r="B724" s="1">
        <v>41023</v>
      </c>
      <c r="C724" t="s">
        <v>28</v>
      </c>
      <c r="D724">
        <v>282</v>
      </c>
      <c r="E724">
        <v>42</v>
      </c>
      <c r="F724">
        <v>3</v>
      </c>
      <c r="G724" t="s">
        <v>26</v>
      </c>
      <c r="H724">
        <v>3</v>
      </c>
      <c r="I724">
        <v>46</v>
      </c>
      <c r="J724">
        <v>11</v>
      </c>
      <c r="K724">
        <v>10</v>
      </c>
      <c r="L724">
        <v>5</v>
      </c>
      <c r="M724">
        <v>30</v>
      </c>
      <c r="N724">
        <v>263</v>
      </c>
      <c r="O724">
        <v>221</v>
      </c>
      <c r="P724">
        <v>2</v>
      </c>
      <c r="Q724">
        <v>1</v>
      </c>
      <c r="R724">
        <v>2</v>
      </c>
      <c r="S724">
        <v>0</v>
      </c>
      <c r="T724">
        <v>0</v>
      </c>
      <c r="U724">
        <v>591</v>
      </c>
      <c r="V724">
        <v>67</v>
      </c>
      <c r="W724">
        <v>303</v>
      </c>
      <c r="X724">
        <v>221</v>
      </c>
    </row>
    <row r="725" spans="1:24" x14ac:dyDescent="0.2">
      <c r="A725">
        <v>724</v>
      </c>
      <c r="B725" s="1">
        <v>41023</v>
      </c>
      <c r="C725" t="s">
        <v>28</v>
      </c>
      <c r="D725">
        <v>282</v>
      </c>
      <c r="E725">
        <v>42</v>
      </c>
      <c r="F725">
        <v>3</v>
      </c>
      <c r="G725" t="s">
        <v>25</v>
      </c>
      <c r="H725">
        <v>4</v>
      </c>
      <c r="I725">
        <v>56</v>
      </c>
      <c r="J725">
        <v>4</v>
      </c>
      <c r="K725">
        <v>7</v>
      </c>
      <c r="L725">
        <v>9</v>
      </c>
      <c r="M725">
        <v>26</v>
      </c>
      <c r="N725">
        <v>244</v>
      </c>
      <c r="O725">
        <v>225</v>
      </c>
      <c r="P725">
        <v>8</v>
      </c>
      <c r="Q725">
        <v>1</v>
      </c>
      <c r="R725">
        <v>1</v>
      </c>
      <c r="S725">
        <v>0</v>
      </c>
      <c r="T725">
        <v>0</v>
      </c>
      <c r="U725">
        <v>581</v>
      </c>
      <c r="V725">
        <v>67</v>
      </c>
      <c r="W725">
        <v>289</v>
      </c>
      <c r="X725">
        <v>225</v>
      </c>
    </row>
    <row r="726" spans="1:24" x14ac:dyDescent="0.2">
      <c r="A726">
        <v>725</v>
      </c>
      <c r="B726" s="1">
        <v>41023</v>
      </c>
      <c r="C726" t="s">
        <v>24</v>
      </c>
      <c r="D726">
        <v>282</v>
      </c>
      <c r="E726">
        <v>42</v>
      </c>
      <c r="F726">
        <v>3</v>
      </c>
      <c r="G726" t="s">
        <v>26</v>
      </c>
      <c r="H726">
        <v>5</v>
      </c>
      <c r="I726">
        <v>57</v>
      </c>
      <c r="J726">
        <v>10</v>
      </c>
      <c r="K726">
        <v>8</v>
      </c>
      <c r="L726">
        <v>4</v>
      </c>
      <c r="M726">
        <v>23</v>
      </c>
      <c r="N726">
        <v>347</v>
      </c>
      <c r="O726">
        <v>266</v>
      </c>
      <c r="P726">
        <v>8</v>
      </c>
      <c r="Q726">
        <v>0</v>
      </c>
      <c r="R726">
        <v>3</v>
      </c>
      <c r="S726">
        <v>0</v>
      </c>
      <c r="T726">
        <v>0</v>
      </c>
      <c r="U726">
        <v>726</v>
      </c>
      <c r="V726">
        <v>75</v>
      </c>
      <c r="W726">
        <v>385</v>
      </c>
      <c r="X726">
        <v>266</v>
      </c>
    </row>
    <row r="727" spans="1:24" x14ac:dyDescent="0.2">
      <c r="A727">
        <v>726</v>
      </c>
      <c r="B727" s="1">
        <v>41023</v>
      </c>
      <c r="C727" t="s">
        <v>24</v>
      </c>
      <c r="D727">
        <v>282</v>
      </c>
      <c r="E727">
        <v>42</v>
      </c>
      <c r="F727">
        <v>3</v>
      </c>
      <c r="G727" t="s">
        <v>27</v>
      </c>
      <c r="H727">
        <v>6</v>
      </c>
      <c r="I727">
        <v>45</v>
      </c>
      <c r="J727">
        <v>3</v>
      </c>
      <c r="K727">
        <v>15</v>
      </c>
      <c r="L727">
        <v>4</v>
      </c>
      <c r="M727">
        <v>20</v>
      </c>
      <c r="N727">
        <v>310</v>
      </c>
      <c r="O727">
        <v>245</v>
      </c>
      <c r="P727">
        <v>3</v>
      </c>
      <c r="Q727">
        <v>3</v>
      </c>
      <c r="R727">
        <v>3</v>
      </c>
      <c r="S727">
        <v>0</v>
      </c>
      <c r="T727">
        <v>0</v>
      </c>
      <c r="U727">
        <v>651</v>
      </c>
      <c r="V727">
        <v>63</v>
      </c>
      <c r="W727">
        <v>343</v>
      </c>
      <c r="X727">
        <v>245</v>
      </c>
    </row>
    <row r="728" spans="1:24" x14ac:dyDescent="0.2">
      <c r="A728">
        <v>727</v>
      </c>
      <c r="B728" s="1">
        <v>41023</v>
      </c>
      <c r="C728" t="s">
        <v>24</v>
      </c>
      <c r="D728">
        <v>282</v>
      </c>
      <c r="E728">
        <v>42</v>
      </c>
      <c r="F728">
        <v>3</v>
      </c>
      <c r="G728" t="s">
        <v>27</v>
      </c>
      <c r="H728">
        <v>7</v>
      </c>
      <c r="I728">
        <v>57</v>
      </c>
      <c r="J728">
        <v>10</v>
      </c>
      <c r="K728">
        <v>7</v>
      </c>
      <c r="L728">
        <v>6</v>
      </c>
      <c r="M728">
        <v>34</v>
      </c>
      <c r="N728">
        <v>294</v>
      </c>
      <c r="O728">
        <v>244</v>
      </c>
      <c r="P728">
        <v>2</v>
      </c>
      <c r="Q728">
        <v>2</v>
      </c>
      <c r="R728">
        <v>2</v>
      </c>
      <c r="S728">
        <v>0</v>
      </c>
      <c r="T728">
        <v>0</v>
      </c>
      <c r="U728">
        <v>658</v>
      </c>
      <c r="V728">
        <v>74</v>
      </c>
      <c r="W728">
        <v>340</v>
      </c>
      <c r="X728">
        <v>244</v>
      </c>
    </row>
    <row r="729" spans="1:24" x14ac:dyDescent="0.2">
      <c r="A729">
        <v>728</v>
      </c>
      <c r="B729" s="1">
        <v>41023</v>
      </c>
      <c r="C729" t="s">
        <v>24</v>
      </c>
      <c r="D729">
        <v>282</v>
      </c>
      <c r="E729">
        <v>42</v>
      </c>
      <c r="F729">
        <v>3</v>
      </c>
      <c r="G729" t="s">
        <v>26</v>
      </c>
      <c r="H729">
        <v>8</v>
      </c>
      <c r="I729">
        <v>32</v>
      </c>
      <c r="J729">
        <v>22</v>
      </c>
      <c r="K729">
        <v>3</v>
      </c>
      <c r="L729">
        <v>3</v>
      </c>
      <c r="M729">
        <v>21</v>
      </c>
      <c r="N729">
        <v>210</v>
      </c>
      <c r="O729">
        <v>161</v>
      </c>
      <c r="P729">
        <v>2</v>
      </c>
      <c r="Q729">
        <v>0</v>
      </c>
      <c r="R729">
        <v>2</v>
      </c>
      <c r="S729">
        <v>0</v>
      </c>
      <c r="T729">
        <v>0</v>
      </c>
      <c r="U729">
        <v>456</v>
      </c>
      <c r="V729">
        <v>57</v>
      </c>
      <c r="W729">
        <v>238</v>
      </c>
      <c r="X729">
        <v>161</v>
      </c>
    </row>
    <row r="730" spans="1:24" x14ac:dyDescent="0.2">
      <c r="A730">
        <v>729</v>
      </c>
      <c r="B730" s="1">
        <v>41023</v>
      </c>
      <c r="C730" t="s">
        <v>28</v>
      </c>
      <c r="D730">
        <v>282</v>
      </c>
      <c r="E730">
        <v>42</v>
      </c>
      <c r="F730">
        <v>3</v>
      </c>
      <c r="G730" t="s">
        <v>27</v>
      </c>
      <c r="H730">
        <v>9</v>
      </c>
      <c r="I730">
        <v>54</v>
      </c>
      <c r="J730">
        <v>7</v>
      </c>
      <c r="K730">
        <v>12</v>
      </c>
      <c r="L730">
        <v>7</v>
      </c>
      <c r="M730">
        <v>23</v>
      </c>
      <c r="N730">
        <v>249</v>
      </c>
      <c r="O730">
        <v>207</v>
      </c>
      <c r="P730">
        <v>4</v>
      </c>
      <c r="Q730">
        <v>4</v>
      </c>
      <c r="R730">
        <v>3</v>
      </c>
      <c r="S730">
        <v>1</v>
      </c>
      <c r="T730">
        <v>0</v>
      </c>
      <c r="U730">
        <v>571</v>
      </c>
      <c r="V730">
        <v>73</v>
      </c>
      <c r="W730">
        <v>291</v>
      </c>
      <c r="X730">
        <v>207</v>
      </c>
    </row>
    <row r="731" spans="1:24" x14ac:dyDescent="0.2">
      <c r="A731">
        <v>730</v>
      </c>
      <c r="B731" s="1">
        <v>41030</v>
      </c>
      <c r="C731" t="s">
        <v>28</v>
      </c>
      <c r="D731">
        <v>289</v>
      </c>
      <c r="E731">
        <v>43</v>
      </c>
      <c r="F731">
        <v>3</v>
      </c>
      <c r="G731" t="s">
        <v>25</v>
      </c>
      <c r="H731">
        <v>1</v>
      </c>
      <c r="I731">
        <v>39</v>
      </c>
      <c r="J731">
        <v>26</v>
      </c>
      <c r="K731">
        <v>2</v>
      </c>
      <c r="L731">
        <v>3</v>
      </c>
      <c r="M731">
        <v>22</v>
      </c>
      <c r="N731">
        <v>241</v>
      </c>
      <c r="O731">
        <v>213</v>
      </c>
      <c r="P731">
        <v>5</v>
      </c>
      <c r="Q731">
        <v>10</v>
      </c>
      <c r="R731">
        <v>9</v>
      </c>
      <c r="S731">
        <v>0</v>
      </c>
      <c r="T731">
        <v>0</v>
      </c>
      <c r="U731">
        <v>570</v>
      </c>
      <c r="V731">
        <v>67</v>
      </c>
      <c r="W731">
        <v>290</v>
      </c>
      <c r="X731">
        <v>213</v>
      </c>
    </row>
    <row r="732" spans="1:24" x14ac:dyDescent="0.2">
      <c r="A732">
        <v>731</v>
      </c>
      <c r="B732" s="1">
        <v>41030</v>
      </c>
      <c r="C732" t="s">
        <v>24</v>
      </c>
      <c r="D732">
        <v>289</v>
      </c>
      <c r="E732">
        <v>43</v>
      </c>
      <c r="F732">
        <v>3</v>
      </c>
      <c r="G732" t="s">
        <v>25</v>
      </c>
      <c r="H732">
        <v>2</v>
      </c>
      <c r="I732">
        <v>42</v>
      </c>
      <c r="J732">
        <v>3</v>
      </c>
      <c r="K732">
        <v>9</v>
      </c>
      <c r="L732">
        <v>4</v>
      </c>
      <c r="M732">
        <v>30</v>
      </c>
      <c r="N732">
        <v>262</v>
      </c>
      <c r="O732">
        <v>248</v>
      </c>
      <c r="P732">
        <v>4</v>
      </c>
      <c r="Q732">
        <v>3</v>
      </c>
      <c r="R732">
        <v>5</v>
      </c>
      <c r="S732">
        <v>1</v>
      </c>
      <c r="T732">
        <v>0</v>
      </c>
      <c r="U732">
        <v>611</v>
      </c>
      <c r="V732">
        <v>54</v>
      </c>
      <c r="W732">
        <v>309</v>
      </c>
      <c r="X732">
        <v>248</v>
      </c>
    </row>
    <row r="733" spans="1:24" x14ac:dyDescent="0.2">
      <c r="A733">
        <v>732</v>
      </c>
      <c r="B733" s="1">
        <v>41030</v>
      </c>
      <c r="C733" t="s">
        <v>28</v>
      </c>
      <c r="D733">
        <v>289</v>
      </c>
      <c r="E733">
        <v>43</v>
      </c>
      <c r="F733">
        <v>3</v>
      </c>
      <c r="G733" t="s">
        <v>26</v>
      </c>
      <c r="H733">
        <v>3</v>
      </c>
      <c r="I733">
        <v>43</v>
      </c>
      <c r="J733">
        <v>10</v>
      </c>
      <c r="K733">
        <v>8</v>
      </c>
      <c r="L733">
        <v>4</v>
      </c>
      <c r="M733">
        <v>29</v>
      </c>
      <c r="N733">
        <v>234</v>
      </c>
      <c r="O733">
        <v>227</v>
      </c>
      <c r="P733">
        <v>6</v>
      </c>
      <c r="Q733">
        <v>4</v>
      </c>
      <c r="R733">
        <v>3</v>
      </c>
      <c r="S733">
        <v>0</v>
      </c>
      <c r="T733">
        <v>0</v>
      </c>
      <c r="U733">
        <v>568</v>
      </c>
      <c r="V733">
        <v>61</v>
      </c>
      <c r="W733">
        <v>280</v>
      </c>
      <c r="X733">
        <v>227</v>
      </c>
    </row>
    <row r="734" spans="1:24" x14ac:dyDescent="0.2">
      <c r="A734">
        <v>733</v>
      </c>
      <c r="B734" s="1">
        <v>41030</v>
      </c>
      <c r="C734" t="s">
        <v>24</v>
      </c>
      <c r="D734">
        <v>289</v>
      </c>
      <c r="E734">
        <v>43</v>
      </c>
      <c r="F734">
        <v>3</v>
      </c>
      <c r="G734" t="s">
        <v>25</v>
      </c>
      <c r="H734">
        <v>4</v>
      </c>
      <c r="I734">
        <v>53</v>
      </c>
      <c r="J734">
        <v>5</v>
      </c>
      <c r="K734">
        <v>9</v>
      </c>
      <c r="L734">
        <v>3</v>
      </c>
      <c r="M734">
        <v>20</v>
      </c>
      <c r="N734">
        <v>215</v>
      </c>
      <c r="O734">
        <v>232</v>
      </c>
      <c r="P734">
        <v>3</v>
      </c>
      <c r="Q734">
        <v>3</v>
      </c>
      <c r="R734">
        <v>2</v>
      </c>
      <c r="S734">
        <v>0</v>
      </c>
      <c r="T734">
        <v>0</v>
      </c>
      <c r="U734">
        <v>545</v>
      </c>
      <c r="V734">
        <v>67</v>
      </c>
      <c r="W734">
        <v>246</v>
      </c>
      <c r="X734">
        <v>232</v>
      </c>
    </row>
    <row r="735" spans="1:24" x14ac:dyDescent="0.2">
      <c r="A735">
        <v>734</v>
      </c>
      <c r="B735" s="1">
        <v>41030</v>
      </c>
      <c r="C735" t="s">
        <v>24</v>
      </c>
      <c r="D735">
        <v>289</v>
      </c>
      <c r="E735">
        <v>43</v>
      </c>
      <c r="F735">
        <v>3</v>
      </c>
      <c r="G735" t="s">
        <v>26</v>
      </c>
      <c r="H735">
        <v>5</v>
      </c>
      <c r="I735">
        <v>55</v>
      </c>
      <c r="J735">
        <v>10</v>
      </c>
      <c r="K735">
        <v>7</v>
      </c>
      <c r="L735">
        <v>3</v>
      </c>
      <c r="M735">
        <v>24</v>
      </c>
      <c r="N735">
        <v>263</v>
      </c>
      <c r="O735">
        <v>264</v>
      </c>
      <c r="P735">
        <v>2</v>
      </c>
      <c r="Q735">
        <v>2</v>
      </c>
      <c r="R735">
        <v>1</v>
      </c>
      <c r="S735">
        <v>0</v>
      </c>
      <c r="T735">
        <v>0</v>
      </c>
      <c r="U735">
        <v>631</v>
      </c>
      <c r="V735">
        <v>72</v>
      </c>
      <c r="W735">
        <v>295</v>
      </c>
      <c r="X735">
        <v>264</v>
      </c>
    </row>
    <row r="736" spans="1:24" x14ac:dyDescent="0.2">
      <c r="A736">
        <v>735</v>
      </c>
      <c r="B736" s="1">
        <v>41030</v>
      </c>
      <c r="C736" t="s">
        <v>24</v>
      </c>
      <c r="D736">
        <v>289</v>
      </c>
      <c r="E736">
        <v>43</v>
      </c>
      <c r="F736">
        <v>3</v>
      </c>
      <c r="G736" t="s">
        <v>27</v>
      </c>
      <c r="H736">
        <v>6</v>
      </c>
      <c r="I736">
        <v>46</v>
      </c>
      <c r="J736">
        <v>2</v>
      </c>
      <c r="K736">
        <v>18</v>
      </c>
      <c r="L736">
        <v>1</v>
      </c>
      <c r="M736">
        <v>28</v>
      </c>
      <c r="N736">
        <v>315</v>
      </c>
      <c r="O736">
        <v>247</v>
      </c>
      <c r="P736">
        <v>0</v>
      </c>
      <c r="Q736">
        <v>3</v>
      </c>
      <c r="R736">
        <v>1</v>
      </c>
      <c r="S736">
        <v>1</v>
      </c>
      <c r="T736">
        <v>0</v>
      </c>
      <c r="U736">
        <v>662</v>
      </c>
      <c r="V736">
        <v>66</v>
      </c>
      <c r="W736">
        <v>349</v>
      </c>
      <c r="X736">
        <v>247</v>
      </c>
    </row>
    <row r="737" spans="1:24" x14ac:dyDescent="0.2">
      <c r="A737">
        <v>736</v>
      </c>
      <c r="B737" s="1">
        <v>41030</v>
      </c>
      <c r="C737" t="s">
        <v>28</v>
      </c>
      <c r="D737">
        <v>289</v>
      </c>
      <c r="E737">
        <v>43</v>
      </c>
      <c r="F737">
        <v>3</v>
      </c>
      <c r="G737" t="s">
        <v>27</v>
      </c>
      <c r="H737">
        <v>7</v>
      </c>
      <c r="I737">
        <v>55</v>
      </c>
      <c r="J737">
        <v>7</v>
      </c>
      <c r="K737">
        <v>8</v>
      </c>
      <c r="L737">
        <v>5</v>
      </c>
      <c r="M737">
        <v>28</v>
      </c>
      <c r="N737">
        <v>285</v>
      </c>
      <c r="O737">
        <v>302</v>
      </c>
      <c r="P737">
        <v>5</v>
      </c>
      <c r="Q737">
        <v>5</v>
      </c>
      <c r="R737">
        <v>2</v>
      </c>
      <c r="S737">
        <v>0</v>
      </c>
      <c r="T737">
        <v>0</v>
      </c>
      <c r="U737">
        <v>702</v>
      </c>
      <c r="V737">
        <v>70</v>
      </c>
      <c r="W737">
        <v>330</v>
      </c>
      <c r="X737">
        <v>302</v>
      </c>
    </row>
    <row r="738" spans="1:24" x14ac:dyDescent="0.2">
      <c r="A738">
        <v>737</v>
      </c>
      <c r="B738" s="1">
        <v>41030</v>
      </c>
      <c r="C738" t="s">
        <v>28</v>
      </c>
      <c r="D738">
        <v>289</v>
      </c>
      <c r="E738">
        <v>43</v>
      </c>
      <c r="F738">
        <v>3</v>
      </c>
      <c r="G738" t="s">
        <v>26</v>
      </c>
      <c r="H738">
        <v>8</v>
      </c>
      <c r="I738">
        <v>35</v>
      </c>
      <c r="J738">
        <v>21</v>
      </c>
      <c r="K738">
        <v>4</v>
      </c>
      <c r="L738">
        <v>4</v>
      </c>
      <c r="M738">
        <v>23</v>
      </c>
      <c r="N738">
        <v>169</v>
      </c>
      <c r="O738">
        <v>195</v>
      </c>
      <c r="P738">
        <v>5</v>
      </c>
      <c r="Q738">
        <v>3</v>
      </c>
      <c r="R738">
        <v>3</v>
      </c>
      <c r="S738">
        <v>0</v>
      </c>
      <c r="T738">
        <v>0</v>
      </c>
      <c r="U738">
        <v>462</v>
      </c>
      <c r="V738">
        <v>60</v>
      </c>
      <c r="W738">
        <v>207</v>
      </c>
      <c r="X738">
        <v>195</v>
      </c>
    </row>
    <row r="739" spans="1:24" x14ac:dyDescent="0.2">
      <c r="A739">
        <v>738</v>
      </c>
      <c r="B739" s="1">
        <v>41030</v>
      </c>
      <c r="C739" t="s">
        <v>24</v>
      </c>
      <c r="D739">
        <v>289</v>
      </c>
      <c r="E739">
        <v>43</v>
      </c>
      <c r="F739">
        <v>3</v>
      </c>
      <c r="G739" t="s">
        <v>27</v>
      </c>
      <c r="H739">
        <v>9</v>
      </c>
      <c r="I739">
        <v>47</v>
      </c>
      <c r="J739">
        <v>4</v>
      </c>
      <c r="K739">
        <v>13</v>
      </c>
      <c r="L739">
        <v>4</v>
      </c>
      <c r="M739">
        <v>29</v>
      </c>
      <c r="N739">
        <v>215</v>
      </c>
      <c r="O739">
        <v>232</v>
      </c>
      <c r="P739">
        <v>2</v>
      </c>
      <c r="Q739">
        <v>1</v>
      </c>
      <c r="R739">
        <v>2</v>
      </c>
      <c r="S739">
        <v>0</v>
      </c>
      <c r="T739">
        <v>0</v>
      </c>
      <c r="U739">
        <v>549</v>
      </c>
      <c r="V739">
        <v>64</v>
      </c>
      <c r="W739">
        <v>253</v>
      </c>
      <c r="X739">
        <v>232</v>
      </c>
    </row>
    <row r="740" spans="1:24" x14ac:dyDescent="0.2">
      <c r="A740">
        <v>739</v>
      </c>
      <c r="B740" s="1">
        <v>41037</v>
      </c>
      <c r="C740" t="s">
        <v>28</v>
      </c>
      <c r="D740">
        <v>296</v>
      </c>
      <c r="E740">
        <v>44</v>
      </c>
      <c r="F740">
        <v>3</v>
      </c>
      <c r="G740" t="s">
        <v>25</v>
      </c>
      <c r="H740">
        <v>1</v>
      </c>
      <c r="I740">
        <v>38</v>
      </c>
      <c r="J740">
        <v>24</v>
      </c>
      <c r="K740">
        <v>2</v>
      </c>
      <c r="L740">
        <v>3</v>
      </c>
      <c r="M740">
        <v>23</v>
      </c>
      <c r="N740">
        <v>271</v>
      </c>
      <c r="O740">
        <v>209</v>
      </c>
      <c r="P740">
        <v>1</v>
      </c>
      <c r="Q740">
        <v>3</v>
      </c>
      <c r="R740">
        <v>3</v>
      </c>
      <c r="S740">
        <v>0</v>
      </c>
      <c r="T740">
        <v>0</v>
      </c>
      <c r="U740">
        <v>577</v>
      </c>
      <c r="V740">
        <v>64</v>
      </c>
      <c r="W740">
        <v>304</v>
      </c>
      <c r="X740">
        <v>209</v>
      </c>
    </row>
    <row r="741" spans="1:24" x14ac:dyDescent="0.2">
      <c r="A741">
        <v>740</v>
      </c>
      <c r="B741" s="1">
        <v>41037</v>
      </c>
      <c r="C741" t="s">
        <v>24</v>
      </c>
      <c r="D741">
        <v>296</v>
      </c>
      <c r="E741">
        <v>44</v>
      </c>
      <c r="F741">
        <v>3</v>
      </c>
      <c r="G741" t="s">
        <v>25</v>
      </c>
      <c r="H741">
        <v>2</v>
      </c>
      <c r="I741">
        <v>51</v>
      </c>
      <c r="J741">
        <v>3</v>
      </c>
      <c r="K741">
        <v>11</v>
      </c>
      <c r="L741">
        <v>3</v>
      </c>
      <c r="M741">
        <v>25</v>
      </c>
      <c r="N741">
        <v>236</v>
      </c>
      <c r="O741">
        <v>252</v>
      </c>
      <c r="P741">
        <v>3</v>
      </c>
      <c r="Q741">
        <v>0</v>
      </c>
      <c r="R741">
        <v>3</v>
      </c>
      <c r="S741">
        <v>1</v>
      </c>
      <c r="T741">
        <v>0</v>
      </c>
      <c r="U741">
        <v>588</v>
      </c>
      <c r="V741">
        <v>65</v>
      </c>
      <c r="W741">
        <v>271</v>
      </c>
      <c r="X741">
        <v>252</v>
      </c>
    </row>
    <row r="742" spans="1:24" x14ac:dyDescent="0.2">
      <c r="A742">
        <v>741</v>
      </c>
      <c r="B742" s="1">
        <v>41037</v>
      </c>
      <c r="C742" t="s">
        <v>24</v>
      </c>
      <c r="D742">
        <v>296</v>
      </c>
      <c r="E742">
        <v>44</v>
      </c>
      <c r="F742">
        <v>3</v>
      </c>
      <c r="G742" t="s">
        <v>26</v>
      </c>
      <c r="H742">
        <v>3</v>
      </c>
      <c r="I742">
        <v>44</v>
      </c>
      <c r="J742">
        <v>13</v>
      </c>
      <c r="K742">
        <v>6</v>
      </c>
      <c r="L742">
        <v>2</v>
      </c>
      <c r="M742">
        <v>23</v>
      </c>
      <c r="N742">
        <v>251</v>
      </c>
      <c r="O742">
        <v>196</v>
      </c>
      <c r="P742">
        <v>1</v>
      </c>
      <c r="Q742">
        <v>2</v>
      </c>
      <c r="R742">
        <v>2</v>
      </c>
      <c r="S742">
        <v>0</v>
      </c>
      <c r="T742">
        <v>0</v>
      </c>
      <c r="U742">
        <v>540</v>
      </c>
      <c r="V742">
        <v>63</v>
      </c>
      <c r="W742">
        <v>281</v>
      </c>
      <c r="X742">
        <v>196</v>
      </c>
    </row>
    <row r="743" spans="1:24" x14ac:dyDescent="0.2">
      <c r="A743">
        <v>742</v>
      </c>
      <c r="B743" s="1">
        <v>41037</v>
      </c>
      <c r="C743" t="s">
        <v>28</v>
      </c>
      <c r="D743">
        <v>296</v>
      </c>
      <c r="E743">
        <v>44</v>
      </c>
      <c r="F743">
        <v>3</v>
      </c>
      <c r="G743" t="s">
        <v>25</v>
      </c>
      <c r="H743">
        <v>4</v>
      </c>
      <c r="I743">
        <v>57</v>
      </c>
      <c r="J743">
        <v>6</v>
      </c>
      <c r="K743">
        <v>10</v>
      </c>
      <c r="L743">
        <v>2</v>
      </c>
      <c r="M743">
        <v>19</v>
      </c>
      <c r="N743">
        <v>302</v>
      </c>
      <c r="O743">
        <v>280</v>
      </c>
      <c r="P743">
        <v>2</v>
      </c>
      <c r="Q743">
        <v>0</v>
      </c>
      <c r="R743">
        <v>2</v>
      </c>
      <c r="S743">
        <v>0</v>
      </c>
      <c r="T743">
        <v>0</v>
      </c>
      <c r="U743">
        <v>680</v>
      </c>
      <c r="V743">
        <v>73</v>
      </c>
      <c r="W743">
        <v>327</v>
      </c>
      <c r="X743">
        <v>280</v>
      </c>
    </row>
    <row r="744" spans="1:24" x14ac:dyDescent="0.2">
      <c r="A744">
        <v>743</v>
      </c>
      <c r="B744" s="1">
        <v>41037</v>
      </c>
      <c r="C744" t="s">
        <v>24</v>
      </c>
      <c r="D744">
        <v>296</v>
      </c>
      <c r="E744">
        <v>44</v>
      </c>
      <c r="F744">
        <v>3</v>
      </c>
      <c r="G744" t="s">
        <v>26</v>
      </c>
      <c r="H744">
        <v>5</v>
      </c>
      <c r="I744">
        <v>51</v>
      </c>
      <c r="J744">
        <v>7</v>
      </c>
      <c r="K744">
        <v>10</v>
      </c>
      <c r="L744">
        <v>4</v>
      </c>
      <c r="M744">
        <v>25</v>
      </c>
      <c r="N744">
        <v>297</v>
      </c>
      <c r="O744">
        <v>221</v>
      </c>
      <c r="P744">
        <v>3</v>
      </c>
      <c r="Q744">
        <v>2</v>
      </c>
      <c r="R744">
        <v>3</v>
      </c>
      <c r="S744">
        <v>0</v>
      </c>
      <c r="T744">
        <v>0</v>
      </c>
      <c r="U744">
        <v>623</v>
      </c>
      <c r="V744">
        <v>68</v>
      </c>
      <c r="W744">
        <v>334</v>
      </c>
      <c r="X744">
        <v>221</v>
      </c>
    </row>
    <row r="745" spans="1:24" x14ac:dyDescent="0.2">
      <c r="A745">
        <v>744</v>
      </c>
      <c r="B745" s="1">
        <v>41037</v>
      </c>
      <c r="C745" t="s">
        <v>28</v>
      </c>
      <c r="D745">
        <v>296</v>
      </c>
      <c r="E745">
        <v>44</v>
      </c>
      <c r="F745">
        <v>3</v>
      </c>
      <c r="G745" t="s">
        <v>27</v>
      </c>
      <c r="H745">
        <v>6</v>
      </c>
      <c r="I745">
        <v>45</v>
      </c>
      <c r="J745">
        <v>2</v>
      </c>
      <c r="K745">
        <v>19</v>
      </c>
      <c r="L745">
        <v>6</v>
      </c>
      <c r="M745">
        <v>34</v>
      </c>
      <c r="N745">
        <v>336</v>
      </c>
      <c r="O745">
        <v>218</v>
      </c>
      <c r="P745">
        <v>4</v>
      </c>
      <c r="Q745">
        <v>1</v>
      </c>
      <c r="R745">
        <v>2</v>
      </c>
      <c r="S745">
        <v>0</v>
      </c>
      <c r="T745">
        <v>0</v>
      </c>
      <c r="U745">
        <v>667</v>
      </c>
      <c r="V745">
        <v>66</v>
      </c>
      <c r="W745">
        <v>383</v>
      </c>
      <c r="X745">
        <v>218</v>
      </c>
    </row>
    <row r="746" spans="1:24" x14ac:dyDescent="0.2">
      <c r="A746">
        <v>745</v>
      </c>
      <c r="B746" s="1">
        <v>41037</v>
      </c>
      <c r="C746" t="s">
        <v>24</v>
      </c>
      <c r="D746">
        <v>296</v>
      </c>
      <c r="E746">
        <v>44</v>
      </c>
      <c r="F746">
        <v>3</v>
      </c>
      <c r="G746" t="s">
        <v>27</v>
      </c>
      <c r="H746">
        <v>7</v>
      </c>
      <c r="I746">
        <v>59</v>
      </c>
      <c r="J746">
        <v>7</v>
      </c>
      <c r="K746">
        <v>7</v>
      </c>
      <c r="L746">
        <v>4</v>
      </c>
      <c r="M746">
        <v>21</v>
      </c>
      <c r="N746">
        <v>243</v>
      </c>
      <c r="O746">
        <v>257</v>
      </c>
      <c r="P746">
        <v>0</v>
      </c>
      <c r="Q746">
        <v>2</v>
      </c>
      <c r="R746">
        <v>3</v>
      </c>
      <c r="S746">
        <v>0</v>
      </c>
      <c r="T746">
        <v>0</v>
      </c>
      <c r="U746">
        <v>603</v>
      </c>
      <c r="V746">
        <v>73</v>
      </c>
      <c r="W746">
        <v>273</v>
      </c>
      <c r="X746">
        <v>257</v>
      </c>
    </row>
    <row r="747" spans="1:24" x14ac:dyDescent="0.2">
      <c r="A747">
        <v>746</v>
      </c>
      <c r="B747" s="1">
        <v>41037</v>
      </c>
      <c r="C747" t="s">
        <v>24</v>
      </c>
      <c r="D747">
        <v>296</v>
      </c>
      <c r="E747">
        <v>44</v>
      </c>
      <c r="F747">
        <v>3</v>
      </c>
      <c r="G747" t="s">
        <v>26</v>
      </c>
      <c r="H747">
        <v>8</v>
      </c>
      <c r="I747">
        <v>44</v>
      </c>
      <c r="J747">
        <v>19</v>
      </c>
      <c r="K747">
        <v>3</v>
      </c>
      <c r="L747">
        <v>4</v>
      </c>
      <c r="M747">
        <v>22</v>
      </c>
      <c r="N747">
        <v>148</v>
      </c>
      <c r="O747">
        <v>173</v>
      </c>
      <c r="P747">
        <v>3</v>
      </c>
      <c r="Q747">
        <v>0</v>
      </c>
      <c r="R747">
        <v>2</v>
      </c>
      <c r="S747">
        <v>0</v>
      </c>
      <c r="T747">
        <v>0</v>
      </c>
      <c r="U747">
        <v>418</v>
      </c>
      <c r="V747">
        <v>66</v>
      </c>
      <c r="W747">
        <v>179</v>
      </c>
      <c r="X747">
        <v>173</v>
      </c>
    </row>
    <row r="748" spans="1:24" x14ac:dyDescent="0.2">
      <c r="A748">
        <v>747</v>
      </c>
      <c r="B748" s="1">
        <v>41037</v>
      </c>
      <c r="C748" t="s">
        <v>28</v>
      </c>
      <c r="D748">
        <v>296</v>
      </c>
      <c r="E748">
        <v>44</v>
      </c>
      <c r="F748">
        <v>3</v>
      </c>
      <c r="G748" t="s">
        <v>27</v>
      </c>
      <c r="H748">
        <v>9</v>
      </c>
      <c r="I748">
        <v>46</v>
      </c>
      <c r="J748">
        <v>4</v>
      </c>
      <c r="K748">
        <v>12</v>
      </c>
      <c r="L748">
        <v>5</v>
      </c>
      <c r="M748">
        <v>27</v>
      </c>
      <c r="N748">
        <v>221</v>
      </c>
      <c r="O748">
        <v>254</v>
      </c>
      <c r="P748">
        <v>2</v>
      </c>
      <c r="Q748">
        <v>1</v>
      </c>
      <c r="R748">
        <v>1</v>
      </c>
      <c r="S748">
        <v>0</v>
      </c>
      <c r="T748">
        <v>0</v>
      </c>
      <c r="U748">
        <v>573</v>
      </c>
      <c r="V748">
        <v>62</v>
      </c>
      <c r="W748">
        <v>257</v>
      </c>
      <c r="X748">
        <v>254</v>
      </c>
    </row>
    <row r="749" spans="1:24" x14ac:dyDescent="0.2">
      <c r="A749">
        <v>748</v>
      </c>
      <c r="B749" s="1">
        <v>41044</v>
      </c>
      <c r="C749" t="s">
        <v>24</v>
      </c>
      <c r="D749">
        <v>303</v>
      </c>
      <c r="E749">
        <v>45</v>
      </c>
      <c r="F749">
        <v>3</v>
      </c>
      <c r="G749" t="s">
        <v>25</v>
      </c>
      <c r="H749">
        <v>1</v>
      </c>
      <c r="I749">
        <v>35</v>
      </c>
      <c r="J749">
        <v>20</v>
      </c>
      <c r="K749">
        <v>0</v>
      </c>
      <c r="L749">
        <v>5</v>
      </c>
      <c r="M749">
        <v>25</v>
      </c>
      <c r="N749">
        <v>304</v>
      </c>
      <c r="O749">
        <v>260</v>
      </c>
      <c r="P749">
        <v>7</v>
      </c>
      <c r="Q749">
        <v>2</v>
      </c>
      <c r="R749">
        <v>1</v>
      </c>
      <c r="S749">
        <v>0</v>
      </c>
      <c r="T749">
        <v>0</v>
      </c>
      <c r="U749">
        <v>659</v>
      </c>
      <c r="V749">
        <v>55</v>
      </c>
      <c r="W749">
        <v>344</v>
      </c>
      <c r="X749">
        <v>260</v>
      </c>
    </row>
    <row r="750" spans="1:24" x14ac:dyDescent="0.2">
      <c r="A750">
        <v>749</v>
      </c>
      <c r="B750" s="1">
        <v>41044</v>
      </c>
      <c r="C750" t="s">
        <v>28</v>
      </c>
      <c r="D750">
        <v>303</v>
      </c>
      <c r="E750">
        <v>45</v>
      </c>
      <c r="F750">
        <v>3</v>
      </c>
      <c r="G750" t="s">
        <v>25</v>
      </c>
      <c r="H750">
        <v>2</v>
      </c>
      <c r="I750">
        <v>49</v>
      </c>
      <c r="J750">
        <v>4</v>
      </c>
      <c r="K750">
        <v>11</v>
      </c>
      <c r="L750">
        <v>3</v>
      </c>
      <c r="M750">
        <v>24</v>
      </c>
      <c r="N750">
        <v>264</v>
      </c>
      <c r="O750">
        <v>310</v>
      </c>
      <c r="P750">
        <v>1</v>
      </c>
      <c r="Q750">
        <v>4</v>
      </c>
      <c r="R750">
        <v>5</v>
      </c>
      <c r="S750">
        <v>1</v>
      </c>
      <c r="T750">
        <v>0</v>
      </c>
      <c r="U750">
        <v>676</v>
      </c>
      <c r="V750">
        <v>64</v>
      </c>
      <c r="W750">
        <v>302</v>
      </c>
      <c r="X750">
        <v>310</v>
      </c>
    </row>
    <row r="751" spans="1:24" x14ac:dyDescent="0.2">
      <c r="A751">
        <v>750</v>
      </c>
      <c r="B751" s="1">
        <v>41044</v>
      </c>
      <c r="C751" t="s">
        <v>24</v>
      </c>
      <c r="D751">
        <v>303</v>
      </c>
      <c r="E751">
        <v>45</v>
      </c>
      <c r="F751">
        <v>3</v>
      </c>
      <c r="G751" t="s">
        <v>26</v>
      </c>
      <c r="H751">
        <v>3</v>
      </c>
      <c r="I751">
        <v>36</v>
      </c>
      <c r="J751">
        <v>12</v>
      </c>
      <c r="K751">
        <v>5</v>
      </c>
      <c r="L751">
        <v>6</v>
      </c>
      <c r="M751">
        <v>28</v>
      </c>
      <c r="N751">
        <v>198</v>
      </c>
      <c r="O751">
        <v>177</v>
      </c>
      <c r="P751">
        <v>3</v>
      </c>
      <c r="Q751">
        <v>2</v>
      </c>
      <c r="R751">
        <v>3</v>
      </c>
      <c r="S751">
        <v>0</v>
      </c>
      <c r="T751">
        <v>0</v>
      </c>
      <c r="U751">
        <v>470</v>
      </c>
      <c r="V751">
        <v>53</v>
      </c>
      <c r="W751">
        <v>240</v>
      </c>
      <c r="X751">
        <v>177</v>
      </c>
    </row>
    <row r="752" spans="1:24" x14ac:dyDescent="0.2">
      <c r="A752">
        <v>751</v>
      </c>
      <c r="B752" s="1">
        <v>41044</v>
      </c>
      <c r="C752" t="s">
        <v>28</v>
      </c>
      <c r="D752">
        <v>303</v>
      </c>
      <c r="E752">
        <v>45</v>
      </c>
      <c r="F752">
        <v>3</v>
      </c>
      <c r="G752" t="s">
        <v>25</v>
      </c>
      <c r="H752">
        <v>4</v>
      </c>
      <c r="I752">
        <v>54</v>
      </c>
      <c r="J752">
        <v>6</v>
      </c>
      <c r="K752">
        <v>8</v>
      </c>
      <c r="L752">
        <v>4</v>
      </c>
      <c r="M752">
        <v>21</v>
      </c>
      <c r="N752">
        <v>295</v>
      </c>
      <c r="O752">
        <v>276</v>
      </c>
      <c r="P752">
        <v>2</v>
      </c>
      <c r="Q752">
        <v>2</v>
      </c>
      <c r="R752">
        <v>1</v>
      </c>
      <c r="S752">
        <v>0</v>
      </c>
      <c r="T752">
        <v>0</v>
      </c>
      <c r="U752">
        <v>669</v>
      </c>
      <c r="V752">
        <v>68</v>
      </c>
      <c r="W752">
        <v>325</v>
      </c>
      <c r="X752">
        <v>276</v>
      </c>
    </row>
    <row r="753" spans="1:24" x14ac:dyDescent="0.2">
      <c r="A753">
        <v>752</v>
      </c>
      <c r="B753" s="1">
        <v>41044</v>
      </c>
      <c r="C753" t="s">
        <v>28</v>
      </c>
      <c r="D753">
        <v>303</v>
      </c>
      <c r="E753">
        <v>45</v>
      </c>
      <c r="F753">
        <v>3</v>
      </c>
      <c r="G753" t="s">
        <v>26</v>
      </c>
      <c r="H753">
        <v>5</v>
      </c>
      <c r="I753">
        <v>50</v>
      </c>
      <c r="J753">
        <v>6</v>
      </c>
      <c r="K753">
        <v>10</v>
      </c>
      <c r="L753">
        <v>2</v>
      </c>
      <c r="M753">
        <v>27</v>
      </c>
      <c r="N753">
        <v>281</v>
      </c>
      <c r="O753">
        <v>236</v>
      </c>
      <c r="P753">
        <v>4</v>
      </c>
      <c r="Q753">
        <v>4</v>
      </c>
      <c r="R753">
        <v>3</v>
      </c>
      <c r="S753">
        <v>0</v>
      </c>
      <c r="T753">
        <v>0</v>
      </c>
      <c r="U753">
        <v>623</v>
      </c>
      <c r="V753">
        <v>66</v>
      </c>
      <c r="W753">
        <v>321</v>
      </c>
      <c r="X753">
        <v>236</v>
      </c>
    </row>
    <row r="754" spans="1:24" x14ac:dyDescent="0.2">
      <c r="A754">
        <v>753</v>
      </c>
      <c r="B754" s="1">
        <v>41044</v>
      </c>
      <c r="C754" t="s">
        <v>24</v>
      </c>
      <c r="D754">
        <v>303</v>
      </c>
      <c r="E754">
        <v>45</v>
      </c>
      <c r="F754">
        <v>3</v>
      </c>
      <c r="G754" t="s">
        <v>27</v>
      </c>
      <c r="H754">
        <v>6</v>
      </c>
      <c r="I754">
        <v>45</v>
      </c>
      <c r="J754">
        <v>1</v>
      </c>
      <c r="K754">
        <v>21</v>
      </c>
      <c r="L754">
        <v>5</v>
      </c>
      <c r="M754">
        <v>23</v>
      </c>
      <c r="N754">
        <v>278</v>
      </c>
      <c r="O754">
        <v>281</v>
      </c>
      <c r="P754">
        <v>5</v>
      </c>
      <c r="Q754">
        <v>0</v>
      </c>
      <c r="R754">
        <v>1</v>
      </c>
      <c r="S754">
        <v>0</v>
      </c>
      <c r="T754">
        <v>0</v>
      </c>
      <c r="U754">
        <v>660</v>
      </c>
      <c r="V754">
        <v>67</v>
      </c>
      <c r="W754">
        <v>312</v>
      </c>
      <c r="X754">
        <v>281</v>
      </c>
    </row>
    <row r="755" spans="1:24" x14ac:dyDescent="0.2">
      <c r="A755">
        <v>754</v>
      </c>
      <c r="B755" s="1">
        <v>41044</v>
      </c>
      <c r="C755" t="s">
        <v>24</v>
      </c>
      <c r="D755">
        <v>303</v>
      </c>
      <c r="E755">
        <v>45</v>
      </c>
      <c r="F755">
        <v>3</v>
      </c>
      <c r="G755" t="s">
        <v>27</v>
      </c>
      <c r="H755">
        <v>7</v>
      </c>
      <c r="I755">
        <v>58</v>
      </c>
      <c r="J755">
        <v>5</v>
      </c>
      <c r="K755">
        <v>7</v>
      </c>
      <c r="L755">
        <v>3</v>
      </c>
      <c r="M755">
        <v>31</v>
      </c>
      <c r="N755">
        <v>330</v>
      </c>
      <c r="O755">
        <v>293</v>
      </c>
      <c r="P755">
        <v>3</v>
      </c>
      <c r="Q755">
        <v>4</v>
      </c>
      <c r="R755">
        <v>2</v>
      </c>
      <c r="S755">
        <v>0</v>
      </c>
      <c r="T755">
        <v>0</v>
      </c>
      <c r="U755">
        <v>736</v>
      </c>
      <c r="V755">
        <v>70</v>
      </c>
      <c r="W755">
        <v>373</v>
      </c>
      <c r="X755">
        <v>293</v>
      </c>
    </row>
    <row r="756" spans="1:24" x14ac:dyDescent="0.2">
      <c r="A756">
        <v>755</v>
      </c>
      <c r="B756" s="1">
        <v>41044</v>
      </c>
      <c r="C756" t="s">
        <v>24</v>
      </c>
      <c r="D756">
        <v>303</v>
      </c>
      <c r="E756">
        <v>45</v>
      </c>
      <c r="F756">
        <v>3</v>
      </c>
      <c r="G756" t="s">
        <v>26</v>
      </c>
      <c r="H756">
        <v>8</v>
      </c>
      <c r="I756">
        <v>49</v>
      </c>
      <c r="J756">
        <v>13</v>
      </c>
      <c r="K756">
        <v>3</v>
      </c>
      <c r="L756">
        <v>3</v>
      </c>
      <c r="M756">
        <v>15</v>
      </c>
      <c r="N756">
        <v>130</v>
      </c>
      <c r="O756">
        <v>194</v>
      </c>
      <c r="P756">
        <v>1</v>
      </c>
      <c r="Q756">
        <v>1</v>
      </c>
      <c r="R756">
        <v>1</v>
      </c>
      <c r="S756">
        <v>0</v>
      </c>
      <c r="T756">
        <v>0</v>
      </c>
      <c r="U756">
        <v>410</v>
      </c>
      <c r="V756">
        <v>65</v>
      </c>
      <c r="W756">
        <v>151</v>
      </c>
      <c r="X756">
        <v>194</v>
      </c>
    </row>
    <row r="757" spans="1:24" x14ac:dyDescent="0.2">
      <c r="A757">
        <v>756</v>
      </c>
      <c r="B757" s="1">
        <v>41044</v>
      </c>
      <c r="C757" t="s">
        <v>28</v>
      </c>
      <c r="D757">
        <v>303</v>
      </c>
      <c r="E757">
        <v>45</v>
      </c>
      <c r="F757">
        <v>3</v>
      </c>
      <c r="G757" t="s">
        <v>27</v>
      </c>
      <c r="H757">
        <v>9</v>
      </c>
      <c r="I757">
        <v>53</v>
      </c>
      <c r="J757">
        <v>4</v>
      </c>
      <c r="K757">
        <v>15</v>
      </c>
      <c r="L757">
        <v>4</v>
      </c>
      <c r="M757">
        <v>25</v>
      </c>
      <c r="N757">
        <v>209</v>
      </c>
      <c r="O757">
        <v>266</v>
      </c>
      <c r="P757">
        <v>3</v>
      </c>
      <c r="Q757">
        <v>0</v>
      </c>
      <c r="R757">
        <v>2</v>
      </c>
      <c r="S757">
        <v>0</v>
      </c>
      <c r="T757">
        <v>0</v>
      </c>
      <c r="U757">
        <v>581</v>
      </c>
      <c r="V757">
        <v>72</v>
      </c>
      <c r="W757">
        <v>243</v>
      </c>
      <c r="X757">
        <v>266</v>
      </c>
    </row>
    <row r="758" spans="1:24" x14ac:dyDescent="0.2">
      <c r="A758">
        <v>757</v>
      </c>
      <c r="B758" s="1">
        <v>41051</v>
      </c>
      <c r="C758" t="s">
        <v>28</v>
      </c>
      <c r="D758">
        <v>310</v>
      </c>
      <c r="E758">
        <v>46</v>
      </c>
      <c r="F758">
        <v>3</v>
      </c>
      <c r="G758" t="s">
        <v>25</v>
      </c>
      <c r="H758">
        <v>1</v>
      </c>
      <c r="I758">
        <v>32</v>
      </c>
      <c r="J758">
        <v>19</v>
      </c>
      <c r="K758">
        <v>0</v>
      </c>
      <c r="L758">
        <v>4</v>
      </c>
      <c r="M758">
        <v>27</v>
      </c>
      <c r="N758">
        <v>321</v>
      </c>
      <c r="O758">
        <v>215</v>
      </c>
      <c r="P758">
        <v>3</v>
      </c>
      <c r="Q758">
        <v>5</v>
      </c>
      <c r="R758">
        <v>1</v>
      </c>
      <c r="S758">
        <v>0</v>
      </c>
      <c r="T758">
        <v>0</v>
      </c>
      <c r="U758">
        <v>627</v>
      </c>
      <c r="V758">
        <v>51</v>
      </c>
      <c r="W758">
        <v>361</v>
      </c>
      <c r="X758">
        <v>215</v>
      </c>
    </row>
    <row r="759" spans="1:24" x14ac:dyDescent="0.2">
      <c r="A759">
        <v>758</v>
      </c>
      <c r="B759" s="1">
        <v>41051</v>
      </c>
      <c r="C759" t="s">
        <v>24</v>
      </c>
      <c r="D759">
        <v>310</v>
      </c>
      <c r="E759">
        <v>46</v>
      </c>
      <c r="F759">
        <v>3</v>
      </c>
      <c r="G759" t="s">
        <v>25</v>
      </c>
      <c r="H759">
        <v>2</v>
      </c>
      <c r="I759">
        <v>45</v>
      </c>
      <c r="J759">
        <v>4</v>
      </c>
      <c r="K759">
        <v>8</v>
      </c>
      <c r="L759">
        <v>3</v>
      </c>
      <c r="M759">
        <v>24</v>
      </c>
      <c r="N759">
        <v>219</v>
      </c>
      <c r="O759">
        <v>274</v>
      </c>
      <c r="P759">
        <v>3</v>
      </c>
      <c r="Q759">
        <v>2</v>
      </c>
      <c r="R759">
        <v>2</v>
      </c>
      <c r="S759">
        <v>3</v>
      </c>
      <c r="T759">
        <v>0</v>
      </c>
      <c r="U759">
        <v>587</v>
      </c>
      <c r="V759">
        <v>57</v>
      </c>
      <c r="W759">
        <v>256</v>
      </c>
      <c r="X759">
        <v>274</v>
      </c>
    </row>
    <row r="760" spans="1:24" x14ac:dyDescent="0.2">
      <c r="A760">
        <v>759</v>
      </c>
      <c r="B760" s="1">
        <v>41051</v>
      </c>
      <c r="C760" t="s">
        <v>28</v>
      </c>
      <c r="D760">
        <v>310</v>
      </c>
      <c r="E760">
        <v>46</v>
      </c>
      <c r="F760">
        <v>3</v>
      </c>
      <c r="G760" t="s">
        <v>26</v>
      </c>
      <c r="H760">
        <v>3</v>
      </c>
      <c r="I760">
        <v>39</v>
      </c>
      <c r="J760">
        <v>12</v>
      </c>
      <c r="K760">
        <v>6</v>
      </c>
      <c r="L760">
        <v>3</v>
      </c>
      <c r="M760">
        <v>22</v>
      </c>
      <c r="N760">
        <v>185</v>
      </c>
      <c r="O760">
        <v>170</v>
      </c>
      <c r="P760">
        <v>3</v>
      </c>
      <c r="Q760">
        <v>1</v>
      </c>
      <c r="R760">
        <v>2</v>
      </c>
      <c r="S760">
        <v>0</v>
      </c>
      <c r="T760">
        <v>0</v>
      </c>
      <c r="U760">
        <v>443</v>
      </c>
      <c r="V760">
        <v>57</v>
      </c>
      <c r="W760">
        <v>216</v>
      </c>
      <c r="X760">
        <v>170</v>
      </c>
    </row>
    <row r="761" spans="1:24" x14ac:dyDescent="0.2">
      <c r="A761">
        <v>760</v>
      </c>
      <c r="B761" s="1">
        <v>41051</v>
      </c>
      <c r="C761" t="s">
        <v>28</v>
      </c>
      <c r="D761">
        <v>310</v>
      </c>
      <c r="E761">
        <v>46</v>
      </c>
      <c r="F761">
        <v>3</v>
      </c>
      <c r="G761" t="s">
        <v>25</v>
      </c>
      <c r="H761">
        <v>4</v>
      </c>
      <c r="I761">
        <v>53</v>
      </c>
      <c r="J761">
        <v>5</v>
      </c>
      <c r="K761">
        <v>6</v>
      </c>
      <c r="L761">
        <v>4</v>
      </c>
      <c r="M761">
        <v>23</v>
      </c>
      <c r="N761">
        <v>315</v>
      </c>
      <c r="O761">
        <v>283</v>
      </c>
      <c r="P761">
        <v>1</v>
      </c>
      <c r="Q761">
        <v>3</v>
      </c>
      <c r="R761">
        <v>1</v>
      </c>
      <c r="S761">
        <v>0</v>
      </c>
      <c r="T761">
        <v>0</v>
      </c>
      <c r="U761">
        <v>694</v>
      </c>
      <c r="V761">
        <v>64</v>
      </c>
      <c r="W761">
        <v>347</v>
      </c>
      <c r="X761">
        <v>283</v>
      </c>
    </row>
    <row r="762" spans="1:24" x14ac:dyDescent="0.2">
      <c r="A762">
        <v>761</v>
      </c>
      <c r="B762" s="1">
        <v>41051</v>
      </c>
      <c r="C762" t="s">
        <v>24</v>
      </c>
      <c r="D762">
        <v>310</v>
      </c>
      <c r="E762">
        <v>46</v>
      </c>
      <c r="F762">
        <v>3</v>
      </c>
      <c r="G762" t="s">
        <v>26</v>
      </c>
      <c r="H762">
        <v>5</v>
      </c>
      <c r="I762">
        <v>62</v>
      </c>
      <c r="J762">
        <v>7</v>
      </c>
      <c r="K762">
        <v>10</v>
      </c>
      <c r="L762">
        <v>5</v>
      </c>
      <c r="M762">
        <v>22</v>
      </c>
      <c r="N762">
        <v>277</v>
      </c>
      <c r="O762">
        <v>244</v>
      </c>
      <c r="P762">
        <v>5</v>
      </c>
      <c r="Q762">
        <v>2</v>
      </c>
      <c r="R762">
        <v>2</v>
      </c>
      <c r="S762">
        <v>0</v>
      </c>
      <c r="T762">
        <v>0</v>
      </c>
      <c r="U762">
        <v>636</v>
      </c>
      <c r="V762">
        <v>79</v>
      </c>
      <c r="W762">
        <v>313</v>
      </c>
      <c r="X762">
        <v>244</v>
      </c>
    </row>
    <row r="763" spans="1:24" x14ac:dyDescent="0.2">
      <c r="A763">
        <v>762</v>
      </c>
      <c r="B763" s="1">
        <v>41051</v>
      </c>
      <c r="C763" t="s">
        <v>28</v>
      </c>
      <c r="D763">
        <v>310</v>
      </c>
      <c r="E763">
        <v>46</v>
      </c>
      <c r="F763">
        <v>3</v>
      </c>
      <c r="G763" t="s">
        <v>27</v>
      </c>
      <c r="H763">
        <v>6</v>
      </c>
      <c r="I763">
        <v>46</v>
      </c>
      <c r="J763">
        <v>1</v>
      </c>
      <c r="K763">
        <v>23</v>
      </c>
      <c r="L763">
        <v>5</v>
      </c>
      <c r="M763">
        <v>23</v>
      </c>
      <c r="N763">
        <v>266</v>
      </c>
      <c r="O763">
        <v>293</v>
      </c>
      <c r="P763">
        <v>4</v>
      </c>
      <c r="Q763">
        <v>1</v>
      </c>
      <c r="R763">
        <v>3</v>
      </c>
      <c r="S763">
        <v>0</v>
      </c>
      <c r="T763">
        <v>0</v>
      </c>
      <c r="U763">
        <v>665</v>
      </c>
      <c r="V763">
        <v>70</v>
      </c>
      <c r="W763">
        <v>302</v>
      </c>
      <c r="X763">
        <v>293</v>
      </c>
    </row>
    <row r="764" spans="1:24" x14ac:dyDescent="0.2">
      <c r="A764">
        <v>763</v>
      </c>
      <c r="B764" s="1">
        <v>41051</v>
      </c>
      <c r="C764" t="s">
        <v>24</v>
      </c>
      <c r="D764">
        <v>310</v>
      </c>
      <c r="E764">
        <v>46</v>
      </c>
      <c r="F764">
        <v>3</v>
      </c>
      <c r="G764" t="s">
        <v>27</v>
      </c>
      <c r="H764">
        <v>7</v>
      </c>
      <c r="I764">
        <v>57</v>
      </c>
      <c r="J764">
        <v>5</v>
      </c>
      <c r="K764">
        <v>7</v>
      </c>
      <c r="L764">
        <v>5</v>
      </c>
      <c r="M764">
        <v>26</v>
      </c>
      <c r="N764">
        <v>254</v>
      </c>
      <c r="O764">
        <v>210</v>
      </c>
      <c r="P764">
        <v>7</v>
      </c>
      <c r="Q764">
        <v>3</v>
      </c>
      <c r="R764">
        <v>2</v>
      </c>
      <c r="S764">
        <v>0</v>
      </c>
      <c r="T764">
        <v>0</v>
      </c>
      <c r="U764">
        <v>576</v>
      </c>
      <c r="V764">
        <v>69</v>
      </c>
      <c r="W764">
        <v>297</v>
      </c>
      <c r="X764">
        <v>210</v>
      </c>
    </row>
    <row r="765" spans="1:24" x14ac:dyDescent="0.2">
      <c r="A765">
        <v>764</v>
      </c>
      <c r="B765" s="1">
        <v>41051</v>
      </c>
      <c r="C765" t="s">
        <v>24</v>
      </c>
      <c r="D765">
        <v>310</v>
      </c>
      <c r="E765">
        <v>46</v>
      </c>
      <c r="F765">
        <v>3</v>
      </c>
      <c r="G765" t="s">
        <v>26</v>
      </c>
      <c r="H765">
        <v>8</v>
      </c>
      <c r="I765">
        <v>46</v>
      </c>
      <c r="J765">
        <v>12</v>
      </c>
      <c r="K765">
        <v>2</v>
      </c>
      <c r="L765">
        <v>1</v>
      </c>
      <c r="M765">
        <v>18</v>
      </c>
      <c r="N765">
        <v>165</v>
      </c>
      <c r="O765">
        <v>194</v>
      </c>
      <c r="P765">
        <v>0</v>
      </c>
      <c r="Q765">
        <v>1</v>
      </c>
      <c r="R765">
        <v>3</v>
      </c>
      <c r="S765">
        <v>0</v>
      </c>
      <c r="T765">
        <v>0</v>
      </c>
      <c r="U765">
        <v>442</v>
      </c>
      <c r="V765">
        <v>60</v>
      </c>
      <c r="W765">
        <v>188</v>
      </c>
      <c r="X765">
        <v>194</v>
      </c>
    </row>
    <row r="766" spans="1:24" x14ac:dyDescent="0.2">
      <c r="A766">
        <v>765</v>
      </c>
      <c r="B766" s="1">
        <v>41051</v>
      </c>
      <c r="C766" t="s">
        <v>24</v>
      </c>
      <c r="D766">
        <v>310</v>
      </c>
      <c r="E766">
        <v>46</v>
      </c>
      <c r="F766">
        <v>3</v>
      </c>
      <c r="G766" t="s">
        <v>27</v>
      </c>
      <c r="H766">
        <v>9</v>
      </c>
      <c r="I766">
        <v>59</v>
      </c>
      <c r="J766">
        <v>2</v>
      </c>
      <c r="K766">
        <v>20</v>
      </c>
      <c r="L766">
        <v>2</v>
      </c>
      <c r="M766">
        <v>26</v>
      </c>
      <c r="N766">
        <v>243</v>
      </c>
      <c r="O766">
        <v>181</v>
      </c>
      <c r="P766">
        <v>3</v>
      </c>
      <c r="Q766">
        <v>2</v>
      </c>
      <c r="R766">
        <v>3</v>
      </c>
      <c r="S766">
        <v>0</v>
      </c>
      <c r="T766">
        <v>0</v>
      </c>
      <c r="U766">
        <v>541</v>
      </c>
      <c r="V766">
        <v>81</v>
      </c>
      <c r="W766">
        <v>279</v>
      </c>
      <c r="X766">
        <v>181</v>
      </c>
    </row>
    <row r="767" spans="1:24" x14ac:dyDescent="0.2">
      <c r="A767">
        <v>766</v>
      </c>
      <c r="B767" s="1">
        <v>41058</v>
      </c>
      <c r="C767" t="s">
        <v>24</v>
      </c>
      <c r="D767">
        <v>317</v>
      </c>
      <c r="E767">
        <v>47</v>
      </c>
      <c r="F767">
        <v>3</v>
      </c>
      <c r="G767" t="s">
        <v>25</v>
      </c>
      <c r="H767">
        <v>1</v>
      </c>
      <c r="I767">
        <v>36</v>
      </c>
      <c r="J767">
        <v>19</v>
      </c>
      <c r="K767">
        <v>1</v>
      </c>
      <c r="L767">
        <v>4</v>
      </c>
      <c r="M767">
        <v>24</v>
      </c>
      <c r="N767">
        <v>266</v>
      </c>
      <c r="O767">
        <v>157</v>
      </c>
      <c r="P767">
        <v>6</v>
      </c>
      <c r="Q767">
        <v>3</v>
      </c>
      <c r="R767">
        <v>2</v>
      </c>
      <c r="S767">
        <v>0</v>
      </c>
      <c r="T767">
        <v>0</v>
      </c>
      <c r="U767">
        <v>518</v>
      </c>
      <c r="V767">
        <v>56</v>
      </c>
      <c r="W767">
        <v>305</v>
      </c>
      <c r="X767">
        <v>157</v>
      </c>
    </row>
    <row r="768" spans="1:24" x14ac:dyDescent="0.2">
      <c r="A768">
        <v>767</v>
      </c>
      <c r="B768" s="1">
        <v>41058</v>
      </c>
      <c r="C768" t="s">
        <v>28</v>
      </c>
      <c r="D768">
        <v>317</v>
      </c>
      <c r="E768">
        <v>47</v>
      </c>
      <c r="F768">
        <v>3</v>
      </c>
      <c r="G768" t="s">
        <v>25</v>
      </c>
      <c r="H768">
        <v>2</v>
      </c>
      <c r="I768">
        <v>43</v>
      </c>
      <c r="J768">
        <v>3</v>
      </c>
      <c r="K768">
        <v>10</v>
      </c>
      <c r="L768">
        <v>5</v>
      </c>
      <c r="M768">
        <v>24</v>
      </c>
      <c r="N768">
        <v>218</v>
      </c>
      <c r="O768">
        <v>256</v>
      </c>
      <c r="P768">
        <v>4</v>
      </c>
      <c r="Q768">
        <v>0</v>
      </c>
      <c r="R768">
        <v>2</v>
      </c>
      <c r="S768">
        <v>1</v>
      </c>
      <c r="T768">
        <v>0</v>
      </c>
      <c r="U768">
        <v>566</v>
      </c>
      <c r="V768">
        <v>56</v>
      </c>
      <c r="W768">
        <v>254</v>
      </c>
      <c r="X768">
        <v>256</v>
      </c>
    </row>
    <row r="769" spans="1:24" x14ac:dyDescent="0.2">
      <c r="A769">
        <v>768</v>
      </c>
      <c r="B769" s="1">
        <v>41058</v>
      </c>
      <c r="C769" t="s">
        <v>28</v>
      </c>
      <c r="D769">
        <v>317</v>
      </c>
      <c r="E769">
        <v>47</v>
      </c>
      <c r="F769">
        <v>3</v>
      </c>
      <c r="G769" t="s">
        <v>26</v>
      </c>
      <c r="H769">
        <v>3</v>
      </c>
      <c r="I769">
        <v>41</v>
      </c>
      <c r="J769">
        <v>10</v>
      </c>
      <c r="K769">
        <v>5</v>
      </c>
      <c r="L769">
        <v>5</v>
      </c>
      <c r="M769">
        <v>26</v>
      </c>
      <c r="N769">
        <v>208</v>
      </c>
      <c r="O769">
        <v>236</v>
      </c>
      <c r="P769">
        <v>2</v>
      </c>
      <c r="Q769">
        <v>3</v>
      </c>
      <c r="R769">
        <v>5</v>
      </c>
      <c r="S769">
        <v>0</v>
      </c>
      <c r="T769">
        <v>0</v>
      </c>
      <c r="U769">
        <v>541</v>
      </c>
      <c r="V769">
        <v>56</v>
      </c>
      <c r="W769">
        <v>249</v>
      </c>
      <c r="X769">
        <v>236</v>
      </c>
    </row>
    <row r="770" spans="1:24" x14ac:dyDescent="0.2">
      <c r="A770">
        <v>769</v>
      </c>
      <c r="B770" s="1">
        <v>41058</v>
      </c>
      <c r="C770" t="s">
        <v>24</v>
      </c>
      <c r="D770">
        <v>317</v>
      </c>
      <c r="E770">
        <v>47</v>
      </c>
      <c r="F770">
        <v>3</v>
      </c>
      <c r="G770" t="s">
        <v>25</v>
      </c>
      <c r="H770">
        <v>4</v>
      </c>
      <c r="I770">
        <v>47</v>
      </c>
      <c r="J770">
        <v>4</v>
      </c>
      <c r="K770">
        <v>6</v>
      </c>
      <c r="L770">
        <v>2</v>
      </c>
      <c r="M770">
        <v>27</v>
      </c>
      <c r="N770">
        <v>251</v>
      </c>
      <c r="O770">
        <v>213</v>
      </c>
      <c r="P770">
        <v>3</v>
      </c>
      <c r="Q770">
        <v>4</v>
      </c>
      <c r="R770">
        <v>2</v>
      </c>
      <c r="S770">
        <v>1</v>
      </c>
      <c r="T770">
        <v>0</v>
      </c>
      <c r="U770">
        <v>560</v>
      </c>
      <c r="V770">
        <v>57</v>
      </c>
      <c r="W770">
        <v>290</v>
      </c>
      <c r="X770">
        <v>213</v>
      </c>
    </row>
    <row r="771" spans="1:24" x14ac:dyDescent="0.2">
      <c r="A771">
        <v>770</v>
      </c>
      <c r="B771" s="1">
        <v>41058</v>
      </c>
      <c r="C771" t="s">
        <v>28</v>
      </c>
      <c r="D771">
        <v>317</v>
      </c>
      <c r="E771">
        <v>47</v>
      </c>
      <c r="F771">
        <v>3</v>
      </c>
      <c r="G771" t="s">
        <v>26</v>
      </c>
      <c r="H771">
        <v>5</v>
      </c>
      <c r="I771">
        <v>66</v>
      </c>
      <c r="J771">
        <v>5</v>
      </c>
      <c r="K771">
        <v>8</v>
      </c>
      <c r="L771">
        <v>3</v>
      </c>
      <c r="M771">
        <v>24</v>
      </c>
      <c r="N771">
        <v>279</v>
      </c>
      <c r="O771">
        <v>287</v>
      </c>
      <c r="P771">
        <v>3</v>
      </c>
      <c r="Q771">
        <v>2</v>
      </c>
      <c r="R771">
        <v>2</v>
      </c>
      <c r="S771">
        <v>0</v>
      </c>
      <c r="T771">
        <v>0</v>
      </c>
      <c r="U771">
        <v>679</v>
      </c>
      <c r="V771">
        <v>79</v>
      </c>
      <c r="W771">
        <v>313</v>
      </c>
      <c r="X771">
        <v>287</v>
      </c>
    </row>
    <row r="772" spans="1:24" x14ac:dyDescent="0.2">
      <c r="A772">
        <v>771</v>
      </c>
      <c r="B772" s="1">
        <v>41058</v>
      </c>
      <c r="C772" t="s">
        <v>24</v>
      </c>
      <c r="D772">
        <v>317</v>
      </c>
      <c r="E772">
        <v>47</v>
      </c>
      <c r="F772">
        <v>3</v>
      </c>
      <c r="G772" t="s">
        <v>27</v>
      </c>
      <c r="H772">
        <v>6</v>
      </c>
      <c r="I772">
        <v>48</v>
      </c>
      <c r="J772">
        <v>2</v>
      </c>
      <c r="K772">
        <v>19</v>
      </c>
      <c r="L772">
        <v>1</v>
      </c>
      <c r="M772">
        <v>18</v>
      </c>
      <c r="N772">
        <v>293</v>
      </c>
      <c r="O772">
        <v>227</v>
      </c>
      <c r="P772">
        <v>2</v>
      </c>
      <c r="Q772">
        <v>0</v>
      </c>
      <c r="R772">
        <v>1</v>
      </c>
      <c r="S772">
        <v>0</v>
      </c>
      <c r="T772">
        <v>0</v>
      </c>
      <c r="U772">
        <v>611</v>
      </c>
      <c r="V772">
        <v>69</v>
      </c>
      <c r="W772">
        <v>315</v>
      </c>
      <c r="X772">
        <v>227</v>
      </c>
    </row>
    <row r="773" spans="1:24" x14ac:dyDescent="0.2">
      <c r="A773">
        <v>772</v>
      </c>
      <c r="B773" s="1">
        <v>41058</v>
      </c>
      <c r="C773" t="s">
        <v>28</v>
      </c>
      <c r="D773">
        <v>317</v>
      </c>
      <c r="E773">
        <v>47</v>
      </c>
      <c r="F773">
        <v>3</v>
      </c>
      <c r="G773" t="s">
        <v>27</v>
      </c>
      <c r="H773">
        <v>7</v>
      </c>
      <c r="I773">
        <v>57</v>
      </c>
      <c r="J773">
        <v>6</v>
      </c>
      <c r="K773">
        <v>7</v>
      </c>
      <c r="L773">
        <v>6</v>
      </c>
      <c r="M773">
        <v>25</v>
      </c>
      <c r="N773">
        <v>302</v>
      </c>
      <c r="O773">
        <v>263</v>
      </c>
      <c r="P773">
        <v>5</v>
      </c>
      <c r="Q773">
        <v>4</v>
      </c>
      <c r="R773">
        <v>2</v>
      </c>
      <c r="S773">
        <v>0</v>
      </c>
      <c r="T773">
        <v>0</v>
      </c>
      <c r="U773">
        <v>677</v>
      </c>
      <c r="V773">
        <v>70</v>
      </c>
      <c r="W773">
        <v>344</v>
      </c>
      <c r="X773">
        <v>263</v>
      </c>
    </row>
    <row r="774" spans="1:24" x14ac:dyDescent="0.2">
      <c r="A774">
        <v>773</v>
      </c>
      <c r="B774" s="1">
        <v>41058</v>
      </c>
      <c r="C774" t="s">
        <v>24</v>
      </c>
      <c r="D774">
        <v>317</v>
      </c>
      <c r="E774">
        <v>47</v>
      </c>
      <c r="F774">
        <v>3</v>
      </c>
      <c r="G774" t="s">
        <v>26</v>
      </c>
      <c r="H774">
        <v>8</v>
      </c>
      <c r="I774">
        <v>44</v>
      </c>
      <c r="J774">
        <v>13</v>
      </c>
      <c r="K774">
        <v>3</v>
      </c>
      <c r="L774">
        <v>6</v>
      </c>
      <c r="M774">
        <v>29</v>
      </c>
      <c r="N774">
        <v>156</v>
      </c>
      <c r="O774">
        <v>187</v>
      </c>
      <c r="P774">
        <v>3</v>
      </c>
      <c r="Q774">
        <v>2</v>
      </c>
      <c r="R774">
        <v>2</v>
      </c>
      <c r="S774">
        <v>0</v>
      </c>
      <c r="T774">
        <v>0</v>
      </c>
      <c r="U774">
        <v>445</v>
      </c>
      <c r="V774">
        <v>60</v>
      </c>
      <c r="W774">
        <v>198</v>
      </c>
      <c r="X774">
        <v>187</v>
      </c>
    </row>
    <row r="775" spans="1:24" x14ac:dyDescent="0.2">
      <c r="A775">
        <v>774</v>
      </c>
      <c r="B775" s="1">
        <v>41058</v>
      </c>
      <c r="C775" t="s">
        <v>24</v>
      </c>
      <c r="D775">
        <v>317</v>
      </c>
      <c r="E775">
        <v>47</v>
      </c>
      <c r="F775">
        <v>3</v>
      </c>
      <c r="G775" t="s">
        <v>27</v>
      </c>
      <c r="H775">
        <v>9</v>
      </c>
      <c r="I775">
        <v>55</v>
      </c>
      <c r="J775">
        <v>4</v>
      </c>
      <c r="K775">
        <v>7</v>
      </c>
      <c r="L775">
        <v>9</v>
      </c>
      <c r="M775">
        <v>30</v>
      </c>
      <c r="N775">
        <v>210</v>
      </c>
      <c r="O775">
        <v>204</v>
      </c>
      <c r="P775">
        <v>7</v>
      </c>
      <c r="Q775">
        <v>4</v>
      </c>
      <c r="R775">
        <v>3</v>
      </c>
      <c r="S775">
        <v>0</v>
      </c>
      <c r="T775">
        <v>0</v>
      </c>
      <c r="U775">
        <v>533</v>
      </c>
      <c r="V775">
        <v>66</v>
      </c>
      <c r="W775">
        <v>263</v>
      </c>
      <c r="X775">
        <v>204</v>
      </c>
    </row>
    <row r="776" spans="1:24" x14ac:dyDescent="0.2">
      <c r="A776">
        <v>775</v>
      </c>
      <c r="B776" s="1">
        <v>41065</v>
      </c>
      <c r="C776" t="s">
        <v>24</v>
      </c>
      <c r="D776">
        <v>323</v>
      </c>
      <c r="E776">
        <v>48</v>
      </c>
      <c r="F776">
        <v>3</v>
      </c>
      <c r="G776" t="s">
        <v>25</v>
      </c>
      <c r="H776">
        <v>1</v>
      </c>
      <c r="I776">
        <v>37</v>
      </c>
      <c r="J776">
        <v>16</v>
      </c>
      <c r="K776">
        <v>2</v>
      </c>
      <c r="L776">
        <v>4</v>
      </c>
      <c r="M776">
        <v>22</v>
      </c>
      <c r="N776">
        <v>194</v>
      </c>
      <c r="O776">
        <v>174</v>
      </c>
      <c r="P776">
        <v>1</v>
      </c>
      <c r="Q776">
        <v>1</v>
      </c>
      <c r="R776">
        <v>2</v>
      </c>
      <c r="S776">
        <v>0</v>
      </c>
      <c r="T776">
        <v>0</v>
      </c>
      <c r="U776">
        <v>453</v>
      </c>
      <c r="V776">
        <v>55</v>
      </c>
      <c r="W776">
        <v>224</v>
      </c>
      <c r="X776">
        <v>174</v>
      </c>
    </row>
    <row r="777" spans="1:24" x14ac:dyDescent="0.2">
      <c r="A777">
        <v>776</v>
      </c>
      <c r="B777" s="1">
        <v>41065</v>
      </c>
      <c r="C777" t="s">
        <v>24</v>
      </c>
      <c r="D777">
        <v>323</v>
      </c>
      <c r="E777">
        <v>48</v>
      </c>
      <c r="F777">
        <v>3</v>
      </c>
      <c r="G777" t="s">
        <v>25</v>
      </c>
      <c r="H777">
        <v>2</v>
      </c>
      <c r="I777">
        <v>42</v>
      </c>
      <c r="J777">
        <v>1</v>
      </c>
      <c r="K777">
        <v>9</v>
      </c>
      <c r="L777">
        <v>3</v>
      </c>
      <c r="M777">
        <v>17</v>
      </c>
      <c r="N777">
        <v>244</v>
      </c>
      <c r="O777">
        <v>280</v>
      </c>
      <c r="P777">
        <v>3</v>
      </c>
      <c r="Q777">
        <v>1</v>
      </c>
      <c r="R777">
        <v>1</v>
      </c>
      <c r="S777">
        <v>0</v>
      </c>
      <c r="T777">
        <v>0</v>
      </c>
      <c r="U777">
        <v>601</v>
      </c>
      <c r="V777">
        <v>52</v>
      </c>
      <c r="W777">
        <v>269</v>
      </c>
      <c r="X777">
        <v>280</v>
      </c>
    </row>
    <row r="778" spans="1:24" x14ac:dyDescent="0.2">
      <c r="A778">
        <v>777</v>
      </c>
      <c r="B778" s="1">
        <v>41065</v>
      </c>
      <c r="C778" t="s">
        <v>24</v>
      </c>
      <c r="D778">
        <v>323</v>
      </c>
      <c r="E778">
        <v>48</v>
      </c>
      <c r="F778">
        <v>3</v>
      </c>
      <c r="G778" t="s">
        <v>26</v>
      </c>
      <c r="H778">
        <v>3</v>
      </c>
      <c r="I778">
        <v>42</v>
      </c>
      <c r="J778">
        <v>10</v>
      </c>
      <c r="K778">
        <v>5</v>
      </c>
      <c r="L778">
        <v>2</v>
      </c>
      <c r="M778">
        <v>10</v>
      </c>
      <c r="N778">
        <v>162</v>
      </c>
      <c r="O778">
        <v>166</v>
      </c>
      <c r="P778">
        <v>5</v>
      </c>
      <c r="Q778">
        <v>0</v>
      </c>
      <c r="R778">
        <v>2</v>
      </c>
      <c r="S778">
        <v>0</v>
      </c>
      <c r="T778">
        <v>0</v>
      </c>
      <c r="U778">
        <v>404</v>
      </c>
      <c r="V778">
        <v>57</v>
      </c>
      <c r="W778">
        <v>181</v>
      </c>
      <c r="X778">
        <v>166</v>
      </c>
    </row>
    <row r="779" spans="1:24" x14ac:dyDescent="0.2">
      <c r="A779">
        <v>778</v>
      </c>
      <c r="B779" s="1">
        <v>41065</v>
      </c>
      <c r="C779" t="s">
        <v>28</v>
      </c>
      <c r="D779">
        <v>323</v>
      </c>
      <c r="E779">
        <v>48</v>
      </c>
      <c r="F779">
        <v>3</v>
      </c>
      <c r="G779" t="s">
        <v>25</v>
      </c>
      <c r="H779">
        <v>4</v>
      </c>
      <c r="I779">
        <v>52</v>
      </c>
      <c r="J779">
        <v>4</v>
      </c>
      <c r="K779">
        <v>7</v>
      </c>
      <c r="L779">
        <v>3</v>
      </c>
      <c r="M779">
        <v>21</v>
      </c>
      <c r="N779">
        <v>239</v>
      </c>
      <c r="O779">
        <v>218</v>
      </c>
      <c r="P779">
        <v>1</v>
      </c>
      <c r="Q779">
        <v>2</v>
      </c>
      <c r="R779">
        <v>1</v>
      </c>
      <c r="S779">
        <v>0</v>
      </c>
      <c r="T779">
        <v>0</v>
      </c>
      <c r="U779">
        <v>548</v>
      </c>
      <c r="V779">
        <v>63</v>
      </c>
      <c r="W779">
        <v>267</v>
      </c>
      <c r="X779">
        <v>218</v>
      </c>
    </row>
    <row r="780" spans="1:24" x14ac:dyDescent="0.2">
      <c r="A780">
        <v>779</v>
      </c>
      <c r="B780" s="1">
        <v>41065</v>
      </c>
      <c r="C780" t="s">
        <v>24</v>
      </c>
      <c r="D780">
        <v>323</v>
      </c>
      <c r="E780">
        <v>48</v>
      </c>
      <c r="F780">
        <v>3</v>
      </c>
      <c r="G780" t="s">
        <v>26</v>
      </c>
      <c r="H780">
        <v>5</v>
      </c>
      <c r="I780">
        <v>45</v>
      </c>
      <c r="J780">
        <v>7</v>
      </c>
      <c r="K780">
        <v>5</v>
      </c>
      <c r="L780">
        <v>4</v>
      </c>
      <c r="M780">
        <v>29</v>
      </c>
      <c r="N780">
        <v>252</v>
      </c>
      <c r="O780">
        <v>195</v>
      </c>
      <c r="P780">
        <v>3</v>
      </c>
      <c r="Q780">
        <v>2</v>
      </c>
      <c r="R780">
        <v>4</v>
      </c>
      <c r="S780">
        <v>0</v>
      </c>
      <c r="T780">
        <v>0</v>
      </c>
      <c r="U780">
        <v>546</v>
      </c>
      <c r="V780">
        <v>57</v>
      </c>
      <c r="W780">
        <v>294</v>
      </c>
      <c r="X780">
        <v>195</v>
      </c>
    </row>
    <row r="781" spans="1:24" x14ac:dyDescent="0.2">
      <c r="A781">
        <v>780</v>
      </c>
      <c r="B781" s="1">
        <v>41065</v>
      </c>
      <c r="C781" t="s">
        <v>28</v>
      </c>
      <c r="D781">
        <v>323</v>
      </c>
      <c r="E781">
        <v>48</v>
      </c>
      <c r="F781">
        <v>3</v>
      </c>
      <c r="G781" t="s">
        <v>27</v>
      </c>
      <c r="H781">
        <v>6</v>
      </c>
      <c r="I781">
        <v>47</v>
      </c>
      <c r="J781">
        <v>1</v>
      </c>
      <c r="K781">
        <v>20</v>
      </c>
      <c r="L781">
        <v>2</v>
      </c>
      <c r="M781">
        <v>20</v>
      </c>
      <c r="N781">
        <v>263</v>
      </c>
      <c r="O781">
        <v>248</v>
      </c>
      <c r="P781">
        <v>2</v>
      </c>
      <c r="Q781">
        <v>2</v>
      </c>
      <c r="R781">
        <v>3</v>
      </c>
      <c r="S781">
        <v>2</v>
      </c>
      <c r="T781">
        <v>0</v>
      </c>
      <c r="U781">
        <v>610</v>
      </c>
      <c r="V781">
        <v>68</v>
      </c>
      <c r="W781">
        <v>294</v>
      </c>
      <c r="X781">
        <v>248</v>
      </c>
    </row>
    <row r="782" spans="1:24" x14ac:dyDescent="0.2">
      <c r="A782">
        <v>781</v>
      </c>
      <c r="B782" s="1">
        <v>41065</v>
      </c>
      <c r="C782" t="s">
        <v>24</v>
      </c>
      <c r="D782">
        <v>323</v>
      </c>
      <c r="E782">
        <v>48</v>
      </c>
      <c r="F782">
        <v>3</v>
      </c>
      <c r="G782" t="s">
        <v>27</v>
      </c>
      <c r="H782">
        <v>7</v>
      </c>
      <c r="I782">
        <v>59</v>
      </c>
      <c r="J782">
        <v>6</v>
      </c>
      <c r="K782">
        <v>7</v>
      </c>
      <c r="L782">
        <v>3</v>
      </c>
      <c r="M782">
        <v>25</v>
      </c>
      <c r="N782">
        <v>233</v>
      </c>
      <c r="O782">
        <v>251</v>
      </c>
      <c r="P782">
        <v>2</v>
      </c>
      <c r="Q782">
        <v>1</v>
      </c>
      <c r="R782">
        <v>4</v>
      </c>
      <c r="S782">
        <v>0</v>
      </c>
      <c r="T782">
        <v>0</v>
      </c>
      <c r="U782">
        <v>591</v>
      </c>
      <c r="V782">
        <v>72</v>
      </c>
      <c r="W782">
        <v>268</v>
      </c>
      <c r="X782">
        <v>251</v>
      </c>
    </row>
    <row r="783" spans="1:24" x14ac:dyDescent="0.2">
      <c r="A783">
        <v>782</v>
      </c>
      <c r="B783" s="1">
        <v>41065</v>
      </c>
      <c r="C783" t="s">
        <v>28</v>
      </c>
      <c r="D783">
        <v>323</v>
      </c>
      <c r="E783">
        <v>48</v>
      </c>
      <c r="F783">
        <v>3</v>
      </c>
      <c r="G783" t="s">
        <v>26</v>
      </c>
      <c r="H783">
        <v>8</v>
      </c>
      <c r="I783">
        <v>47</v>
      </c>
      <c r="J783">
        <v>12</v>
      </c>
      <c r="K783">
        <v>3</v>
      </c>
      <c r="L783">
        <v>4</v>
      </c>
      <c r="M783">
        <v>26</v>
      </c>
      <c r="N783">
        <v>142</v>
      </c>
      <c r="O783">
        <v>182</v>
      </c>
      <c r="P783">
        <v>3</v>
      </c>
      <c r="Q783">
        <v>4</v>
      </c>
      <c r="R783">
        <v>1</v>
      </c>
      <c r="S783">
        <v>0</v>
      </c>
      <c r="T783">
        <v>0</v>
      </c>
      <c r="U783">
        <v>424</v>
      </c>
      <c r="V783">
        <v>62</v>
      </c>
      <c r="W783">
        <v>180</v>
      </c>
      <c r="X783">
        <v>182</v>
      </c>
    </row>
    <row r="784" spans="1:24" x14ac:dyDescent="0.2">
      <c r="A784">
        <v>783</v>
      </c>
      <c r="B784" s="1">
        <v>41065</v>
      </c>
      <c r="C784" t="s">
        <v>28</v>
      </c>
      <c r="D784">
        <v>323</v>
      </c>
      <c r="E784">
        <v>48</v>
      </c>
      <c r="F784">
        <v>3</v>
      </c>
      <c r="G784" t="s">
        <v>27</v>
      </c>
      <c r="H784">
        <v>9</v>
      </c>
      <c r="I784">
        <v>55</v>
      </c>
      <c r="J784">
        <v>6</v>
      </c>
      <c r="K784">
        <v>8</v>
      </c>
      <c r="L784">
        <v>3</v>
      </c>
      <c r="M784">
        <v>24</v>
      </c>
      <c r="N784">
        <v>198</v>
      </c>
      <c r="O784">
        <v>205</v>
      </c>
      <c r="P784">
        <v>5</v>
      </c>
      <c r="Q784">
        <v>1</v>
      </c>
      <c r="R784">
        <v>2</v>
      </c>
      <c r="S784">
        <v>0</v>
      </c>
      <c r="T784">
        <v>0</v>
      </c>
      <c r="U784">
        <v>507</v>
      </c>
      <c r="V784">
        <v>69</v>
      </c>
      <c r="W784">
        <v>233</v>
      </c>
      <c r="X784">
        <v>205</v>
      </c>
    </row>
    <row r="785" spans="1:24" x14ac:dyDescent="0.2">
      <c r="A785">
        <v>784</v>
      </c>
      <c r="B785" s="1">
        <v>41072</v>
      </c>
      <c r="C785" t="s">
        <v>28</v>
      </c>
      <c r="D785">
        <v>330</v>
      </c>
      <c r="E785">
        <v>49</v>
      </c>
      <c r="F785">
        <v>3</v>
      </c>
      <c r="G785" t="s">
        <v>25</v>
      </c>
      <c r="H785">
        <v>1</v>
      </c>
      <c r="I785">
        <v>37</v>
      </c>
      <c r="J785">
        <v>15</v>
      </c>
      <c r="K785">
        <v>0</v>
      </c>
      <c r="L785">
        <v>6</v>
      </c>
      <c r="M785">
        <v>25</v>
      </c>
      <c r="N785">
        <v>240</v>
      </c>
      <c r="O785">
        <v>211</v>
      </c>
      <c r="P785">
        <v>7</v>
      </c>
      <c r="Q785">
        <v>3</v>
      </c>
      <c r="R785">
        <v>3</v>
      </c>
      <c r="S785">
        <v>0</v>
      </c>
      <c r="T785">
        <v>0</v>
      </c>
      <c r="U785">
        <v>547</v>
      </c>
      <c r="V785">
        <v>52</v>
      </c>
      <c r="W785">
        <v>284</v>
      </c>
      <c r="X785">
        <v>211</v>
      </c>
    </row>
    <row r="786" spans="1:24" x14ac:dyDescent="0.2">
      <c r="A786">
        <v>785</v>
      </c>
      <c r="B786" s="1">
        <v>41072</v>
      </c>
      <c r="C786" t="s">
        <v>28</v>
      </c>
      <c r="D786">
        <v>330</v>
      </c>
      <c r="E786">
        <v>49</v>
      </c>
      <c r="F786">
        <v>3</v>
      </c>
      <c r="G786" t="s">
        <v>25</v>
      </c>
      <c r="H786">
        <v>2</v>
      </c>
      <c r="I786">
        <v>41</v>
      </c>
      <c r="J786">
        <v>1</v>
      </c>
      <c r="K786">
        <v>7</v>
      </c>
      <c r="L786">
        <v>2</v>
      </c>
      <c r="M786">
        <v>20</v>
      </c>
      <c r="N786">
        <v>267</v>
      </c>
      <c r="O786">
        <v>265</v>
      </c>
      <c r="P786">
        <v>3</v>
      </c>
      <c r="Q786">
        <v>2</v>
      </c>
      <c r="R786">
        <v>2</v>
      </c>
      <c r="S786">
        <v>0</v>
      </c>
      <c r="T786">
        <v>0</v>
      </c>
      <c r="U786">
        <v>610</v>
      </c>
      <c r="V786">
        <v>49</v>
      </c>
      <c r="W786">
        <v>296</v>
      </c>
      <c r="X786">
        <v>265</v>
      </c>
    </row>
    <row r="787" spans="1:24" x14ac:dyDescent="0.2">
      <c r="A787">
        <v>786</v>
      </c>
      <c r="B787" s="1">
        <v>41072</v>
      </c>
      <c r="C787" t="s">
        <v>28</v>
      </c>
      <c r="D787">
        <v>330</v>
      </c>
      <c r="E787">
        <v>49</v>
      </c>
      <c r="F787">
        <v>3</v>
      </c>
      <c r="G787" t="s">
        <v>26</v>
      </c>
      <c r="H787">
        <v>3</v>
      </c>
      <c r="I787">
        <v>39</v>
      </c>
      <c r="J787">
        <v>8</v>
      </c>
      <c r="K787">
        <v>6</v>
      </c>
      <c r="L787">
        <v>1</v>
      </c>
      <c r="M787">
        <v>16</v>
      </c>
      <c r="N787">
        <v>158</v>
      </c>
      <c r="O787">
        <v>215</v>
      </c>
      <c r="P787">
        <v>6</v>
      </c>
      <c r="Q787">
        <v>4</v>
      </c>
      <c r="R787">
        <v>1</v>
      </c>
      <c r="S787">
        <v>0</v>
      </c>
      <c r="T787">
        <v>0</v>
      </c>
      <c r="U787">
        <v>454</v>
      </c>
      <c r="V787">
        <v>53</v>
      </c>
      <c r="W787">
        <v>186</v>
      </c>
      <c r="X787">
        <v>215</v>
      </c>
    </row>
    <row r="788" spans="1:24" x14ac:dyDescent="0.2">
      <c r="A788">
        <v>787</v>
      </c>
      <c r="B788" s="1">
        <v>41072</v>
      </c>
      <c r="C788" t="s">
        <v>28</v>
      </c>
      <c r="D788">
        <v>330</v>
      </c>
      <c r="E788">
        <v>49</v>
      </c>
      <c r="F788">
        <v>3</v>
      </c>
      <c r="G788" t="s">
        <v>25</v>
      </c>
      <c r="H788">
        <v>4</v>
      </c>
      <c r="I788">
        <v>52</v>
      </c>
      <c r="J788">
        <v>4</v>
      </c>
      <c r="K788">
        <v>6</v>
      </c>
      <c r="L788">
        <v>4</v>
      </c>
      <c r="M788">
        <v>25</v>
      </c>
      <c r="N788">
        <v>227</v>
      </c>
      <c r="O788">
        <v>251</v>
      </c>
      <c r="P788">
        <v>3</v>
      </c>
      <c r="Q788">
        <v>0</v>
      </c>
      <c r="R788">
        <v>2</v>
      </c>
      <c r="S788">
        <v>0</v>
      </c>
      <c r="T788">
        <v>0</v>
      </c>
      <c r="U788">
        <v>574</v>
      </c>
      <c r="V788">
        <v>62</v>
      </c>
      <c r="W788">
        <v>261</v>
      </c>
      <c r="X788">
        <v>251</v>
      </c>
    </row>
    <row r="789" spans="1:24" x14ac:dyDescent="0.2">
      <c r="A789">
        <v>788</v>
      </c>
      <c r="B789" s="1">
        <v>41072</v>
      </c>
      <c r="C789" t="s">
        <v>28</v>
      </c>
      <c r="D789">
        <v>330</v>
      </c>
      <c r="E789">
        <v>49</v>
      </c>
      <c r="F789">
        <v>3</v>
      </c>
      <c r="G789" t="s">
        <v>26</v>
      </c>
      <c r="H789">
        <v>5</v>
      </c>
      <c r="I789">
        <v>45</v>
      </c>
      <c r="J789">
        <v>7</v>
      </c>
      <c r="K789">
        <v>6</v>
      </c>
      <c r="L789">
        <v>2</v>
      </c>
      <c r="M789">
        <v>25</v>
      </c>
      <c r="N789">
        <v>203</v>
      </c>
      <c r="O789">
        <v>208</v>
      </c>
      <c r="P789">
        <v>7</v>
      </c>
      <c r="Q789">
        <v>3</v>
      </c>
      <c r="R789">
        <v>2</v>
      </c>
      <c r="S789">
        <v>0</v>
      </c>
      <c r="T789">
        <v>0</v>
      </c>
      <c r="U789">
        <v>508</v>
      </c>
      <c r="V789">
        <v>58</v>
      </c>
      <c r="W789">
        <v>242</v>
      </c>
      <c r="X789">
        <v>208</v>
      </c>
    </row>
    <row r="790" spans="1:24" x14ac:dyDescent="0.2">
      <c r="A790">
        <v>789</v>
      </c>
      <c r="B790" s="1">
        <v>41072</v>
      </c>
      <c r="C790" t="s">
        <v>28</v>
      </c>
      <c r="D790">
        <v>330</v>
      </c>
      <c r="E790">
        <v>49</v>
      </c>
      <c r="F790">
        <v>3</v>
      </c>
      <c r="G790" t="s">
        <v>27</v>
      </c>
      <c r="H790">
        <v>6</v>
      </c>
      <c r="I790">
        <v>48</v>
      </c>
      <c r="J790">
        <v>1</v>
      </c>
      <c r="K790">
        <v>21</v>
      </c>
      <c r="L790">
        <v>3</v>
      </c>
      <c r="M790">
        <v>25</v>
      </c>
      <c r="N790">
        <v>251</v>
      </c>
      <c r="O790">
        <v>259</v>
      </c>
      <c r="P790">
        <v>7</v>
      </c>
      <c r="Q790">
        <v>4</v>
      </c>
      <c r="R790">
        <v>1</v>
      </c>
      <c r="S790">
        <v>0</v>
      </c>
      <c r="T790">
        <v>0</v>
      </c>
      <c r="U790">
        <v>620</v>
      </c>
      <c r="V790">
        <v>70</v>
      </c>
      <c r="W790">
        <v>291</v>
      </c>
      <c r="X790">
        <v>259</v>
      </c>
    </row>
    <row r="791" spans="1:24" x14ac:dyDescent="0.2">
      <c r="A791">
        <v>790</v>
      </c>
      <c r="B791" s="1">
        <v>41072</v>
      </c>
      <c r="C791" t="s">
        <v>28</v>
      </c>
      <c r="D791">
        <v>330</v>
      </c>
      <c r="E791">
        <v>49</v>
      </c>
      <c r="F791">
        <v>3</v>
      </c>
      <c r="G791" t="s">
        <v>27</v>
      </c>
      <c r="H791">
        <v>7</v>
      </c>
      <c r="I791">
        <v>57</v>
      </c>
      <c r="J791">
        <v>7</v>
      </c>
      <c r="K791">
        <v>8</v>
      </c>
      <c r="L791">
        <v>4</v>
      </c>
      <c r="M791">
        <v>22</v>
      </c>
      <c r="N791">
        <v>239</v>
      </c>
      <c r="O791">
        <v>259</v>
      </c>
      <c r="P791">
        <v>7</v>
      </c>
      <c r="Q791">
        <v>4</v>
      </c>
      <c r="R791">
        <v>1</v>
      </c>
      <c r="S791">
        <v>0</v>
      </c>
      <c r="T791">
        <v>0</v>
      </c>
      <c r="U791">
        <v>608</v>
      </c>
      <c r="V791">
        <v>72</v>
      </c>
      <c r="W791">
        <v>277</v>
      </c>
      <c r="X791">
        <v>259</v>
      </c>
    </row>
    <row r="792" spans="1:24" x14ac:dyDescent="0.2">
      <c r="A792">
        <v>791</v>
      </c>
      <c r="B792" s="1">
        <v>41072</v>
      </c>
      <c r="C792" t="s">
        <v>28</v>
      </c>
      <c r="D792">
        <v>330</v>
      </c>
      <c r="E792">
        <v>49</v>
      </c>
      <c r="F792">
        <v>3</v>
      </c>
      <c r="G792" t="s">
        <v>26</v>
      </c>
      <c r="H792">
        <v>8</v>
      </c>
      <c r="I792">
        <v>43</v>
      </c>
      <c r="J792">
        <v>13</v>
      </c>
      <c r="K792">
        <v>3</v>
      </c>
      <c r="L792">
        <v>2</v>
      </c>
      <c r="M792">
        <v>23</v>
      </c>
      <c r="N792">
        <v>135</v>
      </c>
      <c r="O792">
        <v>187</v>
      </c>
      <c r="P792">
        <v>1</v>
      </c>
      <c r="Q792">
        <v>3</v>
      </c>
      <c r="R792">
        <v>1</v>
      </c>
      <c r="S792">
        <v>0</v>
      </c>
      <c r="T792">
        <v>0</v>
      </c>
      <c r="U792">
        <v>411</v>
      </c>
      <c r="V792">
        <v>59</v>
      </c>
      <c r="W792">
        <v>165</v>
      </c>
      <c r="X792">
        <v>187</v>
      </c>
    </row>
    <row r="793" spans="1:24" x14ac:dyDescent="0.2">
      <c r="A793">
        <v>792</v>
      </c>
      <c r="B793" s="1">
        <v>41072</v>
      </c>
      <c r="C793" t="s">
        <v>28</v>
      </c>
      <c r="D793">
        <v>330</v>
      </c>
      <c r="E793">
        <v>49</v>
      </c>
      <c r="F793">
        <v>3</v>
      </c>
      <c r="G793" t="s">
        <v>27</v>
      </c>
      <c r="H793">
        <v>9</v>
      </c>
      <c r="I793">
        <v>54</v>
      </c>
      <c r="J793">
        <v>4</v>
      </c>
      <c r="K793">
        <v>10</v>
      </c>
      <c r="L793">
        <v>3</v>
      </c>
      <c r="M793">
        <v>21</v>
      </c>
      <c r="N793">
        <v>215</v>
      </c>
      <c r="O793">
        <v>217</v>
      </c>
      <c r="P793">
        <v>4</v>
      </c>
      <c r="Q793">
        <v>1</v>
      </c>
      <c r="R793">
        <v>1</v>
      </c>
      <c r="S793">
        <v>0</v>
      </c>
      <c r="T793">
        <v>0</v>
      </c>
      <c r="U793">
        <v>530</v>
      </c>
      <c r="V793">
        <v>68</v>
      </c>
      <c r="W793">
        <v>245</v>
      </c>
      <c r="X793">
        <v>217</v>
      </c>
    </row>
    <row r="794" spans="1:24" x14ac:dyDescent="0.2">
      <c r="A794">
        <v>793</v>
      </c>
      <c r="B794" s="1">
        <v>41079</v>
      </c>
      <c r="C794" t="s">
        <v>24</v>
      </c>
      <c r="D794">
        <v>337</v>
      </c>
      <c r="E794">
        <v>50</v>
      </c>
      <c r="F794">
        <v>3</v>
      </c>
      <c r="G794" t="s">
        <v>25</v>
      </c>
      <c r="H794">
        <v>1</v>
      </c>
      <c r="I794">
        <v>36</v>
      </c>
      <c r="J794">
        <v>23</v>
      </c>
      <c r="K794">
        <v>1</v>
      </c>
      <c r="L794">
        <v>4</v>
      </c>
      <c r="M794">
        <v>15</v>
      </c>
      <c r="N794">
        <v>181</v>
      </c>
      <c r="O794">
        <v>168</v>
      </c>
      <c r="P794">
        <v>3</v>
      </c>
      <c r="Q794">
        <v>1</v>
      </c>
      <c r="R794">
        <v>1</v>
      </c>
      <c r="S794">
        <v>0</v>
      </c>
      <c r="T794">
        <v>0</v>
      </c>
      <c r="U794">
        <v>433</v>
      </c>
      <c r="V794">
        <v>60</v>
      </c>
      <c r="W794">
        <v>205</v>
      </c>
      <c r="X794">
        <v>168</v>
      </c>
    </row>
    <row r="795" spans="1:24" x14ac:dyDescent="0.2">
      <c r="A795">
        <v>794</v>
      </c>
      <c r="B795" s="1">
        <v>41079</v>
      </c>
      <c r="C795" t="s">
        <v>28</v>
      </c>
      <c r="D795">
        <v>337</v>
      </c>
      <c r="E795">
        <v>50</v>
      </c>
      <c r="F795">
        <v>3</v>
      </c>
      <c r="G795" t="s">
        <v>25</v>
      </c>
      <c r="H795">
        <v>2</v>
      </c>
      <c r="I795">
        <v>40</v>
      </c>
      <c r="J795">
        <v>2</v>
      </c>
      <c r="K795">
        <v>7</v>
      </c>
      <c r="L795">
        <v>3</v>
      </c>
      <c r="M795">
        <v>23</v>
      </c>
      <c r="N795">
        <v>308</v>
      </c>
      <c r="O795">
        <v>321</v>
      </c>
      <c r="P795">
        <v>2</v>
      </c>
      <c r="Q795">
        <v>2</v>
      </c>
      <c r="R795">
        <v>0</v>
      </c>
      <c r="S795">
        <v>0</v>
      </c>
      <c r="T795">
        <v>0</v>
      </c>
      <c r="U795">
        <v>708</v>
      </c>
      <c r="V795">
        <v>49</v>
      </c>
      <c r="W795">
        <v>338</v>
      </c>
      <c r="X795">
        <v>321</v>
      </c>
    </row>
    <row r="796" spans="1:24" x14ac:dyDescent="0.2">
      <c r="A796">
        <v>795</v>
      </c>
      <c r="B796" s="1">
        <v>41079</v>
      </c>
      <c r="C796" t="s">
        <v>28</v>
      </c>
      <c r="D796">
        <v>337</v>
      </c>
      <c r="E796">
        <v>50</v>
      </c>
      <c r="F796">
        <v>3</v>
      </c>
      <c r="G796" t="s">
        <v>26</v>
      </c>
      <c r="H796">
        <v>3</v>
      </c>
      <c r="I796">
        <v>36</v>
      </c>
      <c r="J796">
        <v>8</v>
      </c>
      <c r="K796">
        <v>5</v>
      </c>
      <c r="L796">
        <v>6</v>
      </c>
      <c r="M796">
        <v>18</v>
      </c>
      <c r="N796">
        <v>196</v>
      </c>
      <c r="O796">
        <v>184</v>
      </c>
      <c r="P796">
        <v>2</v>
      </c>
      <c r="Q796">
        <v>1</v>
      </c>
      <c r="R796">
        <v>3</v>
      </c>
      <c r="S796">
        <v>0</v>
      </c>
      <c r="T796">
        <v>0</v>
      </c>
      <c r="U796">
        <v>459</v>
      </c>
      <c r="V796">
        <v>49</v>
      </c>
      <c r="W796">
        <v>226</v>
      </c>
      <c r="X796">
        <v>184</v>
      </c>
    </row>
    <row r="797" spans="1:24" x14ac:dyDescent="0.2">
      <c r="A797">
        <v>796</v>
      </c>
      <c r="B797" s="1">
        <v>41079</v>
      </c>
      <c r="C797" t="s">
        <v>28</v>
      </c>
      <c r="D797">
        <v>337</v>
      </c>
      <c r="E797">
        <v>50</v>
      </c>
      <c r="F797">
        <v>3</v>
      </c>
      <c r="G797" t="s">
        <v>25</v>
      </c>
      <c r="H797">
        <v>4</v>
      </c>
      <c r="I797">
        <v>53</v>
      </c>
      <c r="J797">
        <v>4</v>
      </c>
      <c r="K797">
        <v>6</v>
      </c>
      <c r="L797">
        <v>1</v>
      </c>
      <c r="M797">
        <v>22</v>
      </c>
      <c r="N797">
        <v>263</v>
      </c>
      <c r="O797">
        <v>281</v>
      </c>
      <c r="P797">
        <v>2</v>
      </c>
      <c r="Q797">
        <v>2</v>
      </c>
      <c r="R797">
        <v>0</v>
      </c>
      <c r="S797">
        <v>0</v>
      </c>
      <c r="T797">
        <v>0</v>
      </c>
      <c r="U797">
        <v>634</v>
      </c>
      <c r="V797">
        <v>63</v>
      </c>
      <c r="W797">
        <v>290</v>
      </c>
      <c r="X797">
        <v>281</v>
      </c>
    </row>
    <row r="798" spans="1:24" x14ac:dyDescent="0.2">
      <c r="A798">
        <v>797</v>
      </c>
      <c r="B798" s="1">
        <v>41079</v>
      </c>
      <c r="C798" t="s">
        <v>28</v>
      </c>
      <c r="D798">
        <v>337</v>
      </c>
      <c r="E798">
        <v>50</v>
      </c>
      <c r="F798">
        <v>3</v>
      </c>
      <c r="G798" t="s">
        <v>26</v>
      </c>
      <c r="H798">
        <v>5</v>
      </c>
      <c r="I798">
        <v>44</v>
      </c>
      <c r="J798">
        <v>10</v>
      </c>
      <c r="K798">
        <v>7</v>
      </c>
      <c r="L798">
        <v>2</v>
      </c>
      <c r="M798">
        <v>20</v>
      </c>
      <c r="N798">
        <v>189</v>
      </c>
      <c r="O798">
        <v>243</v>
      </c>
      <c r="P798">
        <v>6</v>
      </c>
      <c r="Q798">
        <v>1</v>
      </c>
      <c r="R798">
        <v>1</v>
      </c>
      <c r="S798">
        <v>0</v>
      </c>
      <c r="T798">
        <v>0</v>
      </c>
      <c r="U798">
        <v>523</v>
      </c>
      <c r="V798">
        <v>61</v>
      </c>
      <c r="W798">
        <v>219</v>
      </c>
      <c r="X798">
        <v>243</v>
      </c>
    </row>
    <row r="799" spans="1:24" x14ac:dyDescent="0.2">
      <c r="A799">
        <v>798</v>
      </c>
      <c r="B799" s="1">
        <v>41079</v>
      </c>
      <c r="C799" t="s">
        <v>24</v>
      </c>
      <c r="D799">
        <v>337</v>
      </c>
      <c r="E799">
        <v>50</v>
      </c>
      <c r="F799">
        <v>3</v>
      </c>
      <c r="G799" t="s">
        <v>27</v>
      </c>
      <c r="H799">
        <v>6</v>
      </c>
      <c r="I799">
        <v>42</v>
      </c>
      <c r="J799">
        <v>0</v>
      </c>
      <c r="K799">
        <v>19</v>
      </c>
      <c r="L799">
        <v>3</v>
      </c>
      <c r="M799">
        <v>18</v>
      </c>
      <c r="N799">
        <v>236</v>
      </c>
      <c r="O799">
        <v>197</v>
      </c>
      <c r="P799">
        <v>3</v>
      </c>
      <c r="Q799">
        <v>0</v>
      </c>
      <c r="R799">
        <v>2</v>
      </c>
      <c r="S799">
        <v>0</v>
      </c>
      <c r="T799">
        <v>0</v>
      </c>
      <c r="U799">
        <v>520</v>
      </c>
      <c r="V799">
        <v>61</v>
      </c>
      <c r="W799">
        <v>262</v>
      </c>
      <c r="X799">
        <v>197</v>
      </c>
    </row>
    <row r="800" spans="1:24" x14ac:dyDescent="0.2">
      <c r="A800">
        <v>799</v>
      </c>
      <c r="B800" s="1">
        <v>41079</v>
      </c>
      <c r="C800" t="s">
        <v>24</v>
      </c>
      <c r="D800">
        <v>337</v>
      </c>
      <c r="E800">
        <v>50</v>
      </c>
      <c r="F800">
        <v>3</v>
      </c>
      <c r="G800" t="s">
        <v>27</v>
      </c>
      <c r="H800">
        <v>7</v>
      </c>
      <c r="I800">
        <v>47</v>
      </c>
      <c r="J800">
        <v>7</v>
      </c>
      <c r="K800">
        <v>7</v>
      </c>
      <c r="L800">
        <v>6</v>
      </c>
      <c r="M800">
        <v>22</v>
      </c>
      <c r="N800">
        <v>217</v>
      </c>
      <c r="O800">
        <v>197</v>
      </c>
      <c r="P800">
        <v>4</v>
      </c>
      <c r="Q800">
        <v>2</v>
      </c>
      <c r="R800">
        <v>2</v>
      </c>
      <c r="S800">
        <v>0</v>
      </c>
      <c r="T800">
        <v>0</v>
      </c>
      <c r="U800">
        <v>511</v>
      </c>
      <c r="V800">
        <v>61</v>
      </c>
      <c r="W800">
        <v>253</v>
      </c>
      <c r="X800">
        <v>197</v>
      </c>
    </row>
    <row r="801" spans="1:24" x14ac:dyDescent="0.2">
      <c r="A801">
        <v>800</v>
      </c>
      <c r="B801" s="1">
        <v>41079</v>
      </c>
      <c r="C801" t="s">
        <v>24</v>
      </c>
      <c r="D801">
        <v>337</v>
      </c>
      <c r="E801">
        <v>50</v>
      </c>
      <c r="F801">
        <v>3</v>
      </c>
      <c r="G801" t="s">
        <v>26</v>
      </c>
      <c r="H801">
        <v>8</v>
      </c>
      <c r="I801">
        <v>37</v>
      </c>
      <c r="J801">
        <v>13</v>
      </c>
      <c r="K801">
        <v>2</v>
      </c>
      <c r="L801">
        <v>3</v>
      </c>
      <c r="M801">
        <v>18</v>
      </c>
      <c r="N801">
        <v>158</v>
      </c>
      <c r="O801">
        <v>171</v>
      </c>
      <c r="P801">
        <v>0</v>
      </c>
      <c r="Q801">
        <v>0</v>
      </c>
      <c r="R801">
        <v>2</v>
      </c>
      <c r="S801">
        <v>0</v>
      </c>
      <c r="T801">
        <v>0</v>
      </c>
      <c r="U801">
        <v>404</v>
      </c>
      <c r="V801">
        <v>52</v>
      </c>
      <c r="W801">
        <v>181</v>
      </c>
      <c r="X801">
        <v>171</v>
      </c>
    </row>
    <row r="802" spans="1:24" x14ac:dyDescent="0.2">
      <c r="A802">
        <v>801</v>
      </c>
      <c r="B802" s="1">
        <v>41079</v>
      </c>
      <c r="C802" t="s">
        <v>24</v>
      </c>
      <c r="D802">
        <v>337</v>
      </c>
      <c r="E802">
        <v>50</v>
      </c>
      <c r="F802">
        <v>3</v>
      </c>
      <c r="G802" t="s">
        <v>27</v>
      </c>
      <c r="H802">
        <v>9</v>
      </c>
      <c r="I802">
        <v>49</v>
      </c>
      <c r="J802">
        <v>2</v>
      </c>
      <c r="K802">
        <v>11</v>
      </c>
      <c r="L802">
        <v>2</v>
      </c>
      <c r="M802">
        <v>29</v>
      </c>
      <c r="N802">
        <v>234</v>
      </c>
      <c r="O802">
        <v>187</v>
      </c>
      <c r="P802">
        <v>2</v>
      </c>
      <c r="Q802">
        <v>2</v>
      </c>
      <c r="R802">
        <v>1</v>
      </c>
      <c r="S802">
        <v>0</v>
      </c>
      <c r="T802">
        <v>0</v>
      </c>
      <c r="U802">
        <v>519</v>
      </c>
      <c r="V802">
        <v>62</v>
      </c>
      <c r="W802">
        <v>270</v>
      </c>
      <c r="X802">
        <v>187</v>
      </c>
    </row>
    <row r="803" spans="1:24" x14ac:dyDescent="0.2">
      <c r="A803">
        <v>802</v>
      </c>
      <c r="B803" s="1">
        <v>41086</v>
      </c>
      <c r="C803" t="s">
        <v>28</v>
      </c>
      <c r="D803">
        <v>344</v>
      </c>
      <c r="E803">
        <v>51</v>
      </c>
      <c r="F803">
        <v>3</v>
      </c>
      <c r="G803" t="s">
        <v>25</v>
      </c>
      <c r="H803">
        <v>1</v>
      </c>
      <c r="I803">
        <v>33</v>
      </c>
      <c r="J803">
        <v>18</v>
      </c>
      <c r="K803">
        <v>1</v>
      </c>
      <c r="L803">
        <v>5</v>
      </c>
      <c r="M803">
        <v>21</v>
      </c>
      <c r="N803">
        <v>169</v>
      </c>
      <c r="O803">
        <v>201</v>
      </c>
      <c r="P803">
        <v>3</v>
      </c>
      <c r="Q803">
        <v>5</v>
      </c>
      <c r="R803">
        <v>5</v>
      </c>
      <c r="S803">
        <v>0</v>
      </c>
      <c r="T803">
        <v>0</v>
      </c>
      <c r="U803">
        <v>461</v>
      </c>
      <c r="V803">
        <v>52</v>
      </c>
      <c r="W803">
        <v>208</v>
      </c>
      <c r="X803">
        <v>201</v>
      </c>
    </row>
    <row r="804" spans="1:24" x14ac:dyDescent="0.2">
      <c r="A804">
        <v>803</v>
      </c>
      <c r="B804" s="1">
        <v>41086</v>
      </c>
      <c r="C804" t="s">
        <v>28</v>
      </c>
      <c r="D804">
        <v>344</v>
      </c>
      <c r="E804">
        <v>51</v>
      </c>
      <c r="F804">
        <v>3</v>
      </c>
      <c r="G804" t="s">
        <v>25</v>
      </c>
      <c r="H804">
        <v>2</v>
      </c>
      <c r="I804">
        <v>41</v>
      </c>
      <c r="J804">
        <v>2</v>
      </c>
      <c r="K804">
        <v>8</v>
      </c>
      <c r="L804">
        <v>2</v>
      </c>
      <c r="M804">
        <v>24</v>
      </c>
      <c r="N804">
        <v>261</v>
      </c>
      <c r="O804">
        <v>310</v>
      </c>
      <c r="P804">
        <v>1</v>
      </c>
      <c r="Q804">
        <v>2</v>
      </c>
      <c r="R804">
        <v>4</v>
      </c>
      <c r="S804">
        <v>1</v>
      </c>
      <c r="T804">
        <v>0</v>
      </c>
      <c r="U804">
        <v>656</v>
      </c>
      <c r="V804">
        <v>51</v>
      </c>
      <c r="W804">
        <v>295</v>
      </c>
      <c r="X804">
        <v>310</v>
      </c>
    </row>
    <row r="805" spans="1:24" x14ac:dyDescent="0.2">
      <c r="A805">
        <v>804</v>
      </c>
      <c r="B805" s="1">
        <v>41086</v>
      </c>
      <c r="C805" t="s">
        <v>28</v>
      </c>
      <c r="D805">
        <v>344</v>
      </c>
      <c r="E805">
        <v>51</v>
      </c>
      <c r="F805">
        <v>3</v>
      </c>
      <c r="G805" t="s">
        <v>26</v>
      </c>
      <c r="H805">
        <v>3</v>
      </c>
      <c r="I805">
        <v>35</v>
      </c>
      <c r="J805">
        <v>9</v>
      </c>
      <c r="K805">
        <v>5</v>
      </c>
      <c r="L805">
        <v>3</v>
      </c>
      <c r="M805">
        <v>21</v>
      </c>
      <c r="N805">
        <v>180</v>
      </c>
      <c r="O805">
        <v>205</v>
      </c>
      <c r="P805">
        <v>2</v>
      </c>
      <c r="Q805">
        <v>1</v>
      </c>
      <c r="R805">
        <v>4</v>
      </c>
      <c r="S805">
        <v>0</v>
      </c>
      <c r="T805">
        <v>0</v>
      </c>
      <c r="U805">
        <v>465</v>
      </c>
      <c r="V805">
        <v>49</v>
      </c>
      <c r="W805">
        <v>211</v>
      </c>
      <c r="X805">
        <v>205</v>
      </c>
    </row>
    <row r="806" spans="1:24" x14ac:dyDescent="0.2">
      <c r="A806">
        <v>805</v>
      </c>
      <c r="B806" s="1">
        <v>41086</v>
      </c>
      <c r="C806" t="s">
        <v>28</v>
      </c>
      <c r="D806">
        <v>344</v>
      </c>
      <c r="E806">
        <v>51</v>
      </c>
      <c r="F806">
        <v>3</v>
      </c>
      <c r="G806" t="s">
        <v>25</v>
      </c>
      <c r="H806">
        <v>4</v>
      </c>
      <c r="I806">
        <v>53</v>
      </c>
      <c r="J806">
        <v>3</v>
      </c>
      <c r="K806">
        <v>7</v>
      </c>
      <c r="L806">
        <v>4</v>
      </c>
      <c r="M806">
        <v>20</v>
      </c>
      <c r="N806">
        <v>218</v>
      </c>
      <c r="O806">
        <v>241</v>
      </c>
      <c r="P806">
        <v>2</v>
      </c>
      <c r="Q806">
        <v>2</v>
      </c>
      <c r="R806">
        <v>1</v>
      </c>
      <c r="S806">
        <v>0</v>
      </c>
      <c r="T806">
        <v>0</v>
      </c>
      <c r="U806">
        <v>551</v>
      </c>
      <c r="V806">
        <v>63</v>
      </c>
      <c r="W806">
        <v>247</v>
      </c>
      <c r="X806">
        <v>241</v>
      </c>
    </row>
    <row r="807" spans="1:24" x14ac:dyDescent="0.2">
      <c r="A807">
        <v>806</v>
      </c>
      <c r="B807" s="1">
        <v>41086</v>
      </c>
      <c r="C807" t="s">
        <v>28</v>
      </c>
      <c r="D807">
        <v>344</v>
      </c>
      <c r="E807">
        <v>51</v>
      </c>
      <c r="F807">
        <v>3</v>
      </c>
      <c r="G807" t="s">
        <v>26</v>
      </c>
      <c r="H807">
        <v>5</v>
      </c>
      <c r="I807">
        <v>39</v>
      </c>
      <c r="J807">
        <v>10</v>
      </c>
      <c r="K807">
        <v>5</v>
      </c>
      <c r="L807">
        <v>2</v>
      </c>
      <c r="M807">
        <v>19</v>
      </c>
      <c r="N807">
        <v>205</v>
      </c>
      <c r="O807">
        <v>211</v>
      </c>
      <c r="P807">
        <v>2</v>
      </c>
      <c r="Q807">
        <v>6</v>
      </c>
      <c r="R807">
        <v>5</v>
      </c>
      <c r="S807">
        <v>0</v>
      </c>
      <c r="T807">
        <v>0</v>
      </c>
      <c r="U807">
        <v>504</v>
      </c>
      <c r="V807">
        <v>54</v>
      </c>
      <c r="W807">
        <v>239</v>
      </c>
      <c r="X807">
        <v>211</v>
      </c>
    </row>
    <row r="808" spans="1:24" x14ac:dyDescent="0.2">
      <c r="A808">
        <v>807</v>
      </c>
      <c r="B808" s="1">
        <v>41086</v>
      </c>
      <c r="C808" t="s">
        <v>28</v>
      </c>
      <c r="D808">
        <v>344</v>
      </c>
      <c r="E808">
        <v>51</v>
      </c>
      <c r="F808">
        <v>3</v>
      </c>
      <c r="G808" t="s">
        <v>27</v>
      </c>
      <c r="H808">
        <v>6</v>
      </c>
      <c r="I808">
        <v>41</v>
      </c>
      <c r="J808">
        <v>2</v>
      </c>
      <c r="K808">
        <v>16</v>
      </c>
      <c r="L808">
        <v>2</v>
      </c>
      <c r="M808">
        <v>25</v>
      </c>
      <c r="N808">
        <v>208</v>
      </c>
      <c r="O808">
        <v>206</v>
      </c>
      <c r="P808">
        <v>0</v>
      </c>
      <c r="Q808">
        <v>1</v>
      </c>
      <c r="R808">
        <v>3</v>
      </c>
      <c r="S808">
        <v>0</v>
      </c>
      <c r="T808">
        <v>0</v>
      </c>
      <c r="U808">
        <v>504</v>
      </c>
      <c r="V808">
        <v>59</v>
      </c>
      <c r="W808">
        <v>239</v>
      </c>
      <c r="X808">
        <v>206</v>
      </c>
    </row>
    <row r="809" spans="1:24" x14ac:dyDescent="0.2">
      <c r="A809">
        <v>808</v>
      </c>
      <c r="B809" s="1">
        <v>41086</v>
      </c>
      <c r="C809" t="s">
        <v>28</v>
      </c>
      <c r="D809">
        <v>344</v>
      </c>
      <c r="E809">
        <v>51</v>
      </c>
      <c r="F809">
        <v>3</v>
      </c>
      <c r="G809" t="s">
        <v>27</v>
      </c>
      <c r="H809">
        <v>7</v>
      </c>
      <c r="I809">
        <v>46</v>
      </c>
      <c r="J809">
        <v>6</v>
      </c>
      <c r="K809">
        <v>5</v>
      </c>
      <c r="L809">
        <v>4</v>
      </c>
      <c r="M809">
        <v>23</v>
      </c>
      <c r="N809">
        <v>197</v>
      </c>
      <c r="O809">
        <v>210</v>
      </c>
      <c r="P809">
        <v>8</v>
      </c>
      <c r="Q809">
        <v>5</v>
      </c>
      <c r="R809">
        <v>10</v>
      </c>
      <c r="S809">
        <v>0</v>
      </c>
      <c r="T809">
        <v>0</v>
      </c>
      <c r="U809">
        <v>514</v>
      </c>
      <c r="V809">
        <v>57</v>
      </c>
      <c r="W809">
        <v>247</v>
      </c>
      <c r="X809">
        <v>210</v>
      </c>
    </row>
    <row r="810" spans="1:24" x14ac:dyDescent="0.2">
      <c r="A810">
        <v>809</v>
      </c>
      <c r="B810" s="1">
        <v>41086</v>
      </c>
      <c r="C810" t="s">
        <v>28</v>
      </c>
      <c r="D810">
        <v>344</v>
      </c>
      <c r="E810">
        <v>51</v>
      </c>
      <c r="F810">
        <v>3</v>
      </c>
      <c r="G810" t="s">
        <v>26</v>
      </c>
      <c r="H810">
        <v>8</v>
      </c>
      <c r="I810">
        <v>34</v>
      </c>
      <c r="J810">
        <v>12</v>
      </c>
      <c r="K810">
        <v>3</v>
      </c>
      <c r="L810">
        <v>5</v>
      </c>
      <c r="M810">
        <v>21</v>
      </c>
      <c r="N810">
        <v>170</v>
      </c>
      <c r="O810">
        <v>223</v>
      </c>
      <c r="P810">
        <v>5</v>
      </c>
      <c r="Q810">
        <v>2</v>
      </c>
      <c r="R810">
        <v>1</v>
      </c>
      <c r="S810">
        <v>0</v>
      </c>
      <c r="T810">
        <v>0</v>
      </c>
      <c r="U810">
        <v>476</v>
      </c>
      <c r="V810">
        <v>49</v>
      </c>
      <c r="W810">
        <v>204</v>
      </c>
      <c r="X810">
        <v>223</v>
      </c>
    </row>
    <row r="811" spans="1:24" x14ac:dyDescent="0.2">
      <c r="A811">
        <v>810</v>
      </c>
      <c r="B811" s="1">
        <v>41086</v>
      </c>
      <c r="C811" t="s">
        <v>28</v>
      </c>
      <c r="D811">
        <v>344</v>
      </c>
      <c r="E811">
        <v>51</v>
      </c>
      <c r="F811">
        <v>3</v>
      </c>
      <c r="G811" t="s">
        <v>27</v>
      </c>
      <c r="H811">
        <v>9</v>
      </c>
      <c r="I811">
        <v>47</v>
      </c>
      <c r="J811">
        <v>4</v>
      </c>
      <c r="K811">
        <v>11</v>
      </c>
      <c r="L811">
        <v>6</v>
      </c>
      <c r="M811">
        <v>22</v>
      </c>
      <c r="N811">
        <v>197</v>
      </c>
      <c r="O811">
        <v>203</v>
      </c>
      <c r="P811">
        <v>1</v>
      </c>
      <c r="Q811">
        <v>3</v>
      </c>
      <c r="R811">
        <v>3</v>
      </c>
      <c r="S811">
        <v>0</v>
      </c>
      <c r="T811">
        <v>0</v>
      </c>
      <c r="U811">
        <v>497</v>
      </c>
      <c r="V811">
        <v>62</v>
      </c>
      <c r="W811">
        <v>232</v>
      </c>
      <c r="X811">
        <v>203</v>
      </c>
    </row>
    <row r="812" spans="1:24" x14ac:dyDescent="0.2">
      <c r="A812">
        <v>811</v>
      </c>
      <c r="B812" s="1">
        <v>41093</v>
      </c>
      <c r="C812" t="s">
        <v>24</v>
      </c>
      <c r="D812">
        <v>351</v>
      </c>
      <c r="E812">
        <v>52</v>
      </c>
      <c r="F812">
        <v>3</v>
      </c>
      <c r="G812" t="s">
        <v>25</v>
      </c>
      <c r="H812">
        <v>1</v>
      </c>
      <c r="I812">
        <v>32</v>
      </c>
      <c r="J812">
        <v>19</v>
      </c>
      <c r="K812">
        <v>0</v>
      </c>
      <c r="L812">
        <v>3</v>
      </c>
      <c r="M812">
        <v>30</v>
      </c>
      <c r="N812">
        <v>198</v>
      </c>
      <c r="O812">
        <v>166</v>
      </c>
      <c r="P812">
        <v>4</v>
      </c>
      <c r="Q812">
        <v>1</v>
      </c>
      <c r="R812">
        <v>3</v>
      </c>
      <c r="S812">
        <v>0</v>
      </c>
      <c r="T812">
        <v>0</v>
      </c>
      <c r="U812">
        <v>456</v>
      </c>
      <c r="V812">
        <v>51</v>
      </c>
      <c r="W812">
        <v>239</v>
      </c>
      <c r="X812">
        <v>166</v>
      </c>
    </row>
    <row r="813" spans="1:24" x14ac:dyDescent="0.2">
      <c r="A813">
        <v>812</v>
      </c>
      <c r="B813" s="1">
        <v>41093</v>
      </c>
      <c r="C813" t="s">
        <v>24</v>
      </c>
      <c r="D813">
        <v>351</v>
      </c>
      <c r="E813">
        <v>52</v>
      </c>
      <c r="F813">
        <v>3</v>
      </c>
      <c r="G813" t="s">
        <v>25</v>
      </c>
      <c r="H813">
        <v>2</v>
      </c>
      <c r="I813">
        <v>42</v>
      </c>
      <c r="J813">
        <v>2</v>
      </c>
      <c r="K813">
        <v>8</v>
      </c>
      <c r="L813">
        <v>4</v>
      </c>
      <c r="M813">
        <v>23</v>
      </c>
      <c r="N813">
        <v>286</v>
      </c>
      <c r="O813">
        <v>255</v>
      </c>
      <c r="P813">
        <v>2</v>
      </c>
      <c r="Q813">
        <v>1</v>
      </c>
      <c r="R813">
        <v>2</v>
      </c>
      <c r="S813">
        <v>0</v>
      </c>
      <c r="T813">
        <v>0</v>
      </c>
      <c r="U813">
        <v>625</v>
      </c>
      <c r="V813">
        <v>52</v>
      </c>
      <c r="W813">
        <v>318</v>
      </c>
      <c r="X813">
        <v>255</v>
      </c>
    </row>
    <row r="814" spans="1:24" x14ac:dyDescent="0.2">
      <c r="A814">
        <v>813</v>
      </c>
      <c r="B814" s="1">
        <v>41093</v>
      </c>
      <c r="C814" t="s">
        <v>28</v>
      </c>
      <c r="D814">
        <v>351</v>
      </c>
      <c r="E814">
        <v>52</v>
      </c>
      <c r="F814">
        <v>3</v>
      </c>
      <c r="G814" t="s">
        <v>26</v>
      </c>
      <c r="H814">
        <v>3</v>
      </c>
      <c r="I814">
        <v>32</v>
      </c>
      <c r="J814">
        <v>11</v>
      </c>
      <c r="K814">
        <v>6</v>
      </c>
      <c r="L814">
        <v>5</v>
      </c>
      <c r="M814">
        <v>19</v>
      </c>
      <c r="N814">
        <v>208</v>
      </c>
      <c r="O814">
        <v>176</v>
      </c>
      <c r="P814">
        <v>2</v>
      </c>
      <c r="Q814">
        <v>0</v>
      </c>
      <c r="R814">
        <v>1</v>
      </c>
      <c r="S814">
        <v>0</v>
      </c>
      <c r="T814">
        <v>0</v>
      </c>
      <c r="U814">
        <v>460</v>
      </c>
      <c r="V814">
        <v>49</v>
      </c>
      <c r="W814">
        <v>235</v>
      </c>
      <c r="X814">
        <v>176</v>
      </c>
    </row>
    <row r="815" spans="1:24" x14ac:dyDescent="0.2">
      <c r="A815">
        <v>814</v>
      </c>
      <c r="B815" s="1">
        <v>41093</v>
      </c>
      <c r="C815" t="s">
        <v>28</v>
      </c>
      <c r="D815">
        <v>351</v>
      </c>
      <c r="E815">
        <v>52</v>
      </c>
      <c r="F815">
        <v>3</v>
      </c>
      <c r="G815" t="s">
        <v>25</v>
      </c>
      <c r="H815">
        <v>4</v>
      </c>
      <c r="I815">
        <v>50</v>
      </c>
      <c r="J815">
        <v>2</v>
      </c>
      <c r="K815">
        <v>8</v>
      </c>
      <c r="L815">
        <v>6</v>
      </c>
      <c r="M815">
        <v>21</v>
      </c>
      <c r="N815">
        <v>247</v>
      </c>
      <c r="O815">
        <v>270</v>
      </c>
      <c r="P815">
        <v>1</v>
      </c>
      <c r="Q815">
        <v>1</v>
      </c>
      <c r="R815">
        <v>3</v>
      </c>
      <c r="S815">
        <v>0</v>
      </c>
      <c r="T815">
        <v>0</v>
      </c>
      <c r="U815">
        <v>609</v>
      </c>
      <c r="V815">
        <v>60</v>
      </c>
      <c r="W815">
        <v>279</v>
      </c>
      <c r="X815">
        <v>270</v>
      </c>
    </row>
    <row r="816" spans="1:24" x14ac:dyDescent="0.2">
      <c r="A816">
        <v>815</v>
      </c>
      <c r="B816" s="1">
        <v>41093</v>
      </c>
      <c r="C816" t="s">
        <v>24</v>
      </c>
      <c r="D816">
        <v>351</v>
      </c>
      <c r="E816">
        <v>52</v>
      </c>
      <c r="F816">
        <v>3</v>
      </c>
      <c r="G816" t="s">
        <v>26</v>
      </c>
      <c r="H816">
        <v>5</v>
      </c>
      <c r="I816">
        <v>39</v>
      </c>
      <c r="J816">
        <v>16</v>
      </c>
      <c r="K816">
        <v>4</v>
      </c>
      <c r="L816">
        <v>5</v>
      </c>
      <c r="M816">
        <v>28</v>
      </c>
      <c r="N816">
        <v>219</v>
      </c>
      <c r="O816">
        <v>186</v>
      </c>
      <c r="P816">
        <v>7</v>
      </c>
      <c r="Q816">
        <v>2</v>
      </c>
      <c r="R816">
        <v>1</v>
      </c>
      <c r="S816">
        <v>0</v>
      </c>
      <c r="T816">
        <v>0</v>
      </c>
      <c r="U816">
        <v>507</v>
      </c>
      <c r="V816">
        <v>59</v>
      </c>
      <c r="W816">
        <v>262</v>
      </c>
      <c r="X816">
        <v>186</v>
      </c>
    </row>
    <row r="817" spans="1:24" x14ac:dyDescent="0.2">
      <c r="A817">
        <v>816</v>
      </c>
      <c r="B817" s="1">
        <v>41093</v>
      </c>
      <c r="C817" t="s">
        <v>28</v>
      </c>
      <c r="D817">
        <v>351</v>
      </c>
      <c r="E817">
        <v>52</v>
      </c>
      <c r="F817">
        <v>3</v>
      </c>
      <c r="G817" t="s">
        <v>27</v>
      </c>
      <c r="H817">
        <v>6</v>
      </c>
      <c r="I817">
        <v>40</v>
      </c>
      <c r="J817">
        <v>1</v>
      </c>
      <c r="K817">
        <v>17</v>
      </c>
      <c r="L817">
        <v>8</v>
      </c>
      <c r="M817">
        <v>23</v>
      </c>
      <c r="N817">
        <v>291</v>
      </c>
      <c r="O817">
        <v>243</v>
      </c>
      <c r="P817">
        <v>4</v>
      </c>
      <c r="Q817">
        <v>1</v>
      </c>
      <c r="R817">
        <v>2</v>
      </c>
      <c r="S817">
        <v>0</v>
      </c>
      <c r="T817">
        <v>0</v>
      </c>
      <c r="U817">
        <v>630</v>
      </c>
      <c r="V817">
        <v>58</v>
      </c>
      <c r="W817">
        <v>329</v>
      </c>
      <c r="X817">
        <v>243</v>
      </c>
    </row>
    <row r="818" spans="1:24" x14ac:dyDescent="0.2">
      <c r="A818">
        <v>817</v>
      </c>
      <c r="B818" s="1">
        <v>41093</v>
      </c>
      <c r="C818" t="s">
        <v>28</v>
      </c>
      <c r="D818">
        <v>351</v>
      </c>
      <c r="E818">
        <v>52</v>
      </c>
      <c r="F818">
        <v>3</v>
      </c>
      <c r="G818" t="s">
        <v>27</v>
      </c>
      <c r="H818">
        <v>7</v>
      </c>
      <c r="I818">
        <v>51</v>
      </c>
      <c r="J818">
        <v>5</v>
      </c>
      <c r="K818">
        <v>5</v>
      </c>
      <c r="L818">
        <v>3</v>
      </c>
      <c r="M818">
        <v>24</v>
      </c>
      <c r="N818">
        <v>251</v>
      </c>
      <c r="O818">
        <v>227</v>
      </c>
      <c r="P818">
        <v>2</v>
      </c>
      <c r="Q818">
        <v>4</v>
      </c>
      <c r="R818">
        <v>1</v>
      </c>
      <c r="S818">
        <v>0</v>
      </c>
      <c r="T818">
        <v>0</v>
      </c>
      <c r="U818">
        <v>573</v>
      </c>
      <c r="V818">
        <v>61</v>
      </c>
      <c r="W818">
        <v>285</v>
      </c>
      <c r="X818">
        <v>227</v>
      </c>
    </row>
    <row r="819" spans="1:24" x14ac:dyDescent="0.2">
      <c r="A819">
        <v>818</v>
      </c>
      <c r="B819" s="1">
        <v>41093</v>
      </c>
      <c r="C819" t="s">
        <v>24</v>
      </c>
      <c r="D819">
        <v>351</v>
      </c>
      <c r="E819">
        <v>52</v>
      </c>
      <c r="F819">
        <v>3</v>
      </c>
      <c r="G819" t="s">
        <v>26</v>
      </c>
      <c r="H819">
        <v>8</v>
      </c>
      <c r="I819">
        <v>36</v>
      </c>
      <c r="J819">
        <v>19</v>
      </c>
      <c r="K819">
        <v>3</v>
      </c>
      <c r="L819">
        <v>6</v>
      </c>
      <c r="M819">
        <v>26</v>
      </c>
      <c r="N819">
        <v>161</v>
      </c>
      <c r="O819">
        <v>209</v>
      </c>
      <c r="P819">
        <v>2</v>
      </c>
      <c r="Q819">
        <v>1</v>
      </c>
      <c r="R819">
        <v>1</v>
      </c>
      <c r="S819">
        <v>0</v>
      </c>
      <c r="T819">
        <v>0</v>
      </c>
      <c r="U819">
        <v>464</v>
      </c>
      <c r="V819">
        <v>58</v>
      </c>
      <c r="W819">
        <v>197</v>
      </c>
      <c r="X819">
        <v>209</v>
      </c>
    </row>
    <row r="820" spans="1:24" x14ac:dyDescent="0.2">
      <c r="A820">
        <v>819</v>
      </c>
      <c r="B820" s="1">
        <v>41093</v>
      </c>
      <c r="C820" t="s">
        <v>24</v>
      </c>
      <c r="D820">
        <v>351</v>
      </c>
      <c r="E820">
        <v>52</v>
      </c>
      <c r="F820">
        <v>3</v>
      </c>
      <c r="G820" t="s">
        <v>27</v>
      </c>
      <c r="H820">
        <v>9</v>
      </c>
      <c r="I820">
        <v>53</v>
      </c>
      <c r="J820">
        <v>5</v>
      </c>
      <c r="K820">
        <v>11</v>
      </c>
      <c r="L820">
        <v>4</v>
      </c>
      <c r="M820">
        <v>26</v>
      </c>
      <c r="N820">
        <v>183</v>
      </c>
      <c r="O820">
        <v>217</v>
      </c>
      <c r="P820">
        <v>0</v>
      </c>
      <c r="Q820">
        <v>0</v>
      </c>
      <c r="R820">
        <v>2</v>
      </c>
      <c r="S820">
        <v>0</v>
      </c>
      <c r="T820">
        <v>0</v>
      </c>
      <c r="U820">
        <v>501</v>
      </c>
      <c r="V820">
        <v>69</v>
      </c>
      <c r="W820">
        <v>215</v>
      </c>
      <c r="X820">
        <v>217</v>
      </c>
    </row>
    <row r="821" spans="1:24" x14ac:dyDescent="0.2">
      <c r="A821">
        <v>820</v>
      </c>
      <c r="B821" s="1">
        <v>41100</v>
      </c>
      <c r="C821" t="s">
        <v>28</v>
      </c>
      <c r="D821">
        <v>358</v>
      </c>
      <c r="E821">
        <v>53</v>
      </c>
      <c r="F821">
        <v>3</v>
      </c>
      <c r="G821" t="s">
        <v>25</v>
      </c>
      <c r="H821">
        <v>1</v>
      </c>
      <c r="I821">
        <v>28</v>
      </c>
      <c r="J821">
        <v>17</v>
      </c>
      <c r="K821">
        <v>0</v>
      </c>
      <c r="L821">
        <v>4</v>
      </c>
      <c r="M821">
        <v>25</v>
      </c>
      <c r="N821">
        <v>179</v>
      </c>
      <c r="O821">
        <v>201</v>
      </c>
      <c r="P821">
        <v>6</v>
      </c>
      <c r="Q821">
        <v>5</v>
      </c>
      <c r="R821">
        <v>3</v>
      </c>
      <c r="S821">
        <v>0</v>
      </c>
      <c r="T821">
        <v>0</v>
      </c>
      <c r="U821">
        <v>468</v>
      </c>
      <c r="V821">
        <v>45</v>
      </c>
      <c r="W821">
        <v>222</v>
      </c>
      <c r="X821">
        <v>201</v>
      </c>
    </row>
    <row r="822" spans="1:24" x14ac:dyDescent="0.2">
      <c r="A822">
        <v>821</v>
      </c>
      <c r="B822" s="1">
        <v>41100</v>
      </c>
      <c r="C822" t="s">
        <v>28</v>
      </c>
      <c r="D822">
        <v>358</v>
      </c>
      <c r="E822">
        <v>53</v>
      </c>
      <c r="F822">
        <v>3</v>
      </c>
      <c r="G822" t="s">
        <v>25</v>
      </c>
      <c r="H822">
        <v>2</v>
      </c>
      <c r="I822">
        <v>41</v>
      </c>
      <c r="J822">
        <v>2</v>
      </c>
      <c r="K822">
        <v>6</v>
      </c>
      <c r="L822">
        <v>3</v>
      </c>
      <c r="M822">
        <v>26</v>
      </c>
      <c r="N822">
        <v>213</v>
      </c>
      <c r="O822">
        <v>293</v>
      </c>
      <c r="P822">
        <v>2</v>
      </c>
      <c r="Q822">
        <v>2</v>
      </c>
      <c r="R822">
        <v>5</v>
      </c>
      <c r="S822">
        <v>0</v>
      </c>
      <c r="T822">
        <v>0</v>
      </c>
      <c r="U822">
        <v>593</v>
      </c>
      <c r="V822">
        <v>49</v>
      </c>
      <c r="W822">
        <v>251</v>
      </c>
      <c r="X822">
        <v>293</v>
      </c>
    </row>
    <row r="823" spans="1:24" x14ac:dyDescent="0.2">
      <c r="A823">
        <v>822</v>
      </c>
      <c r="B823" s="1">
        <v>41100</v>
      </c>
      <c r="C823" t="s">
        <v>24</v>
      </c>
      <c r="D823">
        <v>358</v>
      </c>
      <c r="E823">
        <v>53</v>
      </c>
      <c r="F823">
        <v>3</v>
      </c>
      <c r="G823" t="s">
        <v>26</v>
      </c>
      <c r="H823">
        <v>3</v>
      </c>
      <c r="I823">
        <v>39</v>
      </c>
      <c r="J823">
        <v>9</v>
      </c>
      <c r="K823">
        <v>5</v>
      </c>
      <c r="L823">
        <v>5</v>
      </c>
      <c r="M823">
        <v>23</v>
      </c>
      <c r="N823">
        <v>201</v>
      </c>
      <c r="O823">
        <v>204</v>
      </c>
      <c r="P823">
        <v>5</v>
      </c>
      <c r="Q823">
        <v>2</v>
      </c>
      <c r="R823">
        <v>3</v>
      </c>
      <c r="S823">
        <v>0</v>
      </c>
      <c r="T823">
        <v>0</v>
      </c>
      <c r="U823">
        <v>496</v>
      </c>
      <c r="V823">
        <v>53</v>
      </c>
      <c r="W823">
        <v>239</v>
      </c>
      <c r="X823">
        <v>204</v>
      </c>
    </row>
    <row r="824" spans="1:24" x14ac:dyDescent="0.2">
      <c r="A824">
        <v>823</v>
      </c>
      <c r="B824" s="1">
        <v>41100</v>
      </c>
      <c r="C824" t="s">
        <v>28</v>
      </c>
      <c r="D824">
        <v>358</v>
      </c>
      <c r="E824">
        <v>53</v>
      </c>
      <c r="F824">
        <v>3</v>
      </c>
      <c r="G824" t="s">
        <v>25</v>
      </c>
      <c r="H824">
        <v>4</v>
      </c>
      <c r="I824">
        <v>50</v>
      </c>
      <c r="J824">
        <v>2</v>
      </c>
      <c r="K824">
        <v>9</v>
      </c>
      <c r="L824">
        <v>6</v>
      </c>
      <c r="M824">
        <v>23</v>
      </c>
      <c r="N824">
        <v>218</v>
      </c>
      <c r="O824">
        <v>257</v>
      </c>
      <c r="P824">
        <v>3</v>
      </c>
      <c r="Q824">
        <v>1</v>
      </c>
      <c r="R824">
        <v>5</v>
      </c>
      <c r="S824">
        <v>0</v>
      </c>
      <c r="T824">
        <v>0</v>
      </c>
      <c r="U824">
        <v>574</v>
      </c>
      <c r="V824">
        <v>61</v>
      </c>
      <c r="W824">
        <v>256</v>
      </c>
      <c r="X824">
        <v>257</v>
      </c>
    </row>
    <row r="825" spans="1:24" x14ac:dyDescent="0.2">
      <c r="A825">
        <v>824</v>
      </c>
      <c r="B825" s="1">
        <v>41100</v>
      </c>
      <c r="C825" t="s">
        <v>24</v>
      </c>
      <c r="D825">
        <v>358</v>
      </c>
      <c r="E825">
        <v>53</v>
      </c>
      <c r="F825">
        <v>3</v>
      </c>
      <c r="G825" t="s">
        <v>26</v>
      </c>
      <c r="H825">
        <v>5</v>
      </c>
      <c r="I825">
        <v>40</v>
      </c>
      <c r="J825">
        <v>15</v>
      </c>
      <c r="K825">
        <v>4</v>
      </c>
      <c r="L825">
        <v>4</v>
      </c>
      <c r="M825">
        <v>18</v>
      </c>
      <c r="N825">
        <v>196</v>
      </c>
      <c r="O825">
        <v>285</v>
      </c>
      <c r="P825">
        <v>2</v>
      </c>
      <c r="Q825">
        <v>4</v>
      </c>
      <c r="R825">
        <v>2</v>
      </c>
      <c r="S825">
        <v>0</v>
      </c>
      <c r="T825">
        <v>0</v>
      </c>
      <c r="U825">
        <v>570</v>
      </c>
      <c r="V825">
        <v>59</v>
      </c>
      <c r="W825">
        <v>226</v>
      </c>
      <c r="X825">
        <v>285</v>
      </c>
    </row>
    <row r="826" spans="1:24" x14ac:dyDescent="0.2">
      <c r="A826">
        <v>825</v>
      </c>
      <c r="B826" s="1">
        <v>41100</v>
      </c>
      <c r="C826" t="s">
        <v>24</v>
      </c>
      <c r="D826">
        <v>358</v>
      </c>
      <c r="E826">
        <v>53</v>
      </c>
      <c r="F826">
        <v>3</v>
      </c>
      <c r="G826" t="s">
        <v>27</v>
      </c>
      <c r="H826">
        <v>6</v>
      </c>
      <c r="I826">
        <v>44</v>
      </c>
      <c r="J826">
        <v>1</v>
      </c>
      <c r="K826">
        <v>23</v>
      </c>
      <c r="L826">
        <v>2</v>
      </c>
      <c r="M826">
        <v>26</v>
      </c>
      <c r="N826">
        <v>284</v>
      </c>
      <c r="O826">
        <v>204</v>
      </c>
      <c r="P826">
        <v>3</v>
      </c>
      <c r="Q826">
        <v>1</v>
      </c>
      <c r="R826">
        <v>6</v>
      </c>
      <c r="S826">
        <v>0</v>
      </c>
      <c r="T826">
        <v>0</v>
      </c>
      <c r="U826">
        <v>594</v>
      </c>
      <c r="V826">
        <v>68</v>
      </c>
      <c r="W826">
        <v>322</v>
      </c>
      <c r="X826">
        <v>204</v>
      </c>
    </row>
    <row r="827" spans="1:24" x14ac:dyDescent="0.2">
      <c r="A827">
        <v>826</v>
      </c>
      <c r="B827" s="1">
        <v>41100</v>
      </c>
      <c r="C827" t="s">
        <v>24</v>
      </c>
      <c r="D827">
        <v>358</v>
      </c>
      <c r="E827">
        <v>53</v>
      </c>
      <c r="F827">
        <v>3</v>
      </c>
      <c r="G827" t="s">
        <v>27</v>
      </c>
      <c r="H827">
        <v>7</v>
      </c>
      <c r="I827">
        <v>46</v>
      </c>
      <c r="J827">
        <v>5</v>
      </c>
      <c r="K827">
        <v>8</v>
      </c>
      <c r="L827">
        <v>5</v>
      </c>
      <c r="M827">
        <v>28</v>
      </c>
      <c r="N827">
        <v>282</v>
      </c>
      <c r="O827">
        <v>275</v>
      </c>
      <c r="P827">
        <v>7</v>
      </c>
      <c r="Q827">
        <v>5</v>
      </c>
      <c r="R827">
        <v>5</v>
      </c>
      <c r="S827">
        <v>0</v>
      </c>
      <c r="T827">
        <v>0</v>
      </c>
      <c r="U827">
        <v>666</v>
      </c>
      <c r="V827">
        <v>59</v>
      </c>
      <c r="W827">
        <v>332</v>
      </c>
      <c r="X827">
        <v>275</v>
      </c>
    </row>
    <row r="828" spans="1:24" x14ac:dyDescent="0.2">
      <c r="A828">
        <v>827</v>
      </c>
      <c r="B828" s="1">
        <v>41100</v>
      </c>
      <c r="C828" t="s">
        <v>24</v>
      </c>
      <c r="D828">
        <v>358</v>
      </c>
      <c r="E828">
        <v>53</v>
      </c>
      <c r="F828">
        <v>3</v>
      </c>
      <c r="G828" t="s">
        <v>26</v>
      </c>
      <c r="H828">
        <v>8</v>
      </c>
      <c r="I828">
        <v>37</v>
      </c>
      <c r="J828">
        <v>17</v>
      </c>
      <c r="K828">
        <v>2</v>
      </c>
      <c r="L828">
        <v>4</v>
      </c>
      <c r="M828">
        <v>18</v>
      </c>
      <c r="N828">
        <v>145</v>
      </c>
      <c r="O828">
        <v>215</v>
      </c>
      <c r="P828">
        <v>2</v>
      </c>
      <c r="Q828">
        <v>0</v>
      </c>
      <c r="R828">
        <v>2</v>
      </c>
      <c r="S828">
        <v>0</v>
      </c>
      <c r="T828">
        <v>0</v>
      </c>
      <c r="U828">
        <v>442</v>
      </c>
      <c r="V828">
        <v>56</v>
      </c>
      <c r="W828">
        <v>171</v>
      </c>
      <c r="X828">
        <v>215</v>
      </c>
    </row>
    <row r="829" spans="1:24" x14ac:dyDescent="0.2">
      <c r="A829">
        <v>828</v>
      </c>
      <c r="B829" s="1">
        <v>41100</v>
      </c>
      <c r="C829" t="s">
        <v>28</v>
      </c>
      <c r="D829">
        <v>358</v>
      </c>
      <c r="E829">
        <v>53</v>
      </c>
      <c r="F829">
        <v>3</v>
      </c>
      <c r="G829" t="s">
        <v>27</v>
      </c>
      <c r="H829">
        <v>9</v>
      </c>
      <c r="I829">
        <v>49</v>
      </c>
      <c r="J829">
        <v>4</v>
      </c>
      <c r="K829">
        <v>10</v>
      </c>
      <c r="L829">
        <v>5</v>
      </c>
      <c r="M829">
        <v>25</v>
      </c>
      <c r="N829">
        <v>147</v>
      </c>
      <c r="O829">
        <v>201</v>
      </c>
      <c r="P829">
        <v>5</v>
      </c>
      <c r="Q829">
        <v>5</v>
      </c>
      <c r="R829">
        <v>6</v>
      </c>
      <c r="S829">
        <v>0</v>
      </c>
      <c r="T829">
        <v>0</v>
      </c>
      <c r="U829">
        <v>457</v>
      </c>
      <c r="V829">
        <v>63</v>
      </c>
      <c r="W829">
        <v>193</v>
      </c>
      <c r="X829">
        <v>201</v>
      </c>
    </row>
    <row r="830" spans="1:24" x14ac:dyDescent="0.2">
      <c r="A830">
        <v>829</v>
      </c>
      <c r="B830" s="1">
        <v>41107</v>
      </c>
      <c r="C830" t="s">
        <v>24</v>
      </c>
      <c r="D830">
        <v>365</v>
      </c>
      <c r="E830">
        <v>54</v>
      </c>
      <c r="F830">
        <v>3</v>
      </c>
      <c r="G830" t="s">
        <v>25</v>
      </c>
      <c r="H830">
        <v>1</v>
      </c>
      <c r="I830">
        <v>33</v>
      </c>
      <c r="J830">
        <v>23</v>
      </c>
      <c r="K830">
        <v>1</v>
      </c>
      <c r="L830">
        <v>10</v>
      </c>
      <c r="M830">
        <v>29</v>
      </c>
      <c r="N830">
        <v>264</v>
      </c>
      <c r="O830">
        <v>165</v>
      </c>
      <c r="P830">
        <v>2</v>
      </c>
      <c r="Q830">
        <v>2</v>
      </c>
      <c r="R830">
        <v>6</v>
      </c>
      <c r="S830">
        <v>0</v>
      </c>
      <c r="T830">
        <v>0</v>
      </c>
      <c r="U830">
        <v>535</v>
      </c>
      <c r="V830">
        <v>57</v>
      </c>
      <c r="W830">
        <v>313</v>
      </c>
      <c r="X830">
        <v>165</v>
      </c>
    </row>
    <row r="831" spans="1:24" x14ac:dyDescent="0.2">
      <c r="A831">
        <v>830</v>
      </c>
      <c r="B831" s="1">
        <v>41107</v>
      </c>
      <c r="C831" t="s">
        <v>28</v>
      </c>
      <c r="D831">
        <v>365</v>
      </c>
      <c r="E831">
        <v>54</v>
      </c>
      <c r="F831">
        <v>3</v>
      </c>
      <c r="G831" t="s">
        <v>25</v>
      </c>
      <c r="H831">
        <v>2</v>
      </c>
      <c r="I831">
        <v>40</v>
      </c>
      <c r="J831">
        <v>3</v>
      </c>
      <c r="K831">
        <v>7</v>
      </c>
      <c r="L831">
        <v>5</v>
      </c>
      <c r="M831">
        <v>24</v>
      </c>
      <c r="N831">
        <v>294</v>
      </c>
      <c r="O831">
        <v>261</v>
      </c>
      <c r="P831">
        <v>2</v>
      </c>
      <c r="Q831">
        <v>2</v>
      </c>
      <c r="R831">
        <v>1</v>
      </c>
      <c r="S831">
        <v>0</v>
      </c>
      <c r="T831">
        <v>0</v>
      </c>
      <c r="U831">
        <v>639</v>
      </c>
      <c r="V831">
        <v>50</v>
      </c>
      <c r="W831">
        <v>328</v>
      </c>
      <c r="X831">
        <v>261</v>
      </c>
    </row>
    <row r="832" spans="1:24" x14ac:dyDescent="0.2">
      <c r="A832">
        <v>831</v>
      </c>
      <c r="B832" s="1">
        <v>41107</v>
      </c>
      <c r="C832" t="s">
        <v>28</v>
      </c>
      <c r="D832">
        <v>365</v>
      </c>
      <c r="E832">
        <v>54</v>
      </c>
      <c r="F832">
        <v>3</v>
      </c>
      <c r="G832" t="s">
        <v>26</v>
      </c>
      <c r="H832">
        <v>3</v>
      </c>
      <c r="I832">
        <v>36</v>
      </c>
      <c r="J832">
        <v>9</v>
      </c>
      <c r="K832">
        <v>5</v>
      </c>
      <c r="L832">
        <v>5</v>
      </c>
      <c r="M832">
        <v>24</v>
      </c>
      <c r="N832">
        <v>217</v>
      </c>
      <c r="O832">
        <v>209</v>
      </c>
      <c r="P832">
        <v>2</v>
      </c>
      <c r="Q832">
        <v>2</v>
      </c>
      <c r="R832">
        <v>1</v>
      </c>
      <c r="S832">
        <v>0</v>
      </c>
      <c r="T832">
        <v>0</v>
      </c>
      <c r="U832">
        <v>510</v>
      </c>
      <c r="V832">
        <v>50</v>
      </c>
      <c r="W832">
        <v>251</v>
      </c>
      <c r="X832">
        <v>209</v>
      </c>
    </row>
    <row r="833" spans="1:24" x14ac:dyDescent="0.2">
      <c r="A833">
        <v>832</v>
      </c>
      <c r="B833" s="1">
        <v>41107</v>
      </c>
      <c r="C833" t="s">
        <v>24</v>
      </c>
      <c r="D833">
        <v>365</v>
      </c>
      <c r="E833">
        <v>54</v>
      </c>
      <c r="F833">
        <v>3</v>
      </c>
      <c r="G833" t="s">
        <v>25</v>
      </c>
      <c r="H833">
        <v>4</v>
      </c>
      <c r="I833">
        <v>47</v>
      </c>
      <c r="J833">
        <v>2</v>
      </c>
      <c r="K833">
        <v>10</v>
      </c>
      <c r="L833">
        <v>4</v>
      </c>
      <c r="M833">
        <v>21</v>
      </c>
      <c r="N833">
        <v>319</v>
      </c>
      <c r="O833">
        <v>223</v>
      </c>
      <c r="P833">
        <v>3</v>
      </c>
      <c r="Q833">
        <v>2</v>
      </c>
      <c r="R833">
        <v>3</v>
      </c>
      <c r="S833">
        <v>0</v>
      </c>
      <c r="T833">
        <v>0</v>
      </c>
      <c r="U833">
        <v>634</v>
      </c>
      <c r="V833">
        <v>59</v>
      </c>
      <c r="W833">
        <v>352</v>
      </c>
      <c r="X833">
        <v>223</v>
      </c>
    </row>
    <row r="834" spans="1:24" x14ac:dyDescent="0.2">
      <c r="A834">
        <v>833</v>
      </c>
      <c r="B834" s="1">
        <v>41107</v>
      </c>
      <c r="C834" t="s">
        <v>24</v>
      </c>
      <c r="D834">
        <v>365</v>
      </c>
      <c r="E834">
        <v>54</v>
      </c>
      <c r="F834">
        <v>3</v>
      </c>
      <c r="G834" t="s">
        <v>26</v>
      </c>
      <c r="H834">
        <v>5</v>
      </c>
      <c r="I834">
        <v>45</v>
      </c>
      <c r="J834">
        <v>18</v>
      </c>
      <c r="K834">
        <v>4</v>
      </c>
      <c r="L834">
        <v>4</v>
      </c>
      <c r="M834">
        <v>29</v>
      </c>
      <c r="N834">
        <v>289</v>
      </c>
      <c r="O834">
        <v>253</v>
      </c>
      <c r="P834">
        <v>1</v>
      </c>
      <c r="Q834">
        <v>2</v>
      </c>
      <c r="R834">
        <v>0</v>
      </c>
      <c r="S834">
        <v>0</v>
      </c>
      <c r="T834">
        <v>0</v>
      </c>
      <c r="U834">
        <v>645</v>
      </c>
      <c r="V834">
        <v>67</v>
      </c>
      <c r="W834">
        <v>325</v>
      </c>
      <c r="X834">
        <v>253</v>
      </c>
    </row>
    <row r="835" spans="1:24" x14ac:dyDescent="0.2">
      <c r="A835">
        <v>834</v>
      </c>
      <c r="B835" s="1">
        <v>41107</v>
      </c>
      <c r="C835" t="s">
        <v>28</v>
      </c>
      <c r="D835">
        <v>365</v>
      </c>
      <c r="E835">
        <v>54</v>
      </c>
      <c r="F835">
        <v>3</v>
      </c>
      <c r="G835" t="s">
        <v>27</v>
      </c>
      <c r="H835">
        <v>6</v>
      </c>
      <c r="I835">
        <v>45</v>
      </c>
      <c r="J835">
        <v>1</v>
      </c>
      <c r="K835">
        <v>26</v>
      </c>
      <c r="L835">
        <v>4</v>
      </c>
      <c r="M835">
        <v>21</v>
      </c>
      <c r="N835">
        <v>283</v>
      </c>
      <c r="O835">
        <v>226</v>
      </c>
      <c r="P835">
        <v>3</v>
      </c>
      <c r="Q835">
        <v>0</v>
      </c>
      <c r="R835">
        <v>2</v>
      </c>
      <c r="S835">
        <v>1</v>
      </c>
      <c r="T835">
        <v>0</v>
      </c>
      <c r="U835">
        <v>612</v>
      </c>
      <c r="V835">
        <v>72</v>
      </c>
      <c r="W835">
        <v>314</v>
      </c>
      <c r="X835">
        <v>226</v>
      </c>
    </row>
    <row r="836" spans="1:24" x14ac:dyDescent="0.2">
      <c r="A836">
        <v>835</v>
      </c>
      <c r="B836" s="1">
        <v>41107</v>
      </c>
      <c r="C836" t="s">
        <v>28</v>
      </c>
      <c r="D836">
        <v>365</v>
      </c>
      <c r="E836">
        <v>54</v>
      </c>
      <c r="F836">
        <v>3</v>
      </c>
      <c r="G836" t="s">
        <v>27</v>
      </c>
      <c r="H836">
        <v>7</v>
      </c>
      <c r="I836">
        <v>47</v>
      </c>
      <c r="J836">
        <v>5</v>
      </c>
      <c r="K836">
        <v>7</v>
      </c>
      <c r="L836">
        <v>6</v>
      </c>
      <c r="M836">
        <v>23</v>
      </c>
      <c r="N836">
        <v>253</v>
      </c>
      <c r="O836">
        <v>251</v>
      </c>
      <c r="P836">
        <v>5</v>
      </c>
      <c r="Q836">
        <v>2</v>
      </c>
      <c r="R836">
        <v>5</v>
      </c>
      <c r="S836">
        <v>0</v>
      </c>
      <c r="T836">
        <v>0</v>
      </c>
      <c r="U836">
        <v>604</v>
      </c>
      <c r="V836">
        <v>59</v>
      </c>
      <c r="W836">
        <v>294</v>
      </c>
      <c r="X836">
        <v>251</v>
      </c>
    </row>
    <row r="837" spans="1:24" x14ac:dyDescent="0.2">
      <c r="A837">
        <v>836</v>
      </c>
      <c r="B837" s="1">
        <v>41107</v>
      </c>
      <c r="C837" t="s">
        <v>24</v>
      </c>
      <c r="D837">
        <v>365</v>
      </c>
      <c r="E837">
        <v>54</v>
      </c>
      <c r="F837">
        <v>3</v>
      </c>
      <c r="G837" t="s">
        <v>26</v>
      </c>
      <c r="H837">
        <v>8</v>
      </c>
      <c r="I837">
        <v>42</v>
      </c>
      <c r="J837">
        <v>14</v>
      </c>
      <c r="K837">
        <v>5</v>
      </c>
      <c r="L837">
        <v>3</v>
      </c>
      <c r="M837">
        <v>21</v>
      </c>
      <c r="N837">
        <v>195</v>
      </c>
      <c r="O837">
        <v>197</v>
      </c>
      <c r="P837">
        <v>2</v>
      </c>
      <c r="Q837">
        <v>1</v>
      </c>
      <c r="R837">
        <v>1</v>
      </c>
      <c r="S837">
        <v>0</v>
      </c>
      <c r="T837">
        <v>0</v>
      </c>
      <c r="U837">
        <v>481</v>
      </c>
      <c r="V837">
        <v>61</v>
      </c>
      <c r="W837">
        <v>223</v>
      </c>
      <c r="X837">
        <v>197</v>
      </c>
    </row>
    <row r="838" spans="1:24" x14ac:dyDescent="0.2">
      <c r="A838">
        <v>837</v>
      </c>
      <c r="B838" s="1">
        <v>41107</v>
      </c>
      <c r="C838" t="s">
        <v>24</v>
      </c>
      <c r="D838">
        <v>365</v>
      </c>
      <c r="E838">
        <v>54</v>
      </c>
      <c r="F838">
        <v>3</v>
      </c>
      <c r="G838" t="s">
        <v>27</v>
      </c>
      <c r="H838">
        <v>9</v>
      </c>
      <c r="I838">
        <v>54</v>
      </c>
      <c r="J838">
        <v>4</v>
      </c>
      <c r="K838">
        <v>11</v>
      </c>
      <c r="L838">
        <v>5</v>
      </c>
      <c r="M838">
        <v>27</v>
      </c>
      <c r="N838">
        <v>187</v>
      </c>
      <c r="O838">
        <v>191</v>
      </c>
      <c r="P838">
        <v>2</v>
      </c>
      <c r="Q838">
        <v>2</v>
      </c>
      <c r="R838">
        <v>1</v>
      </c>
      <c r="S838">
        <v>0</v>
      </c>
      <c r="T838">
        <v>0</v>
      </c>
      <c r="U838">
        <v>484</v>
      </c>
      <c r="V838">
        <v>69</v>
      </c>
      <c r="W838">
        <v>224</v>
      </c>
      <c r="X838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9A63-5566-4351-9EA4-DCD8A335ADE7}">
  <dimension ref="A1:W8819"/>
  <sheetViews>
    <sheetView workbookViewId="0">
      <pane ySplit="1" topLeftCell="A8785" activePane="bottomLeft" state="frozen"/>
      <selection pane="bottomLeft" activeCell="I1" sqref="I1"/>
    </sheetView>
  </sheetViews>
  <sheetFormatPr baseColWidth="10" defaultColWidth="8.83203125" defaultRowHeight="15" x14ac:dyDescent="0.2"/>
  <cols>
    <col min="1" max="1" width="5.6640625" bestFit="1" customWidth="1"/>
    <col min="2" max="2" width="10.5" bestFit="1" customWidth="1"/>
    <col min="4" max="4" width="3.83203125" bestFit="1" customWidth="1"/>
    <col min="5" max="5" width="5.5" bestFit="1" customWidth="1"/>
    <col min="8" max="8" width="4.83203125" bestFit="1" customWidth="1"/>
    <col min="9" max="9" width="7.33203125" style="7" bestFit="1" customWidth="1"/>
    <col min="10" max="12" width="6.33203125" style="7" bestFit="1" customWidth="1"/>
    <col min="13" max="13" width="6.5" style="7" bestFit="1" customWidth="1"/>
    <col min="14" max="14" width="6.83203125" style="7" bestFit="1" customWidth="1"/>
    <col min="15" max="15" width="6.33203125" style="7" bestFit="1" customWidth="1"/>
    <col min="16" max="16" width="6.83203125" style="7" bestFit="1" customWidth="1"/>
    <col min="17" max="17" width="7.83203125" style="7" bestFit="1" customWidth="1"/>
    <col min="18" max="18" width="7.5" style="7" bestFit="1" customWidth="1"/>
    <col min="19" max="19" width="11.83203125" style="7" bestFit="1" customWidth="1"/>
    <col min="20" max="20" width="8.33203125" style="7" bestFit="1" customWidth="1"/>
    <col min="21" max="22" width="12.1640625" style="7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55</v>
      </c>
      <c r="J1" s="7" t="s">
        <v>56</v>
      </c>
      <c r="K1" s="7" t="s">
        <v>57</v>
      </c>
      <c r="L1" s="7" t="s">
        <v>58</v>
      </c>
      <c r="M1" s="7" t="s">
        <v>59</v>
      </c>
      <c r="N1" s="7" t="s">
        <v>60</v>
      </c>
      <c r="O1" s="7" t="s">
        <v>23</v>
      </c>
      <c r="P1" s="7" t="s">
        <v>70</v>
      </c>
      <c r="Q1" s="7" t="s">
        <v>71</v>
      </c>
      <c r="R1" s="7" t="s">
        <v>72</v>
      </c>
      <c r="S1" s="7" t="s">
        <v>73</v>
      </c>
      <c r="T1" s="7" t="s">
        <v>74</v>
      </c>
      <c r="U1" s="7" t="s">
        <v>75</v>
      </c>
      <c r="V1" s="7" t="s">
        <v>76</v>
      </c>
    </row>
    <row r="2" spans="1:22" x14ac:dyDescent="0.2">
      <c r="A2">
        <v>1</v>
      </c>
      <c r="B2" s="1">
        <v>40737</v>
      </c>
      <c r="C2" t="s">
        <v>24</v>
      </c>
      <c r="D2" s="7">
        <v>1</v>
      </c>
      <c r="E2" s="7">
        <v>1</v>
      </c>
      <c r="F2" s="7">
        <f t="shared" ref="F2:F40" si="0">WEEKDAY(B2)</f>
        <v>4</v>
      </c>
      <c r="G2" s="7" t="str">
        <f>LOOKUP(H2,[1]startdates!$A$2:$A$10,[1]startdates!$B$2:$B$10)</f>
        <v>SMr</v>
      </c>
      <c r="H2">
        <v>1</v>
      </c>
      <c r="I2" s="7">
        <v>757</v>
      </c>
      <c r="J2" s="7">
        <v>706</v>
      </c>
      <c r="K2" s="7">
        <v>767</v>
      </c>
      <c r="N2" s="7">
        <v>202</v>
      </c>
      <c r="O2" s="7">
        <v>176</v>
      </c>
      <c r="V2" s="7">
        <f>AVERAGE(I2:I7)</f>
        <v>793.83333333333337</v>
      </c>
    </row>
    <row r="3" spans="1:22" x14ac:dyDescent="0.2">
      <c r="A3">
        <v>2</v>
      </c>
      <c r="B3" s="1">
        <v>40737</v>
      </c>
      <c r="C3" t="s">
        <v>24</v>
      </c>
      <c r="D3" s="7">
        <v>1</v>
      </c>
      <c r="E3" s="7">
        <v>1</v>
      </c>
      <c r="F3" s="7">
        <f t="shared" si="0"/>
        <v>4</v>
      </c>
      <c r="G3" s="7" t="str">
        <f>LOOKUP(H3,[1]startdates!$A$2:$A$10,[1]startdates!$B$2:$B$10)</f>
        <v>SMr</v>
      </c>
      <c r="H3">
        <v>1</v>
      </c>
      <c r="I3" s="7">
        <v>788</v>
      </c>
      <c r="J3" s="7">
        <v>535</v>
      </c>
      <c r="N3" s="7">
        <v>202</v>
      </c>
      <c r="O3" s="7">
        <v>132</v>
      </c>
      <c r="S3" s="7">
        <f>AVERAGE(N2:N30)</f>
        <v>204.48275862068965</v>
      </c>
    </row>
    <row r="4" spans="1:22" x14ac:dyDescent="0.2">
      <c r="A4">
        <v>3</v>
      </c>
      <c r="B4" s="1">
        <v>40737</v>
      </c>
      <c r="C4" t="s">
        <v>24</v>
      </c>
      <c r="D4" s="7">
        <v>1</v>
      </c>
      <c r="E4" s="7">
        <v>1</v>
      </c>
      <c r="F4" s="7">
        <f t="shared" si="0"/>
        <v>4</v>
      </c>
      <c r="G4" s="7" t="str">
        <f>LOOKUP(H4,[1]startdates!$A$2:$A$10,[1]startdates!$B$2:$B$10)</f>
        <v>SMr</v>
      </c>
      <c r="H4">
        <v>1</v>
      </c>
      <c r="I4" s="7">
        <v>792</v>
      </c>
      <c r="J4" s="7">
        <v>586</v>
      </c>
      <c r="N4" s="7">
        <v>164</v>
      </c>
      <c r="O4" s="7">
        <v>175</v>
      </c>
    </row>
    <row r="5" spans="1:22" x14ac:dyDescent="0.2">
      <c r="A5">
        <v>4</v>
      </c>
      <c r="B5" s="1">
        <v>40737</v>
      </c>
      <c r="C5" t="s">
        <v>24</v>
      </c>
      <c r="D5" s="7">
        <v>1</v>
      </c>
      <c r="E5" s="7">
        <v>1</v>
      </c>
      <c r="F5" s="7">
        <f t="shared" si="0"/>
        <v>4</v>
      </c>
      <c r="G5" s="7" t="str">
        <f>LOOKUP(H5,[1]startdates!$A$2:$A$10,[1]startdates!$B$2:$B$10)</f>
        <v>SMr</v>
      </c>
      <c r="H5">
        <v>1</v>
      </c>
      <c r="I5" s="7">
        <v>804</v>
      </c>
      <c r="J5" s="7">
        <v>654</v>
      </c>
      <c r="N5" s="7">
        <v>227</v>
      </c>
      <c r="O5" s="7">
        <v>171</v>
      </c>
    </row>
    <row r="6" spans="1:22" x14ac:dyDescent="0.2">
      <c r="A6">
        <v>5</v>
      </c>
      <c r="B6" s="1">
        <v>40737</v>
      </c>
      <c r="C6" t="s">
        <v>24</v>
      </c>
      <c r="D6" s="7">
        <v>1</v>
      </c>
      <c r="E6" s="7">
        <v>1</v>
      </c>
      <c r="F6" s="7">
        <f t="shared" si="0"/>
        <v>4</v>
      </c>
      <c r="G6" s="7" t="str">
        <f>LOOKUP(H6,[1]startdates!$A$2:$A$10,[1]startdates!$B$2:$B$10)</f>
        <v>SMr</v>
      </c>
      <c r="H6">
        <v>1</v>
      </c>
      <c r="I6" s="7">
        <v>769</v>
      </c>
      <c r="N6" s="7">
        <v>245</v>
      </c>
      <c r="O6" s="7">
        <v>165</v>
      </c>
    </row>
    <row r="7" spans="1:22" x14ac:dyDescent="0.2">
      <c r="A7">
        <v>6</v>
      </c>
      <c r="B7" s="1">
        <v>40737</v>
      </c>
      <c r="C7" t="s">
        <v>24</v>
      </c>
      <c r="D7" s="7">
        <v>1</v>
      </c>
      <c r="E7" s="7">
        <v>1</v>
      </c>
      <c r="F7" s="7">
        <f t="shared" si="0"/>
        <v>4</v>
      </c>
      <c r="G7" s="7" t="str">
        <f>LOOKUP(H7,[1]startdates!$A$2:$A$10,[1]startdates!$B$2:$B$10)</f>
        <v>SMr</v>
      </c>
      <c r="H7">
        <v>1</v>
      </c>
      <c r="I7" s="7">
        <v>853</v>
      </c>
      <c r="N7" s="7">
        <v>191</v>
      </c>
      <c r="O7" s="7">
        <v>151</v>
      </c>
    </row>
    <row r="8" spans="1:22" x14ac:dyDescent="0.2">
      <c r="A8">
        <v>7</v>
      </c>
      <c r="B8" s="1">
        <v>40737</v>
      </c>
      <c r="C8" t="s">
        <v>24</v>
      </c>
      <c r="D8" s="7">
        <v>1</v>
      </c>
      <c r="E8" s="7">
        <v>1</v>
      </c>
      <c r="F8" s="7">
        <f t="shared" si="0"/>
        <v>4</v>
      </c>
      <c r="G8" s="7" t="str">
        <f>LOOKUP(H8,[1]startdates!$A$2:$A$10,[1]startdates!$B$2:$B$10)</f>
        <v>SMr</v>
      </c>
      <c r="H8">
        <v>1</v>
      </c>
      <c r="N8" s="7">
        <v>174</v>
      </c>
      <c r="O8" s="7">
        <v>149</v>
      </c>
    </row>
    <row r="9" spans="1:22" x14ac:dyDescent="0.2">
      <c r="A9">
        <v>8</v>
      </c>
      <c r="B9" s="1">
        <v>40737</v>
      </c>
      <c r="C9" t="s">
        <v>24</v>
      </c>
      <c r="D9" s="7">
        <v>1</v>
      </c>
      <c r="E9" s="7">
        <v>1</v>
      </c>
      <c r="F9" s="7">
        <f t="shared" si="0"/>
        <v>4</v>
      </c>
      <c r="G9" s="7" t="str">
        <f>LOOKUP(H9,[1]startdates!$A$2:$A$10,[1]startdates!$B$2:$B$10)</f>
        <v>SMr</v>
      </c>
      <c r="H9">
        <v>1</v>
      </c>
      <c r="N9" s="7">
        <v>235</v>
      </c>
      <c r="O9" s="7">
        <v>157</v>
      </c>
    </row>
    <row r="10" spans="1:22" x14ac:dyDescent="0.2">
      <c r="A10">
        <v>9</v>
      </c>
      <c r="B10" s="1">
        <v>40737</v>
      </c>
      <c r="C10" t="s">
        <v>24</v>
      </c>
      <c r="D10" s="7">
        <v>1</v>
      </c>
      <c r="E10" s="7">
        <v>1</v>
      </c>
      <c r="F10" s="7">
        <f t="shared" si="0"/>
        <v>4</v>
      </c>
      <c r="G10" s="7" t="str">
        <f>LOOKUP(H10,[1]startdates!$A$2:$A$10,[1]startdates!$B$2:$B$10)</f>
        <v>SMr</v>
      </c>
      <c r="H10">
        <v>1</v>
      </c>
      <c r="N10" s="7">
        <v>225</v>
      </c>
      <c r="O10" s="7">
        <v>121</v>
      </c>
    </row>
    <row r="11" spans="1:22" x14ac:dyDescent="0.2">
      <c r="A11">
        <v>10</v>
      </c>
      <c r="B11" s="1">
        <v>40737</v>
      </c>
      <c r="C11" t="s">
        <v>24</v>
      </c>
      <c r="D11" s="7">
        <v>1</v>
      </c>
      <c r="E11" s="7">
        <v>1</v>
      </c>
      <c r="F11" s="7">
        <f t="shared" si="0"/>
        <v>4</v>
      </c>
      <c r="G11" s="7" t="str">
        <f>LOOKUP(H11,[1]startdates!$A$2:$A$10,[1]startdates!$B$2:$B$10)</f>
        <v>SMr</v>
      </c>
      <c r="H11">
        <v>1</v>
      </c>
      <c r="N11" s="7">
        <v>195</v>
      </c>
    </row>
    <row r="12" spans="1:22" x14ac:dyDescent="0.2">
      <c r="A12">
        <v>11</v>
      </c>
      <c r="B12" s="1">
        <v>40737</v>
      </c>
      <c r="C12" t="s">
        <v>24</v>
      </c>
      <c r="D12" s="7">
        <v>1</v>
      </c>
      <c r="E12" s="7">
        <v>1</v>
      </c>
      <c r="F12" s="7">
        <f t="shared" si="0"/>
        <v>4</v>
      </c>
      <c r="G12" s="7" t="str">
        <f>LOOKUP(H12,[1]startdates!$A$2:$A$10,[1]startdates!$B$2:$B$10)</f>
        <v>SMr</v>
      </c>
      <c r="H12">
        <v>1</v>
      </c>
      <c r="N12" s="7">
        <v>217</v>
      </c>
    </row>
    <row r="13" spans="1:22" x14ac:dyDescent="0.2">
      <c r="A13">
        <v>12</v>
      </c>
      <c r="B13" s="1">
        <v>40737</v>
      </c>
      <c r="C13" t="s">
        <v>24</v>
      </c>
      <c r="D13" s="7">
        <v>1</v>
      </c>
      <c r="E13" s="7">
        <v>1</v>
      </c>
      <c r="F13" s="7">
        <f t="shared" si="0"/>
        <v>4</v>
      </c>
      <c r="G13" s="7" t="str">
        <f>LOOKUP(H13,[1]startdates!$A$2:$A$10,[1]startdates!$B$2:$B$10)</f>
        <v>SMr</v>
      </c>
      <c r="H13">
        <v>1</v>
      </c>
      <c r="N13" s="7">
        <v>190</v>
      </c>
    </row>
    <row r="14" spans="1:22" x14ac:dyDescent="0.2">
      <c r="A14">
        <v>13</v>
      </c>
      <c r="B14" s="1">
        <v>40737</v>
      </c>
      <c r="C14" t="s">
        <v>24</v>
      </c>
      <c r="D14" s="7">
        <v>1</v>
      </c>
      <c r="E14" s="7">
        <v>1</v>
      </c>
      <c r="F14" s="7">
        <f t="shared" si="0"/>
        <v>4</v>
      </c>
      <c r="G14" s="7" t="str">
        <f>LOOKUP(H14,[1]startdates!$A$2:$A$10,[1]startdates!$B$2:$B$10)</f>
        <v>SMr</v>
      </c>
      <c r="H14">
        <v>1</v>
      </c>
      <c r="N14" s="7">
        <v>217</v>
      </c>
    </row>
    <row r="15" spans="1:22" x14ac:dyDescent="0.2">
      <c r="A15">
        <v>14</v>
      </c>
      <c r="B15" s="1">
        <v>40737</v>
      </c>
      <c r="C15" t="s">
        <v>24</v>
      </c>
      <c r="D15" s="7">
        <v>1</v>
      </c>
      <c r="E15" s="7">
        <v>1</v>
      </c>
      <c r="F15" s="7">
        <f t="shared" si="0"/>
        <v>4</v>
      </c>
      <c r="G15" s="7" t="str">
        <f>LOOKUP(H15,[1]startdates!$A$2:$A$10,[1]startdates!$B$2:$B$10)</f>
        <v>SMr</v>
      </c>
      <c r="H15">
        <v>1</v>
      </c>
      <c r="N15" s="7">
        <v>253</v>
      </c>
    </row>
    <row r="16" spans="1:22" x14ac:dyDescent="0.2">
      <c r="A16">
        <v>15</v>
      </c>
      <c r="B16" s="1">
        <v>40737</v>
      </c>
      <c r="C16" t="s">
        <v>24</v>
      </c>
      <c r="D16" s="7">
        <v>1</v>
      </c>
      <c r="E16" s="7">
        <v>1</v>
      </c>
      <c r="F16" s="7">
        <f t="shared" si="0"/>
        <v>4</v>
      </c>
      <c r="G16" s="7" t="str">
        <f>LOOKUP(H16,[1]startdates!$A$2:$A$10,[1]startdates!$B$2:$B$10)</f>
        <v>SMr</v>
      </c>
      <c r="H16">
        <v>1</v>
      </c>
      <c r="N16" s="7">
        <v>203</v>
      </c>
    </row>
    <row r="17" spans="1:18" x14ac:dyDescent="0.2">
      <c r="A17">
        <v>16</v>
      </c>
      <c r="B17" s="1">
        <v>40737</v>
      </c>
      <c r="C17" t="s">
        <v>24</v>
      </c>
      <c r="D17" s="7">
        <v>1</v>
      </c>
      <c r="E17" s="7">
        <v>1</v>
      </c>
      <c r="F17" s="7">
        <f t="shared" si="0"/>
        <v>4</v>
      </c>
      <c r="G17" s="7" t="str">
        <f>LOOKUP(H17,[1]startdates!$A$2:$A$10,[1]startdates!$B$2:$B$10)</f>
        <v>SMr</v>
      </c>
      <c r="H17">
        <v>2</v>
      </c>
      <c r="I17" s="7">
        <v>779</v>
      </c>
      <c r="J17" s="7">
        <v>635</v>
      </c>
      <c r="K17" s="7">
        <v>551</v>
      </c>
      <c r="N17" s="7">
        <v>166</v>
      </c>
    </row>
    <row r="18" spans="1:18" x14ac:dyDescent="0.2">
      <c r="A18">
        <v>17</v>
      </c>
      <c r="B18" s="1">
        <v>40737</v>
      </c>
      <c r="C18" t="s">
        <v>24</v>
      </c>
      <c r="D18" s="7">
        <v>1</v>
      </c>
      <c r="E18" s="7">
        <v>1</v>
      </c>
      <c r="F18" s="7">
        <f t="shared" si="0"/>
        <v>4</v>
      </c>
      <c r="G18" s="7" t="str">
        <f>LOOKUP(H18,[1]startdates!$A$2:$A$10,[1]startdates!$B$2:$B$10)</f>
        <v>SMr</v>
      </c>
      <c r="H18">
        <v>2</v>
      </c>
      <c r="I18" s="7">
        <v>777</v>
      </c>
      <c r="J18" s="7">
        <v>663</v>
      </c>
      <c r="K18" s="7">
        <v>666</v>
      </c>
      <c r="N18" s="7">
        <v>253</v>
      </c>
    </row>
    <row r="19" spans="1:18" x14ac:dyDescent="0.2">
      <c r="A19">
        <v>18</v>
      </c>
      <c r="B19" s="1">
        <v>40737</v>
      </c>
      <c r="C19" t="s">
        <v>24</v>
      </c>
      <c r="D19" s="7">
        <v>1</v>
      </c>
      <c r="E19" s="7">
        <v>1</v>
      </c>
      <c r="F19" s="7">
        <f t="shared" si="0"/>
        <v>4</v>
      </c>
      <c r="G19" s="7" t="str">
        <f>LOOKUP(H19,[1]startdates!$A$2:$A$10,[1]startdates!$B$2:$B$10)</f>
        <v>SMr</v>
      </c>
      <c r="H19">
        <v>2</v>
      </c>
      <c r="I19" s="7">
        <v>867</v>
      </c>
      <c r="J19" s="7">
        <v>614</v>
      </c>
      <c r="N19" s="7">
        <v>161</v>
      </c>
    </row>
    <row r="20" spans="1:18" x14ac:dyDescent="0.2">
      <c r="A20">
        <v>19</v>
      </c>
      <c r="B20" s="1">
        <v>40737</v>
      </c>
      <c r="C20" t="s">
        <v>24</v>
      </c>
      <c r="D20" s="7">
        <v>1</v>
      </c>
      <c r="E20" s="7">
        <v>1</v>
      </c>
      <c r="F20" s="7">
        <f t="shared" si="0"/>
        <v>4</v>
      </c>
      <c r="G20" s="7" t="str">
        <f>LOOKUP(H20,[1]startdates!$A$2:$A$10,[1]startdates!$B$2:$B$10)</f>
        <v>SMr</v>
      </c>
      <c r="H20">
        <v>2</v>
      </c>
      <c r="I20" s="7">
        <v>758</v>
      </c>
      <c r="J20" s="7">
        <v>580</v>
      </c>
      <c r="N20" s="7">
        <v>177</v>
      </c>
    </row>
    <row r="21" spans="1:18" x14ac:dyDescent="0.2">
      <c r="A21">
        <v>20</v>
      </c>
      <c r="B21" s="1">
        <v>40737</v>
      </c>
      <c r="C21" t="s">
        <v>24</v>
      </c>
      <c r="D21" s="7">
        <v>1</v>
      </c>
      <c r="E21" s="7">
        <v>1</v>
      </c>
      <c r="F21" s="7">
        <f t="shared" si="0"/>
        <v>4</v>
      </c>
      <c r="G21" s="7" t="str">
        <f>LOOKUP(H21,[1]startdates!$A$2:$A$10,[1]startdates!$B$2:$B$10)</f>
        <v>SMr</v>
      </c>
      <c r="H21">
        <v>2</v>
      </c>
      <c r="J21" s="7">
        <v>663</v>
      </c>
      <c r="N21" s="7">
        <v>162</v>
      </c>
    </row>
    <row r="22" spans="1:18" x14ac:dyDescent="0.2">
      <c r="A22">
        <v>21</v>
      </c>
      <c r="B22" s="1">
        <v>40737</v>
      </c>
      <c r="C22" t="s">
        <v>24</v>
      </c>
      <c r="D22" s="7">
        <v>1</v>
      </c>
      <c r="E22" s="7">
        <v>1</v>
      </c>
      <c r="F22" s="7">
        <f t="shared" si="0"/>
        <v>4</v>
      </c>
      <c r="G22" s="7" t="str">
        <f>LOOKUP(H22,[1]startdates!$A$2:$A$10,[1]startdates!$B$2:$B$10)</f>
        <v>SMr</v>
      </c>
      <c r="H22">
        <v>2</v>
      </c>
      <c r="J22" s="7">
        <v>608</v>
      </c>
      <c r="N22" s="7">
        <v>176</v>
      </c>
    </row>
    <row r="23" spans="1:18" x14ac:dyDescent="0.2">
      <c r="A23">
        <v>22</v>
      </c>
      <c r="B23" s="1">
        <v>40737</v>
      </c>
      <c r="C23" t="s">
        <v>24</v>
      </c>
      <c r="D23" s="7">
        <v>1</v>
      </c>
      <c r="E23" s="7">
        <v>1</v>
      </c>
      <c r="F23" s="7">
        <f t="shared" si="0"/>
        <v>4</v>
      </c>
      <c r="G23" s="7" t="str">
        <f>LOOKUP(H23,[1]startdates!$A$2:$A$10,[1]startdates!$B$2:$B$10)</f>
        <v>SMr</v>
      </c>
      <c r="H23">
        <v>2</v>
      </c>
      <c r="N23" s="7">
        <v>178</v>
      </c>
    </row>
    <row r="24" spans="1:18" x14ac:dyDescent="0.2">
      <c r="A24">
        <v>23</v>
      </c>
      <c r="B24" s="1">
        <v>40737</v>
      </c>
      <c r="C24" t="s">
        <v>24</v>
      </c>
      <c r="D24" s="7">
        <v>1</v>
      </c>
      <c r="E24" s="7">
        <v>1</v>
      </c>
      <c r="F24" s="7">
        <f t="shared" si="0"/>
        <v>4</v>
      </c>
      <c r="G24" s="7" t="str">
        <f>LOOKUP(H24,[1]startdates!$A$2:$A$10,[1]startdates!$B$2:$B$10)</f>
        <v>SMr</v>
      </c>
      <c r="H24">
        <v>2</v>
      </c>
      <c r="N24" s="7">
        <v>244</v>
      </c>
    </row>
    <row r="25" spans="1:18" x14ac:dyDescent="0.2">
      <c r="A25">
        <v>24</v>
      </c>
      <c r="B25" s="1">
        <v>40737</v>
      </c>
      <c r="C25" t="s">
        <v>24</v>
      </c>
      <c r="D25" s="7">
        <v>1</v>
      </c>
      <c r="E25" s="7">
        <v>1</v>
      </c>
      <c r="F25" s="7">
        <f t="shared" si="0"/>
        <v>4</v>
      </c>
      <c r="G25" s="7" t="str">
        <f>LOOKUP(H25,[1]startdates!$A$2:$A$10,[1]startdates!$B$2:$B$10)</f>
        <v>SMr</v>
      </c>
      <c r="H25">
        <v>2</v>
      </c>
      <c r="N25" s="7">
        <v>192</v>
      </c>
    </row>
    <row r="26" spans="1:18" x14ac:dyDescent="0.2">
      <c r="A26">
        <v>25</v>
      </c>
      <c r="B26" s="1">
        <v>40737</v>
      </c>
      <c r="C26" t="s">
        <v>24</v>
      </c>
      <c r="D26" s="7">
        <v>1</v>
      </c>
      <c r="E26" s="7">
        <v>1</v>
      </c>
      <c r="F26" s="7">
        <f t="shared" si="0"/>
        <v>4</v>
      </c>
      <c r="G26" s="7" t="str">
        <f>LOOKUP(H26,[1]startdates!$A$2:$A$10,[1]startdates!$B$2:$B$10)</f>
        <v>SMr</v>
      </c>
      <c r="H26">
        <v>2</v>
      </c>
      <c r="N26" s="7">
        <v>250</v>
      </c>
    </row>
    <row r="27" spans="1:18" x14ac:dyDescent="0.2">
      <c r="A27">
        <v>26</v>
      </c>
      <c r="B27" s="1">
        <v>40737</v>
      </c>
      <c r="C27" t="s">
        <v>24</v>
      </c>
      <c r="D27" s="7">
        <v>1</v>
      </c>
      <c r="E27" s="7">
        <v>1</v>
      </c>
      <c r="F27" s="7">
        <f t="shared" si="0"/>
        <v>4</v>
      </c>
      <c r="G27" s="7" t="str">
        <f>LOOKUP(H27,[1]startdates!$A$2:$A$10,[1]startdates!$B$2:$B$10)</f>
        <v>SMr</v>
      </c>
      <c r="H27">
        <v>2</v>
      </c>
      <c r="N27" s="7">
        <v>237</v>
      </c>
    </row>
    <row r="28" spans="1:18" x14ac:dyDescent="0.2">
      <c r="A28">
        <v>27</v>
      </c>
      <c r="B28" s="1">
        <v>40737</v>
      </c>
      <c r="C28" t="s">
        <v>24</v>
      </c>
      <c r="D28" s="7">
        <v>1</v>
      </c>
      <c r="E28" s="7">
        <v>1</v>
      </c>
      <c r="F28" s="7">
        <f t="shared" si="0"/>
        <v>4</v>
      </c>
      <c r="G28" s="7" t="str">
        <f>LOOKUP(H28,[1]startdates!$A$2:$A$10,[1]startdates!$B$2:$B$10)</f>
        <v>SMr</v>
      </c>
      <c r="H28">
        <v>2</v>
      </c>
      <c r="N28" s="7">
        <v>198</v>
      </c>
    </row>
    <row r="29" spans="1:18" x14ac:dyDescent="0.2">
      <c r="A29">
        <v>28</v>
      </c>
      <c r="B29" s="1">
        <v>40737</v>
      </c>
      <c r="C29" t="s">
        <v>24</v>
      </c>
      <c r="D29" s="7">
        <v>1</v>
      </c>
      <c r="E29" s="7">
        <v>1</v>
      </c>
      <c r="F29" s="7">
        <f t="shared" si="0"/>
        <v>4</v>
      </c>
      <c r="G29" s="7" t="str">
        <f>LOOKUP(H29,[1]startdates!$A$2:$A$10,[1]startdates!$B$2:$B$10)</f>
        <v>SMr</v>
      </c>
      <c r="H29">
        <v>2</v>
      </c>
      <c r="N29" s="7">
        <v>198</v>
      </c>
    </row>
    <row r="30" spans="1:18" x14ac:dyDescent="0.2">
      <c r="A30">
        <v>29</v>
      </c>
      <c r="B30" s="1">
        <v>40737</v>
      </c>
      <c r="C30" t="s">
        <v>24</v>
      </c>
      <c r="D30" s="7">
        <v>1</v>
      </c>
      <c r="E30" s="7">
        <v>1</v>
      </c>
      <c r="F30" s="7">
        <f t="shared" si="0"/>
        <v>4</v>
      </c>
      <c r="G30" s="7" t="str">
        <f>LOOKUP(H30,[1]startdates!$A$2:$A$10,[1]startdates!$B$2:$B$10)</f>
        <v>SMr</v>
      </c>
      <c r="H30">
        <v>2</v>
      </c>
      <c r="N30" s="7">
        <v>198</v>
      </c>
    </row>
    <row r="31" spans="1:18" x14ac:dyDescent="0.2">
      <c r="A31">
        <v>30</v>
      </c>
      <c r="B31" s="1">
        <v>40737</v>
      </c>
      <c r="C31" t="s">
        <v>24</v>
      </c>
      <c r="D31" s="7">
        <v>1</v>
      </c>
      <c r="E31" s="7">
        <v>1</v>
      </c>
      <c r="F31" s="7">
        <f t="shared" si="0"/>
        <v>4</v>
      </c>
      <c r="G31" s="7" t="str">
        <f>LOOKUP(H31,[1]startdates!$A$2:$A$10,[1]startdates!$B$2:$B$10)</f>
        <v>C</v>
      </c>
      <c r="H31">
        <v>3</v>
      </c>
      <c r="I31" s="7">
        <v>716</v>
      </c>
      <c r="J31" s="7">
        <v>620</v>
      </c>
      <c r="K31" s="7">
        <v>740</v>
      </c>
      <c r="N31" s="7">
        <v>177</v>
      </c>
      <c r="O31" s="7">
        <v>171</v>
      </c>
      <c r="R31" s="7">
        <f>AVERAGE(J31:J37)</f>
        <v>636.5</v>
      </c>
    </row>
    <row r="32" spans="1:18" x14ac:dyDescent="0.2">
      <c r="A32">
        <v>31</v>
      </c>
      <c r="B32" s="1">
        <v>40737</v>
      </c>
      <c r="C32" t="s">
        <v>24</v>
      </c>
      <c r="D32" s="7">
        <v>1</v>
      </c>
      <c r="E32" s="7">
        <v>1</v>
      </c>
      <c r="F32" s="7">
        <f t="shared" si="0"/>
        <v>4</v>
      </c>
      <c r="G32" s="7" t="str">
        <f>LOOKUP(H32,[1]startdates!$A$2:$A$10,[1]startdates!$B$2:$B$10)</f>
        <v>C</v>
      </c>
      <c r="H32">
        <v>3</v>
      </c>
      <c r="I32" s="7">
        <v>774</v>
      </c>
      <c r="J32" s="7">
        <v>653</v>
      </c>
      <c r="N32" s="7">
        <v>253</v>
      </c>
      <c r="O32" s="7">
        <v>176</v>
      </c>
    </row>
    <row r="33" spans="1:15" x14ac:dyDescent="0.2">
      <c r="A33">
        <v>32</v>
      </c>
      <c r="B33" s="1">
        <v>40737</v>
      </c>
      <c r="C33" t="s">
        <v>24</v>
      </c>
      <c r="D33" s="7">
        <v>1</v>
      </c>
      <c r="E33" s="7">
        <v>1</v>
      </c>
      <c r="F33" s="7">
        <f t="shared" si="0"/>
        <v>4</v>
      </c>
      <c r="G33" s="7" t="str">
        <f>LOOKUP(H33,[1]startdates!$A$2:$A$10,[1]startdates!$B$2:$B$10)</f>
        <v>C</v>
      </c>
      <c r="H33">
        <v>3</v>
      </c>
      <c r="I33" s="7">
        <v>606</v>
      </c>
      <c r="N33" s="7">
        <v>241</v>
      </c>
      <c r="O33" s="7">
        <v>154</v>
      </c>
    </row>
    <row r="34" spans="1:15" x14ac:dyDescent="0.2">
      <c r="A34">
        <v>33</v>
      </c>
      <c r="B34" s="1">
        <v>40737</v>
      </c>
      <c r="C34" t="s">
        <v>24</v>
      </c>
      <c r="D34" s="7">
        <v>1</v>
      </c>
      <c r="E34" s="7">
        <v>1</v>
      </c>
      <c r="F34" s="7">
        <f t="shared" si="0"/>
        <v>4</v>
      </c>
      <c r="G34" s="7" t="str">
        <f>LOOKUP(H34,[1]startdates!$A$2:$A$10,[1]startdates!$B$2:$B$10)</f>
        <v>C</v>
      </c>
      <c r="H34">
        <v>3</v>
      </c>
      <c r="I34" s="7">
        <v>757</v>
      </c>
      <c r="N34" s="7">
        <v>255</v>
      </c>
      <c r="O34" s="7">
        <v>147</v>
      </c>
    </row>
    <row r="35" spans="1:15" x14ac:dyDescent="0.2">
      <c r="A35">
        <v>34</v>
      </c>
      <c r="B35" s="1">
        <v>40737</v>
      </c>
      <c r="C35" t="s">
        <v>24</v>
      </c>
      <c r="D35" s="7">
        <v>1</v>
      </c>
      <c r="E35" s="7">
        <v>1</v>
      </c>
      <c r="F35" s="7">
        <f t="shared" si="0"/>
        <v>4</v>
      </c>
      <c r="G35" s="7" t="str">
        <f>LOOKUP(H35,[1]startdates!$A$2:$A$10,[1]startdates!$B$2:$B$10)</f>
        <v>C</v>
      </c>
      <c r="H35">
        <v>3</v>
      </c>
      <c r="I35" s="7">
        <v>757</v>
      </c>
      <c r="N35" s="7">
        <v>175</v>
      </c>
      <c r="O35" s="7">
        <v>134</v>
      </c>
    </row>
    <row r="36" spans="1:15" x14ac:dyDescent="0.2">
      <c r="A36">
        <v>35</v>
      </c>
      <c r="B36" s="1">
        <v>40737</v>
      </c>
      <c r="C36" t="s">
        <v>24</v>
      </c>
      <c r="D36" s="7">
        <v>1</v>
      </c>
      <c r="E36" s="7">
        <v>1</v>
      </c>
      <c r="F36" s="7">
        <f t="shared" si="0"/>
        <v>4</v>
      </c>
      <c r="G36" s="7" t="str">
        <f>LOOKUP(H36,[1]startdates!$A$2:$A$10,[1]startdates!$B$2:$B$10)</f>
        <v>C</v>
      </c>
      <c r="H36">
        <v>3</v>
      </c>
      <c r="I36" s="7">
        <v>791</v>
      </c>
      <c r="N36" s="7">
        <v>233</v>
      </c>
      <c r="O36" s="7">
        <v>172</v>
      </c>
    </row>
    <row r="37" spans="1:15" x14ac:dyDescent="0.2">
      <c r="A37">
        <v>36</v>
      </c>
      <c r="B37" s="1">
        <v>40737</v>
      </c>
      <c r="C37" t="s">
        <v>24</v>
      </c>
      <c r="D37" s="7">
        <v>1</v>
      </c>
      <c r="E37" s="7">
        <v>1</v>
      </c>
      <c r="F37" s="7">
        <f t="shared" si="0"/>
        <v>4</v>
      </c>
      <c r="G37" s="7" t="str">
        <f>LOOKUP(H37,[1]startdates!$A$2:$A$10,[1]startdates!$B$2:$B$10)</f>
        <v>C</v>
      </c>
      <c r="H37">
        <v>3</v>
      </c>
      <c r="I37" s="7">
        <v>755</v>
      </c>
      <c r="N37" s="7">
        <v>190</v>
      </c>
      <c r="O37" s="7">
        <v>156</v>
      </c>
    </row>
    <row r="38" spans="1:15" x14ac:dyDescent="0.2">
      <c r="A38">
        <v>37</v>
      </c>
      <c r="B38" s="1">
        <v>40737</v>
      </c>
      <c r="C38" t="s">
        <v>24</v>
      </c>
      <c r="D38" s="7">
        <v>1</v>
      </c>
      <c r="E38" s="7">
        <v>1</v>
      </c>
      <c r="F38" s="7">
        <f t="shared" si="0"/>
        <v>4</v>
      </c>
      <c r="G38" s="7" t="str">
        <f>LOOKUP(H38,[1]startdates!$A$2:$A$10,[1]startdates!$B$2:$B$10)</f>
        <v>C</v>
      </c>
      <c r="H38">
        <v>3</v>
      </c>
      <c r="N38" s="7">
        <v>216</v>
      </c>
      <c r="O38" s="7">
        <v>172</v>
      </c>
    </row>
    <row r="39" spans="1:15" x14ac:dyDescent="0.2">
      <c r="A39">
        <v>38</v>
      </c>
      <c r="B39" s="1">
        <v>40737</v>
      </c>
      <c r="C39" t="s">
        <v>24</v>
      </c>
      <c r="D39" s="7">
        <v>1</v>
      </c>
      <c r="E39" s="7">
        <v>1</v>
      </c>
      <c r="F39" s="7">
        <f t="shared" si="0"/>
        <v>4</v>
      </c>
      <c r="G39" s="7" t="str">
        <f>LOOKUP(H39,[1]startdates!$A$2:$A$10,[1]startdates!$B$2:$B$10)</f>
        <v>C</v>
      </c>
      <c r="H39">
        <v>3</v>
      </c>
      <c r="N39" s="7">
        <v>167</v>
      </c>
      <c r="O39" s="7">
        <v>143</v>
      </c>
    </row>
    <row r="40" spans="1:15" x14ac:dyDescent="0.2">
      <c r="A40">
        <v>39</v>
      </c>
      <c r="B40" s="1">
        <v>40737</v>
      </c>
      <c r="C40" t="s">
        <v>24</v>
      </c>
      <c r="D40" s="7">
        <v>1</v>
      </c>
      <c r="E40" s="7">
        <v>1</v>
      </c>
      <c r="F40" s="7">
        <f t="shared" si="0"/>
        <v>4</v>
      </c>
      <c r="G40" s="7" t="str">
        <f>LOOKUP(H40,[1]startdates!$A$2:$A$10,[1]startdates!$B$2:$B$10)</f>
        <v>C</v>
      </c>
      <c r="H40">
        <v>3</v>
      </c>
      <c r="N40" s="7">
        <v>273</v>
      </c>
      <c r="O40" s="7">
        <v>163</v>
      </c>
    </row>
    <row r="41" spans="1:15" x14ac:dyDescent="0.2">
      <c r="A41">
        <v>40</v>
      </c>
      <c r="B41" s="1">
        <v>40737</v>
      </c>
      <c r="C41" t="s">
        <v>24</v>
      </c>
      <c r="D41" s="7">
        <v>1</v>
      </c>
      <c r="E41" s="7">
        <v>1</v>
      </c>
      <c r="F41" s="7">
        <f t="shared" ref="F41:F104" si="1">WEEKDAY(B41)</f>
        <v>4</v>
      </c>
      <c r="G41" s="7" t="str">
        <f>LOOKUP(H41,[1]startdates!$A$2:$A$10,[1]startdates!$B$2:$B$10)</f>
        <v>C</v>
      </c>
      <c r="H41">
        <v>3</v>
      </c>
      <c r="N41" s="7">
        <v>235</v>
      </c>
      <c r="O41" s="7">
        <v>140</v>
      </c>
    </row>
    <row r="42" spans="1:15" x14ac:dyDescent="0.2">
      <c r="A42">
        <v>41</v>
      </c>
      <c r="B42" s="1">
        <v>40737</v>
      </c>
      <c r="C42" t="s">
        <v>24</v>
      </c>
      <c r="D42" s="7">
        <v>1</v>
      </c>
      <c r="E42" s="7">
        <v>1</v>
      </c>
      <c r="F42" s="7">
        <f t="shared" si="1"/>
        <v>4</v>
      </c>
      <c r="G42" s="7" t="str">
        <f>LOOKUP(H42,[1]startdates!$A$2:$A$10,[1]startdates!$B$2:$B$10)</f>
        <v>C</v>
      </c>
      <c r="H42">
        <v>3</v>
      </c>
      <c r="N42" s="7">
        <v>236</v>
      </c>
      <c r="O42" s="7">
        <v>168</v>
      </c>
    </row>
    <row r="43" spans="1:15" x14ac:dyDescent="0.2">
      <c r="A43">
        <v>42</v>
      </c>
      <c r="B43" s="1">
        <v>40737</v>
      </c>
      <c r="C43" t="s">
        <v>24</v>
      </c>
      <c r="D43" s="7">
        <v>1</v>
      </c>
      <c r="E43" s="7">
        <v>1</v>
      </c>
      <c r="F43" s="7">
        <f t="shared" si="1"/>
        <v>4</v>
      </c>
      <c r="G43" s="7" t="str">
        <f>LOOKUP(H43,[1]startdates!$A$2:$A$10,[1]startdates!$B$2:$B$10)</f>
        <v>C</v>
      </c>
      <c r="H43">
        <v>3</v>
      </c>
      <c r="N43" s="7">
        <v>232</v>
      </c>
      <c r="O43" s="7">
        <v>147</v>
      </c>
    </row>
    <row r="44" spans="1:15" x14ac:dyDescent="0.2">
      <c r="A44">
        <v>43</v>
      </c>
      <c r="B44" s="1">
        <v>40737</v>
      </c>
      <c r="C44" t="s">
        <v>24</v>
      </c>
      <c r="D44" s="7">
        <v>1</v>
      </c>
      <c r="E44" s="7">
        <v>1</v>
      </c>
      <c r="F44" s="7">
        <f t="shared" si="1"/>
        <v>4</v>
      </c>
      <c r="G44" s="7" t="str">
        <f>LOOKUP(H44,[1]startdates!$A$2:$A$10,[1]startdates!$B$2:$B$10)</f>
        <v>C</v>
      </c>
      <c r="H44">
        <v>3</v>
      </c>
      <c r="N44" s="7">
        <v>229</v>
      </c>
      <c r="O44" s="7">
        <v>140</v>
      </c>
    </row>
    <row r="45" spans="1:15" x14ac:dyDescent="0.2">
      <c r="A45">
        <v>44</v>
      </c>
      <c r="B45" s="1">
        <v>40737</v>
      </c>
      <c r="C45" t="s">
        <v>24</v>
      </c>
      <c r="D45" s="7">
        <v>1</v>
      </c>
      <c r="E45" s="7">
        <v>1</v>
      </c>
      <c r="F45" s="7">
        <f t="shared" si="1"/>
        <v>4</v>
      </c>
      <c r="G45" s="7" t="str">
        <f>LOOKUP(H45,[1]startdates!$A$2:$A$10,[1]startdates!$B$2:$B$10)</f>
        <v>C</v>
      </c>
      <c r="H45">
        <v>3</v>
      </c>
      <c r="N45" s="7">
        <v>198</v>
      </c>
      <c r="O45" s="7">
        <v>159</v>
      </c>
    </row>
    <row r="46" spans="1:15" x14ac:dyDescent="0.2">
      <c r="A46">
        <v>45</v>
      </c>
      <c r="B46" s="1">
        <v>40737</v>
      </c>
      <c r="C46" t="s">
        <v>24</v>
      </c>
      <c r="D46" s="7">
        <v>1</v>
      </c>
      <c r="E46" s="7">
        <v>1</v>
      </c>
      <c r="F46" s="7">
        <f t="shared" si="1"/>
        <v>4</v>
      </c>
      <c r="G46" s="7" t="str">
        <f>LOOKUP(H46,[1]startdates!$A$2:$A$10,[1]startdates!$B$2:$B$10)</f>
        <v>C</v>
      </c>
      <c r="H46">
        <v>3</v>
      </c>
      <c r="N46" s="7">
        <v>231</v>
      </c>
      <c r="O46" s="7">
        <v>162</v>
      </c>
    </row>
    <row r="47" spans="1:15" x14ac:dyDescent="0.2">
      <c r="A47">
        <v>46</v>
      </c>
      <c r="B47" s="1">
        <v>40737</v>
      </c>
      <c r="C47" t="s">
        <v>24</v>
      </c>
      <c r="D47" s="7">
        <v>1</v>
      </c>
      <c r="E47" s="7">
        <v>1</v>
      </c>
      <c r="F47" s="7">
        <f t="shared" si="1"/>
        <v>4</v>
      </c>
      <c r="G47" s="7" t="str">
        <f>LOOKUP(H47,[1]startdates!$A$2:$A$10,[1]startdates!$B$2:$B$10)</f>
        <v>C</v>
      </c>
      <c r="H47">
        <v>3</v>
      </c>
      <c r="N47" s="7">
        <v>196</v>
      </c>
      <c r="O47" s="7">
        <v>160</v>
      </c>
    </row>
    <row r="48" spans="1:15" x14ac:dyDescent="0.2">
      <c r="A48">
        <v>47</v>
      </c>
      <c r="B48" s="1">
        <v>40737</v>
      </c>
      <c r="C48" t="s">
        <v>24</v>
      </c>
      <c r="D48" s="7">
        <v>1</v>
      </c>
      <c r="E48" s="7">
        <v>1</v>
      </c>
      <c r="F48" s="7">
        <f t="shared" si="1"/>
        <v>4</v>
      </c>
      <c r="G48" s="7" t="str">
        <f>LOOKUP(H48,[1]startdates!$A$2:$A$10,[1]startdates!$B$2:$B$10)</f>
        <v>C</v>
      </c>
      <c r="H48">
        <v>3</v>
      </c>
      <c r="N48" s="7">
        <v>218</v>
      </c>
      <c r="O48" s="7">
        <v>167</v>
      </c>
    </row>
    <row r="49" spans="1:15" x14ac:dyDescent="0.2">
      <c r="A49">
        <v>48</v>
      </c>
      <c r="B49" s="1">
        <v>40737</v>
      </c>
      <c r="C49" t="s">
        <v>24</v>
      </c>
      <c r="D49" s="7">
        <v>1</v>
      </c>
      <c r="E49" s="7">
        <v>1</v>
      </c>
      <c r="F49" s="7">
        <f t="shared" si="1"/>
        <v>4</v>
      </c>
      <c r="G49" s="7" t="str">
        <f>LOOKUP(H49,[1]startdates!$A$2:$A$10,[1]startdates!$B$2:$B$10)</f>
        <v>C</v>
      </c>
      <c r="H49">
        <v>3</v>
      </c>
      <c r="N49" s="7">
        <v>271</v>
      </c>
    </row>
    <row r="50" spans="1:15" x14ac:dyDescent="0.2">
      <c r="A50">
        <v>49</v>
      </c>
      <c r="B50" s="1">
        <v>40737</v>
      </c>
      <c r="C50" t="s">
        <v>24</v>
      </c>
      <c r="D50" s="7">
        <v>1</v>
      </c>
      <c r="E50" s="7">
        <v>1</v>
      </c>
      <c r="F50" s="7">
        <f t="shared" si="1"/>
        <v>4</v>
      </c>
      <c r="G50" s="7" t="str">
        <f>LOOKUP(H50,[1]startdates!$A$2:$A$10,[1]startdates!$B$2:$B$10)</f>
        <v>C</v>
      </c>
      <c r="H50">
        <v>3</v>
      </c>
      <c r="N50" s="7">
        <v>153</v>
      </c>
    </row>
    <row r="51" spans="1:15" x14ac:dyDescent="0.2">
      <c r="A51">
        <v>50</v>
      </c>
      <c r="B51" s="1">
        <v>40737</v>
      </c>
      <c r="C51" t="s">
        <v>24</v>
      </c>
      <c r="D51" s="7">
        <v>1</v>
      </c>
      <c r="E51" s="7">
        <v>1</v>
      </c>
      <c r="F51" s="7">
        <f t="shared" si="1"/>
        <v>4</v>
      </c>
      <c r="G51" s="7" t="str">
        <f>LOOKUP(H51,[1]startdates!$A$2:$A$10,[1]startdates!$B$2:$B$10)</f>
        <v>C</v>
      </c>
      <c r="H51">
        <v>3</v>
      </c>
      <c r="N51" s="7">
        <v>248</v>
      </c>
    </row>
    <row r="52" spans="1:15" x14ac:dyDescent="0.2">
      <c r="A52">
        <v>51</v>
      </c>
      <c r="B52" s="1">
        <v>40737</v>
      </c>
      <c r="C52" t="s">
        <v>24</v>
      </c>
      <c r="D52" s="7">
        <v>1</v>
      </c>
      <c r="E52" s="7">
        <v>1</v>
      </c>
      <c r="F52" s="7">
        <f t="shared" si="1"/>
        <v>4</v>
      </c>
      <c r="G52" s="7" t="str">
        <f>LOOKUP(H52,[1]startdates!$A$2:$A$10,[1]startdates!$B$2:$B$10)</f>
        <v>SMr</v>
      </c>
      <c r="H52">
        <v>4</v>
      </c>
      <c r="I52" s="7">
        <v>729</v>
      </c>
      <c r="K52" s="7">
        <v>651</v>
      </c>
      <c r="N52" s="7">
        <v>193</v>
      </c>
      <c r="O52" s="7">
        <v>156</v>
      </c>
    </row>
    <row r="53" spans="1:15" x14ac:dyDescent="0.2">
      <c r="A53">
        <v>52</v>
      </c>
      <c r="B53" s="1">
        <v>40737</v>
      </c>
      <c r="C53" t="s">
        <v>24</v>
      </c>
      <c r="D53" s="7">
        <v>1</v>
      </c>
      <c r="E53" s="7">
        <v>1</v>
      </c>
      <c r="F53" s="7">
        <f t="shared" si="1"/>
        <v>4</v>
      </c>
      <c r="G53" s="7" t="str">
        <f>LOOKUP(H53,[1]startdates!$A$2:$A$10,[1]startdates!$B$2:$B$10)</f>
        <v>SMr</v>
      </c>
      <c r="H53">
        <v>4</v>
      </c>
      <c r="I53" s="7">
        <v>825</v>
      </c>
      <c r="K53" s="7">
        <v>738</v>
      </c>
      <c r="N53" s="7">
        <v>206</v>
      </c>
      <c r="O53" s="7">
        <v>172</v>
      </c>
    </row>
    <row r="54" spans="1:15" x14ac:dyDescent="0.2">
      <c r="A54">
        <v>53</v>
      </c>
      <c r="B54" s="1">
        <v>40737</v>
      </c>
      <c r="C54" t="s">
        <v>24</v>
      </c>
      <c r="D54" s="7">
        <v>1</v>
      </c>
      <c r="E54" s="7">
        <v>1</v>
      </c>
      <c r="F54" s="7">
        <f t="shared" si="1"/>
        <v>4</v>
      </c>
      <c r="G54" s="7" t="str">
        <f>LOOKUP(H54,[1]startdates!$A$2:$A$10,[1]startdates!$B$2:$B$10)</f>
        <v>SMr</v>
      </c>
      <c r="H54">
        <v>4</v>
      </c>
      <c r="I54" s="7">
        <v>874</v>
      </c>
      <c r="N54" s="7">
        <v>171</v>
      </c>
      <c r="O54" s="7">
        <v>174</v>
      </c>
    </row>
    <row r="55" spans="1:15" x14ac:dyDescent="0.2">
      <c r="A55">
        <v>54</v>
      </c>
      <c r="B55" s="1">
        <v>40737</v>
      </c>
      <c r="C55" t="s">
        <v>24</v>
      </c>
      <c r="D55" s="7">
        <v>1</v>
      </c>
      <c r="E55" s="7">
        <v>1</v>
      </c>
      <c r="F55" s="7">
        <f t="shared" si="1"/>
        <v>4</v>
      </c>
      <c r="G55" s="7" t="str">
        <f>LOOKUP(H55,[1]startdates!$A$2:$A$10,[1]startdates!$B$2:$B$10)</f>
        <v>SMr</v>
      </c>
      <c r="H55">
        <v>4</v>
      </c>
      <c r="I55" s="7">
        <v>904</v>
      </c>
      <c r="N55" s="7">
        <v>187</v>
      </c>
      <c r="O55" s="7">
        <v>184</v>
      </c>
    </row>
    <row r="56" spans="1:15" x14ac:dyDescent="0.2">
      <c r="A56">
        <v>55</v>
      </c>
      <c r="B56" s="1">
        <v>40737</v>
      </c>
      <c r="C56" t="s">
        <v>24</v>
      </c>
      <c r="D56" s="7">
        <v>1</v>
      </c>
      <c r="E56" s="7">
        <v>1</v>
      </c>
      <c r="F56" s="7">
        <f t="shared" si="1"/>
        <v>4</v>
      </c>
      <c r="G56" s="7" t="str">
        <f>LOOKUP(H56,[1]startdates!$A$2:$A$10,[1]startdates!$B$2:$B$10)</f>
        <v>SMr</v>
      </c>
      <c r="H56">
        <v>4</v>
      </c>
      <c r="I56" s="7">
        <v>839</v>
      </c>
      <c r="N56" s="7">
        <v>188</v>
      </c>
    </row>
    <row r="57" spans="1:15" x14ac:dyDescent="0.2">
      <c r="A57">
        <v>56</v>
      </c>
      <c r="B57" s="1">
        <v>40737</v>
      </c>
      <c r="C57" t="s">
        <v>24</v>
      </c>
      <c r="D57" s="7">
        <v>1</v>
      </c>
      <c r="E57" s="7">
        <v>1</v>
      </c>
      <c r="F57" s="7">
        <f t="shared" si="1"/>
        <v>4</v>
      </c>
      <c r="G57" s="7" t="str">
        <f>LOOKUP(H57,[1]startdates!$A$2:$A$10,[1]startdates!$B$2:$B$10)</f>
        <v>SMr</v>
      </c>
      <c r="H57">
        <v>4</v>
      </c>
      <c r="I57" s="7">
        <v>813</v>
      </c>
      <c r="N57" s="7">
        <v>167</v>
      </c>
    </row>
    <row r="58" spans="1:15" x14ac:dyDescent="0.2">
      <c r="A58">
        <v>57</v>
      </c>
      <c r="B58" s="1">
        <v>40737</v>
      </c>
      <c r="C58" t="s">
        <v>24</v>
      </c>
      <c r="D58" s="7">
        <v>1</v>
      </c>
      <c r="E58" s="7">
        <v>1</v>
      </c>
      <c r="F58" s="7">
        <f t="shared" si="1"/>
        <v>4</v>
      </c>
      <c r="G58" s="7" t="str">
        <f>LOOKUP(H58,[1]startdates!$A$2:$A$10,[1]startdates!$B$2:$B$10)</f>
        <v>SMr</v>
      </c>
      <c r="H58">
        <v>4</v>
      </c>
      <c r="I58" s="7">
        <v>880</v>
      </c>
      <c r="N58" s="7">
        <v>213</v>
      </c>
    </row>
    <row r="59" spans="1:15" x14ac:dyDescent="0.2">
      <c r="A59">
        <v>58</v>
      </c>
      <c r="B59" s="1">
        <v>40737</v>
      </c>
      <c r="C59" t="s">
        <v>24</v>
      </c>
      <c r="D59" s="7">
        <v>1</v>
      </c>
      <c r="E59" s="7">
        <v>1</v>
      </c>
      <c r="F59" s="7">
        <f t="shared" si="1"/>
        <v>4</v>
      </c>
      <c r="G59" s="7" t="str">
        <f>LOOKUP(H59,[1]startdates!$A$2:$A$10,[1]startdates!$B$2:$B$10)</f>
        <v>SMr</v>
      </c>
      <c r="H59">
        <v>4</v>
      </c>
      <c r="I59" s="7">
        <v>766</v>
      </c>
      <c r="N59" s="7">
        <v>208</v>
      </c>
    </row>
    <row r="60" spans="1:15" x14ac:dyDescent="0.2">
      <c r="A60">
        <v>59</v>
      </c>
      <c r="B60" s="1">
        <v>40737</v>
      </c>
      <c r="C60" t="s">
        <v>24</v>
      </c>
      <c r="D60" s="7">
        <v>1</v>
      </c>
      <c r="E60" s="7">
        <v>1</v>
      </c>
      <c r="F60" s="7">
        <f t="shared" si="1"/>
        <v>4</v>
      </c>
      <c r="G60" s="7" t="str">
        <f>LOOKUP(H60,[1]startdates!$A$2:$A$10,[1]startdates!$B$2:$B$10)</f>
        <v>SMr</v>
      </c>
      <c r="H60">
        <v>4</v>
      </c>
      <c r="N60" s="7">
        <v>184</v>
      </c>
    </row>
    <row r="61" spans="1:15" x14ac:dyDescent="0.2">
      <c r="A61">
        <v>60</v>
      </c>
      <c r="B61" s="1">
        <v>40737</v>
      </c>
      <c r="C61" t="s">
        <v>24</v>
      </c>
      <c r="D61" s="7">
        <v>1</v>
      </c>
      <c r="E61" s="7">
        <v>1</v>
      </c>
      <c r="F61" s="7">
        <f t="shared" si="1"/>
        <v>4</v>
      </c>
      <c r="G61" s="7" t="str">
        <f>LOOKUP(H61,[1]startdates!$A$2:$A$10,[1]startdates!$B$2:$B$10)</f>
        <v>SMr</v>
      </c>
      <c r="H61">
        <v>4</v>
      </c>
      <c r="N61" s="7">
        <v>201</v>
      </c>
    </row>
    <row r="62" spans="1:15" x14ac:dyDescent="0.2">
      <c r="A62">
        <v>61</v>
      </c>
      <c r="B62" s="1">
        <v>40737</v>
      </c>
      <c r="C62" t="s">
        <v>24</v>
      </c>
      <c r="D62" s="7">
        <v>1</v>
      </c>
      <c r="E62" s="7">
        <v>1</v>
      </c>
      <c r="F62" s="7">
        <f t="shared" si="1"/>
        <v>4</v>
      </c>
      <c r="G62" s="7" t="str">
        <f>LOOKUP(H62,[1]startdates!$A$2:$A$10,[1]startdates!$B$2:$B$10)</f>
        <v>C</v>
      </c>
      <c r="H62">
        <v>5</v>
      </c>
      <c r="I62" s="7">
        <v>711</v>
      </c>
      <c r="J62" s="7">
        <v>685</v>
      </c>
      <c r="N62" s="7">
        <v>242</v>
      </c>
      <c r="O62" s="7">
        <v>138</v>
      </c>
    </row>
    <row r="63" spans="1:15" x14ac:dyDescent="0.2">
      <c r="A63">
        <v>62</v>
      </c>
      <c r="B63" s="1">
        <v>40737</v>
      </c>
      <c r="C63" t="s">
        <v>24</v>
      </c>
      <c r="D63" s="7">
        <v>1</v>
      </c>
      <c r="E63" s="7">
        <v>1</v>
      </c>
      <c r="F63" s="7">
        <f t="shared" si="1"/>
        <v>4</v>
      </c>
      <c r="G63" s="7" t="str">
        <f>LOOKUP(H63,[1]startdates!$A$2:$A$10,[1]startdates!$B$2:$B$10)</f>
        <v>C</v>
      </c>
      <c r="H63">
        <v>5</v>
      </c>
      <c r="I63" s="7">
        <v>767</v>
      </c>
      <c r="J63" s="7">
        <v>682</v>
      </c>
      <c r="N63" s="7">
        <v>238</v>
      </c>
      <c r="O63" s="7">
        <v>155</v>
      </c>
    </row>
    <row r="64" spans="1:15" x14ac:dyDescent="0.2">
      <c r="A64">
        <v>63</v>
      </c>
      <c r="B64" s="1">
        <v>40737</v>
      </c>
      <c r="C64" t="s">
        <v>24</v>
      </c>
      <c r="D64" s="7">
        <v>1</v>
      </c>
      <c r="E64" s="7">
        <v>1</v>
      </c>
      <c r="F64" s="7">
        <f t="shared" si="1"/>
        <v>4</v>
      </c>
      <c r="G64" s="7" t="str">
        <f>LOOKUP(H64,[1]startdates!$A$2:$A$10,[1]startdates!$B$2:$B$10)</f>
        <v>C</v>
      </c>
      <c r="H64">
        <v>5</v>
      </c>
      <c r="I64" s="7">
        <v>824</v>
      </c>
      <c r="J64" s="7">
        <v>521</v>
      </c>
      <c r="N64" s="7">
        <v>195</v>
      </c>
      <c r="O64" s="7">
        <v>156</v>
      </c>
    </row>
    <row r="65" spans="1:15" x14ac:dyDescent="0.2">
      <c r="A65">
        <v>64</v>
      </c>
      <c r="B65" s="1">
        <v>40737</v>
      </c>
      <c r="C65" t="s">
        <v>24</v>
      </c>
      <c r="D65" s="7">
        <v>1</v>
      </c>
      <c r="E65" s="7">
        <v>1</v>
      </c>
      <c r="F65" s="7">
        <f t="shared" si="1"/>
        <v>4</v>
      </c>
      <c r="G65" s="7" t="str">
        <f>LOOKUP(H65,[1]startdates!$A$2:$A$10,[1]startdates!$B$2:$B$10)</f>
        <v>C</v>
      </c>
      <c r="H65">
        <v>5</v>
      </c>
      <c r="I65" s="7">
        <v>802</v>
      </c>
      <c r="N65" s="7">
        <v>215</v>
      </c>
      <c r="O65" s="7">
        <v>147</v>
      </c>
    </row>
    <row r="66" spans="1:15" x14ac:dyDescent="0.2">
      <c r="A66">
        <v>65</v>
      </c>
      <c r="B66" s="1">
        <v>40737</v>
      </c>
      <c r="C66" t="s">
        <v>24</v>
      </c>
      <c r="D66" s="7">
        <v>1</v>
      </c>
      <c r="E66" s="7">
        <v>1</v>
      </c>
      <c r="F66" s="7">
        <f t="shared" si="1"/>
        <v>4</v>
      </c>
      <c r="G66" s="7" t="str">
        <f>LOOKUP(H66,[1]startdates!$A$2:$A$10,[1]startdates!$B$2:$B$10)</f>
        <v>C</v>
      </c>
      <c r="H66">
        <v>5</v>
      </c>
      <c r="I66" s="7">
        <v>780</v>
      </c>
      <c r="N66" s="7">
        <v>231</v>
      </c>
      <c r="O66" s="7">
        <v>172</v>
      </c>
    </row>
    <row r="67" spans="1:15" x14ac:dyDescent="0.2">
      <c r="A67">
        <v>66</v>
      </c>
      <c r="B67" s="1">
        <v>40737</v>
      </c>
      <c r="C67" t="s">
        <v>24</v>
      </c>
      <c r="D67" s="7">
        <v>1</v>
      </c>
      <c r="E67" s="7">
        <v>1</v>
      </c>
      <c r="F67" s="7">
        <f t="shared" si="1"/>
        <v>4</v>
      </c>
      <c r="G67" s="7" t="str">
        <f>LOOKUP(H67,[1]startdates!$A$2:$A$10,[1]startdates!$B$2:$B$10)</f>
        <v>C</v>
      </c>
      <c r="H67">
        <v>5</v>
      </c>
      <c r="I67" s="7">
        <v>800</v>
      </c>
      <c r="N67" s="7">
        <v>244</v>
      </c>
    </row>
    <row r="68" spans="1:15" x14ac:dyDescent="0.2">
      <c r="A68">
        <v>67</v>
      </c>
      <c r="B68" s="1">
        <v>40737</v>
      </c>
      <c r="C68" t="s">
        <v>24</v>
      </c>
      <c r="D68" s="7">
        <v>1</v>
      </c>
      <c r="E68" s="7">
        <v>1</v>
      </c>
      <c r="F68" s="7">
        <f t="shared" si="1"/>
        <v>4</v>
      </c>
      <c r="G68" s="7" t="str">
        <f>LOOKUP(H68,[1]startdates!$A$2:$A$10,[1]startdates!$B$2:$B$10)</f>
        <v>C</v>
      </c>
      <c r="H68">
        <v>5</v>
      </c>
      <c r="I68" s="7">
        <v>697</v>
      </c>
      <c r="N68" s="7">
        <v>198</v>
      </c>
    </row>
    <row r="69" spans="1:15" x14ac:dyDescent="0.2">
      <c r="A69">
        <v>68</v>
      </c>
      <c r="B69" s="1">
        <v>40737</v>
      </c>
      <c r="C69" t="s">
        <v>24</v>
      </c>
      <c r="D69" s="7">
        <v>1</v>
      </c>
      <c r="E69" s="7">
        <v>1</v>
      </c>
      <c r="F69" s="7">
        <f t="shared" si="1"/>
        <v>4</v>
      </c>
      <c r="G69" s="7" t="str">
        <f>LOOKUP(H69,[1]startdates!$A$2:$A$10,[1]startdates!$B$2:$B$10)</f>
        <v>C</v>
      </c>
      <c r="H69">
        <v>5</v>
      </c>
      <c r="I69" s="7">
        <v>715</v>
      </c>
      <c r="N69" s="7">
        <v>165</v>
      </c>
    </row>
    <row r="70" spans="1:15" x14ac:dyDescent="0.2">
      <c r="A70">
        <v>69</v>
      </c>
      <c r="B70" s="1">
        <v>40737</v>
      </c>
      <c r="C70" t="s">
        <v>24</v>
      </c>
      <c r="D70" s="7">
        <v>1</v>
      </c>
      <c r="E70" s="7">
        <v>1</v>
      </c>
      <c r="F70" s="7">
        <f t="shared" si="1"/>
        <v>4</v>
      </c>
      <c r="G70" s="7" t="str">
        <f>LOOKUP(H70,[1]startdates!$A$2:$A$10,[1]startdates!$B$2:$B$10)</f>
        <v>C</v>
      </c>
      <c r="H70">
        <v>5</v>
      </c>
      <c r="I70" s="7">
        <v>562</v>
      </c>
      <c r="N70" s="7">
        <v>188</v>
      </c>
    </row>
    <row r="71" spans="1:15" x14ac:dyDescent="0.2">
      <c r="A71">
        <v>70</v>
      </c>
      <c r="B71" s="1">
        <v>40737</v>
      </c>
      <c r="C71" t="s">
        <v>24</v>
      </c>
      <c r="D71" s="7">
        <v>1</v>
      </c>
      <c r="E71" s="7">
        <v>1</v>
      </c>
      <c r="F71" s="7">
        <f t="shared" si="1"/>
        <v>4</v>
      </c>
      <c r="G71" s="7" t="str">
        <f>LOOKUP(H71,[1]startdates!$A$2:$A$10,[1]startdates!$B$2:$B$10)</f>
        <v>C</v>
      </c>
      <c r="H71">
        <v>5</v>
      </c>
      <c r="I71" s="7">
        <v>781</v>
      </c>
      <c r="N71" s="7">
        <v>191</v>
      </c>
    </row>
    <row r="72" spans="1:15" x14ac:dyDescent="0.2">
      <c r="A72">
        <v>71</v>
      </c>
      <c r="B72" s="1">
        <v>40737</v>
      </c>
      <c r="C72" t="s">
        <v>24</v>
      </c>
      <c r="D72" s="7">
        <v>1</v>
      </c>
      <c r="E72" s="7">
        <v>1</v>
      </c>
      <c r="F72" s="7">
        <f t="shared" si="1"/>
        <v>4</v>
      </c>
      <c r="G72" s="7" t="str">
        <f>LOOKUP(H72,[1]startdates!$A$2:$A$10,[1]startdates!$B$2:$B$10)</f>
        <v>C</v>
      </c>
      <c r="H72">
        <v>5</v>
      </c>
      <c r="I72" s="7">
        <v>825</v>
      </c>
    </row>
    <row r="73" spans="1:15" x14ac:dyDescent="0.2">
      <c r="A73">
        <v>72</v>
      </c>
      <c r="B73" s="1">
        <v>40737</v>
      </c>
      <c r="C73" t="s">
        <v>24</v>
      </c>
      <c r="D73" s="7">
        <v>1</v>
      </c>
      <c r="E73" s="7">
        <v>1</v>
      </c>
      <c r="F73" s="7">
        <f t="shared" si="1"/>
        <v>4</v>
      </c>
      <c r="G73" s="7" t="str">
        <f>LOOKUP(H73,[1]startdates!$A$2:$A$10,[1]startdates!$B$2:$B$10)</f>
        <v>C</v>
      </c>
      <c r="H73">
        <v>5</v>
      </c>
      <c r="I73" s="7">
        <v>704</v>
      </c>
      <c r="J73" s="7">
        <v>545</v>
      </c>
      <c r="K73" s="7">
        <v>652</v>
      </c>
      <c r="N73" s="7">
        <v>220</v>
      </c>
      <c r="O73" s="7">
        <v>164</v>
      </c>
    </row>
    <row r="74" spans="1:15" x14ac:dyDescent="0.2">
      <c r="A74">
        <v>73</v>
      </c>
      <c r="B74" s="1">
        <v>40737</v>
      </c>
      <c r="C74" t="s">
        <v>24</v>
      </c>
      <c r="D74" s="7">
        <v>1</v>
      </c>
      <c r="E74" s="7">
        <v>1</v>
      </c>
      <c r="F74" s="7">
        <f t="shared" si="1"/>
        <v>4</v>
      </c>
      <c r="G74" s="7" t="str">
        <f>LOOKUP(H74,[1]startdates!$A$2:$A$10,[1]startdates!$B$2:$B$10)</f>
        <v>FMr</v>
      </c>
      <c r="H74">
        <v>6</v>
      </c>
      <c r="I74" s="7">
        <v>783</v>
      </c>
      <c r="J74" s="7">
        <v>591</v>
      </c>
      <c r="K74" s="7">
        <v>706</v>
      </c>
      <c r="N74" s="7">
        <v>208</v>
      </c>
      <c r="O74" s="7">
        <v>159</v>
      </c>
    </row>
    <row r="75" spans="1:15" x14ac:dyDescent="0.2">
      <c r="A75">
        <v>74</v>
      </c>
      <c r="B75" s="1">
        <v>40737</v>
      </c>
      <c r="C75" t="s">
        <v>24</v>
      </c>
      <c r="D75" s="7">
        <v>1</v>
      </c>
      <c r="E75" s="7">
        <v>1</v>
      </c>
      <c r="F75" s="7">
        <f t="shared" si="1"/>
        <v>4</v>
      </c>
      <c r="G75" s="7" t="str">
        <f>LOOKUP(H75,[1]startdates!$A$2:$A$10,[1]startdates!$B$2:$B$10)</f>
        <v>FMr</v>
      </c>
      <c r="H75">
        <v>6</v>
      </c>
      <c r="I75" s="7">
        <v>769</v>
      </c>
      <c r="K75" s="7">
        <v>573</v>
      </c>
      <c r="N75" s="7">
        <v>220</v>
      </c>
      <c r="O75" s="7">
        <v>170</v>
      </c>
    </row>
    <row r="76" spans="1:15" x14ac:dyDescent="0.2">
      <c r="A76">
        <v>75</v>
      </c>
      <c r="B76" s="1">
        <v>40737</v>
      </c>
      <c r="C76" t="s">
        <v>24</v>
      </c>
      <c r="D76" s="7">
        <v>1</v>
      </c>
      <c r="E76" s="7">
        <v>1</v>
      </c>
      <c r="F76" s="7">
        <f t="shared" si="1"/>
        <v>4</v>
      </c>
      <c r="G76" s="7" t="str">
        <f>LOOKUP(H76,[1]startdates!$A$2:$A$10,[1]startdates!$B$2:$B$10)</f>
        <v>FMr</v>
      </c>
      <c r="H76">
        <v>6</v>
      </c>
      <c r="I76" s="7">
        <v>761</v>
      </c>
      <c r="K76" s="7">
        <v>717</v>
      </c>
      <c r="N76" s="7">
        <v>183</v>
      </c>
      <c r="O76" s="7">
        <v>140</v>
      </c>
    </row>
    <row r="77" spans="1:15" x14ac:dyDescent="0.2">
      <c r="A77">
        <v>76</v>
      </c>
      <c r="B77" s="1">
        <v>40737</v>
      </c>
      <c r="C77" t="s">
        <v>24</v>
      </c>
      <c r="D77" s="7">
        <v>1</v>
      </c>
      <c r="E77" s="7">
        <v>1</v>
      </c>
      <c r="F77" s="7">
        <f t="shared" si="1"/>
        <v>4</v>
      </c>
      <c r="G77" s="7" t="str">
        <f>LOOKUP(H77,[1]startdates!$A$2:$A$10,[1]startdates!$B$2:$B$10)</f>
        <v>FMr</v>
      </c>
      <c r="H77">
        <v>6</v>
      </c>
      <c r="I77" s="7">
        <v>864</v>
      </c>
      <c r="K77" s="7">
        <v>660</v>
      </c>
      <c r="N77" s="7">
        <v>234</v>
      </c>
      <c r="O77" s="7">
        <v>152</v>
      </c>
    </row>
    <row r="78" spans="1:15" x14ac:dyDescent="0.2">
      <c r="A78">
        <v>77</v>
      </c>
      <c r="B78" s="1">
        <v>40737</v>
      </c>
      <c r="C78" t="s">
        <v>24</v>
      </c>
      <c r="D78" s="7">
        <v>1</v>
      </c>
      <c r="E78" s="7">
        <v>1</v>
      </c>
      <c r="F78" s="7">
        <f t="shared" si="1"/>
        <v>4</v>
      </c>
      <c r="G78" s="7" t="str">
        <f>LOOKUP(H78,[1]startdates!$A$2:$A$10,[1]startdates!$B$2:$B$10)</f>
        <v>FMr</v>
      </c>
      <c r="H78">
        <v>6</v>
      </c>
      <c r="I78" s="7">
        <v>810</v>
      </c>
      <c r="O78" s="7">
        <v>154</v>
      </c>
    </row>
    <row r="79" spans="1:15" x14ac:dyDescent="0.2">
      <c r="A79">
        <v>78</v>
      </c>
      <c r="B79" s="1">
        <v>40737</v>
      </c>
      <c r="C79" t="s">
        <v>24</v>
      </c>
      <c r="D79" s="7">
        <v>1</v>
      </c>
      <c r="E79" s="7">
        <v>1</v>
      </c>
      <c r="F79" s="7">
        <f t="shared" si="1"/>
        <v>4</v>
      </c>
      <c r="G79" s="7" t="str">
        <f>LOOKUP(H79,[1]startdates!$A$2:$A$10,[1]startdates!$B$2:$B$10)</f>
        <v>FMr</v>
      </c>
      <c r="H79">
        <v>6</v>
      </c>
      <c r="I79" s="7">
        <v>639</v>
      </c>
      <c r="O79" s="7">
        <v>168</v>
      </c>
    </row>
    <row r="80" spans="1:15" x14ac:dyDescent="0.2">
      <c r="A80">
        <v>79</v>
      </c>
      <c r="B80" s="1">
        <v>40737</v>
      </c>
      <c r="C80" t="s">
        <v>24</v>
      </c>
      <c r="D80" s="7">
        <v>1</v>
      </c>
      <c r="E80" s="7">
        <v>1</v>
      </c>
      <c r="F80" s="7">
        <f t="shared" si="1"/>
        <v>4</v>
      </c>
      <c r="G80" s="7" t="str">
        <f>LOOKUP(H80,[1]startdates!$A$2:$A$10,[1]startdates!$B$2:$B$10)</f>
        <v>FMr</v>
      </c>
      <c r="H80">
        <v>6</v>
      </c>
      <c r="I80" s="7">
        <v>749</v>
      </c>
      <c r="O80" s="7">
        <v>164</v>
      </c>
    </row>
    <row r="81" spans="1:15" x14ac:dyDescent="0.2">
      <c r="A81">
        <v>80</v>
      </c>
      <c r="B81" s="1">
        <v>40737</v>
      </c>
      <c r="C81" t="s">
        <v>24</v>
      </c>
      <c r="D81" s="7">
        <v>1</v>
      </c>
      <c r="E81" s="7">
        <v>1</v>
      </c>
      <c r="F81" s="7">
        <f t="shared" si="1"/>
        <v>4</v>
      </c>
      <c r="G81" s="7" t="str">
        <f>LOOKUP(H81,[1]startdates!$A$2:$A$10,[1]startdates!$B$2:$B$10)</f>
        <v>FMr</v>
      </c>
      <c r="H81">
        <v>6</v>
      </c>
      <c r="I81" s="7">
        <v>839</v>
      </c>
      <c r="O81" s="7">
        <v>167</v>
      </c>
    </row>
    <row r="82" spans="1:15" x14ac:dyDescent="0.2">
      <c r="A82">
        <v>81</v>
      </c>
      <c r="B82" s="1">
        <v>40737</v>
      </c>
      <c r="C82" t="s">
        <v>24</v>
      </c>
      <c r="D82" s="7">
        <v>1</v>
      </c>
      <c r="E82" s="7">
        <v>1</v>
      </c>
      <c r="F82" s="7">
        <f t="shared" si="1"/>
        <v>4</v>
      </c>
      <c r="G82" s="7" t="str">
        <f>LOOKUP(H82,[1]startdates!$A$2:$A$10,[1]startdates!$B$2:$B$10)</f>
        <v>FMr</v>
      </c>
      <c r="H82">
        <v>6</v>
      </c>
      <c r="I82" s="7">
        <v>794</v>
      </c>
      <c r="O82" s="7">
        <v>167</v>
      </c>
    </row>
    <row r="83" spans="1:15" x14ac:dyDescent="0.2">
      <c r="A83">
        <v>82</v>
      </c>
      <c r="B83" s="1">
        <v>40737</v>
      </c>
      <c r="C83" t="s">
        <v>24</v>
      </c>
      <c r="D83" s="7">
        <v>1</v>
      </c>
      <c r="E83" s="7">
        <v>1</v>
      </c>
      <c r="F83" s="7">
        <f t="shared" si="1"/>
        <v>4</v>
      </c>
      <c r="G83" s="7" t="str">
        <f>LOOKUP(H83,[1]startdates!$A$2:$A$10,[1]startdates!$B$2:$B$10)</f>
        <v>FMr</v>
      </c>
      <c r="H83">
        <v>6</v>
      </c>
      <c r="I83" s="7">
        <v>699</v>
      </c>
      <c r="O83" s="7">
        <v>161</v>
      </c>
    </row>
    <row r="84" spans="1:15" x14ac:dyDescent="0.2">
      <c r="A84">
        <v>83</v>
      </c>
      <c r="B84" s="1">
        <v>40737</v>
      </c>
      <c r="C84" t="s">
        <v>24</v>
      </c>
      <c r="D84" s="7">
        <v>1</v>
      </c>
      <c r="E84" s="7">
        <v>1</v>
      </c>
      <c r="F84" s="7">
        <f t="shared" si="1"/>
        <v>4</v>
      </c>
      <c r="G84" s="7" t="str">
        <f>LOOKUP(H84,[1]startdates!$A$2:$A$10,[1]startdates!$B$2:$B$10)</f>
        <v>FMr</v>
      </c>
      <c r="H84">
        <v>6</v>
      </c>
      <c r="I84" s="7">
        <v>735</v>
      </c>
      <c r="O84" s="7">
        <v>155</v>
      </c>
    </row>
    <row r="85" spans="1:15" x14ac:dyDescent="0.2">
      <c r="A85">
        <v>84</v>
      </c>
      <c r="B85" s="1">
        <v>40737</v>
      </c>
      <c r="C85" t="s">
        <v>24</v>
      </c>
      <c r="D85" s="7">
        <v>1</v>
      </c>
      <c r="E85" s="7">
        <v>1</v>
      </c>
      <c r="F85" s="7">
        <f t="shared" si="1"/>
        <v>4</v>
      </c>
      <c r="G85" s="7" t="str">
        <f>LOOKUP(H85,[1]startdates!$A$2:$A$10,[1]startdates!$B$2:$B$10)</f>
        <v>FMr</v>
      </c>
      <c r="H85">
        <v>6</v>
      </c>
      <c r="I85" s="7">
        <v>780</v>
      </c>
      <c r="O85" s="7">
        <v>156</v>
      </c>
    </row>
    <row r="86" spans="1:15" x14ac:dyDescent="0.2">
      <c r="A86">
        <v>85</v>
      </c>
      <c r="B86" s="1">
        <v>40737</v>
      </c>
      <c r="C86" t="s">
        <v>24</v>
      </c>
      <c r="D86" s="7">
        <v>1</v>
      </c>
      <c r="E86" s="7">
        <v>1</v>
      </c>
      <c r="F86" s="7">
        <f t="shared" si="1"/>
        <v>4</v>
      </c>
      <c r="G86" s="7" t="str">
        <f>LOOKUP(H86,[1]startdates!$A$2:$A$10,[1]startdates!$B$2:$B$10)</f>
        <v>FMr</v>
      </c>
      <c r="H86">
        <v>6</v>
      </c>
      <c r="I86" s="7">
        <v>608</v>
      </c>
    </row>
    <row r="87" spans="1:15" x14ac:dyDescent="0.2">
      <c r="A87">
        <v>86</v>
      </c>
      <c r="B87" s="1">
        <v>40737</v>
      </c>
      <c r="C87" t="s">
        <v>24</v>
      </c>
      <c r="D87" s="7">
        <v>1</v>
      </c>
      <c r="E87" s="7">
        <v>1</v>
      </c>
      <c r="F87" s="7">
        <f t="shared" si="1"/>
        <v>4</v>
      </c>
      <c r="G87" s="7" t="str">
        <f>LOOKUP(H87,[1]startdates!$A$2:$A$10,[1]startdates!$B$2:$B$10)</f>
        <v>FMr</v>
      </c>
      <c r="H87">
        <v>7</v>
      </c>
      <c r="I87" s="7">
        <v>841</v>
      </c>
      <c r="J87" s="7">
        <v>604</v>
      </c>
      <c r="K87" s="7">
        <v>573</v>
      </c>
      <c r="N87" s="7">
        <v>189</v>
      </c>
      <c r="O87" s="7">
        <v>163</v>
      </c>
    </row>
    <row r="88" spans="1:15" x14ac:dyDescent="0.2">
      <c r="A88">
        <v>87</v>
      </c>
      <c r="B88" s="1">
        <v>40737</v>
      </c>
      <c r="C88" t="s">
        <v>24</v>
      </c>
      <c r="D88" s="7">
        <v>1</v>
      </c>
      <c r="E88" s="7">
        <v>1</v>
      </c>
      <c r="F88" s="7">
        <f t="shared" si="1"/>
        <v>4</v>
      </c>
      <c r="G88" s="7" t="str">
        <f>LOOKUP(H88,[1]startdates!$A$2:$A$10,[1]startdates!$B$2:$B$10)</f>
        <v>FMr</v>
      </c>
      <c r="H88">
        <v>7</v>
      </c>
      <c r="I88" s="7">
        <v>828</v>
      </c>
      <c r="J88" s="7">
        <v>586</v>
      </c>
      <c r="K88" s="7">
        <v>635</v>
      </c>
      <c r="N88" s="7">
        <v>170</v>
      </c>
      <c r="O88" s="7">
        <v>151</v>
      </c>
    </row>
    <row r="89" spans="1:15" x14ac:dyDescent="0.2">
      <c r="A89">
        <v>88</v>
      </c>
      <c r="B89" s="1">
        <v>40737</v>
      </c>
      <c r="C89" t="s">
        <v>24</v>
      </c>
      <c r="D89" s="7">
        <v>1</v>
      </c>
      <c r="E89" s="7">
        <v>1</v>
      </c>
      <c r="F89" s="7">
        <f t="shared" si="1"/>
        <v>4</v>
      </c>
      <c r="G89" s="7" t="str">
        <f>LOOKUP(H89,[1]startdates!$A$2:$A$10,[1]startdates!$B$2:$B$10)</f>
        <v>FMr</v>
      </c>
      <c r="H89">
        <v>7</v>
      </c>
      <c r="I89" s="7">
        <v>772</v>
      </c>
      <c r="J89" s="7">
        <v>707</v>
      </c>
      <c r="N89" s="7">
        <v>206</v>
      </c>
      <c r="O89" s="7">
        <v>182</v>
      </c>
    </row>
    <row r="90" spans="1:15" x14ac:dyDescent="0.2">
      <c r="A90">
        <v>89</v>
      </c>
      <c r="B90" s="1">
        <v>40737</v>
      </c>
      <c r="C90" t="s">
        <v>24</v>
      </c>
      <c r="D90" s="7">
        <v>1</v>
      </c>
      <c r="E90" s="7">
        <v>1</v>
      </c>
      <c r="F90" s="7">
        <f t="shared" si="1"/>
        <v>4</v>
      </c>
      <c r="G90" s="7" t="str">
        <f>LOOKUP(H90,[1]startdates!$A$2:$A$10,[1]startdates!$B$2:$B$10)</f>
        <v>FMr</v>
      </c>
      <c r="H90">
        <v>7</v>
      </c>
      <c r="I90" s="7">
        <v>547</v>
      </c>
      <c r="N90" s="7">
        <v>189</v>
      </c>
      <c r="O90" s="7">
        <v>161</v>
      </c>
    </row>
    <row r="91" spans="1:15" x14ac:dyDescent="0.2">
      <c r="A91">
        <v>90</v>
      </c>
      <c r="B91" s="1">
        <v>40737</v>
      </c>
      <c r="C91" t="s">
        <v>24</v>
      </c>
      <c r="D91" s="7">
        <v>1</v>
      </c>
      <c r="E91" s="7">
        <v>1</v>
      </c>
      <c r="F91" s="7">
        <f t="shared" si="1"/>
        <v>4</v>
      </c>
      <c r="G91" s="7" t="str">
        <f>LOOKUP(H91,[1]startdates!$A$2:$A$10,[1]startdates!$B$2:$B$10)</f>
        <v>FMr</v>
      </c>
      <c r="H91">
        <v>7</v>
      </c>
      <c r="I91" s="7">
        <v>859</v>
      </c>
      <c r="N91" s="7">
        <v>170</v>
      </c>
      <c r="O91" s="7">
        <v>162</v>
      </c>
    </row>
    <row r="92" spans="1:15" x14ac:dyDescent="0.2">
      <c r="A92">
        <v>91</v>
      </c>
      <c r="B92" s="1">
        <v>40737</v>
      </c>
      <c r="C92" t="s">
        <v>24</v>
      </c>
      <c r="D92" s="7">
        <v>1</v>
      </c>
      <c r="E92" s="7">
        <v>1</v>
      </c>
      <c r="F92" s="7">
        <f t="shared" si="1"/>
        <v>4</v>
      </c>
      <c r="G92" s="7" t="str">
        <f>LOOKUP(H92,[1]startdates!$A$2:$A$10,[1]startdates!$B$2:$B$10)</f>
        <v>FMr</v>
      </c>
      <c r="H92">
        <v>7</v>
      </c>
      <c r="I92" s="7">
        <v>695</v>
      </c>
      <c r="N92" s="7">
        <v>206</v>
      </c>
      <c r="O92" s="7">
        <v>163</v>
      </c>
    </row>
    <row r="93" spans="1:15" x14ac:dyDescent="0.2">
      <c r="A93">
        <v>92</v>
      </c>
      <c r="B93" s="1">
        <v>40737</v>
      </c>
      <c r="C93" t="s">
        <v>24</v>
      </c>
      <c r="D93" s="7">
        <v>1</v>
      </c>
      <c r="E93" s="7">
        <v>1</v>
      </c>
      <c r="F93" s="7">
        <f t="shared" si="1"/>
        <v>4</v>
      </c>
      <c r="G93" s="7" t="str">
        <f>LOOKUP(H93,[1]startdates!$A$2:$A$10,[1]startdates!$B$2:$B$10)</f>
        <v>FMr</v>
      </c>
      <c r="H93">
        <v>7</v>
      </c>
      <c r="I93" s="7">
        <v>797</v>
      </c>
      <c r="N93" s="7">
        <v>131</v>
      </c>
      <c r="O93" s="7">
        <v>151</v>
      </c>
    </row>
    <row r="94" spans="1:15" x14ac:dyDescent="0.2">
      <c r="A94">
        <v>93</v>
      </c>
      <c r="B94" s="1">
        <v>40737</v>
      </c>
      <c r="C94" t="s">
        <v>24</v>
      </c>
      <c r="D94" s="7">
        <v>1</v>
      </c>
      <c r="E94" s="7">
        <v>1</v>
      </c>
      <c r="F94" s="7">
        <f t="shared" si="1"/>
        <v>4</v>
      </c>
      <c r="G94" s="7" t="str">
        <f>LOOKUP(H94,[1]startdates!$A$2:$A$10,[1]startdates!$B$2:$B$10)</f>
        <v>FMr</v>
      </c>
      <c r="H94">
        <v>7</v>
      </c>
      <c r="I94" s="7">
        <v>831</v>
      </c>
      <c r="N94" s="7">
        <v>192</v>
      </c>
      <c r="O94" s="7">
        <v>182</v>
      </c>
    </row>
    <row r="95" spans="1:15" x14ac:dyDescent="0.2">
      <c r="A95">
        <v>94</v>
      </c>
      <c r="B95" s="1">
        <v>40737</v>
      </c>
      <c r="C95" t="s">
        <v>24</v>
      </c>
      <c r="D95" s="7">
        <v>1</v>
      </c>
      <c r="E95" s="7">
        <v>1</v>
      </c>
      <c r="F95" s="7">
        <f t="shared" si="1"/>
        <v>4</v>
      </c>
      <c r="G95" s="7" t="str">
        <f>LOOKUP(H95,[1]startdates!$A$2:$A$10,[1]startdates!$B$2:$B$10)</f>
        <v>FMr</v>
      </c>
      <c r="H95">
        <v>7</v>
      </c>
      <c r="I95" s="7">
        <v>913</v>
      </c>
      <c r="O95" s="7">
        <v>161</v>
      </c>
    </row>
    <row r="96" spans="1:15" x14ac:dyDescent="0.2">
      <c r="A96">
        <v>95</v>
      </c>
      <c r="B96" s="1">
        <v>40737</v>
      </c>
      <c r="C96" t="s">
        <v>24</v>
      </c>
      <c r="D96" s="7">
        <v>1</v>
      </c>
      <c r="E96" s="7">
        <v>1</v>
      </c>
      <c r="F96" s="7">
        <f t="shared" si="1"/>
        <v>4</v>
      </c>
      <c r="G96" s="7" t="str">
        <f>LOOKUP(H96,[1]startdates!$A$2:$A$10,[1]startdates!$B$2:$B$10)</f>
        <v>FMr</v>
      </c>
      <c r="H96">
        <v>7</v>
      </c>
      <c r="O96" s="7">
        <v>162</v>
      </c>
    </row>
    <row r="97" spans="1:15" x14ac:dyDescent="0.2">
      <c r="A97">
        <v>96</v>
      </c>
      <c r="B97" s="1">
        <v>40737</v>
      </c>
      <c r="C97" t="s">
        <v>24</v>
      </c>
      <c r="D97" s="7">
        <v>1</v>
      </c>
      <c r="E97" s="7">
        <v>1</v>
      </c>
      <c r="F97" s="7">
        <f t="shared" si="1"/>
        <v>4</v>
      </c>
      <c r="G97" s="7" t="str">
        <f>LOOKUP(H97,[1]startdates!$A$2:$A$10,[1]startdates!$B$2:$B$10)</f>
        <v>FMr</v>
      </c>
      <c r="H97">
        <v>7</v>
      </c>
      <c r="O97" s="7">
        <v>147</v>
      </c>
    </row>
    <row r="98" spans="1:15" x14ac:dyDescent="0.2">
      <c r="A98">
        <v>97</v>
      </c>
      <c r="B98" s="1">
        <v>40737</v>
      </c>
      <c r="C98" t="s">
        <v>24</v>
      </c>
      <c r="D98" s="7">
        <v>1</v>
      </c>
      <c r="E98" s="7">
        <v>1</v>
      </c>
      <c r="F98" s="7">
        <f t="shared" si="1"/>
        <v>4</v>
      </c>
      <c r="G98" s="7" t="str">
        <f>LOOKUP(H98,[1]startdates!$A$2:$A$10,[1]startdates!$B$2:$B$10)</f>
        <v>FMr</v>
      </c>
      <c r="H98">
        <v>7</v>
      </c>
      <c r="O98" s="7">
        <v>153</v>
      </c>
    </row>
    <row r="99" spans="1:15" x14ac:dyDescent="0.2">
      <c r="A99">
        <v>98</v>
      </c>
      <c r="B99" s="1">
        <v>40737</v>
      </c>
      <c r="C99" t="s">
        <v>24</v>
      </c>
      <c r="D99" s="7">
        <v>1</v>
      </c>
      <c r="E99" s="7">
        <v>1</v>
      </c>
      <c r="F99" s="7">
        <f t="shared" si="1"/>
        <v>4</v>
      </c>
      <c r="G99" s="7" t="str">
        <f>LOOKUP(H99,[1]startdates!$A$2:$A$10,[1]startdates!$B$2:$B$10)</f>
        <v>FMr</v>
      </c>
      <c r="H99">
        <v>7</v>
      </c>
      <c r="O99" s="7">
        <v>152</v>
      </c>
    </row>
    <row r="100" spans="1:15" x14ac:dyDescent="0.2">
      <c r="A100">
        <v>99</v>
      </c>
      <c r="B100" s="1">
        <v>40737</v>
      </c>
      <c r="C100" t="s">
        <v>24</v>
      </c>
      <c r="D100" s="7">
        <v>1</v>
      </c>
      <c r="E100" s="7">
        <v>1</v>
      </c>
      <c r="F100" s="7">
        <f t="shared" si="1"/>
        <v>4</v>
      </c>
      <c r="G100" s="7" t="str">
        <f>LOOKUP(H100,[1]startdates!$A$2:$A$10,[1]startdates!$B$2:$B$10)</f>
        <v>FMr</v>
      </c>
      <c r="H100">
        <v>7</v>
      </c>
      <c r="O100" s="7">
        <v>156</v>
      </c>
    </row>
    <row r="101" spans="1:15" x14ac:dyDescent="0.2">
      <c r="A101">
        <v>100</v>
      </c>
      <c r="B101" s="1">
        <v>40737</v>
      </c>
      <c r="C101" t="s">
        <v>24</v>
      </c>
      <c r="D101" s="7">
        <v>1</v>
      </c>
      <c r="E101" s="7">
        <v>1</v>
      </c>
      <c r="F101" s="7">
        <f t="shared" si="1"/>
        <v>4</v>
      </c>
      <c r="G101" s="7" t="str">
        <f>LOOKUP(H101,[1]startdates!$A$2:$A$10,[1]startdates!$B$2:$B$10)</f>
        <v>FMr</v>
      </c>
      <c r="H101">
        <v>7</v>
      </c>
      <c r="O101" s="7">
        <v>162</v>
      </c>
    </row>
    <row r="102" spans="1:15" x14ac:dyDescent="0.2">
      <c r="A102">
        <v>101</v>
      </c>
      <c r="B102" s="1">
        <v>40737</v>
      </c>
      <c r="C102" t="s">
        <v>24</v>
      </c>
      <c r="D102" s="7">
        <v>1</v>
      </c>
      <c r="E102" s="7">
        <v>1</v>
      </c>
      <c r="F102" s="7">
        <f t="shared" si="1"/>
        <v>4</v>
      </c>
      <c r="G102" s="7" t="str">
        <f>LOOKUP(H102,[1]startdates!$A$2:$A$10,[1]startdates!$B$2:$B$10)</f>
        <v>FMr</v>
      </c>
      <c r="H102">
        <v>7</v>
      </c>
      <c r="O102" s="7">
        <v>162</v>
      </c>
    </row>
    <row r="103" spans="1:15" x14ac:dyDescent="0.2">
      <c r="A103">
        <v>102</v>
      </c>
      <c r="B103" s="1">
        <v>40737</v>
      </c>
      <c r="C103" t="s">
        <v>24</v>
      </c>
      <c r="D103" s="7">
        <v>1</v>
      </c>
      <c r="E103" s="7">
        <v>1</v>
      </c>
      <c r="F103" s="7">
        <f t="shared" si="1"/>
        <v>4</v>
      </c>
      <c r="G103" s="7" t="str">
        <f>LOOKUP(H103,[1]startdates!$A$2:$A$10,[1]startdates!$B$2:$B$10)</f>
        <v>C</v>
      </c>
      <c r="H103">
        <v>8</v>
      </c>
      <c r="I103" s="7">
        <v>702</v>
      </c>
      <c r="J103" s="7">
        <v>634</v>
      </c>
      <c r="K103" s="7">
        <v>630</v>
      </c>
      <c r="O103" s="7">
        <v>182</v>
      </c>
    </row>
    <row r="104" spans="1:15" x14ac:dyDescent="0.2">
      <c r="A104">
        <v>103</v>
      </c>
      <c r="B104" s="1">
        <v>40737</v>
      </c>
      <c r="C104" t="s">
        <v>24</v>
      </c>
      <c r="D104" s="7">
        <v>1</v>
      </c>
      <c r="E104" s="7">
        <v>1</v>
      </c>
      <c r="F104" s="7">
        <f t="shared" si="1"/>
        <v>4</v>
      </c>
      <c r="G104" s="7" t="str">
        <f>LOOKUP(H104,[1]startdates!$A$2:$A$10,[1]startdates!$B$2:$B$10)</f>
        <v>C</v>
      </c>
      <c r="H104">
        <v>8</v>
      </c>
      <c r="I104" s="7">
        <v>734</v>
      </c>
      <c r="J104" s="7">
        <v>669</v>
      </c>
      <c r="K104" s="7">
        <v>735</v>
      </c>
      <c r="O104" s="7">
        <v>181</v>
      </c>
    </row>
    <row r="105" spans="1:15" x14ac:dyDescent="0.2">
      <c r="A105">
        <v>104</v>
      </c>
      <c r="B105" s="1">
        <v>40737</v>
      </c>
      <c r="C105" t="s">
        <v>24</v>
      </c>
      <c r="D105" s="7">
        <v>1</v>
      </c>
      <c r="E105" s="7">
        <v>1</v>
      </c>
      <c r="F105" s="7">
        <f t="shared" ref="F105:F168" si="2">WEEKDAY(B105)</f>
        <v>4</v>
      </c>
      <c r="G105" s="7" t="str">
        <f>LOOKUP(H105,[1]startdates!$A$2:$A$10,[1]startdates!$B$2:$B$10)</f>
        <v>C</v>
      </c>
      <c r="H105">
        <v>8</v>
      </c>
      <c r="I105" s="7">
        <v>733</v>
      </c>
      <c r="K105" s="7">
        <v>681</v>
      </c>
      <c r="O105" s="7">
        <v>185</v>
      </c>
    </row>
    <row r="106" spans="1:15" x14ac:dyDescent="0.2">
      <c r="A106">
        <v>105</v>
      </c>
      <c r="B106" s="1">
        <v>40737</v>
      </c>
      <c r="C106" t="s">
        <v>24</v>
      </c>
      <c r="D106" s="7">
        <v>1</v>
      </c>
      <c r="E106" s="7">
        <v>1</v>
      </c>
      <c r="F106" s="7">
        <f t="shared" si="2"/>
        <v>4</v>
      </c>
      <c r="G106" s="7" t="str">
        <f>LOOKUP(H106,[1]startdates!$A$2:$A$10,[1]startdates!$B$2:$B$10)</f>
        <v>C</v>
      </c>
      <c r="H106">
        <v>8</v>
      </c>
      <c r="I106" s="7">
        <v>772</v>
      </c>
      <c r="K106" s="7">
        <v>710</v>
      </c>
      <c r="O106" s="7">
        <v>182</v>
      </c>
    </row>
    <row r="107" spans="1:15" x14ac:dyDescent="0.2">
      <c r="A107">
        <v>106</v>
      </c>
      <c r="B107" s="1">
        <v>40737</v>
      </c>
      <c r="C107" t="s">
        <v>24</v>
      </c>
      <c r="D107" s="7">
        <v>1</v>
      </c>
      <c r="E107" s="7">
        <v>1</v>
      </c>
      <c r="F107" s="7">
        <f t="shared" si="2"/>
        <v>4</v>
      </c>
      <c r="G107" s="7" t="str">
        <f>LOOKUP(H107,[1]startdates!$A$2:$A$10,[1]startdates!$B$2:$B$10)</f>
        <v>C</v>
      </c>
      <c r="H107">
        <v>8</v>
      </c>
      <c r="I107" s="7">
        <v>680</v>
      </c>
      <c r="O107" s="7">
        <v>187</v>
      </c>
    </row>
    <row r="108" spans="1:15" x14ac:dyDescent="0.2">
      <c r="A108">
        <v>107</v>
      </c>
      <c r="B108" s="1">
        <v>40737</v>
      </c>
      <c r="C108" t="s">
        <v>24</v>
      </c>
      <c r="D108" s="7">
        <v>1</v>
      </c>
      <c r="E108" s="7">
        <v>1</v>
      </c>
      <c r="F108" s="7">
        <f t="shared" si="2"/>
        <v>4</v>
      </c>
      <c r="G108" s="7" t="str">
        <f>LOOKUP(H108,[1]startdates!$A$2:$A$10,[1]startdates!$B$2:$B$10)</f>
        <v>C</v>
      </c>
      <c r="H108">
        <v>8</v>
      </c>
      <c r="I108" s="7">
        <v>713</v>
      </c>
    </row>
    <row r="109" spans="1:15" x14ac:dyDescent="0.2">
      <c r="A109">
        <v>108</v>
      </c>
      <c r="B109" s="1">
        <v>40737</v>
      </c>
      <c r="C109" t="s">
        <v>24</v>
      </c>
      <c r="D109" s="7">
        <v>1</v>
      </c>
      <c r="E109" s="7">
        <v>1</v>
      </c>
      <c r="F109" s="7">
        <f t="shared" si="2"/>
        <v>4</v>
      </c>
      <c r="G109" s="7" t="str">
        <f>LOOKUP(H109,[1]startdates!$A$2:$A$10,[1]startdates!$B$2:$B$10)</f>
        <v>C</v>
      </c>
      <c r="H109">
        <v>8</v>
      </c>
      <c r="I109" s="7">
        <v>731</v>
      </c>
    </row>
    <row r="110" spans="1:15" x14ac:dyDescent="0.2">
      <c r="A110">
        <v>109</v>
      </c>
      <c r="B110" s="1">
        <v>40737</v>
      </c>
      <c r="C110" t="s">
        <v>24</v>
      </c>
      <c r="D110" s="7">
        <v>1</v>
      </c>
      <c r="E110" s="7">
        <v>1</v>
      </c>
      <c r="F110" s="7">
        <f t="shared" si="2"/>
        <v>4</v>
      </c>
      <c r="G110" s="7" t="str">
        <f>LOOKUP(H110,[1]startdates!$A$2:$A$10,[1]startdates!$B$2:$B$10)</f>
        <v>C</v>
      </c>
      <c r="H110">
        <v>8</v>
      </c>
      <c r="I110" s="7">
        <v>755</v>
      </c>
    </row>
    <row r="111" spans="1:15" x14ac:dyDescent="0.2">
      <c r="A111">
        <v>110</v>
      </c>
      <c r="B111" s="1">
        <v>40737</v>
      </c>
      <c r="C111" t="s">
        <v>24</v>
      </c>
      <c r="D111" s="7">
        <v>1</v>
      </c>
      <c r="E111" s="7">
        <v>1</v>
      </c>
      <c r="F111" s="7">
        <f t="shared" si="2"/>
        <v>4</v>
      </c>
      <c r="G111" s="7" t="str">
        <f>LOOKUP(H111,[1]startdates!$A$2:$A$10,[1]startdates!$B$2:$B$10)</f>
        <v>FMr</v>
      </c>
      <c r="H111">
        <v>9</v>
      </c>
      <c r="I111" s="7">
        <v>807</v>
      </c>
      <c r="J111" s="7">
        <v>578</v>
      </c>
      <c r="K111" s="7">
        <v>678</v>
      </c>
    </row>
    <row r="112" spans="1:15" x14ac:dyDescent="0.2">
      <c r="A112">
        <v>111</v>
      </c>
      <c r="B112" s="1">
        <v>40737</v>
      </c>
      <c r="C112" t="s">
        <v>24</v>
      </c>
      <c r="D112" s="7">
        <v>1</v>
      </c>
      <c r="E112" s="7">
        <v>1</v>
      </c>
      <c r="F112" s="7">
        <f t="shared" si="2"/>
        <v>4</v>
      </c>
      <c r="G112" s="7" t="str">
        <f>LOOKUP(H112,[1]startdates!$A$2:$A$10,[1]startdates!$B$2:$B$10)</f>
        <v>FMr</v>
      </c>
      <c r="H112">
        <v>9</v>
      </c>
      <c r="I112" s="7">
        <v>622</v>
      </c>
      <c r="J112" s="7">
        <v>580</v>
      </c>
      <c r="K112" s="7">
        <v>629</v>
      </c>
    </row>
    <row r="113" spans="1:15" x14ac:dyDescent="0.2">
      <c r="A113">
        <v>112</v>
      </c>
      <c r="B113" s="1">
        <v>40737</v>
      </c>
      <c r="C113" t="s">
        <v>24</v>
      </c>
      <c r="D113" s="7">
        <v>1</v>
      </c>
      <c r="E113" s="7">
        <v>1</v>
      </c>
      <c r="F113" s="7">
        <f t="shared" si="2"/>
        <v>4</v>
      </c>
      <c r="G113" s="7" t="str">
        <f>LOOKUP(H113,[1]startdates!$A$2:$A$10,[1]startdates!$B$2:$B$10)</f>
        <v>FMr</v>
      </c>
      <c r="H113">
        <v>9</v>
      </c>
      <c r="I113" s="7">
        <v>648</v>
      </c>
    </row>
    <row r="114" spans="1:15" x14ac:dyDescent="0.2">
      <c r="A114">
        <v>113</v>
      </c>
      <c r="B114" s="1">
        <v>40737</v>
      </c>
      <c r="C114" t="s">
        <v>24</v>
      </c>
      <c r="D114" s="7">
        <v>1</v>
      </c>
      <c r="E114" s="7">
        <v>1</v>
      </c>
      <c r="F114" s="7">
        <f t="shared" si="2"/>
        <v>4</v>
      </c>
      <c r="G114" s="7" t="str">
        <f>LOOKUP(H114,[1]startdates!$A$2:$A$10,[1]startdates!$B$2:$B$10)</f>
        <v>FMr</v>
      </c>
      <c r="H114">
        <v>9</v>
      </c>
      <c r="I114" s="7">
        <v>758</v>
      </c>
    </row>
    <row r="115" spans="1:15" x14ac:dyDescent="0.2">
      <c r="A115">
        <v>114</v>
      </c>
      <c r="B115" s="1">
        <v>40737</v>
      </c>
      <c r="C115" t="s">
        <v>24</v>
      </c>
      <c r="D115" s="7">
        <v>1</v>
      </c>
      <c r="E115" s="7">
        <v>1</v>
      </c>
      <c r="F115" s="7">
        <f t="shared" si="2"/>
        <v>4</v>
      </c>
      <c r="G115" s="7" t="str">
        <f>LOOKUP(H115,[1]startdates!$A$2:$A$10,[1]startdates!$B$2:$B$10)</f>
        <v>FMr</v>
      </c>
      <c r="H115">
        <v>9</v>
      </c>
      <c r="I115" s="7">
        <v>646</v>
      </c>
    </row>
    <row r="116" spans="1:15" x14ac:dyDescent="0.2">
      <c r="A116">
        <v>115</v>
      </c>
      <c r="B116" s="1">
        <v>40737</v>
      </c>
      <c r="C116" t="s">
        <v>24</v>
      </c>
      <c r="D116" s="7">
        <v>1</v>
      </c>
      <c r="E116" s="7">
        <v>1</v>
      </c>
      <c r="F116" s="7">
        <f t="shared" si="2"/>
        <v>4</v>
      </c>
      <c r="G116" s="7" t="str">
        <f>LOOKUP(H116,[1]startdates!$A$2:$A$10,[1]startdates!$B$2:$B$10)</f>
        <v>FMr</v>
      </c>
      <c r="H116">
        <v>9</v>
      </c>
      <c r="I116" s="7">
        <v>678</v>
      </c>
    </row>
    <row r="117" spans="1:15" x14ac:dyDescent="0.2">
      <c r="A117">
        <v>116</v>
      </c>
      <c r="B117" s="1">
        <v>40737</v>
      </c>
      <c r="C117" t="s">
        <v>24</v>
      </c>
      <c r="D117" s="7">
        <v>1</v>
      </c>
      <c r="E117" s="7">
        <v>1</v>
      </c>
      <c r="F117" s="7">
        <f t="shared" si="2"/>
        <v>4</v>
      </c>
      <c r="G117" s="7" t="str">
        <f>LOOKUP(H117,[1]startdates!$A$2:$A$10,[1]startdates!$B$2:$B$10)</f>
        <v>FMr</v>
      </c>
      <c r="H117">
        <v>9</v>
      </c>
      <c r="I117" s="7">
        <v>639</v>
      </c>
    </row>
    <row r="118" spans="1:15" x14ac:dyDescent="0.2">
      <c r="A118">
        <v>117</v>
      </c>
      <c r="B118" s="1">
        <v>40737</v>
      </c>
      <c r="C118" t="s">
        <v>24</v>
      </c>
      <c r="D118" s="7">
        <v>1</v>
      </c>
      <c r="E118" s="7">
        <v>1</v>
      </c>
      <c r="F118" s="7">
        <f t="shared" si="2"/>
        <v>4</v>
      </c>
      <c r="G118" s="7" t="str">
        <f>LOOKUP(H118,[1]startdates!$A$2:$A$10,[1]startdates!$B$2:$B$10)</f>
        <v>FMr</v>
      </c>
      <c r="H118">
        <v>9</v>
      </c>
      <c r="I118" s="7">
        <v>746</v>
      </c>
    </row>
    <row r="119" spans="1:15" x14ac:dyDescent="0.2">
      <c r="A119">
        <v>118</v>
      </c>
      <c r="B119" s="1">
        <v>40737</v>
      </c>
      <c r="C119" t="s">
        <v>24</v>
      </c>
      <c r="D119" s="7">
        <v>1</v>
      </c>
      <c r="E119" s="7">
        <v>1</v>
      </c>
      <c r="F119" s="7">
        <f t="shared" si="2"/>
        <v>4</v>
      </c>
      <c r="G119" s="7" t="str">
        <f>LOOKUP(H119,[1]startdates!$A$2:$A$10,[1]startdates!$B$2:$B$10)</f>
        <v>FMr</v>
      </c>
      <c r="H119">
        <v>9</v>
      </c>
      <c r="I119" s="7">
        <v>713</v>
      </c>
    </row>
    <row r="120" spans="1:15" x14ac:dyDescent="0.2">
      <c r="A120">
        <v>119</v>
      </c>
      <c r="B120" s="1">
        <v>40737</v>
      </c>
      <c r="C120" t="s">
        <v>24</v>
      </c>
      <c r="D120" s="7">
        <v>1</v>
      </c>
      <c r="E120" s="7">
        <v>1</v>
      </c>
      <c r="F120" s="7">
        <f t="shared" si="2"/>
        <v>4</v>
      </c>
      <c r="G120" s="7" t="str">
        <f>LOOKUP(H120,[1]startdates!$A$2:$A$10,[1]startdates!$B$2:$B$10)</f>
        <v>FMr</v>
      </c>
      <c r="H120">
        <v>9</v>
      </c>
      <c r="I120" s="7">
        <v>782</v>
      </c>
    </row>
    <row r="121" spans="1:15" x14ac:dyDescent="0.2">
      <c r="A121">
        <v>120</v>
      </c>
      <c r="B121" s="1">
        <v>40739</v>
      </c>
      <c r="C121" t="s">
        <v>24</v>
      </c>
      <c r="D121" s="7">
        <v>3</v>
      </c>
      <c r="E121" s="7">
        <v>1</v>
      </c>
      <c r="F121" s="7">
        <f t="shared" si="2"/>
        <v>6</v>
      </c>
      <c r="G121" s="7" t="str">
        <f>LOOKUP(H121,[1]startdates!$A$2:$A$10,[1]startdates!$B$2:$B$10)</f>
        <v>SMr</v>
      </c>
      <c r="H121">
        <v>1</v>
      </c>
      <c r="I121" s="7">
        <v>858</v>
      </c>
      <c r="J121" s="7">
        <v>613</v>
      </c>
      <c r="K121" s="7">
        <v>683</v>
      </c>
      <c r="M121" s="7">
        <v>220</v>
      </c>
      <c r="N121" s="7">
        <v>188</v>
      </c>
      <c r="O121" s="7">
        <v>149</v>
      </c>
    </row>
    <row r="122" spans="1:15" x14ac:dyDescent="0.2">
      <c r="A122">
        <v>121</v>
      </c>
      <c r="B122" s="1">
        <v>40739</v>
      </c>
      <c r="C122" t="s">
        <v>24</v>
      </c>
      <c r="D122" s="7">
        <v>3</v>
      </c>
      <c r="E122" s="7">
        <v>1</v>
      </c>
      <c r="F122" s="7">
        <f t="shared" si="2"/>
        <v>6</v>
      </c>
      <c r="G122" s="7" t="str">
        <f>LOOKUP(H122,[1]startdates!$A$2:$A$10,[1]startdates!$B$2:$B$10)</f>
        <v>SMr</v>
      </c>
      <c r="H122">
        <v>1</v>
      </c>
      <c r="I122" s="7">
        <v>924</v>
      </c>
      <c r="J122" s="7">
        <v>641</v>
      </c>
      <c r="K122" s="7">
        <v>648</v>
      </c>
      <c r="M122" s="7">
        <v>270</v>
      </c>
      <c r="N122" s="7">
        <v>212</v>
      </c>
      <c r="O122" s="7">
        <v>157</v>
      </c>
    </row>
    <row r="123" spans="1:15" x14ac:dyDescent="0.2">
      <c r="A123">
        <v>122</v>
      </c>
      <c r="B123" s="1">
        <v>40739</v>
      </c>
      <c r="C123" t="s">
        <v>24</v>
      </c>
      <c r="D123" s="7">
        <v>3</v>
      </c>
      <c r="E123" s="7">
        <v>1</v>
      </c>
      <c r="F123" s="7">
        <f t="shared" si="2"/>
        <v>6</v>
      </c>
      <c r="G123" s="7" t="str">
        <f>LOOKUP(H123,[1]startdates!$A$2:$A$10,[1]startdates!$B$2:$B$10)</f>
        <v>SMr</v>
      </c>
      <c r="H123">
        <v>1</v>
      </c>
      <c r="I123" s="7">
        <v>916</v>
      </c>
      <c r="J123" s="7">
        <v>681</v>
      </c>
      <c r="K123" s="7">
        <v>688</v>
      </c>
      <c r="M123" s="7">
        <v>257</v>
      </c>
      <c r="N123" s="7">
        <v>192</v>
      </c>
      <c r="O123" s="7">
        <v>177</v>
      </c>
    </row>
    <row r="124" spans="1:15" x14ac:dyDescent="0.2">
      <c r="A124">
        <v>123</v>
      </c>
      <c r="B124" s="1">
        <v>40739</v>
      </c>
      <c r="C124" t="s">
        <v>24</v>
      </c>
      <c r="D124" s="7">
        <v>3</v>
      </c>
      <c r="E124" s="7">
        <v>1</v>
      </c>
      <c r="F124" s="7">
        <f t="shared" si="2"/>
        <v>6</v>
      </c>
      <c r="G124" s="7" t="str">
        <f>LOOKUP(H124,[1]startdates!$A$2:$A$10,[1]startdates!$B$2:$B$10)</f>
        <v>SMr</v>
      </c>
      <c r="H124">
        <v>1</v>
      </c>
      <c r="I124" s="7">
        <v>750</v>
      </c>
      <c r="J124" s="7">
        <v>608</v>
      </c>
      <c r="K124" s="7">
        <v>709</v>
      </c>
      <c r="N124" s="7">
        <v>211</v>
      </c>
      <c r="O124" s="7">
        <v>140</v>
      </c>
    </row>
    <row r="125" spans="1:15" x14ac:dyDescent="0.2">
      <c r="A125">
        <v>124</v>
      </c>
      <c r="B125" s="1">
        <v>40739</v>
      </c>
      <c r="C125" t="s">
        <v>24</v>
      </c>
      <c r="D125" s="7">
        <v>3</v>
      </c>
      <c r="E125" s="7">
        <v>1</v>
      </c>
      <c r="F125" s="7">
        <f t="shared" si="2"/>
        <v>6</v>
      </c>
      <c r="G125" s="7" t="str">
        <f>LOOKUP(H125,[1]startdates!$A$2:$A$10,[1]startdates!$B$2:$B$10)</f>
        <v>SMr</v>
      </c>
      <c r="H125">
        <v>1</v>
      </c>
      <c r="I125" s="7">
        <v>714</v>
      </c>
      <c r="J125" s="7">
        <v>627</v>
      </c>
      <c r="N125" s="7">
        <v>213</v>
      </c>
      <c r="O125" s="7">
        <v>169</v>
      </c>
    </row>
    <row r="126" spans="1:15" x14ac:dyDescent="0.2">
      <c r="A126">
        <v>125</v>
      </c>
      <c r="B126" s="1">
        <v>40739</v>
      </c>
      <c r="C126" t="s">
        <v>24</v>
      </c>
      <c r="D126" s="7">
        <v>3</v>
      </c>
      <c r="E126" s="7">
        <v>1</v>
      </c>
      <c r="F126" s="7">
        <f t="shared" si="2"/>
        <v>6</v>
      </c>
      <c r="G126" s="7" t="str">
        <f>LOOKUP(H126,[1]startdates!$A$2:$A$10,[1]startdates!$B$2:$B$10)</f>
        <v>SMr</v>
      </c>
      <c r="H126">
        <v>1</v>
      </c>
      <c r="I126" s="7">
        <v>806</v>
      </c>
      <c r="N126" s="7">
        <v>229</v>
      </c>
      <c r="O126" s="7">
        <v>157</v>
      </c>
    </row>
    <row r="127" spans="1:15" x14ac:dyDescent="0.2">
      <c r="A127">
        <v>126</v>
      </c>
      <c r="B127" s="1">
        <v>40739</v>
      </c>
      <c r="C127" t="s">
        <v>24</v>
      </c>
      <c r="D127" s="7">
        <v>3</v>
      </c>
      <c r="E127" s="7">
        <v>1</v>
      </c>
      <c r="F127" s="7">
        <f t="shared" si="2"/>
        <v>6</v>
      </c>
      <c r="G127" s="7" t="str">
        <f>LOOKUP(H127,[1]startdates!$A$2:$A$10,[1]startdates!$B$2:$B$10)</f>
        <v>SMr</v>
      </c>
      <c r="H127">
        <v>1</v>
      </c>
      <c r="N127" s="7">
        <v>199</v>
      </c>
      <c r="O127" s="7">
        <v>173</v>
      </c>
    </row>
    <row r="128" spans="1:15" x14ac:dyDescent="0.2">
      <c r="A128">
        <v>127</v>
      </c>
      <c r="B128" s="1">
        <v>40739</v>
      </c>
      <c r="C128" t="s">
        <v>24</v>
      </c>
      <c r="D128" s="7">
        <v>3</v>
      </c>
      <c r="E128" s="7">
        <v>1</v>
      </c>
      <c r="F128" s="7">
        <f t="shared" si="2"/>
        <v>6</v>
      </c>
      <c r="G128" s="7" t="str">
        <f>LOOKUP(H128,[1]startdates!$A$2:$A$10,[1]startdates!$B$2:$B$10)</f>
        <v>SMr</v>
      </c>
      <c r="H128">
        <v>1</v>
      </c>
      <c r="N128" s="7">
        <v>219</v>
      </c>
      <c r="O128" s="7">
        <v>158</v>
      </c>
    </row>
    <row r="129" spans="1:18" x14ac:dyDescent="0.2">
      <c r="A129">
        <v>128</v>
      </c>
      <c r="B129" s="1">
        <v>40739</v>
      </c>
      <c r="C129" t="s">
        <v>24</v>
      </c>
      <c r="D129" s="7">
        <v>3</v>
      </c>
      <c r="E129" s="7">
        <v>1</v>
      </c>
      <c r="F129" s="7">
        <f t="shared" si="2"/>
        <v>6</v>
      </c>
      <c r="G129" s="7" t="str">
        <f>LOOKUP(H129,[1]startdates!$A$2:$A$10,[1]startdates!$B$2:$B$10)</f>
        <v>SMr</v>
      </c>
      <c r="H129">
        <v>1</v>
      </c>
      <c r="N129" s="7">
        <v>177</v>
      </c>
      <c r="O129" s="7">
        <v>163</v>
      </c>
    </row>
    <row r="130" spans="1:18" x14ac:dyDescent="0.2">
      <c r="A130">
        <v>129</v>
      </c>
      <c r="B130" s="1">
        <v>40739</v>
      </c>
      <c r="C130" t="s">
        <v>24</v>
      </c>
      <c r="D130" s="7">
        <v>3</v>
      </c>
      <c r="E130" s="7">
        <v>1</v>
      </c>
      <c r="F130" s="7">
        <f t="shared" si="2"/>
        <v>6</v>
      </c>
      <c r="G130" s="7" t="str">
        <f>LOOKUP(H130,[1]startdates!$A$2:$A$10,[1]startdates!$B$2:$B$10)</f>
        <v>SMr</v>
      </c>
      <c r="H130">
        <v>1</v>
      </c>
      <c r="N130" s="7">
        <v>225</v>
      </c>
      <c r="O130" s="7">
        <v>138</v>
      </c>
    </row>
    <row r="131" spans="1:18" x14ac:dyDescent="0.2">
      <c r="A131">
        <v>130</v>
      </c>
      <c r="B131" s="1">
        <v>40739</v>
      </c>
      <c r="C131" t="s">
        <v>24</v>
      </c>
      <c r="D131" s="7">
        <v>3</v>
      </c>
      <c r="E131" s="7">
        <v>1</v>
      </c>
      <c r="F131" s="7">
        <f t="shared" si="2"/>
        <v>6</v>
      </c>
      <c r="G131" s="7" t="str">
        <f>LOOKUP(H131,[1]startdates!$A$2:$A$10,[1]startdates!$B$2:$B$10)</f>
        <v>SMr</v>
      </c>
      <c r="H131">
        <v>1</v>
      </c>
      <c r="N131" s="7">
        <v>211</v>
      </c>
      <c r="O131" s="7">
        <v>163</v>
      </c>
    </row>
    <row r="132" spans="1:18" x14ac:dyDescent="0.2">
      <c r="A132">
        <v>131</v>
      </c>
      <c r="B132" s="1">
        <v>40739</v>
      </c>
      <c r="C132" t="s">
        <v>24</v>
      </c>
      <c r="D132" s="7">
        <v>3</v>
      </c>
      <c r="E132" s="7">
        <v>1</v>
      </c>
      <c r="F132" s="7">
        <f t="shared" si="2"/>
        <v>6</v>
      </c>
      <c r="G132" s="7" t="str">
        <f>LOOKUP(H132,[1]startdates!$A$2:$A$10,[1]startdates!$B$2:$B$10)</f>
        <v>SMr</v>
      </c>
      <c r="H132">
        <v>1</v>
      </c>
      <c r="N132" s="7">
        <v>213</v>
      </c>
      <c r="O132" s="7">
        <v>162</v>
      </c>
    </row>
    <row r="133" spans="1:18" x14ac:dyDescent="0.2">
      <c r="A133">
        <v>132</v>
      </c>
      <c r="B133" s="1">
        <v>40739</v>
      </c>
      <c r="C133" t="s">
        <v>24</v>
      </c>
      <c r="D133" s="7">
        <v>3</v>
      </c>
      <c r="E133" s="7">
        <v>1</v>
      </c>
      <c r="F133" s="7">
        <f t="shared" si="2"/>
        <v>6</v>
      </c>
      <c r="G133" s="7" t="str">
        <f>LOOKUP(H133,[1]startdates!$A$2:$A$10,[1]startdates!$B$2:$B$10)</f>
        <v>SMr</v>
      </c>
      <c r="H133">
        <v>1</v>
      </c>
      <c r="N133" s="7">
        <v>197</v>
      </c>
      <c r="O133" s="7">
        <v>152</v>
      </c>
    </row>
    <row r="134" spans="1:18" x14ac:dyDescent="0.2">
      <c r="A134">
        <v>133</v>
      </c>
      <c r="B134" s="1">
        <v>40739</v>
      </c>
      <c r="C134" t="s">
        <v>24</v>
      </c>
      <c r="D134" s="7">
        <v>3</v>
      </c>
      <c r="E134" s="7">
        <v>1</v>
      </c>
      <c r="F134" s="7">
        <f t="shared" si="2"/>
        <v>6</v>
      </c>
      <c r="G134" s="7" t="str">
        <f>LOOKUP(H134,[1]startdates!$A$2:$A$10,[1]startdates!$B$2:$B$10)</f>
        <v>SMr</v>
      </c>
      <c r="H134">
        <v>1</v>
      </c>
      <c r="N134" s="7">
        <v>201</v>
      </c>
      <c r="O134" s="7">
        <v>143</v>
      </c>
    </row>
    <row r="135" spans="1:18" x14ac:dyDescent="0.2">
      <c r="A135">
        <v>134</v>
      </c>
      <c r="B135" s="1">
        <v>40739</v>
      </c>
      <c r="C135" t="s">
        <v>24</v>
      </c>
      <c r="D135" s="7">
        <v>3</v>
      </c>
      <c r="E135" s="7">
        <v>1</v>
      </c>
      <c r="F135" s="7">
        <f t="shared" si="2"/>
        <v>6</v>
      </c>
      <c r="G135" s="7" t="str">
        <f>LOOKUP(H135,[1]startdates!$A$2:$A$10,[1]startdates!$B$2:$B$10)</f>
        <v>SMr</v>
      </c>
      <c r="H135">
        <v>1</v>
      </c>
      <c r="N135" s="7">
        <v>251</v>
      </c>
    </row>
    <row r="136" spans="1:18" x14ac:dyDescent="0.2">
      <c r="A136">
        <v>135</v>
      </c>
      <c r="B136" s="1">
        <v>40739</v>
      </c>
      <c r="C136" t="s">
        <v>24</v>
      </c>
      <c r="D136" s="7">
        <v>3</v>
      </c>
      <c r="E136" s="7">
        <v>1</v>
      </c>
      <c r="F136" s="7">
        <f t="shared" si="2"/>
        <v>6</v>
      </c>
      <c r="G136" s="7" t="str">
        <f>LOOKUP(H136,[1]startdates!$A$2:$A$10,[1]startdates!$B$2:$B$10)</f>
        <v>SMr</v>
      </c>
      <c r="H136">
        <v>1</v>
      </c>
      <c r="N136" s="7">
        <v>209</v>
      </c>
    </row>
    <row r="137" spans="1:18" x14ac:dyDescent="0.2">
      <c r="A137">
        <v>136</v>
      </c>
      <c r="B137" s="1">
        <v>40739</v>
      </c>
      <c r="C137" t="s">
        <v>24</v>
      </c>
      <c r="D137" s="7">
        <v>3</v>
      </c>
      <c r="E137" s="7">
        <v>1</v>
      </c>
      <c r="F137" s="7">
        <f t="shared" si="2"/>
        <v>6</v>
      </c>
      <c r="G137" s="7" t="str">
        <f>LOOKUP(H137,[1]startdates!$A$2:$A$10,[1]startdates!$B$2:$B$10)</f>
        <v>SMr</v>
      </c>
      <c r="H137">
        <v>2</v>
      </c>
      <c r="I137" s="7">
        <v>849</v>
      </c>
      <c r="J137" s="7">
        <v>669</v>
      </c>
      <c r="K137" s="7">
        <v>709</v>
      </c>
      <c r="M137" s="7">
        <v>292</v>
      </c>
      <c r="N137" s="7">
        <v>178</v>
      </c>
      <c r="O137" s="7">
        <v>103</v>
      </c>
      <c r="R137" s="7">
        <v>217</v>
      </c>
    </row>
    <row r="138" spans="1:18" x14ac:dyDescent="0.2">
      <c r="A138">
        <v>137</v>
      </c>
      <c r="B138" s="1">
        <v>40739</v>
      </c>
      <c r="C138" t="s">
        <v>24</v>
      </c>
      <c r="D138" s="7">
        <v>3</v>
      </c>
      <c r="E138" s="7">
        <v>1</v>
      </c>
      <c r="F138" s="7">
        <f t="shared" si="2"/>
        <v>6</v>
      </c>
      <c r="G138" s="7" t="str">
        <f>LOOKUP(H138,[1]startdates!$A$2:$A$10,[1]startdates!$B$2:$B$10)</f>
        <v>SMr</v>
      </c>
      <c r="H138">
        <v>2</v>
      </c>
      <c r="I138" s="7">
        <v>859</v>
      </c>
      <c r="J138" s="7">
        <v>592</v>
      </c>
      <c r="M138" s="7">
        <v>293</v>
      </c>
      <c r="N138" s="7">
        <v>215</v>
      </c>
      <c r="O138" s="7">
        <v>163</v>
      </c>
    </row>
    <row r="139" spans="1:18" x14ac:dyDescent="0.2">
      <c r="A139">
        <v>138</v>
      </c>
      <c r="B139" s="1">
        <v>40739</v>
      </c>
      <c r="C139" t="s">
        <v>24</v>
      </c>
      <c r="D139" s="7">
        <v>3</v>
      </c>
      <c r="E139" s="7">
        <v>1</v>
      </c>
      <c r="F139" s="7">
        <f t="shared" si="2"/>
        <v>6</v>
      </c>
      <c r="G139" s="7" t="str">
        <f>LOOKUP(H139,[1]startdates!$A$2:$A$10,[1]startdates!$B$2:$B$10)</f>
        <v>SMr</v>
      </c>
      <c r="H139">
        <v>2</v>
      </c>
      <c r="I139" s="7">
        <v>784</v>
      </c>
      <c r="J139" s="7">
        <v>693</v>
      </c>
      <c r="M139" s="7">
        <v>275</v>
      </c>
      <c r="N139" s="7">
        <v>166</v>
      </c>
      <c r="O139" s="7">
        <v>146</v>
      </c>
    </row>
    <row r="140" spans="1:18" x14ac:dyDescent="0.2">
      <c r="A140">
        <v>139</v>
      </c>
      <c r="B140" s="1">
        <v>40739</v>
      </c>
      <c r="C140" t="s">
        <v>24</v>
      </c>
      <c r="D140" s="7">
        <v>3</v>
      </c>
      <c r="E140" s="7">
        <v>1</v>
      </c>
      <c r="F140" s="7">
        <f t="shared" si="2"/>
        <v>6</v>
      </c>
      <c r="G140" s="7" t="str">
        <f>LOOKUP(H140,[1]startdates!$A$2:$A$10,[1]startdates!$B$2:$B$10)</f>
        <v>SMr</v>
      </c>
      <c r="H140">
        <v>2</v>
      </c>
      <c r="I140" s="7">
        <v>765</v>
      </c>
      <c r="J140" s="7">
        <v>645</v>
      </c>
      <c r="N140" s="7">
        <v>206</v>
      </c>
      <c r="O140" s="7">
        <v>126</v>
      </c>
    </row>
    <row r="141" spans="1:18" x14ac:dyDescent="0.2">
      <c r="A141">
        <v>140</v>
      </c>
      <c r="B141" s="1">
        <v>40739</v>
      </c>
      <c r="C141" t="s">
        <v>24</v>
      </c>
      <c r="D141" s="7">
        <v>3</v>
      </c>
      <c r="E141" s="7">
        <v>1</v>
      </c>
      <c r="F141" s="7">
        <f t="shared" si="2"/>
        <v>6</v>
      </c>
      <c r="G141" s="7" t="str">
        <f>LOOKUP(H141,[1]startdates!$A$2:$A$10,[1]startdates!$B$2:$B$10)</f>
        <v>SMr</v>
      </c>
      <c r="H141">
        <v>2</v>
      </c>
      <c r="I141" s="7">
        <v>646</v>
      </c>
      <c r="J141" s="7">
        <v>649</v>
      </c>
      <c r="N141" s="7">
        <v>225</v>
      </c>
      <c r="O141" s="7">
        <v>123</v>
      </c>
    </row>
    <row r="142" spans="1:18" x14ac:dyDescent="0.2">
      <c r="A142">
        <v>141</v>
      </c>
      <c r="B142" s="1">
        <v>40739</v>
      </c>
      <c r="C142" t="s">
        <v>24</v>
      </c>
      <c r="D142" s="7">
        <v>3</v>
      </c>
      <c r="E142" s="7">
        <v>1</v>
      </c>
      <c r="F142" s="7">
        <f t="shared" si="2"/>
        <v>6</v>
      </c>
      <c r="G142" s="7" t="str">
        <f>LOOKUP(H142,[1]startdates!$A$2:$A$10,[1]startdates!$B$2:$B$10)</f>
        <v>SMr</v>
      </c>
      <c r="H142">
        <v>2</v>
      </c>
      <c r="N142" s="7">
        <v>246</v>
      </c>
      <c r="O142" s="7">
        <v>135</v>
      </c>
    </row>
    <row r="143" spans="1:18" x14ac:dyDescent="0.2">
      <c r="A143">
        <v>142</v>
      </c>
      <c r="B143" s="1">
        <v>40739</v>
      </c>
      <c r="C143" t="s">
        <v>24</v>
      </c>
      <c r="D143" s="7">
        <v>3</v>
      </c>
      <c r="E143" s="7">
        <v>1</v>
      </c>
      <c r="F143" s="7">
        <f t="shared" si="2"/>
        <v>6</v>
      </c>
      <c r="G143" s="7" t="str">
        <f>LOOKUP(H143,[1]startdates!$A$2:$A$10,[1]startdates!$B$2:$B$10)</f>
        <v>SMr</v>
      </c>
      <c r="H143">
        <v>2</v>
      </c>
      <c r="N143" s="7">
        <v>239</v>
      </c>
      <c r="O143" s="7">
        <v>148</v>
      </c>
    </row>
    <row r="144" spans="1:18" x14ac:dyDescent="0.2">
      <c r="A144">
        <v>143</v>
      </c>
      <c r="B144" s="1">
        <v>40739</v>
      </c>
      <c r="C144" t="s">
        <v>24</v>
      </c>
      <c r="D144" s="7">
        <v>3</v>
      </c>
      <c r="E144" s="7">
        <v>1</v>
      </c>
      <c r="F144" s="7">
        <f t="shared" si="2"/>
        <v>6</v>
      </c>
      <c r="G144" s="7" t="str">
        <f>LOOKUP(H144,[1]startdates!$A$2:$A$10,[1]startdates!$B$2:$B$10)</f>
        <v>SMr</v>
      </c>
      <c r="H144">
        <v>2</v>
      </c>
      <c r="N144" s="7">
        <v>246</v>
      </c>
    </row>
    <row r="145" spans="1:18" x14ac:dyDescent="0.2">
      <c r="A145">
        <v>144</v>
      </c>
      <c r="B145" s="1">
        <v>40739</v>
      </c>
      <c r="C145" t="s">
        <v>24</v>
      </c>
      <c r="D145" s="7">
        <v>3</v>
      </c>
      <c r="E145" s="7">
        <v>1</v>
      </c>
      <c r="F145" s="7">
        <f t="shared" si="2"/>
        <v>6</v>
      </c>
      <c r="G145" s="7" t="str">
        <f>LOOKUP(H145,[1]startdates!$A$2:$A$10,[1]startdates!$B$2:$B$10)</f>
        <v>SMr</v>
      </c>
      <c r="H145">
        <v>2</v>
      </c>
      <c r="N145" s="7">
        <v>286</v>
      </c>
    </row>
    <row r="146" spans="1:18" x14ac:dyDescent="0.2">
      <c r="A146">
        <v>145</v>
      </c>
      <c r="B146" s="1">
        <v>40739</v>
      </c>
      <c r="C146" t="s">
        <v>24</v>
      </c>
      <c r="D146" s="7">
        <v>3</v>
      </c>
      <c r="E146" s="7">
        <v>1</v>
      </c>
      <c r="F146" s="7">
        <f t="shared" si="2"/>
        <v>6</v>
      </c>
      <c r="G146" s="7" t="str">
        <f>LOOKUP(H146,[1]startdates!$A$2:$A$10,[1]startdates!$B$2:$B$10)</f>
        <v>SMr</v>
      </c>
      <c r="H146">
        <v>2</v>
      </c>
      <c r="N146" s="7">
        <v>204</v>
      </c>
    </row>
    <row r="147" spans="1:18" x14ac:dyDescent="0.2">
      <c r="A147">
        <v>146</v>
      </c>
      <c r="B147" s="1">
        <v>40739</v>
      </c>
      <c r="C147" t="s">
        <v>24</v>
      </c>
      <c r="D147" s="7">
        <v>3</v>
      </c>
      <c r="E147" s="7">
        <v>1</v>
      </c>
      <c r="F147" s="7">
        <f t="shared" si="2"/>
        <v>6</v>
      </c>
      <c r="G147" s="7" t="str">
        <f>LOOKUP(H147,[1]startdates!$A$2:$A$10,[1]startdates!$B$2:$B$10)</f>
        <v>SMr</v>
      </c>
      <c r="H147">
        <v>2</v>
      </c>
      <c r="N147" s="7">
        <v>276</v>
      </c>
    </row>
    <row r="148" spans="1:18" x14ac:dyDescent="0.2">
      <c r="A148">
        <v>147</v>
      </c>
      <c r="B148" s="1">
        <v>40739</v>
      </c>
      <c r="C148" t="s">
        <v>24</v>
      </c>
      <c r="D148" s="7">
        <v>3</v>
      </c>
      <c r="E148" s="7">
        <v>1</v>
      </c>
      <c r="F148" s="7">
        <f t="shared" si="2"/>
        <v>6</v>
      </c>
      <c r="G148" s="7" t="str">
        <f>LOOKUP(H148,[1]startdates!$A$2:$A$10,[1]startdates!$B$2:$B$10)</f>
        <v>C</v>
      </c>
      <c r="H148">
        <v>3</v>
      </c>
      <c r="I148" s="7">
        <v>756</v>
      </c>
      <c r="J148" s="7">
        <v>565</v>
      </c>
      <c r="K148" s="7">
        <v>716</v>
      </c>
      <c r="M148" s="7">
        <v>315</v>
      </c>
      <c r="N148" s="7">
        <v>273</v>
      </c>
      <c r="O148" s="7">
        <v>204</v>
      </c>
      <c r="R148" s="7">
        <v>269</v>
      </c>
    </row>
    <row r="149" spans="1:18" x14ac:dyDescent="0.2">
      <c r="A149">
        <v>148</v>
      </c>
      <c r="B149" s="1">
        <v>40739</v>
      </c>
      <c r="C149" t="s">
        <v>24</v>
      </c>
      <c r="D149" s="7">
        <v>3</v>
      </c>
      <c r="E149" s="7">
        <v>1</v>
      </c>
      <c r="F149" s="7">
        <f t="shared" si="2"/>
        <v>6</v>
      </c>
      <c r="G149" s="7" t="str">
        <f>LOOKUP(H149,[1]startdates!$A$2:$A$10,[1]startdates!$B$2:$B$10)</f>
        <v>C</v>
      </c>
      <c r="H149">
        <v>3</v>
      </c>
      <c r="I149" s="7">
        <v>739</v>
      </c>
      <c r="J149" s="7">
        <v>554</v>
      </c>
      <c r="M149" s="7">
        <v>267</v>
      </c>
      <c r="N149" s="7">
        <v>285</v>
      </c>
      <c r="O149" s="7">
        <v>144</v>
      </c>
      <c r="R149" s="7">
        <v>214</v>
      </c>
    </row>
    <row r="150" spans="1:18" x14ac:dyDescent="0.2">
      <c r="A150">
        <v>149</v>
      </c>
      <c r="B150" s="1">
        <v>40739</v>
      </c>
      <c r="C150" t="s">
        <v>24</v>
      </c>
      <c r="D150" s="7">
        <v>3</v>
      </c>
      <c r="E150" s="7">
        <v>1</v>
      </c>
      <c r="F150" s="7">
        <f t="shared" si="2"/>
        <v>6</v>
      </c>
      <c r="G150" s="7" t="str">
        <f>LOOKUP(H150,[1]startdates!$A$2:$A$10,[1]startdates!$B$2:$B$10)</f>
        <v>C</v>
      </c>
      <c r="H150">
        <v>3</v>
      </c>
      <c r="I150" s="7">
        <v>721</v>
      </c>
      <c r="M150" s="7">
        <v>312</v>
      </c>
      <c r="N150" s="7">
        <v>237</v>
      </c>
      <c r="O150" s="7">
        <v>158</v>
      </c>
      <c r="R150" s="7">
        <v>302</v>
      </c>
    </row>
    <row r="151" spans="1:18" x14ac:dyDescent="0.2">
      <c r="A151">
        <v>150</v>
      </c>
      <c r="B151" s="1">
        <v>40739</v>
      </c>
      <c r="C151" t="s">
        <v>24</v>
      </c>
      <c r="D151" s="7">
        <v>3</v>
      </c>
      <c r="E151" s="7">
        <v>1</v>
      </c>
      <c r="F151" s="7">
        <f t="shared" si="2"/>
        <v>6</v>
      </c>
      <c r="G151" s="7" t="str">
        <f>LOOKUP(H151,[1]startdates!$A$2:$A$10,[1]startdates!$B$2:$B$10)</f>
        <v>C</v>
      </c>
      <c r="H151">
        <v>3</v>
      </c>
      <c r="I151" s="7">
        <v>794</v>
      </c>
      <c r="M151" s="7">
        <v>320</v>
      </c>
      <c r="N151" s="7">
        <v>195</v>
      </c>
      <c r="O151" s="7">
        <v>159</v>
      </c>
      <c r="R151" s="7">
        <v>274</v>
      </c>
    </row>
    <row r="152" spans="1:18" x14ac:dyDescent="0.2">
      <c r="A152">
        <v>151</v>
      </c>
      <c r="B152" s="1">
        <v>40739</v>
      </c>
      <c r="C152" t="s">
        <v>24</v>
      </c>
      <c r="D152" s="7">
        <v>3</v>
      </c>
      <c r="E152" s="7">
        <v>1</v>
      </c>
      <c r="F152" s="7">
        <f t="shared" si="2"/>
        <v>6</v>
      </c>
      <c r="G152" s="7" t="str">
        <f>LOOKUP(H152,[1]startdates!$A$2:$A$10,[1]startdates!$B$2:$B$10)</f>
        <v>C</v>
      </c>
      <c r="H152">
        <v>3</v>
      </c>
      <c r="M152" s="7">
        <v>287</v>
      </c>
      <c r="N152" s="7">
        <v>202</v>
      </c>
      <c r="O152" s="7">
        <v>182</v>
      </c>
    </row>
    <row r="153" spans="1:18" x14ac:dyDescent="0.2">
      <c r="A153">
        <v>152</v>
      </c>
      <c r="B153" s="1">
        <v>40739</v>
      </c>
      <c r="C153" t="s">
        <v>24</v>
      </c>
      <c r="D153" s="7">
        <v>3</v>
      </c>
      <c r="E153" s="7">
        <v>1</v>
      </c>
      <c r="F153" s="7">
        <f t="shared" si="2"/>
        <v>6</v>
      </c>
      <c r="G153" s="7" t="str">
        <f>LOOKUP(H153,[1]startdates!$A$2:$A$10,[1]startdates!$B$2:$B$10)</f>
        <v>C</v>
      </c>
      <c r="H153">
        <v>3</v>
      </c>
      <c r="M153" s="7">
        <v>284</v>
      </c>
      <c r="N153" s="7">
        <v>241</v>
      </c>
      <c r="O153" s="7">
        <v>185</v>
      </c>
    </row>
    <row r="154" spans="1:18" x14ac:dyDescent="0.2">
      <c r="A154">
        <v>153</v>
      </c>
      <c r="B154" s="1">
        <v>40739</v>
      </c>
      <c r="C154" t="s">
        <v>24</v>
      </c>
      <c r="D154" s="7">
        <v>3</v>
      </c>
      <c r="E154" s="7">
        <v>1</v>
      </c>
      <c r="F154" s="7">
        <f t="shared" si="2"/>
        <v>6</v>
      </c>
      <c r="G154" s="7" t="str">
        <f>LOOKUP(H154,[1]startdates!$A$2:$A$10,[1]startdates!$B$2:$B$10)</f>
        <v>C</v>
      </c>
      <c r="H154">
        <v>3</v>
      </c>
      <c r="N154" s="7">
        <v>241</v>
      </c>
      <c r="O154" s="7">
        <v>151</v>
      </c>
    </row>
    <row r="155" spans="1:18" x14ac:dyDescent="0.2">
      <c r="A155">
        <v>154</v>
      </c>
      <c r="B155" s="1">
        <v>40739</v>
      </c>
      <c r="C155" t="s">
        <v>24</v>
      </c>
      <c r="D155" s="7">
        <v>3</v>
      </c>
      <c r="E155" s="7">
        <v>1</v>
      </c>
      <c r="F155" s="7">
        <f t="shared" si="2"/>
        <v>6</v>
      </c>
      <c r="G155" s="7" t="str">
        <f>LOOKUP(H155,[1]startdates!$A$2:$A$10,[1]startdates!$B$2:$B$10)</f>
        <v>C</v>
      </c>
      <c r="H155">
        <v>3</v>
      </c>
      <c r="N155" s="7">
        <v>239</v>
      </c>
      <c r="O155" s="7">
        <v>132</v>
      </c>
    </row>
    <row r="156" spans="1:18" x14ac:dyDescent="0.2">
      <c r="A156">
        <v>155</v>
      </c>
      <c r="B156" s="1">
        <v>40739</v>
      </c>
      <c r="C156" t="s">
        <v>24</v>
      </c>
      <c r="D156" s="7">
        <v>3</v>
      </c>
      <c r="E156" s="7">
        <v>1</v>
      </c>
      <c r="F156" s="7">
        <f t="shared" si="2"/>
        <v>6</v>
      </c>
      <c r="G156" s="7" t="str">
        <f>LOOKUP(H156,[1]startdates!$A$2:$A$10,[1]startdates!$B$2:$B$10)</f>
        <v>C</v>
      </c>
      <c r="H156">
        <v>3</v>
      </c>
      <c r="N156" s="7">
        <v>236</v>
      </c>
      <c r="O156" s="7">
        <v>153</v>
      </c>
    </row>
    <row r="157" spans="1:18" x14ac:dyDescent="0.2">
      <c r="A157">
        <v>156</v>
      </c>
      <c r="B157" s="1">
        <v>40739</v>
      </c>
      <c r="C157" t="s">
        <v>24</v>
      </c>
      <c r="D157" s="7">
        <v>3</v>
      </c>
      <c r="E157" s="7">
        <v>1</v>
      </c>
      <c r="F157" s="7">
        <f t="shared" si="2"/>
        <v>6</v>
      </c>
      <c r="G157" s="7" t="str">
        <f>LOOKUP(H157,[1]startdates!$A$2:$A$10,[1]startdates!$B$2:$B$10)</f>
        <v>C</v>
      </c>
      <c r="H157">
        <v>3</v>
      </c>
      <c r="N157" s="7">
        <v>173</v>
      </c>
      <c r="O157" s="7">
        <v>148</v>
      </c>
    </row>
    <row r="158" spans="1:18" x14ac:dyDescent="0.2">
      <c r="A158">
        <v>157</v>
      </c>
      <c r="B158" s="1">
        <v>40739</v>
      </c>
      <c r="C158" t="s">
        <v>24</v>
      </c>
      <c r="D158" s="7">
        <v>3</v>
      </c>
      <c r="E158" s="7">
        <v>1</v>
      </c>
      <c r="F158" s="7">
        <f t="shared" si="2"/>
        <v>6</v>
      </c>
      <c r="G158" s="7" t="str">
        <f>LOOKUP(H158,[1]startdates!$A$2:$A$10,[1]startdates!$B$2:$B$10)</f>
        <v>C</v>
      </c>
      <c r="H158">
        <v>3</v>
      </c>
      <c r="N158" s="7">
        <v>175</v>
      </c>
      <c r="O158" s="7">
        <v>153</v>
      </c>
    </row>
    <row r="159" spans="1:18" x14ac:dyDescent="0.2">
      <c r="A159">
        <v>158</v>
      </c>
      <c r="B159" s="1">
        <v>40739</v>
      </c>
      <c r="C159" t="s">
        <v>24</v>
      </c>
      <c r="D159" s="7">
        <v>3</v>
      </c>
      <c r="E159" s="7">
        <v>1</v>
      </c>
      <c r="F159" s="7">
        <f t="shared" si="2"/>
        <v>6</v>
      </c>
      <c r="G159" s="7" t="str">
        <f>LOOKUP(H159,[1]startdates!$A$2:$A$10,[1]startdates!$B$2:$B$10)</f>
        <v>C</v>
      </c>
      <c r="H159">
        <v>3</v>
      </c>
      <c r="N159" s="7">
        <v>259</v>
      </c>
      <c r="O159" s="7">
        <v>139</v>
      </c>
    </row>
    <row r="160" spans="1:18" x14ac:dyDescent="0.2">
      <c r="A160">
        <v>159</v>
      </c>
      <c r="B160" s="1">
        <v>40739</v>
      </c>
      <c r="C160" t="s">
        <v>24</v>
      </c>
      <c r="D160" s="7">
        <v>3</v>
      </c>
      <c r="E160" s="7">
        <v>1</v>
      </c>
      <c r="F160" s="7">
        <f t="shared" si="2"/>
        <v>6</v>
      </c>
      <c r="G160" s="7" t="str">
        <f>LOOKUP(H160,[1]startdates!$A$2:$A$10,[1]startdates!$B$2:$B$10)</f>
        <v>C</v>
      </c>
      <c r="H160">
        <v>3</v>
      </c>
      <c r="N160" s="7">
        <v>250</v>
      </c>
      <c r="O160" s="7">
        <v>149</v>
      </c>
    </row>
    <row r="161" spans="1:14" x14ac:dyDescent="0.2">
      <c r="A161">
        <v>160</v>
      </c>
      <c r="B161" s="1">
        <v>40739</v>
      </c>
      <c r="C161" t="s">
        <v>24</v>
      </c>
      <c r="D161" s="7">
        <v>3</v>
      </c>
      <c r="E161" s="7">
        <v>1</v>
      </c>
      <c r="F161" s="7">
        <f t="shared" si="2"/>
        <v>6</v>
      </c>
      <c r="G161" s="7" t="str">
        <f>LOOKUP(H161,[1]startdates!$A$2:$A$10,[1]startdates!$B$2:$B$10)</f>
        <v>C</v>
      </c>
      <c r="H161">
        <v>3</v>
      </c>
      <c r="N161" s="7">
        <v>272</v>
      </c>
    </row>
    <row r="162" spans="1:14" x14ac:dyDescent="0.2">
      <c r="A162">
        <v>161</v>
      </c>
      <c r="B162" s="1">
        <v>40739</v>
      </c>
      <c r="C162" t="s">
        <v>24</v>
      </c>
      <c r="D162" s="7">
        <v>3</v>
      </c>
      <c r="E162" s="7">
        <v>1</v>
      </c>
      <c r="F162" s="7">
        <f t="shared" si="2"/>
        <v>6</v>
      </c>
      <c r="G162" s="7" t="str">
        <f>LOOKUP(H162,[1]startdates!$A$2:$A$10,[1]startdates!$B$2:$B$10)</f>
        <v>C</v>
      </c>
      <c r="H162">
        <v>3</v>
      </c>
      <c r="N162" s="7">
        <v>194</v>
      </c>
    </row>
    <row r="163" spans="1:14" x14ac:dyDescent="0.2">
      <c r="A163">
        <v>162</v>
      </c>
      <c r="B163" s="1">
        <v>40739</v>
      </c>
      <c r="C163" t="s">
        <v>24</v>
      </c>
      <c r="D163" s="7">
        <v>3</v>
      </c>
      <c r="E163" s="7">
        <v>1</v>
      </c>
      <c r="F163" s="7">
        <f t="shared" si="2"/>
        <v>6</v>
      </c>
      <c r="G163" s="7" t="str">
        <f>LOOKUP(H163,[1]startdates!$A$2:$A$10,[1]startdates!$B$2:$B$10)</f>
        <v>C</v>
      </c>
      <c r="H163">
        <v>3</v>
      </c>
      <c r="N163" s="7">
        <v>225</v>
      </c>
    </row>
    <row r="164" spans="1:14" x14ac:dyDescent="0.2">
      <c r="A164">
        <v>163</v>
      </c>
      <c r="B164" s="1">
        <v>40739</v>
      </c>
      <c r="C164" t="s">
        <v>24</v>
      </c>
      <c r="D164" s="7">
        <v>3</v>
      </c>
      <c r="E164" s="7">
        <v>1</v>
      </c>
      <c r="F164" s="7">
        <f t="shared" si="2"/>
        <v>6</v>
      </c>
      <c r="G164" s="7" t="str">
        <f>LOOKUP(H164,[1]startdates!$A$2:$A$10,[1]startdates!$B$2:$B$10)</f>
        <v>C</v>
      </c>
      <c r="H164">
        <v>3</v>
      </c>
      <c r="N164" s="7">
        <v>186</v>
      </c>
    </row>
    <row r="165" spans="1:14" x14ac:dyDescent="0.2">
      <c r="A165">
        <v>164</v>
      </c>
      <c r="B165" s="1">
        <v>40739</v>
      </c>
      <c r="C165" t="s">
        <v>24</v>
      </c>
      <c r="D165" s="7">
        <v>3</v>
      </c>
      <c r="E165" s="7">
        <v>1</v>
      </c>
      <c r="F165" s="7">
        <f t="shared" si="2"/>
        <v>6</v>
      </c>
      <c r="G165" s="7" t="str">
        <f>LOOKUP(H165,[1]startdates!$A$2:$A$10,[1]startdates!$B$2:$B$10)</f>
        <v>C</v>
      </c>
      <c r="H165">
        <v>3</v>
      </c>
      <c r="N165" s="7">
        <v>177</v>
      </c>
    </row>
    <row r="166" spans="1:14" x14ac:dyDescent="0.2">
      <c r="A166">
        <v>165</v>
      </c>
      <c r="B166" s="1">
        <v>40739</v>
      </c>
      <c r="C166" t="s">
        <v>24</v>
      </c>
      <c r="D166" s="7">
        <v>3</v>
      </c>
      <c r="E166" s="7">
        <v>1</v>
      </c>
      <c r="F166" s="7">
        <f t="shared" si="2"/>
        <v>6</v>
      </c>
      <c r="G166" s="7" t="str">
        <f>LOOKUP(H166,[1]startdates!$A$2:$A$10,[1]startdates!$B$2:$B$10)</f>
        <v>C</v>
      </c>
      <c r="H166">
        <v>3</v>
      </c>
      <c r="N166" s="7">
        <v>244</v>
      </c>
    </row>
    <row r="167" spans="1:14" x14ac:dyDescent="0.2">
      <c r="A167">
        <v>166</v>
      </c>
      <c r="B167" s="1">
        <v>40739</v>
      </c>
      <c r="C167" t="s">
        <v>24</v>
      </c>
      <c r="D167" s="7">
        <v>3</v>
      </c>
      <c r="E167" s="7">
        <v>1</v>
      </c>
      <c r="F167" s="7">
        <f t="shared" si="2"/>
        <v>6</v>
      </c>
      <c r="G167" s="7" t="str">
        <f>LOOKUP(H167,[1]startdates!$A$2:$A$10,[1]startdates!$B$2:$B$10)</f>
        <v>C</v>
      </c>
      <c r="H167">
        <v>3</v>
      </c>
      <c r="N167" s="7">
        <v>183</v>
      </c>
    </row>
    <row r="168" spans="1:14" x14ac:dyDescent="0.2">
      <c r="A168">
        <v>167</v>
      </c>
      <c r="B168" s="1">
        <v>40739</v>
      </c>
      <c r="C168" t="s">
        <v>24</v>
      </c>
      <c r="D168" s="7">
        <v>3</v>
      </c>
      <c r="E168" s="7">
        <v>1</v>
      </c>
      <c r="F168" s="7">
        <f t="shared" si="2"/>
        <v>6</v>
      </c>
      <c r="G168" s="7" t="str">
        <f>LOOKUP(H168,[1]startdates!$A$2:$A$10,[1]startdates!$B$2:$B$10)</f>
        <v>C</v>
      </c>
      <c r="H168">
        <v>3</v>
      </c>
      <c r="N168" s="7">
        <v>187</v>
      </c>
    </row>
    <row r="169" spans="1:14" x14ac:dyDescent="0.2">
      <c r="A169">
        <v>168</v>
      </c>
      <c r="B169" s="1">
        <v>40739</v>
      </c>
      <c r="C169" t="s">
        <v>24</v>
      </c>
      <c r="D169" s="7">
        <v>3</v>
      </c>
      <c r="E169" s="7">
        <v>1</v>
      </c>
      <c r="F169" s="7">
        <f t="shared" ref="F169:F232" si="3">WEEKDAY(B169)</f>
        <v>6</v>
      </c>
      <c r="G169" s="7" t="str">
        <f>LOOKUP(H169,[1]startdates!$A$2:$A$10,[1]startdates!$B$2:$B$10)</f>
        <v>C</v>
      </c>
      <c r="H169">
        <v>3</v>
      </c>
      <c r="N169" s="7">
        <v>196</v>
      </c>
    </row>
    <row r="170" spans="1:14" x14ac:dyDescent="0.2">
      <c r="A170">
        <v>169</v>
      </c>
      <c r="B170" s="1">
        <v>40739</v>
      </c>
      <c r="C170" t="s">
        <v>24</v>
      </c>
      <c r="D170" s="7">
        <v>3</v>
      </c>
      <c r="E170" s="7">
        <v>1</v>
      </c>
      <c r="F170" s="7">
        <f t="shared" si="3"/>
        <v>6</v>
      </c>
      <c r="G170" s="7" t="str">
        <f>LOOKUP(H170,[1]startdates!$A$2:$A$10,[1]startdates!$B$2:$B$10)</f>
        <v>C</v>
      </c>
      <c r="H170">
        <v>3</v>
      </c>
      <c r="N170" s="7">
        <v>169</v>
      </c>
    </row>
    <row r="171" spans="1:14" x14ac:dyDescent="0.2">
      <c r="A171">
        <v>170</v>
      </c>
      <c r="B171" s="1">
        <v>40739</v>
      </c>
      <c r="C171" t="s">
        <v>24</v>
      </c>
      <c r="D171" s="7">
        <v>3</v>
      </c>
      <c r="E171" s="7">
        <v>1</v>
      </c>
      <c r="F171" s="7">
        <f t="shared" si="3"/>
        <v>6</v>
      </c>
      <c r="G171" s="7" t="str">
        <f>LOOKUP(H171,[1]startdates!$A$2:$A$10,[1]startdates!$B$2:$B$10)</f>
        <v>C</v>
      </c>
      <c r="H171">
        <v>3</v>
      </c>
      <c r="N171" s="7">
        <v>243</v>
      </c>
    </row>
    <row r="172" spans="1:14" x14ac:dyDescent="0.2">
      <c r="A172">
        <v>171</v>
      </c>
      <c r="B172" s="1">
        <v>40739</v>
      </c>
      <c r="C172" t="s">
        <v>24</v>
      </c>
      <c r="D172" s="7">
        <v>3</v>
      </c>
      <c r="E172" s="7">
        <v>1</v>
      </c>
      <c r="F172" s="7">
        <f t="shared" si="3"/>
        <v>6</v>
      </c>
      <c r="G172" s="7" t="str">
        <f>LOOKUP(H172,[1]startdates!$A$2:$A$10,[1]startdates!$B$2:$B$10)</f>
        <v>C</v>
      </c>
      <c r="H172">
        <v>3</v>
      </c>
      <c r="N172" s="7">
        <v>180</v>
      </c>
    </row>
    <row r="173" spans="1:14" x14ac:dyDescent="0.2">
      <c r="A173">
        <v>172</v>
      </c>
      <c r="B173" s="1">
        <v>40739</v>
      </c>
      <c r="C173" t="s">
        <v>24</v>
      </c>
      <c r="D173" s="7">
        <v>3</v>
      </c>
      <c r="E173" s="7">
        <v>1</v>
      </c>
      <c r="F173" s="7">
        <f t="shared" si="3"/>
        <v>6</v>
      </c>
      <c r="G173" s="7" t="str">
        <f>LOOKUP(H173,[1]startdates!$A$2:$A$10,[1]startdates!$B$2:$B$10)</f>
        <v>C</v>
      </c>
      <c r="H173">
        <v>3</v>
      </c>
      <c r="N173" s="7">
        <v>233</v>
      </c>
    </row>
    <row r="174" spans="1:14" x14ac:dyDescent="0.2">
      <c r="A174">
        <v>173</v>
      </c>
      <c r="B174" s="1">
        <v>40739</v>
      </c>
      <c r="C174" t="s">
        <v>24</v>
      </c>
      <c r="D174" s="7">
        <v>3</v>
      </c>
      <c r="E174" s="7">
        <v>1</v>
      </c>
      <c r="F174" s="7">
        <f t="shared" si="3"/>
        <v>6</v>
      </c>
      <c r="G174" s="7" t="str">
        <f>LOOKUP(H174,[1]startdates!$A$2:$A$10,[1]startdates!$B$2:$B$10)</f>
        <v>C</v>
      </c>
      <c r="H174">
        <v>3</v>
      </c>
      <c r="N174" s="7">
        <v>177</v>
      </c>
    </row>
    <row r="175" spans="1:14" x14ac:dyDescent="0.2">
      <c r="A175">
        <v>174</v>
      </c>
      <c r="B175" s="1">
        <v>40739</v>
      </c>
      <c r="C175" t="s">
        <v>24</v>
      </c>
      <c r="D175" s="7">
        <v>3</v>
      </c>
      <c r="E175" s="7">
        <v>1</v>
      </c>
      <c r="F175" s="7">
        <f t="shared" si="3"/>
        <v>6</v>
      </c>
      <c r="G175" s="7" t="str">
        <f>LOOKUP(H175,[1]startdates!$A$2:$A$10,[1]startdates!$B$2:$B$10)</f>
        <v>C</v>
      </c>
      <c r="H175">
        <v>3</v>
      </c>
      <c r="N175" s="7">
        <v>226</v>
      </c>
    </row>
    <row r="176" spans="1:14" x14ac:dyDescent="0.2">
      <c r="A176">
        <v>175</v>
      </c>
      <c r="B176" s="1">
        <v>40739</v>
      </c>
      <c r="C176" t="s">
        <v>24</v>
      </c>
      <c r="D176" s="7">
        <v>3</v>
      </c>
      <c r="E176" s="7">
        <v>1</v>
      </c>
      <c r="F176" s="7">
        <f t="shared" si="3"/>
        <v>6</v>
      </c>
      <c r="G176" s="7" t="str">
        <f>LOOKUP(H176,[1]startdates!$A$2:$A$10,[1]startdates!$B$2:$B$10)</f>
        <v>C</v>
      </c>
      <c r="H176">
        <v>3</v>
      </c>
      <c r="N176" s="7">
        <v>216</v>
      </c>
    </row>
    <row r="177" spans="1:18" x14ac:dyDescent="0.2">
      <c r="A177">
        <v>176</v>
      </c>
      <c r="B177" s="1">
        <v>40739</v>
      </c>
      <c r="C177" t="s">
        <v>24</v>
      </c>
      <c r="D177" s="7">
        <v>3</v>
      </c>
      <c r="E177" s="7">
        <v>1</v>
      </c>
      <c r="F177" s="7">
        <f t="shared" si="3"/>
        <v>6</v>
      </c>
      <c r="G177" s="7" t="str">
        <f>LOOKUP(H177,[1]startdates!$A$2:$A$10,[1]startdates!$B$2:$B$10)</f>
        <v>C</v>
      </c>
      <c r="H177">
        <v>3</v>
      </c>
      <c r="N177" s="7">
        <v>171</v>
      </c>
    </row>
    <row r="178" spans="1:18" x14ac:dyDescent="0.2">
      <c r="A178">
        <v>177</v>
      </c>
      <c r="B178" s="1">
        <v>40739</v>
      </c>
      <c r="C178" t="s">
        <v>24</v>
      </c>
      <c r="D178" s="7">
        <v>3</v>
      </c>
      <c r="E178" s="7">
        <v>1</v>
      </c>
      <c r="F178" s="7">
        <f t="shared" si="3"/>
        <v>6</v>
      </c>
      <c r="G178" s="7" t="str">
        <f>LOOKUP(H178,[1]startdates!$A$2:$A$10,[1]startdates!$B$2:$B$10)</f>
        <v>SMr</v>
      </c>
      <c r="H178">
        <v>4</v>
      </c>
      <c r="I178" s="7">
        <v>747</v>
      </c>
      <c r="K178" s="7">
        <v>694</v>
      </c>
      <c r="M178" s="7">
        <v>284</v>
      </c>
      <c r="N178" s="7">
        <v>253</v>
      </c>
      <c r="O178" s="7">
        <v>167</v>
      </c>
      <c r="R178" s="7">
        <v>278</v>
      </c>
    </row>
    <row r="179" spans="1:18" x14ac:dyDescent="0.2">
      <c r="A179">
        <v>178</v>
      </c>
      <c r="B179" s="1">
        <v>40739</v>
      </c>
      <c r="C179" t="s">
        <v>24</v>
      </c>
      <c r="D179" s="7">
        <v>3</v>
      </c>
      <c r="E179" s="7">
        <v>1</v>
      </c>
      <c r="F179" s="7">
        <f t="shared" si="3"/>
        <v>6</v>
      </c>
      <c r="G179" s="7" t="str">
        <f>LOOKUP(H179,[1]startdates!$A$2:$A$10,[1]startdates!$B$2:$B$10)</f>
        <v>SMr</v>
      </c>
      <c r="H179">
        <v>4</v>
      </c>
      <c r="I179" s="7">
        <v>761</v>
      </c>
      <c r="K179" s="7">
        <v>697</v>
      </c>
      <c r="N179" s="7">
        <v>192</v>
      </c>
      <c r="O179" s="7">
        <v>160</v>
      </c>
      <c r="R179" s="7">
        <v>266</v>
      </c>
    </row>
    <row r="180" spans="1:18" x14ac:dyDescent="0.2">
      <c r="A180">
        <v>179</v>
      </c>
      <c r="B180" s="1">
        <v>40739</v>
      </c>
      <c r="C180" t="s">
        <v>24</v>
      </c>
      <c r="D180" s="7">
        <v>3</v>
      </c>
      <c r="E180" s="7">
        <v>1</v>
      </c>
      <c r="F180" s="7">
        <f t="shared" si="3"/>
        <v>6</v>
      </c>
      <c r="G180" s="7" t="str">
        <f>LOOKUP(H180,[1]startdates!$A$2:$A$10,[1]startdates!$B$2:$B$10)</f>
        <v>SMr</v>
      </c>
      <c r="H180">
        <v>4</v>
      </c>
      <c r="I180" s="7">
        <v>718</v>
      </c>
      <c r="N180" s="7">
        <v>223</v>
      </c>
      <c r="O180" s="7">
        <v>160</v>
      </c>
      <c r="R180" s="7">
        <v>244</v>
      </c>
    </row>
    <row r="181" spans="1:18" x14ac:dyDescent="0.2">
      <c r="A181">
        <v>180</v>
      </c>
      <c r="B181" s="1">
        <v>40739</v>
      </c>
      <c r="C181" t="s">
        <v>24</v>
      </c>
      <c r="D181" s="7">
        <v>3</v>
      </c>
      <c r="E181" s="7">
        <v>1</v>
      </c>
      <c r="F181" s="7">
        <f t="shared" si="3"/>
        <v>6</v>
      </c>
      <c r="G181" s="7" t="str">
        <f>LOOKUP(H181,[1]startdates!$A$2:$A$10,[1]startdates!$B$2:$B$10)</f>
        <v>SMr</v>
      </c>
      <c r="H181">
        <v>4</v>
      </c>
      <c r="I181" s="7">
        <v>795</v>
      </c>
      <c r="N181" s="7">
        <v>200</v>
      </c>
      <c r="O181" s="7">
        <v>163</v>
      </c>
    </row>
    <row r="182" spans="1:18" x14ac:dyDescent="0.2">
      <c r="A182">
        <v>181</v>
      </c>
      <c r="B182" s="1">
        <v>40739</v>
      </c>
      <c r="C182" t="s">
        <v>24</v>
      </c>
      <c r="D182" s="7">
        <v>3</v>
      </c>
      <c r="E182" s="7">
        <v>1</v>
      </c>
      <c r="F182" s="7">
        <f t="shared" si="3"/>
        <v>6</v>
      </c>
      <c r="G182" s="7" t="str">
        <f>LOOKUP(H182,[1]startdates!$A$2:$A$10,[1]startdates!$B$2:$B$10)</f>
        <v>SMr</v>
      </c>
      <c r="H182">
        <v>4</v>
      </c>
      <c r="I182" s="7">
        <v>882</v>
      </c>
      <c r="N182" s="7">
        <v>170</v>
      </c>
      <c r="O182" s="7">
        <v>181</v>
      </c>
    </row>
    <row r="183" spans="1:18" x14ac:dyDescent="0.2">
      <c r="A183">
        <v>182</v>
      </c>
      <c r="B183" s="1">
        <v>40739</v>
      </c>
      <c r="C183" t="s">
        <v>24</v>
      </c>
      <c r="D183" s="7">
        <v>3</v>
      </c>
      <c r="E183" s="7">
        <v>1</v>
      </c>
      <c r="F183" s="7">
        <f t="shared" si="3"/>
        <v>6</v>
      </c>
      <c r="G183" s="7" t="str">
        <f>LOOKUP(H183,[1]startdates!$A$2:$A$10,[1]startdates!$B$2:$B$10)</f>
        <v>SMr</v>
      </c>
      <c r="H183">
        <v>4</v>
      </c>
      <c r="N183" s="7">
        <v>178</v>
      </c>
      <c r="O183" s="7">
        <v>186</v>
      </c>
    </row>
    <row r="184" spans="1:18" x14ac:dyDescent="0.2">
      <c r="A184">
        <v>183</v>
      </c>
      <c r="B184" s="1">
        <v>40739</v>
      </c>
      <c r="C184" t="s">
        <v>24</v>
      </c>
      <c r="D184" s="7">
        <v>3</v>
      </c>
      <c r="E184" s="7">
        <v>1</v>
      </c>
      <c r="F184" s="7">
        <f t="shared" si="3"/>
        <v>6</v>
      </c>
      <c r="G184" s="7" t="str">
        <f>LOOKUP(H184,[1]startdates!$A$2:$A$10,[1]startdates!$B$2:$B$10)</f>
        <v>SMr</v>
      </c>
      <c r="H184">
        <v>4</v>
      </c>
      <c r="N184" s="7">
        <v>183</v>
      </c>
      <c r="O184" s="7">
        <v>167</v>
      </c>
    </row>
    <row r="185" spans="1:18" x14ac:dyDescent="0.2">
      <c r="A185">
        <v>184</v>
      </c>
      <c r="B185" s="1">
        <v>40739</v>
      </c>
      <c r="C185" t="s">
        <v>24</v>
      </c>
      <c r="D185" s="7">
        <v>3</v>
      </c>
      <c r="E185" s="7">
        <v>1</v>
      </c>
      <c r="F185" s="7">
        <f t="shared" si="3"/>
        <v>6</v>
      </c>
      <c r="G185" s="7" t="str">
        <f>LOOKUP(H185,[1]startdates!$A$2:$A$10,[1]startdates!$B$2:$B$10)</f>
        <v>SMr</v>
      </c>
      <c r="H185">
        <v>4</v>
      </c>
      <c r="N185" s="7">
        <v>200</v>
      </c>
      <c r="O185" s="7">
        <v>166</v>
      </c>
    </row>
    <row r="186" spans="1:18" x14ac:dyDescent="0.2">
      <c r="A186">
        <v>185</v>
      </c>
      <c r="B186" s="1">
        <v>40739</v>
      </c>
      <c r="C186" t="s">
        <v>24</v>
      </c>
      <c r="D186" s="7">
        <v>3</v>
      </c>
      <c r="E186" s="7">
        <v>1</v>
      </c>
      <c r="F186" s="7">
        <f t="shared" si="3"/>
        <v>6</v>
      </c>
      <c r="G186" s="7" t="str">
        <f>LOOKUP(H186,[1]startdates!$A$2:$A$10,[1]startdates!$B$2:$B$10)</f>
        <v>SMr</v>
      </c>
      <c r="H186">
        <v>4</v>
      </c>
      <c r="O186" s="7">
        <v>125</v>
      </c>
    </row>
    <row r="187" spans="1:18" x14ac:dyDescent="0.2">
      <c r="A187">
        <v>186</v>
      </c>
      <c r="B187" s="1">
        <v>40739</v>
      </c>
      <c r="C187" t="s">
        <v>24</v>
      </c>
      <c r="D187" s="7">
        <v>3</v>
      </c>
      <c r="E187" s="7">
        <v>1</v>
      </c>
      <c r="F187" s="7">
        <f t="shared" si="3"/>
        <v>6</v>
      </c>
      <c r="G187" s="7" t="str">
        <f>LOOKUP(H187,[1]startdates!$A$2:$A$10,[1]startdates!$B$2:$B$10)</f>
        <v>SMr</v>
      </c>
      <c r="H187">
        <v>4</v>
      </c>
      <c r="O187" s="7">
        <v>157</v>
      </c>
    </row>
    <row r="188" spans="1:18" x14ac:dyDescent="0.2">
      <c r="A188">
        <v>187</v>
      </c>
      <c r="B188" s="1">
        <v>40739</v>
      </c>
      <c r="C188" t="s">
        <v>24</v>
      </c>
      <c r="D188" s="7">
        <v>3</v>
      </c>
      <c r="E188" s="7">
        <v>1</v>
      </c>
      <c r="F188" s="7">
        <f t="shared" si="3"/>
        <v>6</v>
      </c>
      <c r="G188" s="7" t="str">
        <f>LOOKUP(H188,[1]startdates!$A$2:$A$10,[1]startdates!$B$2:$B$10)</f>
        <v>SMr</v>
      </c>
      <c r="H188">
        <v>4</v>
      </c>
      <c r="O188" s="7">
        <v>135</v>
      </c>
    </row>
    <row r="189" spans="1:18" x14ac:dyDescent="0.2">
      <c r="A189">
        <v>188</v>
      </c>
      <c r="B189" s="1">
        <v>40739</v>
      </c>
      <c r="C189" t="s">
        <v>24</v>
      </c>
      <c r="D189" s="7">
        <v>3</v>
      </c>
      <c r="E189" s="7">
        <v>1</v>
      </c>
      <c r="F189" s="7">
        <f t="shared" si="3"/>
        <v>6</v>
      </c>
      <c r="G189" s="7" t="str">
        <f>LOOKUP(H189,[1]startdates!$A$2:$A$10,[1]startdates!$B$2:$B$10)</f>
        <v>SMr</v>
      </c>
      <c r="H189">
        <v>4</v>
      </c>
      <c r="O189" s="7">
        <v>140</v>
      </c>
    </row>
    <row r="190" spans="1:18" x14ac:dyDescent="0.2">
      <c r="A190">
        <v>189</v>
      </c>
      <c r="B190" s="1">
        <v>40739</v>
      </c>
      <c r="C190" t="s">
        <v>24</v>
      </c>
      <c r="D190" s="7">
        <v>3</v>
      </c>
      <c r="E190" s="7">
        <v>1</v>
      </c>
      <c r="F190" s="7">
        <f t="shared" si="3"/>
        <v>6</v>
      </c>
      <c r="G190" s="7" t="str">
        <f>LOOKUP(H190,[1]startdates!$A$2:$A$10,[1]startdates!$B$2:$B$10)</f>
        <v>SMr</v>
      </c>
      <c r="H190">
        <v>4</v>
      </c>
      <c r="O190" s="7">
        <v>146</v>
      </c>
    </row>
    <row r="191" spans="1:18" x14ac:dyDescent="0.2">
      <c r="A191">
        <v>190</v>
      </c>
      <c r="B191" s="1">
        <v>40739</v>
      </c>
      <c r="C191" t="s">
        <v>24</v>
      </c>
      <c r="D191" s="7">
        <v>3</v>
      </c>
      <c r="E191" s="7">
        <v>1</v>
      </c>
      <c r="F191" s="7">
        <f t="shared" si="3"/>
        <v>6</v>
      </c>
      <c r="G191" s="7" t="str">
        <f>LOOKUP(H191,[1]startdates!$A$2:$A$10,[1]startdates!$B$2:$B$10)</f>
        <v>C</v>
      </c>
      <c r="H191">
        <v>5</v>
      </c>
      <c r="I191" s="7">
        <v>746</v>
      </c>
      <c r="J191" s="7">
        <v>547</v>
      </c>
      <c r="K191" s="7">
        <v>644</v>
      </c>
      <c r="N191" s="7">
        <v>162</v>
      </c>
      <c r="O191" s="7">
        <v>153</v>
      </c>
    </row>
    <row r="192" spans="1:18" x14ac:dyDescent="0.2">
      <c r="A192">
        <v>191</v>
      </c>
      <c r="B192" s="1">
        <v>40739</v>
      </c>
      <c r="C192" t="s">
        <v>24</v>
      </c>
      <c r="D192" s="7">
        <v>3</v>
      </c>
      <c r="E192" s="7">
        <v>1</v>
      </c>
      <c r="F192" s="7">
        <f t="shared" si="3"/>
        <v>6</v>
      </c>
      <c r="G192" s="7" t="str">
        <f>LOOKUP(H192,[1]startdates!$A$2:$A$10,[1]startdates!$B$2:$B$10)</f>
        <v>C</v>
      </c>
      <c r="H192">
        <v>5</v>
      </c>
      <c r="I192" s="7">
        <v>872</v>
      </c>
      <c r="J192" s="7">
        <v>629</v>
      </c>
      <c r="N192" s="7">
        <v>271</v>
      </c>
      <c r="O192" s="7">
        <v>157</v>
      </c>
    </row>
    <row r="193" spans="1:15" x14ac:dyDescent="0.2">
      <c r="A193">
        <v>192</v>
      </c>
      <c r="B193" s="1">
        <v>40739</v>
      </c>
      <c r="C193" t="s">
        <v>24</v>
      </c>
      <c r="D193" s="7">
        <v>3</v>
      </c>
      <c r="E193" s="7">
        <v>1</v>
      </c>
      <c r="F193" s="7">
        <f t="shared" si="3"/>
        <v>6</v>
      </c>
      <c r="G193" s="7" t="str">
        <f>LOOKUP(H193,[1]startdates!$A$2:$A$10,[1]startdates!$B$2:$B$10)</f>
        <v>C</v>
      </c>
      <c r="H193">
        <v>5</v>
      </c>
      <c r="I193" s="7">
        <v>842</v>
      </c>
      <c r="J193" s="7">
        <v>619</v>
      </c>
      <c r="N193" s="7">
        <v>213</v>
      </c>
      <c r="O193" s="7">
        <v>171</v>
      </c>
    </row>
    <row r="194" spans="1:15" x14ac:dyDescent="0.2">
      <c r="A194">
        <v>193</v>
      </c>
      <c r="B194" s="1">
        <v>40739</v>
      </c>
      <c r="C194" t="s">
        <v>24</v>
      </c>
      <c r="D194" s="7">
        <v>3</v>
      </c>
      <c r="E194" s="7">
        <v>1</v>
      </c>
      <c r="F194" s="7">
        <f t="shared" si="3"/>
        <v>6</v>
      </c>
      <c r="G194" s="7" t="str">
        <f>LOOKUP(H194,[1]startdates!$A$2:$A$10,[1]startdates!$B$2:$B$10)</f>
        <v>C</v>
      </c>
      <c r="H194">
        <v>5</v>
      </c>
      <c r="I194" s="7">
        <v>866</v>
      </c>
      <c r="J194" s="7">
        <v>568</v>
      </c>
      <c r="N194" s="7">
        <v>206</v>
      </c>
      <c r="O194" s="7">
        <v>167</v>
      </c>
    </row>
    <row r="195" spans="1:15" x14ac:dyDescent="0.2">
      <c r="A195">
        <v>194</v>
      </c>
      <c r="B195" s="1">
        <v>40739</v>
      </c>
      <c r="C195" t="s">
        <v>24</v>
      </c>
      <c r="D195" s="7">
        <v>3</v>
      </c>
      <c r="E195" s="7">
        <v>1</v>
      </c>
      <c r="F195" s="7">
        <f t="shared" si="3"/>
        <v>6</v>
      </c>
      <c r="G195" s="7" t="str">
        <f>LOOKUP(H195,[1]startdates!$A$2:$A$10,[1]startdates!$B$2:$B$10)</f>
        <v>C</v>
      </c>
      <c r="H195">
        <v>5</v>
      </c>
      <c r="I195" s="7">
        <v>906</v>
      </c>
      <c r="J195" s="7">
        <v>587</v>
      </c>
      <c r="N195" s="7">
        <v>222</v>
      </c>
      <c r="O195" s="7">
        <v>178</v>
      </c>
    </row>
    <row r="196" spans="1:15" x14ac:dyDescent="0.2">
      <c r="A196">
        <v>195</v>
      </c>
      <c r="B196" s="1">
        <v>40739</v>
      </c>
      <c r="C196" t="s">
        <v>24</v>
      </c>
      <c r="D196" s="7">
        <v>3</v>
      </c>
      <c r="E196" s="7">
        <v>1</v>
      </c>
      <c r="F196" s="7">
        <f t="shared" si="3"/>
        <v>6</v>
      </c>
      <c r="G196" s="7" t="str">
        <f>LOOKUP(H196,[1]startdates!$A$2:$A$10,[1]startdates!$B$2:$B$10)</f>
        <v>C</v>
      </c>
      <c r="H196">
        <v>5</v>
      </c>
      <c r="I196" s="7">
        <v>873</v>
      </c>
      <c r="N196" s="7">
        <v>184</v>
      </c>
      <c r="O196" s="7">
        <v>169</v>
      </c>
    </row>
    <row r="197" spans="1:15" x14ac:dyDescent="0.2">
      <c r="A197">
        <v>196</v>
      </c>
      <c r="B197" s="1">
        <v>40739</v>
      </c>
      <c r="C197" t="s">
        <v>24</v>
      </c>
      <c r="D197" s="7">
        <v>3</v>
      </c>
      <c r="E197" s="7">
        <v>1</v>
      </c>
      <c r="F197" s="7">
        <f t="shared" si="3"/>
        <v>6</v>
      </c>
      <c r="G197" s="7" t="str">
        <f>LOOKUP(H197,[1]startdates!$A$2:$A$10,[1]startdates!$B$2:$B$10)</f>
        <v>C</v>
      </c>
      <c r="H197">
        <v>5</v>
      </c>
      <c r="I197" s="7">
        <v>882</v>
      </c>
      <c r="N197" s="7">
        <v>207</v>
      </c>
      <c r="O197" s="7">
        <v>171</v>
      </c>
    </row>
    <row r="198" spans="1:15" x14ac:dyDescent="0.2">
      <c r="A198">
        <v>197</v>
      </c>
      <c r="B198" s="1">
        <v>40739</v>
      </c>
      <c r="C198" t="s">
        <v>24</v>
      </c>
      <c r="D198" s="7">
        <v>3</v>
      </c>
      <c r="E198" s="7">
        <v>1</v>
      </c>
      <c r="F198" s="7">
        <f t="shared" si="3"/>
        <v>6</v>
      </c>
      <c r="G198" s="7" t="str">
        <f>LOOKUP(H198,[1]startdates!$A$2:$A$10,[1]startdates!$B$2:$B$10)</f>
        <v>C</v>
      </c>
      <c r="H198">
        <v>5</v>
      </c>
      <c r="I198" s="7">
        <v>695</v>
      </c>
      <c r="O198" s="7">
        <v>160</v>
      </c>
    </row>
    <row r="199" spans="1:15" x14ac:dyDescent="0.2">
      <c r="A199">
        <v>198</v>
      </c>
      <c r="B199" s="1">
        <v>40739</v>
      </c>
      <c r="C199" t="s">
        <v>24</v>
      </c>
      <c r="D199" s="7">
        <v>3</v>
      </c>
      <c r="E199" s="7">
        <v>1</v>
      </c>
      <c r="F199" s="7">
        <f t="shared" si="3"/>
        <v>6</v>
      </c>
      <c r="G199" s="7" t="str">
        <f>LOOKUP(H199,[1]startdates!$A$2:$A$10,[1]startdates!$B$2:$B$10)</f>
        <v>C</v>
      </c>
      <c r="H199">
        <v>5</v>
      </c>
      <c r="O199" s="7">
        <v>142</v>
      </c>
    </row>
    <row r="200" spans="1:15" x14ac:dyDescent="0.2">
      <c r="A200">
        <v>199</v>
      </c>
      <c r="B200" s="1">
        <v>40739</v>
      </c>
      <c r="C200" t="s">
        <v>24</v>
      </c>
      <c r="D200" s="7">
        <v>3</v>
      </c>
      <c r="E200" s="7">
        <v>1</v>
      </c>
      <c r="F200" s="7">
        <f t="shared" si="3"/>
        <v>6</v>
      </c>
      <c r="G200" s="7" t="str">
        <f>LOOKUP(H200,[1]startdates!$A$2:$A$10,[1]startdates!$B$2:$B$10)</f>
        <v>C</v>
      </c>
      <c r="H200">
        <v>5</v>
      </c>
      <c r="O200" s="7">
        <v>167</v>
      </c>
    </row>
    <row r="201" spans="1:15" x14ac:dyDescent="0.2">
      <c r="A201">
        <v>200</v>
      </c>
      <c r="B201" s="1">
        <v>40739</v>
      </c>
      <c r="C201" t="s">
        <v>24</v>
      </c>
      <c r="D201" s="7">
        <v>3</v>
      </c>
      <c r="E201" s="7">
        <v>1</v>
      </c>
      <c r="F201" s="7">
        <f t="shared" si="3"/>
        <v>6</v>
      </c>
      <c r="G201" s="7" t="str">
        <f>LOOKUP(H201,[1]startdates!$A$2:$A$10,[1]startdates!$B$2:$B$10)</f>
        <v>C</v>
      </c>
      <c r="H201">
        <v>5</v>
      </c>
      <c r="O201" s="7">
        <v>156</v>
      </c>
    </row>
    <row r="202" spans="1:15" x14ac:dyDescent="0.2">
      <c r="A202">
        <v>201</v>
      </c>
      <c r="B202" s="1">
        <v>40739</v>
      </c>
      <c r="C202" t="s">
        <v>24</v>
      </c>
      <c r="D202" s="7">
        <v>3</v>
      </c>
      <c r="E202" s="7">
        <v>1</v>
      </c>
      <c r="F202" s="7">
        <f t="shared" si="3"/>
        <v>6</v>
      </c>
      <c r="G202" s="7" t="str">
        <f>LOOKUP(H202,[1]startdates!$A$2:$A$10,[1]startdates!$B$2:$B$10)</f>
        <v>C</v>
      </c>
      <c r="H202">
        <v>5</v>
      </c>
      <c r="O202" s="7">
        <v>152</v>
      </c>
    </row>
    <row r="203" spans="1:15" x14ac:dyDescent="0.2">
      <c r="A203">
        <v>202</v>
      </c>
      <c r="B203" s="1">
        <v>40739</v>
      </c>
      <c r="C203" t="s">
        <v>24</v>
      </c>
      <c r="D203" s="7">
        <v>3</v>
      </c>
      <c r="E203" s="7">
        <v>1</v>
      </c>
      <c r="F203" s="7">
        <f t="shared" si="3"/>
        <v>6</v>
      </c>
      <c r="G203" s="7" t="str">
        <f>LOOKUP(H203,[1]startdates!$A$2:$A$10,[1]startdates!$B$2:$B$10)</f>
        <v>C</v>
      </c>
      <c r="H203">
        <v>5</v>
      </c>
      <c r="O203" s="7">
        <v>155</v>
      </c>
    </row>
    <row r="204" spans="1:15" x14ac:dyDescent="0.2">
      <c r="A204">
        <v>203</v>
      </c>
      <c r="B204" s="1">
        <v>40739</v>
      </c>
      <c r="C204" t="s">
        <v>24</v>
      </c>
      <c r="D204" s="7">
        <v>3</v>
      </c>
      <c r="E204" s="7">
        <v>1</v>
      </c>
      <c r="F204" s="7">
        <f t="shared" si="3"/>
        <v>6</v>
      </c>
      <c r="G204" s="7" t="str">
        <f>LOOKUP(H204,[1]startdates!$A$2:$A$10,[1]startdates!$B$2:$B$10)</f>
        <v>C</v>
      </c>
      <c r="H204">
        <v>5</v>
      </c>
      <c r="O204" s="7">
        <v>155</v>
      </c>
    </row>
    <row r="205" spans="1:15" x14ac:dyDescent="0.2">
      <c r="A205">
        <v>204</v>
      </c>
      <c r="B205" s="1">
        <v>40739</v>
      </c>
      <c r="C205" t="s">
        <v>24</v>
      </c>
      <c r="D205" s="7">
        <v>3</v>
      </c>
      <c r="E205" s="7">
        <v>1</v>
      </c>
      <c r="F205" s="7">
        <f t="shared" si="3"/>
        <v>6</v>
      </c>
      <c r="G205" s="7" t="str">
        <f>LOOKUP(H205,[1]startdates!$A$2:$A$10,[1]startdates!$B$2:$B$10)</f>
        <v>C</v>
      </c>
      <c r="H205">
        <v>5</v>
      </c>
      <c r="O205" s="7">
        <v>166</v>
      </c>
    </row>
    <row r="206" spans="1:15" x14ac:dyDescent="0.2">
      <c r="A206">
        <v>205</v>
      </c>
      <c r="B206" s="1">
        <v>40739</v>
      </c>
      <c r="C206" t="s">
        <v>24</v>
      </c>
      <c r="D206" s="7">
        <v>3</v>
      </c>
      <c r="E206" s="7">
        <v>1</v>
      </c>
      <c r="F206" s="7">
        <f t="shared" si="3"/>
        <v>6</v>
      </c>
      <c r="G206" s="7" t="str">
        <f>LOOKUP(H206,[1]startdates!$A$2:$A$10,[1]startdates!$B$2:$B$10)</f>
        <v>C</v>
      </c>
      <c r="H206">
        <v>5</v>
      </c>
      <c r="O206" s="7">
        <v>128</v>
      </c>
    </row>
    <row r="207" spans="1:15" x14ac:dyDescent="0.2">
      <c r="A207">
        <v>206</v>
      </c>
      <c r="B207" s="1">
        <v>40739</v>
      </c>
      <c r="C207" t="s">
        <v>24</v>
      </c>
      <c r="D207" s="7">
        <v>3</v>
      </c>
      <c r="E207" s="7">
        <v>1</v>
      </c>
      <c r="F207" s="7">
        <f t="shared" si="3"/>
        <v>6</v>
      </c>
      <c r="G207" s="7" t="str">
        <f>LOOKUP(H207,[1]startdates!$A$2:$A$10,[1]startdates!$B$2:$B$10)</f>
        <v>C</v>
      </c>
      <c r="H207">
        <v>5</v>
      </c>
      <c r="O207" s="7">
        <v>153</v>
      </c>
    </row>
    <row r="208" spans="1:15" x14ac:dyDescent="0.2">
      <c r="A208">
        <v>207</v>
      </c>
      <c r="B208" s="1">
        <v>40739</v>
      </c>
      <c r="C208" t="s">
        <v>24</v>
      </c>
      <c r="D208" s="7">
        <v>3</v>
      </c>
      <c r="E208" s="7">
        <v>1</v>
      </c>
      <c r="F208" s="7">
        <f t="shared" si="3"/>
        <v>6</v>
      </c>
      <c r="G208" s="7" t="str">
        <f>LOOKUP(H208,[1]startdates!$A$2:$A$10,[1]startdates!$B$2:$B$10)</f>
        <v>C</v>
      </c>
      <c r="H208">
        <v>5</v>
      </c>
      <c r="O208" s="7">
        <v>146</v>
      </c>
    </row>
    <row r="209" spans="1:18" x14ac:dyDescent="0.2">
      <c r="A209">
        <v>208</v>
      </c>
      <c r="B209" s="1">
        <v>40739</v>
      </c>
      <c r="C209" t="s">
        <v>24</v>
      </c>
      <c r="D209" s="7">
        <v>3</v>
      </c>
      <c r="E209" s="7">
        <v>1</v>
      </c>
      <c r="F209" s="7">
        <f t="shared" si="3"/>
        <v>6</v>
      </c>
      <c r="G209" s="7" t="str">
        <f>LOOKUP(H209,[1]startdates!$A$2:$A$10,[1]startdates!$B$2:$B$10)</f>
        <v>FMr</v>
      </c>
      <c r="H209">
        <v>6</v>
      </c>
      <c r="I209" s="7">
        <v>725</v>
      </c>
      <c r="J209" s="7">
        <v>594</v>
      </c>
      <c r="K209" s="7">
        <v>645</v>
      </c>
      <c r="N209" s="7">
        <v>176</v>
      </c>
      <c r="O209" s="7">
        <v>176</v>
      </c>
      <c r="R209" s="7">
        <v>263</v>
      </c>
    </row>
    <row r="210" spans="1:18" x14ac:dyDescent="0.2">
      <c r="A210">
        <v>209</v>
      </c>
      <c r="B210" s="1">
        <v>40739</v>
      </c>
      <c r="C210" t="s">
        <v>24</v>
      </c>
      <c r="D210" s="7">
        <v>3</v>
      </c>
      <c r="E210" s="7">
        <v>1</v>
      </c>
      <c r="F210" s="7">
        <f t="shared" si="3"/>
        <v>6</v>
      </c>
      <c r="G210" s="7" t="str">
        <f>LOOKUP(H210,[1]startdates!$A$2:$A$10,[1]startdates!$B$2:$B$10)</f>
        <v>FMr</v>
      </c>
      <c r="H210">
        <v>6</v>
      </c>
      <c r="I210" s="7">
        <v>791</v>
      </c>
      <c r="K210" s="7">
        <v>708</v>
      </c>
      <c r="N210" s="7">
        <v>256</v>
      </c>
      <c r="O210" s="7">
        <v>179</v>
      </c>
    </row>
    <row r="211" spans="1:18" x14ac:dyDescent="0.2">
      <c r="A211">
        <v>210</v>
      </c>
      <c r="B211" s="1">
        <v>40739</v>
      </c>
      <c r="C211" t="s">
        <v>24</v>
      </c>
      <c r="D211" s="7">
        <v>3</v>
      </c>
      <c r="E211" s="7">
        <v>1</v>
      </c>
      <c r="F211" s="7">
        <f t="shared" si="3"/>
        <v>6</v>
      </c>
      <c r="G211" s="7" t="str">
        <f>LOOKUP(H211,[1]startdates!$A$2:$A$10,[1]startdates!$B$2:$B$10)</f>
        <v>FMr</v>
      </c>
      <c r="H211">
        <v>6</v>
      </c>
      <c r="I211" s="7">
        <v>865</v>
      </c>
      <c r="N211" s="7">
        <v>234</v>
      </c>
      <c r="O211" s="7">
        <v>168</v>
      </c>
    </row>
    <row r="212" spans="1:18" x14ac:dyDescent="0.2">
      <c r="A212">
        <v>211</v>
      </c>
      <c r="B212" s="1">
        <v>40739</v>
      </c>
      <c r="C212" t="s">
        <v>24</v>
      </c>
      <c r="D212" s="7">
        <v>3</v>
      </c>
      <c r="E212" s="7">
        <v>1</v>
      </c>
      <c r="F212" s="7">
        <f t="shared" si="3"/>
        <v>6</v>
      </c>
      <c r="G212" s="7" t="str">
        <f>LOOKUP(H212,[1]startdates!$A$2:$A$10,[1]startdates!$B$2:$B$10)</f>
        <v>FMr</v>
      </c>
      <c r="H212">
        <v>6</v>
      </c>
      <c r="I212" s="7">
        <v>787</v>
      </c>
      <c r="N212" s="7">
        <v>226</v>
      </c>
      <c r="O212" s="7">
        <v>161</v>
      </c>
    </row>
    <row r="213" spans="1:18" x14ac:dyDescent="0.2">
      <c r="A213">
        <v>212</v>
      </c>
      <c r="B213" s="1">
        <v>40739</v>
      </c>
      <c r="C213" t="s">
        <v>24</v>
      </c>
      <c r="D213" s="7">
        <v>3</v>
      </c>
      <c r="E213" s="7">
        <v>1</v>
      </c>
      <c r="F213" s="7">
        <f t="shared" si="3"/>
        <v>6</v>
      </c>
      <c r="G213" s="7" t="str">
        <f>LOOKUP(H213,[1]startdates!$A$2:$A$10,[1]startdates!$B$2:$B$10)</f>
        <v>FMr</v>
      </c>
      <c r="H213">
        <v>6</v>
      </c>
      <c r="I213" s="7">
        <v>741</v>
      </c>
      <c r="N213" s="7">
        <v>246</v>
      </c>
      <c r="O213" s="7">
        <v>159</v>
      </c>
    </row>
    <row r="214" spans="1:18" x14ac:dyDescent="0.2">
      <c r="A214">
        <v>213</v>
      </c>
      <c r="B214" s="1">
        <v>40739</v>
      </c>
      <c r="C214" t="s">
        <v>24</v>
      </c>
      <c r="D214" s="7">
        <v>3</v>
      </c>
      <c r="E214" s="7">
        <v>1</v>
      </c>
      <c r="F214" s="7">
        <f t="shared" si="3"/>
        <v>6</v>
      </c>
      <c r="G214" s="7" t="str">
        <f>LOOKUP(H214,[1]startdates!$A$2:$A$10,[1]startdates!$B$2:$B$10)</f>
        <v>FMr</v>
      </c>
      <c r="H214">
        <v>6</v>
      </c>
      <c r="I214" s="7">
        <v>834</v>
      </c>
      <c r="N214" s="7">
        <v>245</v>
      </c>
      <c r="O214" s="7">
        <v>143</v>
      </c>
    </row>
    <row r="215" spans="1:18" x14ac:dyDescent="0.2">
      <c r="A215">
        <v>214</v>
      </c>
      <c r="B215" s="1">
        <v>40739</v>
      </c>
      <c r="C215" t="s">
        <v>24</v>
      </c>
      <c r="D215" s="7">
        <v>3</v>
      </c>
      <c r="E215" s="7">
        <v>1</v>
      </c>
      <c r="F215" s="7">
        <f t="shared" si="3"/>
        <v>6</v>
      </c>
      <c r="G215" s="7" t="str">
        <f>LOOKUP(H215,[1]startdates!$A$2:$A$10,[1]startdates!$B$2:$B$10)</f>
        <v>FMr</v>
      </c>
      <c r="H215">
        <v>6</v>
      </c>
      <c r="N215" s="7">
        <v>184</v>
      </c>
      <c r="O215" s="7">
        <v>169</v>
      </c>
    </row>
    <row r="216" spans="1:18" x14ac:dyDescent="0.2">
      <c r="A216">
        <v>215</v>
      </c>
      <c r="B216" s="1">
        <v>40739</v>
      </c>
      <c r="C216" t="s">
        <v>24</v>
      </c>
      <c r="D216" s="7">
        <v>3</v>
      </c>
      <c r="E216" s="7">
        <v>1</v>
      </c>
      <c r="F216" s="7">
        <f t="shared" si="3"/>
        <v>6</v>
      </c>
      <c r="G216" s="7" t="str">
        <f>LOOKUP(H216,[1]startdates!$A$2:$A$10,[1]startdates!$B$2:$B$10)</f>
        <v>FMr</v>
      </c>
      <c r="H216">
        <v>6</v>
      </c>
      <c r="N216" s="7">
        <v>199</v>
      </c>
      <c r="O216" s="7">
        <v>156</v>
      </c>
    </row>
    <row r="217" spans="1:18" x14ac:dyDescent="0.2">
      <c r="A217">
        <v>216</v>
      </c>
      <c r="B217" s="1">
        <v>40739</v>
      </c>
      <c r="C217" t="s">
        <v>24</v>
      </c>
      <c r="D217" s="7">
        <v>3</v>
      </c>
      <c r="E217" s="7">
        <v>1</v>
      </c>
      <c r="F217" s="7">
        <f t="shared" si="3"/>
        <v>6</v>
      </c>
      <c r="G217" s="7" t="str">
        <f>LOOKUP(H217,[1]startdates!$A$2:$A$10,[1]startdates!$B$2:$B$10)</f>
        <v>FMr</v>
      </c>
      <c r="H217">
        <v>6</v>
      </c>
      <c r="N217" s="7">
        <v>251</v>
      </c>
      <c r="O217" s="7">
        <v>161</v>
      </c>
    </row>
    <row r="218" spans="1:18" x14ac:dyDescent="0.2">
      <c r="A218">
        <v>217</v>
      </c>
      <c r="B218" s="1">
        <v>40739</v>
      </c>
      <c r="C218" t="s">
        <v>24</v>
      </c>
      <c r="D218" s="7">
        <v>3</v>
      </c>
      <c r="E218" s="7">
        <v>1</v>
      </c>
      <c r="F218" s="7">
        <f t="shared" si="3"/>
        <v>6</v>
      </c>
      <c r="G218" s="7" t="str">
        <f>LOOKUP(H218,[1]startdates!$A$2:$A$10,[1]startdates!$B$2:$B$10)</f>
        <v>FMr</v>
      </c>
      <c r="H218">
        <v>6</v>
      </c>
      <c r="N218" s="7">
        <v>281</v>
      </c>
      <c r="O218" s="7">
        <v>169</v>
      </c>
    </row>
    <row r="219" spans="1:18" x14ac:dyDescent="0.2">
      <c r="A219">
        <v>218</v>
      </c>
      <c r="B219" s="1">
        <v>40739</v>
      </c>
      <c r="C219" t="s">
        <v>24</v>
      </c>
      <c r="D219" s="7">
        <v>3</v>
      </c>
      <c r="E219" s="7">
        <v>1</v>
      </c>
      <c r="F219" s="7">
        <f t="shared" si="3"/>
        <v>6</v>
      </c>
      <c r="G219" s="7" t="str">
        <f>LOOKUP(H219,[1]startdates!$A$2:$A$10,[1]startdates!$B$2:$B$10)</f>
        <v>FMr</v>
      </c>
      <c r="H219">
        <v>6</v>
      </c>
      <c r="N219" s="7">
        <v>182</v>
      </c>
      <c r="O219" s="7">
        <v>166</v>
      </c>
    </row>
    <row r="220" spans="1:18" x14ac:dyDescent="0.2">
      <c r="A220">
        <v>219</v>
      </c>
      <c r="B220" s="1">
        <v>40739</v>
      </c>
      <c r="C220" t="s">
        <v>24</v>
      </c>
      <c r="D220" s="7">
        <v>3</v>
      </c>
      <c r="E220" s="7">
        <v>1</v>
      </c>
      <c r="F220" s="7">
        <f t="shared" si="3"/>
        <v>6</v>
      </c>
      <c r="G220" s="7" t="str">
        <f>LOOKUP(H220,[1]startdates!$A$2:$A$10,[1]startdates!$B$2:$B$10)</f>
        <v>FMr</v>
      </c>
      <c r="H220">
        <v>6</v>
      </c>
      <c r="N220" s="7">
        <v>186</v>
      </c>
      <c r="O220" s="7">
        <v>153</v>
      </c>
    </row>
    <row r="221" spans="1:18" x14ac:dyDescent="0.2">
      <c r="A221">
        <v>220</v>
      </c>
      <c r="B221" s="1">
        <v>40739</v>
      </c>
      <c r="C221" t="s">
        <v>24</v>
      </c>
      <c r="D221" s="7">
        <v>3</v>
      </c>
      <c r="E221" s="7">
        <v>1</v>
      </c>
      <c r="F221" s="7">
        <f t="shared" si="3"/>
        <v>6</v>
      </c>
      <c r="G221" s="7" t="str">
        <f>LOOKUP(H221,[1]startdates!$A$2:$A$10,[1]startdates!$B$2:$B$10)</f>
        <v>FMr</v>
      </c>
      <c r="H221">
        <v>6</v>
      </c>
      <c r="O221" s="7">
        <v>183</v>
      </c>
    </row>
    <row r="222" spans="1:18" x14ac:dyDescent="0.2">
      <c r="A222">
        <v>221</v>
      </c>
      <c r="B222" s="1">
        <v>40739</v>
      </c>
      <c r="C222" t="s">
        <v>24</v>
      </c>
      <c r="D222" s="7">
        <v>3</v>
      </c>
      <c r="E222" s="7">
        <v>1</v>
      </c>
      <c r="F222" s="7">
        <f t="shared" si="3"/>
        <v>6</v>
      </c>
      <c r="G222" s="7" t="str">
        <f>LOOKUP(H222,[1]startdates!$A$2:$A$10,[1]startdates!$B$2:$B$10)</f>
        <v>FMr</v>
      </c>
      <c r="H222">
        <v>6</v>
      </c>
      <c r="O222" s="7">
        <v>172</v>
      </c>
    </row>
    <row r="223" spans="1:18" x14ac:dyDescent="0.2">
      <c r="A223">
        <v>222</v>
      </c>
      <c r="B223" s="1">
        <v>40739</v>
      </c>
      <c r="C223" t="s">
        <v>24</v>
      </c>
      <c r="D223" s="7">
        <v>3</v>
      </c>
      <c r="E223" s="7">
        <v>1</v>
      </c>
      <c r="F223" s="7">
        <f t="shared" si="3"/>
        <v>6</v>
      </c>
      <c r="G223" s="7" t="str">
        <f>LOOKUP(H223,[1]startdates!$A$2:$A$10,[1]startdates!$B$2:$B$10)</f>
        <v>FMr</v>
      </c>
      <c r="H223">
        <v>6</v>
      </c>
      <c r="O223" s="7">
        <v>170</v>
      </c>
    </row>
    <row r="224" spans="1:18" x14ac:dyDescent="0.2">
      <c r="A224">
        <v>223</v>
      </c>
      <c r="B224" s="1">
        <v>40739</v>
      </c>
      <c r="C224" t="s">
        <v>24</v>
      </c>
      <c r="D224" s="7">
        <v>3</v>
      </c>
      <c r="E224" s="7">
        <v>1</v>
      </c>
      <c r="F224" s="7">
        <f t="shared" si="3"/>
        <v>6</v>
      </c>
      <c r="G224" s="7" t="str">
        <f>LOOKUP(H224,[1]startdates!$A$2:$A$10,[1]startdates!$B$2:$B$10)</f>
        <v>FMr</v>
      </c>
      <c r="H224">
        <v>6</v>
      </c>
      <c r="O224" s="7">
        <v>165</v>
      </c>
    </row>
    <row r="225" spans="1:15" x14ac:dyDescent="0.2">
      <c r="A225">
        <v>224</v>
      </c>
      <c r="B225" s="1">
        <v>40739</v>
      </c>
      <c r="C225" t="s">
        <v>24</v>
      </c>
      <c r="D225" s="7">
        <v>3</v>
      </c>
      <c r="E225" s="7">
        <v>1</v>
      </c>
      <c r="F225" s="7">
        <f t="shared" si="3"/>
        <v>6</v>
      </c>
      <c r="G225" s="7" t="str">
        <f>LOOKUP(H225,[1]startdates!$A$2:$A$10,[1]startdates!$B$2:$B$10)</f>
        <v>FMr</v>
      </c>
      <c r="H225">
        <v>6</v>
      </c>
      <c r="O225" s="7">
        <v>152</v>
      </c>
    </row>
    <row r="226" spans="1:15" x14ac:dyDescent="0.2">
      <c r="A226">
        <v>225</v>
      </c>
      <c r="B226" s="1">
        <v>40739</v>
      </c>
      <c r="C226" t="s">
        <v>24</v>
      </c>
      <c r="D226" s="7">
        <v>3</v>
      </c>
      <c r="E226" s="7">
        <v>1</v>
      </c>
      <c r="F226" s="7">
        <f t="shared" si="3"/>
        <v>6</v>
      </c>
      <c r="G226" s="7" t="str">
        <f>LOOKUP(H226,[1]startdates!$A$2:$A$10,[1]startdates!$B$2:$B$10)</f>
        <v>FMr</v>
      </c>
      <c r="H226">
        <v>6</v>
      </c>
      <c r="O226" s="7">
        <v>168</v>
      </c>
    </row>
    <row r="227" spans="1:15" x14ac:dyDescent="0.2">
      <c r="A227">
        <v>226</v>
      </c>
      <c r="B227" s="1">
        <v>40739</v>
      </c>
      <c r="C227" t="s">
        <v>24</v>
      </c>
      <c r="D227" s="7">
        <v>3</v>
      </c>
      <c r="E227" s="7">
        <v>1</v>
      </c>
      <c r="F227" s="7">
        <f t="shared" si="3"/>
        <v>6</v>
      </c>
      <c r="G227" s="7" t="str">
        <f>LOOKUP(H227,[1]startdates!$A$2:$A$10,[1]startdates!$B$2:$B$10)</f>
        <v>FMr</v>
      </c>
      <c r="H227">
        <v>7</v>
      </c>
      <c r="I227" s="7">
        <v>800</v>
      </c>
      <c r="J227" s="7">
        <v>671</v>
      </c>
      <c r="K227" s="7">
        <v>696</v>
      </c>
      <c r="N227" s="7">
        <v>225</v>
      </c>
      <c r="O227" s="7">
        <v>153</v>
      </c>
    </row>
    <row r="228" spans="1:15" x14ac:dyDescent="0.2">
      <c r="A228">
        <v>227</v>
      </c>
      <c r="B228" s="1">
        <v>40739</v>
      </c>
      <c r="C228" t="s">
        <v>24</v>
      </c>
      <c r="D228" s="7">
        <v>3</v>
      </c>
      <c r="E228" s="7">
        <v>1</v>
      </c>
      <c r="F228" s="7">
        <f t="shared" si="3"/>
        <v>6</v>
      </c>
      <c r="G228" s="7" t="str">
        <f>LOOKUP(H228,[1]startdates!$A$2:$A$10,[1]startdates!$B$2:$B$10)</f>
        <v>FMr</v>
      </c>
      <c r="H228">
        <v>7</v>
      </c>
      <c r="I228" s="7">
        <v>871</v>
      </c>
      <c r="J228" s="7">
        <v>589</v>
      </c>
      <c r="K228" s="7">
        <v>603</v>
      </c>
      <c r="N228" s="7">
        <v>196</v>
      </c>
      <c r="O228" s="7">
        <v>145</v>
      </c>
    </row>
    <row r="229" spans="1:15" x14ac:dyDescent="0.2">
      <c r="A229">
        <v>228</v>
      </c>
      <c r="B229" s="1">
        <v>40739</v>
      </c>
      <c r="C229" t="s">
        <v>24</v>
      </c>
      <c r="D229" s="7">
        <v>3</v>
      </c>
      <c r="E229" s="7">
        <v>1</v>
      </c>
      <c r="F229" s="7">
        <f t="shared" si="3"/>
        <v>6</v>
      </c>
      <c r="G229" s="7" t="str">
        <f>LOOKUP(H229,[1]startdates!$A$2:$A$10,[1]startdates!$B$2:$B$10)</f>
        <v>FMr</v>
      </c>
      <c r="H229">
        <v>7</v>
      </c>
      <c r="I229" s="7">
        <v>810</v>
      </c>
      <c r="N229" s="7">
        <v>224</v>
      </c>
      <c r="O229" s="7">
        <v>165</v>
      </c>
    </row>
    <row r="230" spans="1:15" x14ac:dyDescent="0.2">
      <c r="A230">
        <v>229</v>
      </c>
      <c r="B230" s="1">
        <v>40739</v>
      </c>
      <c r="C230" t="s">
        <v>24</v>
      </c>
      <c r="D230" s="7">
        <v>3</v>
      </c>
      <c r="E230" s="7">
        <v>1</v>
      </c>
      <c r="F230" s="7">
        <f t="shared" si="3"/>
        <v>6</v>
      </c>
      <c r="G230" s="7" t="str">
        <f>LOOKUP(H230,[1]startdates!$A$2:$A$10,[1]startdates!$B$2:$B$10)</f>
        <v>FMr</v>
      </c>
      <c r="H230">
        <v>7</v>
      </c>
      <c r="I230" s="7">
        <v>807</v>
      </c>
      <c r="N230" s="7">
        <v>170</v>
      </c>
      <c r="O230" s="7">
        <v>158</v>
      </c>
    </row>
    <row r="231" spans="1:15" x14ac:dyDescent="0.2">
      <c r="A231">
        <v>230</v>
      </c>
      <c r="B231" s="1">
        <v>40739</v>
      </c>
      <c r="C231" t="s">
        <v>24</v>
      </c>
      <c r="D231" s="7">
        <v>3</v>
      </c>
      <c r="E231" s="7">
        <v>1</v>
      </c>
      <c r="F231" s="7">
        <f t="shared" si="3"/>
        <v>6</v>
      </c>
      <c r="G231" s="7" t="str">
        <f>LOOKUP(H231,[1]startdates!$A$2:$A$10,[1]startdates!$B$2:$B$10)</f>
        <v>FMr</v>
      </c>
      <c r="H231">
        <v>7</v>
      </c>
      <c r="I231" s="7">
        <v>904</v>
      </c>
      <c r="N231" s="7">
        <v>218</v>
      </c>
      <c r="O231" s="7">
        <v>145</v>
      </c>
    </row>
    <row r="232" spans="1:15" x14ac:dyDescent="0.2">
      <c r="A232">
        <v>231</v>
      </c>
      <c r="B232" s="1">
        <v>40739</v>
      </c>
      <c r="C232" t="s">
        <v>24</v>
      </c>
      <c r="D232" s="7">
        <v>3</v>
      </c>
      <c r="E232" s="7">
        <v>1</v>
      </c>
      <c r="F232" s="7">
        <f t="shared" si="3"/>
        <v>6</v>
      </c>
      <c r="G232" s="7" t="str">
        <f>LOOKUP(H232,[1]startdates!$A$2:$A$10,[1]startdates!$B$2:$B$10)</f>
        <v>FMr</v>
      </c>
      <c r="H232">
        <v>7</v>
      </c>
      <c r="I232" s="7">
        <v>754</v>
      </c>
      <c r="N232" s="7">
        <v>255</v>
      </c>
      <c r="O232" s="7">
        <v>161</v>
      </c>
    </row>
    <row r="233" spans="1:15" x14ac:dyDescent="0.2">
      <c r="A233">
        <v>232</v>
      </c>
      <c r="B233" s="1">
        <v>40739</v>
      </c>
      <c r="C233" t="s">
        <v>24</v>
      </c>
      <c r="D233" s="7">
        <v>3</v>
      </c>
      <c r="E233" s="7">
        <v>1</v>
      </c>
      <c r="F233" s="7">
        <f t="shared" ref="F233:F296" si="4">WEEKDAY(B233)</f>
        <v>6</v>
      </c>
      <c r="G233" s="7" t="str">
        <f>LOOKUP(H233,[1]startdates!$A$2:$A$10,[1]startdates!$B$2:$B$10)</f>
        <v>FMr</v>
      </c>
      <c r="H233">
        <v>7</v>
      </c>
      <c r="I233" s="7">
        <v>534</v>
      </c>
      <c r="N233" s="7">
        <v>195</v>
      </c>
      <c r="O233" s="7">
        <v>168</v>
      </c>
    </row>
    <row r="234" spans="1:15" x14ac:dyDescent="0.2">
      <c r="A234">
        <v>233</v>
      </c>
      <c r="B234" s="1">
        <v>40739</v>
      </c>
      <c r="C234" t="s">
        <v>24</v>
      </c>
      <c r="D234" s="7">
        <v>3</v>
      </c>
      <c r="E234" s="7">
        <v>1</v>
      </c>
      <c r="F234" s="7">
        <f t="shared" si="4"/>
        <v>6</v>
      </c>
      <c r="G234" s="7" t="str">
        <f>LOOKUP(H234,[1]startdates!$A$2:$A$10,[1]startdates!$B$2:$B$10)</f>
        <v>FMr</v>
      </c>
      <c r="H234">
        <v>7</v>
      </c>
      <c r="I234" s="7">
        <v>814</v>
      </c>
      <c r="N234" s="7">
        <v>199</v>
      </c>
      <c r="O234" s="7">
        <v>133</v>
      </c>
    </row>
    <row r="235" spans="1:15" x14ac:dyDescent="0.2">
      <c r="A235">
        <v>234</v>
      </c>
      <c r="B235" s="1">
        <v>40739</v>
      </c>
      <c r="C235" t="s">
        <v>24</v>
      </c>
      <c r="D235" s="7">
        <v>3</v>
      </c>
      <c r="E235" s="7">
        <v>1</v>
      </c>
      <c r="F235" s="7">
        <f t="shared" si="4"/>
        <v>6</v>
      </c>
      <c r="G235" s="7" t="str">
        <f>LOOKUP(H235,[1]startdates!$A$2:$A$10,[1]startdates!$B$2:$B$10)</f>
        <v>FMr</v>
      </c>
      <c r="H235">
        <v>7</v>
      </c>
      <c r="N235" s="7">
        <v>216</v>
      </c>
    </row>
    <row r="236" spans="1:15" x14ac:dyDescent="0.2">
      <c r="A236">
        <v>235</v>
      </c>
      <c r="B236" s="1">
        <v>40739</v>
      </c>
      <c r="C236" t="s">
        <v>24</v>
      </c>
      <c r="D236" s="7">
        <v>3</v>
      </c>
      <c r="E236" s="7">
        <v>1</v>
      </c>
      <c r="F236" s="7">
        <f t="shared" si="4"/>
        <v>6</v>
      </c>
      <c r="G236" s="7" t="str">
        <f>LOOKUP(H236,[1]startdates!$A$2:$A$10,[1]startdates!$B$2:$B$10)</f>
        <v>FMr</v>
      </c>
      <c r="H236">
        <v>7</v>
      </c>
      <c r="N236" s="7">
        <v>227</v>
      </c>
    </row>
    <row r="237" spans="1:15" x14ac:dyDescent="0.2">
      <c r="A237">
        <v>236</v>
      </c>
      <c r="B237" s="1">
        <v>40739</v>
      </c>
      <c r="C237" t="s">
        <v>24</v>
      </c>
      <c r="D237" s="7">
        <v>3</v>
      </c>
      <c r="E237" s="7">
        <v>1</v>
      </c>
      <c r="F237" s="7">
        <f t="shared" si="4"/>
        <v>6</v>
      </c>
      <c r="G237" s="7" t="str">
        <f>LOOKUP(H237,[1]startdates!$A$2:$A$10,[1]startdates!$B$2:$B$10)</f>
        <v>FMr</v>
      </c>
      <c r="H237">
        <v>7</v>
      </c>
      <c r="N237" s="7">
        <v>232</v>
      </c>
    </row>
    <row r="238" spans="1:15" x14ac:dyDescent="0.2">
      <c r="A238">
        <v>237</v>
      </c>
      <c r="B238" s="1">
        <v>40739</v>
      </c>
      <c r="C238" t="s">
        <v>24</v>
      </c>
      <c r="D238" s="7">
        <v>3</v>
      </c>
      <c r="E238" s="7">
        <v>1</v>
      </c>
      <c r="F238" s="7">
        <f t="shared" si="4"/>
        <v>6</v>
      </c>
      <c r="G238" s="7" t="str">
        <f>LOOKUP(H238,[1]startdates!$A$2:$A$10,[1]startdates!$B$2:$B$10)</f>
        <v>FMr</v>
      </c>
      <c r="H238">
        <v>7</v>
      </c>
      <c r="N238" s="7">
        <v>254</v>
      </c>
    </row>
    <row r="239" spans="1:15" x14ac:dyDescent="0.2">
      <c r="A239">
        <v>238</v>
      </c>
      <c r="B239" s="1">
        <v>40739</v>
      </c>
      <c r="C239" t="s">
        <v>24</v>
      </c>
      <c r="D239" s="7">
        <v>3</v>
      </c>
      <c r="E239" s="7">
        <v>1</v>
      </c>
      <c r="F239" s="7">
        <f t="shared" si="4"/>
        <v>6</v>
      </c>
      <c r="G239" s="7" t="str">
        <f>LOOKUP(H239,[1]startdates!$A$2:$A$10,[1]startdates!$B$2:$B$10)</f>
        <v>FMr</v>
      </c>
      <c r="H239">
        <v>7</v>
      </c>
      <c r="N239" s="7">
        <v>251</v>
      </c>
    </row>
    <row r="240" spans="1:15" x14ac:dyDescent="0.2">
      <c r="A240">
        <v>239</v>
      </c>
      <c r="B240" s="1">
        <v>40739</v>
      </c>
      <c r="C240" t="s">
        <v>24</v>
      </c>
      <c r="D240" s="7">
        <v>3</v>
      </c>
      <c r="E240" s="7">
        <v>1</v>
      </c>
      <c r="F240" s="7">
        <f t="shared" si="4"/>
        <v>6</v>
      </c>
      <c r="G240" s="7" t="str">
        <f>LOOKUP(H240,[1]startdates!$A$2:$A$10,[1]startdates!$B$2:$B$10)</f>
        <v>FMr</v>
      </c>
      <c r="H240">
        <v>7</v>
      </c>
      <c r="N240" s="7">
        <v>226</v>
      </c>
    </row>
    <row r="241" spans="1:15" x14ac:dyDescent="0.2">
      <c r="A241">
        <v>240</v>
      </c>
      <c r="B241" s="1">
        <v>40739</v>
      </c>
      <c r="C241" t="s">
        <v>24</v>
      </c>
      <c r="D241" s="7">
        <v>3</v>
      </c>
      <c r="E241" s="7">
        <v>1</v>
      </c>
      <c r="F241" s="7">
        <f t="shared" si="4"/>
        <v>6</v>
      </c>
      <c r="G241" s="7" t="str">
        <f>LOOKUP(H241,[1]startdates!$A$2:$A$10,[1]startdates!$B$2:$B$10)</f>
        <v>C</v>
      </c>
      <c r="H241">
        <v>8</v>
      </c>
      <c r="I241" s="7">
        <v>737</v>
      </c>
      <c r="J241" s="7">
        <v>729</v>
      </c>
      <c r="K241" s="7">
        <v>687</v>
      </c>
      <c r="N241" s="7">
        <v>195</v>
      </c>
      <c r="O241" s="7">
        <v>188</v>
      </c>
    </row>
    <row r="242" spans="1:15" x14ac:dyDescent="0.2">
      <c r="A242">
        <v>241</v>
      </c>
      <c r="B242" s="1">
        <v>40739</v>
      </c>
      <c r="C242" t="s">
        <v>24</v>
      </c>
      <c r="D242" s="7">
        <v>3</v>
      </c>
      <c r="E242" s="7">
        <v>1</v>
      </c>
      <c r="F242" s="7">
        <f t="shared" si="4"/>
        <v>6</v>
      </c>
      <c r="G242" s="7" t="str">
        <f>LOOKUP(H242,[1]startdates!$A$2:$A$10,[1]startdates!$B$2:$B$10)</f>
        <v>C</v>
      </c>
      <c r="H242">
        <v>8</v>
      </c>
      <c r="I242" s="7">
        <v>786</v>
      </c>
      <c r="J242" s="7">
        <v>622</v>
      </c>
      <c r="K242" s="7">
        <v>738</v>
      </c>
      <c r="O242" s="7">
        <v>194</v>
      </c>
    </row>
    <row r="243" spans="1:15" x14ac:dyDescent="0.2">
      <c r="A243">
        <v>242</v>
      </c>
      <c r="B243" s="1">
        <v>40739</v>
      </c>
      <c r="C243" t="s">
        <v>24</v>
      </c>
      <c r="D243" s="7">
        <v>3</v>
      </c>
      <c r="E243" s="7">
        <v>1</v>
      </c>
      <c r="F243" s="7">
        <f t="shared" si="4"/>
        <v>6</v>
      </c>
      <c r="G243" s="7" t="str">
        <f>LOOKUP(H243,[1]startdates!$A$2:$A$10,[1]startdates!$B$2:$B$10)</f>
        <v>C</v>
      </c>
      <c r="H243">
        <v>8</v>
      </c>
      <c r="I243" s="7">
        <v>653</v>
      </c>
      <c r="J243" s="7">
        <v>624</v>
      </c>
      <c r="K243" s="7">
        <v>680</v>
      </c>
      <c r="O243" s="7">
        <v>179</v>
      </c>
    </row>
    <row r="244" spans="1:15" x14ac:dyDescent="0.2">
      <c r="A244">
        <v>243</v>
      </c>
      <c r="B244" s="1">
        <v>40739</v>
      </c>
      <c r="C244" t="s">
        <v>24</v>
      </c>
      <c r="D244" s="7">
        <v>3</v>
      </c>
      <c r="E244" s="7">
        <v>1</v>
      </c>
      <c r="F244" s="7">
        <f t="shared" si="4"/>
        <v>6</v>
      </c>
      <c r="G244" s="7" t="str">
        <f>LOOKUP(H244,[1]startdates!$A$2:$A$10,[1]startdates!$B$2:$B$10)</f>
        <v>C</v>
      </c>
      <c r="H244">
        <v>8</v>
      </c>
      <c r="I244" s="7">
        <v>748</v>
      </c>
      <c r="K244" s="7">
        <v>631</v>
      </c>
      <c r="O244" s="7">
        <v>174</v>
      </c>
    </row>
    <row r="245" spans="1:15" x14ac:dyDescent="0.2">
      <c r="A245">
        <v>244</v>
      </c>
      <c r="B245" s="1">
        <v>40739</v>
      </c>
      <c r="C245" t="s">
        <v>24</v>
      </c>
      <c r="D245" s="7">
        <v>3</v>
      </c>
      <c r="E245" s="7">
        <v>1</v>
      </c>
      <c r="F245" s="7">
        <f t="shared" si="4"/>
        <v>6</v>
      </c>
      <c r="G245" s="7" t="str">
        <f>LOOKUP(H245,[1]startdates!$A$2:$A$10,[1]startdates!$B$2:$B$10)</f>
        <v>C</v>
      </c>
      <c r="H245">
        <v>8</v>
      </c>
      <c r="I245" s="7">
        <v>728</v>
      </c>
      <c r="O245" s="7">
        <v>170</v>
      </c>
    </row>
    <row r="246" spans="1:15" x14ac:dyDescent="0.2">
      <c r="A246">
        <v>245</v>
      </c>
      <c r="B246" s="1">
        <v>40739</v>
      </c>
      <c r="C246" t="s">
        <v>24</v>
      </c>
      <c r="D246" s="7">
        <v>3</v>
      </c>
      <c r="E246" s="7">
        <v>1</v>
      </c>
      <c r="F246" s="7">
        <f t="shared" si="4"/>
        <v>6</v>
      </c>
      <c r="G246" s="7" t="str">
        <f>LOOKUP(H246,[1]startdates!$A$2:$A$10,[1]startdates!$B$2:$B$10)</f>
        <v>C</v>
      </c>
      <c r="H246">
        <v>8</v>
      </c>
      <c r="I246" s="7">
        <v>738</v>
      </c>
      <c r="O246" s="7">
        <v>165</v>
      </c>
    </row>
    <row r="247" spans="1:15" x14ac:dyDescent="0.2">
      <c r="A247">
        <v>246</v>
      </c>
      <c r="B247" s="1">
        <v>40739</v>
      </c>
      <c r="C247" t="s">
        <v>24</v>
      </c>
      <c r="D247" s="7">
        <v>3</v>
      </c>
      <c r="E247" s="7">
        <v>1</v>
      </c>
      <c r="F247" s="7">
        <f t="shared" si="4"/>
        <v>6</v>
      </c>
      <c r="G247" s="7" t="str">
        <f>LOOKUP(H247,[1]startdates!$A$2:$A$10,[1]startdates!$B$2:$B$10)</f>
        <v>C</v>
      </c>
      <c r="H247">
        <v>8</v>
      </c>
      <c r="O247" s="7">
        <v>173</v>
      </c>
    </row>
    <row r="248" spans="1:15" x14ac:dyDescent="0.2">
      <c r="A248">
        <v>247</v>
      </c>
      <c r="B248" s="1">
        <v>40739</v>
      </c>
      <c r="C248" t="s">
        <v>24</v>
      </c>
      <c r="D248" s="7">
        <v>3</v>
      </c>
      <c r="E248" s="7">
        <v>1</v>
      </c>
      <c r="F248" s="7">
        <f t="shared" si="4"/>
        <v>6</v>
      </c>
      <c r="G248" s="7" t="str">
        <f>LOOKUP(H248,[1]startdates!$A$2:$A$10,[1]startdates!$B$2:$B$10)</f>
        <v>FMr</v>
      </c>
      <c r="H248">
        <v>9</v>
      </c>
      <c r="I248" s="7">
        <v>755</v>
      </c>
      <c r="J248" s="7">
        <v>649</v>
      </c>
      <c r="K248" s="7">
        <v>658</v>
      </c>
      <c r="N248" s="7">
        <v>203</v>
      </c>
      <c r="O248" s="7">
        <v>195</v>
      </c>
    </row>
    <row r="249" spans="1:15" x14ac:dyDescent="0.2">
      <c r="A249">
        <v>248</v>
      </c>
      <c r="B249" s="1">
        <v>40739</v>
      </c>
      <c r="C249" t="s">
        <v>24</v>
      </c>
      <c r="D249" s="7">
        <v>3</v>
      </c>
      <c r="E249" s="7">
        <v>1</v>
      </c>
      <c r="F249" s="7">
        <f t="shared" si="4"/>
        <v>6</v>
      </c>
      <c r="G249" s="7" t="str">
        <f>LOOKUP(H249,[1]startdates!$A$2:$A$10,[1]startdates!$B$2:$B$10)</f>
        <v>FMr</v>
      </c>
      <c r="H249">
        <v>9</v>
      </c>
      <c r="I249" s="7">
        <v>760</v>
      </c>
      <c r="J249" s="7">
        <v>676</v>
      </c>
      <c r="K249" s="7">
        <v>640</v>
      </c>
      <c r="N249" s="7">
        <v>167</v>
      </c>
      <c r="O249" s="7">
        <v>186</v>
      </c>
    </row>
    <row r="250" spans="1:15" x14ac:dyDescent="0.2">
      <c r="A250">
        <v>249</v>
      </c>
      <c r="B250" s="1">
        <v>40739</v>
      </c>
      <c r="C250" t="s">
        <v>24</v>
      </c>
      <c r="D250" s="7">
        <v>3</v>
      </c>
      <c r="E250" s="7">
        <v>1</v>
      </c>
      <c r="F250" s="7">
        <f t="shared" si="4"/>
        <v>6</v>
      </c>
      <c r="G250" s="7" t="str">
        <f>LOOKUP(H250,[1]startdates!$A$2:$A$10,[1]startdates!$B$2:$B$10)</f>
        <v>FMr</v>
      </c>
      <c r="H250">
        <v>9</v>
      </c>
      <c r="I250" s="7">
        <v>757</v>
      </c>
      <c r="J250" s="7">
        <v>620</v>
      </c>
      <c r="K250" s="7">
        <v>676</v>
      </c>
      <c r="O250" s="7">
        <v>170</v>
      </c>
    </row>
    <row r="251" spans="1:15" x14ac:dyDescent="0.2">
      <c r="A251">
        <v>250</v>
      </c>
      <c r="B251" s="1">
        <v>40739</v>
      </c>
      <c r="C251" t="s">
        <v>24</v>
      </c>
      <c r="D251" s="7">
        <v>3</v>
      </c>
      <c r="E251" s="7">
        <v>1</v>
      </c>
      <c r="F251" s="7">
        <f t="shared" si="4"/>
        <v>6</v>
      </c>
      <c r="G251" s="7" t="str">
        <f>LOOKUP(H251,[1]startdates!$A$2:$A$10,[1]startdates!$B$2:$B$10)</f>
        <v>FMr</v>
      </c>
      <c r="H251">
        <v>9</v>
      </c>
      <c r="I251" s="7">
        <v>766</v>
      </c>
    </row>
    <row r="252" spans="1:15" x14ac:dyDescent="0.2">
      <c r="A252">
        <v>251</v>
      </c>
      <c r="B252" s="1">
        <v>40739</v>
      </c>
      <c r="C252" t="s">
        <v>24</v>
      </c>
      <c r="D252" s="7">
        <v>3</v>
      </c>
      <c r="E252" s="7">
        <v>1</v>
      </c>
      <c r="F252" s="7">
        <f t="shared" si="4"/>
        <v>6</v>
      </c>
      <c r="G252" s="7" t="str">
        <f>LOOKUP(H252,[1]startdates!$A$2:$A$10,[1]startdates!$B$2:$B$10)</f>
        <v>FMr</v>
      </c>
      <c r="H252">
        <v>9</v>
      </c>
      <c r="I252" s="7">
        <v>706</v>
      </c>
    </row>
    <row r="253" spans="1:15" x14ac:dyDescent="0.2">
      <c r="A253">
        <v>252</v>
      </c>
      <c r="B253" s="1">
        <v>40739</v>
      </c>
      <c r="C253" t="s">
        <v>24</v>
      </c>
      <c r="D253" s="7">
        <v>3</v>
      </c>
      <c r="E253" s="7">
        <v>1</v>
      </c>
      <c r="F253" s="7">
        <f t="shared" si="4"/>
        <v>6</v>
      </c>
      <c r="G253" s="7" t="str">
        <f>LOOKUP(H253,[1]startdates!$A$2:$A$10,[1]startdates!$B$2:$B$10)</f>
        <v>FMr</v>
      </c>
      <c r="H253">
        <v>9</v>
      </c>
      <c r="I253" s="7">
        <v>753</v>
      </c>
    </row>
    <row r="254" spans="1:15" x14ac:dyDescent="0.2">
      <c r="A254">
        <v>253</v>
      </c>
      <c r="B254" s="1">
        <v>40739</v>
      </c>
      <c r="C254" t="s">
        <v>24</v>
      </c>
      <c r="D254" s="7">
        <v>3</v>
      </c>
      <c r="E254" s="7">
        <v>1</v>
      </c>
      <c r="F254" s="7">
        <f t="shared" si="4"/>
        <v>6</v>
      </c>
      <c r="G254" s="7" t="str">
        <f>LOOKUP(H254,[1]startdates!$A$2:$A$10,[1]startdates!$B$2:$B$10)</f>
        <v>FMr</v>
      </c>
      <c r="H254">
        <v>9</v>
      </c>
      <c r="I254" s="7">
        <v>753</v>
      </c>
    </row>
    <row r="255" spans="1:15" x14ac:dyDescent="0.2">
      <c r="A255">
        <v>254</v>
      </c>
      <c r="B255" s="1">
        <v>40742</v>
      </c>
      <c r="C255" t="s">
        <v>24</v>
      </c>
      <c r="D255" s="7">
        <v>6</v>
      </c>
      <c r="E255" s="7">
        <v>2</v>
      </c>
      <c r="F255" s="7">
        <f t="shared" si="4"/>
        <v>2</v>
      </c>
      <c r="G255" s="7" t="str">
        <f>LOOKUP(H255,[1]startdates!$A$2:$A$10,[1]startdates!$B$2:$B$10)</f>
        <v>SMr</v>
      </c>
      <c r="H255">
        <v>1</v>
      </c>
      <c r="I255" s="7">
        <v>722</v>
      </c>
      <c r="J255" s="7">
        <v>664</v>
      </c>
      <c r="K255" s="7">
        <v>670</v>
      </c>
      <c r="M255" s="7">
        <v>279</v>
      </c>
      <c r="N255" s="7">
        <v>249</v>
      </c>
      <c r="O255" s="7">
        <v>169</v>
      </c>
    </row>
    <row r="256" spans="1:15" x14ac:dyDescent="0.2">
      <c r="A256">
        <v>255</v>
      </c>
      <c r="B256" s="1">
        <v>40742</v>
      </c>
      <c r="C256" t="s">
        <v>24</v>
      </c>
      <c r="D256" s="7">
        <v>6</v>
      </c>
      <c r="E256" s="7">
        <v>2</v>
      </c>
      <c r="F256" s="7">
        <f t="shared" si="4"/>
        <v>2</v>
      </c>
      <c r="G256" s="7" t="str">
        <f>LOOKUP(H256,[1]startdates!$A$2:$A$10,[1]startdates!$B$2:$B$10)</f>
        <v>SMr</v>
      </c>
      <c r="H256">
        <v>1</v>
      </c>
      <c r="I256" s="7">
        <v>737</v>
      </c>
      <c r="J256" s="7">
        <v>582</v>
      </c>
      <c r="K256" s="7">
        <v>761</v>
      </c>
      <c r="M256" s="7">
        <v>289</v>
      </c>
      <c r="N256" s="7">
        <v>271</v>
      </c>
      <c r="O256" s="7">
        <v>152</v>
      </c>
    </row>
    <row r="257" spans="1:15" x14ac:dyDescent="0.2">
      <c r="A257">
        <v>256</v>
      </c>
      <c r="B257" s="1">
        <v>40742</v>
      </c>
      <c r="C257" t="s">
        <v>24</v>
      </c>
      <c r="D257" s="7">
        <v>6</v>
      </c>
      <c r="E257" s="7">
        <v>2</v>
      </c>
      <c r="F257" s="7">
        <f t="shared" si="4"/>
        <v>2</v>
      </c>
      <c r="G257" s="7" t="str">
        <f>LOOKUP(H257,[1]startdates!$A$2:$A$10,[1]startdates!$B$2:$B$10)</f>
        <v>SMr</v>
      </c>
      <c r="H257">
        <v>1</v>
      </c>
      <c r="I257" s="7">
        <v>925</v>
      </c>
      <c r="J257" s="7">
        <v>652</v>
      </c>
      <c r="K257" s="7">
        <v>664</v>
      </c>
      <c r="M257" s="7">
        <v>286</v>
      </c>
      <c r="N257" s="7">
        <v>216</v>
      </c>
      <c r="O257" s="7">
        <v>150</v>
      </c>
    </row>
    <row r="258" spans="1:15" x14ac:dyDescent="0.2">
      <c r="A258">
        <v>257</v>
      </c>
      <c r="B258" s="1">
        <v>40742</v>
      </c>
      <c r="C258" t="s">
        <v>24</v>
      </c>
      <c r="D258" s="7">
        <v>6</v>
      </c>
      <c r="E258" s="7">
        <v>2</v>
      </c>
      <c r="F258" s="7">
        <f t="shared" si="4"/>
        <v>2</v>
      </c>
      <c r="G258" s="7" t="str">
        <f>LOOKUP(H258,[1]startdates!$A$2:$A$10,[1]startdates!$B$2:$B$10)</f>
        <v>SMr</v>
      </c>
      <c r="H258">
        <v>1</v>
      </c>
      <c r="I258" s="7">
        <v>944</v>
      </c>
      <c r="M258" s="7">
        <v>323</v>
      </c>
      <c r="N258" s="7">
        <v>232</v>
      </c>
      <c r="O258" s="7">
        <v>179</v>
      </c>
    </row>
    <row r="259" spans="1:15" x14ac:dyDescent="0.2">
      <c r="A259">
        <v>258</v>
      </c>
      <c r="B259" s="1">
        <v>40742</v>
      </c>
      <c r="C259" t="s">
        <v>24</v>
      </c>
      <c r="D259" s="7">
        <v>6</v>
      </c>
      <c r="E259" s="7">
        <v>2</v>
      </c>
      <c r="F259" s="7">
        <f t="shared" si="4"/>
        <v>2</v>
      </c>
      <c r="G259" s="7" t="str">
        <f>LOOKUP(H259,[1]startdates!$A$2:$A$10,[1]startdates!$B$2:$B$10)</f>
        <v>SMr</v>
      </c>
      <c r="H259">
        <v>1</v>
      </c>
      <c r="I259" s="7">
        <v>946</v>
      </c>
      <c r="M259" s="7">
        <v>284</v>
      </c>
      <c r="N259" s="7">
        <v>242</v>
      </c>
      <c r="O259" s="7">
        <v>178</v>
      </c>
    </row>
    <row r="260" spans="1:15" x14ac:dyDescent="0.2">
      <c r="A260">
        <v>259</v>
      </c>
      <c r="B260" s="1">
        <v>40742</v>
      </c>
      <c r="C260" t="s">
        <v>24</v>
      </c>
      <c r="D260" s="7">
        <v>6</v>
      </c>
      <c r="E260" s="7">
        <v>2</v>
      </c>
      <c r="F260" s="7">
        <f t="shared" si="4"/>
        <v>2</v>
      </c>
      <c r="G260" s="7" t="str">
        <f>LOOKUP(H260,[1]startdates!$A$2:$A$10,[1]startdates!$B$2:$B$10)</f>
        <v>SMr</v>
      </c>
      <c r="H260">
        <v>1</v>
      </c>
      <c r="I260" s="7">
        <v>688</v>
      </c>
      <c r="N260" s="7">
        <v>216</v>
      </c>
      <c r="O260" s="7">
        <v>157</v>
      </c>
    </row>
    <row r="261" spans="1:15" x14ac:dyDescent="0.2">
      <c r="A261">
        <v>260</v>
      </c>
      <c r="B261" s="1">
        <v>40742</v>
      </c>
      <c r="C261" t="s">
        <v>24</v>
      </c>
      <c r="D261" s="7">
        <v>6</v>
      </c>
      <c r="E261" s="7">
        <v>2</v>
      </c>
      <c r="F261" s="7">
        <f t="shared" si="4"/>
        <v>2</v>
      </c>
      <c r="G261" s="7" t="str">
        <f>LOOKUP(H261,[1]startdates!$A$2:$A$10,[1]startdates!$B$2:$B$10)</f>
        <v>SMr</v>
      </c>
      <c r="H261">
        <v>1</v>
      </c>
      <c r="N261" s="7">
        <v>298</v>
      </c>
      <c r="O261" s="7">
        <v>165</v>
      </c>
    </row>
    <row r="262" spans="1:15" x14ac:dyDescent="0.2">
      <c r="A262">
        <v>261</v>
      </c>
      <c r="B262" s="1">
        <v>40742</v>
      </c>
      <c r="C262" t="s">
        <v>24</v>
      </c>
      <c r="D262" s="7">
        <v>6</v>
      </c>
      <c r="E262" s="7">
        <v>2</v>
      </c>
      <c r="F262" s="7">
        <f t="shared" si="4"/>
        <v>2</v>
      </c>
      <c r="G262" s="7" t="str">
        <f>LOOKUP(H262,[1]startdates!$A$2:$A$10,[1]startdates!$B$2:$B$10)</f>
        <v>SMr</v>
      </c>
      <c r="H262">
        <v>1</v>
      </c>
      <c r="N262" s="7">
        <v>223</v>
      </c>
      <c r="O262" s="7">
        <v>139</v>
      </c>
    </row>
    <row r="263" spans="1:15" x14ac:dyDescent="0.2">
      <c r="A263">
        <v>262</v>
      </c>
      <c r="B263" s="1">
        <v>40742</v>
      </c>
      <c r="C263" t="s">
        <v>24</v>
      </c>
      <c r="D263" s="7">
        <v>6</v>
      </c>
      <c r="E263" s="7">
        <v>2</v>
      </c>
      <c r="F263" s="7">
        <f t="shared" si="4"/>
        <v>2</v>
      </c>
      <c r="G263" s="7" t="str">
        <f>LOOKUP(H263,[1]startdates!$A$2:$A$10,[1]startdates!$B$2:$B$10)</f>
        <v>SMr</v>
      </c>
      <c r="H263">
        <v>1</v>
      </c>
      <c r="N263" s="7">
        <v>195</v>
      </c>
      <c r="O263" s="7">
        <v>157</v>
      </c>
    </row>
    <row r="264" spans="1:15" x14ac:dyDescent="0.2">
      <c r="A264">
        <v>263</v>
      </c>
      <c r="B264" s="1">
        <v>40742</v>
      </c>
      <c r="C264" t="s">
        <v>24</v>
      </c>
      <c r="D264" s="7">
        <v>6</v>
      </c>
      <c r="E264" s="7">
        <v>2</v>
      </c>
      <c r="F264" s="7">
        <f t="shared" si="4"/>
        <v>2</v>
      </c>
      <c r="G264" s="7" t="str">
        <f>LOOKUP(H264,[1]startdates!$A$2:$A$10,[1]startdates!$B$2:$B$10)</f>
        <v>SMr</v>
      </c>
      <c r="H264">
        <v>1</v>
      </c>
      <c r="N264" s="7">
        <v>189</v>
      </c>
      <c r="O264" s="7">
        <v>160</v>
      </c>
    </row>
    <row r="265" spans="1:15" x14ac:dyDescent="0.2">
      <c r="A265">
        <v>264</v>
      </c>
      <c r="B265" s="1">
        <v>40742</v>
      </c>
      <c r="C265" t="s">
        <v>24</v>
      </c>
      <c r="D265" s="7">
        <v>6</v>
      </c>
      <c r="E265" s="7">
        <v>2</v>
      </c>
      <c r="F265" s="7">
        <f t="shared" si="4"/>
        <v>2</v>
      </c>
      <c r="G265" s="7" t="str">
        <f>LOOKUP(H265,[1]startdates!$A$2:$A$10,[1]startdates!$B$2:$B$10)</f>
        <v>SMr</v>
      </c>
      <c r="H265">
        <v>1</v>
      </c>
      <c r="N265" s="7">
        <v>257</v>
      </c>
      <c r="O265" s="7">
        <v>145</v>
      </c>
    </row>
    <row r="266" spans="1:15" x14ac:dyDescent="0.2">
      <c r="A266">
        <v>265</v>
      </c>
      <c r="B266" s="1">
        <v>40742</v>
      </c>
      <c r="C266" t="s">
        <v>24</v>
      </c>
      <c r="D266" s="7">
        <v>6</v>
      </c>
      <c r="E266" s="7">
        <v>2</v>
      </c>
      <c r="F266" s="7">
        <f t="shared" si="4"/>
        <v>2</v>
      </c>
      <c r="G266" s="7" t="str">
        <f>LOOKUP(H266,[1]startdates!$A$2:$A$10,[1]startdates!$B$2:$B$10)</f>
        <v>SMr</v>
      </c>
      <c r="H266">
        <v>1</v>
      </c>
      <c r="N266" s="7">
        <v>244</v>
      </c>
      <c r="O266" s="7">
        <v>183</v>
      </c>
    </row>
    <row r="267" spans="1:15" x14ac:dyDescent="0.2">
      <c r="A267">
        <v>266</v>
      </c>
      <c r="B267" s="1">
        <v>40742</v>
      </c>
      <c r="C267" t="s">
        <v>24</v>
      </c>
      <c r="D267" s="7">
        <v>6</v>
      </c>
      <c r="E267" s="7">
        <v>2</v>
      </c>
      <c r="F267" s="7">
        <f t="shared" si="4"/>
        <v>2</v>
      </c>
      <c r="G267" s="7" t="str">
        <f>LOOKUP(H267,[1]startdates!$A$2:$A$10,[1]startdates!$B$2:$B$10)</f>
        <v>SMr</v>
      </c>
      <c r="H267">
        <v>1</v>
      </c>
      <c r="N267" s="7">
        <v>203</v>
      </c>
      <c r="O267" s="7">
        <v>178</v>
      </c>
    </row>
    <row r="268" spans="1:15" x14ac:dyDescent="0.2">
      <c r="A268">
        <v>267</v>
      </c>
      <c r="B268" s="1">
        <v>40742</v>
      </c>
      <c r="C268" t="s">
        <v>24</v>
      </c>
      <c r="D268" s="7">
        <v>6</v>
      </c>
      <c r="E268" s="7">
        <v>2</v>
      </c>
      <c r="F268" s="7">
        <f t="shared" si="4"/>
        <v>2</v>
      </c>
      <c r="G268" s="7" t="str">
        <f>LOOKUP(H268,[1]startdates!$A$2:$A$10,[1]startdates!$B$2:$B$10)</f>
        <v>SMr</v>
      </c>
      <c r="H268">
        <v>1</v>
      </c>
      <c r="M268" s="7">
        <v>362</v>
      </c>
      <c r="O268" s="7">
        <v>161</v>
      </c>
    </row>
    <row r="269" spans="1:15" x14ac:dyDescent="0.2">
      <c r="A269">
        <v>268</v>
      </c>
      <c r="B269" s="1">
        <v>40742</v>
      </c>
      <c r="C269" t="s">
        <v>24</v>
      </c>
      <c r="D269" s="7">
        <v>6</v>
      </c>
      <c r="E269" s="7">
        <v>2</v>
      </c>
      <c r="F269" s="7">
        <f t="shared" si="4"/>
        <v>2</v>
      </c>
      <c r="G269" s="7" t="str">
        <f>LOOKUP(H269,[1]startdates!$A$2:$A$10,[1]startdates!$B$2:$B$10)</f>
        <v>SMr</v>
      </c>
      <c r="H269">
        <v>1</v>
      </c>
      <c r="M269" s="7">
        <v>358</v>
      </c>
      <c r="O269" s="7">
        <v>183</v>
      </c>
    </row>
    <row r="270" spans="1:15" x14ac:dyDescent="0.2">
      <c r="A270">
        <v>269</v>
      </c>
      <c r="B270" s="1">
        <v>40742</v>
      </c>
      <c r="C270" t="s">
        <v>24</v>
      </c>
      <c r="D270" s="7">
        <v>6</v>
      </c>
      <c r="E270" s="7">
        <v>2</v>
      </c>
      <c r="F270" s="7">
        <f t="shared" si="4"/>
        <v>2</v>
      </c>
      <c r="G270" s="7" t="str">
        <f>LOOKUP(H270,[1]startdates!$A$2:$A$10,[1]startdates!$B$2:$B$10)</f>
        <v>SMr</v>
      </c>
      <c r="H270">
        <v>1</v>
      </c>
      <c r="M270" s="7">
        <v>337</v>
      </c>
      <c r="O270" s="7">
        <v>184</v>
      </c>
    </row>
    <row r="271" spans="1:15" x14ac:dyDescent="0.2">
      <c r="A271">
        <v>270</v>
      </c>
      <c r="B271" s="1">
        <v>40742</v>
      </c>
      <c r="C271" t="s">
        <v>24</v>
      </c>
      <c r="D271" s="7">
        <v>6</v>
      </c>
      <c r="E271" s="7">
        <v>2</v>
      </c>
      <c r="F271" s="7">
        <f t="shared" si="4"/>
        <v>2</v>
      </c>
      <c r="G271" s="7" t="str">
        <f>LOOKUP(H271,[1]startdates!$A$2:$A$10,[1]startdates!$B$2:$B$10)</f>
        <v>SMr</v>
      </c>
      <c r="H271">
        <v>1</v>
      </c>
      <c r="O271" s="7">
        <v>154</v>
      </c>
    </row>
    <row r="272" spans="1:15" x14ac:dyDescent="0.2">
      <c r="A272">
        <v>271</v>
      </c>
      <c r="B272" s="1">
        <v>40742</v>
      </c>
      <c r="C272" t="s">
        <v>24</v>
      </c>
      <c r="D272" s="7">
        <v>6</v>
      </c>
      <c r="E272" s="7">
        <v>2</v>
      </c>
      <c r="F272" s="7">
        <f t="shared" si="4"/>
        <v>2</v>
      </c>
      <c r="G272" s="7" t="str">
        <f>LOOKUP(H272,[1]startdates!$A$2:$A$10,[1]startdates!$B$2:$B$10)</f>
        <v>SMr</v>
      </c>
      <c r="H272">
        <v>1</v>
      </c>
      <c r="O272" s="7">
        <v>164</v>
      </c>
    </row>
    <row r="273" spans="1:15" x14ac:dyDescent="0.2">
      <c r="A273">
        <v>272</v>
      </c>
      <c r="B273" s="1">
        <v>40742</v>
      </c>
      <c r="C273" t="s">
        <v>24</v>
      </c>
      <c r="D273" s="7">
        <v>6</v>
      </c>
      <c r="E273" s="7">
        <v>2</v>
      </c>
      <c r="F273" s="7">
        <f t="shared" si="4"/>
        <v>2</v>
      </c>
      <c r="G273" s="7" t="str">
        <f>LOOKUP(H273,[1]startdates!$A$2:$A$10,[1]startdates!$B$2:$B$10)</f>
        <v>SMr</v>
      </c>
      <c r="H273">
        <v>1</v>
      </c>
      <c r="O273" s="7">
        <v>186</v>
      </c>
    </row>
    <row r="274" spans="1:15" x14ac:dyDescent="0.2">
      <c r="A274">
        <v>273</v>
      </c>
      <c r="B274" s="1">
        <v>40742</v>
      </c>
      <c r="C274" t="s">
        <v>24</v>
      </c>
      <c r="D274" s="7">
        <v>6</v>
      </c>
      <c r="E274" s="7">
        <v>2</v>
      </c>
      <c r="F274" s="7">
        <f t="shared" si="4"/>
        <v>2</v>
      </c>
      <c r="G274" s="7" t="str">
        <f>LOOKUP(H274,[1]startdates!$A$2:$A$10,[1]startdates!$B$2:$B$10)</f>
        <v>SMr</v>
      </c>
      <c r="H274">
        <v>1</v>
      </c>
      <c r="O274" s="7">
        <v>168</v>
      </c>
    </row>
    <row r="275" spans="1:15" x14ac:dyDescent="0.2">
      <c r="A275">
        <v>274</v>
      </c>
      <c r="B275" s="1">
        <v>40742</v>
      </c>
      <c r="C275" t="s">
        <v>24</v>
      </c>
      <c r="D275" s="7">
        <v>6</v>
      </c>
      <c r="E275" s="7">
        <v>2</v>
      </c>
      <c r="F275" s="7">
        <f t="shared" si="4"/>
        <v>2</v>
      </c>
      <c r="G275" s="7" t="str">
        <f>LOOKUP(H275,[1]startdates!$A$2:$A$10,[1]startdates!$B$2:$B$10)</f>
        <v>SMr</v>
      </c>
      <c r="H275">
        <v>2</v>
      </c>
      <c r="I275" s="7">
        <v>762</v>
      </c>
      <c r="J275" s="7">
        <v>734</v>
      </c>
      <c r="K275" s="7">
        <v>629</v>
      </c>
      <c r="M275" s="7">
        <v>346</v>
      </c>
      <c r="N275" s="7">
        <v>213</v>
      </c>
      <c r="O275" s="7">
        <v>134</v>
      </c>
    </row>
    <row r="276" spans="1:15" x14ac:dyDescent="0.2">
      <c r="A276">
        <v>275</v>
      </c>
      <c r="B276" s="1">
        <v>40742</v>
      </c>
      <c r="C276" t="s">
        <v>24</v>
      </c>
      <c r="D276" s="7">
        <v>6</v>
      </c>
      <c r="E276" s="7">
        <v>2</v>
      </c>
      <c r="F276" s="7">
        <f t="shared" si="4"/>
        <v>2</v>
      </c>
      <c r="G276" s="7" t="str">
        <f>LOOKUP(H276,[1]startdates!$A$2:$A$10,[1]startdates!$B$2:$B$10)</f>
        <v>SMr</v>
      </c>
      <c r="H276">
        <v>2</v>
      </c>
      <c r="I276" s="7">
        <v>694</v>
      </c>
      <c r="J276" s="7">
        <v>678</v>
      </c>
      <c r="M276" s="7">
        <v>255</v>
      </c>
      <c r="N276" s="7">
        <v>186</v>
      </c>
      <c r="O276" s="7">
        <v>135</v>
      </c>
    </row>
    <row r="277" spans="1:15" x14ac:dyDescent="0.2">
      <c r="A277">
        <v>276</v>
      </c>
      <c r="B277" s="1">
        <v>40742</v>
      </c>
      <c r="C277" t="s">
        <v>24</v>
      </c>
      <c r="D277" s="7">
        <v>6</v>
      </c>
      <c r="E277" s="7">
        <v>2</v>
      </c>
      <c r="F277" s="7">
        <f t="shared" si="4"/>
        <v>2</v>
      </c>
      <c r="G277" s="7" t="str">
        <f>LOOKUP(H277,[1]startdates!$A$2:$A$10,[1]startdates!$B$2:$B$10)</f>
        <v>SMr</v>
      </c>
      <c r="H277">
        <v>2</v>
      </c>
      <c r="I277" s="7">
        <v>836</v>
      </c>
      <c r="J277" s="7">
        <v>669</v>
      </c>
      <c r="M277" s="7">
        <v>323</v>
      </c>
      <c r="N277" s="7">
        <v>176</v>
      </c>
      <c r="O277" s="7">
        <v>146</v>
      </c>
    </row>
    <row r="278" spans="1:15" x14ac:dyDescent="0.2">
      <c r="A278">
        <v>277</v>
      </c>
      <c r="B278" s="1">
        <v>40742</v>
      </c>
      <c r="C278" t="s">
        <v>24</v>
      </c>
      <c r="D278" s="7">
        <v>6</v>
      </c>
      <c r="E278" s="7">
        <v>2</v>
      </c>
      <c r="F278" s="7">
        <f t="shared" si="4"/>
        <v>2</v>
      </c>
      <c r="G278" s="7" t="str">
        <f>LOOKUP(H278,[1]startdates!$A$2:$A$10,[1]startdates!$B$2:$B$10)</f>
        <v>SMr</v>
      </c>
      <c r="H278">
        <v>2</v>
      </c>
      <c r="I278" s="7">
        <v>832</v>
      </c>
      <c r="M278" s="7">
        <v>309</v>
      </c>
      <c r="N278" s="7">
        <v>183</v>
      </c>
      <c r="O278" s="7">
        <v>120</v>
      </c>
    </row>
    <row r="279" spans="1:15" x14ac:dyDescent="0.2">
      <c r="A279">
        <v>278</v>
      </c>
      <c r="B279" s="1">
        <v>40742</v>
      </c>
      <c r="C279" t="s">
        <v>24</v>
      </c>
      <c r="D279" s="7">
        <v>6</v>
      </c>
      <c r="E279" s="7">
        <v>2</v>
      </c>
      <c r="F279" s="7">
        <f t="shared" si="4"/>
        <v>2</v>
      </c>
      <c r="G279" s="7" t="str">
        <f>LOOKUP(H279,[1]startdates!$A$2:$A$10,[1]startdates!$B$2:$B$10)</f>
        <v>SMr</v>
      </c>
      <c r="H279">
        <v>2</v>
      </c>
      <c r="N279" s="7">
        <v>171</v>
      </c>
      <c r="O279" s="7">
        <v>153</v>
      </c>
    </row>
    <row r="280" spans="1:15" x14ac:dyDescent="0.2">
      <c r="A280">
        <v>279</v>
      </c>
      <c r="B280" s="1">
        <v>40742</v>
      </c>
      <c r="C280" t="s">
        <v>24</v>
      </c>
      <c r="D280" s="7">
        <v>6</v>
      </c>
      <c r="E280" s="7">
        <v>2</v>
      </c>
      <c r="F280" s="7">
        <f t="shared" si="4"/>
        <v>2</v>
      </c>
      <c r="G280" s="7" t="str">
        <f>LOOKUP(H280,[1]startdates!$A$2:$A$10,[1]startdates!$B$2:$B$10)</f>
        <v>SMr</v>
      </c>
      <c r="H280">
        <v>2</v>
      </c>
      <c r="N280" s="7">
        <v>265</v>
      </c>
      <c r="O280" s="7">
        <v>158</v>
      </c>
    </row>
    <row r="281" spans="1:15" x14ac:dyDescent="0.2">
      <c r="A281">
        <v>280</v>
      </c>
      <c r="B281" s="1">
        <v>40742</v>
      </c>
      <c r="C281" t="s">
        <v>24</v>
      </c>
      <c r="D281" s="7">
        <v>6</v>
      </c>
      <c r="E281" s="7">
        <v>2</v>
      </c>
      <c r="F281" s="7">
        <f t="shared" si="4"/>
        <v>2</v>
      </c>
      <c r="G281" s="7" t="str">
        <f>LOOKUP(H281,[1]startdates!$A$2:$A$10,[1]startdates!$B$2:$B$10)</f>
        <v>SMr</v>
      </c>
      <c r="H281">
        <v>2</v>
      </c>
      <c r="N281" s="7">
        <v>188</v>
      </c>
      <c r="O281" s="7">
        <v>164</v>
      </c>
    </row>
    <row r="282" spans="1:15" x14ac:dyDescent="0.2">
      <c r="A282">
        <v>281</v>
      </c>
      <c r="B282" s="1">
        <v>40742</v>
      </c>
      <c r="C282" t="s">
        <v>24</v>
      </c>
      <c r="D282" s="7">
        <v>6</v>
      </c>
      <c r="E282" s="7">
        <v>2</v>
      </c>
      <c r="F282" s="7">
        <f t="shared" si="4"/>
        <v>2</v>
      </c>
      <c r="G282" s="7" t="str">
        <f>LOOKUP(H282,[1]startdates!$A$2:$A$10,[1]startdates!$B$2:$B$10)</f>
        <v>SMr</v>
      </c>
      <c r="H282">
        <v>2</v>
      </c>
      <c r="N282" s="7">
        <v>268</v>
      </c>
      <c r="O282" s="7">
        <v>157</v>
      </c>
    </row>
    <row r="283" spans="1:15" x14ac:dyDescent="0.2">
      <c r="A283">
        <v>282</v>
      </c>
      <c r="B283" s="1">
        <v>40742</v>
      </c>
      <c r="C283" t="s">
        <v>24</v>
      </c>
      <c r="D283" s="7">
        <v>6</v>
      </c>
      <c r="E283" s="7">
        <v>2</v>
      </c>
      <c r="F283" s="7">
        <f t="shared" si="4"/>
        <v>2</v>
      </c>
      <c r="G283" s="7" t="str">
        <f>LOOKUP(H283,[1]startdates!$A$2:$A$10,[1]startdates!$B$2:$B$10)</f>
        <v>SMr</v>
      </c>
      <c r="H283">
        <v>2</v>
      </c>
      <c r="N283" s="7">
        <v>205</v>
      </c>
      <c r="O283" s="7">
        <v>150</v>
      </c>
    </row>
    <row r="284" spans="1:15" x14ac:dyDescent="0.2">
      <c r="A284">
        <v>283</v>
      </c>
      <c r="B284" s="1">
        <v>40742</v>
      </c>
      <c r="C284" t="s">
        <v>24</v>
      </c>
      <c r="D284" s="7">
        <v>6</v>
      </c>
      <c r="E284" s="7">
        <v>2</v>
      </c>
      <c r="F284" s="7">
        <f t="shared" si="4"/>
        <v>2</v>
      </c>
      <c r="G284" s="7" t="str">
        <f>LOOKUP(H284,[1]startdates!$A$2:$A$10,[1]startdates!$B$2:$B$10)</f>
        <v>SMr</v>
      </c>
      <c r="H284">
        <v>2</v>
      </c>
      <c r="N284" s="7">
        <v>226</v>
      </c>
      <c r="O284" s="7">
        <v>187</v>
      </c>
    </row>
    <row r="285" spans="1:15" x14ac:dyDescent="0.2">
      <c r="A285">
        <v>284</v>
      </c>
      <c r="B285" s="1">
        <v>40742</v>
      </c>
      <c r="C285" t="s">
        <v>24</v>
      </c>
      <c r="D285" s="7">
        <v>6</v>
      </c>
      <c r="E285" s="7">
        <v>2</v>
      </c>
      <c r="F285" s="7">
        <f t="shared" si="4"/>
        <v>2</v>
      </c>
      <c r="G285" s="7" t="str">
        <f>LOOKUP(H285,[1]startdates!$A$2:$A$10,[1]startdates!$B$2:$B$10)</f>
        <v>SMr</v>
      </c>
      <c r="H285">
        <v>2</v>
      </c>
      <c r="N285" s="7">
        <v>188</v>
      </c>
    </row>
    <row r="286" spans="1:15" x14ac:dyDescent="0.2">
      <c r="A286">
        <v>285</v>
      </c>
      <c r="B286" s="1">
        <v>40742</v>
      </c>
      <c r="C286" t="s">
        <v>24</v>
      </c>
      <c r="D286" s="7">
        <v>6</v>
      </c>
      <c r="E286" s="7">
        <v>2</v>
      </c>
      <c r="F286" s="7">
        <f t="shared" si="4"/>
        <v>2</v>
      </c>
      <c r="G286" s="7" t="str">
        <f>LOOKUP(H286,[1]startdates!$A$2:$A$10,[1]startdates!$B$2:$B$10)</f>
        <v>SMr</v>
      </c>
      <c r="H286">
        <v>2</v>
      </c>
      <c r="N286" s="7">
        <v>179</v>
      </c>
    </row>
    <row r="287" spans="1:15" x14ac:dyDescent="0.2">
      <c r="A287">
        <v>286</v>
      </c>
      <c r="B287" s="1">
        <v>40742</v>
      </c>
      <c r="C287" t="s">
        <v>24</v>
      </c>
      <c r="D287" s="7">
        <v>6</v>
      </c>
      <c r="E287" s="7">
        <v>2</v>
      </c>
      <c r="F287" s="7">
        <f t="shared" si="4"/>
        <v>2</v>
      </c>
      <c r="G287" s="7" t="str">
        <f>LOOKUP(H287,[1]startdates!$A$2:$A$10,[1]startdates!$B$2:$B$10)</f>
        <v>SMr</v>
      </c>
      <c r="H287">
        <v>2</v>
      </c>
      <c r="N287" s="7">
        <v>235</v>
      </c>
    </row>
    <row r="288" spans="1:15" x14ac:dyDescent="0.2">
      <c r="A288">
        <v>287</v>
      </c>
      <c r="B288" s="1">
        <v>40742</v>
      </c>
      <c r="C288" t="s">
        <v>24</v>
      </c>
      <c r="D288" s="7">
        <v>6</v>
      </c>
      <c r="E288" s="7">
        <v>2</v>
      </c>
      <c r="F288" s="7">
        <f t="shared" si="4"/>
        <v>2</v>
      </c>
      <c r="G288" s="7" t="str">
        <f>LOOKUP(H288,[1]startdates!$A$2:$A$10,[1]startdates!$B$2:$B$10)</f>
        <v>SMr</v>
      </c>
      <c r="H288">
        <v>2</v>
      </c>
      <c r="N288" s="7">
        <v>204</v>
      </c>
    </row>
    <row r="289" spans="1:15" x14ac:dyDescent="0.2">
      <c r="A289">
        <v>288</v>
      </c>
      <c r="B289" s="1">
        <v>40742</v>
      </c>
      <c r="C289" t="s">
        <v>24</v>
      </c>
      <c r="D289" s="7">
        <v>6</v>
      </c>
      <c r="E289" s="7">
        <v>2</v>
      </c>
      <c r="F289" s="7">
        <f t="shared" si="4"/>
        <v>2</v>
      </c>
      <c r="G289" s="7" t="str">
        <f>LOOKUP(H289,[1]startdates!$A$2:$A$10,[1]startdates!$B$2:$B$10)</f>
        <v>SMr</v>
      </c>
      <c r="H289">
        <v>2</v>
      </c>
      <c r="N289" s="7">
        <v>205</v>
      </c>
    </row>
    <row r="290" spans="1:15" x14ac:dyDescent="0.2">
      <c r="A290">
        <v>289</v>
      </c>
      <c r="B290" s="1">
        <v>40742</v>
      </c>
      <c r="C290" t="s">
        <v>24</v>
      </c>
      <c r="D290" s="7">
        <v>6</v>
      </c>
      <c r="E290" s="7">
        <v>2</v>
      </c>
      <c r="F290" s="7">
        <f t="shared" si="4"/>
        <v>2</v>
      </c>
      <c r="G290" s="7" t="str">
        <f>LOOKUP(H290,[1]startdates!$A$2:$A$10,[1]startdates!$B$2:$B$10)</f>
        <v>SMr</v>
      </c>
      <c r="H290">
        <v>2</v>
      </c>
      <c r="N290" s="7">
        <v>199</v>
      </c>
    </row>
    <row r="291" spans="1:15" x14ac:dyDescent="0.2">
      <c r="A291">
        <v>290</v>
      </c>
      <c r="B291" s="1">
        <v>40742</v>
      </c>
      <c r="C291" t="s">
        <v>24</v>
      </c>
      <c r="D291" s="7">
        <v>6</v>
      </c>
      <c r="E291" s="7">
        <v>2</v>
      </c>
      <c r="F291" s="7">
        <f t="shared" si="4"/>
        <v>2</v>
      </c>
      <c r="G291" s="7" t="str">
        <f>LOOKUP(H291,[1]startdates!$A$2:$A$10,[1]startdates!$B$2:$B$10)</f>
        <v>SMr</v>
      </c>
      <c r="H291">
        <v>2</v>
      </c>
      <c r="N291" s="7">
        <v>209</v>
      </c>
    </row>
    <row r="292" spans="1:15" x14ac:dyDescent="0.2">
      <c r="A292">
        <v>291</v>
      </c>
      <c r="B292" s="1">
        <v>40742</v>
      </c>
      <c r="C292" t="s">
        <v>24</v>
      </c>
      <c r="D292" s="7">
        <v>6</v>
      </c>
      <c r="E292" s="7">
        <v>2</v>
      </c>
      <c r="F292" s="7">
        <f t="shared" si="4"/>
        <v>2</v>
      </c>
      <c r="G292" s="7" t="str">
        <f>LOOKUP(H292,[1]startdates!$A$2:$A$10,[1]startdates!$B$2:$B$10)</f>
        <v>SMr</v>
      </c>
      <c r="H292">
        <v>2</v>
      </c>
      <c r="N292" s="7">
        <v>202</v>
      </c>
    </row>
    <row r="293" spans="1:15" x14ac:dyDescent="0.2">
      <c r="A293">
        <v>292</v>
      </c>
      <c r="B293" s="1">
        <v>40742</v>
      </c>
      <c r="C293" t="s">
        <v>24</v>
      </c>
      <c r="D293" s="7">
        <v>6</v>
      </c>
      <c r="E293" s="7">
        <v>2</v>
      </c>
      <c r="F293" s="7">
        <f t="shared" si="4"/>
        <v>2</v>
      </c>
      <c r="G293" s="7" t="str">
        <f>LOOKUP(H293,[1]startdates!$A$2:$A$10,[1]startdates!$B$2:$B$10)</f>
        <v>C</v>
      </c>
      <c r="H293">
        <v>3</v>
      </c>
      <c r="I293" s="7">
        <v>765</v>
      </c>
      <c r="J293" s="7">
        <v>698</v>
      </c>
      <c r="K293" s="7">
        <v>686</v>
      </c>
      <c r="L293" s="7">
        <v>382</v>
      </c>
      <c r="M293" s="7">
        <v>327</v>
      </c>
      <c r="N293" s="7">
        <v>231</v>
      </c>
      <c r="O293" s="7">
        <v>186</v>
      </c>
    </row>
    <row r="294" spans="1:15" x14ac:dyDescent="0.2">
      <c r="A294">
        <v>293</v>
      </c>
      <c r="B294" s="1">
        <v>40742</v>
      </c>
      <c r="C294" t="s">
        <v>24</v>
      </c>
      <c r="D294" s="7">
        <v>6</v>
      </c>
      <c r="E294" s="7">
        <v>2</v>
      </c>
      <c r="F294" s="7">
        <f t="shared" si="4"/>
        <v>2</v>
      </c>
      <c r="G294" s="7" t="str">
        <f>LOOKUP(H294,[1]startdates!$A$2:$A$10,[1]startdates!$B$2:$B$10)</f>
        <v>C</v>
      </c>
      <c r="H294">
        <v>3</v>
      </c>
      <c r="I294" s="7">
        <v>781</v>
      </c>
      <c r="M294" s="7">
        <v>266</v>
      </c>
      <c r="N294" s="7">
        <v>177</v>
      </c>
      <c r="O294" s="7">
        <v>153</v>
      </c>
    </row>
    <row r="295" spans="1:15" x14ac:dyDescent="0.2">
      <c r="A295">
        <v>294</v>
      </c>
      <c r="B295" s="1">
        <v>40742</v>
      </c>
      <c r="C295" t="s">
        <v>24</v>
      </c>
      <c r="D295" s="7">
        <v>6</v>
      </c>
      <c r="E295" s="7">
        <v>2</v>
      </c>
      <c r="F295" s="7">
        <f t="shared" si="4"/>
        <v>2</v>
      </c>
      <c r="G295" s="7" t="str">
        <f>LOOKUP(H295,[1]startdates!$A$2:$A$10,[1]startdates!$B$2:$B$10)</f>
        <v>C</v>
      </c>
      <c r="H295">
        <v>3</v>
      </c>
      <c r="I295" s="7">
        <v>780</v>
      </c>
      <c r="M295" s="7">
        <v>306</v>
      </c>
      <c r="N295" s="7">
        <v>237</v>
      </c>
      <c r="O295" s="7">
        <v>170</v>
      </c>
    </row>
    <row r="296" spans="1:15" x14ac:dyDescent="0.2">
      <c r="A296">
        <v>295</v>
      </c>
      <c r="B296" s="1">
        <v>40742</v>
      </c>
      <c r="C296" t="s">
        <v>24</v>
      </c>
      <c r="D296" s="7">
        <v>6</v>
      </c>
      <c r="E296" s="7">
        <v>2</v>
      </c>
      <c r="F296" s="7">
        <f t="shared" si="4"/>
        <v>2</v>
      </c>
      <c r="G296" s="7" t="str">
        <f>LOOKUP(H296,[1]startdates!$A$2:$A$10,[1]startdates!$B$2:$B$10)</f>
        <v>C</v>
      </c>
      <c r="H296">
        <v>3</v>
      </c>
      <c r="I296" s="7">
        <v>887</v>
      </c>
      <c r="M296" s="7">
        <v>300</v>
      </c>
      <c r="N296" s="7">
        <v>213</v>
      </c>
      <c r="O296" s="7">
        <v>134</v>
      </c>
    </row>
    <row r="297" spans="1:15" x14ac:dyDescent="0.2">
      <c r="A297">
        <v>296</v>
      </c>
      <c r="B297" s="1">
        <v>40742</v>
      </c>
      <c r="C297" t="s">
        <v>24</v>
      </c>
      <c r="D297" s="7">
        <v>6</v>
      </c>
      <c r="E297" s="7">
        <v>2</v>
      </c>
      <c r="F297" s="7">
        <f t="shared" ref="F297:F360" si="5">WEEKDAY(B297)</f>
        <v>2</v>
      </c>
      <c r="G297" s="7" t="str">
        <f>LOOKUP(H297,[1]startdates!$A$2:$A$10,[1]startdates!$B$2:$B$10)</f>
        <v>C</v>
      </c>
      <c r="H297">
        <v>3</v>
      </c>
      <c r="I297" s="7">
        <v>789</v>
      </c>
      <c r="N297" s="7">
        <v>233</v>
      </c>
      <c r="O297" s="7">
        <v>170</v>
      </c>
    </row>
    <row r="298" spans="1:15" x14ac:dyDescent="0.2">
      <c r="A298">
        <v>297</v>
      </c>
      <c r="B298" s="1">
        <v>40742</v>
      </c>
      <c r="C298" t="s">
        <v>24</v>
      </c>
      <c r="D298" s="7">
        <v>6</v>
      </c>
      <c r="E298" s="7">
        <v>2</v>
      </c>
      <c r="F298" s="7">
        <f t="shared" si="5"/>
        <v>2</v>
      </c>
      <c r="G298" s="7" t="str">
        <f>LOOKUP(H298,[1]startdates!$A$2:$A$10,[1]startdates!$B$2:$B$10)</f>
        <v>C</v>
      </c>
      <c r="H298">
        <v>3</v>
      </c>
      <c r="I298" s="7">
        <v>712</v>
      </c>
      <c r="N298" s="7">
        <v>219</v>
      </c>
      <c r="O298" s="7">
        <v>150</v>
      </c>
    </row>
    <row r="299" spans="1:15" x14ac:dyDescent="0.2">
      <c r="A299">
        <v>298</v>
      </c>
      <c r="B299" s="1">
        <v>40742</v>
      </c>
      <c r="C299" t="s">
        <v>24</v>
      </c>
      <c r="D299" s="7">
        <v>6</v>
      </c>
      <c r="E299" s="7">
        <v>2</v>
      </c>
      <c r="F299" s="7">
        <f t="shared" si="5"/>
        <v>2</v>
      </c>
      <c r="G299" s="7" t="str">
        <f>LOOKUP(H299,[1]startdates!$A$2:$A$10,[1]startdates!$B$2:$B$10)</f>
        <v>C</v>
      </c>
      <c r="H299">
        <v>3</v>
      </c>
      <c r="I299" s="7">
        <v>758</v>
      </c>
      <c r="N299" s="7">
        <v>179</v>
      </c>
      <c r="O299" s="7">
        <v>183</v>
      </c>
    </row>
    <row r="300" spans="1:15" x14ac:dyDescent="0.2">
      <c r="A300">
        <v>299</v>
      </c>
      <c r="B300" s="1">
        <v>40742</v>
      </c>
      <c r="C300" t="s">
        <v>24</v>
      </c>
      <c r="D300" s="7">
        <v>6</v>
      </c>
      <c r="E300" s="7">
        <v>2</v>
      </c>
      <c r="F300" s="7">
        <f t="shared" si="5"/>
        <v>2</v>
      </c>
      <c r="G300" s="7" t="str">
        <f>LOOKUP(H300,[1]startdates!$A$2:$A$10,[1]startdates!$B$2:$B$10)</f>
        <v>C</v>
      </c>
      <c r="H300">
        <v>3</v>
      </c>
      <c r="N300" s="7">
        <v>206</v>
      </c>
      <c r="O300" s="7">
        <v>155</v>
      </c>
    </row>
    <row r="301" spans="1:15" x14ac:dyDescent="0.2">
      <c r="A301">
        <v>300</v>
      </c>
      <c r="B301" s="1">
        <v>40742</v>
      </c>
      <c r="C301" t="s">
        <v>24</v>
      </c>
      <c r="D301" s="7">
        <v>6</v>
      </c>
      <c r="E301" s="7">
        <v>2</v>
      </c>
      <c r="F301" s="7">
        <f t="shared" si="5"/>
        <v>2</v>
      </c>
      <c r="G301" s="7" t="str">
        <f>LOOKUP(H301,[1]startdates!$A$2:$A$10,[1]startdates!$B$2:$B$10)</f>
        <v>C</v>
      </c>
      <c r="H301">
        <v>3</v>
      </c>
      <c r="N301" s="7">
        <v>195</v>
      </c>
      <c r="O301" s="7">
        <v>203</v>
      </c>
    </row>
    <row r="302" spans="1:15" x14ac:dyDescent="0.2">
      <c r="A302">
        <v>301</v>
      </c>
      <c r="B302" s="1">
        <v>40742</v>
      </c>
      <c r="C302" t="s">
        <v>24</v>
      </c>
      <c r="D302" s="7">
        <v>6</v>
      </c>
      <c r="E302" s="7">
        <v>2</v>
      </c>
      <c r="F302" s="7">
        <f t="shared" si="5"/>
        <v>2</v>
      </c>
      <c r="G302" s="7" t="str">
        <f>LOOKUP(H302,[1]startdates!$A$2:$A$10,[1]startdates!$B$2:$B$10)</f>
        <v>C</v>
      </c>
      <c r="H302">
        <v>3</v>
      </c>
      <c r="N302" s="7">
        <v>238</v>
      </c>
      <c r="O302" s="7">
        <v>143</v>
      </c>
    </row>
    <row r="303" spans="1:15" x14ac:dyDescent="0.2">
      <c r="A303">
        <v>302</v>
      </c>
      <c r="B303" s="1">
        <v>40742</v>
      </c>
      <c r="C303" t="s">
        <v>24</v>
      </c>
      <c r="D303" s="7">
        <v>6</v>
      </c>
      <c r="E303" s="7">
        <v>2</v>
      </c>
      <c r="F303" s="7">
        <f t="shared" si="5"/>
        <v>2</v>
      </c>
      <c r="G303" s="7" t="str">
        <f>LOOKUP(H303,[1]startdates!$A$2:$A$10,[1]startdates!$B$2:$B$10)</f>
        <v>C</v>
      </c>
      <c r="H303">
        <v>3</v>
      </c>
      <c r="N303" s="7">
        <v>223</v>
      </c>
      <c r="O303" s="7">
        <v>156</v>
      </c>
    </row>
    <row r="304" spans="1:15" x14ac:dyDescent="0.2">
      <c r="A304">
        <v>303</v>
      </c>
      <c r="B304" s="1">
        <v>40742</v>
      </c>
      <c r="C304" t="s">
        <v>24</v>
      </c>
      <c r="D304" s="7">
        <v>6</v>
      </c>
      <c r="E304" s="7">
        <v>2</v>
      </c>
      <c r="F304" s="7">
        <f t="shared" si="5"/>
        <v>2</v>
      </c>
      <c r="G304" s="7" t="str">
        <f>LOOKUP(H304,[1]startdates!$A$2:$A$10,[1]startdates!$B$2:$B$10)</f>
        <v>C</v>
      </c>
      <c r="H304">
        <v>3</v>
      </c>
      <c r="O304" s="7">
        <v>160</v>
      </c>
    </row>
    <row r="305" spans="1:15" x14ac:dyDescent="0.2">
      <c r="A305">
        <v>304</v>
      </c>
      <c r="B305" s="1">
        <v>40742</v>
      </c>
      <c r="C305" t="s">
        <v>24</v>
      </c>
      <c r="D305" s="7">
        <v>6</v>
      </c>
      <c r="E305" s="7">
        <v>2</v>
      </c>
      <c r="F305" s="7">
        <f t="shared" si="5"/>
        <v>2</v>
      </c>
      <c r="G305" s="7" t="str">
        <f>LOOKUP(H305,[1]startdates!$A$2:$A$10,[1]startdates!$B$2:$B$10)</f>
        <v>SMr</v>
      </c>
      <c r="H305">
        <v>4</v>
      </c>
      <c r="I305" s="7">
        <v>739</v>
      </c>
      <c r="K305" s="7">
        <v>725</v>
      </c>
      <c r="M305" s="7">
        <v>279</v>
      </c>
      <c r="N305" s="7">
        <v>262</v>
      </c>
      <c r="O305" s="7">
        <v>175</v>
      </c>
    </row>
    <row r="306" spans="1:15" x14ac:dyDescent="0.2">
      <c r="A306">
        <v>305</v>
      </c>
      <c r="B306" s="1">
        <v>40742</v>
      </c>
      <c r="C306" t="s">
        <v>24</v>
      </c>
      <c r="D306" s="7">
        <v>6</v>
      </c>
      <c r="E306" s="7">
        <v>2</v>
      </c>
      <c r="F306" s="7">
        <f t="shared" si="5"/>
        <v>2</v>
      </c>
      <c r="G306" s="7" t="str">
        <f>LOOKUP(H306,[1]startdates!$A$2:$A$10,[1]startdates!$B$2:$B$10)</f>
        <v>SMr</v>
      </c>
      <c r="H306">
        <v>4</v>
      </c>
      <c r="I306" s="7">
        <v>758</v>
      </c>
      <c r="K306" s="7">
        <v>672</v>
      </c>
      <c r="M306" s="7">
        <v>281</v>
      </c>
      <c r="N306" s="7">
        <v>241</v>
      </c>
      <c r="O306" s="7">
        <v>140</v>
      </c>
    </row>
    <row r="307" spans="1:15" x14ac:dyDescent="0.2">
      <c r="A307">
        <v>306</v>
      </c>
      <c r="B307" s="1">
        <v>40742</v>
      </c>
      <c r="C307" t="s">
        <v>24</v>
      </c>
      <c r="D307" s="7">
        <v>6</v>
      </c>
      <c r="E307" s="7">
        <v>2</v>
      </c>
      <c r="F307" s="7">
        <f t="shared" si="5"/>
        <v>2</v>
      </c>
      <c r="G307" s="7" t="str">
        <f>LOOKUP(H307,[1]startdates!$A$2:$A$10,[1]startdates!$B$2:$B$10)</f>
        <v>SMr</v>
      </c>
      <c r="H307">
        <v>4</v>
      </c>
      <c r="I307" s="7">
        <v>753</v>
      </c>
      <c r="N307" s="7">
        <v>236</v>
      </c>
      <c r="O307" s="7">
        <v>176</v>
      </c>
    </row>
    <row r="308" spans="1:15" x14ac:dyDescent="0.2">
      <c r="A308">
        <v>307</v>
      </c>
      <c r="B308" s="1">
        <v>40742</v>
      </c>
      <c r="C308" t="s">
        <v>24</v>
      </c>
      <c r="D308" s="7">
        <v>6</v>
      </c>
      <c r="E308" s="7">
        <v>2</v>
      </c>
      <c r="F308" s="7">
        <f t="shared" si="5"/>
        <v>2</v>
      </c>
      <c r="G308" s="7" t="str">
        <f>LOOKUP(H308,[1]startdates!$A$2:$A$10,[1]startdates!$B$2:$B$10)</f>
        <v>SMr</v>
      </c>
      <c r="H308">
        <v>4</v>
      </c>
      <c r="I308" s="7">
        <v>936</v>
      </c>
      <c r="N308" s="7">
        <v>223</v>
      </c>
      <c r="O308" s="7">
        <v>168</v>
      </c>
    </row>
    <row r="309" spans="1:15" x14ac:dyDescent="0.2">
      <c r="A309">
        <v>308</v>
      </c>
      <c r="B309" s="1">
        <v>40742</v>
      </c>
      <c r="C309" t="s">
        <v>24</v>
      </c>
      <c r="D309" s="7">
        <v>6</v>
      </c>
      <c r="E309" s="7">
        <v>2</v>
      </c>
      <c r="F309" s="7">
        <f t="shared" si="5"/>
        <v>2</v>
      </c>
      <c r="G309" s="7" t="str">
        <f>LOOKUP(H309,[1]startdates!$A$2:$A$10,[1]startdates!$B$2:$B$10)</f>
        <v>SMr</v>
      </c>
      <c r="H309">
        <v>4</v>
      </c>
      <c r="I309" s="7">
        <v>865</v>
      </c>
      <c r="N309" s="7">
        <v>270</v>
      </c>
      <c r="O309" s="7">
        <v>159</v>
      </c>
    </row>
    <row r="310" spans="1:15" x14ac:dyDescent="0.2">
      <c r="A310">
        <v>309</v>
      </c>
      <c r="B310" s="1">
        <v>40742</v>
      </c>
      <c r="C310" t="s">
        <v>24</v>
      </c>
      <c r="D310" s="7">
        <v>6</v>
      </c>
      <c r="E310" s="7">
        <v>2</v>
      </c>
      <c r="F310" s="7">
        <f t="shared" si="5"/>
        <v>2</v>
      </c>
      <c r="G310" s="7" t="str">
        <f>LOOKUP(H310,[1]startdates!$A$2:$A$10,[1]startdates!$B$2:$B$10)</f>
        <v>SMr</v>
      </c>
      <c r="H310">
        <v>4</v>
      </c>
      <c r="N310" s="7">
        <v>241</v>
      </c>
      <c r="O310" s="7">
        <v>151</v>
      </c>
    </row>
    <row r="311" spans="1:15" x14ac:dyDescent="0.2">
      <c r="A311">
        <v>310</v>
      </c>
      <c r="B311" s="1">
        <v>40742</v>
      </c>
      <c r="C311" t="s">
        <v>24</v>
      </c>
      <c r="D311" s="7">
        <v>6</v>
      </c>
      <c r="E311" s="7">
        <v>2</v>
      </c>
      <c r="F311" s="7">
        <f t="shared" si="5"/>
        <v>2</v>
      </c>
      <c r="G311" s="7" t="str">
        <f>LOOKUP(H311,[1]startdates!$A$2:$A$10,[1]startdates!$B$2:$B$10)</f>
        <v>SMr</v>
      </c>
      <c r="H311">
        <v>4</v>
      </c>
      <c r="N311" s="7">
        <v>196</v>
      </c>
      <c r="O311" s="7">
        <v>157</v>
      </c>
    </row>
    <row r="312" spans="1:15" x14ac:dyDescent="0.2">
      <c r="A312">
        <v>311</v>
      </c>
      <c r="B312" s="1">
        <v>40742</v>
      </c>
      <c r="C312" t="s">
        <v>24</v>
      </c>
      <c r="D312" s="7">
        <v>6</v>
      </c>
      <c r="E312" s="7">
        <v>2</v>
      </c>
      <c r="F312" s="7">
        <f t="shared" si="5"/>
        <v>2</v>
      </c>
      <c r="G312" s="7" t="str">
        <f>LOOKUP(H312,[1]startdates!$A$2:$A$10,[1]startdates!$B$2:$B$10)</f>
        <v>SMr</v>
      </c>
      <c r="H312">
        <v>4</v>
      </c>
      <c r="N312" s="7">
        <v>168</v>
      </c>
      <c r="O312" s="7">
        <v>159</v>
      </c>
    </row>
    <row r="313" spans="1:15" x14ac:dyDescent="0.2">
      <c r="A313">
        <v>312</v>
      </c>
      <c r="B313" s="1">
        <v>40742</v>
      </c>
      <c r="C313" t="s">
        <v>24</v>
      </c>
      <c r="D313" s="7">
        <v>6</v>
      </c>
      <c r="E313" s="7">
        <v>2</v>
      </c>
      <c r="F313" s="7">
        <f t="shared" si="5"/>
        <v>2</v>
      </c>
      <c r="G313" s="7" t="str">
        <f>LOOKUP(H313,[1]startdates!$A$2:$A$10,[1]startdates!$B$2:$B$10)</f>
        <v>SMr</v>
      </c>
      <c r="H313">
        <v>4</v>
      </c>
      <c r="N313" s="7">
        <v>215</v>
      </c>
      <c r="O313" s="7">
        <v>129</v>
      </c>
    </row>
    <row r="314" spans="1:15" x14ac:dyDescent="0.2">
      <c r="A314">
        <v>313</v>
      </c>
      <c r="B314" s="1">
        <v>40742</v>
      </c>
      <c r="C314" t="s">
        <v>24</v>
      </c>
      <c r="D314" s="7">
        <v>6</v>
      </c>
      <c r="E314" s="7">
        <v>2</v>
      </c>
      <c r="F314" s="7">
        <f t="shared" si="5"/>
        <v>2</v>
      </c>
      <c r="G314" s="7" t="str">
        <f>LOOKUP(H314,[1]startdates!$A$2:$A$10,[1]startdates!$B$2:$B$10)</f>
        <v>SMr</v>
      </c>
      <c r="H314">
        <v>4</v>
      </c>
      <c r="N314" s="7">
        <v>176</v>
      </c>
      <c r="O314" s="7">
        <v>171</v>
      </c>
    </row>
    <row r="315" spans="1:15" x14ac:dyDescent="0.2">
      <c r="A315">
        <v>314</v>
      </c>
      <c r="B315" s="1">
        <v>40742</v>
      </c>
      <c r="C315" t="s">
        <v>24</v>
      </c>
      <c r="D315" s="7">
        <v>6</v>
      </c>
      <c r="E315" s="7">
        <v>2</v>
      </c>
      <c r="F315" s="7">
        <f t="shared" si="5"/>
        <v>2</v>
      </c>
      <c r="G315" s="7" t="str">
        <f>LOOKUP(H315,[1]startdates!$A$2:$A$10,[1]startdates!$B$2:$B$10)</f>
        <v>SMr</v>
      </c>
      <c r="H315">
        <v>4</v>
      </c>
      <c r="N315" s="7">
        <v>184</v>
      </c>
      <c r="O315" s="7">
        <v>157</v>
      </c>
    </row>
    <row r="316" spans="1:15" x14ac:dyDescent="0.2">
      <c r="A316">
        <v>315</v>
      </c>
      <c r="B316" s="1">
        <v>40742</v>
      </c>
      <c r="C316" t="s">
        <v>24</v>
      </c>
      <c r="D316" s="7">
        <v>6</v>
      </c>
      <c r="E316" s="7">
        <v>2</v>
      </c>
      <c r="F316" s="7">
        <f t="shared" si="5"/>
        <v>2</v>
      </c>
      <c r="G316" s="7" t="str">
        <f>LOOKUP(H316,[1]startdates!$A$2:$A$10,[1]startdates!$B$2:$B$10)</f>
        <v>SMr</v>
      </c>
      <c r="H316">
        <v>4</v>
      </c>
      <c r="N316" s="7">
        <v>245</v>
      </c>
      <c r="O316" s="7">
        <v>167</v>
      </c>
    </row>
    <row r="317" spans="1:15" x14ac:dyDescent="0.2">
      <c r="A317">
        <v>316</v>
      </c>
      <c r="B317" s="1">
        <v>40742</v>
      </c>
      <c r="C317" t="s">
        <v>24</v>
      </c>
      <c r="D317" s="7">
        <v>6</v>
      </c>
      <c r="E317" s="7">
        <v>2</v>
      </c>
      <c r="F317" s="7">
        <f t="shared" si="5"/>
        <v>2</v>
      </c>
      <c r="G317" s="7" t="str">
        <f>LOOKUP(H317,[1]startdates!$A$2:$A$10,[1]startdates!$B$2:$B$10)</f>
        <v>SMr</v>
      </c>
      <c r="H317">
        <v>4</v>
      </c>
      <c r="O317" s="7">
        <v>170</v>
      </c>
    </row>
    <row r="318" spans="1:15" x14ac:dyDescent="0.2">
      <c r="A318">
        <v>317</v>
      </c>
      <c r="B318" s="1">
        <v>40742</v>
      </c>
      <c r="C318" t="s">
        <v>24</v>
      </c>
      <c r="D318" s="7">
        <v>6</v>
      </c>
      <c r="E318" s="7">
        <v>2</v>
      </c>
      <c r="F318" s="7">
        <f t="shared" si="5"/>
        <v>2</v>
      </c>
      <c r="G318" s="7" t="str">
        <f>LOOKUP(H318,[1]startdates!$A$2:$A$10,[1]startdates!$B$2:$B$10)</f>
        <v>SMr</v>
      </c>
      <c r="H318">
        <v>4</v>
      </c>
      <c r="O318" s="7">
        <v>160</v>
      </c>
    </row>
    <row r="319" spans="1:15" x14ac:dyDescent="0.2">
      <c r="A319">
        <v>318</v>
      </c>
      <c r="B319" s="1">
        <v>40742</v>
      </c>
      <c r="C319" t="s">
        <v>24</v>
      </c>
      <c r="D319" s="7">
        <v>6</v>
      </c>
      <c r="E319" s="7">
        <v>2</v>
      </c>
      <c r="F319" s="7">
        <f t="shared" si="5"/>
        <v>2</v>
      </c>
      <c r="G319" s="7" t="str">
        <f>LOOKUP(H319,[1]startdates!$A$2:$A$10,[1]startdates!$B$2:$B$10)</f>
        <v>SMr</v>
      </c>
      <c r="H319">
        <v>4</v>
      </c>
      <c r="O319" s="7">
        <v>171</v>
      </c>
    </row>
    <row r="320" spans="1:15" x14ac:dyDescent="0.2">
      <c r="A320">
        <v>319</v>
      </c>
      <c r="B320" s="1">
        <v>40742</v>
      </c>
      <c r="C320" t="s">
        <v>24</v>
      </c>
      <c r="D320" s="7">
        <v>6</v>
      </c>
      <c r="E320" s="7">
        <v>2</v>
      </c>
      <c r="F320" s="7">
        <f t="shared" si="5"/>
        <v>2</v>
      </c>
      <c r="G320" s="7" t="str">
        <f>LOOKUP(H320,[1]startdates!$A$2:$A$10,[1]startdates!$B$2:$B$10)</f>
        <v>SMr</v>
      </c>
      <c r="H320">
        <v>4</v>
      </c>
      <c r="O320" s="7">
        <v>160</v>
      </c>
    </row>
    <row r="321" spans="1:15" x14ac:dyDescent="0.2">
      <c r="A321">
        <v>320</v>
      </c>
      <c r="B321" s="1">
        <v>40742</v>
      </c>
      <c r="C321" t="s">
        <v>24</v>
      </c>
      <c r="D321" s="7">
        <v>6</v>
      </c>
      <c r="E321" s="7">
        <v>2</v>
      </c>
      <c r="F321" s="7">
        <f t="shared" si="5"/>
        <v>2</v>
      </c>
      <c r="G321" s="7" t="str">
        <f>LOOKUP(H321,[1]startdates!$A$2:$A$10,[1]startdates!$B$2:$B$10)</f>
        <v>SMr</v>
      </c>
      <c r="H321">
        <v>4</v>
      </c>
      <c r="O321" s="7">
        <v>155</v>
      </c>
    </row>
    <row r="322" spans="1:15" x14ac:dyDescent="0.2">
      <c r="A322">
        <v>321</v>
      </c>
      <c r="B322" s="1">
        <v>40742</v>
      </c>
      <c r="C322" t="s">
        <v>24</v>
      </c>
      <c r="D322" s="7">
        <v>6</v>
      </c>
      <c r="E322" s="7">
        <v>2</v>
      </c>
      <c r="F322" s="7">
        <f t="shared" si="5"/>
        <v>2</v>
      </c>
      <c r="G322" s="7" t="str">
        <f>LOOKUP(H322,[1]startdates!$A$2:$A$10,[1]startdates!$B$2:$B$10)</f>
        <v>SMr</v>
      </c>
      <c r="H322">
        <v>4</v>
      </c>
      <c r="O322" s="7">
        <v>176</v>
      </c>
    </row>
    <row r="323" spans="1:15" x14ac:dyDescent="0.2">
      <c r="A323">
        <v>322</v>
      </c>
      <c r="B323" s="1">
        <v>40742</v>
      </c>
      <c r="C323" t="s">
        <v>24</v>
      </c>
      <c r="D323" s="7">
        <v>6</v>
      </c>
      <c r="E323" s="7">
        <v>2</v>
      </c>
      <c r="F323" s="7">
        <f t="shared" si="5"/>
        <v>2</v>
      </c>
      <c r="G323" s="7" t="str">
        <f>LOOKUP(H323,[1]startdates!$A$2:$A$10,[1]startdates!$B$2:$B$10)</f>
        <v>C</v>
      </c>
      <c r="H323">
        <v>5</v>
      </c>
      <c r="I323" s="7">
        <v>897</v>
      </c>
      <c r="J323" s="7">
        <v>639</v>
      </c>
      <c r="M323" s="7">
        <v>295</v>
      </c>
      <c r="N323" s="7">
        <v>253</v>
      </c>
      <c r="O323" s="7">
        <v>166</v>
      </c>
    </row>
    <row r="324" spans="1:15" x14ac:dyDescent="0.2">
      <c r="A324">
        <v>323</v>
      </c>
      <c r="B324" s="1">
        <v>40742</v>
      </c>
      <c r="C324" t="s">
        <v>24</v>
      </c>
      <c r="D324" s="7">
        <v>6</v>
      </c>
      <c r="E324" s="7">
        <v>2</v>
      </c>
      <c r="F324" s="7">
        <f t="shared" si="5"/>
        <v>2</v>
      </c>
      <c r="G324" s="7" t="str">
        <f>LOOKUP(H324,[1]startdates!$A$2:$A$10,[1]startdates!$B$2:$B$10)</f>
        <v>C</v>
      </c>
      <c r="H324">
        <v>5</v>
      </c>
      <c r="I324" s="7">
        <v>852</v>
      </c>
      <c r="J324" s="7">
        <v>629</v>
      </c>
      <c r="M324" s="7">
        <v>285</v>
      </c>
      <c r="N324" s="7">
        <v>246</v>
      </c>
      <c r="O324" s="7">
        <v>201</v>
      </c>
    </row>
    <row r="325" spans="1:15" x14ac:dyDescent="0.2">
      <c r="A325">
        <v>324</v>
      </c>
      <c r="B325" s="1">
        <v>40742</v>
      </c>
      <c r="C325" t="s">
        <v>24</v>
      </c>
      <c r="D325" s="7">
        <v>6</v>
      </c>
      <c r="E325" s="7">
        <v>2</v>
      </c>
      <c r="F325" s="7">
        <f t="shared" si="5"/>
        <v>2</v>
      </c>
      <c r="G325" s="7" t="str">
        <f>LOOKUP(H325,[1]startdates!$A$2:$A$10,[1]startdates!$B$2:$B$10)</f>
        <v>C</v>
      </c>
      <c r="H325">
        <v>5</v>
      </c>
      <c r="I325" s="7">
        <v>866</v>
      </c>
      <c r="J325" s="7">
        <v>662</v>
      </c>
      <c r="M325" s="7">
        <v>312</v>
      </c>
      <c r="N325" s="7">
        <v>245</v>
      </c>
      <c r="O325" s="7">
        <v>165</v>
      </c>
    </row>
    <row r="326" spans="1:15" x14ac:dyDescent="0.2">
      <c r="A326">
        <v>325</v>
      </c>
      <c r="B326" s="1">
        <v>40742</v>
      </c>
      <c r="C326" t="s">
        <v>24</v>
      </c>
      <c r="D326" s="7">
        <v>6</v>
      </c>
      <c r="E326" s="7">
        <v>2</v>
      </c>
      <c r="F326" s="7">
        <f t="shared" si="5"/>
        <v>2</v>
      </c>
      <c r="G326" s="7" t="str">
        <f>LOOKUP(H326,[1]startdates!$A$2:$A$10,[1]startdates!$B$2:$B$10)</f>
        <v>C</v>
      </c>
      <c r="H326">
        <v>5</v>
      </c>
      <c r="J326" s="7">
        <v>641</v>
      </c>
      <c r="M326" s="7">
        <v>289</v>
      </c>
      <c r="N326" s="7">
        <v>215</v>
      </c>
      <c r="O326" s="7">
        <v>147</v>
      </c>
    </row>
    <row r="327" spans="1:15" x14ac:dyDescent="0.2">
      <c r="A327">
        <v>326</v>
      </c>
      <c r="B327" s="1">
        <v>40742</v>
      </c>
      <c r="C327" t="s">
        <v>24</v>
      </c>
      <c r="D327" s="7">
        <v>6</v>
      </c>
      <c r="E327" s="7">
        <v>2</v>
      </c>
      <c r="F327" s="7">
        <f t="shared" si="5"/>
        <v>2</v>
      </c>
      <c r="G327" s="7" t="str">
        <f>LOOKUP(H327,[1]startdates!$A$2:$A$10,[1]startdates!$B$2:$B$10)</f>
        <v>C</v>
      </c>
      <c r="H327">
        <v>5</v>
      </c>
      <c r="M327" s="7">
        <v>399</v>
      </c>
      <c r="N327" s="7">
        <v>249</v>
      </c>
      <c r="O327" s="7">
        <v>160</v>
      </c>
    </row>
    <row r="328" spans="1:15" x14ac:dyDescent="0.2">
      <c r="A328">
        <v>327</v>
      </c>
      <c r="B328" s="1">
        <v>40742</v>
      </c>
      <c r="C328" t="s">
        <v>24</v>
      </c>
      <c r="D328" s="7">
        <v>6</v>
      </c>
      <c r="E328" s="7">
        <v>2</v>
      </c>
      <c r="F328" s="7">
        <f t="shared" si="5"/>
        <v>2</v>
      </c>
      <c r="G328" s="7" t="str">
        <f>LOOKUP(H328,[1]startdates!$A$2:$A$10,[1]startdates!$B$2:$B$10)</f>
        <v>C</v>
      </c>
      <c r="H328">
        <v>5</v>
      </c>
      <c r="N328" s="7">
        <v>233</v>
      </c>
      <c r="O328" s="7">
        <v>162</v>
      </c>
    </row>
    <row r="329" spans="1:15" x14ac:dyDescent="0.2">
      <c r="A329">
        <v>328</v>
      </c>
      <c r="B329" s="1">
        <v>40742</v>
      </c>
      <c r="C329" t="s">
        <v>24</v>
      </c>
      <c r="D329" s="7">
        <v>6</v>
      </c>
      <c r="E329" s="7">
        <v>2</v>
      </c>
      <c r="F329" s="7">
        <f t="shared" si="5"/>
        <v>2</v>
      </c>
      <c r="G329" s="7" t="str">
        <f>LOOKUP(H329,[1]startdates!$A$2:$A$10,[1]startdates!$B$2:$B$10)</f>
        <v>C</v>
      </c>
      <c r="H329">
        <v>5</v>
      </c>
      <c r="N329" s="7">
        <v>208</v>
      </c>
      <c r="O329" s="7">
        <v>192</v>
      </c>
    </row>
    <row r="330" spans="1:15" x14ac:dyDescent="0.2">
      <c r="A330">
        <v>329</v>
      </c>
      <c r="B330" s="1">
        <v>40742</v>
      </c>
      <c r="C330" t="s">
        <v>24</v>
      </c>
      <c r="D330" s="7">
        <v>6</v>
      </c>
      <c r="E330" s="7">
        <v>2</v>
      </c>
      <c r="F330" s="7">
        <f t="shared" si="5"/>
        <v>2</v>
      </c>
      <c r="G330" s="7" t="str">
        <f>LOOKUP(H330,[1]startdates!$A$2:$A$10,[1]startdates!$B$2:$B$10)</f>
        <v>C</v>
      </c>
      <c r="H330">
        <v>5</v>
      </c>
      <c r="N330" s="7">
        <v>225</v>
      </c>
      <c r="O330" s="7">
        <v>150</v>
      </c>
    </row>
    <row r="331" spans="1:15" x14ac:dyDescent="0.2">
      <c r="A331">
        <v>330</v>
      </c>
      <c r="B331" s="1">
        <v>40742</v>
      </c>
      <c r="C331" t="s">
        <v>24</v>
      </c>
      <c r="D331" s="7">
        <v>6</v>
      </c>
      <c r="E331" s="7">
        <v>2</v>
      </c>
      <c r="F331" s="7">
        <f t="shared" si="5"/>
        <v>2</v>
      </c>
      <c r="G331" s="7" t="str">
        <f>LOOKUP(H331,[1]startdates!$A$2:$A$10,[1]startdates!$B$2:$B$10)</f>
        <v>C</v>
      </c>
      <c r="H331">
        <v>5</v>
      </c>
      <c r="N331" s="7">
        <v>227</v>
      </c>
      <c r="O331" s="7">
        <v>176</v>
      </c>
    </row>
    <row r="332" spans="1:15" x14ac:dyDescent="0.2">
      <c r="A332">
        <v>331</v>
      </c>
      <c r="B332" s="1">
        <v>40742</v>
      </c>
      <c r="C332" t="s">
        <v>24</v>
      </c>
      <c r="D332" s="7">
        <v>6</v>
      </c>
      <c r="E332" s="7">
        <v>2</v>
      </c>
      <c r="F332" s="7">
        <f t="shared" si="5"/>
        <v>2</v>
      </c>
      <c r="G332" s="7" t="str">
        <f>LOOKUP(H332,[1]startdates!$A$2:$A$10,[1]startdates!$B$2:$B$10)</f>
        <v>C</v>
      </c>
      <c r="H332">
        <v>5</v>
      </c>
      <c r="O332" s="7">
        <v>172</v>
      </c>
    </row>
    <row r="333" spans="1:15" x14ac:dyDescent="0.2">
      <c r="A333">
        <v>332</v>
      </c>
      <c r="B333" s="1">
        <v>40742</v>
      </c>
      <c r="C333" t="s">
        <v>24</v>
      </c>
      <c r="D333" s="7">
        <v>6</v>
      </c>
      <c r="E333" s="7">
        <v>2</v>
      </c>
      <c r="F333" s="7">
        <f t="shared" si="5"/>
        <v>2</v>
      </c>
      <c r="G333" s="7" t="str">
        <f>LOOKUP(H333,[1]startdates!$A$2:$A$10,[1]startdates!$B$2:$B$10)</f>
        <v>C</v>
      </c>
      <c r="H333">
        <v>5</v>
      </c>
      <c r="O333" s="7">
        <v>154</v>
      </c>
    </row>
    <row r="334" spans="1:15" x14ac:dyDescent="0.2">
      <c r="A334">
        <v>333</v>
      </c>
      <c r="B334" s="1">
        <v>40742</v>
      </c>
      <c r="C334" t="s">
        <v>24</v>
      </c>
      <c r="D334" s="7">
        <v>6</v>
      </c>
      <c r="E334" s="7">
        <v>2</v>
      </c>
      <c r="F334" s="7">
        <f t="shared" si="5"/>
        <v>2</v>
      </c>
      <c r="G334" s="7" t="str">
        <f>LOOKUP(H334,[1]startdates!$A$2:$A$10,[1]startdates!$B$2:$B$10)</f>
        <v>C</v>
      </c>
      <c r="H334">
        <v>5</v>
      </c>
      <c r="O334" s="7">
        <v>163</v>
      </c>
    </row>
    <row r="335" spans="1:15" x14ac:dyDescent="0.2">
      <c r="A335">
        <v>334</v>
      </c>
      <c r="B335" s="1">
        <v>40742</v>
      </c>
      <c r="C335" t="s">
        <v>24</v>
      </c>
      <c r="D335" s="7">
        <v>6</v>
      </c>
      <c r="E335" s="7">
        <v>2</v>
      </c>
      <c r="F335" s="7">
        <f t="shared" si="5"/>
        <v>2</v>
      </c>
      <c r="G335" s="7" t="str">
        <f>LOOKUP(H335,[1]startdates!$A$2:$A$10,[1]startdates!$B$2:$B$10)</f>
        <v>C</v>
      </c>
      <c r="H335">
        <v>5</v>
      </c>
      <c r="O335" s="7">
        <v>171</v>
      </c>
    </row>
    <row r="336" spans="1:15" x14ac:dyDescent="0.2">
      <c r="A336">
        <v>335</v>
      </c>
      <c r="B336" s="1">
        <v>40742</v>
      </c>
      <c r="C336" t="s">
        <v>24</v>
      </c>
      <c r="D336" s="7">
        <v>6</v>
      </c>
      <c r="E336" s="7">
        <v>2</v>
      </c>
      <c r="F336" s="7">
        <f t="shared" si="5"/>
        <v>2</v>
      </c>
      <c r="G336" s="7" t="str">
        <f>LOOKUP(H336,[1]startdates!$A$2:$A$10,[1]startdates!$B$2:$B$10)</f>
        <v>FMr</v>
      </c>
      <c r="H336">
        <v>6</v>
      </c>
      <c r="I336" s="7">
        <v>744</v>
      </c>
      <c r="J336" s="7">
        <v>625</v>
      </c>
      <c r="K336" s="7">
        <v>635</v>
      </c>
      <c r="M336" s="7">
        <v>268</v>
      </c>
      <c r="N336" s="7">
        <v>200</v>
      </c>
      <c r="O336" s="7">
        <v>177</v>
      </c>
    </row>
    <row r="337" spans="1:15" x14ac:dyDescent="0.2">
      <c r="A337">
        <v>336</v>
      </c>
      <c r="B337" s="1">
        <v>40742</v>
      </c>
      <c r="C337" t="s">
        <v>24</v>
      </c>
      <c r="D337" s="7">
        <v>6</v>
      </c>
      <c r="E337" s="7">
        <v>2</v>
      </c>
      <c r="F337" s="7">
        <f t="shared" si="5"/>
        <v>2</v>
      </c>
      <c r="G337" s="7" t="str">
        <f>LOOKUP(H337,[1]startdates!$A$2:$A$10,[1]startdates!$B$2:$B$10)</f>
        <v>FMr</v>
      </c>
      <c r="H337">
        <v>6</v>
      </c>
      <c r="I337" s="7">
        <v>822</v>
      </c>
      <c r="J337" s="7">
        <v>519</v>
      </c>
      <c r="K337" s="7">
        <v>665</v>
      </c>
      <c r="M337" s="7">
        <v>255</v>
      </c>
      <c r="N337" s="7">
        <v>193</v>
      </c>
      <c r="O337" s="7">
        <v>162</v>
      </c>
    </row>
    <row r="338" spans="1:15" x14ac:dyDescent="0.2">
      <c r="A338">
        <v>337</v>
      </c>
      <c r="B338" s="1">
        <v>40742</v>
      </c>
      <c r="C338" t="s">
        <v>24</v>
      </c>
      <c r="D338" s="7">
        <v>6</v>
      </c>
      <c r="E338" s="7">
        <v>2</v>
      </c>
      <c r="F338" s="7">
        <f t="shared" si="5"/>
        <v>2</v>
      </c>
      <c r="G338" s="7" t="str">
        <f>LOOKUP(H338,[1]startdates!$A$2:$A$10,[1]startdates!$B$2:$B$10)</f>
        <v>FMr</v>
      </c>
      <c r="H338">
        <v>6</v>
      </c>
      <c r="I338" s="7">
        <v>853</v>
      </c>
      <c r="J338" s="7">
        <v>639</v>
      </c>
      <c r="K338" s="7">
        <v>676</v>
      </c>
      <c r="N338" s="7">
        <v>235</v>
      </c>
      <c r="O338" s="7">
        <v>139</v>
      </c>
    </row>
    <row r="339" spans="1:15" x14ac:dyDescent="0.2">
      <c r="A339">
        <v>338</v>
      </c>
      <c r="B339" s="1">
        <v>40742</v>
      </c>
      <c r="C339" t="s">
        <v>24</v>
      </c>
      <c r="D339" s="7">
        <v>6</v>
      </c>
      <c r="E339" s="7">
        <v>2</v>
      </c>
      <c r="F339" s="7">
        <f t="shared" si="5"/>
        <v>2</v>
      </c>
      <c r="G339" s="7" t="str">
        <f>LOOKUP(H339,[1]startdates!$A$2:$A$10,[1]startdates!$B$2:$B$10)</f>
        <v>FMr</v>
      </c>
      <c r="H339">
        <v>6</v>
      </c>
      <c r="I339" s="7">
        <v>793</v>
      </c>
      <c r="K339" s="7">
        <v>648</v>
      </c>
      <c r="N339" s="7">
        <v>202</v>
      </c>
      <c r="O339" s="7">
        <v>152</v>
      </c>
    </row>
    <row r="340" spans="1:15" x14ac:dyDescent="0.2">
      <c r="A340">
        <v>339</v>
      </c>
      <c r="B340" s="1">
        <v>40742</v>
      </c>
      <c r="C340" t="s">
        <v>24</v>
      </c>
      <c r="D340" s="7">
        <v>6</v>
      </c>
      <c r="E340" s="7">
        <v>2</v>
      </c>
      <c r="F340" s="7">
        <f t="shared" si="5"/>
        <v>2</v>
      </c>
      <c r="G340" s="7" t="str">
        <f>LOOKUP(H340,[1]startdates!$A$2:$A$10,[1]startdates!$B$2:$B$10)</f>
        <v>FMr</v>
      </c>
      <c r="H340">
        <v>6</v>
      </c>
      <c r="I340" s="7">
        <v>792</v>
      </c>
      <c r="K340" s="7">
        <v>711</v>
      </c>
      <c r="N340" s="7">
        <v>212</v>
      </c>
      <c r="O340" s="7">
        <v>162</v>
      </c>
    </row>
    <row r="341" spans="1:15" x14ac:dyDescent="0.2">
      <c r="A341">
        <v>340</v>
      </c>
      <c r="B341" s="1">
        <v>40742</v>
      </c>
      <c r="C341" t="s">
        <v>24</v>
      </c>
      <c r="D341" s="7">
        <v>6</v>
      </c>
      <c r="E341" s="7">
        <v>2</v>
      </c>
      <c r="F341" s="7">
        <f t="shared" si="5"/>
        <v>2</v>
      </c>
      <c r="G341" s="7" t="str">
        <f>LOOKUP(H341,[1]startdates!$A$2:$A$10,[1]startdates!$B$2:$B$10)</f>
        <v>FMr</v>
      </c>
      <c r="H341">
        <v>6</v>
      </c>
      <c r="I341" s="7">
        <v>789</v>
      </c>
      <c r="N341" s="7">
        <v>199</v>
      </c>
      <c r="O341" s="7">
        <v>184</v>
      </c>
    </row>
    <row r="342" spans="1:15" x14ac:dyDescent="0.2">
      <c r="A342">
        <v>341</v>
      </c>
      <c r="B342" s="1">
        <v>40742</v>
      </c>
      <c r="C342" t="s">
        <v>24</v>
      </c>
      <c r="D342" s="7">
        <v>6</v>
      </c>
      <c r="E342" s="7">
        <v>2</v>
      </c>
      <c r="F342" s="7">
        <f t="shared" si="5"/>
        <v>2</v>
      </c>
      <c r="G342" s="7" t="str">
        <f>LOOKUP(H342,[1]startdates!$A$2:$A$10,[1]startdates!$B$2:$B$10)</f>
        <v>FMr</v>
      </c>
      <c r="H342">
        <v>6</v>
      </c>
      <c r="I342" s="7">
        <v>839</v>
      </c>
      <c r="N342" s="7">
        <v>237</v>
      </c>
      <c r="O342" s="7">
        <v>175</v>
      </c>
    </row>
    <row r="343" spans="1:15" x14ac:dyDescent="0.2">
      <c r="A343">
        <v>342</v>
      </c>
      <c r="B343" s="1">
        <v>40742</v>
      </c>
      <c r="C343" t="s">
        <v>24</v>
      </c>
      <c r="D343" s="7">
        <v>6</v>
      </c>
      <c r="E343" s="7">
        <v>2</v>
      </c>
      <c r="F343" s="7">
        <f t="shared" si="5"/>
        <v>2</v>
      </c>
      <c r="G343" s="7" t="str">
        <f>LOOKUP(H343,[1]startdates!$A$2:$A$10,[1]startdates!$B$2:$B$10)</f>
        <v>FMr</v>
      </c>
      <c r="H343">
        <v>6</v>
      </c>
      <c r="I343" s="7">
        <v>720</v>
      </c>
      <c r="N343" s="7">
        <v>157</v>
      </c>
      <c r="O343" s="7">
        <v>170</v>
      </c>
    </row>
    <row r="344" spans="1:15" x14ac:dyDescent="0.2">
      <c r="A344">
        <v>343</v>
      </c>
      <c r="B344" s="1">
        <v>40742</v>
      </c>
      <c r="C344" t="s">
        <v>24</v>
      </c>
      <c r="D344" s="7">
        <v>6</v>
      </c>
      <c r="E344" s="7">
        <v>2</v>
      </c>
      <c r="F344" s="7">
        <f t="shared" si="5"/>
        <v>2</v>
      </c>
      <c r="G344" s="7" t="str">
        <f>LOOKUP(H344,[1]startdates!$A$2:$A$10,[1]startdates!$B$2:$B$10)</f>
        <v>FMr</v>
      </c>
      <c r="H344">
        <v>6</v>
      </c>
      <c r="N344" s="7">
        <v>194</v>
      </c>
      <c r="O344" s="7">
        <v>158</v>
      </c>
    </row>
    <row r="345" spans="1:15" x14ac:dyDescent="0.2">
      <c r="A345">
        <v>344</v>
      </c>
      <c r="B345" s="1">
        <v>40742</v>
      </c>
      <c r="C345" t="s">
        <v>24</v>
      </c>
      <c r="D345" s="7">
        <v>6</v>
      </c>
      <c r="E345" s="7">
        <v>2</v>
      </c>
      <c r="F345" s="7">
        <f t="shared" si="5"/>
        <v>2</v>
      </c>
      <c r="G345" s="7" t="str">
        <f>LOOKUP(H345,[1]startdates!$A$2:$A$10,[1]startdates!$B$2:$B$10)</f>
        <v>FMr</v>
      </c>
      <c r="H345">
        <v>6</v>
      </c>
      <c r="M345" s="7">
        <v>296</v>
      </c>
      <c r="N345" s="7">
        <v>186</v>
      </c>
      <c r="O345" s="7">
        <v>152</v>
      </c>
    </row>
    <row r="346" spans="1:15" x14ac:dyDescent="0.2">
      <c r="A346">
        <v>345</v>
      </c>
      <c r="B346" s="1">
        <v>40742</v>
      </c>
      <c r="C346" t="s">
        <v>24</v>
      </c>
      <c r="D346" s="7">
        <v>6</v>
      </c>
      <c r="E346" s="7">
        <v>2</v>
      </c>
      <c r="F346" s="7">
        <f t="shared" si="5"/>
        <v>2</v>
      </c>
      <c r="G346" s="7" t="str">
        <f>LOOKUP(H346,[1]startdates!$A$2:$A$10,[1]startdates!$B$2:$B$10)</f>
        <v>FMr</v>
      </c>
      <c r="H346">
        <v>6</v>
      </c>
      <c r="M346" s="7">
        <v>185</v>
      </c>
      <c r="N346" s="7">
        <v>183</v>
      </c>
      <c r="O346" s="7">
        <v>165</v>
      </c>
    </row>
    <row r="347" spans="1:15" x14ac:dyDescent="0.2">
      <c r="A347">
        <v>346</v>
      </c>
      <c r="B347" s="1">
        <v>40742</v>
      </c>
      <c r="C347" t="s">
        <v>24</v>
      </c>
      <c r="D347" s="7">
        <v>6</v>
      </c>
      <c r="E347" s="7">
        <v>2</v>
      </c>
      <c r="F347" s="7">
        <f t="shared" si="5"/>
        <v>2</v>
      </c>
      <c r="G347" s="7" t="str">
        <f>LOOKUP(H347,[1]startdates!$A$2:$A$10,[1]startdates!$B$2:$B$10)</f>
        <v>FMr</v>
      </c>
      <c r="H347">
        <v>7</v>
      </c>
      <c r="I347" s="7">
        <v>912</v>
      </c>
      <c r="J347" s="7">
        <v>503</v>
      </c>
      <c r="K347" s="7">
        <v>535</v>
      </c>
      <c r="M347" s="7">
        <v>297</v>
      </c>
      <c r="N347" s="7">
        <v>195</v>
      </c>
      <c r="O347" s="7">
        <v>155</v>
      </c>
    </row>
    <row r="348" spans="1:15" x14ac:dyDescent="0.2">
      <c r="A348">
        <v>347</v>
      </c>
      <c r="B348" s="1">
        <v>40742</v>
      </c>
      <c r="C348" t="s">
        <v>24</v>
      </c>
      <c r="D348" s="7">
        <v>6</v>
      </c>
      <c r="E348" s="7">
        <v>2</v>
      </c>
      <c r="F348" s="7">
        <f t="shared" si="5"/>
        <v>2</v>
      </c>
      <c r="G348" s="7" t="str">
        <f>LOOKUP(H348,[1]startdates!$A$2:$A$10,[1]startdates!$B$2:$B$10)</f>
        <v>FMr</v>
      </c>
      <c r="H348">
        <v>7</v>
      </c>
      <c r="I348" s="7">
        <v>725</v>
      </c>
      <c r="J348" s="7">
        <v>730</v>
      </c>
      <c r="K348" s="7">
        <v>665</v>
      </c>
      <c r="M348" s="7">
        <v>217</v>
      </c>
      <c r="N348" s="7">
        <v>201</v>
      </c>
      <c r="O348" s="7">
        <v>155</v>
      </c>
    </row>
    <row r="349" spans="1:15" x14ac:dyDescent="0.2">
      <c r="A349">
        <v>348</v>
      </c>
      <c r="B349" s="1">
        <v>40742</v>
      </c>
      <c r="C349" t="s">
        <v>24</v>
      </c>
      <c r="D349" s="7">
        <v>6</v>
      </c>
      <c r="E349" s="7">
        <v>2</v>
      </c>
      <c r="F349" s="7">
        <f t="shared" si="5"/>
        <v>2</v>
      </c>
      <c r="G349" s="7" t="str">
        <f>LOOKUP(H349,[1]startdates!$A$2:$A$10,[1]startdates!$B$2:$B$10)</f>
        <v>FMr</v>
      </c>
      <c r="H349">
        <v>7</v>
      </c>
      <c r="I349" s="7">
        <v>833</v>
      </c>
      <c r="J349" s="7">
        <v>630</v>
      </c>
      <c r="M349" s="7">
        <v>186</v>
      </c>
      <c r="N349" s="7">
        <v>231</v>
      </c>
      <c r="O349" s="7">
        <v>180</v>
      </c>
    </row>
    <row r="350" spans="1:15" x14ac:dyDescent="0.2">
      <c r="A350">
        <v>349</v>
      </c>
      <c r="B350" s="1">
        <v>40742</v>
      </c>
      <c r="C350" t="s">
        <v>24</v>
      </c>
      <c r="D350" s="7">
        <v>6</v>
      </c>
      <c r="E350" s="7">
        <v>2</v>
      </c>
      <c r="F350" s="7">
        <f t="shared" si="5"/>
        <v>2</v>
      </c>
      <c r="G350" s="7" t="str">
        <f>LOOKUP(H350,[1]startdates!$A$2:$A$10,[1]startdates!$B$2:$B$10)</f>
        <v>FMr</v>
      </c>
      <c r="H350">
        <v>7</v>
      </c>
      <c r="I350" s="7">
        <v>837</v>
      </c>
      <c r="J350" s="7">
        <v>609</v>
      </c>
      <c r="M350" s="7">
        <v>299</v>
      </c>
      <c r="N350" s="7">
        <v>247</v>
      </c>
      <c r="O350" s="7">
        <v>165</v>
      </c>
    </row>
    <row r="351" spans="1:15" x14ac:dyDescent="0.2">
      <c r="A351">
        <v>350</v>
      </c>
      <c r="B351" s="1">
        <v>40742</v>
      </c>
      <c r="C351" t="s">
        <v>24</v>
      </c>
      <c r="D351" s="7">
        <v>6</v>
      </c>
      <c r="E351" s="7">
        <v>2</v>
      </c>
      <c r="F351" s="7">
        <f t="shared" si="5"/>
        <v>2</v>
      </c>
      <c r="G351" s="7" t="str">
        <f>LOOKUP(H351,[1]startdates!$A$2:$A$10,[1]startdates!$B$2:$B$10)</f>
        <v>FMr</v>
      </c>
      <c r="H351">
        <v>7</v>
      </c>
      <c r="I351" s="7">
        <v>739</v>
      </c>
      <c r="J351" s="7">
        <v>581</v>
      </c>
      <c r="N351" s="7">
        <v>191</v>
      </c>
      <c r="O351" s="7">
        <v>170</v>
      </c>
    </row>
    <row r="352" spans="1:15" x14ac:dyDescent="0.2">
      <c r="A352">
        <v>351</v>
      </c>
      <c r="B352" s="1">
        <v>40742</v>
      </c>
      <c r="C352" t="s">
        <v>24</v>
      </c>
      <c r="D352" s="7">
        <v>6</v>
      </c>
      <c r="E352" s="7">
        <v>2</v>
      </c>
      <c r="F352" s="7">
        <f t="shared" si="5"/>
        <v>2</v>
      </c>
      <c r="G352" s="7" t="str">
        <f>LOOKUP(H352,[1]startdates!$A$2:$A$10,[1]startdates!$B$2:$B$10)</f>
        <v>FMr</v>
      </c>
      <c r="H352">
        <v>7</v>
      </c>
      <c r="I352" s="7">
        <v>894</v>
      </c>
      <c r="O352" s="7">
        <v>154</v>
      </c>
    </row>
    <row r="353" spans="1:15" x14ac:dyDescent="0.2">
      <c r="A353">
        <v>352</v>
      </c>
      <c r="B353" s="1">
        <v>40742</v>
      </c>
      <c r="C353" t="s">
        <v>24</v>
      </c>
      <c r="D353" s="7">
        <v>6</v>
      </c>
      <c r="E353" s="7">
        <v>2</v>
      </c>
      <c r="F353" s="7">
        <f t="shared" si="5"/>
        <v>2</v>
      </c>
      <c r="G353" s="7" t="str">
        <f>LOOKUP(H353,[1]startdates!$A$2:$A$10,[1]startdates!$B$2:$B$10)</f>
        <v>FMr</v>
      </c>
      <c r="H353">
        <v>7</v>
      </c>
      <c r="I353" s="7">
        <v>836</v>
      </c>
      <c r="O353" s="7">
        <v>167</v>
      </c>
    </row>
    <row r="354" spans="1:15" x14ac:dyDescent="0.2">
      <c r="A354">
        <v>353</v>
      </c>
      <c r="B354" s="1">
        <v>40742</v>
      </c>
      <c r="C354" t="s">
        <v>24</v>
      </c>
      <c r="D354" s="7">
        <v>6</v>
      </c>
      <c r="E354" s="7">
        <v>2</v>
      </c>
      <c r="F354" s="7">
        <f t="shared" si="5"/>
        <v>2</v>
      </c>
      <c r="G354" s="7" t="str">
        <f>LOOKUP(H354,[1]startdates!$A$2:$A$10,[1]startdates!$B$2:$B$10)</f>
        <v>FMr</v>
      </c>
      <c r="H354">
        <v>7</v>
      </c>
      <c r="O354" s="7">
        <v>170</v>
      </c>
    </row>
    <row r="355" spans="1:15" x14ac:dyDescent="0.2">
      <c r="A355">
        <v>354</v>
      </c>
      <c r="B355" s="1">
        <v>40742</v>
      </c>
      <c r="C355" t="s">
        <v>24</v>
      </c>
      <c r="D355" s="7">
        <v>6</v>
      </c>
      <c r="E355" s="7">
        <v>2</v>
      </c>
      <c r="F355" s="7">
        <f t="shared" si="5"/>
        <v>2</v>
      </c>
      <c r="G355" s="7" t="str">
        <f>LOOKUP(H355,[1]startdates!$A$2:$A$10,[1]startdates!$B$2:$B$10)</f>
        <v>FMr</v>
      </c>
      <c r="H355">
        <v>7</v>
      </c>
      <c r="O355" s="7">
        <v>166</v>
      </c>
    </row>
    <row r="356" spans="1:15" x14ac:dyDescent="0.2">
      <c r="A356">
        <v>355</v>
      </c>
      <c r="B356" s="1">
        <v>40742</v>
      </c>
      <c r="C356" t="s">
        <v>24</v>
      </c>
      <c r="D356" s="7">
        <v>6</v>
      </c>
      <c r="E356" s="7">
        <v>2</v>
      </c>
      <c r="F356" s="7">
        <f t="shared" si="5"/>
        <v>2</v>
      </c>
      <c r="G356" s="7" t="str">
        <f>LOOKUP(H356,[1]startdates!$A$2:$A$10,[1]startdates!$B$2:$B$10)</f>
        <v>FMr</v>
      </c>
      <c r="H356">
        <v>7</v>
      </c>
      <c r="O356" s="7">
        <v>143</v>
      </c>
    </row>
    <row r="357" spans="1:15" x14ac:dyDescent="0.2">
      <c r="A357">
        <v>356</v>
      </c>
      <c r="B357" s="1">
        <v>40742</v>
      </c>
      <c r="C357" t="s">
        <v>24</v>
      </c>
      <c r="D357" s="7">
        <v>6</v>
      </c>
      <c r="E357" s="7">
        <v>2</v>
      </c>
      <c r="F357" s="7">
        <f t="shared" si="5"/>
        <v>2</v>
      </c>
      <c r="G357" s="7" t="str">
        <f>LOOKUP(H357,[1]startdates!$A$2:$A$10,[1]startdates!$B$2:$B$10)</f>
        <v>FMr</v>
      </c>
      <c r="H357">
        <v>7</v>
      </c>
      <c r="O357" s="7">
        <v>158</v>
      </c>
    </row>
    <row r="358" spans="1:15" x14ac:dyDescent="0.2">
      <c r="A358">
        <v>357</v>
      </c>
      <c r="B358" s="1">
        <v>40742</v>
      </c>
      <c r="C358" t="s">
        <v>24</v>
      </c>
      <c r="D358" s="7">
        <v>6</v>
      </c>
      <c r="E358" s="7">
        <v>2</v>
      </c>
      <c r="F358" s="7">
        <f t="shared" si="5"/>
        <v>2</v>
      </c>
      <c r="G358" s="7" t="str">
        <f>LOOKUP(H358,[1]startdates!$A$2:$A$10,[1]startdates!$B$2:$B$10)</f>
        <v>FMr</v>
      </c>
      <c r="H358">
        <v>7</v>
      </c>
      <c r="O358" s="7">
        <v>155</v>
      </c>
    </row>
    <row r="359" spans="1:15" x14ac:dyDescent="0.2">
      <c r="A359">
        <v>358</v>
      </c>
      <c r="B359" s="1">
        <v>40742</v>
      </c>
      <c r="C359" t="s">
        <v>24</v>
      </c>
      <c r="D359" s="7">
        <v>6</v>
      </c>
      <c r="E359" s="7">
        <v>2</v>
      </c>
      <c r="F359" s="7">
        <f t="shared" si="5"/>
        <v>2</v>
      </c>
      <c r="G359" s="7" t="str">
        <f>LOOKUP(H359,[1]startdates!$A$2:$A$10,[1]startdates!$B$2:$B$10)</f>
        <v>C</v>
      </c>
      <c r="H359">
        <v>8</v>
      </c>
      <c r="I359" s="7">
        <v>872</v>
      </c>
      <c r="K359" s="7">
        <v>662</v>
      </c>
      <c r="N359" s="7">
        <v>171</v>
      </c>
      <c r="O359" s="7">
        <v>174</v>
      </c>
    </row>
    <row r="360" spans="1:15" x14ac:dyDescent="0.2">
      <c r="A360">
        <v>359</v>
      </c>
      <c r="B360" s="1">
        <v>40742</v>
      </c>
      <c r="C360" t="s">
        <v>24</v>
      </c>
      <c r="D360" s="7">
        <v>6</v>
      </c>
      <c r="E360" s="7">
        <v>2</v>
      </c>
      <c r="F360" s="7">
        <f t="shared" si="5"/>
        <v>2</v>
      </c>
      <c r="G360" s="7" t="str">
        <f>LOOKUP(H360,[1]startdates!$A$2:$A$10,[1]startdates!$B$2:$B$10)</f>
        <v>C</v>
      </c>
      <c r="H360">
        <v>8</v>
      </c>
      <c r="I360" s="7">
        <v>830</v>
      </c>
      <c r="N360" s="7">
        <v>195</v>
      </c>
      <c r="O360" s="7">
        <v>186</v>
      </c>
    </row>
    <row r="361" spans="1:15" x14ac:dyDescent="0.2">
      <c r="A361">
        <v>360</v>
      </c>
      <c r="B361" s="1">
        <v>40742</v>
      </c>
      <c r="C361" t="s">
        <v>24</v>
      </c>
      <c r="D361" s="7">
        <v>6</v>
      </c>
      <c r="E361" s="7">
        <v>2</v>
      </c>
      <c r="F361" s="7">
        <f t="shared" ref="F361:F424" si="6">WEEKDAY(B361)</f>
        <v>2</v>
      </c>
      <c r="G361" s="7" t="str">
        <f>LOOKUP(H361,[1]startdates!$A$2:$A$10,[1]startdates!$B$2:$B$10)</f>
        <v>C</v>
      </c>
      <c r="H361">
        <v>8</v>
      </c>
      <c r="I361" s="7">
        <v>819</v>
      </c>
      <c r="O361" s="7">
        <v>184</v>
      </c>
    </row>
    <row r="362" spans="1:15" x14ac:dyDescent="0.2">
      <c r="A362">
        <v>361</v>
      </c>
      <c r="B362" s="1">
        <v>40742</v>
      </c>
      <c r="C362" t="s">
        <v>24</v>
      </c>
      <c r="D362" s="7">
        <v>6</v>
      </c>
      <c r="E362" s="7">
        <v>2</v>
      </c>
      <c r="F362" s="7">
        <f t="shared" si="6"/>
        <v>2</v>
      </c>
      <c r="G362" s="7" t="str">
        <f>LOOKUP(H362,[1]startdates!$A$2:$A$10,[1]startdates!$B$2:$B$10)</f>
        <v>C</v>
      </c>
      <c r="H362">
        <v>8</v>
      </c>
      <c r="I362" s="7">
        <v>796</v>
      </c>
      <c r="O362" s="7">
        <v>160</v>
      </c>
    </row>
    <row r="363" spans="1:15" x14ac:dyDescent="0.2">
      <c r="A363">
        <v>362</v>
      </c>
      <c r="B363" s="1">
        <v>40742</v>
      </c>
      <c r="C363" t="s">
        <v>24</v>
      </c>
      <c r="D363" s="7">
        <v>6</v>
      </c>
      <c r="E363" s="7">
        <v>2</v>
      </c>
      <c r="F363" s="7">
        <f t="shared" si="6"/>
        <v>2</v>
      </c>
      <c r="G363" s="7" t="str">
        <f>LOOKUP(H363,[1]startdates!$A$2:$A$10,[1]startdates!$B$2:$B$10)</f>
        <v>C</v>
      </c>
      <c r="H363">
        <v>8</v>
      </c>
      <c r="I363" s="7">
        <v>732</v>
      </c>
    </row>
    <row r="364" spans="1:15" x14ac:dyDescent="0.2">
      <c r="A364">
        <v>363</v>
      </c>
      <c r="B364" s="1">
        <v>40742</v>
      </c>
      <c r="C364" t="s">
        <v>24</v>
      </c>
      <c r="D364" s="7">
        <v>6</v>
      </c>
      <c r="E364" s="7">
        <v>2</v>
      </c>
      <c r="F364" s="7">
        <f t="shared" si="6"/>
        <v>2</v>
      </c>
      <c r="G364" s="7" t="str">
        <f>LOOKUP(H364,[1]startdates!$A$2:$A$10,[1]startdates!$B$2:$B$10)</f>
        <v>FMr</v>
      </c>
      <c r="H364">
        <v>9</v>
      </c>
      <c r="I364" s="7">
        <v>756</v>
      </c>
      <c r="J364" s="7">
        <v>613</v>
      </c>
      <c r="K364" s="7">
        <v>711</v>
      </c>
      <c r="N364" s="7">
        <v>185</v>
      </c>
      <c r="O364" s="7">
        <v>163</v>
      </c>
    </row>
    <row r="365" spans="1:15" x14ac:dyDescent="0.2">
      <c r="A365">
        <v>364</v>
      </c>
      <c r="B365" s="1">
        <v>40742</v>
      </c>
      <c r="C365" t="s">
        <v>24</v>
      </c>
      <c r="D365" s="7">
        <v>6</v>
      </c>
      <c r="E365" s="7">
        <v>2</v>
      </c>
      <c r="F365" s="7">
        <f t="shared" si="6"/>
        <v>2</v>
      </c>
      <c r="G365" s="7" t="str">
        <f>LOOKUP(H365,[1]startdates!$A$2:$A$10,[1]startdates!$B$2:$B$10)</f>
        <v>FMr</v>
      </c>
      <c r="H365">
        <v>9</v>
      </c>
      <c r="I365" s="7">
        <v>886</v>
      </c>
      <c r="K365" s="7">
        <v>671</v>
      </c>
      <c r="N365" s="7">
        <v>194</v>
      </c>
      <c r="O365" s="7">
        <v>176</v>
      </c>
    </row>
    <row r="366" spans="1:15" x14ac:dyDescent="0.2">
      <c r="A366">
        <v>365</v>
      </c>
      <c r="B366" s="1">
        <v>40742</v>
      </c>
      <c r="C366" t="s">
        <v>24</v>
      </c>
      <c r="D366" s="7">
        <v>6</v>
      </c>
      <c r="E366" s="7">
        <v>2</v>
      </c>
      <c r="F366" s="7">
        <f t="shared" si="6"/>
        <v>2</v>
      </c>
      <c r="G366" s="7" t="str">
        <f>LOOKUP(H366,[1]startdates!$A$2:$A$10,[1]startdates!$B$2:$B$10)</f>
        <v>FMr</v>
      </c>
      <c r="H366">
        <v>9</v>
      </c>
      <c r="I366" s="7">
        <v>716</v>
      </c>
      <c r="N366" s="7">
        <v>243</v>
      </c>
      <c r="O366" s="7">
        <v>165</v>
      </c>
    </row>
    <row r="367" spans="1:15" x14ac:dyDescent="0.2">
      <c r="A367">
        <v>366</v>
      </c>
      <c r="B367" s="1">
        <v>40742</v>
      </c>
      <c r="C367" t="s">
        <v>24</v>
      </c>
      <c r="D367" s="7">
        <v>6</v>
      </c>
      <c r="E367" s="7">
        <v>2</v>
      </c>
      <c r="F367" s="7">
        <f t="shared" si="6"/>
        <v>2</v>
      </c>
      <c r="G367" s="7" t="str">
        <f>LOOKUP(H367,[1]startdates!$A$2:$A$10,[1]startdates!$B$2:$B$10)</f>
        <v>FMr</v>
      </c>
      <c r="H367">
        <v>9</v>
      </c>
      <c r="I367" s="7">
        <v>812</v>
      </c>
      <c r="N367" s="7">
        <v>237</v>
      </c>
      <c r="O367" s="7">
        <v>170</v>
      </c>
    </row>
    <row r="368" spans="1:15" x14ac:dyDescent="0.2">
      <c r="A368">
        <v>367</v>
      </c>
      <c r="B368" s="1">
        <v>40742</v>
      </c>
      <c r="C368" t="s">
        <v>24</v>
      </c>
      <c r="D368" s="7">
        <v>6</v>
      </c>
      <c r="E368" s="7">
        <v>2</v>
      </c>
      <c r="F368" s="7">
        <f t="shared" si="6"/>
        <v>2</v>
      </c>
      <c r="G368" s="7" t="str">
        <f>LOOKUP(H368,[1]startdates!$A$2:$A$10,[1]startdates!$B$2:$B$10)</f>
        <v>FMr</v>
      </c>
      <c r="H368">
        <v>9</v>
      </c>
      <c r="I368" s="7">
        <v>776</v>
      </c>
      <c r="N368" s="7">
        <v>208</v>
      </c>
      <c r="O368" s="7">
        <v>204</v>
      </c>
    </row>
    <row r="369" spans="1:15" x14ac:dyDescent="0.2">
      <c r="A369">
        <v>368</v>
      </c>
      <c r="B369" s="1">
        <v>40742</v>
      </c>
      <c r="C369" t="s">
        <v>24</v>
      </c>
      <c r="D369" s="7">
        <v>6</v>
      </c>
      <c r="E369" s="7">
        <v>2</v>
      </c>
      <c r="F369" s="7">
        <f t="shared" si="6"/>
        <v>2</v>
      </c>
      <c r="G369" s="7" t="str">
        <f>LOOKUP(H369,[1]startdates!$A$2:$A$10,[1]startdates!$B$2:$B$10)</f>
        <v>FMr</v>
      </c>
      <c r="H369">
        <v>9</v>
      </c>
      <c r="I369" s="7">
        <v>833</v>
      </c>
      <c r="N369" s="7">
        <v>268</v>
      </c>
      <c r="O369" s="7">
        <v>181</v>
      </c>
    </row>
    <row r="370" spans="1:15" x14ac:dyDescent="0.2">
      <c r="A370">
        <v>369</v>
      </c>
      <c r="B370" s="1">
        <v>40742</v>
      </c>
      <c r="C370" t="s">
        <v>24</v>
      </c>
      <c r="D370" s="7">
        <v>6</v>
      </c>
      <c r="E370" s="7">
        <v>2</v>
      </c>
      <c r="F370" s="7">
        <f t="shared" si="6"/>
        <v>2</v>
      </c>
      <c r="G370" s="7" t="str">
        <f>LOOKUP(H370,[1]startdates!$A$2:$A$10,[1]startdates!$B$2:$B$10)</f>
        <v>FMr</v>
      </c>
      <c r="H370">
        <v>9</v>
      </c>
      <c r="I370" s="7">
        <v>814</v>
      </c>
      <c r="N370" s="7">
        <v>174</v>
      </c>
      <c r="O370" s="7">
        <v>181</v>
      </c>
    </row>
    <row r="371" spans="1:15" x14ac:dyDescent="0.2">
      <c r="A371">
        <v>370</v>
      </c>
      <c r="B371" s="1">
        <v>40742</v>
      </c>
      <c r="C371" t="s">
        <v>24</v>
      </c>
      <c r="D371" s="7">
        <v>6</v>
      </c>
      <c r="E371" s="7">
        <v>2</v>
      </c>
      <c r="F371" s="7">
        <f t="shared" si="6"/>
        <v>2</v>
      </c>
      <c r="G371" s="7" t="str">
        <f>LOOKUP(H371,[1]startdates!$A$2:$A$10,[1]startdates!$B$2:$B$10)</f>
        <v>FMr</v>
      </c>
      <c r="H371">
        <v>9</v>
      </c>
      <c r="I371" s="7">
        <v>754</v>
      </c>
      <c r="N371" s="7">
        <v>186</v>
      </c>
      <c r="O371" s="7">
        <v>146</v>
      </c>
    </row>
    <row r="372" spans="1:15" x14ac:dyDescent="0.2">
      <c r="A372">
        <v>371</v>
      </c>
      <c r="B372" s="1">
        <v>40742</v>
      </c>
      <c r="C372" t="s">
        <v>24</v>
      </c>
      <c r="D372" s="7">
        <v>6</v>
      </c>
      <c r="E372" s="7">
        <v>2</v>
      </c>
      <c r="F372" s="7">
        <f t="shared" si="6"/>
        <v>2</v>
      </c>
      <c r="G372" s="7" t="str">
        <f>LOOKUP(H372,[1]startdates!$A$2:$A$10,[1]startdates!$B$2:$B$10)</f>
        <v>FMr</v>
      </c>
      <c r="H372">
        <v>9</v>
      </c>
      <c r="N372" s="7">
        <v>240</v>
      </c>
    </row>
    <row r="373" spans="1:15" x14ac:dyDescent="0.2">
      <c r="A373">
        <v>372</v>
      </c>
      <c r="B373" s="1">
        <v>40744</v>
      </c>
      <c r="C373" t="s">
        <v>24</v>
      </c>
      <c r="D373" s="7">
        <v>8</v>
      </c>
      <c r="E373" s="7">
        <v>2</v>
      </c>
      <c r="F373" s="7">
        <f t="shared" si="6"/>
        <v>4</v>
      </c>
      <c r="G373" s="7" t="str">
        <f>LOOKUP(H373,[1]startdates!$A$2:$A$10,[1]startdates!$B$2:$B$10)</f>
        <v>SMr</v>
      </c>
      <c r="H373">
        <v>1</v>
      </c>
      <c r="I373" s="7">
        <v>816</v>
      </c>
      <c r="J373" s="7">
        <v>580</v>
      </c>
      <c r="K373" s="7">
        <v>695</v>
      </c>
      <c r="M373" s="7">
        <v>250</v>
      </c>
      <c r="N373" s="7">
        <v>223</v>
      </c>
      <c r="O373" s="7">
        <v>148</v>
      </c>
    </row>
    <row r="374" spans="1:15" x14ac:dyDescent="0.2">
      <c r="A374">
        <v>373</v>
      </c>
      <c r="B374" s="1">
        <v>40744</v>
      </c>
      <c r="C374" t="s">
        <v>24</v>
      </c>
      <c r="D374" s="7">
        <v>8</v>
      </c>
      <c r="E374" s="7">
        <v>2</v>
      </c>
      <c r="F374" s="7">
        <f t="shared" si="6"/>
        <v>4</v>
      </c>
      <c r="G374" s="7" t="str">
        <f>LOOKUP(H374,[1]startdates!$A$2:$A$10,[1]startdates!$B$2:$B$10)</f>
        <v>SMr</v>
      </c>
      <c r="H374">
        <v>1</v>
      </c>
      <c r="I374" s="7">
        <v>722</v>
      </c>
      <c r="J374" s="7">
        <v>617</v>
      </c>
      <c r="K374" s="7">
        <v>739</v>
      </c>
      <c r="M374" s="7">
        <v>268</v>
      </c>
      <c r="N374" s="7">
        <v>174</v>
      </c>
      <c r="O374" s="7">
        <v>137</v>
      </c>
    </row>
    <row r="375" spans="1:15" x14ac:dyDescent="0.2">
      <c r="A375">
        <v>374</v>
      </c>
      <c r="B375" s="1">
        <v>40744</v>
      </c>
      <c r="C375" t="s">
        <v>24</v>
      </c>
      <c r="D375" s="7">
        <v>8</v>
      </c>
      <c r="E375" s="7">
        <v>2</v>
      </c>
      <c r="F375" s="7">
        <f t="shared" si="6"/>
        <v>4</v>
      </c>
      <c r="G375" s="7" t="str">
        <f>LOOKUP(H375,[1]startdates!$A$2:$A$10,[1]startdates!$B$2:$B$10)</f>
        <v>SMr</v>
      </c>
      <c r="H375">
        <v>1</v>
      </c>
      <c r="I375" s="7">
        <v>893</v>
      </c>
      <c r="M375" s="7">
        <v>250</v>
      </c>
      <c r="N375" s="7">
        <v>192</v>
      </c>
      <c r="O375" s="7">
        <v>135</v>
      </c>
    </row>
    <row r="376" spans="1:15" x14ac:dyDescent="0.2">
      <c r="A376">
        <v>375</v>
      </c>
      <c r="B376" s="1">
        <v>40744</v>
      </c>
      <c r="C376" t="s">
        <v>24</v>
      </c>
      <c r="D376" s="7">
        <v>8</v>
      </c>
      <c r="E376" s="7">
        <v>2</v>
      </c>
      <c r="F376" s="7">
        <f t="shared" si="6"/>
        <v>4</v>
      </c>
      <c r="G376" s="7" t="str">
        <f>LOOKUP(H376,[1]startdates!$A$2:$A$10,[1]startdates!$B$2:$B$10)</f>
        <v>SMr</v>
      </c>
      <c r="H376">
        <v>1</v>
      </c>
      <c r="I376" s="7">
        <v>938</v>
      </c>
      <c r="N376" s="7">
        <v>196</v>
      </c>
      <c r="O376" s="7">
        <v>156</v>
      </c>
    </row>
    <row r="377" spans="1:15" x14ac:dyDescent="0.2">
      <c r="A377">
        <v>376</v>
      </c>
      <c r="B377" s="1">
        <v>40744</v>
      </c>
      <c r="C377" t="s">
        <v>24</v>
      </c>
      <c r="D377" s="7">
        <v>8</v>
      </c>
      <c r="E377" s="7">
        <v>2</v>
      </c>
      <c r="F377" s="7">
        <f t="shared" si="6"/>
        <v>4</v>
      </c>
      <c r="G377" s="7" t="str">
        <f>LOOKUP(H377,[1]startdates!$A$2:$A$10,[1]startdates!$B$2:$B$10)</f>
        <v>SMr</v>
      </c>
      <c r="H377">
        <v>1</v>
      </c>
      <c r="I377" s="7">
        <v>817</v>
      </c>
      <c r="N377" s="7">
        <v>189</v>
      </c>
      <c r="O377" s="7">
        <v>169</v>
      </c>
    </row>
    <row r="378" spans="1:15" x14ac:dyDescent="0.2">
      <c r="A378">
        <v>377</v>
      </c>
      <c r="B378" s="1">
        <v>40744</v>
      </c>
      <c r="C378" t="s">
        <v>24</v>
      </c>
      <c r="D378" s="7">
        <v>8</v>
      </c>
      <c r="E378" s="7">
        <v>2</v>
      </c>
      <c r="F378" s="7">
        <f t="shared" si="6"/>
        <v>4</v>
      </c>
      <c r="G378" s="7" t="str">
        <f>LOOKUP(H378,[1]startdates!$A$2:$A$10,[1]startdates!$B$2:$B$10)</f>
        <v>SMr</v>
      </c>
      <c r="H378">
        <v>1</v>
      </c>
      <c r="I378" s="7">
        <v>815</v>
      </c>
      <c r="N378" s="7">
        <v>236</v>
      </c>
      <c r="O378" s="7">
        <v>186</v>
      </c>
    </row>
    <row r="379" spans="1:15" x14ac:dyDescent="0.2">
      <c r="A379">
        <v>378</v>
      </c>
      <c r="B379" s="1">
        <v>40744</v>
      </c>
      <c r="C379" t="s">
        <v>24</v>
      </c>
      <c r="D379" s="7">
        <v>8</v>
      </c>
      <c r="E379" s="7">
        <v>2</v>
      </c>
      <c r="F379" s="7">
        <f t="shared" si="6"/>
        <v>4</v>
      </c>
      <c r="G379" s="7" t="str">
        <f>LOOKUP(H379,[1]startdates!$A$2:$A$10,[1]startdates!$B$2:$B$10)</f>
        <v>SMr</v>
      </c>
      <c r="H379">
        <v>1</v>
      </c>
      <c r="I379" s="7">
        <v>992</v>
      </c>
      <c r="O379" s="7">
        <v>152</v>
      </c>
    </row>
    <row r="380" spans="1:15" x14ac:dyDescent="0.2">
      <c r="A380">
        <v>379</v>
      </c>
      <c r="B380" s="1">
        <v>40744</v>
      </c>
      <c r="C380" t="s">
        <v>24</v>
      </c>
      <c r="D380" s="7">
        <v>8</v>
      </c>
      <c r="E380" s="7">
        <v>2</v>
      </c>
      <c r="F380" s="7">
        <f t="shared" si="6"/>
        <v>4</v>
      </c>
      <c r="G380" s="7" t="str">
        <f>LOOKUP(H380,[1]startdates!$A$2:$A$10,[1]startdates!$B$2:$B$10)</f>
        <v>SMr</v>
      </c>
      <c r="H380">
        <v>1</v>
      </c>
      <c r="O380" s="7">
        <v>210</v>
      </c>
    </row>
    <row r="381" spans="1:15" x14ac:dyDescent="0.2">
      <c r="A381">
        <v>380</v>
      </c>
      <c r="B381" s="1">
        <v>40744</v>
      </c>
      <c r="C381" t="s">
        <v>24</v>
      </c>
      <c r="D381" s="7">
        <v>8</v>
      </c>
      <c r="E381" s="7">
        <v>2</v>
      </c>
      <c r="F381" s="7">
        <f t="shared" si="6"/>
        <v>4</v>
      </c>
      <c r="G381" s="7" t="str">
        <f>LOOKUP(H381,[1]startdates!$A$2:$A$10,[1]startdates!$B$2:$B$10)</f>
        <v>SMr</v>
      </c>
      <c r="H381">
        <v>1</v>
      </c>
      <c r="O381" s="7">
        <v>178</v>
      </c>
    </row>
    <row r="382" spans="1:15" x14ac:dyDescent="0.2">
      <c r="A382">
        <v>381</v>
      </c>
      <c r="B382" s="1">
        <v>40744</v>
      </c>
      <c r="C382" t="s">
        <v>24</v>
      </c>
      <c r="D382" s="7">
        <v>8</v>
      </c>
      <c r="E382" s="7">
        <v>2</v>
      </c>
      <c r="F382" s="7">
        <f t="shared" si="6"/>
        <v>4</v>
      </c>
      <c r="G382" s="7" t="str">
        <f>LOOKUP(H382,[1]startdates!$A$2:$A$10,[1]startdates!$B$2:$B$10)</f>
        <v>SMr</v>
      </c>
      <c r="H382">
        <v>1</v>
      </c>
      <c r="O382" s="7">
        <v>171</v>
      </c>
    </row>
    <row r="383" spans="1:15" x14ac:dyDescent="0.2">
      <c r="A383">
        <v>382</v>
      </c>
      <c r="B383" s="1">
        <v>40744</v>
      </c>
      <c r="C383" t="s">
        <v>24</v>
      </c>
      <c r="D383" s="7">
        <v>8</v>
      </c>
      <c r="E383" s="7">
        <v>2</v>
      </c>
      <c r="F383" s="7">
        <f t="shared" si="6"/>
        <v>4</v>
      </c>
      <c r="G383" s="7" t="str">
        <f>LOOKUP(H383,[1]startdates!$A$2:$A$10,[1]startdates!$B$2:$B$10)</f>
        <v>SMr</v>
      </c>
      <c r="H383">
        <v>1</v>
      </c>
      <c r="O383" s="7">
        <v>151</v>
      </c>
    </row>
    <row r="384" spans="1:15" x14ac:dyDescent="0.2">
      <c r="A384">
        <v>383</v>
      </c>
      <c r="B384" s="1">
        <v>40744</v>
      </c>
      <c r="C384" t="s">
        <v>24</v>
      </c>
      <c r="D384" s="7">
        <v>8</v>
      </c>
      <c r="E384" s="7">
        <v>2</v>
      </c>
      <c r="F384" s="7">
        <f t="shared" si="6"/>
        <v>4</v>
      </c>
      <c r="G384" s="7" t="str">
        <f>LOOKUP(H384,[1]startdates!$A$2:$A$10,[1]startdates!$B$2:$B$10)</f>
        <v>SMr</v>
      </c>
      <c r="H384">
        <v>1</v>
      </c>
      <c r="O384" s="7">
        <v>173</v>
      </c>
    </row>
    <row r="385" spans="1:17" x14ac:dyDescent="0.2">
      <c r="A385">
        <v>384</v>
      </c>
      <c r="B385" s="1">
        <v>40744</v>
      </c>
      <c r="C385" t="s">
        <v>24</v>
      </c>
      <c r="D385" s="7">
        <v>8</v>
      </c>
      <c r="E385" s="7">
        <v>2</v>
      </c>
      <c r="F385" s="7">
        <f t="shared" si="6"/>
        <v>4</v>
      </c>
      <c r="G385" s="7" t="str">
        <f>LOOKUP(H385,[1]startdates!$A$2:$A$10,[1]startdates!$B$2:$B$10)</f>
        <v>SMr</v>
      </c>
      <c r="H385">
        <v>1</v>
      </c>
      <c r="O385" s="7">
        <v>180</v>
      </c>
    </row>
    <row r="386" spans="1:17" x14ac:dyDescent="0.2">
      <c r="A386">
        <v>385</v>
      </c>
      <c r="B386" s="1">
        <v>40744</v>
      </c>
      <c r="C386" t="s">
        <v>24</v>
      </c>
      <c r="D386" s="7">
        <v>8</v>
      </c>
      <c r="E386" s="7">
        <v>2</v>
      </c>
      <c r="F386" s="7">
        <f t="shared" si="6"/>
        <v>4</v>
      </c>
      <c r="G386" s="7" t="str">
        <f>LOOKUP(H386,[1]startdates!$A$2:$A$10,[1]startdates!$B$2:$B$10)</f>
        <v>SMr</v>
      </c>
      <c r="H386">
        <v>1</v>
      </c>
      <c r="O386" s="7">
        <v>171</v>
      </c>
    </row>
    <row r="387" spans="1:17" x14ac:dyDescent="0.2">
      <c r="A387">
        <v>386</v>
      </c>
      <c r="B387" s="1">
        <v>40744</v>
      </c>
      <c r="C387" t="s">
        <v>24</v>
      </c>
      <c r="D387" s="7">
        <v>8</v>
      </c>
      <c r="E387" s="7">
        <v>2</v>
      </c>
      <c r="F387" s="7">
        <f t="shared" si="6"/>
        <v>4</v>
      </c>
      <c r="G387" s="7" t="str">
        <f>LOOKUP(H387,[1]startdates!$A$2:$A$10,[1]startdates!$B$2:$B$10)</f>
        <v>SMr</v>
      </c>
      <c r="H387">
        <v>1</v>
      </c>
      <c r="O387" s="7">
        <v>199</v>
      </c>
    </row>
    <row r="388" spans="1:17" x14ac:dyDescent="0.2">
      <c r="A388">
        <v>387</v>
      </c>
      <c r="B388" s="1">
        <v>40744</v>
      </c>
      <c r="C388" t="s">
        <v>24</v>
      </c>
      <c r="D388" s="7">
        <v>8</v>
      </c>
      <c r="E388" s="7">
        <v>2</v>
      </c>
      <c r="F388" s="7">
        <f t="shared" si="6"/>
        <v>4</v>
      </c>
      <c r="G388" s="7" t="str">
        <f>LOOKUP(H388,[1]startdates!$A$2:$A$10,[1]startdates!$B$2:$B$10)</f>
        <v>SMr</v>
      </c>
      <c r="H388">
        <v>2</v>
      </c>
      <c r="I388" s="7">
        <v>848</v>
      </c>
      <c r="J388" s="7">
        <v>626</v>
      </c>
      <c r="K388" s="7">
        <v>672</v>
      </c>
      <c r="L388" s="7">
        <v>436</v>
      </c>
      <c r="M388" s="7">
        <v>368</v>
      </c>
      <c r="N388" s="7">
        <v>208</v>
      </c>
      <c r="Q388" s="7">
        <v>397</v>
      </c>
    </row>
    <row r="389" spans="1:17" x14ac:dyDescent="0.2">
      <c r="A389">
        <v>388</v>
      </c>
      <c r="B389" s="1">
        <v>40744</v>
      </c>
      <c r="C389" t="s">
        <v>24</v>
      </c>
      <c r="D389" s="7">
        <v>8</v>
      </c>
      <c r="E389" s="7">
        <v>2</v>
      </c>
      <c r="F389" s="7">
        <f t="shared" si="6"/>
        <v>4</v>
      </c>
      <c r="G389" s="7" t="str">
        <f>LOOKUP(H389,[1]startdates!$A$2:$A$10,[1]startdates!$B$2:$B$10)</f>
        <v>SMr</v>
      </c>
      <c r="H389">
        <v>2</v>
      </c>
      <c r="I389" s="7">
        <v>834</v>
      </c>
      <c r="J389" s="7">
        <v>642</v>
      </c>
      <c r="L389" s="7">
        <v>440</v>
      </c>
      <c r="M389" s="7">
        <v>298</v>
      </c>
      <c r="N389" s="7">
        <v>239</v>
      </c>
    </row>
    <row r="390" spans="1:17" x14ac:dyDescent="0.2">
      <c r="A390">
        <v>389</v>
      </c>
      <c r="B390" s="1">
        <v>40744</v>
      </c>
      <c r="C390" t="s">
        <v>24</v>
      </c>
      <c r="D390" s="7">
        <v>8</v>
      </c>
      <c r="E390" s="7">
        <v>2</v>
      </c>
      <c r="F390" s="7">
        <f t="shared" si="6"/>
        <v>4</v>
      </c>
      <c r="G390" s="7" t="str">
        <f>LOOKUP(H390,[1]startdates!$A$2:$A$10,[1]startdates!$B$2:$B$10)</f>
        <v>SMr</v>
      </c>
      <c r="H390">
        <v>2</v>
      </c>
      <c r="I390" s="7">
        <v>775</v>
      </c>
      <c r="M390" s="7">
        <v>329</v>
      </c>
      <c r="N390" s="7">
        <v>179</v>
      </c>
    </row>
    <row r="391" spans="1:17" x14ac:dyDescent="0.2">
      <c r="A391">
        <v>390</v>
      </c>
      <c r="B391" s="1">
        <v>40744</v>
      </c>
      <c r="C391" t="s">
        <v>24</v>
      </c>
      <c r="D391" s="7">
        <v>8</v>
      </c>
      <c r="E391" s="7">
        <v>2</v>
      </c>
      <c r="F391" s="7">
        <f t="shared" si="6"/>
        <v>4</v>
      </c>
      <c r="G391" s="7" t="str">
        <f>LOOKUP(H391,[1]startdates!$A$2:$A$10,[1]startdates!$B$2:$B$10)</f>
        <v>SMr</v>
      </c>
      <c r="H391">
        <v>2</v>
      </c>
      <c r="I391" s="7">
        <v>774</v>
      </c>
      <c r="M391" s="7">
        <v>285</v>
      </c>
      <c r="N391" s="7">
        <v>194</v>
      </c>
    </row>
    <row r="392" spans="1:17" x14ac:dyDescent="0.2">
      <c r="A392">
        <v>391</v>
      </c>
      <c r="B392" s="1">
        <v>40744</v>
      </c>
      <c r="C392" t="s">
        <v>24</v>
      </c>
      <c r="D392" s="7">
        <v>8</v>
      </c>
      <c r="E392" s="7">
        <v>2</v>
      </c>
      <c r="F392" s="7">
        <f t="shared" si="6"/>
        <v>4</v>
      </c>
      <c r="G392" s="7" t="str">
        <f>LOOKUP(H392,[1]startdates!$A$2:$A$10,[1]startdates!$B$2:$B$10)</f>
        <v>SMr</v>
      </c>
      <c r="H392">
        <v>2</v>
      </c>
      <c r="I392" s="7">
        <v>756</v>
      </c>
      <c r="M392" s="7">
        <v>319</v>
      </c>
    </row>
    <row r="393" spans="1:17" x14ac:dyDescent="0.2">
      <c r="A393">
        <v>392</v>
      </c>
      <c r="B393" s="1">
        <v>40744</v>
      </c>
      <c r="C393" t="s">
        <v>24</v>
      </c>
      <c r="D393" s="7">
        <v>8</v>
      </c>
      <c r="E393" s="7">
        <v>2</v>
      </c>
      <c r="F393" s="7">
        <f t="shared" si="6"/>
        <v>4</v>
      </c>
      <c r="G393" s="7" t="str">
        <f>LOOKUP(H393,[1]startdates!$A$2:$A$10,[1]startdates!$B$2:$B$10)</f>
        <v>SMr</v>
      </c>
      <c r="H393">
        <v>2</v>
      </c>
      <c r="I393" s="7">
        <v>689</v>
      </c>
      <c r="M393" s="7">
        <v>282</v>
      </c>
    </row>
    <row r="394" spans="1:17" x14ac:dyDescent="0.2">
      <c r="A394">
        <v>393</v>
      </c>
      <c r="B394" s="1">
        <v>40744</v>
      </c>
      <c r="C394" t="s">
        <v>24</v>
      </c>
      <c r="D394" s="7">
        <v>8</v>
      </c>
      <c r="E394" s="7">
        <v>2</v>
      </c>
      <c r="F394" s="7">
        <f t="shared" si="6"/>
        <v>4</v>
      </c>
      <c r="G394" s="7" t="str">
        <f>LOOKUP(H394,[1]startdates!$A$2:$A$10,[1]startdates!$B$2:$B$10)</f>
        <v>SMr</v>
      </c>
      <c r="H394">
        <v>2</v>
      </c>
      <c r="M394" s="7">
        <v>176</v>
      </c>
    </row>
    <row r="395" spans="1:17" x14ac:dyDescent="0.2">
      <c r="A395">
        <v>394</v>
      </c>
      <c r="B395" s="1">
        <v>40744</v>
      </c>
      <c r="C395" t="s">
        <v>24</v>
      </c>
      <c r="D395" s="7">
        <v>8</v>
      </c>
      <c r="E395" s="7">
        <v>2</v>
      </c>
      <c r="F395" s="7">
        <f t="shared" si="6"/>
        <v>4</v>
      </c>
      <c r="G395" s="7" t="str">
        <f>LOOKUP(H395,[1]startdates!$A$2:$A$10,[1]startdates!$B$2:$B$10)</f>
        <v>SMr</v>
      </c>
      <c r="H395">
        <v>2</v>
      </c>
      <c r="M395" s="7">
        <v>293</v>
      </c>
    </row>
    <row r="396" spans="1:17" x14ac:dyDescent="0.2">
      <c r="A396">
        <v>395</v>
      </c>
      <c r="B396" s="1">
        <v>40744</v>
      </c>
      <c r="C396" t="s">
        <v>24</v>
      </c>
      <c r="D396" s="7">
        <v>8</v>
      </c>
      <c r="E396" s="7">
        <v>2</v>
      </c>
      <c r="F396" s="7">
        <f t="shared" si="6"/>
        <v>4</v>
      </c>
      <c r="G396" s="7" t="str">
        <f>LOOKUP(H396,[1]startdates!$A$2:$A$10,[1]startdates!$B$2:$B$10)</f>
        <v>SMr</v>
      </c>
      <c r="H396">
        <v>2</v>
      </c>
      <c r="M396" s="7">
        <v>314</v>
      </c>
    </row>
    <row r="397" spans="1:17" x14ac:dyDescent="0.2">
      <c r="A397">
        <v>396</v>
      </c>
      <c r="B397" s="1">
        <v>40744</v>
      </c>
      <c r="C397" t="s">
        <v>24</v>
      </c>
      <c r="D397" s="7">
        <v>8</v>
      </c>
      <c r="E397" s="7">
        <v>2</v>
      </c>
      <c r="F397" s="7">
        <f t="shared" si="6"/>
        <v>4</v>
      </c>
      <c r="G397" s="7" t="str">
        <f>LOOKUP(H397,[1]startdates!$A$2:$A$10,[1]startdates!$B$2:$B$10)</f>
        <v>C</v>
      </c>
      <c r="H397">
        <v>3</v>
      </c>
      <c r="I397" s="7">
        <v>811</v>
      </c>
      <c r="J397" s="7">
        <v>599</v>
      </c>
      <c r="K397" s="7">
        <v>683</v>
      </c>
      <c r="L397" s="7">
        <v>401</v>
      </c>
      <c r="M397" s="7">
        <v>312</v>
      </c>
      <c r="N397" s="7">
        <v>199</v>
      </c>
      <c r="O397" s="7">
        <v>162</v>
      </c>
      <c r="Q397" s="7">
        <v>372</v>
      </c>
    </row>
    <row r="398" spans="1:17" x14ac:dyDescent="0.2">
      <c r="A398">
        <v>397</v>
      </c>
      <c r="B398" s="1">
        <v>40744</v>
      </c>
      <c r="C398" t="s">
        <v>24</v>
      </c>
      <c r="D398" s="7">
        <v>8</v>
      </c>
      <c r="E398" s="7">
        <v>2</v>
      </c>
      <c r="F398" s="7">
        <f t="shared" si="6"/>
        <v>4</v>
      </c>
      <c r="G398" s="7" t="str">
        <f>LOOKUP(H398,[1]startdates!$A$2:$A$10,[1]startdates!$B$2:$B$10)</f>
        <v>C</v>
      </c>
      <c r="H398">
        <v>3</v>
      </c>
      <c r="I398" s="7">
        <v>877</v>
      </c>
      <c r="L398" s="7">
        <v>416</v>
      </c>
      <c r="M398" s="7">
        <v>303</v>
      </c>
      <c r="N398" s="7">
        <v>184</v>
      </c>
      <c r="O398" s="7">
        <v>175</v>
      </c>
    </row>
    <row r="399" spans="1:17" x14ac:dyDescent="0.2">
      <c r="A399">
        <v>398</v>
      </c>
      <c r="B399" s="1">
        <v>40744</v>
      </c>
      <c r="C399" t="s">
        <v>24</v>
      </c>
      <c r="D399" s="7">
        <v>8</v>
      </c>
      <c r="E399" s="7">
        <v>2</v>
      </c>
      <c r="F399" s="7">
        <f t="shared" si="6"/>
        <v>4</v>
      </c>
      <c r="G399" s="7" t="str">
        <f>LOOKUP(H399,[1]startdates!$A$2:$A$10,[1]startdates!$B$2:$B$10)</f>
        <v>C</v>
      </c>
      <c r="H399">
        <v>3</v>
      </c>
      <c r="I399" s="7">
        <v>752</v>
      </c>
      <c r="M399" s="7">
        <v>356</v>
      </c>
      <c r="N399" s="7">
        <v>210</v>
      </c>
      <c r="O399" s="7">
        <v>184</v>
      </c>
    </row>
    <row r="400" spans="1:17" x14ac:dyDescent="0.2">
      <c r="A400">
        <v>399</v>
      </c>
      <c r="B400" s="1">
        <v>40744</v>
      </c>
      <c r="C400" t="s">
        <v>24</v>
      </c>
      <c r="D400" s="7">
        <v>8</v>
      </c>
      <c r="E400" s="7">
        <v>2</v>
      </c>
      <c r="F400" s="7">
        <f t="shared" si="6"/>
        <v>4</v>
      </c>
      <c r="G400" s="7" t="str">
        <f>LOOKUP(H400,[1]startdates!$A$2:$A$10,[1]startdates!$B$2:$B$10)</f>
        <v>C</v>
      </c>
      <c r="H400">
        <v>3</v>
      </c>
      <c r="I400" s="7">
        <v>761</v>
      </c>
      <c r="N400" s="7">
        <v>154</v>
      </c>
      <c r="O400" s="7">
        <v>140</v>
      </c>
    </row>
    <row r="401" spans="1:15" x14ac:dyDescent="0.2">
      <c r="A401">
        <v>400</v>
      </c>
      <c r="B401" s="1">
        <v>40744</v>
      </c>
      <c r="C401" t="s">
        <v>24</v>
      </c>
      <c r="D401" s="7">
        <v>8</v>
      </c>
      <c r="E401" s="7">
        <v>2</v>
      </c>
      <c r="F401" s="7">
        <f t="shared" si="6"/>
        <v>4</v>
      </c>
      <c r="G401" s="7" t="str">
        <f>LOOKUP(H401,[1]startdates!$A$2:$A$10,[1]startdates!$B$2:$B$10)</f>
        <v>C</v>
      </c>
      <c r="H401">
        <v>3</v>
      </c>
      <c r="I401" s="7">
        <v>846</v>
      </c>
      <c r="N401" s="7">
        <v>174</v>
      </c>
      <c r="O401" s="7">
        <v>173</v>
      </c>
    </row>
    <row r="402" spans="1:15" x14ac:dyDescent="0.2">
      <c r="A402">
        <v>401</v>
      </c>
      <c r="B402" s="1">
        <v>40744</v>
      </c>
      <c r="C402" t="s">
        <v>24</v>
      </c>
      <c r="D402" s="7">
        <v>8</v>
      </c>
      <c r="E402" s="7">
        <v>2</v>
      </c>
      <c r="F402" s="7">
        <f t="shared" si="6"/>
        <v>4</v>
      </c>
      <c r="G402" s="7" t="str">
        <f>LOOKUP(H402,[1]startdates!$A$2:$A$10,[1]startdates!$B$2:$B$10)</f>
        <v>C</v>
      </c>
      <c r="H402">
        <v>3</v>
      </c>
      <c r="N402" s="7">
        <v>176</v>
      </c>
      <c r="O402" s="7">
        <v>163</v>
      </c>
    </row>
    <row r="403" spans="1:15" x14ac:dyDescent="0.2">
      <c r="A403">
        <v>402</v>
      </c>
      <c r="B403" s="1">
        <v>40744</v>
      </c>
      <c r="C403" t="s">
        <v>24</v>
      </c>
      <c r="D403" s="7">
        <v>8</v>
      </c>
      <c r="E403" s="7">
        <v>2</v>
      </c>
      <c r="F403" s="7">
        <f t="shared" si="6"/>
        <v>4</v>
      </c>
      <c r="G403" s="7" t="str">
        <f>LOOKUP(H403,[1]startdates!$A$2:$A$10,[1]startdates!$B$2:$B$10)</f>
        <v>C</v>
      </c>
      <c r="H403">
        <v>3</v>
      </c>
      <c r="N403" s="7">
        <v>250</v>
      </c>
      <c r="O403" s="7">
        <v>182</v>
      </c>
    </row>
    <row r="404" spans="1:15" x14ac:dyDescent="0.2">
      <c r="A404">
        <v>403</v>
      </c>
      <c r="B404" s="1">
        <v>40744</v>
      </c>
      <c r="C404" t="s">
        <v>24</v>
      </c>
      <c r="D404" s="7">
        <v>8</v>
      </c>
      <c r="E404" s="7">
        <v>2</v>
      </c>
      <c r="F404" s="7">
        <f t="shared" si="6"/>
        <v>4</v>
      </c>
      <c r="G404" s="7" t="str">
        <f>LOOKUP(H404,[1]startdates!$A$2:$A$10,[1]startdates!$B$2:$B$10)</f>
        <v>C</v>
      </c>
      <c r="H404">
        <v>3</v>
      </c>
      <c r="N404" s="7">
        <v>245</v>
      </c>
      <c r="O404" s="7">
        <v>157</v>
      </c>
    </row>
    <row r="405" spans="1:15" x14ac:dyDescent="0.2">
      <c r="A405">
        <v>404</v>
      </c>
      <c r="B405" s="1">
        <v>40744</v>
      </c>
      <c r="C405" t="s">
        <v>24</v>
      </c>
      <c r="D405" s="7">
        <v>8</v>
      </c>
      <c r="E405" s="7">
        <v>2</v>
      </c>
      <c r="F405" s="7">
        <f t="shared" si="6"/>
        <v>4</v>
      </c>
      <c r="G405" s="7" t="str">
        <f>LOOKUP(H405,[1]startdates!$A$2:$A$10,[1]startdates!$B$2:$B$10)</f>
        <v>C</v>
      </c>
      <c r="H405">
        <v>3</v>
      </c>
      <c r="N405" s="7">
        <v>199</v>
      </c>
      <c r="O405" s="7">
        <v>160</v>
      </c>
    </row>
    <row r="406" spans="1:15" x14ac:dyDescent="0.2">
      <c r="A406">
        <v>405</v>
      </c>
      <c r="B406" s="1">
        <v>40744</v>
      </c>
      <c r="C406" t="s">
        <v>24</v>
      </c>
      <c r="D406" s="7">
        <v>8</v>
      </c>
      <c r="E406" s="7">
        <v>2</v>
      </c>
      <c r="F406" s="7">
        <f t="shared" si="6"/>
        <v>4</v>
      </c>
      <c r="G406" s="7" t="str">
        <f>LOOKUP(H406,[1]startdates!$A$2:$A$10,[1]startdates!$B$2:$B$10)</f>
        <v>C</v>
      </c>
      <c r="H406">
        <v>3</v>
      </c>
      <c r="N406" s="7">
        <v>167</v>
      </c>
      <c r="O406" s="7">
        <v>180</v>
      </c>
    </row>
    <row r="407" spans="1:15" x14ac:dyDescent="0.2">
      <c r="A407">
        <v>406</v>
      </c>
      <c r="B407" s="1">
        <v>40744</v>
      </c>
      <c r="C407" t="s">
        <v>24</v>
      </c>
      <c r="D407" s="7">
        <v>8</v>
      </c>
      <c r="E407" s="7">
        <v>2</v>
      </c>
      <c r="F407" s="7">
        <f t="shared" si="6"/>
        <v>4</v>
      </c>
      <c r="G407" s="7" t="str">
        <f>LOOKUP(H407,[1]startdates!$A$2:$A$10,[1]startdates!$B$2:$B$10)</f>
        <v>C</v>
      </c>
      <c r="H407">
        <v>3</v>
      </c>
      <c r="N407" s="7">
        <v>179</v>
      </c>
      <c r="O407" s="7">
        <v>157</v>
      </c>
    </row>
    <row r="408" spans="1:15" x14ac:dyDescent="0.2">
      <c r="A408">
        <v>407</v>
      </c>
      <c r="B408" s="1">
        <v>40744</v>
      </c>
      <c r="C408" t="s">
        <v>24</v>
      </c>
      <c r="D408" s="7">
        <v>8</v>
      </c>
      <c r="E408" s="7">
        <v>2</v>
      </c>
      <c r="F408" s="7">
        <f t="shared" si="6"/>
        <v>4</v>
      </c>
      <c r="G408" s="7" t="str">
        <f>LOOKUP(H408,[1]startdates!$A$2:$A$10,[1]startdates!$B$2:$B$10)</f>
        <v>C</v>
      </c>
      <c r="H408">
        <v>3</v>
      </c>
      <c r="N408" s="7">
        <v>233</v>
      </c>
      <c r="O408" s="7">
        <v>197</v>
      </c>
    </row>
    <row r="409" spans="1:15" x14ac:dyDescent="0.2">
      <c r="A409">
        <v>408</v>
      </c>
      <c r="B409" s="1">
        <v>40744</v>
      </c>
      <c r="C409" t="s">
        <v>24</v>
      </c>
      <c r="D409" s="7">
        <v>8</v>
      </c>
      <c r="E409" s="7">
        <v>2</v>
      </c>
      <c r="F409" s="7">
        <f t="shared" si="6"/>
        <v>4</v>
      </c>
      <c r="G409" s="7" t="str">
        <f>LOOKUP(H409,[1]startdates!$A$2:$A$10,[1]startdates!$B$2:$B$10)</f>
        <v>C</v>
      </c>
      <c r="H409">
        <v>3</v>
      </c>
      <c r="O409" s="7">
        <v>127</v>
      </c>
    </row>
    <row r="410" spans="1:15" x14ac:dyDescent="0.2">
      <c r="A410">
        <v>409</v>
      </c>
      <c r="B410" s="1">
        <v>40744</v>
      </c>
      <c r="C410" t="s">
        <v>24</v>
      </c>
      <c r="D410" s="7">
        <v>8</v>
      </c>
      <c r="E410" s="7">
        <v>2</v>
      </c>
      <c r="F410" s="7">
        <f t="shared" si="6"/>
        <v>4</v>
      </c>
      <c r="G410" s="7" t="str">
        <f>LOOKUP(H410,[1]startdates!$A$2:$A$10,[1]startdates!$B$2:$B$10)</f>
        <v>C</v>
      </c>
      <c r="H410">
        <v>3</v>
      </c>
      <c r="O410" s="7">
        <v>162</v>
      </c>
    </row>
    <row r="411" spans="1:15" x14ac:dyDescent="0.2">
      <c r="A411">
        <v>410</v>
      </c>
      <c r="B411" s="1">
        <v>40744</v>
      </c>
      <c r="C411" t="s">
        <v>24</v>
      </c>
      <c r="D411" s="7">
        <v>8</v>
      </c>
      <c r="E411" s="7">
        <v>2</v>
      </c>
      <c r="F411" s="7">
        <f t="shared" si="6"/>
        <v>4</v>
      </c>
      <c r="G411" s="7" t="str">
        <f>LOOKUP(H411,[1]startdates!$A$2:$A$10,[1]startdates!$B$2:$B$10)</f>
        <v>C</v>
      </c>
      <c r="H411">
        <v>3</v>
      </c>
      <c r="O411" s="7">
        <v>158</v>
      </c>
    </row>
    <row r="412" spans="1:15" x14ac:dyDescent="0.2">
      <c r="A412">
        <v>411</v>
      </c>
      <c r="B412" s="1">
        <v>40744</v>
      </c>
      <c r="C412" t="s">
        <v>24</v>
      </c>
      <c r="D412" s="7">
        <v>8</v>
      </c>
      <c r="E412" s="7">
        <v>2</v>
      </c>
      <c r="F412" s="7">
        <f t="shared" si="6"/>
        <v>4</v>
      </c>
      <c r="G412" s="7" t="str">
        <f>LOOKUP(H412,[1]startdates!$A$2:$A$10,[1]startdates!$B$2:$B$10)</f>
        <v>C</v>
      </c>
      <c r="H412">
        <v>3</v>
      </c>
      <c r="O412" s="7">
        <v>163</v>
      </c>
    </row>
    <row r="413" spans="1:15" x14ac:dyDescent="0.2">
      <c r="A413">
        <v>412</v>
      </c>
      <c r="B413" s="1">
        <v>40744</v>
      </c>
      <c r="C413" t="s">
        <v>24</v>
      </c>
      <c r="D413" s="7">
        <v>8</v>
      </c>
      <c r="E413" s="7">
        <v>2</v>
      </c>
      <c r="F413" s="7">
        <f t="shared" si="6"/>
        <v>4</v>
      </c>
      <c r="G413" s="7" t="str">
        <f>LOOKUP(H413,[1]startdates!$A$2:$A$10,[1]startdates!$B$2:$B$10)</f>
        <v>SMr</v>
      </c>
      <c r="H413">
        <v>4</v>
      </c>
      <c r="I413" s="7">
        <v>783</v>
      </c>
      <c r="K413" s="7">
        <v>671</v>
      </c>
      <c r="M413" s="7">
        <v>309</v>
      </c>
      <c r="N413" s="7">
        <v>172</v>
      </c>
      <c r="O413" s="7">
        <v>163</v>
      </c>
    </row>
    <row r="414" spans="1:15" x14ac:dyDescent="0.2">
      <c r="A414">
        <v>413</v>
      </c>
      <c r="B414" s="1">
        <v>40744</v>
      </c>
      <c r="C414" t="s">
        <v>24</v>
      </c>
      <c r="D414" s="7">
        <v>8</v>
      </c>
      <c r="E414" s="7">
        <v>2</v>
      </c>
      <c r="F414" s="7">
        <f t="shared" si="6"/>
        <v>4</v>
      </c>
      <c r="G414" s="7" t="str">
        <f>LOOKUP(H414,[1]startdates!$A$2:$A$10,[1]startdates!$B$2:$B$10)</f>
        <v>SMr</v>
      </c>
      <c r="H414">
        <v>4</v>
      </c>
      <c r="I414" s="7">
        <v>758</v>
      </c>
      <c r="K414" s="7">
        <v>792</v>
      </c>
      <c r="M414" s="7">
        <v>355</v>
      </c>
      <c r="N414" s="7">
        <v>189</v>
      </c>
      <c r="O414" s="7">
        <v>193</v>
      </c>
    </row>
    <row r="415" spans="1:15" x14ac:dyDescent="0.2">
      <c r="A415">
        <v>414</v>
      </c>
      <c r="B415" s="1">
        <v>40744</v>
      </c>
      <c r="C415" t="s">
        <v>24</v>
      </c>
      <c r="D415" s="7">
        <v>8</v>
      </c>
      <c r="E415" s="7">
        <v>2</v>
      </c>
      <c r="F415" s="7">
        <f t="shared" si="6"/>
        <v>4</v>
      </c>
      <c r="G415" s="7" t="str">
        <f>LOOKUP(H415,[1]startdates!$A$2:$A$10,[1]startdates!$B$2:$B$10)</f>
        <v>SMr</v>
      </c>
      <c r="H415">
        <v>4</v>
      </c>
      <c r="I415" s="7">
        <v>801</v>
      </c>
      <c r="M415" s="7">
        <v>305</v>
      </c>
      <c r="N415" s="7">
        <v>216</v>
      </c>
      <c r="O415" s="7">
        <v>194</v>
      </c>
    </row>
    <row r="416" spans="1:15" x14ac:dyDescent="0.2">
      <c r="A416">
        <v>415</v>
      </c>
      <c r="B416" s="1">
        <v>40744</v>
      </c>
      <c r="C416" t="s">
        <v>24</v>
      </c>
      <c r="D416" s="7">
        <v>8</v>
      </c>
      <c r="E416" s="7">
        <v>2</v>
      </c>
      <c r="F416" s="7">
        <f t="shared" si="6"/>
        <v>4</v>
      </c>
      <c r="G416" s="7" t="str">
        <f>LOOKUP(H416,[1]startdates!$A$2:$A$10,[1]startdates!$B$2:$B$10)</f>
        <v>SMr</v>
      </c>
      <c r="H416">
        <v>4</v>
      </c>
      <c r="I416" s="7">
        <v>856</v>
      </c>
      <c r="M416" s="7">
        <v>318</v>
      </c>
      <c r="N416" s="7">
        <v>193</v>
      </c>
      <c r="O416" s="7">
        <v>189</v>
      </c>
    </row>
    <row r="417" spans="1:18" x14ac:dyDescent="0.2">
      <c r="A417">
        <v>416</v>
      </c>
      <c r="B417" s="1">
        <v>40744</v>
      </c>
      <c r="C417" t="s">
        <v>24</v>
      </c>
      <c r="D417" s="7">
        <v>8</v>
      </c>
      <c r="E417" s="7">
        <v>2</v>
      </c>
      <c r="F417" s="7">
        <f t="shared" si="6"/>
        <v>4</v>
      </c>
      <c r="G417" s="7" t="str">
        <f>LOOKUP(H417,[1]startdates!$A$2:$A$10,[1]startdates!$B$2:$B$10)</f>
        <v>SMr</v>
      </c>
      <c r="H417">
        <v>4</v>
      </c>
      <c r="I417" s="7">
        <v>852</v>
      </c>
      <c r="M417" s="7">
        <v>316</v>
      </c>
      <c r="N417" s="7">
        <v>210</v>
      </c>
      <c r="O417" s="7">
        <v>166</v>
      </c>
    </row>
    <row r="418" spans="1:18" x14ac:dyDescent="0.2">
      <c r="A418">
        <v>417</v>
      </c>
      <c r="B418" s="1">
        <v>40744</v>
      </c>
      <c r="C418" t="s">
        <v>24</v>
      </c>
      <c r="D418" s="7">
        <v>8</v>
      </c>
      <c r="E418" s="7">
        <v>2</v>
      </c>
      <c r="F418" s="7">
        <f t="shared" si="6"/>
        <v>4</v>
      </c>
      <c r="G418" s="7" t="str">
        <f>LOOKUP(H418,[1]startdates!$A$2:$A$10,[1]startdates!$B$2:$B$10)</f>
        <v>SMr</v>
      </c>
      <c r="H418">
        <v>4</v>
      </c>
      <c r="M418" s="7">
        <v>319</v>
      </c>
      <c r="N418" s="7">
        <v>201</v>
      </c>
      <c r="O418" s="7">
        <v>173</v>
      </c>
    </row>
    <row r="419" spans="1:18" x14ac:dyDescent="0.2">
      <c r="A419">
        <v>418</v>
      </c>
      <c r="B419" s="1">
        <v>40744</v>
      </c>
      <c r="C419" t="s">
        <v>24</v>
      </c>
      <c r="D419" s="7">
        <v>8</v>
      </c>
      <c r="E419" s="7">
        <v>2</v>
      </c>
      <c r="F419" s="7">
        <f t="shared" si="6"/>
        <v>4</v>
      </c>
      <c r="G419" s="7" t="str">
        <f>LOOKUP(H419,[1]startdates!$A$2:$A$10,[1]startdates!$B$2:$B$10)</f>
        <v>SMr</v>
      </c>
      <c r="H419">
        <v>4</v>
      </c>
      <c r="M419" s="7">
        <v>306</v>
      </c>
      <c r="N419" s="7">
        <v>245</v>
      </c>
      <c r="O419" s="7">
        <v>161</v>
      </c>
    </row>
    <row r="420" spans="1:18" x14ac:dyDescent="0.2">
      <c r="A420">
        <v>419</v>
      </c>
      <c r="B420" s="1">
        <v>40744</v>
      </c>
      <c r="C420" t="s">
        <v>24</v>
      </c>
      <c r="D420" s="7">
        <v>8</v>
      </c>
      <c r="E420" s="7">
        <v>2</v>
      </c>
      <c r="F420" s="7">
        <f t="shared" si="6"/>
        <v>4</v>
      </c>
      <c r="G420" s="7" t="str">
        <f>LOOKUP(H420,[1]startdates!$A$2:$A$10,[1]startdates!$B$2:$B$10)</f>
        <v>SMr</v>
      </c>
      <c r="H420">
        <v>4</v>
      </c>
      <c r="M420" s="7">
        <v>364</v>
      </c>
      <c r="O420" s="7">
        <v>180</v>
      </c>
    </row>
    <row r="421" spans="1:18" x14ac:dyDescent="0.2">
      <c r="A421">
        <v>420</v>
      </c>
      <c r="B421" s="1">
        <v>40744</v>
      </c>
      <c r="C421" t="s">
        <v>24</v>
      </c>
      <c r="D421" s="7">
        <v>8</v>
      </c>
      <c r="E421" s="7">
        <v>2</v>
      </c>
      <c r="F421" s="7">
        <f t="shared" si="6"/>
        <v>4</v>
      </c>
      <c r="G421" s="7" t="str">
        <f>LOOKUP(H421,[1]startdates!$A$2:$A$10,[1]startdates!$B$2:$B$10)</f>
        <v>SMr</v>
      </c>
      <c r="H421">
        <v>4</v>
      </c>
      <c r="O421" s="7">
        <v>163</v>
      </c>
    </row>
    <row r="422" spans="1:18" x14ac:dyDescent="0.2">
      <c r="A422">
        <v>421</v>
      </c>
      <c r="B422" s="1">
        <v>40744</v>
      </c>
      <c r="C422" t="s">
        <v>24</v>
      </c>
      <c r="D422" s="7">
        <v>8</v>
      </c>
      <c r="E422" s="7">
        <v>2</v>
      </c>
      <c r="F422" s="7">
        <f t="shared" si="6"/>
        <v>4</v>
      </c>
      <c r="G422" s="7" t="str">
        <f>LOOKUP(H422,[1]startdates!$A$2:$A$10,[1]startdates!$B$2:$B$10)</f>
        <v>SMr</v>
      </c>
      <c r="H422">
        <v>4</v>
      </c>
      <c r="O422" s="7">
        <v>193</v>
      </c>
    </row>
    <row r="423" spans="1:18" x14ac:dyDescent="0.2">
      <c r="A423">
        <v>422</v>
      </c>
      <c r="B423" s="1">
        <v>40744</v>
      </c>
      <c r="C423" t="s">
        <v>24</v>
      </c>
      <c r="D423" s="7">
        <v>8</v>
      </c>
      <c r="E423" s="7">
        <v>2</v>
      </c>
      <c r="F423" s="7">
        <f t="shared" si="6"/>
        <v>4</v>
      </c>
      <c r="G423" s="7" t="str">
        <f>LOOKUP(H423,[1]startdates!$A$2:$A$10,[1]startdates!$B$2:$B$10)</f>
        <v>SMr</v>
      </c>
      <c r="H423">
        <v>4</v>
      </c>
      <c r="O423" s="7">
        <v>200</v>
      </c>
    </row>
    <row r="424" spans="1:18" x14ac:dyDescent="0.2">
      <c r="A424">
        <v>423</v>
      </c>
      <c r="B424" s="1">
        <v>40744</v>
      </c>
      <c r="C424" t="s">
        <v>24</v>
      </c>
      <c r="D424" s="7">
        <v>8</v>
      </c>
      <c r="E424" s="7">
        <v>2</v>
      </c>
      <c r="F424" s="7">
        <f t="shared" si="6"/>
        <v>4</v>
      </c>
      <c r="G424" s="7" t="str">
        <f>LOOKUP(H424,[1]startdates!$A$2:$A$10,[1]startdates!$B$2:$B$10)</f>
        <v>C</v>
      </c>
      <c r="H424">
        <v>5</v>
      </c>
      <c r="I424" s="7">
        <v>815</v>
      </c>
      <c r="J424" s="7">
        <v>690</v>
      </c>
      <c r="L424" s="7">
        <v>450</v>
      </c>
      <c r="M424" s="7">
        <v>435</v>
      </c>
      <c r="N424" s="7">
        <v>206</v>
      </c>
      <c r="O424" s="7">
        <v>149</v>
      </c>
      <c r="P424" s="7">
        <v>514</v>
      </c>
      <c r="Q424" s="7">
        <v>413</v>
      </c>
      <c r="R424" s="7">
        <v>280</v>
      </c>
    </row>
    <row r="425" spans="1:18" x14ac:dyDescent="0.2">
      <c r="A425">
        <v>424</v>
      </c>
      <c r="B425" s="1">
        <v>40744</v>
      </c>
      <c r="C425" t="s">
        <v>24</v>
      </c>
      <c r="D425" s="7">
        <v>8</v>
      </c>
      <c r="E425" s="7">
        <v>2</v>
      </c>
      <c r="F425" s="7">
        <f t="shared" ref="F425:F488" si="7">WEEKDAY(B425)</f>
        <v>4</v>
      </c>
      <c r="G425" s="7" t="str">
        <f>LOOKUP(H425,[1]startdates!$A$2:$A$10,[1]startdates!$B$2:$B$10)</f>
        <v>C</v>
      </c>
      <c r="H425">
        <v>5</v>
      </c>
      <c r="I425" s="7">
        <v>727</v>
      </c>
      <c r="J425" s="7">
        <v>615</v>
      </c>
      <c r="L425" s="7">
        <v>448</v>
      </c>
      <c r="M425" s="7">
        <v>256</v>
      </c>
      <c r="N425" s="7">
        <v>213</v>
      </c>
      <c r="O425" s="7">
        <v>185</v>
      </c>
    </row>
    <row r="426" spans="1:18" x14ac:dyDescent="0.2">
      <c r="A426">
        <v>425</v>
      </c>
      <c r="B426" s="1">
        <v>40744</v>
      </c>
      <c r="C426" t="s">
        <v>24</v>
      </c>
      <c r="D426" s="7">
        <v>8</v>
      </c>
      <c r="E426" s="7">
        <v>2</v>
      </c>
      <c r="F426" s="7">
        <f t="shared" si="7"/>
        <v>4</v>
      </c>
      <c r="G426" s="7" t="str">
        <f>LOOKUP(H426,[1]startdates!$A$2:$A$10,[1]startdates!$B$2:$B$10)</f>
        <v>C</v>
      </c>
      <c r="H426">
        <v>5</v>
      </c>
      <c r="I426" s="7">
        <v>773</v>
      </c>
      <c r="M426" s="7">
        <v>280</v>
      </c>
      <c r="N426" s="7">
        <v>191</v>
      </c>
      <c r="O426" s="7">
        <v>157</v>
      </c>
    </row>
    <row r="427" spans="1:18" x14ac:dyDescent="0.2">
      <c r="A427">
        <v>426</v>
      </c>
      <c r="B427" s="1">
        <v>40744</v>
      </c>
      <c r="C427" t="s">
        <v>24</v>
      </c>
      <c r="D427" s="7">
        <v>8</v>
      </c>
      <c r="E427" s="7">
        <v>2</v>
      </c>
      <c r="F427" s="7">
        <f t="shared" si="7"/>
        <v>4</v>
      </c>
      <c r="G427" s="7" t="str">
        <f>LOOKUP(H427,[1]startdates!$A$2:$A$10,[1]startdates!$B$2:$B$10)</f>
        <v>C</v>
      </c>
      <c r="H427">
        <v>5</v>
      </c>
      <c r="I427" s="7">
        <v>662</v>
      </c>
      <c r="M427" s="7">
        <v>295</v>
      </c>
      <c r="N427" s="7">
        <v>214</v>
      </c>
      <c r="O427" s="7">
        <v>160</v>
      </c>
    </row>
    <row r="428" spans="1:18" x14ac:dyDescent="0.2">
      <c r="A428">
        <v>427</v>
      </c>
      <c r="B428" s="1">
        <v>40744</v>
      </c>
      <c r="C428" t="s">
        <v>24</v>
      </c>
      <c r="D428" s="7">
        <v>8</v>
      </c>
      <c r="E428" s="7">
        <v>2</v>
      </c>
      <c r="F428" s="7">
        <f t="shared" si="7"/>
        <v>4</v>
      </c>
      <c r="G428" s="7" t="str">
        <f>LOOKUP(H428,[1]startdates!$A$2:$A$10,[1]startdates!$B$2:$B$10)</f>
        <v>C</v>
      </c>
      <c r="H428">
        <v>5</v>
      </c>
      <c r="I428" s="7">
        <v>884</v>
      </c>
      <c r="N428" s="7">
        <v>236</v>
      </c>
      <c r="O428" s="7">
        <v>171</v>
      </c>
    </row>
    <row r="429" spans="1:18" x14ac:dyDescent="0.2">
      <c r="A429">
        <v>428</v>
      </c>
      <c r="B429" s="1">
        <v>40744</v>
      </c>
      <c r="C429" t="s">
        <v>24</v>
      </c>
      <c r="D429" s="7">
        <v>8</v>
      </c>
      <c r="E429" s="7">
        <v>2</v>
      </c>
      <c r="F429" s="7">
        <f t="shared" si="7"/>
        <v>4</v>
      </c>
      <c r="G429" s="7" t="str">
        <f>LOOKUP(H429,[1]startdates!$A$2:$A$10,[1]startdates!$B$2:$B$10)</f>
        <v>C</v>
      </c>
      <c r="H429">
        <v>5</v>
      </c>
      <c r="I429" s="7">
        <v>743</v>
      </c>
      <c r="N429" s="7">
        <v>278</v>
      </c>
      <c r="O429" s="7">
        <v>173</v>
      </c>
    </row>
    <row r="430" spans="1:18" x14ac:dyDescent="0.2">
      <c r="A430">
        <v>429</v>
      </c>
      <c r="B430" s="1">
        <v>40744</v>
      </c>
      <c r="C430" t="s">
        <v>24</v>
      </c>
      <c r="D430" s="7">
        <v>8</v>
      </c>
      <c r="E430" s="7">
        <v>2</v>
      </c>
      <c r="F430" s="7">
        <f t="shared" si="7"/>
        <v>4</v>
      </c>
      <c r="G430" s="7" t="str">
        <f>LOOKUP(H430,[1]startdates!$A$2:$A$10,[1]startdates!$B$2:$B$10)</f>
        <v>C</v>
      </c>
      <c r="H430">
        <v>5</v>
      </c>
      <c r="I430" s="7">
        <v>657</v>
      </c>
      <c r="N430" s="7">
        <v>212</v>
      </c>
      <c r="O430" s="7">
        <v>180</v>
      </c>
    </row>
    <row r="431" spans="1:18" x14ac:dyDescent="0.2">
      <c r="A431">
        <v>430</v>
      </c>
      <c r="B431" s="1">
        <v>40744</v>
      </c>
      <c r="C431" t="s">
        <v>24</v>
      </c>
      <c r="D431" s="7">
        <v>8</v>
      </c>
      <c r="E431" s="7">
        <v>2</v>
      </c>
      <c r="F431" s="7">
        <f t="shared" si="7"/>
        <v>4</v>
      </c>
      <c r="G431" s="7" t="str">
        <f>LOOKUP(H431,[1]startdates!$A$2:$A$10,[1]startdates!$B$2:$B$10)</f>
        <v>C</v>
      </c>
      <c r="H431">
        <v>5</v>
      </c>
      <c r="N431" s="7">
        <v>167</v>
      </c>
      <c r="O431" s="7">
        <v>143</v>
      </c>
    </row>
    <row r="432" spans="1:18" x14ac:dyDescent="0.2">
      <c r="A432">
        <v>431</v>
      </c>
      <c r="B432" s="1">
        <v>40744</v>
      </c>
      <c r="C432" t="s">
        <v>24</v>
      </c>
      <c r="D432" s="7">
        <v>8</v>
      </c>
      <c r="E432" s="7">
        <v>2</v>
      </c>
      <c r="F432" s="7">
        <f t="shared" si="7"/>
        <v>4</v>
      </c>
      <c r="G432" s="7" t="str">
        <f>LOOKUP(H432,[1]startdates!$A$2:$A$10,[1]startdates!$B$2:$B$10)</f>
        <v>C</v>
      </c>
      <c r="H432">
        <v>5</v>
      </c>
      <c r="N432" s="7">
        <v>239</v>
      </c>
      <c r="O432" s="7">
        <v>163</v>
      </c>
    </row>
    <row r="433" spans="1:15" x14ac:dyDescent="0.2">
      <c r="A433">
        <v>432</v>
      </c>
      <c r="B433" s="1">
        <v>40744</v>
      </c>
      <c r="C433" t="s">
        <v>24</v>
      </c>
      <c r="D433" s="7">
        <v>8</v>
      </c>
      <c r="E433" s="7">
        <v>2</v>
      </c>
      <c r="F433" s="7">
        <f t="shared" si="7"/>
        <v>4</v>
      </c>
      <c r="G433" s="7" t="str">
        <f>LOOKUP(H433,[1]startdates!$A$2:$A$10,[1]startdates!$B$2:$B$10)</f>
        <v>C</v>
      </c>
      <c r="H433">
        <v>5</v>
      </c>
      <c r="N433" s="7">
        <v>240</v>
      </c>
      <c r="O433" s="7">
        <v>173</v>
      </c>
    </row>
    <row r="434" spans="1:15" x14ac:dyDescent="0.2">
      <c r="A434">
        <v>433</v>
      </c>
      <c r="B434" s="1">
        <v>40744</v>
      </c>
      <c r="C434" t="s">
        <v>24</v>
      </c>
      <c r="D434" s="7">
        <v>8</v>
      </c>
      <c r="E434" s="7">
        <v>2</v>
      </c>
      <c r="F434" s="7">
        <f t="shared" si="7"/>
        <v>4</v>
      </c>
      <c r="G434" s="7" t="str">
        <f>LOOKUP(H434,[1]startdates!$A$2:$A$10,[1]startdates!$B$2:$B$10)</f>
        <v>C</v>
      </c>
      <c r="H434">
        <v>5</v>
      </c>
      <c r="N434" s="7">
        <v>213</v>
      </c>
      <c r="O434" s="7">
        <v>156</v>
      </c>
    </row>
    <row r="435" spans="1:15" x14ac:dyDescent="0.2">
      <c r="A435">
        <v>434</v>
      </c>
      <c r="B435" s="1">
        <v>40744</v>
      </c>
      <c r="C435" t="s">
        <v>24</v>
      </c>
      <c r="D435" s="7">
        <v>8</v>
      </c>
      <c r="E435" s="7">
        <v>2</v>
      </c>
      <c r="F435" s="7">
        <f t="shared" si="7"/>
        <v>4</v>
      </c>
      <c r="G435" s="7" t="str">
        <f>LOOKUP(H435,[1]startdates!$A$2:$A$10,[1]startdates!$B$2:$B$10)</f>
        <v>C</v>
      </c>
      <c r="H435">
        <v>5</v>
      </c>
      <c r="N435" s="7">
        <v>214</v>
      </c>
      <c r="O435" s="7">
        <v>191</v>
      </c>
    </row>
    <row r="436" spans="1:15" x14ac:dyDescent="0.2">
      <c r="A436">
        <v>435</v>
      </c>
      <c r="B436" s="1">
        <v>40744</v>
      </c>
      <c r="C436" t="s">
        <v>24</v>
      </c>
      <c r="D436" s="7">
        <v>8</v>
      </c>
      <c r="E436" s="7">
        <v>2</v>
      </c>
      <c r="F436" s="7">
        <f t="shared" si="7"/>
        <v>4</v>
      </c>
      <c r="G436" s="7" t="str">
        <f>LOOKUP(H436,[1]startdates!$A$2:$A$10,[1]startdates!$B$2:$B$10)</f>
        <v>C</v>
      </c>
      <c r="H436">
        <v>5</v>
      </c>
      <c r="N436" s="7">
        <v>183</v>
      </c>
      <c r="O436" s="7">
        <v>193</v>
      </c>
    </row>
    <row r="437" spans="1:15" x14ac:dyDescent="0.2">
      <c r="A437">
        <v>436</v>
      </c>
      <c r="B437" s="1">
        <v>40744</v>
      </c>
      <c r="C437" t="s">
        <v>24</v>
      </c>
      <c r="D437" s="7">
        <v>8</v>
      </c>
      <c r="E437" s="7">
        <v>2</v>
      </c>
      <c r="F437" s="7">
        <f t="shared" si="7"/>
        <v>4</v>
      </c>
      <c r="G437" s="7" t="str">
        <f>LOOKUP(H437,[1]startdates!$A$2:$A$10,[1]startdates!$B$2:$B$10)</f>
        <v>C</v>
      </c>
      <c r="H437">
        <v>5</v>
      </c>
      <c r="N437" s="7">
        <v>205</v>
      </c>
    </row>
    <row r="438" spans="1:15" x14ac:dyDescent="0.2">
      <c r="A438">
        <v>437</v>
      </c>
      <c r="B438" s="1">
        <v>40744</v>
      </c>
      <c r="C438" t="s">
        <v>24</v>
      </c>
      <c r="D438" s="7">
        <v>8</v>
      </c>
      <c r="E438" s="7">
        <v>2</v>
      </c>
      <c r="F438" s="7">
        <f t="shared" si="7"/>
        <v>4</v>
      </c>
      <c r="G438" s="7" t="str">
        <f>LOOKUP(H438,[1]startdates!$A$2:$A$10,[1]startdates!$B$2:$B$10)</f>
        <v>C</v>
      </c>
      <c r="H438">
        <v>5</v>
      </c>
      <c r="N438" s="7">
        <v>236</v>
      </c>
    </row>
    <row r="439" spans="1:15" x14ac:dyDescent="0.2">
      <c r="A439">
        <v>438</v>
      </c>
      <c r="B439" s="1">
        <v>40744</v>
      </c>
      <c r="C439" t="s">
        <v>24</v>
      </c>
      <c r="D439" s="7">
        <v>8</v>
      </c>
      <c r="E439" s="7">
        <v>2</v>
      </c>
      <c r="F439" s="7">
        <f t="shared" si="7"/>
        <v>4</v>
      </c>
      <c r="G439" s="7" t="str">
        <f>LOOKUP(H439,[1]startdates!$A$2:$A$10,[1]startdates!$B$2:$B$10)</f>
        <v>FMr</v>
      </c>
      <c r="H439">
        <v>6</v>
      </c>
      <c r="I439" s="7">
        <v>869</v>
      </c>
      <c r="J439" s="7">
        <v>654</v>
      </c>
      <c r="K439" s="7">
        <v>610</v>
      </c>
      <c r="M439" s="7">
        <v>304</v>
      </c>
      <c r="N439" s="7">
        <v>195</v>
      </c>
      <c r="O439" s="7">
        <v>173</v>
      </c>
    </row>
    <row r="440" spans="1:15" x14ac:dyDescent="0.2">
      <c r="A440">
        <v>439</v>
      </c>
      <c r="B440" s="1">
        <v>40744</v>
      </c>
      <c r="C440" t="s">
        <v>24</v>
      </c>
      <c r="D440" s="7">
        <v>8</v>
      </c>
      <c r="E440" s="7">
        <v>2</v>
      </c>
      <c r="F440" s="7">
        <f t="shared" si="7"/>
        <v>4</v>
      </c>
      <c r="G440" s="7" t="str">
        <f>LOOKUP(H440,[1]startdates!$A$2:$A$10,[1]startdates!$B$2:$B$10)</f>
        <v>FMr</v>
      </c>
      <c r="H440">
        <v>6</v>
      </c>
      <c r="I440" s="7">
        <v>872</v>
      </c>
      <c r="M440" s="7">
        <v>297</v>
      </c>
      <c r="N440" s="7">
        <v>181</v>
      </c>
      <c r="O440" s="7">
        <v>153</v>
      </c>
    </row>
    <row r="441" spans="1:15" x14ac:dyDescent="0.2">
      <c r="A441">
        <v>440</v>
      </c>
      <c r="B441" s="1">
        <v>40744</v>
      </c>
      <c r="C441" t="s">
        <v>24</v>
      </c>
      <c r="D441" s="7">
        <v>8</v>
      </c>
      <c r="E441" s="7">
        <v>2</v>
      </c>
      <c r="F441" s="7">
        <f t="shared" si="7"/>
        <v>4</v>
      </c>
      <c r="G441" s="7" t="str">
        <f>LOOKUP(H441,[1]startdates!$A$2:$A$10,[1]startdates!$B$2:$B$10)</f>
        <v>FMr</v>
      </c>
      <c r="H441">
        <v>6</v>
      </c>
      <c r="I441" s="7">
        <v>773</v>
      </c>
      <c r="M441" s="7">
        <v>278</v>
      </c>
      <c r="N441" s="7">
        <v>239</v>
      </c>
      <c r="O441" s="7">
        <v>180</v>
      </c>
    </row>
    <row r="442" spans="1:15" x14ac:dyDescent="0.2">
      <c r="A442">
        <v>441</v>
      </c>
      <c r="B442" s="1">
        <v>40744</v>
      </c>
      <c r="C442" t="s">
        <v>24</v>
      </c>
      <c r="D442" s="7">
        <v>8</v>
      </c>
      <c r="E442" s="7">
        <v>2</v>
      </c>
      <c r="F442" s="7">
        <f t="shared" si="7"/>
        <v>4</v>
      </c>
      <c r="G442" s="7" t="str">
        <f>LOOKUP(H442,[1]startdates!$A$2:$A$10,[1]startdates!$B$2:$B$10)</f>
        <v>FMr</v>
      </c>
      <c r="H442">
        <v>6</v>
      </c>
      <c r="M442" s="7">
        <v>300</v>
      </c>
      <c r="N442" s="7">
        <v>210</v>
      </c>
      <c r="O442" s="7">
        <v>171</v>
      </c>
    </row>
    <row r="443" spans="1:15" x14ac:dyDescent="0.2">
      <c r="A443">
        <v>442</v>
      </c>
      <c r="B443" s="1">
        <v>40744</v>
      </c>
      <c r="C443" t="s">
        <v>24</v>
      </c>
      <c r="D443" s="7">
        <v>8</v>
      </c>
      <c r="E443" s="7">
        <v>2</v>
      </c>
      <c r="F443" s="7">
        <f t="shared" si="7"/>
        <v>4</v>
      </c>
      <c r="G443" s="7" t="str">
        <f>LOOKUP(H443,[1]startdates!$A$2:$A$10,[1]startdates!$B$2:$B$10)</f>
        <v>FMr</v>
      </c>
      <c r="H443">
        <v>6</v>
      </c>
      <c r="M443" s="7">
        <v>281</v>
      </c>
      <c r="N443" s="7">
        <v>213</v>
      </c>
      <c r="O443" s="7">
        <v>177</v>
      </c>
    </row>
    <row r="444" spans="1:15" x14ac:dyDescent="0.2">
      <c r="A444">
        <v>443</v>
      </c>
      <c r="B444" s="1">
        <v>40744</v>
      </c>
      <c r="C444" t="s">
        <v>24</v>
      </c>
      <c r="D444" s="7">
        <v>8</v>
      </c>
      <c r="E444" s="7">
        <v>2</v>
      </c>
      <c r="F444" s="7">
        <f t="shared" si="7"/>
        <v>4</v>
      </c>
      <c r="G444" s="7" t="str">
        <f>LOOKUP(H444,[1]startdates!$A$2:$A$10,[1]startdates!$B$2:$B$10)</f>
        <v>FMr</v>
      </c>
      <c r="H444">
        <v>6</v>
      </c>
      <c r="M444" s="7">
        <v>297</v>
      </c>
      <c r="N444" s="7">
        <v>244</v>
      </c>
      <c r="O444" s="7">
        <v>159</v>
      </c>
    </row>
    <row r="445" spans="1:15" x14ac:dyDescent="0.2">
      <c r="A445">
        <v>444</v>
      </c>
      <c r="B445" s="1">
        <v>40744</v>
      </c>
      <c r="C445" t="s">
        <v>24</v>
      </c>
      <c r="D445" s="7">
        <v>8</v>
      </c>
      <c r="E445" s="7">
        <v>2</v>
      </c>
      <c r="F445" s="7">
        <f t="shared" si="7"/>
        <v>4</v>
      </c>
      <c r="G445" s="7" t="str">
        <f>LOOKUP(H445,[1]startdates!$A$2:$A$10,[1]startdates!$B$2:$B$10)</f>
        <v>FMr</v>
      </c>
      <c r="H445">
        <v>6</v>
      </c>
      <c r="N445" s="7">
        <v>158</v>
      </c>
      <c r="O445" s="7">
        <v>163</v>
      </c>
    </row>
    <row r="446" spans="1:15" x14ac:dyDescent="0.2">
      <c r="A446">
        <v>445</v>
      </c>
      <c r="B446" s="1">
        <v>40744</v>
      </c>
      <c r="C446" t="s">
        <v>24</v>
      </c>
      <c r="D446" s="7">
        <v>8</v>
      </c>
      <c r="E446" s="7">
        <v>2</v>
      </c>
      <c r="F446" s="7">
        <f t="shared" si="7"/>
        <v>4</v>
      </c>
      <c r="G446" s="7" t="str">
        <f>LOOKUP(H446,[1]startdates!$A$2:$A$10,[1]startdates!$B$2:$B$10)</f>
        <v>FMr</v>
      </c>
      <c r="H446">
        <v>6</v>
      </c>
      <c r="N446" s="7">
        <v>221</v>
      </c>
      <c r="O446" s="7">
        <v>163</v>
      </c>
    </row>
    <row r="447" spans="1:15" x14ac:dyDescent="0.2">
      <c r="A447">
        <v>446</v>
      </c>
      <c r="B447" s="1">
        <v>40744</v>
      </c>
      <c r="C447" t="s">
        <v>24</v>
      </c>
      <c r="D447" s="7">
        <v>8</v>
      </c>
      <c r="E447" s="7">
        <v>2</v>
      </c>
      <c r="F447" s="7">
        <f t="shared" si="7"/>
        <v>4</v>
      </c>
      <c r="G447" s="7" t="str">
        <f>LOOKUP(H447,[1]startdates!$A$2:$A$10,[1]startdates!$B$2:$B$10)</f>
        <v>FMr</v>
      </c>
      <c r="H447">
        <v>6</v>
      </c>
      <c r="N447" s="7">
        <v>221</v>
      </c>
      <c r="O447" s="7">
        <v>155</v>
      </c>
    </row>
    <row r="448" spans="1:15" x14ac:dyDescent="0.2">
      <c r="A448">
        <v>447</v>
      </c>
      <c r="B448" s="1">
        <v>40744</v>
      </c>
      <c r="C448" t="s">
        <v>24</v>
      </c>
      <c r="D448" s="7">
        <v>8</v>
      </c>
      <c r="E448" s="7">
        <v>2</v>
      </c>
      <c r="F448" s="7">
        <f t="shared" si="7"/>
        <v>4</v>
      </c>
      <c r="G448" s="7" t="str">
        <f>LOOKUP(H448,[1]startdates!$A$2:$A$10,[1]startdates!$B$2:$B$10)</f>
        <v>FMr</v>
      </c>
      <c r="H448">
        <v>6</v>
      </c>
      <c r="N448" s="7">
        <v>212</v>
      </c>
      <c r="O448" s="7">
        <v>179</v>
      </c>
    </row>
    <row r="449" spans="1:18" x14ac:dyDescent="0.2">
      <c r="A449">
        <v>448</v>
      </c>
      <c r="B449" s="1">
        <v>40744</v>
      </c>
      <c r="C449" t="s">
        <v>24</v>
      </c>
      <c r="D449" s="7">
        <v>8</v>
      </c>
      <c r="E449" s="7">
        <v>2</v>
      </c>
      <c r="F449" s="7">
        <f t="shared" si="7"/>
        <v>4</v>
      </c>
      <c r="G449" s="7" t="str">
        <f>LOOKUP(H449,[1]startdates!$A$2:$A$10,[1]startdates!$B$2:$B$10)</f>
        <v>FMr</v>
      </c>
      <c r="H449">
        <v>6</v>
      </c>
      <c r="N449" s="7">
        <v>195</v>
      </c>
      <c r="O449" s="7">
        <v>178</v>
      </c>
    </row>
    <row r="450" spans="1:18" x14ac:dyDescent="0.2">
      <c r="A450">
        <v>449</v>
      </c>
      <c r="B450" s="1">
        <v>40744</v>
      </c>
      <c r="C450" t="s">
        <v>24</v>
      </c>
      <c r="D450" s="7">
        <v>8</v>
      </c>
      <c r="E450" s="7">
        <v>2</v>
      </c>
      <c r="F450" s="7">
        <f t="shared" si="7"/>
        <v>4</v>
      </c>
      <c r="G450" s="7" t="str">
        <f>LOOKUP(H450,[1]startdates!$A$2:$A$10,[1]startdates!$B$2:$B$10)</f>
        <v>FMr</v>
      </c>
      <c r="H450">
        <v>6</v>
      </c>
      <c r="N450" s="7">
        <v>198</v>
      </c>
      <c r="O450" s="7">
        <v>159</v>
      </c>
    </row>
    <row r="451" spans="1:18" x14ac:dyDescent="0.2">
      <c r="A451">
        <v>450</v>
      </c>
      <c r="B451" s="1">
        <v>40744</v>
      </c>
      <c r="C451" t="s">
        <v>24</v>
      </c>
      <c r="D451" s="7">
        <v>8</v>
      </c>
      <c r="E451" s="7">
        <v>2</v>
      </c>
      <c r="F451" s="7">
        <f t="shared" si="7"/>
        <v>4</v>
      </c>
      <c r="G451" s="7" t="str">
        <f>LOOKUP(H451,[1]startdates!$A$2:$A$10,[1]startdates!$B$2:$B$10)</f>
        <v>FMr</v>
      </c>
      <c r="H451">
        <v>6</v>
      </c>
      <c r="N451" s="7">
        <v>186</v>
      </c>
      <c r="O451" s="7">
        <v>174</v>
      </c>
    </row>
    <row r="452" spans="1:18" x14ac:dyDescent="0.2">
      <c r="A452">
        <v>451</v>
      </c>
      <c r="B452" s="1">
        <v>40744</v>
      </c>
      <c r="C452" t="s">
        <v>24</v>
      </c>
      <c r="D452" s="7">
        <v>8</v>
      </c>
      <c r="E452" s="7">
        <v>2</v>
      </c>
      <c r="F452" s="7">
        <f t="shared" si="7"/>
        <v>4</v>
      </c>
      <c r="G452" s="7" t="str">
        <f>LOOKUP(H452,[1]startdates!$A$2:$A$10,[1]startdates!$B$2:$B$10)</f>
        <v>FMr</v>
      </c>
      <c r="H452">
        <v>6</v>
      </c>
      <c r="N452" s="7">
        <v>163</v>
      </c>
      <c r="O452" s="7">
        <v>167</v>
      </c>
    </row>
    <row r="453" spans="1:18" x14ac:dyDescent="0.2">
      <c r="A453">
        <v>452</v>
      </c>
      <c r="B453" s="1">
        <v>40744</v>
      </c>
      <c r="C453" t="s">
        <v>24</v>
      </c>
      <c r="D453" s="7">
        <v>8</v>
      </c>
      <c r="E453" s="7">
        <v>2</v>
      </c>
      <c r="F453" s="7">
        <f t="shared" si="7"/>
        <v>4</v>
      </c>
      <c r="G453" s="7" t="str">
        <f>LOOKUP(H453,[1]startdates!$A$2:$A$10,[1]startdates!$B$2:$B$10)</f>
        <v>FMr</v>
      </c>
      <c r="H453">
        <v>6</v>
      </c>
      <c r="N453" s="7">
        <v>261</v>
      </c>
      <c r="O453" s="7">
        <v>173</v>
      </c>
    </row>
    <row r="454" spans="1:18" x14ac:dyDescent="0.2">
      <c r="A454">
        <v>453</v>
      </c>
      <c r="B454" s="1">
        <v>40744</v>
      </c>
      <c r="C454" t="s">
        <v>24</v>
      </c>
      <c r="D454" s="7">
        <v>8</v>
      </c>
      <c r="E454" s="7">
        <v>2</v>
      </c>
      <c r="F454" s="7">
        <f t="shared" si="7"/>
        <v>4</v>
      </c>
      <c r="G454" s="7" t="str">
        <f>LOOKUP(H454,[1]startdates!$A$2:$A$10,[1]startdates!$B$2:$B$10)</f>
        <v>FMr</v>
      </c>
      <c r="H454">
        <v>6</v>
      </c>
      <c r="N454" s="7">
        <v>173</v>
      </c>
      <c r="O454" s="7">
        <v>160</v>
      </c>
    </row>
    <row r="455" spans="1:18" x14ac:dyDescent="0.2">
      <c r="A455">
        <v>454</v>
      </c>
      <c r="B455" s="1">
        <v>40744</v>
      </c>
      <c r="C455" t="s">
        <v>24</v>
      </c>
      <c r="D455" s="7">
        <v>8</v>
      </c>
      <c r="E455" s="7">
        <v>2</v>
      </c>
      <c r="F455" s="7">
        <f t="shared" si="7"/>
        <v>4</v>
      </c>
      <c r="G455" s="7" t="str">
        <f>LOOKUP(H455,[1]startdates!$A$2:$A$10,[1]startdates!$B$2:$B$10)</f>
        <v>FMr</v>
      </c>
      <c r="H455">
        <v>6</v>
      </c>
      <c r="N455" s="7">
        <v>241</v>
      </c>
      <c r="O455" s="7">
        <v>172</v>
      </c>
    </row>
    <row r="456" spans="1:18" x14ac:dyDescent="0.2">
      <c r="A456">
        <v>455</v>
      </c>
      <c r="B456" s="1">
        <v>40744</v>
      </c>
      <c r="C456" t="s">
        <v>24</v>
      </c>
      <c r="D456" s="7">
        <v>8</v>
      </c>
      <c r="E456" s="7">
        <v>2</v>
      </c>
      <c r="F456" s="7">
        <f t="shared" si="7"/>
        <v>4</v>
      </c>
      <c r="G456" s="7" t="str">
        <f>LOOKUP(H456,[1]startdates!$A$2:$A$10,[1]startdates!$B$2:$B$10)</f>
        <v>FMr</v>
      </c>
      <c r="H456">
        <v>6</v>
      </c>
      <c r="N456" s="7">
        <v>177</v>
      </c>
    </row>
    <row r="457" spans="1:18" x14ac:dyDescent="0.2">
      <c r="A457">
        <v>456</v>
      </c>
      <c r="B457" s="1">
        <v>40744</v>
      </c>
      <c r="C457" t="s">
        <v>24</v>
      </c>
      <c r="D457" s="7">
        <v>8</v>
      </c>
      <c r="E457" s="7">
        <v>2</v>
      </c>
      <c r="F457" s="7">
        <f t="shared" si="7"/>
        <v>4</v>
      </c>
      <c r="G457" s="7" t="str">
        <f>LOOKUP(H457,[1]startdates!$A$2:$A$10,[1]startdates!$B$2:$B$10)</f>
        <v>FMr</v>
      </c>
      <c r="H457">
        <v>6</v>
      </c>
      <c r="N457" s="7">
        <v>189</v>
      </c>
    </row>
    <row r="458" spans="1:18" x14ac:dyDescent="0.2">
      <c r="A458">
        <v>457</v>
      </c>
      <c r="B458" s="1">
        <v>40744</v>
      </c>
      <c r="C458" t="s">
        <v>24</v>
      </c>
      <c r="D458" s="7">
        <v>8</v>
      </c>
      <c r="E458" s="7">
        <v>2</v>
      </c>
      <c r="F458" s="7">
        <f t="shared" si="7"/>
        <v>4</v>
      </c>
      <c r="G458" s="7" t="str">
        <f>LOOKUP(H458,[1]startdates!$A$2:$A$10,[1]startdates!$B$2:$B$10)</f>
        <v>FMr</v>
      </c>
      <c r="H458">
        <v>6</v>
      </c>
      <c r="N458" s="7">
        <v>230</v>
      </c>
    </row>
    <row r="459" spans="1:18" x14ac:dyDescent="0.2">
      <c r="A459">
        <v>458</v>
      </c>
      <c r="B459" s="1">
        <v>40744</v>
      </c>
      <c r="C459" t="s">
        <v>24</v>
      </c>
      <c r="D459" s="7">
        <v>8</v>
      </c>
      <c r="E459" s="7">
        <v>2</v>
      </c>
      <c r="F459" s="7">
        <f t="shared" si="7"/>
        <v>4</v>
      </c>
      <c r="G459" s="7" t="str">
        <f>LOOKUP(H459,[1]startdates!$A$2:$A$10,[1]startdates!$B$2:$B$10)</f>
        <v>FMr</v>
      </c>
      <c r="H459">
        <v>6</v>
      </c>
      <c r="N459" s="7">
        <v>177</v>
      </c>
    </row>
    <row r="460" spans="1:18" x14ac:dyDescent="0.2">
      <c r="A460">
        <v>459</v>
      </c>
      <c r="B460" s="1">
        <v>40744</v>
      </c>
      <c r="C460" t="s">
        <v>24</v>
      </c>
      <c r="D460" s="7">
        <v>8</v>
      </c>
      <c r="E460" s="7">
        <v>2</v>
      </c>
      <c r="F460" s="7">
        <f t="shared" si="7"/>
        <v>4</v>
      </c>
      <c r="G460" s="7" t="str">
        <f>LOOKUP(H460,[1]startdates!$A$2:$A$10,[1]startdates!$B$2:$B$10)</f>
        <v>FMr</v>
      </c>
      <c r="H460">
        <v>6</v>
      </c>
      <c r="N460" s="7">
        <v>180</v>
      </c>
    </row>
    <row r="461" spans="1:18" x14ac:dyDescent="0.2">
      <c r="A461">
        <v>460</v>
      </c>
      <c r="B461" s="1">
        <v>40744</v>
      </c>
      <c r="C461" t="s">
        <v>24</v>
      </c>
      <c r="D461" s="7">
        <v>8</v>
      </c>
      <c r="E461" s="7">
        <v>2</v>
      </c>
      <c r="F461" s="7">
        <f t="shared" si="7"/>
        <v>4</v>
      </c>
      <c r="G461" s="7" t="str">
        <f>LOOKUP(H461,[1]startdates!$A$2:$A$10,[1]startdates!$B$2:$B$10)</f>
        <v>FMr</v>
      </c>
      <c r="H461">
        <v>6</v>
      </c>
      <c r="N461" s="7">
        <v>202</v>
      </c>
    </row>
    <row r="462" spans="1:18" x14ac:dyDescent="0.2">
      <c r="A462">
        <v>461</v>
      </c>
      <c r="B462" s="1">
        <v>40744</v>
      </c>
      <c r="C462" t="s">
        <v>24</v>
      </c>
      <c r="D462" s="7">
        <v>8</v>
      </c>
      <c r="E462" s="7">
        <v>2</v>
      </c>
      <c r="F462" s="7">
        <f t="shared" si="7"/>
        <v>4</v>
      </c>
      <c r="G462" s="7" t="str">
        <f>LOOKUP(H462,[1]startdates!$A$2:$A$10,[1]startdates!$B$2:$B$10)</f>
        <v>FMr</v>
      </c>
      <c r="H462">
        <v>6</v>
      </c>
      <c r="N462" s="7">
        <v>173</v>
      </c>
    </row>
    <row r="463" spans="1:18" x14ac:dyDescent="0.2">
      <c r="A463">
        <v>462</v>
      </c>
      <c r="B463" s="1">
        <v>40744</v>
      </c>
      <c r="C463" t="s">
        <v>24</v>
      </c>
      <c r="D463" s="7">
        <v>8</v>
      </c>
      <c r="E463" s="7">
        <v>2</v>
      </c>
      <c r="F463" s="7">
        <f t="shared" si="7"/>
        <v>4</v>
      </c>
      <c r="G463" s="7" t="str">
        <f>LOOKUP(H463,[1]startdates!$A$2:$A$10,[1]startdates!$B$2:$B$10)</f>
        <v>FMr</v>
      </c>
      <c r="H463">
        <v>6</v>
      </c>
      <c r="N463" s="7">
        <v>203</v>
      </c>
    </row>
    <row r="464" spans="1:18" x14ac:dyDescent="0.2">
      <c r="A464">
        <v>463</v>
      </c>
      <c r="B464" s="1">
        <v>40744</v>
      </c>
      <c r="C464" t="s">
        <v>24</v>
      </c>
      <c r="D464" s="7">
        <v>8</v>
      </c>
      <c r="E464" s="7">
        <v>2</v>
      </c>
      <c r="F464" s="7">
        <f t="shared" si="7"/>
        <v>4</v>
      </c>
      <c r="G464" s="7" t="str">
        <f>LOOKUP(H464,[1]startdates!$A$2:$A$10,[1]startdates!$B$2:$B$10)</f>
        <v>FMr</v>
      </c>
      <c r="H464">
        <v>7</v>
      </c>
      <c r="I464" s="7">
        <v>887</v>
      </c>
      <c r="J464" s="7">
        <v>715</v>
      </c>
      <c r="K464" s="7">
        <v>722</v>
      </c>
      <c r="L464" s="7">
        <v>411</v>
      </c>
      <c r="M464" s="7">
        <v>255</v>
      </c>
      <c r="N464" s="7">
        <v>178</v>
      </c>
      <c r="O464" s="7">
        <v>198</v>
      </c>
      <c r="Q464" s="7">
        <v>390</v>
      </c>
      <c r="R464" s="7">
        <v>260</v>
      </c>
    </row>
    <row r="465" spans="1:18" x14ac:dyDescent="0.2">
      <c r="A465">
        <v>464</v>
      </c>
      <c r="B465" s="1">
        <v>40744</v>
      </c>
      <c r="C465" t="s">
        <v>24</v>
      </c>
      <c r="D465" s="7">
        <v>8</v>
      </c>
      <c r="E465" s="7">
        <v>2</v>
      </c>
      <c r="F465" s="7">
        <f t="shared" si="7"/>
        <v>4</v>
      </c>
      <c r="G465" s="7" t="str">
        <f>LOOKUP(H465,[1]startdates!$A$2:$A$10,[1]startdates!$B$2:$B$10)</f>
        <v>FMr</v>
      </c>
      <c r="H465">
        <v>7</v>
      </c>
      <c r="I465" s="7">
        <v>682</v>
      </c>
      <c r="J465" s="7">
        <v>607</v>
      </c>
      <c r="K465" s="7">
        <v>599</v>
      </c>
      <c r="M465" s="7">
        <v>226</v>
      </c>
      <c r="N465" s="7">
        <v>210</v>
      </c>
      <c r="O465" s="7">
        <v>164</v>
      </c>
      <c r="Q465" s="7">
        <v>370</v>
      </c>
      <c r="R465" s="7">
        <v>265</v>
      </c>
    </row>
    <row r="466" spans="1:18" x14ac:dyDescent="0.2">
      <c r="A466">
        <v>465</v>
      </c>
      <c r="B466" s="1">
        <v>40744</v>
      </c>
      <c r="C466" t="s">
        <v>24</v>
      </c>
      <c r="D466" s="7">
        <v>8</v>
      </c>
      <c r="E466" s="7">
        <v>2</v>
      </c>
      <c r="F466" s="7">
        <f t="shared" si="7"/>
        <v>4</v>
      </c>
      <c r="G466" s="7" t="str">
        <f>LOOKUP(H466,[1]startdates!$A$2:$A$10,[1]startdates!$B$2:$B$10)</f>
        <v>FMr</v>
      </c>
      <c r="H466">
        <v>7</v>
      </c>
      <c r="I466" s="7">
        <v>811</v>
      </c>
      <c r="M466" s="7">
        <v>304</v>
      </c>
      <c r="N466" s="7">
        <v>239</v>
      </c>
      <c r="O466" s="7">
        <v>172</v>
      </c>
      <c r="R466" s="7">
        <v>271</v>
      </c>
    </row>
    <row r="467" spans="1:18" x14ac:dyDescent="0.2">
      <c r="A467">
        <v>466</v>
      </c>
      <c r="B467" s="1">
        <v>40744</v>
      </c>
      <c r="C467" t="s">
        <v>24</v>
      </c>
      <c r="D467" s="7">
        <v>8</v>
      </c>
      <c r="E467" s="7">
        <v>2</v>
      </c>
      <c r="F467" s="7">
        <f t="shared" si="7"/>
        <v>4</v>
      </c>
      <c r="G467" s="7" t="str">
        <f>LOOKUP(H467,[1]startdates!$A$2:$A$10,[1]startdates!$B$2:$B$10)</f>
        <v>FMr</v>
      </c>
      <c r="H467">
        <v>7</v>
      </c>
      <c r="I467" s="7">
        <v>841</v>
      </c>
      <c r="M467" s="7">
        <v>274</v>
      </c>
      <c r="N467" s="7">
        <v>191</v>
      </c>
      <c r="O467" s="7">
        <v>154</v>
      </c>
    </row>
    <row r="468" spans="1:18" x14ac:dyDescent="0.2">
      <c r="A468">
        <v>467</v>
      </c>
      <c r="B468" s="1">
        <v>40744</v>
      </c>
      <c r="C468" t="s">
        <v>24</v>
      </c>
      <c r="D468" s="7">
        <v>8</v>
      </c>
      <c r="E468" s="7">
        <v>2</v>
      </c>
      <c r="F468" s="7">
        <f t="shared" si="7"/>
        <v>4</v>
      </c>
      <c r="G468" s="7" t="str">
        <f>LOOKUP(H468,[1]startdates!$A$2:$A$10,[1]startdates!$B$2:$B$10)</f>
        <v>FMr</v>
      </c>
      <c r="H468">
        <v>7</v>
      </c>
      <c r="I468" s="7">
        <v>882</v>
      </c>
      <c r="M468" s="7">
        <v>255</v>
      </c>
      <c r="N468" s="7">
        <v>183</v>
      </c>
      <c r="O468" s="7">
        <v>167</v>
      </c>
    </row>
    <row r="469" spans="1:18" x14ac:dyDescent="0.2">
      <c r="A469">
        <v>468</v>
      </c>
      <c r="B469" s="1">
        <v>40744</v>
      </c>
      <c r="C469" t="s">
        <v>24</v>
      </c>
      <c r="D469" s="7">
        <v>8</v>
      </c>
      <c r="E469" s="7">
        <v>2</v>
      </c>
      <c r="F469" s="7">
        <f t="shared" si="7"/>
        <v>4</v>
      </c>
      <c r="G469" s="7" t="str">
        <f>LOOKUP(H469,[1]startdates!$A$2:$A$10,[1]startdates!$B$2:$B$10)</f>
        <v>FMr</v>
      </c>
      <c r="H469">
        <v>7</v>
      </c>
      <c r="N469" s="7">
        <v>206</v>
      </c>
      <c r="O469" s="7">
        <v>191</v>
      </c>
    </row>
    <row r="470" spans="1:18" x14ac:dyDescent="0.2">
      <c r="A470">
        <v>469</v>
      </c>
      <c r="B470" s="1">
        <v>40744</v>
      </c>
      <c r="C470" t="s">
        <v>24</v>
      </c>
      <c r="D470" s="7">
        <v>8</v>
      </c>
      <c r="E470" s="7">
        <v>2</v>
      </c>
      <c r="F470" s="7">
        <f t="shared" si="7"/>
        <v>4</v>
      </c>
      <c r="G470" s="7" t="str">
        <f>LOOKUP(H470,[1]startdates!$A$2:$A$10,[1]startdates!$B$2:$B$10)</f>
        <v>FMr</v>
      </c>
      <c r="H470">
        <v>7</v>
      </c>
      <c r="N470" s="7">
        <v>171</v>
      </c>
      <c r="O470" s="7">
        <v>168</v>
      </c>
    </row>
    <row r="471" spans="1:18" x14ac:dyDescent="0.2">
      <c r="A471">
        <v>470</v>
      </c>
      <c r="B471" s="1">
        <v>40744</v>
      </c>
      <c r="C471" t="s">
        <v>24</v>
      </c>
      <c r="D471" s="7">
        <v>8</v>
      </c>
      <c r="E471" s="7">
        <v>2</v>
      </c>
      <c r="F471" s="7">
        <f t="shared" si="7"/>
        <v>4</v>
      </c>
      <c r="G471" s="7" t="str">
        <f>LOOKUP(H471,[1]startdates!$A$2:$A$10,[1]startdates!$B$2:$B$10)</f>
        <v>FMr</v>
      </c>
      <c r="H471">
        <v>7</v>
      </c>
      <c r="N471" s="7">
        <v>220</v>
      </c>
      <c r="O471" s="7">
        <v>169</v>
      </c>
    </row>
    <row r="472" spans="1:18" x14ac:dyDescent="0.2">
      <c r="A472">
        <v>471</v>
      </c>
      <c r="B472" s="1">
        <v>40744</v>
      </c>
      <c r="C472" t="s">
        <v>24</v>
      </c>
      <c r="D472" s="7">
        <v>8</v>
      </c>
      <c r="E472" s="7">
        <v>2</v>
      </c>
      <c r="F472" s="7">
        <f t="shared" si="7"/>
        <v>4</v>
      </c>
      <c r="G472" s="7" t="str">
        <f>LOOKUP(H472,[1]startdates!$A$2:$A$10,[1]startdates!$B$2:$B$10)</f>
        <v>FMr</v>
      </c>
      <c r="H472">
        <v>7</v>
      </c>
      <c r="N472" s="7">
        <v>195</v>
      </c>
      <c r="O472" s="7">
        <v>180</v>
      </c>
    </row>
    <row r="473" spans="1:18" x14ac:dyDescent="0.2">
      <c r="A473">
        <v>472</v>
      </c>
      <c r="B473" s="1">
        <v>40744</v>
      </c>
      <c r="C473" t="s">
        <v>24</v>
      </c>
      <c r="D473" s="7">
        <v>8</v>
      </c>
      <c r="E473" s="7">
        <v>2</v>
      </c>
      <c r="F473" s="7">
        <f t="shared" si="7"/>
        <v>4</v>
      </c>
      <c r="G473" s="7" t="str">
        <f>LOOKUP(H473,[1]startdates!$A$2:$A$10,[1]startdates!$B$2:$B$10)</f>
        <v>FMr</v>
      </c>
      <c r="H473">
        <v>7</v>
      </c>
      <c r="N473" s="7">
        <v>206</v>
      </c>
      <c r="O473" s="7">
        <v>184</v>
      </c>
    </row>
    <row r="474" spans="1:18" x14ac:dyDescent="0.2">
      <c r="A474">
        <v>473</v>
      </c>
      <c r="B474" s="1">
        <v>40744</v>
      </c>
      <c r="C474" t="s">
        <v>24</v>
      </c>
      <c r="D474" s="7">
        <v>8</v>
      </c>
      <c r="E474" s="7">
        <v>2</v>
      </c>
      <c r="F474" s="7">
        <f t="shared" si="7"/>
        <v>4</v>
      </c>
      <c r="G474" s="7" t="str">
        <f>LOOKUP(H474,[1]startdates!$A$2:$A$10,[1]startdates!$B$2:$B$10)</f>
        <v>FMr</v>
      </c>
      <c r="H474">
        <v>7</v>
      </c>
      <c r="N474" s="7">
        <v>228</v>
      </c>
      <c r="O474" s="7">
        <v>191</v>
      </c>
    </row>
    <row r="475" spans="1:18" x14ac:dyDescent="0.2">
      <c r="A475">
        <v>474</v>
      </c>
      <c r="B475" s="1">
        <v>40744</v>
      </c>
      <c r="C475" t="s">
        <v>24</v>
      </c>
      <c r="D475" s="7">
        <v>8</v>
      </c>
      <c r="E475" s="7">
        <v>2</v>
      </c>
      <c r="F475" s="7">
        <f t="shared" si="7"/>
        <v>4</v>
      </c>
      <c r="G475" s="7" t="str">
        <f>LOOKUP(H475,[1]startdates!$A$2:$A$10,[1]startdates!$B$2:$B$10)</f>
        <v>FMr</v>
      </c>
      <c r="H475">
        <v>7</v>
      </c>
      <c r="N475" s="7">
        <v>187</v>
      </c>
      <c r="O475" s="7">
        <v>191</v>
      </c>
    </row>
    <row r="476" spans="1:18" x14ac:dyDescent="0.2">
      <c r="A476">
        <v>475</v>
      </c>
      <c r="B476" s="1">
        <v>40744</v>
      </c>
      <c r="C476" t="s">
        <v>24</v>
      </c>
      <c r="D476" s="7">
        <v>8</v>
      </c>
      <c r="E476" s="7">
        <v>2</v>
      </c>
      <c r="F476" s="7">
        <f t="shared" si="7"/>
        <v>4</v>
      </c>
      <c r="G476" s="7" t="str">
        <f>LOOKUP(H476,[1]startdates!$A$2:$A$10,[1]startdates!$B$2:$B$10)</f>
        <v>FMr</v>
      </c>
      <c r="H476">
        <v>7</v>
      </c>
      <c r="O476" s="7">
        <v>167</v>
      </c>
    </row>
    <row r="477" spans="1:18" x14ac:dyDescent="0.2">
      <c r="A477">
        <v>476</v>
      </c>
      <c r="B477" s="1">
        <v>40744</v>
      </c>
      <c r="C477" t="s">
        <v>24</v>
      </c>
      <c r="D477" s="7">
        <v>8</v>
      </c>
      <c r="E477" s="7">
        <v>2</v>
      </c>
      <c r="F477" s="7">
        <f t="shared" si="7"/>
        <v>4</v>
      </c>
      <c r="G477" s="7" t="str">
        <f>LOOKUP(H477,[1]startdates!$A$2:$A$10,[1]startdates!$B$2:$B$10)</f>
        <v>FMr</v>
      </c>
      <c r="H477">
        <v>7</v>
      </c>
      <c r="O477" s="7">
        <v>162</v>
      </c>
    </row>
    <row r="478" spans="1:18" x14ac:dyDescent="0.2">
      <c r="A478">
        <v>477</v>
      </c>
      <c r="B478" s="1">
        <v>40744</v>
      </c>
      <c r="C478" t="s">
        <v>24</v>
      </c>
      <c r="D478" s="7">
        <v>8</v>
      </c>
      <c r="E478" s="7">
        <v>2</v>
      </c>
      <c r="F478" s="7">
        <f t="shared" si="7"/>
        <v>4</v>
      </c>
      <c r="G478" s="7" t="str">
        <f>LOOKUP(H478,[1]startdates!$A$2:$A$10,[1]startdates!$B$2:$B$10)</f>
        <v>FMr</v>
      </c>
      <c r="H478">
        <v>7</v>
      </c>
      <c r="O478" s="7">
        <v>174</v>
      </c>
    </row>
    <row r="479" spans="1:18" x14ac:dyDescent="0.2">
      <c r="A479">
        <v>478</v>
      </c>
      <c r="B479" s="1">
        <v>40744</v>
      </c>
      <c r="C479" t="s">
        <v>24</v>
      </c>
      <c r="D479" s="7">
        <v>8</v>
      </c>
      <c r="E479" s="7">
        <v>2</v>
      </c>
      <c r="F479" s="7">
        <f t="shared" si="7"/>
        <v>4</v>
      </c>
      <c r="G479" s="7" t="str">
        <f>LOOKUP(H479,[1]startdates!$A$2:$A$10,[1]startdates!$B$2:$B$10)</f>
        <v>FMr</v>
      </c>
      <c r="H479">
        <v>7</v>
      </c>
      <c r="O479" s="7">
        <v>169</v>
      </c>
    </row>
    <row r="480" spans="1:18" x14ac:dyDescent="0.2">
      <c r="A480">
        <v>479</v>
      </c>
      <c r="B480" s="1">
        <v>40744</v>
      </c>
      <c r="C480" t="s">
        <v>24</v>
      </c>
      <c r="D480" s="7">
        <v>8</v>
      </c>
      <c r="E480" s="7">
        <v>2</v>
      </c>
      <c r="F480" s="7">
        <f t="shared" si="7"/>
        <v>4</v>
      </c>
      <c r="G480" s="7" t="str">
        <f>LOOKUP(H480,[1]startdates!$A$2:$A$10,[1]startdates!$B$2:$B$10)</f>
        <v>FMr</v>
      </c>
      <c r="H480">
        <v>7</v>
      </c>
      <c r="O480" s="7">
        <v>194</v>
      </c>
    </row>
    <row r="481" spans="1:18" x14ac:dyDescent="0.2">
      <c r="A481">
        <v>480</v>
      </c>
      <c r="B481" s="1">
        <v>40744</v>
      </c>
      <c r="C481" t="s">
        <v>24</v>
      </c>
      <c r="D481" s="7">
        <v>8</v>
      </c>
      <c r="E481" s="7">
        <v>2</v>
      </c>
      <c r="F481" s="7">
        <f t="shared" si="7"/>
        <v>4</v>
      </c>
      <c r="G481" s="7" t="str">
        <f>LOOKUP(H481,[1]startdates!$A$2:$A$10,[1]startdates!$B$2:$B$10)</f>
        <v>C</v>
      </c>
      <c r="H481">
        <v>8</v>
      </c>
      <c r="I481" s="7">
        <v>726</v>
      </c>
      <c r="J481" s="7">
        <v>644</v>
      </c>
      <c r="K481" s="7">
        <v>659</v>
      </c>
      <c r="M481" s="7">
        <v>296</v>
      </c>
      <c r="N481" s="7">
        <v>201</v>
      </c>
      <c r="O481" s="7">
        <v>176</v>
      </c>
      <c r="R481" s="7">
        <v>247</v>
      </c>
    </row>
    <row r="482" spans="1:18" x14ac:dyDescent="0.2">
      <c r="A482">
        <v>481</v>
      </c>
      <c r="B482" s="1">
        <v>40744</v>
      </c>
      <c r="C482" t="s">
        <v>24</v>
      </c>
      <c r="D482" s="7">
        <v>8</v>
      </c>
      <c r="E482" s="7">
        <v>2</v>
      </c>
      <c r="F482" s="7">
        <f t="shared" si="7"/>
        <v>4</v>
      </c>
      <c r="G482" s="7" t="str">
        <f>LOOKUP(H482,[1]startdates!$A$2:$A$10,[1]startdates!$B$2:$B$10)</f>
        <v>C</v>
      </c>
      <c r="H482">
        <v>8</v>
      </c>
      <c r="I482" s="7">
        <v>681</v>
      </c>
      <c r="K482" s="7">
        <v>688</v>
      </c>
      <c r="M482" s="7">
        <v>296</v>
      </c>
      <c r="N482" s="7">
        <v>205</v>
      </c>
      <c r="O482" s="7">
        <v>199</v>
      </c>
    </row>
    <row r="483" spans="1:18" x14ac:dyDescent="0.2">
      <c r="A483">
        <v>482</v>
      </c>
      <c r="B483" s="1">
        <v>40744</v>
      </c>
      <c r="C483" t="s">
        <v>24</v>
      </c>
      <c r="D483" s="7">
        <v>8</v>
      </c>
      <c r="E483" s="7">
        <v>2</v>
      </c>
      <c r="F483" s="7">
        <f t="shared" si="7"/>
        <v>4</v>
      </c>
      <c r="G483" s="7" t="str">
        <f>LOOKUP(H483,[1]startdates!$A$2:$A$10,[1]startdates!$B$2:$B$10)</f>
        <v>C</v>
      </c>
      <c r="H483">
        <v>8</v>
      </c>
      <c r="I483" s="7">
        <v>722</v>
      </c>
      <c r="K483" s="7">
        <v>721</v>
      </c>
      <c r="N483" s="7">
        <v>201</v>
      </c>
      <c r="O483" s="7">
        <v>171</v>
      </c>
    </row>
    <row r="484" spans="1:18" x14ac:dyDescent="0.2">
      <c r="A484">
        <v>483</v>
      </c>
      <c r="B484" s="1">
        <v>40744</v>
      </c>
      <c r="C484" t="s">
        <v>24</v>
      </c>
      <c r="D484" s="7">
        <v>8</v>
      </c>
      <c r="E484" s="7">
        <v>2</v>
      </c>
      <c r="F484" s="7">
        <f t="shared" si="7"/>
        <v>4</v>
      </c>
      <c r="G484" s="7" t="str">
        <f>LOOKUP(H484,[1]startdates!$A$2:$A$10,[1]startdates!$B$2:$B$10)</f>
        <v>C</v>
      </c>
      <c r="H484">
        <v>8</v>
      </c>
      <c r="I484" s="7">
        <v>728</v>
      </c>
      <c r="N484" s="7">
        <v>262</v>
      </c>
      <c r="O484" s="7">
        <v>164</v>
      </c>
    </row>
    <row r="485" spans="1:18" x14ac:dyDescent="0.2">
      <c r="A485">
        <v>484</v>
      </c>
      <c r="B485" s="1">
        <v>40744</v>
      </c>
      <c r="C485" t="s">
        <v>24</v>
      </c>
      <c r="D485" s="7">
        <v>8</v>
      </c>
      <c r="E485" s="7">
        <v>2</v>
      </c>
      <c r="F485" s="7">
        <f t="shared" si="7"/>
        <v>4</v>
      </c>
      <c r="G485" s="7" t="str">
        <f>LOOKUP(H485,[1]startdates!$A$2:$A$10,[1]startdates!$B$2:$B$10)</f>
        <v>C</v>
      </c>
      <c r="H485">
        <v>8</v>
      </c>
      <c r="I485" s="7">
        <v>783</v>
      </c>
      <c r="N485" s="7">
        <v>200</v>
      </c>
      <c r="O485" s="7">
        <v>164</v>
      </c>
    </row>
    <row r="486" spans="1:18" x14ac:dyDescent="0.2">
      <c r="A486">
        <v>485</v>
      </c>
      <c r="B486" s="1">
        <v>40744</v>
      </c>
      <c r="C486" t="s">
        <v>24</v>
      </c>
      <c r="D486" s="7">
        <v>8</v>
      </c>
      <c r="E486" s="7">
        <v>2</v>
      </c>
      <c r="F486" s="7">
        <f t="shared" si="7"/>
        <v>4</v>
      </c>
      <c r="G486" s="7" t="str">
        <f>LOOKUP(H486,[1]startdates!$A$2:$A$10,[1]startdates!$B$2:$B$10)</f>
        <v>C</v>
      </c>
      <c r="H486">
        <v>8</v>
      </c>
      <c r="N486" s="7">
        <v>216</v>
      </c>
      <c r="O486" s="7">
        <v>168</v>
      </c>
    </row>
    <row r="487" spans="1:18" x14ac:dyDescent="0.2">
      <c r="A487">
        <v>486</v>
      </c>
      <c r="B487" s="1">
        <v>40744</v>
      </c>
      <c r="C487" t="s">
        <v>24</v>
      </c>
      <c r="D487" s="7">
        <v>8</v>
      </c>
      <c r="E487" s="7">
        <v>2</v>
      </c>
      <c r="F487" s="7">
        <f t="shared" si="7"/>
        <v>4</v>
      </c>
      <c r="G487" s="7" t="str">
        <f>LOOKUP(H487,[1]startdates!$A$2:$A$10,[1]startdates!$B$2:$B$10)</f>
        <v>C</v>
      </c>
      <c r="H487">
        <v>8</v>
      </c>
      <c r="N487" s="7">
        <v>198</v>
      </c>
    </row>
    <row r="488" spans="1:18" x14ac:dyDescent="0.2">
      <c r="A488">
        <v>487</v>
      </c>
      <c r="B488" s="1">
        <v>40744</v>
      </c>
      <c r="C488" t="s">
        <v>24</v>
      </c>
      <c r="D488" s="7">
        <v>8</v>
      </c>
      <c r="E488" s="7">
        <v>2</v>
      </c>
      <c r="F488" s="7">
        <f t="shared" si="7"/>
        <v>4</v>
      </c>
      <c r="G488" s="7" t="str">
        <f>LOOKUP(H488,[1]startdates!$A$2:$A$10,[1]startdates!$B$2:$B$10)</f>
        <v>C</v>
      </c>
      <c r="H488">
        <v>8</v>
      </c>
      <c r="N488" s="7">
        <v>184</v>
      </c>
    </row>
    <row r="489" spans="1:18" x14ac:dyDescent="0.2">
      <c r="A489">
        <v>488</v>
      </c>
      <c r="B489" s="1">
        <v>40744</v>
      </c>
      <c r="C489" t="s">
        <v>24</v>
      </c>
      <c r="D489" s="7">
        <v>8</v>
      </c>
      <c r="E489" s="7">
        <v>2</v>
      </c>
      <c r="F489" s="7">
        <f t="shared" ref="F489:F552" si="8">WEEKDAY(B489)</f>
        <v>4</v>
      </c>
      <c r="G489" s="7" t="str">
        <f>LOOKUP(H489,[1]startdates!$A$2:$A$10,[1]startdates!$B$2:$B$10)</f>
        <v>C</v>
      </c>
      <c r="H489">
        <v>8</v>
      </c>
      <c r="N489" s="7">
        <v>197</v>
      </c>
    </row>
    <row r="490" spans="1:18" x14ac:dyDescent="0.2">
      <c r="A490">
        <v>489</v>
      </c>
      <c r="B490" s="1">
        <v>40744</v>
      </c>
      <c r="C490" t="s">
        <v>24</v>
      </c>
      <c r="D490" s="7">
        <v>8</v>
      </c>
      <c r="E490" s="7">
        <v>2</v>
      </c>
      <c r="F490" s="7">
        <f t="shared" si="8"/>
        <v>4</v>
      </c>
      <c r="G490" s="7" t="str">
        <f>LOOKUP(H490,[1]startdates!$A$2:$A$10,[1]startdates!$B$2:$B$10)</f>
        <v>C</v>
      </c>
      <c r="H490">
        <v>8</v>
      </c>
      <c r="N490" s="7">
        <v>198</v>
      </c>
    </row>
    <row r="491" spans="1:18" x14ac:dyDescent="0.2">
      <c r="A491">
        <v>490</v>
      </c>
      <c r="B491" s="1">
        <v>40744</v>
      </c>
      <c r="C491" t="s">
        <v>24</v>
      </c>
      <c r="D491" s="7">
        <v>8</v>
      </c>
      <c r="E491" s="7">
        <v>2</v>
      </c>
      <c r="F491" s="7">
        <f t="shared" si="8"/>
        <v>4</v>
      </c>
      <c r="G491" s="7" t="str">
        <f>LOOKUP(H491,[1]startdates!$A$2:$A$10,[1]startdates!$B$2:$B$10)</f>
        <v>C</v>
      </c>
      <c r="H491">
        <v>8</v>
      </c>
      <c r="N491" s="7">
        <v>255</v>
      </c>
    </row>
    <row r="492" spans="1:18" x14ac:dyDescent="0.2">
      <c r="A492">
        <v>491</v>
      </c>
      <c r="B492" s="1">
        <v>40744</v>
      </c>
      <c r="C492" t="s">
        <v>24</v>
      </c>
      <c r="D492" s="7">
        <v>8</v>
      </c>
      <c r="E492" s="7">
        <v>2</v>
      </c>
      <c r="F492" s="7">
        <f t="shared" si="8"/>
        <v>4</v>
      </c>
      <c r="G492" s="7" t="str">
        <f>LOOKUP(H492,[1]startdates!$A$2:$A$10,[1]startdates!$B$2:$B$10)</f>
        <v>FMr</v>
      </c>
      <c r="H492">
        <v>9</v>
      </c>
      <c r="I492" s="7">
        <v>728</v>
      </c>
      <c r="J492" s="7">
        <v>602</v>
      </c>
      <c r="K492" s="7">
        <v>560</v>
      </c>
      <c r="M492" s="7">
        <v>278</v>
      </c>
      <c r="N492" s="7">
        <v>205</v>
      </c>
      <c r="O492" s="7">
        <v>210</v>
      </c>
    </row>
    <row r="493" spans="1:18" x14ac:dyDescent="0.2">
      <c r="A493">
        <v>492</v>
      </c>
      <c r="B493" s="1">
        <v>40744</v>
      </c>
      <c r="C493" t="s">
        <v>24</v>
      </c>
      <c r="D493" s="7">
        <v>8</v>
      </c>
      <c r="E493" s="7">
        <v>2</v>
      </c>
      <c r="F493" s="7">
        <f t="shared" si="8"/>
        <v>4</v>
      </c>
      <c r="G493" s="7" t="str">
        <f>LOOKUP(H493,[1]startdates!$A$2:$A$10,[1]startdates!$B$2:$B$10)</f>
        <v>FMr</v>
      </c>
      <c r="H493">
        <v>9</v>
      </c>
      <c r="I493" s="7">
        <v>749</v>
      </c>
      <c r="K493" s="7">
        <v>562</v>
      </c>
      <c r="M493" s="7">
        <v>303</v>
      </c>
      <c r="N493" s="7">
        <v>179</v>
      </c>
      <c r="O493" s="7">
        <v>167</v>
      </c>
    </row>
    <row r="494" spans="1:18" x14ac:dyDescent="0.2">
      <c r="A494">
        <v>493</v>
      </c>
      <c r="B494" s="1">
        <v>40744</v>
      </c>
      <c r="C494" t="s">
        <v>24</v>
      </c>
      <c r="D494" s="7">
        <v>8</v>
      </c>
      <c r="E494" s="7">
        <v>2</v>
      </c>
      <c r="F494" s="7">
        <f t="shared" si="8"/>
        <v>4</v>
      </c>
      <c r="G494" s="7" t="str">
        <f>LOOKUP(H494,[1]startdates!$A$2:$A$10,[1]startdates!$B$2:$B$10)</f>
        <v>FMr</v>
      </c>
      <c r="H494">
        <v>9</v>
      </c>
      <c r="I494" s="7">
        <v>821</v>
      </c>
      <c r="N494" s="7">
        <v>230</v>
      </c>
      <c r="O494" s="7">
        <v>164</v>
      </c>
    </row>
    <row r="495" spans="1:18" x14ac:dyDescent="0.2">
      <c r="A495">
        <v>494</v>
      </c>
      <c r="B495" s="1">
        <v>40744</v>
      </c>
      <c r="C495" t="s">
        <v>24</v>
      </c>
      <c r="D495" s="7">
        <v>8</v>
      </c>
      <c r="E495" s="7">
        <v>2</v>
      </c>
      <c r="F495" s="7">
        <f t="shared" si="8"/>
        <v>4</v>
      </c>
      <c r="G495" s="7" t="str">
        <f>LOOKUP(H495,[1]startdates!$A$2:$A$10,[1]startdates!$B$2:$B$10)</f>
        <v>FMr</v>
      </c>
      <c r="H495">
        <v>9</v>
      </c>
      <c r="I495" s="7">
        <v>761</v>
      </c>
      <c r="N495" s="7">
        <v>186</v>
      </c>
      <c r="O495" s="7">
        <v>176</v>
      </c>
    </row>
    <row r="496" spans="1:18" x14ac:dyDescent="0.2">
      <c r="A496">
        <v>495</v>
      </c>
      <c r="B496" s="1">
        <v>40744</v>
      </c>
      <c r="C496" t="s">
        <v>24</v>
      </c>
      <c r="D496" s="7">
        <v>8</v>
      </c>
      <c r="E496" s="7">
        <v>2</v>
      </c>
      <c r="F496" s="7">
        <f t="shared" si="8"/>
        <v>4</v>
      </c>
      <c r="G496" s="7" t="str">
        <f>LOOKUP(H496,[1]startdates!$A$2:$A$10,[1]startdates!$B$2:$B$10)</f>
        <v>FMr</v>
      </c>
      <c r="H496">
        <v>9</v>
      </c>
      <c r="I496" s="7">
        <v>724</v>
      </c>
      <c r="N496" s="7">
        <v>228</v>
      </c>
      <c r="O496" s="7">
        <v>186</v>
      </c>
    </row>
    <row r="497" spans="1:15" x14ac:dyDescent="0.2">
      <c r="A497">
        <v>496</v>
      </c>
      <c r="B497" s="1">
        <v>40744</v>
      </c>
      <c r="C497" t="s">
        <v>24</v>
      </c>
      <c r="D497" s="7">
        <v>8</v>
      </c>
      <c r="E497" s="7">
        <v>2</v>
      </c>
      <c r="F497" s="7">
        <f t="shared" si="8"/>
        <v>4</v>
      </c>
      <c r="G497" s="7" t="str">
        <f>LOOKUP(H497,[1]startdates!$A$2:$A$10,[1]startdates!$B$2:$B$10)</f>
        <v>FMr</v>
      </c>
      <c r="H497">
        <v>9</v>
      </c>
      <c r="I497" s="7">
        <v>807</v>
      </c>
      <c r="N497" s="7">
        <v>201</v>
      </c>
      <c r="O497" s="7">
        <v>177</v>
      </c>
    </row>
    <row r="498" spans="1:15" x14ac:dyDescent="0.2">
      <c r="A498">
        <v>497</v>
      </c>
      <c r="B498" s="1">
        <v>40744</v>
      </c>
      <c r="C498" t="s">
        <v>24</v>
      </c>
      <c r="D498" s="7">
        <v>8</v>
      </c>
      <c r="E498" s="7">
        <v>2</v>
      </c>
      <c r="F498" s="7">
        <f t="shared" si="8"/>
        <v>4</v>
      </c>
      <c r="G498" s="7" t="str">
        <f>LOOKUP(H498,[1]startdates!$A$2:$A$10,[1]startdates!$B$2:$B$10)</f>
        <v>FMr</v>
      </c>
      <c r="H498">
        <v>9</v>
      </c>
      <c r="I498" s="7">
        <v>722</v>
      </c>
      <c r="N498" s="7">
        <v>226</v>
      </c>
      <c r="O498" s="7">
        <v>185</v>
      </c>
    </row>
    <row r="499" spans="1:15" x14ac:dyDescent="0.2">
      <c r="A499">
        <v>498</v>
      </c>
      <c r="B499" s="1">
        <v>40744</v>
      </c>
      <c r="C499" t="s">
        <v>24</v>
      </c>
      <c r="D499" s="7">
        <v>8</v>
      </c>
      <c r="E499" s="7">
        <v>2</v>
      </c>
      <c r="F499" s="7">
        <f t="shared" si="8"/>
        <v>4</v>
      </c>
      <c r="G499" s="7" t="str">
        <f>LOOKUP(H499,[1]startdates!$A$2:$A$10,[1]startdates!$B$2:$B$10)</f>
        <v>FMr</v>
      </c>
      <c r="H499">
        <v>9</v>
      </c>
      <c r="N499" s="7">
        <v>179</v>
      </c>
      <c r="O499" s="7">
        <v>186</v>
      </c>
    </row>
    <row r="500" spans="1:15" x14ac:dyDescent="0.2">
      <c r="A500">
        <v>499</v>
      </c>
      <c r="B500" s="1">
        <v>40744</v>
      </c>
      <c r="C500" t="s">
        <v>24</v>
      </c>
      <c r="D500" s="7">
        <v>8</v>
      </c>
      <c r="E500" s="7">
        <v>2</v>
      </c>
      <c r="F500" s="7">
        <f t="shared" si="8"/>
        <v>4</v>
      </c>
      <c r="G500" s="7" t="str">
        <f>LOOKUP(H500,[1]startdates!$A$2:$A$10,[1]startdates!$B$2:$B$10)</f>
        <v>FMr</v>
      </c>
      <c r="H500">
        <v>9</v>
      </c>
      <c r="N500" s="7">
        <v>191</v>
      </c>
    </row>
    <row r="501" spans="1:15" x14ac:dyDescent="0.2">
      <c r="A501">
        <v>500</v>
      </c>
      <c r="B501" s="1">
        <v>40744</v>
      </c>
      <c r="C501" t="s">
        <v>24</v>
      </c>
      <c r="D501" s="7">
        <v>8</v>
      </c>
      <c r="E501" s="7">
        <v>2</v>
      </c>
      <c r="F501" s="7">
        <f t="shared" si="8"/>
        <v>4</v>
      </c>
      <c r="G501" s="7" t="str">
        <f>LOOKUP(H501,[1]startdates!$A$2:$A$10,[1]startdates!$B$2:$B$10)</f>
        <v>FMr</v>
      </c>
      <c r="H501">
        <v>9</v>
      </c>
      <c r="N501" s="7">
        <v>184</v>
      </c>
    </row>
    <row r="502" spans="1:15" x14ac:dyDescent="0.2">
      <c r="A502">
        <v>501</v>
      </c>
      <c r="B502" s="1">
        <v>40744</v>
      </c>
      <c r="C502" t="s">
        <v>24</v>
      </c>
      <c r="D502" s="7">
        <v>8</v>
      </c>
      <c r="E502" s="7">
        <v>2</v>
      </c>
      <c r="F502" s="7">
        <f t="shared" si="8"/>
        <v>4</v>
      </c>
      <c r="G502" s="7" t="str">
        <f>LOOKUP(H502,[1]startdates!$A$2:$A$10,[1]startdates!$B$2:$B$10)</f>
        <v>FMr</v>
      </c>
      <c r="H502">
        <v>9</v>
      </c>
      <c r="N502" s="7">
        <v>199</v>
      </c>
    </row>
    <row r="503" spans="1:15" x14ac:dyDescent="0.2">
      <c r="A503">
        <v>502</v>
      </c>
      <c r="B503" s="1">
        <v>40744</v>
      </c>
      <c r="C503" t="s">
        <v>24</v>
      </c>
      <c r="D503" s="7">
        <v>8</v>
      </c>
      <c r="E503" s="7">
        <v>2</v>
      </c>
      <c r="F503" s="7">
        <f t="shared" si="8"/>
        <v>4</v>
      </c>
      <c r="G503" s="7" t="str">
        <f>LOOKUP(H503,[1]startdates!$A$2:$A$10,[1]startdates!$B$2:$B$10)</f>
        <v>FMr</v>
      </c>
      <c r="H503">
        <v>9</v>
      </c>
      <c r="N503" s="7">
        <v>206</v>
      </c>
    </row>
    <row r="504" spans="1:15" x14ac:dyDescent="0.2">
      <c r="A504">
        <v>503</v>
      </c>
      <c r="B504" s="1">
        <v>40744</v>
      </c>
      <c r="C504" t="s">
        <v>24</v>
      </c>
      <c r="D504" s="7">
        <v>8</v>
      </c>
      <c r="E504" s="7">
        <v>2</v>
      </c>
      <c r="F504" s="7">
        <f t="shared" si="8"/>
        <v>4</v>
      </c>
      <c r="G504" s="7" t="str">
        <f>LOOKUP(H504,[1]startdates!$A$2:$A$10,[1]startdates!$B$2:$B$10)</f>
        <v>FMr</v>
      </c>
      <c r="H504">
        <v>9</v>
      </c>
      <c r="N504" s="7">
        <v>202</v>
      </c>
    </row>
    <row r="505" spans="1:15" x14ac:dyDescent="0.2">
      <c r="A505">
        <v>504</v>
      </c>
      <c r="B505" s="1">
        <v>40744</v>
      </c>
      <c r="C505" t="s">
        <v>24</v>
      </c>
      <c r="D505" s="7">
        <v>8</v>
      </c>
      <c r="E505" s="7">
        <v>2</v>
      </c>
      <c r="F505" s="7">
        <f t="shared" si="8"/>
        <v>4</v>
      </c>
      <c r="G505" s="7" t="str">
        <f>LOOKUP(H505,[1]startdates!$A$2:$A$10,[1]startdates!$B$2:$B$10)</f>
        <v>FMr</v>
      </c>
      <c r="H505">
        <v>9</v>
      </c>
      <c r="N505" s="7">
        <v>199</v>
      </c>
    </row>
    <row r="506" spans="1:15" x14ac:dyDescent="0.2">
      <c r="A506">
        <v>505</v>
      </c>
      <c r="B506" s="1">
        <v>40746</v>
      </c>
      <c r="C506" t="s">
        <v>24</v>
      </c>
      <c r="D506" s="7">
        <v>10</v>
      </c>
      <c r="E506" s="7">
        <v>2</v>
      </c>
      <c r="F506" s="7">
        <f t="shared" si="8"/>
        <v>6</v>
      </c>
      <c r="G506" s="7" t="str">
        <f>LOOKUP(H506,[1]startdates!$A$2:$A$10,[1]startdates!$B$2:$B$10)</f>
        <v>SMr</v>
      </c>
      <c r="H506">
        <v>1</v>
      </c>
      <c r="I506" s="7">
        <v>825</v>
      </c>
      <c r="J506" s="7">
        <v>600</v>
      </c>
      <c r="K506" s="7">
        <v>716</v>
      </c>
      <c r="M506" s="7">
        <v>265</v>
      </c>
      <c r="N506" s="7">
        <v>212</v>
      </c>
      <c r="O506" s="7">
        <v>141</v>
      </c>
    </row>
    <row r="507" spans="1:15" x14ac:dyDescent="0.2">
      <c r="A507">
        <v>506</v>
      </c>
      <c r="B507" s="1">
        <v>40746</v>
      </c>
      <c r="C507" t="s">
        <v>24</v>
      </c>
      <c r="D507" s="7">
        <v>10</v>
      </c>
      <c r="E507" s="7">
        <v>2</v>
      </c>
      <c r="F507" s="7">
        <f t="shared" si="8"/>
        <v>6</v>
      </c>
      <c r="G507" s="7" t="str">
        <f>LOOKUP(H507,[1]startdates!$A$2:$A$10,[1]startdates!$B$2:$B$10)</f>
        <v>SMr</v>
      </c>
      <c r="H507">
        <v>1</v>
      </c>
      <c r="I507" s="7">
        <v>825</v>
      </c>
      <c r="K507" s="7">
        <v>755</v>
      </c>
      <c r="M507" s="7">
        <v>234</v>
      </c>
      <c r="N507" s="7">
        <v>179</v>
      </c>
      <c r="O507" s="7">
        <v>160</v>
      </c>
    </row>
    <row r="508" spans="1:15" x14ac:dyDescent="0.2">
      <c r="A508">
        <v>507</v>
      </c>
      <c r="B508" s="1">
        <v>40746</v>
      </c>
      <c r="C508" t="s">
        <v>24</v>
      </c>
      <c r="D508" s="7">
        <v>10</v>
      </c>
      <c r="E508" s="7">
        <v>2</v>
      </c>
      <c r="F508" s="7">
        <f t="shared" si="8"/>
        <v>6</v>
      </c>
      <c r="G508" s="7" t="str">
        <f>LOOKUP(H508,[1]startdates!$A$2:$A$10,[1]startdates!$B$2:$B$10)</f>
        <v>SMr</v>
      </c>
      <c r="H508">
        <v>1</v>
      </c>
      <c r="I508" s="7">
        <v>746</v>
      </c>
      <c r="M508" s="7">
        <v>265</v>
      </c>
      <c r="N508" s="7">
        <v>206</v>
      </c>
      <c r="O508" s="7">
        <v>122</v>
      </c>
    </row>
    <row r="509" spans="1:15" x14ac:dyDescent="0.2">
      <c r="A509">
        <v>508</v>
      </c>
      <c r="B509" s="1">
        <v>40746</v>
      </c>
      <c r="C509" t="s">
        <v>24</v>
      </c>
      <c r="D509" s="7">
        <v>10</v>
      </c>
      <c r="E509" s="7">
        <v>2</v>
      </c>
      <c r="F509" s="7">
        <f t="shared" si="8"/>
        <v>6</v>
      </c>
      <c r="G509" s="7" t="str">
        <f>LOOKUP(H509,[1]startdates!$A$2:$A$10,[1]startdates!$B$2:$B$10)</f>
        <v>SMr</v>
      </c>
      <c r="H509">
        <v>1</v>
      </c>
      <c r="I509" s="7">
        <v>908</v>
      </c>
      <c r="M509" s="7">
        <v>255</v>
      </c>
      <c r="N509" s="7">
        <v>224</v>
      </c>
      <c r="O509" s="7">
        <v>153</v>
      </c>
    </row>
    <row r="510" spans="1:15" x14ac:dyDescent="0.2">
      <c r="A510">
        <v>509</v>
      </c>
      <c r="B510" s="1">
        <v>40746</v>
      </c>
      <c r="C510" t="s">
        <v>24</v>
      </c>
      <c r="D510" s="7">
        <v>10</v>
      </c>
      <c r="E510" s="7">
        <v>2</v>
      </c>
      <c r="F510" s="7">
        <f t="shared" si="8"/>
        <v>6</v>
      </c>
      <c r="G510" s="7" t="str">
        <f>LOOKUP(H510,[1]startdates!$A$2:$A$10,[1]startdates!$B$2:$B$10)</f>
        <v>SMr</v>
      </c>
      <c r="H510">
        <v>1</v>
      </c>
      <c r="I510" s="7">
        <v>1027</v>
      </c>
      <c r="M510" s="7">
        <v>249</v>
      </c>
      <c r="N510" s="7">
        <v>180</v>
      </c>
      <c r="O510" s="7">
        <v>141</v>
      </c>
    </row>
    <row r="511" spans="1:15" x14ac:dyDescent="0.2">
      <c r="A511">
        <v>510</v>
      </c>
      <c r="B511" s="1">
        <v>40746</v>
      </c>
      <c r="C511" t="s">
        <v>24</v>
      </c>
      <c r="D511" s="7">
        <v>10</v>
      </c>
      <c r="E511" s="7">
        <v>2</v>
      </c>
      <c r="F511" s="7">
        <f t="shared" si="8"/>
        <v>6</v>
      </c>
      <c r="G511" s="7" t="str">
        <f>LOOKUP(H511,[1]startdates!$A$2:$A$10,[1]startdates!$B$2:$B$10)</f>
        <v>SMr</v>
      </c>
      <c r="H511">
        <v>1</v>
      </c>
      <c r="I511" s="7">
        <v>840</v>
      </c>
      <c r="M511" s="7">
        <v>302</v>
      </c>
      <c r="N511" s="7">
        <v>242</v>
      </c>
      <c r="O511" s="7">
        <v>159</v>
      </c>
    </row>
    <row r="512" spans="1:15" x14ac:dyDescent="0.2">
      <c r="A512">
        <v>511</v>
      </c>
      <c r="B512" s="1">
        <v>40746</v>
      </c>
      <c r="C512" t="s">
        <v>24</v>
      </c>
      <c r="D512" s="7">
        <v>10</v>
      </c>
      <c r="E512" s="7">
        <v>2</v>
      </c>
      <c r="F512" s="7">
        <f t="shared" si="8"/>
        <v>6</v>
      </c>
      <c r="G512" s="7" t="str">
        <f>LOOKUP(H512,[1]startdates!$A$2:$A$10,[1]startdates!$B$2:$B$10)</f>
        <v>SMr</v>
      </c>
      <c r="H512">
        <v>1</v>
      </c>
      <c r="M512" s="7">
        <v>317</v>
      </c>
      <c r="N512" s="7">
        <v>203</v>
      </c>
      <c r="O512" s="7">
        <v>141</v>
      </c>
    </row>
    <row r="513" spans="1:18" x14ac:dyDescent="0.2">
      <c r="A513">
        <v>512</v>
      </c>
      <c r="B513" s="1">
        <v>40746</v>
      </c>
      <c r="C513" t="s">
        <v>24</v>
      </c>
      <c r="D513" s="7">
        <v>10</v>
      </c>
      <c r="E513" s="7">
        <v>2</v>
      </c>
      <c r="F513" s="7">
        <f t="shared" si="8"/>
        <v>6</v>
      </c>
      <c r="G513" s="7" t="str">
        <f>LOOKUP(H513,[1]startdates!$A$2:$A$10,[1]startdates!$B$2:$B$10)</f>
        <v>SMr</v>
      </c>
      <c r="H513">
        <v>1</v>
      </c>
      <c r="M513" s="7">
        <v>279</v>
      </c>
      <c r="N513" s="7">
        <v>220</v>
      </c>
      <c r="O513" s="7">
        <v>145</v>
      </c>
    </row>
    <row r="514" spans="1:18" x14ac:dyDescent="0.2">
      <c r="A514">
        <v>513</v>
      </c>
      <c r="B514" s="1">
        <v>40746</v>
      </c>
      <c r="C514" t="s">
        <v>24</v>
      </c>
      <c r="D514" s="7">
        <v>10</v>
      </c>
      <c r="E514" s="7">
        <v>2</v>
      </c>
      <c r="F514" s="7">
        <f t="shared" si="8"/>
        <v>6</v>
      </c>
      <c r="G514" s="7" t="str">
        <f>LOOKUP(H514,[1]startdates!$A$2:$A$10,[1]startdates!$B$2:$B$10)</f>
        <v>SMr</v>
      </c>
      <c r="H514">
        <v>1</v>
      </c>
      <c r="M514" s="7">
        <v>196</v>
      </c>
      <c r="N514" s="7">
        <v>190</v>
      </c>
      <c r="O514" s="7">
        <v>164</v>
      </c>
    </row>
    <row r="515" spans="1:18" x14ac:dyDescent="0.2">
      <c r="A515">
        <v>514</v>
      </c>
      <c r="B515" s="1">
        <v>40746</v>
      </c>
      <c r="C515" t="s">
        <v>24</v>
      </c>
      <c r="D515" s="7">
        <v>10</v>
      </c>
      <c r="E515" s="7">
        <v>2</v>
      </c>
      <c r="F515" s="7">
        <f t="shared" si="8"/>
        <v>6</v>
      </c>
      <c r="G515" s="7" t="str">
        <f>LOOKUP(H515,[1]startdates!$A$2:$A$10,[1]startdates!$B$2:$B$10)</f>
        <v>SMr</v>
      </c>
      <c r="H515">
        <v>1</v>
      </c>
      <c r="M515" s="7">
        <v>207</v>
      </c>
      <c r="O515" s="7">
        <v>180</v>
      </c>
    </row>
    <row r="516" spans="1:18" x14ac:dyDescent="0.2">
      <c r="A516">
        <v>515</v>
      </c>
      <c r="B516" s="1">
        <v>40746</v>
      </c>
      <c r="C516" t="s">
        <v>24</v>
      </c>
      <c r="D516" s="7">
        <v>10</v>
      </c>
      <c r="E516" s="7">
        <v>2</v>
      </c>
      <c r="F516" s="7">
        <f t="shared" si="8"/>
        <v>6</v>
      </c>
      <c r="G516" s="7" t="str">
        <f>LOOKUP(H516,[1]startdates!$A$2:$A$10,[1]startdates!$B$2:$B$10)</f>
        <v>SMr</v>
      </c>
      <c r="H516">
        <v>1</v>
      </c>
      <c r="M516" s="7">
        <v>224</v>
      </c>
      <c r="O516" s="7">
        <v>148</v>
      </c>
    </row>
    <row r="517" spans="1:18" x14ac:dyDescent="0.2">
      <c r="A517">
        <v>516</v>
      </c>
      <c r="B517" s="1">
        <v>40746</v>
      </c>
      <c r="C517" t="s">
        <v>24</v>
      </c>
      <c r="D517" s="7">
        <v>10</v>
      </c>
      <c r="E517" s="7">
        <v>2</v>
      </c>
      <c r="F517" s="7">
        <f t="shared" si="8"/>
        <v>6</v>
      </c>
      <c r="G517" s="7" t="str">
        <f>LOOKUP(H517,[1]startdates!$A$2:$A$10,[1]startdates!$B$2:$B$10)</f>
        <v>SMr</v>
      </c>
      <c r="H517">
        <v>1</v>
      </c>
      <c r="O517" s="7">
        <v>146</v>
      </c>
    </row>
    <row r="518" spans="1:18" x14ac:dyDescent="0.2">
      <c r="A518">
        <v>517</v>
      </c>
      <c r="B518" s="1">
        <v>40746</v>
      </c>
      <c r="C518" t="s">
        <v>24</v>
      </c>
      <c r="D518" s="7">
        <v>10</v>
      </c>
      <c r="E518" s="7">
        <v>2</v>
      </c>
      <c r="F518" s="7">
        <f t="shared" si="8"/>
        <v>6</v>
      </c>
      <c r="G518" s="7" t="str">
        <f>LOOKUP(H518,[1]startdates!$A$2:$A$10,[1]startdates!$B$2:$B$10)</f>
        <v>SMr</v>
      </c>
      <c r="H518">
        <v>1</v>
      </c>
      <c r="O518" s="7">
        <v>165</v>
      </c>
    </row>
    <row r="519" spans="1:18" x14ac:dyDescent="0.2">
      <c r="A519">
        <v>518</v>
      </c>
      <c r="B519" s="1">
        <v>40746</v>
      </c>
      <c r="C519" t="s">
        <v>24</v>
      </c>
      <c r="D519" s="7">
        <v>10</v>
      </c>
      <c r="E519" s="7">
        <v>2</v>
      </c>
      <c r="F519" s="7">
        <f t="shared" si="8"/>
        <v>6</v>
      </c>
      <c r="G519" s="7" t="str">
        <f>LOOKUP(H519,[1]startdates!$A$2:$A$10,[1]startdates!$B$2:$B$10)</f>
        <v>SMr</v>
      </c>
      <c r="H519">
        <v>1</v>
      </c>
      <c r="O519" s="7">
        <v>151</v>
      </c>
    </row>
    <row r="520" spans="1:18" x14ac:dyDescent="0.2">
      <c r="A520">
        <v>519</v>
      </c>
      <c r="B520" s="1">
        <v>40746</v>
      </c>
      <c r="C520" t="s">
        <v>24</v>
      </c>
      <c r="D520" s="7">
        <v>10</v>
      </c>
      <c r="E520" s="7">
        <v>2</v>
      </c>
      <c r="F520" s="7">
        <f t="shared" si="8"/>
        <v>6</v>
      </c>
      <c r="G520" s="7" t="str">
        <f>LOOKUP(H520,[1]startdates!$A$2:$A$10,[1]startdates!$B$2:$B$10)</f>
        <v>SMr</v>
      </c>
      <c r="H520">
        <v>1</v>
      </c>
      <c r="O520" s="7">
        <v>158</v>
      </c>
    </row>
    <row r="521" spans="1:18" x14ac:dyDescent="0.2">
      <c r="A521">
        <v>520</v>
      </c>
      <c r="B521" s="1">
        <v>40746</v>
      </c>
      <c r="C521" t="s">
        <v>24</v>
      </c>
      <c r="D521" s="7">
        <v>10</v>
      </c>
      <c r="E521" s="7">
        <v>2</v>
      </c>
      <c r="F521" s="7">
        <f t="shared" si="8"/>
        <v>6</v>
      </c>
      <c r="G521" s="7" t="str">
        <f>LOOKUP(H521,[1]startdates!$A$2:$A$10,[1]startdates!$B$2:$B$10)</f>
        <v>SMr</v>
      </c>
      <c r="H521">
        <v>2</v>
      </c>
      <c r="I521" s="7">
        <v>794</v>
      </c>
      <c r="J521" s="7">
        <v>695</v>
      </c>
      <c r="K521" s="7">
        <v>746</v>
      </c>
      <c r="L521" s="7">
        <v>355</v>
      </c>
      <c r="M521" s="7">
        <v>264</v>
      </c>
      <c r="N521" s="7">
        <v>176</v>
      </c>
      <c r="O521" s="7">
        <v>155</v>
      </c>
      <c r="P521" s="7">
        <v>533</v>
      </c>
      <c r="R521" s="7">
        <v>275</v>
      </c>
    </row>
    <row r="522" spans="1:18" x14ac:dyDescent="0.2">
      <c r="A522">
        <v>521</v>
      </c>
      <c r="B522" s="1">
        <v>40746</v>
      </c>
      <c r="C522" t="s">
        <v>24</v>
      </c>
      <c r="D522" s="7">
        <v>10</v>
      </c>
      <c r="E522" s="7">
        <v>2</v>
      </c>
      <c r="F522" s="7">
        <f t="shared" si="8"/>
        <v>6</v>
      </c>
      <c r="G522" s="7" t="str">
        <f>LOOKUP(H522,[1]startdates!$A$2:$A$10,[1]startdates!$B$2:$B$10)</f>
        <v>SMr</v>
      </c>
      <c r="H522">
        <v>2</v>
      </c>
      <c r="I522" s="7">
        <v>755</v>
      </c>
      <c r="J522" s="7">
        <v>706</v>
      </c>
      <c r="L522" s="7">
        <v>381</v>
      </c>
      <c r="M522" s="7">
        <v>320</v>
      </c>
      <c r="N522" s="7">
        <v>235</v>
      </c>
      <c r="O522" s="7">
        <v>169</v>
      </c>
      <c r="P522" s="7">
        <v>526</v>
      </c>
      <c r="R522" s="7">
        <v>241</v>
      </c>
    </row>
    <row r="523" spans="1:18" x14ac:dyDescent="0.2">
      <c r="A523">
        <v>522</v>
      </c>
      <c r="B523" s="1">
        <v>40746</v>
      </c>
      <c r="C523" t="s">
        <v>24</v>
      </c>
      <c r="D523" s="7">
        <v>10</v>
      </c>
      <c r="E523" s="7">
        <v>2</v>
      </c>
      <c r="F523" s="7">
        <f t="shared" si="8"/>
        <v>6</v>
      </c>
      <c r="G523" s="7" t="str">
        <f>LOOKUP(H523,[1]startdates!$A$2:$A$10,[1]startdates!$B$2:$B$10)</f>
        <v>SMr</v>
      </c>
      <c r="H523">
        <v>2</v>
      </c>
      <c r="I523" s="7">
        <v>841</v>
      </c>
      <c r="J523" s="7">
        <v>717</v>
      </c>
      <c r="L523" s="7">
        <v>388</v>
      </c>
      <c r="M523" s="7">
        <v>270</v>
      </c>
      <c r="N523" s="7">
        <v>256</v>
      </c>
      <c r="O523" s="7">
        <v>155</v>
      </c>
      <c r="P523" s="7">
        <v>553</v>
      </c>
    </row>
    <row r="524" spans="1:18" x14ac:dyDescent="0.2">
      <c r="A524">
        <v>523</v>
      </c>
      <c r="B524" s="1">
        <v>40746</v>
      </c>
      <c r="C524" t="s">
        <v>24</v>
      </c>
      <c r="D524" s="7">
        <v>10</v>
      </c>
      <c r="E524" s="7">
        <v>2</v>
      </c>
      <c r="F524" s="7">
        <f t="shared" si="8"/>
        <v>6</v>
      </c>
      <c r="G524" s="7" t="str">
        <f>LOOKUP(H524,[1]startdates!$A$2:$A$10,[1]startdates!$B$2:$B$10)</f>
        <v>SMr</v>
      </c>
      <c r="H524">
        <v>2</v>
      </c>
      <c r="I524" s="7">
        <v>829</v>
      </c>
      <c r="M524" s="7">
        <v>288</v>
      </c>
      <c r="N524" s="7">
        <v>256</v>
      </c>
      <c r="O524" s="7">
        <v>148</v>
      </c>
      <c r="P524" s="7">
        <v>510</v>
      </c>
    </row>
    <row r="525" spans="1:18" x14ac:dyDescent="0.2">
      <c r="A525">
        <v>524</v>
      </c>
      <c r="B525" s="1">
        <v>40746</v>
      </c>
      <c r="C525" t="s">
        <v>24</v>
      </c>
      <c r="D525" s="7">
        <v>10</v>
      </c>
      <c r="E525" s="7">
        <v>2</v>
      </c>
      <c r="F525" s="7">
        <f t="shared" si="8"/>
        <v>6</v>
      </c>
      <c r="G525" s="7" t="str">
        <f>LOOKUP(H525,[1]startdates!$A$2:$A$10,[1]startdates!$B$2:$B$10)</f>
        <v>SMr</v>
      </c>
      <c r="H525">
        <v>2</v>
      </c>
      <c r="I525" s="7">
        <v>876</v>
      </c>
      <c r="M525" s="7">
        <v>457</v>
      </c>
      <c r="N525" s="7">
        <v>300</v>
      </c>
      <c r="O525" s="7">
        <v>182</v>
      </c>
      <c r="P525" s="7">
        <v>512</v>
      </c>
    </row>
    <row r="526" spans="1:18" x14ac:dyDescent="0.2">
      <c r="A526">
        <v>525</v>
      </c>
      <c r="B526" s="1">
        <v>40746</v>
      </c>
      <c r="C526" t="s">
        <v>24</v>
      </c>
      <c r="D526" s="7">
        <v>10</v>
      </c>
      <c r="E526" s="7">
        <v>2</v>
      </c>
      <c r="F526" s="7">
        <f t="shared" si="8"/>
        <v>6</v>
      </c>
      <c r="G526" s="7" t="str">
        <f>LOOKUP(H526,[1]startdates!$A$2:$A$10,[1]startdates!$B$2:$B$10)</f>
        <v>SMr</v>
      </c>
      <c r="H526">
        <v>2</v>
      </c>
      <c r="I526" s="7">
        <v>919</v>
      </c>
      <c r="M526" s="7">
        <v>311</v>
      </c>
      <c r="N526" s="7">
        <v>249</v>
      </c>
    </row>
    <row r="527" spans="1:18" x14ac:dyDescent="0.2">
      <c r="A527">
        <v>526</v>
      </c>
      <c r="B527" s="1">
        <v>40746</v>
      </c>
      <c r="C527" t="s">
        <v>24</v>
      </c>
      <c r="D527" s="7">
        <v>10</v>
      </c>
      <c r="E527" s="7">
        <v>2</v>
      </c>
      <c r="F527" s="7">
        <f t="shared" si="8"/>
        <v>6</v>
      </c>
      <c r="G527" s="7" t="str">
        <f>LOOKUP(H527,[1]startdates!$A$2:$A$10,[1]startdates!$B$2:$B$10)</f>
        <v>SMr</v>
      </c>
      <c r="H527">
        <v>2</v>
      </c>
      <c r="N527" s="7">
        <v>229</v>
      </c>
    </row>
    <row r="528" spans="1:18" x14ac:dyDescent="0.2">
      <c r="A528">
        <v>527</v>
      </c>
      <c r="B528" s="1">
        <v>40746</v>
      </c>
      <c r="C528" t="s">
        <v>24</v>
      </c>
      <c r="D528" s="7">
        <v>10</v>
      </c>
      <c r="E528" s="7">
        <v>2</v>
      </c>
      <c r="F528" s="7">
        <f t="shared" si="8"/>
        <v>6</v>
      </c>
      <c r="G528" s="7" t="str">
        <f>LOOKUP(H528,[1]startdates!$A$2:$A$10,[1]startdates!$B$2:$B$10)</f>
        <v>SMr</v>
      </c>
      <c r="H528">
        <v>2</v>
      </c>
      <c r="N528" s="7">
        <v>287</v>
      </c>
    </row>
    <row r="529" spans="1:18" x14ac:dyDescent="0.2">
      <c r="A529">
        <v>528</v>
      </c>
      <c r="B529" s="1">
        <v>40746</v>
      </c>
      <c r="C529" t="s">
        <v>24</v>
      </c>
      <c r="D529" s="7">
        <v>10</v>
      </c>
      <c r="E529" s="7">
        <v>2</v>
      </c>
      <c r="F529" s="7">
        <f t="shared" si="8"/>
        <v>6</v>
      </c>
      <c r="G529" s="7" t="str">
        <f>LOOKUP(H529,[1]startdates!$A$2:$A$10,[1]startdates!$B$2:$B$10)</f>
        <v>SMr</v>
      </c>
      <c r="H529">
        <v>2</v>
      </c>
      <c r="N529" s="7">
        <v>176</v>
      </c>
    </row>
    <row r="530" spans="1:18" x14ac:dyDescent="0.2">
      <c r="A530">
        <v>529</v>
      </c>
      <c r="B530" s="1">
        <v>40746</v>
      </c>
      <c r="C530" t="s">
        <v>24</v>
      </c>
      <c r="D530" s="7">
        <v>10</v>
      </c>
      <c r="E530" s="7">
        <v>2</v>
      </c>
      <c r="F530" s="7">
        <f t="shared" si="8"/>
        <v>6</v>
      </c>
      <c r="G530" s="7" t="str">
        <f>LOOKUP(H530,[1]startdates!$A$2:$A$10,[1]startdates!$B$2:$B$10)</f>
        <v>SMr</v>
      </c>
      <c r="H530">
        <v>2</v>
      </c>
      <c r="N530" s="7">
        <v>209</v>
      </c>
    </row>
    <row r="531" spans="1:18" x14ac:dyDescent="0.2">
      <c r="A531">
        <v>530</v>
      </c>
      <c r="B531" s="1">
        <v>40746</v>
      </c>
      <c r="C531" t="s">
        <v>24</v>
      </c>
      <c r="D531" s="7">
        <v>10</v>
      </c>
      <c r="E531" s="7">
        <v>2</v>
      </c>
      <c r="F531" s="7">
        <f t="shared" si="8"/>
        <v>6</v>
      </c>
      <c r="G531" s="7" t="str">
        <f>LOOKUP(H531,[1]startdates!$A$2:$A$10,[1]startdates!$B$2:$B$10)</f>
        <v>SMr</v>
      </c>
      <c r="H531">
        <v>2</v>
      </c>
      <c r="N531" s="7">
        <v>172</v>
      </c>
    </row>
    <row r="532" spans="1:18" x14ac:dyDescent="0.2">
      <c r="A532">
        <v>531</v>
      </c>
      <c r="B532" s="1">
        <v>40746</v>
      </c>
      <c r="C532" t="s">
        <v>24</v>
      </c>
      <c r="D532" s="7">
        <v>10</v>
      </c>
      <c r="E532" s="7">
        <v>2</v>
      </c>
      <c r="F532" s="7">
        <f t="shared" si="8"/>
        <v>6</v>
      </c>
      <c r="G532" s="7" t="str">
        <f>LOOKUP(H532,[1]startdates!$A$2:$A$10,[1]startdates!$B$2:$B$10)</f>
        <v>C</v>
      </c>
      <c r="H532">
        <v>3</v>
      </c>
      <c r="I532" s="7">
        <v>860</v>
      </c>
      <c r="J532" s="7">
        <v>599</v>
      </c>
      <c r="K532" s="7">
        <v>520</v>
      </c>
      <c r="L532" s="7">
        <v>446</v>
      </c>
      <c r="M532" s="7">
        <v>255</v>
      </c>
      <c r="N532" s="7">
        <v>250</v>
      </c>
      <c r="O532" s="7">
        <v>144</v>
      </c>
      <c r="P532" s="7">
        <v>554</v>
      </c>
      <c r="R532" s="7">
        <v>285</v>
      </c>
    </row>
    <row r="533" spans="1:18" x14ac:dyDescent="0.2">
      <c r="A533">
        <v>532</v>
      </c>
      <c r="B533" s="1">
        <v>40746</v>
      </c>
      <c r="C533" t="s">
        <v>24</v>
      </c>
      <c r="D533" s="7">
        <v>10</v>
      </c>
      <c r="E533" s="7">
        <v>2</v>
      </c>
      <c r="F533" s="7">
        <f t="shared" si="8"/>
        <v>6</v>
      </c>
      <c r="G533" s="7" t="str">
        <f>LOOKUP(H533,[1]startdates!$A$2:$A$10,[1]startdates!$B$2:$B$10)</f>
        <v>C</v>
      </c>
      <c r="H533">
        <v>3</v>
      </c>
      <c r="I533" s="7">
        <v>766</v>
      </c>
      <c r="K533" s="7">
        <v>683</v>
      </c>
      <c r="L533" s="7">
        <v>442</v>
      </c>
      <c r="M533" s="7">
        <v>259</v>
      </c>
      <c r="N533" s="7">
        <v>221</v>
      </c>
      <c r="O533" s="7">
        <v>154</v>
      </c>
    </row>
    <row r="534" spans="1:18" x14ac:dyDescent="0.2">
      <c r="A534">
        <v>533</v>
      </c>
      <c r="B534" s="1">
        <v>40746</v>
      </c>
      <c r="C534" t="s">
        <v>24</v>
      </c>
      <c r="D534" s="7">
        <v>10</v>
      </c>
      <c r="E534" s="7">
        <v>2</v>
      </c>
      <c r="F534" s="7">
        <f t="shared" si="8"/>
        <v>6</v>
      </c>
      <c r="G534" s="7" t="str">
        <f>LOOKUP(H534,[1]startdates!$A$2:$A$10,[1]startdates!$B$2:$B$10)</f>
        <v>C</v>
      </c>
      <c r="H534">
        <v>3</v>
      </c>
      <c r="I534" s="7">
        <v>832</v>
      </c>
      <c r="M534" s="7">
        <v>381</v>
      </c>
      <c r="N534" s="7">
        <v>187</v>
      </c>
      <c r="O534" s="7">
        <v>153</v>
      </c>
    </row>
    <row r="535" spans="1:18" x14ac:dyDescent="0.2">
      <c r="A535">
        <v>534</v>
      </c>
      <c r="B535" s="1">
        <v>40746</v>
      </c>
      <c r="C535" t="s">
        <v>24</v>
      </c>
      <c r="D535" s="7">
        <v>10</v>
      </c>
      <c r="E535" s="7">
        <v>2</v>
      </c>
      <c r="F535" s="7">
        <f t="shared" si="8"/>
        <v>6</v>
      </c>
      <c r="G535" s="7" t="str">
        <f>LOOKUP(H535,[1]startdates!$A$2:$A$10,[1]startdates!$B$2:$B$10)</f>
        <v>C</v>
      </c>
      <c r="H535">
        <v>3</v>
      </c>
      <c r="I535" s="7">
        <v>790</v>
      </c>
      <c r="M535" s="7">
        <v>391</v>
      </c>
      <c r="N535" s="7">
        <v>189</v>
      </c>
      <c r="O535" s="7">
        <v>158</v>
      </c>
    </row>
    <row r="536" spans="1:18" x14ac:dyDescent="0.2">
      <c r="A536">
        <v>535</v>
      </c>
      <c r="B536" s="1">
        <v>40746</v>
      </c>
      <c r="C536" t="s">
        <v>24</v>
      </c>
      <c r="D536" s="7">
        <v>10</v>
      </c>
      <c r="E536" s="7">
        <v>2</v>
      </c>
      <c r="F536" s="7">
        <f t="shared" si="8"/>
        <v>6</v>
      </c>
      <c r="G536" s="7" t="str">
        <f>LOOKUP(H536,[1]startdates!$A$2:$A$10,[1]startdates!$B$2:$B$10)</f>
        <v>C</v>
      </c>
      <c r="H536">
        <v>3</v>
      </c>
      <c r="I536" s="7">
        <v>825</v>
      </c>
      <c r="N536" s="7">
        <v>254</v>
      </c>
      <c r="O536" s="7">
        <v>158</v>
      </c>
    </row>
    <row r="537" spans="1:18" x14ac:dyDescent="0.2">
      <c r="A537">
        <v>536</v>
      </c>
      <c r="B537" s="1">
        <v>40746</v>
      </c>
      <c r="C537" t="s">
        <v>24</v>
      </c>
      <c r="D537" s="7">
        <v>10</v>
      </c>
      <c r="E537" s="7">
        <v>2</v>
      </c>
      <c r="F537" s="7">
        <f t="shared" si="8"/>
        <v>6</v>
      </c>
      <c r="G537" s="7" t="str">
        <f>LOOKUP(H537,[1]startdates!$A$2:$A$10,[1]startdates!$B$2:$B$10)</f>
        <v>C</v>
      </c>
      <c r="H537">
        <v>3</v>
      </c>
      <c r="I537" s="7">
        <v>690</v>
      </c>
      <c r="N537" s="7">
        <v>261</v>
      </c>
      <c r="O537" s="7">
        <v>169</v>
      </c>
    </row>
    <row r="538" spans="1:18" x14ac:dyDescent="0.2">
      <c r="A538">
        <v>537</v>
      </c>
      <c r="B538" s="1">
        <v>40746</v>
      </c>
      <c r="C538" t="s">
        <v>24</v>
      </c>
      <c r="D538" s="7">
        <v>10</v>
      </c>
      <c r="E538" s="7">
        <v>2</v>
      </c>
      <c r="F538" s="7">
        <f t="shared" si="8"/>
        <v>6</v>
      </c>
      <c r="G538" s="7" t="str">
        <f>LOOKUP(H538,[1]startdates!$A$2:$A$10,[1]startdates!$B$2:$B$10)</f>
        <v>C</v>
      </c>
      <c r="H538">
        <v>3</v>
      </c>
      <c r="I538" s="7">
        <v>839</v>
      </c>
      <c r="N538" s="7">
        <v>189</v>
      </c>
      <c r="O538" s="7">
        <v>164</v>
      </c>
    </row>
    <row r="539" spans="1:18" x14ac:dyDescent="0.2">
      <c r="A539">
        <v>538</v>
      </c>
      <c r="B539" s="1">
        <v>40746</v>
      </c>
      <c r="C539" t="s">
        <v>24</v>
      </c>
      <c r="D539" s="7">
        <v>10</v>
      </c>
      <c r="E539" s="7">
        <v>2</v>
      </c>
      <c r="F539" s="7">
        <f t="shared" si="8"/>
        <v>6</v>
      </c>
      <c r="G539" s="7" t="str">
        <f>LOOKUP(H539,[1]startdates!$A$2:$A$10,[1]startdates!$B$2:$B$10)</f>
        <v>C</v>
      </c>
      <c r="H539">
        <v>3</v>
      </c>
      <c r="N539" s="7">
        <v>238</v>
      </c>
      <c r="O539" s="7">
        <v>152</v>
      </c>
    </row>
    <row r="540" spans="1:18" x14ac:dyDescent="0.2">
      <c r="A540">
        <v>539</v>
      </c>
      <c r="B540" s="1">
        <v>40746</v>
      </c>
      <c r="C540" t="s">
        <v>24</v>
      </c>
      <c r="D540" s="7">
        <v>10</v>
      </c>
      <c r="E540" s="7">
        <v>2</v>
      </c>
      <c r="F540" s="7">
        <f t="shared" si="8"/>
        <v>6</v>
      </c>
      <c r="G540" s="7" t="str">
        <f>LOOKUP(H540,[1]startdates!$A$2:$A$10,[1]startdates!$B$2:$B$10)</f>
        <v>C</v>
      </c>
      <c r="H540">
        <v>3</v>
      </c>
      <c r="N540" s="7">
        <v>240</v>
      </c>
      <c r="O540" s="7">
        <v>153</v>
      </c>
    </row>
    <row r="541" spans="1:18" x14ac:dyDescent="0.2">
      <c r="A541">
        <v>540</v>
      </c>
      <c r="B541" s="1">
        <v>40746</v>
      </c>
      <c r="C541" t="s">
        <v>24</v>
      </c>
      <c r="D541" s="7">
        <v>10</v>
      </c>
      <c r="E541" s="7">
        <v>2</v>
      </c>
      <c r="F541" s="7">
        <f t="shared" si="8"/>
        <v>6</v>
      </c>
      <c r="G541" s="7" t="str">
        <f>LOOKUP(H541,[1]startdates!$A$2:$A$10,[1]startdates!$B$2:$B$10)</f>
        <v>C</v>
      </c>
      <c r="H541">
        <v>3</v>
      </c>
      <c r="N541" s="7">
        <v>190</v>
      </c>
      <c r="O541" s="7">
        <v>137</v>
      </c>
    </row>
    <row r="542" spans="1:18" x14ac:dyDescent="0.2">
      <c r="A542">
        <v>541</v>
      </c>
      <c r="B542" s="1">
        <v>40746</v>
      </c>
      <c r="C542" t="s">
        <v>24</v>
      </c>
      <c r="D542" s="7">
        <v>10</v>
      </c>
      <c r="E542" s="7">
        <v>2</v>
      </c>
      <c r="F542" s="7">
        <f t="shared" si="8"/>
        <v>6</v>
      </c>
      <c r="G542" s="7" t="str">
        <f>LOOKUP(H542,[1]startdates!$A$2:$A$10,[1]startdates!$B$2:$B$10)</f>
        <v>C</v>
      </c>
      <c r="H542">
        <v>3</v>
      </c>
      <c r="N542" s="7">
        <v>232</v>
      </c>
      <c r="O542" s="7">
        <v>141</v>
      </c>
    </row>
    <row r="543" spans="1:18" x14ac:dyDescent="0.2">
      <c r="A543">
        <v>542</v>
      </c>
      <c r="B543" s="1">
        <v>40746</v>
      </c>
      <c r="C543" t="s">
        <v>24</v>
      </c>
      <c r="D543" s="7">
        <v>10</v>
      </c>
      <c r="E543" s="7">
        <v>2</v>
      </c>
      <c r="F543" s="7">
        <f t="shared" si="8"/>
        <v>6</v>
      </c>
      <c r="G543" s="7" t="str">
        <f>LOOKUP(H543,[1]startdates!$A$2:$A$10,[1]startdates!$B$2:$B$10)</f>
        <v>C</v>
      </c>
      <c r="H543">
        <v>3</v>
      </c>
      <c r="O543" s="7">
        <v>136</v>
      </c>
    </row>
    <row r="544" spans="1:18" x14ac:dyDescent="0.2">
      <c r="A544">
        <v>543</v>
      </c>
      <c r="B544" s="1">
        <v>40746</v>
      </c>
      <c r="C544" t="s">
        <v>24</v>
      </c>
      <c r="D544" s="7">
        <v>10</v>
      </c>
      <c r="E544" s="7">
        <v>2</v>
      </c>
      <c r="F544" s="7">
        <f t="shared" si="8"/>
        <v>6</v>
      </c>
      <c r="G544" s="7" t="str">
        <f>LOOKUP(H544,[1]startdates!$A$2:$A$10,[1]startdates!$B$2:$B$10)</f>
        <v>C</v>
      </c>
      <c r="H544">
        <v>3</v>
      </c>
      <c r="O544" s="7">
        <v>151</v>
      </c>
    </row>
    <row r="545" spans="1:17" x14ac:dyDescent="0.2">
      <c r="A545">
        <v>544</v>
      </c>
      <c r="B545" s="1">
        <v>40746</v>
      </c>
      <c r="C545" t="s">
        <v>24</v>
      </c>
      <c r="D545" s="7">
        <v>10</v>
      </c>
      <c r="E545" s="7">
        <v>2</v>
      </c>
      <c r="F545" s="7">
        <f t="shared" si="8"/>
        <v>6</v>
      </c>
      <c r="G545" s="7" t="str">
        <f>LOOKUP(H545,[1]startdates!$A$2:$A$10,[1]startdates!$B$2:$B$10)</f>
        <v>C</v>
      </c>
      <c r="H545">
        <v>3</v>
      </c>
      <c r="O545" s="7">
        <v>184</v>
      </c>
    </row>
    <row r="546" spans="1:17" x14ac:dyDescent="0.2">
      <c r="A546">
        <v>545</v>
      </c>
      <c r="B546" s="1">
        <v>40746</v>
      </c>
      <c r="C546" t="s">
        <v>24</v>
      </c>
      <c r="D546" s="7">
        <v>10</v>
      </c>
      <c r="E546" s="7">
        <v>2</v>
      </c>
      <c r="F546" s="7">
        <f t="shared" si="8"/>
        <v>6</v>
      </c>
      <c r="G546" s="7" t="str">
        <f>LOOKUP(H546,[1]startdates!$A$2:$A$10,[1]startdates!$B$2:$B$10)</f>
        <v>C</v>
      </c>
      <c r="H546">
        <v>3</v>
      </c>
      <c r="O546" s="7">
        <v>158</v>
      </c>
    </row>
    <row r="547" spans="1:17" x14ac:dyDescent="0.2">
      <c r="A547">
        <v>546</v>
      </c>
      <c r="B547" s="1">
        <v>40746</v>
      </c>
      <c r="C547" t="s">
        <v>24</v>
      </c>
      <c r="D547" s="7">
        <v>10</v>
      </c>
      <c r="E547" s="7">
        <v>2</v>
      </c>
      <c r="F547" s="7">
        <f t="shared" si="8"/>
        <v>6</v>
      </c>
      <c r="G547" s="7" t="str">
        <f>LOOKUP(H547,[1]startdates!$A$2:$A$10,[1]startdates!$B$2:$B$10)</f>
        <v>C</v>
      </c>
      <c r="H547">
        <v>3</v>
      </c>
      <c r="O547" s="7">
        <v>169</v>
      </c>
    </row>
    <row r="548" spans="1:17" x14ac:dyDescent="0.2">
      <c r="A548">
        <v>547</v>
      </c>
      <c r="B548" s="1">
        <v>40746</v>
      </c>
      <c r="C548" t="s">
        <v>24</v>
      </c>
      <c r="D548" s="7">
        <v>10</v>
      </c>
      <c r="E548" s="7">
        <v>2</v>
      </c>
      <c r="F548" s="7">
        <f t="shared" si="8"/>
        <v>6</v>
      </c>
      <c r="G548" s="7" t="str">
        <f>LOOKUP(H548,[1]startdates!$A$2:$A$10,[1]startdates!$B$2:$B$10)</f>
        <v>C</v>
      </c>
      <c r="H548">
        <v>3</v>
      </c>
      <c r="O548" s="7">
        <v>171</v>
      </c>
    </row>
    <row r="549" spans="1:17" x14ac:dyDescent="0.2">
      <c r="A549">
        <v>548</v>
      </c>
      <c r="B549" s="1">
        <v>40746</v>
      </c>
      <c r="C549" t="s">
        <v>24</v>
      </c>
      <c r="D549" s="7">
        <v>10</v>
      </c>
      <c r="E549" s="7">
        <v>2</v>
      </c>
      <c r="F549" s="7">
        <f t="shared" si="8"/>
        <v>6</v>
      </c>
      <c r="G549" s="7" t="str">
        <f>LOOKUP(H549,[1]startdates!$A$2:$A$10,[1]startdates!$B$2:$B$10)</f>
        <v>C</v>
      </c>
      <c r="H549">
        <v>3</v>
      </c>
      <c r="O549" s="7">
        <v>169</v>
      </c>
    </row>
    <row r="550" spans="1:17" x14ac:dyDescent="0.2">
      <c r="A550">
        <v>549</v>
      </c>
      <c r="B550" s="1">
        <v>40746</v>
      </c>
      <c r="C550" t="s">
        <v>24</v>
      </c>
      <c r="D550" s="7">
        <v>10</v>
      </c>
      <c r="E550" s="7">
        <v>2</v>
      </c>
      <c r="F550" s="7">
        <f t="shared" si="8"/>
        <v>6</v>
      </c>
      <c r="G550" s="7" t="str">
        <f>LOOKUP(H550,[1]startdates!$A$2:$A$10,[1]startdates!$B$2:$B$10)</f>
        <v>SMr</v>
      </c>
      <c r="H550">
        <v>4</v>
      </c>
      <c r="I550" s="7">
        <v>878</v>
      </c>
      <c r="K550" s="7">
        <v>678</v>
      </c>
      <c r="L550" s="7">
        <v>447</v>
      </c>
      <c r="M550" s="7">
        <v>396</v>
      </c>
      <c r="N550" s="7">
        <v>226</v>
      </c>
      <c r="O550" s="7">
        <v>154</v>
      </c>
      <c r="Q550" s="7">
        <v>375</v>
      </c>
    </row>
    <row r="551" spans="1:17" x14ac:dyDescent="0.2">
      <c r="A551">
        <v>550</v>
      </c>
      <c r="B551" s="1">
        <v>40746</v>
      </c>
      <c r="C551" t="s">
        <v>24</v>
      </c>
      <c r="D551" s="7">
        <v>10</v>
      </c>
      <c r="E551" s="7">
        <v>2</v>
      </c>
      <c r="F551" s="7">
        <f t="shared" si="8"/>
        <v>6</v>
      </c>
      <c r="G551" s="7" t="str">
        <f>LOOKUP(H551,[1]startdates!$A$2:$A$10,[1]startdates!$B$2:$B$10)</f>
        <v>SMr</v>
      </c>
      <c r="H551">
        <v>4</v>
      </c>
      <c r="I551" s="7">
        <v>755</v>
      </c>
      <c r="L551" s="7">
        <v>401</v>
      </c>
      <c r="M551" s="7">
        <v>332</v>
      </c>
      <c r="N551" s="7">
        <v>173</v>
      </c>
      <c r="O551" s="7">
        <v>159</v>
      </c>
      <c r="Q551" s="7">
        <v>463</v>
      </c>
    </row>
    <row r="552" spans="1:17" x14ac:dyDescent="0.2">
      <c r="A552">
        <v>551</v>
      </c>
      <c r="B552" s="1">
        <v>40746</v>
      </c>
      <c r="C552" t="s">
        <v>24</v>
      </c>
      <c r="D552" s="7">
        <v>10</v>
      </c>
      <c r="E552" s="7">
        <v>2</v>
      </c>
      <c r="F552" s="7">
        <f t="shared" si="8"/>
        <v>6</v>
      </c>
      <c r="G552" s="7" t="str">
        <f>LOOKUP(H552,[1]startdates!$A$2:$A$10,[1]startdates!$B$2:$B$10)</f>
        <v>SMr</v>
      </c>
      <c r="H552">
        <v>4</v>
      </c>
      <c r="I552" s="7">
        <v>981</v>
      </c>
      <c r="L552" s="7">
        <v>408</v>
      </c>
      <c r="N552" s="7">
        <v>198</v>
      </c>
      <c r="O552" s="7">
        <v>165</v>
      </c>
    </row>
    <row r="553" spans="1:17" x14ac:dyDescent="0.2">
      <c r="A553">
        <v>552</v>
      </c>
      <c r="B553" s="1">
        <v>40746</v>
      </c>
      <c r="C553" t="s">
        <v>24</v>
      </c>
      <c r="D553" s="7">
        <v>10</v>
      </c>
      <c r="E553" s="7">
        <v>2</v>
      </c>
      <c r="F553" s="7">
        <f t="shared" ref="F553:F616" si="9">WEEKDAY(B553)</f>
        <v>6</v>
      </c>
      <c r="G553" s="7" t="str">
        <f>LOOKUP(H553,[1]startdates!$A$2:$A$10,[1]startdates!$B$2:$B$10)</f>
        <v>SMr</v>
      </c>
      <c r="H553">
        <v>4</v>
      </c>
      <c r="I553" s="7">
        <v>772</v>
      </c>
      <c r="N553" s="7">
        <v>243</v>
      </c>
      <c r="O553" s="7">
        <v>151</v>
      </c>
    </row>
    <row r="554" spans="1:17" x14ac:dyDescent="0.2">
      <c r="A554">
        <v>553</v>
      </c>
      <c r="B554" s="1">
        <v>40746</v>
      </c>
      <c r="C554" t="s">
        <v>24</v>
      </c>
      <c r="D554" s="7">
        <v>10</v>
      </c>
      <c r="E554" s="7">
        <v>2</v>
      </c>
      <c r="F554" s="7">
        <f t="shared" si="9"/>
        <v>6</v>
      </c>
      <c r="G554" s="7" t="str">
        <f>LOOKUP(H554,[1]startdates!$A$2:$A$10,[1]startdates!$B$2:$B$10)</f>
        <v>SMr</v>
      </c>
      <c r="H554">
        <v>4</v>
      </c>
      <c r="I554" s="7">
        <v>821</v>
      </c>
      <c r="N554" s="7">
        <v>237</v>
      </c>
      <c r="O554" s="7">
        <v>175</v>
      </c>
    </row>
    <row r="555" spans="1:17" x14ac:dyDescent="0.2">
      <c r="A555">
        <v>554</v>
      </c>
      <c r="B555" s="1">
        <v>40746</v>
      </c>
      <c r="C555" t="s">
        <v>24</v>
      </c>
      <c r="D555" s="7">
        <v>10</v>
      </c>
      <c r="E555" s="7">
        <v>2</v>
      </c>
      <c r="F555" s="7">
        <f t="shared" si="9"/>
        <v>6</v>
      </c>
      <c r="G555" s="7" t="str">
        <f>LOOKUP(H555,[1]startdates!$A$2:$A$10,[1]startdates!$B$2:$B$10)</f>
        <v>SMr</v>
      </c>
      <c r="H555">
        <v>4</v>
      </c>
      <c r="N555" s="7">
        <v>211</v>
      </c>
      <c r="O555" s="7">
        <v>169</v>
      </c>
    </row>
    <row r="556" spans="1:17" x14ac:dyDescent="0.2">
      <c r="A556">
        <v>555</v>
      </c>
      <c r="B556" s="1">
        <v>40746</v>
      </c>
      <c r="C556" t="s">
        <v>24</v>
      </c>
      <c r="D556" s="7">
        <v>10</v>
      </c>
      <c r="E556" s="7">
        <v>2</v>
      </c>
      <c r="F556" s="7">
        <f t="shared" si="9"/>
        <v>6</v>
      </c>
      <c r="G556" s="7" t="str">
        <f>LOOKUP(H556,[1]startdates!$A$2:$A$10,[1]startdates!$B$2:$B$10)</f>
        <v>SMr</v>
      </c>
      <c r="H556">
        <v>4</v>
      </c>
      <c r="N556" s="7">
        <v>178</v>
      </c>
      <c r="O556" s="7">
        <v>175</v>
      </c>
    </row>
    <row r="557" spans="1:17" x14ac:dyDescent="0.2">
      <c r="A557">
        <v>556</v>
      </c>
      <c r="B557" s="1">
        <v>40746</v>
      </c>
      <c r="C557" t="s">
        <v>24</v>
      </c>
      <c r="D557" s="7">
        <v>10</v>
      </c>
      <c r="E557" s="7">
        <v>2</v>
      </c>
      <c r="F557" s="7">
        <f t="shared" si="9"/>
        <v>6</v>
      </c>
      <c r="G557" s="7" t="str">
        <f>LOOKUP(H557,[1]startdates!$A$2:$A$10,[1]startdates!$B$2:$B$10)</f>
        <v>SMr</v>
      </c>
      <c r="H557">
        <v>4</v>
      </c>
      <c r="N557" s="7">
        <v>184</v>
      </c>
      <c r="O557" s="7">
        <v>183</v>
      </c>
    </row>
    <row r="558" spans="1:17" x14ac:dyDescent="0.2">
      <c r="A558">
        <v>557</v>
      </c>
      <c r="B558" s="1">
        <v>40746</v>
      </c>
      <c r="C558" t="s">
        <v>24</v>
      </c>
      <c r="D558" s="7">
        <v>10</v>
      </c>
      <c r="E558" s="7">
        <v>2</v>
      </c>
      <c r="F558" s="7">
        <f t="shared" si="9"/>
        <v>6</v>
      </c>
      <c r="G558" s="7" t="str">
        <f>LOOKUP(H558,[1]startdates!$A$2:$A$10,[1]startdates!$B$2:$B$10)</f>
        <v>SMr</v>
      </c>
      <c r="H558">
        <v>4</v>
      </c>
      <c r="N558" s="7">
        <v>198</v>
      </c>
    </row>
    <row r="559" spans="1:17" x14ac:dyDescent="0.2">
      <c r="A559">
        <v>558</v>
      </c>
      <c r="B559" s="1">
        <v>40746</v>
      </c>
      <c r="C559" t="s">
        <v>24</v>
      </c>
      <c r="D559" s="7">
        <v>10</v>
      </c>
      <c r="E559" s="7">
        <v>2</v>
      </c>
      <c r="F559" s="7">
        <f t="shared" si="9"/>
        <v>6</v>
      </c>
      <c r="G559" s="7" t="str">
        <f>LOOKUP(H559,[1]startdates!$A$2:$A$10,[1]startdates!$B$2:$B$10)</f>
        <v>SMr</v>
      </c>
      <c r="H559">
        <v>4</v>
      </c>
      <c r="N559" s="7">
        <v>203</v>
      </c>
    </row>
    <row r="560" spans="1:17" x14ac:dyDescent="0.2">
      <c r="A560">
        <v>559</v>
      </c>
      <c r="B560" s="1">
        <v>40746</v>
      </c>
      <c r="C560" t="s">
        <v>24</v>
      </c>
      <c r="D560" s="7">
        <v>10</v>
      </c>
      <c r="E560" s="7">
        <v>2</v>
      </c>
      <c r="F560" s="7">
        <f t="shared" si="9"/>
        <v>6</v>
      </c>
      <c r="G560" s="7" t="str">
        <f>LOOKUP(H560,[1]startdates!$A$2:$A$10,[1]startdates!$B$2:$B$10)</f>
        <v>SMr</v>
      </c>
      <c r="H560">
        <v>4</v>
      </c>
      <c r="N560" s="7">
        <v>213</v>
      </c>
    </row>
    <row r="561" spans="1:16" x14ac:dyDescent="0.2">
      <c r="A561">
        <v>560</v>
      </c>
      <c r="B561" s="1">
        <v>40746</v>
      </c>
      <c r="C561" t="s">
        <v>24</v>
      </c>
      <c r="D561" s="7">
        <v>10</v>
      </c>
      <c r="E561" s="7">
        <v>2</v>
      </c>
      <c r="F561" s="7">
        <f t="shared" si="9"/>
        <v>6</v>
      </c>
      <c r="G561" s="7" t="str">
        <f>LOOKUP(H561,[1]startdates!$A$2:$A$10,[1]startdates!$B$2:$B$10)</f>
        <v>SMr</v>
      </c>
      <c r="H561">
        <v>4</v>
      </c>
      <c r="N561" s="7">
        <v>190</v>
      </c>
    </row>
    <row r="562" spans="1:16" x14ac:dyDescent="0.2">
      <c r="A562">
        <v>561</v>
      </c>
      <c r="B562" s="1">
        <v>40746</v>
      </c>
      <c r="C562" t="s">
        <v>24</v>
      </c>
      <c r="D562" s="7">
        <v>10</v>
      </c>
      <c r="E562" s="7">
        <v>2</v>
      </c>
      <c r="F562" s="7">
        <f t="shared" si="9"/>
        <v>6</v>
      </c>
      <c r="G562" s="7" t="str">
        <f>LOOKUP(H562,[1]startdates!$A$2:$A$10,[1]startdates!$B$2:$B$10)</f>
        <v>SMr</v>
      </c>
      <c r="H562">
        <v>4</v>
      </c>
      <c r="N562" s="7">
        <v>183</v>
      </c>
    </row>
    <row r="563" spans="1:16" x14ac:dyDescent="0.2">
      <c r="A563">
        <v>562</v>
      </c>
      <c r="B563" s="1">
        <v>40746</v>
      </c>
      <c r="C563" t="s">
        <v>24</v>
      </c>
      <c r="D563" s="7">
        <v>10</v>
      </c>
      <c r="E563" s="7">
        <v>2</v>
      </c>
      <c r="F563" s="7">
        <f t="shared" si="9"/>
        <v>6</v>
      </c>
      <c r="G563" s="7" t="str">
        <f>LOOKUP(H563,[1]startdates!$A$2:$A$10,[1]startdates!$B$2:$B$10)</f>
        <v>SMr</v>
      </c>
      <c r="H563">
        <v>4</v>
      </c>
      <c r="N563" s="7">
        <v>187</v>
      </c>
    </row>
    <row r="564" spans="1:16" x14ac:dyDescent="0.2">
      <c r="A564">
        <v>563</v>
      </c>
      <c r="B564" s="1">
        <v>40746</v>
      </c>
      <c r="C564" t="s">
        <v>24</v>
      </c>
      <c r="D564" s="7">
        <v>10</v>
      </c>
      <c r="E564" s="7">
        <v>2</v>
      </c>
      <c r="F564" s="7">
        <f t="shared" si="9"/>
        <v>6</v>
      </c>
      <c r="G564" s="7" t="str">
        <f>LOOKUP(H564,[1]startdates!$A$2:$A$10,[1]startdates!$B$2:$B$10)</f>
        <v>SMr</v>
      </c>
      <c r="H564">
        <v>4</v>
      </c>
      <c r="N564" s="7">
        <v>267</v>
      </c>
    </row>
    <row r="565" spans="1:16" x14ac:dyDescent="0.2">
      <c r="A565">
        <v>564</v>
      </c>
      <c r="B565" s="1">
        <v>40746</v>
      </c>
      <c r="C565" t="s">
        <v>24</v>
      </c>
      <c r="D565" s="7">
        <v>10</v>
      </c>
      <c r="E565" s="7">
        <v>2</v>
      </c>
      <c r="F565" s="7">
        <f t="shared" si="9"/>
        <v>6</v>
      </c>
      <c r="G565" s="7" t="str">
        <f>LOOKUP(H565,[1]startdates!$A$2:$A$10,[1]startdates!$B$2:$B$10)</f>
        <v>SMr</v>
      </c>
      <c r="H565">
        <v>4</v>
      </c>
      <c r="N565" s="7">
        <v>199</v>
      </c>
    </row>
    <row r="566" spans="1:16" x14ac:dyDescent="0.2">
      <c r="A566">
        <v>565</v>
      </c>
      <c r="B566" s="1">
        <v>40746</v>
      </c>
      <c r="C566" t="s">
        <v>24</v>
      </c>
      <c r="D566" s="7">
        <v>10</v>
      </c>
      <c r="E566" s="7">
        <v>2</v>
      </c>
      <c r="F566" s="7">
        <f t="shared" si="9"/>
        <v>6</v>
      </c>
      <c r="G566" s="7" t="str">
        <f>LOOKUP(H566,[1]startdates!$A$2:$A$10,[1]startdates!$B$2:$B$10)</f>
        <v>SMr</v>
      </c>
      <c r="H566">
        <v>4</v>
      </c>
      <c r="N566" s="7">
        <v>228</v>
      </c>
    </row>
    <row r="567" spans="1:16" x14ac:dyDescent="0.2">
      <c r="A567">
        <v>566</v>
      </c>
      <c r="B567" s="1">
        <v>40746</v>
      </c>
      <c r="C567" t="s">
        <v>24</v>
      </c>
      <c r="D567" s="7">
        <v>10</v>
      </c>
      <c r="E567" s="7">
        <v>2</v>
      </c>
      <c r="F567" s="7">
        <f t="shared" si="9"/>
        <v>6</v>
      </c>
      <c r="G567" s="7" t="str">
        <f>LOOKUP(H567,[1]startdates!$A$2:$A$10,[1]startdates!$B$2:$B$10)</f>
        <v>C</v>
      </c>
      <c r="H567">
        <v>5</v>
      </c>
      <c r="I567" s="7">
        <v>888</v>
      </c>
      <c r="J567" s="7">
        <v>705</v>
      </c>
      <c r="K567" s="7">
        <v>547</v>
      </c>
      <c r="M567" s="7">
        <v>298</v>
      </c>
      <c r="N567" s="7">
        <v>228</v>
      </c>
      <c r="O567" s="7">
        <v>150</v>
      </c>
      <c r="P567" s="7">
        <v>488</v>
      </c>
    </row>
    <row r="568" spans="1:16" x14ac:dyDescent="0.2">
      <c r="A568">
        <v>567</v>
      </c>
      <c r="B568" s="1">
        <v>40746</v>
      </c>
      <c r="C568" t="s">
        <v>24</v>
      </c>
      <c r="D568" s="7">
        <v>10</v>
      </c>
      <c r="E568" s="7">
        <v>2</v>
      </c>
      <c r="F568" s="7">
        <f t="shared" si="9"/>
        <v>6</v>
      </c>
      <c r="G568" s="7" t="str">
        <f>LOOKUP(H568,[1]startdates!$A$2:$A$10,[1]startdates!$B$2:$B$10)</f>
        <v>C</v>
      </c>
      <c r="H568">
        <v>5</v>
      </c>
      <c r="I568" s="7">
        <v>722</v>
      </c>
      <c r="J568" s="7">
        <v>711</v>
      </c>
      <c r="M568" s="7">
        <v>240</v>
      </c>
      <c r="N568" s="7">
        <v>176</v>
      </c>
      <c r="O568" s="7">
        <v>170</v>
      </c>
      <c r="P568" s="7">
        <v>579</v>
      </c>
    </row>
    <row r="569" spans="1:16" x14ac:dyDescent="0.2">
      <c r="A569">
        <v>568</v>
      </c>
      <c r="B569" s="1">
        <v>40746</v>
      </c>
      <c r="C569" t="s">
        <v>24</v>
      </c>
      <c r="D569" s="7">
        <v>10</v>
      </c>
      <c r="E569" s="7">
        <v>2</v>
      </c>
      <c r="F569" s="7">
        <f t="shared" si="9"/>
        <v>6</v>
      </c>
      <c r="G569" s="7" t="str">
        <f>LOOKUP(H569,[1]startdates!$A$2:$A$10,[1]startdates!$B$2:$B$10)</f>
        <v>C</v>
      </c>
      <c r="H569">
        <v>5</v>
      </c>
      <c r="I569" s="7">
        <v>804</v>
      </c>
      <c r="J569" s="7">
        <v>655</v>
      </c>
      <c r="M569" s="7">
        <v>261</v>
      </c>
      <c r="N569" s="7">
        <v>169</v>
      </c>
      <c r="O569" s="7">
        <v>152</v>
      </c>
    </row>
    <row r="570" spans="1:16" x14ac:dyDescent="0.2">
      <c r="A570">
        <v>569</v>
      </c>
      <c r="B570" s="1">
        <v>40746</v>
      </c>
      <c r="C570" t="s">
        <v>24</v>
      </c>
      <c r="D570" s="7">
        <v>10</v>
      </c>
      <c r="E570" s="7">
        <v>2</v>
      </c>
      <c r="F570" s="7">
        <f t="shared" si="9"/>
        <v>6</v>
      </c>
      <c r="G570" s="7" t="str">
        <f>LOOKUP(H570,[1]startdates!$A$2:$A$10,[1]startdates!$B$2:$B$10)</f>
        <v>C</v>
      </c>
      <c r="H570">
        <v>5</v>
      </c>
      <c r="J570" s="7">
        <v>556</v>
      </c>
      <c r="M570" s="7">
        <v>271</v>
      </c>
      <c r="N570" s="7">
        <v>200</v>
      </c>
      <c r="O570" s="7">
        <v>161</v>
      </c>
    </row>
    <row r="571" spans="1:16" x14ac:dyDescent="0.2">
      <c r="A571">
        <v>570</v>
      </c>
      <c r="B571" s="1">
        <v>40746</v>
      </c>
      <c r="C571" t="s">
        <v>24</v>
      </c>
      <c r="D571" s="7">
        <v>10</v>
      </c>
      <c r="E571" s="7">
        <v>2</v>
      </c>
      <c r="F571" s="7">
        <f t="shared" si="9"/>
        <v>6</v>
      </c>
      <c r="G571" s="7" t="str">
        <f>LOOKUP(H571,[1]startdates!$A$2:$A$10,[1]startdates!$B$2:$B$10)</f>
        <v>C</v>
      </c>
      <c r="H571">
        <v>5</v>
      </c>
      <c r="M571" s="7">
        <v>257</v>
      </c>
      <c r="N571" s="7">
        <v>176</v>
      </c>
      <c r="O571" s="7">
        <v>178</v>
      </c>
    </row>
    <row r="572" spans="1:16" x14ac:dyDescent="0.2">
      <c r="A572">
        <v>571</v>
      </c>
      <c r="B572" s="1">
        <v>40746</v>
      </c>
      <c r="C572" t="s">
        <v>24</v>
      </c>
      <c r="D572" s="7">
        <v>10</v>
      </c>
      <c r="E572" s="7">
        <v>2</v>
      </c>
      <c r="F572" s="7">
        <f t="shared" si="9"/>
        <v>6</v>
      </c>
      <c r="G572" s="7" t="str">
        <f>LOOKUP(H572,[1]startdates!$A$2:$A$10,[1]startdates!$B$2:$B$10)</f>
        <v>C</v>
      </c>
      <c r="H572">
        <v>5</v>
      </c>
      <c r="M572" s="7">
        <v>282</v>
      </c>
      <c r="N572" s="7">
        <v>183</v>
      </c>
      <c r="O572" s="7">
        <v>132</v>
      </c>
    </row>
    <row r="573" spans="1:16" x14ac:dyDescent="0.2">
      <c r="A573">
        <v>572</v>
      </c>
      <c r="B573" s="1">
        <v>40746</v>
      </c>
      <c r="C573" t="s">
        <v>24</v>
      </c>
      <c r="D573" s="7">
        <v>10</v>
      </c>
      <c r="E573" s="7">
        <v>2</v>
      </c>
      <c r="F573" s="7">
        <f t="shared" si="9"/>
        <v>6</v>
      </c>
      <c r="G573" s="7" t="str">
        <f>LOOKUP(H573,[1]startdates!$A$2:$A$10,[1]startdates!$B$2:$B$10)</f>
        <v>C</v>
      </c>
      <c r="H573">
        <v>5</v>
      </c>
      <c r="M573" s="7">
        <v>301</v>
      </c>
      <c r="N573" s="7">
        <v>244</v>
      </c>
      <c r="O573" s="7">
        <v>142</v>
      </c>
    </row>
    <row r="574" spans="1:16" x14ac:dyDescent="0.2">
      <c r="A574">
        <v>573</v>
      </c>
      <c r="B574" s="1">
        <v>40746</v>
      </c>
      <c r="C574" t="s">
        <v>24</v>
      </c>
      <c r="D574" s="7">
        <v>10</v>
      </c>
      <c r="E574" s="7">
        <v>2</v>
      </c>
      <c r="F574" s="7">
        <f t="shared" si="9"/>
        <v>6</v>
      </c>
      <c r="G574" s="7" t="str">
        <f>LOOKUP(H574,[1]startdates!$A$2:$A$10,[1]startdates!$B$2:$B$10)</f>
        <v>C</v>
      </c>
      <c r="H574">
        <v>5</v>
      </c>
      <c r="M574" s="7">
        <v>292</v>
      </c>
      <c r="N574" s="7">
        <v>184</v>
      </c>
      <c r="O574" s="7">
        <v>157</v>
      </c>
    </row>
    <row r="575" spans="1:16" x14ac:dyDescent="0.2">
      <c r="A575">
        <v>574</v>
      </c>
      <c r="B575" s="1">
        <v>40746</v>
      </c>
      <c r="C575" t="s">
        <v>24</v>
      </c>
      <c r="D575" s="7">
        <v>10</v>
      </c>
      <c r="E575" s="7">
        <v>2</v>
      </c>
      <c r="F575" s="7">
        <f t="shared" si="9"/>
        <v>6</v>
      </c>
      <c r="G575" s="7" t="str">
        <f>LOOKUP(H575,[1]startdates!$A$2:$A$10,[1]startdates!$B$2:$B$10)</f>
        <v>C</v>
      </c>
      <c r="H575">
        <v>5</v>
      </c>
      <c r="M575" s="7">
        <v>261</v>
      </c>
      <c r="N575" s="7">
        <v>219</v>
      </c>
      <c r="O575" s="7">
        <v>153</v>
      </c>
    </row>
    <row r="576" spans="1:16" x14ac:dyDescent="0.2">
      <c r="A576">
        <v>575</v>
      </c>
      <c r="B576" s="1">
        <v>40746</v>
      </c>
      <c r="C576" t="s">
        <v>24</v>
      </c>
      <c r="D576" s="7">
        <v>10</v>
      </c>
      <c r="E576" s="7">
        <v>2</v>
      </c>
      <c r="F576" s="7">
        <f t="shared" si="9"/>
        <v>6</v>
      </c>
      <c r="G576" s="7" t="str">
        <f>LOOKUP(H576,[1]startdates!$A$2:$A$10,[1]startdates!$B$2:$B$10)</f>
        <v>C</v>
      </c>
      <c r="H576">
        <v>5</v>
      </c>
      <c r="N576" s="7">
        <v>195</v>
      </c>
      <c r="O576" s="7">
        <v>160</v>
      </c>
    </row>
    <row r="577" spans="1:18" x14ac:dyDescent="0.2">
      <c r="A577">
        <v>576</v>
      </c>
      <c r="B577" s="1">
        <v>40746</v>
      </c>
      <c r="C577" t="s">
        <v>24</v>
      </c>
      <c r="D577" s="7">
        <v>10</v>
      </c>
      <c r="E577" s="7">
        <v>2</v>
      </c>
      <c r="F577" s="7">
        <f t="shared" si="9"/>
        <v>6</v>
      </c>
      <c r="G577" s="7" t="str">
        <f>LOOKUP(H577,[1]startdates!$A$2:$A$10,[1]startdates!$B$2:$B$10)</f>
        <v>C</v>
      </c>
      <c r="H577">
        <v>5</v>
      </c>
      <c r="N577" s="7">
        <v>237</v>
      </c>
      <c r="O577" s="7">
        <v>194</v>
      </c>
    </row>
    <row r="578" spans="1:18" x14ac:dyDescent="0.2">
      <c r="A578">
        <v>577</v>
      </c>
      <c r="B578" s="1">
        <v>40746</v>
      </c>
      <c r="C578" t="s">
        <v>24</v>
      </c>
      <c r="D578" s="7">
        <v>10</v>
      </c>
      <c r="E578" s="7">
        <v>2</v>
      </c>
      <c r="F578" s="7">
        <f t="shared" si="9"/>
        <v>6</v>
      </c>
      <c r="G578" s="7" t="str">
        <f>LOOKUP(H578,[1]startdates!$A$2:$A$10,[1]startdates!$B$2:$B$10)</f>
        <v>C</v>
      </c>
      <c r="H578">
        <v>5</v>
      </c>
      <c r="N578" s="7">
        <v>220</v>
      </c>
    </row>
    <row r="579" spans="1:18" x14ac:dyDescent="0.2">
      <c r="A579">
        <v>578</v>
      </c>
      <c r="B579" s="1">
        <v>40746</v>
      </c>
      <c r="C579" t="s">
        <v>24</v>
      </c>
      <c r="D579" s="7">
        <v>10</v>
      </c>
      <c r="E579" s="7">
        <v>2</v>
      </c>
      <c r="F579" s="7">
        <f t="shared" si="9"/>
        <v>6</v>
      </c>
      <c r="G579" s="7" t="str">
        <f>LOOKUP(H579,[1]startdates!$A$2:$A$10,[1]startdates!$B$2:$B$10)</f>
        <v>C</v>
      </c>
      <c r="H579">
        <v>5</v>
      </c>
      <c r="N579" s="7">
        <v>182</v>
      </c>
    </row>
    <row r="580" spans="1:18" x14ac:dyDescent="0.2">
      <c r="A580">
        <v>579</v>
      </c>
      <c r="B580" s="1">
        <v>40746</v>
      </c>
      <c r="C580" t="s">
        <v>24</v>
      </c>
      <c r="D580" s="7">
        <v>10</v>
      </c>
      <c r="E580" s="7">
        <v>2</v>
      </c>
      <c r="F580" s="7">
        <f t="shared" si="9"/>
        <v>6</v>
      </c>
      <c r="G580" s="7" t="str">
        <f>LOOKUP(H580,[1]startdates!$A$2:$A$10,[1]startdates!$B$2:$B$10)</f>
        <v>C</v>
      </c>
      <c r="H580">
        <v>5</v>
      </c>
      <c r="N580" s="7">
        <v>201</v>
      </c>
    </row>
    <row r="581" spans="1:18" x14ac:dyDescent="0.2">
      <c r="A581">
        <v>580</v>
      </c>
      <c r="B581" s="1">
        <v>40746</v>
      </c>
      <c r="C581" t="s">
        <v>24</v>
      </c>
      <c r="D581" s="7">
        <v>10</v>
      </c>
      <c r="E581" s="7">
        <v>2</v>
      </c>
      <c r="F581" s="7">
        <f t="shared" si="9"/>
        <v>6</v>
      </c>
      <c r="G581" s="7" t="str">
        <f>LOOKUP(H581,[1]startdates!$A$2:$A$10,[1]startdates!$B$2:$B$10)</f>
        <v>FMr</v>
      </c>
      <c r="H581">
        <v>6</v>
      </c>
      <c r="I581" s="7">
        <v>816</v>
      </c>
      <c r="J581" s="7">
        <v>651</v>
      </c>
      <c r="K581" s="7">
        <v>638</v>
      </c>
      <c r="M581" s="7">
        <v>264</v>
      </c>
      <c r="N581" s="7">
        <v>257</v>
      </c>
      <c r="O581" s="7">
        <v>155</v>
      </c>
      <c r="R581" s="7">
        <v>287</v>
      </c>
    </row>
    <row r="582" spans="1:18" x14ac:dyDescent="0.2">
      <c r="A582">
        <v>581</v>
      </c>
      <c r="B582" s="1">
        <v>40746</v>
      </c>
      <c r="C582" t="s">
        <v>24</v>
      </c>
      <c r="D582" s="7">
        <v>10</v>
      </c>
      <c r="E582" s="7">
        <v>2</v>
      </c>
      <c r="F582" s="7">
        <f t="shared" si="9"/>
        <v>6</v>
      </c>
      <c r="G582" s="7" t="str">
        <f>LOOKUP(H582,[1]startdates!$A$2:$A$10,[1]startdates!$B$2:$B$10)</f>
        <v>FMr</v>
      </c>
      <c r="H582">
        <v>6</v>
      </c>
      <c r="I582" s="7">
        <v>842</v>
      </c>
      <c r="M582" s="7">
        <v>330</v>
      </c>
      <c r="N582" s="7">
        <v>183</v>
      </c>
      <c r="O582" s="7">
        <v>162</v>
      </c>
    </row>
    <row r="583" spans="1:18" x14ac:dyDescent="0.2">
      <c r="A583">
        <v>582</v>
      </c>
      <c r="B583" s="1">
        <v>40746</v>
      </c>
      <c r="C583" t="s">
        <v>24</v>
      </c>
      <c r="D583" s="7">
        <v>10</v>
      </c>
      <c r="E583" s="7">
        <v>2</v>
      </c>
      <c r="F583" s="7">
        <f t="shared" si="9"/>
        <v>6</v>
      </c>
      <c r="G583" s="7" t="str">
        <f>LOOKUP(H583,[1]startdates!$A$2:$A$10,[1]startdates!$B$2:$B$10)</f>
        <v>FMr</v>
      </c>
      <c r="H583">
        <v>6</v>
      </c>
      <c r="M583" s="7">
        <v>332</v>
      </c>
      <c r="N583" s="7">
        <v>262</v>
      </c>
      <c r="O583" s="7">
        <v>157</v>
      </c>
    </row>
    <row r="584" spans="1:18" x14ac:dyDescent="0.2">
      <c r="A584">
        <v>583</v>
      </c>
      <c r="B584" s="1">
        <v>40746</v>
      </c>
      <c r="C584" t="s">
        <v>24</v>
      </c>
      <c r="D584" s="7">
        <v>10</v>
      </c>
      <c r="E584" s="7">
        <v>2</v>
      </c>
      <c r="F584" s="7">
        <f t="shared" si="9"/>
        <v>6</v>
      </c>
      <c r="G584" s="7" t="str">
        <f>LOOKUP(H584,[1]startdates!$A$2:$A$10,[1]startdates!$B$2:$B$10)</f>
        <v>FMr</v>
      </c>
      <c r="H584">
        <v>6</v>
      </c>
      <c r="M584" s="7">
        <v>248</v>
      </c>
      <c r="N584" s="7">
        <v>203</v>
      </c>
      <c r="O584" s="7">
        <v>161</v>
      </c>
    </row>
    <row r="585" spans="1:18" x14ac:dyDescent="0.2">
      <c r="A585">
        <v>584</v>
      </c>
      <c r="B585" s="1">
        <v>40746</v>
      </c>
      <c r="C585" t="s">
        <v>24</v>
      </c>
      <c r="D585" s="7">
        <v>10</v>
      </c>
      <c r="E585" s="7">
        <v>2</v>
      </c>
      <c r="F585" s="7">
        <f t="shared" si="9"/>
        <v>6</v>
      </c>
      <c r="G585" s="7" t="str">
        <f>LOOKUP(H585,[1]startdates!$A$2:$A$10,[1]startdates!$B$2:$B$10)</f>
        <v>FMr</v>
      </c>
      <c r="H585">
        <v>6</v>
      </c>
      <c r="M585" s="7">
        <v>340</v>
      </c>
      <c r="N585" s="7">
        <v>168</v>
      </c>
      <c r="O585" s="7">
        <v>176</v>
      </c>
    </row>
    <row r="586" spans="1:18" x14ac:dyDescent="0.2">
      <c r="A586">
        <v>585</v>
      </c>
      <c r="B586" s="1">
        <v>40746</v>
      </c>
      <c r="C586" t="s">
        <v>24</v>
      </c>
      <c r="D586" s="7">
        <v>10</v>
      </c>
      <c r="E586" s="7">
        <v>2</v>
      </c>
      <c r="F586" s="7">
        <f t="shared" si="9"/>
        <v>6</v>
      </c>
      <c r="G586" s="7" t="str">
        <f>LOOKUP(H586,[1]startdates!$A$2:$A$10,[1]startdates!$B$2:$B$10)</f>
        <v>FMr</v>
      </c>
      <c r="H586">
        <v>6</v>
      </c>
      <c r="N586" s="7">
        <v>187</v>
      </c>
      <c r="O586" s="7">
        <v>183</v>
      </c>
    </row>
    <row r="587" spans="1:18" x14ac:dyDescent="0.2">
      <c r="A587">
        <v>586</v>
      </c>
      <c r="B587" s="1">
        <v>40746</v>
      </c>
      <c r="C587" t="s">
        <v>24</v>
      </c>
      <c r="D587" s="7">
        <v>10</v>
      </c>
      <c r="E587" s="7">
        <v>2</v>
      </c>
      <c r="F587" s="7">
        <f t="shared" si="9"/>
        <v>6</v>
      </c>
      <c r="G587" s="7" t="str">
        <f>LOOKUP(H587,[1]startdates!$A$2:$A$10,[1]startdates!$B$2:$B$10)</f>
        <v>FMr</v>
      </c>
      <c r="H587">
        <v>6</v>
      </c>
      <c r="N587" s="7">
        <v>245</v>
      </c>
    </row>
    <row r="588" spans="1:18" x14ac:dyDescent="0.2">
      <c r="A588">
        <v>587</v>
      </c>
      <c r="B588" s="1">
        <v>40746</v>
      </c>
      <c r="C588" t="s">
        <v>24</v>
      </c>
      <c r="D588" s="7">
        <v>10</v>
      </c>
      <c r="E588" s="7">
        <v>2</v>
      </c>
      <c r="F588" s="7">
        <f t="shared" si="9"/>
        <v>6</v>
      </c>
      <c r="G588" s="7" t="str">
        <f>LOOKUP(H588,[1]startdates!$A$2:$A$10,[1]startdates!$B$2:$B$10)</f>
        <v>FMr</v>
      </c>
      <c r="H588">
        <v>6</v>
      </c>
      <c r="N588" s="7">
        <v>174</v>
      </c>
    </row>
    <row r="589" spans="1:18" x14ac:dyDescent="0.2">
      <c r="A589">
        <v>588</v>
      </c>
      <c r="B589" s="1">
        <v>40746</v>
      </c>
      <c r="C589" t="s">
        <v>24</v>
      </c>
      <c r="D589" s="7">
        <v>10</v>
      </c>
      <c r="E589" s="7">
        <v>2</v>
      </c>
      <c r="F589" s="7">
        <f t="shared" si="9"/>
        <v>6</v>
      </c>
      <c r="G589" s="7" t="str">
        <f>LOOKUP(H589,[1]startdates!$A$2:$A$10,[1]startdates!$B$2:$B$10)</f>
        <v>FMr</v>
      </c>
      <c r="H589">
        <v>6</v>
      </c>
      <c r="N589" s="7">
        <v>198</v>
      </c>
    </row>
    <row r="590" spans="1:18" x14ac:dyDescent="0.2">
      <c r="A590">
        <v>589</v>
      </c>
      <c r="B590" s="1">
        <v>40746</v>
      </c>
      <c r="C590" t="s">
        <v>24</v>
      </c>
      <c r="D590" s="7">
        <v>10</v>
      </c>
      <c r="E590" s="7">
        <v>2</v>
      </c>
      <c r="F590" s="7">
        <f t="shared" si="9"/>
        <v>6</v>
      </c>
      <c r="G590" s="7" t="str">
        <f>LOOKUP(H590,[1]startdates!$A$2:$A$10,[1]startdates!$B$2:$B$10)</f>
        <v>FMr</v>
      </c>
      <c r="H590">
        <v>6</v>
      </c>
      <c r="N590" s="7">
        <v>230</v>
      </c>
    </row>
    <row r="591" spans="1:18" x14ac:dyDescent="0.2">
      <c r="A591">
        <v>590</v>
      </c>
      <c r="B591" s="1">
        <v>40746</v>
      </c>
      <c r="C591" t="s">
        <v>24</v>
      </c>
      <c r="D591" s="7">
        <v>10</v>
      </c>
      <c r="E591" s="7">
        <v>2</v>
      </c>
      <c r="F591" s="7">
        <f t="shared" si="9"/>
        <v>6</v>
      </c>
      <c r="G591" s="7" t="str">
        <f>LOOKUP(H591,[1]startdates!$A$2:$A$10,[1]startdates!$B$2:$B$10)</f>
        <v>FMr</v>
      </c>
      <c r="H591">
        <v>6</v>
      </c>
      <c r="N591" s="7">
        <v>209</v>
      </c>
    </row>
    <row r="592" spans="1:18" x14ac:dyDescent="0.2">
      <c r="A592">
        <v>591</v>
      </c>
      <c r="B592" s="1">
        <v>40746</v>
      </c>
      <c r="C592" t="s">
        <v>24</v>
      </c>
      <c r="D592" s="7">
        <v>10</v>
      </c>
      <c r="E592" s="7">
        <v>2</v>
      </c>
      <c r="F592" s="7">
        <f t="shared" si="9"/>
        <v>6</v>
      </c>
      <c r="G592" s="7" t="str">
        <f>LOOKUP(H592,[1]startdates!$A$2:$A$10,[1]startdates!$B$2:$B$10)</f>
        <v>FMr</v>
      </c>
      <c r="H592">
        <v>6</v>
      </c>
      <c r="N592" s="7">
        <v>201</v>
      </c>
    </row>
    <row r="593" spans="1:18" x14ac:dyDescent="0.2">
      <c r="A593">
        <v>592</v>
      </c>
      <c r="B593" s="1">
        <v>40746</v>
      </c>
      <c r="C593" t="s">
        <v>24</v>
      </c>
      <c r="D593" s="7">
        <v>10</v>
      </c>
      <c r="E593" s="7">
        <v>2</v>
      </c>
      <c r="F593" s="7">
        <f t="shared" si="9"/>
        <v>6</v>
      </c>
      <c r="G593" s="7" t="str">
        <f>LOOKUP(H593,[1]startdates!$A$2:$A$10,[1]startdates!$B$2:$B$10)</f>
        <v>FMr</v>
      </c>
      <c r="H593">
        <v>7</v>
      </c>
      <c r="I593" s="7">
        <v>904</v>
      </c>
      <c r="K593" s="7">
        <v>729</v>
      </c>
      <c r="L593" s="7">
        <v>422</v>
      </c>
      <c r="M593" s="7">
        <v>384</v>
      </c>
      <c r="N593" s="7">
        <v>195</v>
      </c>
      <c r="O593" s="7">
        <v>136</v>
      </c>
      <c r="P593" s="7">
        <v>582</v>
      </c>
      <c r="Q593" s="7">
        <v>422</v>
      </c>
      <c r="R593" s="7">
        <v>201</v>
      </c>
    </row>
    <row r="594" spans="1:18" x14ac:dyDescent="0.2">
      <c r="A594">
        <v>593</v>
      </c>
      <c r="B594" s="1">
        <v>40746</v>
      </c>
      <c r="C594" t="s">
        <v>24</v>
      </c>
      <c r="D594" s="7">
        <v>10</v>
      </c>
      <c r="E594" s="7">
        <v>2</v>
      </c>
      <c r="F594" s="7">
        <f t="shared" si="9"/>
        <v>6</v>
      </c>
      <c r="G594" s="7" t="str">
        <f>LOOKUP(H594,[1]startdates!$A$2:$A$10,[1]startdates!$B$2:$B$10)</f>
        <v>FMr</v>
      </c>
      <c r="H594">
        <v>7</v>
      </c>
      <c r="I594" s="7">
        <v>833</v>
      </c>
      <c r="L594" s="7">
        <v>409</v>
      </c>
      <c r="M594" s="7">
        <v>364</v>
      </c>
      <c r="N594" s="7">
        <v>263</v>
      </c>
      <c r="O594" s="7">
        <v>155</v>
      </c>
      <c r="P594" s="7">
        <v>483</v>
      </c>
    </row>
    <row r="595" spans="1:18" x14ac:dyDescent="0.2">
      <c r="A595">
        <v>594</v>
      </c>
      <c r="B595" s="1">
        <v>40746</v>
      </c>
      <c r="C595" t="s">
        <v>24</v>
      </c>
      <c r="D595" s="7">
        <v>10</v>
      </c>
      <c r="E595" s="7">
        <v>2</v>
      </c>
      <c r="F595" s="7">
        <f t="shared" si="9"/>
        <v>6</v>
      </c>
      <c r="G595" s="7" t="str">
        <f>LOOKUP(H595,[1]startdates!$A$2:$A$10,[1]startdates!$B$2:$B$10)</f>
        <v>FMr</v>
      </c>
      <c r="H595">
        <v>7</v>
      </c>
      <c r="I595" s="7">
        <v>774</v>
      </c>
      <c r="M595" s="7">
        <v>259</v>
      </c>
      <c r="N595" s="7">
        <v>286</v>
      </c>
      <c r="O595" s="7">
        <v>147</v>
      </c>
    </row>
    <row r="596" spans="1:18" x14ac:dyDescent="0.2">
      <c r="A596">
        <v>595</v>
      </c>
      <c r="B596" s="1">
        <v>40746</v>
      </c>
      <c r="C596" t="s">
        <v>24</v>
      </c>
      <c r="D596" s="7">
        <v>10</v>
      </c>
      <c r="E596" s="7">
        <v>2</v>
      </c>
      <c r="F596" s="7">
        <f t="shared" si="9"/>
        <v>6</v>
      </c>
      <c r="G596" s="7" t="str">
        <f>LOOKUP(H596,[1]startdates!$A$2:$A$10,[1]startdates!$B$2:$B$10)</f>
        <v>FMr</v>
      </c>
      <c r="H596">
        <v>7</v>
      </c>
      <c r="M596" s="7">
        <v>284</v>
      </c>
      <c r="N596" s="7">
        <v>195</v>
      </c>
      <c r="O596" s="7">
        <v>142</v>
      </c>
    </row>
    <row r="597" spans="1:18" x14ac:dyDescent="0.2">
      <c r="A597">
        <v>596</v>
      </c>
      <c r="B597" s="1">
        <v>40746</v>
      </c>
      <c r="C597" t="s">
        <v>24</v>
      </c>
      <c r="D597" s="7">
        <v>10</v>
      </c>
      <c r="E597" s="7">
        <v>2</v>
      </c>
      <c r="F597" s="7">
        <f t="shared" si="9"/>
        <v>6</v>
      </c>
      <c r="G597" s="7" t="str">
        <f>LOOKUP(H597,[1]startdates!$A$2:$A$10,[1]startdates!$B$2:$B$10)</f>
        <v>FMr</v>
      </c>
      <c r="H597">
        <v>7</v>
      </c>
      <c r="M597" s="7">
        <v>271</v>
      </c>
      <c r="N597" s="7">
        <v>201</v>
      </c>
      <c r="O597" s="7">
        <v>154</v>
      </c>
    </row>
    <row r="598" spans="1:18" x14ac:dyDescent="0.2">
      <c r="A598">
        <v>597</v>
      </c>
      <c r="B598" s="1">
        <v>40746</v>
      </c>
      <c r="C598" t="s">
        <v>24</v>
      </c>
      <c r="D598" s="7">
        <v>10</v>
      </c>
      <c r="E598" s="7">
        <v>2</v>
      </c>
      <c r="F598" s="7">
        <f t="shared" si="9"/>
        <v>6</v>
      </c>
      <c r="G598" s="7" t="str">
        <f>LOOKUP(H598,[1]startdates!$A$2:$A$10,[1]startdates!$B$2:$B$10)</f>
        <v>FMr</v>
      </c>
      <c r="H598">
        <v>7</v>
      </c>
      <c r="N598" s="7">
        <v>245</v>
      </c>
      <c r="O598" s="7">
        <v>175</v>
      </c>
    </row>
    <row r="599" spans="1:18" x14ac:dyDescent="0.2">
      <c r="A599">
        <v>598</v>
      </c>
      <c r="B599" s="1">
        <v>40746</v>
      </c>
      <c r="C599" t="s">
        <v>24</v>
      </c>
      <c r="D599" s="7">
        <v>10</v>
      </c>
      <c r="E599" s="7">
        <v>2</v>
      </c>
      <c r="F599" s="7">
        <f t="shared" si="9"/>
        <v>6</v>
      </c>
      <c r="G599" s="7" t="str">
        <f>LOOKUP(H599,[1]startdates!$A$2:$A$10,[1]startdates!$B$2:$B$10)</f>
        <v>FMr</v>
      </c>
      <c r="H599">
        <v>7</v>
      </c>
      <c r="N599" s="7">
        <v>241</v>
      </c>
      <c r="O599" s="7">
        <v>164</v>
      </c>
    </row>
    <row r="600" spans="1:18" x14ac:dyDescent="0.2">
      <c r="A600">
        <v>599</v>
      </c>
      <c r="B600" s="1">
        <v>40746</v>
      </c>
      <c r="C600" t="s">
        <v>24</v>
      </c>
      <c r="D600" s="7">
        <v>10</v>
      </c>
      <c r="E600" s="7">
        <v>2</v>
      </c>
      <c r="F600" s="7">
        <f t="shared" si="9"/>
        <v>6</v>
      </c>
      <c r="G600" s="7" t="str">
        <f>LOOKUP(H600,[1]startdates!$A$2:$A$10,[1]startdates!$B$2:$B$10)</f>
        <v>FMr</v>
      </c>
      <c r="H600">
        <v>7</v>
      </c>
      <c r="N600" s="7">
        <v>216</v>
      </c>
      <c r="O600" s="7">
        <v>166</v>
      </c>
    </row>
    <row r="601" spans="1:18" x14ac:dyDescent="0.2">
      <c r="A601">
        <v>600</v>
      </c>
      <c r="B601" s="1">
        <v>40746</v>
      </c>
      <c r="C601" t="s">
        <v>24</v>
      </c>
      <c r="D601" s="7">
        <v>10</v>
      </c>
      <c r="E601" s="7">
        <v>2</v>
      </c>
      <c r="F601" s="7">
        <f t="shared" si="9"/>
        <v>6</v>
      </c>
      <c r="G601" s="7" t="str">
        <f>LOOKUP(H601,[1]startdates!$A$2:$A$10,[1]startdates!$B$2:$B$10)</f>
        <v>FMr</v>
      </c>
      <c r="H601">
        <v>7</v>
      </c>
      <c r="N601" s="7">
        <v>210</v>
      </c>
      <c r="O601" s="7">
        <v>166</v>
      </c>
    </row>
    <row r="602" spans="1:18" x14ac:dyDescent="0.2">
      <c r="A602">
        <v>601</v>
      </c>
      <c r="B602" s="1">
        <v>40746</v>
      </c>
      <c r="C602" t="s">
        <v>24</v>
      </c>
      <c r="D602" s="7">
        <v>10</v>
      </c>
      <c r="E602" s="7">
        <v>2</v>
      </c>
      <c r="F602" s="7">
        <f t="shared" si="9"/>
        <v>6</v>
      </c>
      <c r="G602" s="7" t="str">
        <f>LOOKUP(H602,[1]startdates!$A$2:$A$10,[1]startdates!$B$2:$B$10)</f>
        <v>FMr</v>
      </c>
      <c r="H602">
        <v>7</v>
      </c>
      <c r="N602" s="7">
        <v>206</v>
      </c>
      <c r="O602" s="7">
        <v>174</v>
      </c>
    </row>
    <row r="603" spans="1:18" x14ac:dyDescent="0.2">
      <c r="A603">
        <v>602</v>
      </c>
      <c r="B603" s="1">
        <v>40746</v>
      </c>
      <c r="C603" t="s">
        <v>24</v>
      </c>
      <c r="D603" s="7">
        <v>10</v>
      </c>
      <c r="E603" s="7">
        <v>2</v>
      </c>
      <c r="F603" s="7">
        <f t="shared" si="9"/>
        <v>6</v>
      </c>
      <c r="G603" s="7" t="str">
        <f>LOOKUP(H603,[1]startdates!$A$2:$A$10,[1]startdates!$B$2:$B$10)</f>
        <v>FMr</v>
      </c>
      <c r="H603">
        <v>7</v>
      </c>
      <c r="O603" s="7">
        <v>167</v>
      </c>
    </row>
    <row r="604" spans="1:18" x14ac:dyDescent="0.2">
      <c r="A604">
        <v>603</v>
      </c>
      <c r="B604" s="1">
        <v>40746</v>
      </c>
      <c r="C604" t="s">
        <v>24</v>
      </c>
      <c r="D604" s="7">
        <v>10</v>
      </c>
      <c r="E604" s="7">
        <v>2</v>
      </c>
      <c r="F604" s="7">
        <f t="shared" si="9"/>
        <v>6</v>
      </c>
      <c r="G604" s="7" t="str">
        <f>LOOKUP(H604,[1]startdates!$A$2:$A$10,[1]startdates!$B$2:$B$10)</f>
        <v>C</v>
      </c>
      <c r="H604">
        <v>8</v>
      </c>
      <c r="I604" s="7">
        <v>748</v>
      </c>
      <c r="K604" s="7">
        <v>710</v>
      </c>
      <c r="L604" s="7">
        <v>397</v>
      </c>
      <c r="M604" s="7">
        <v>381</v>
      </c>
      <c r="N604" s="7">
        <v>211</v>
      </c>
    </row>
    <row r="605" spans="1:18" x14ac:dyDescent="0.2">
      <c r="A605">
        <v>604</v>
      </c>
      <c r="B605" s="1">
        <v>40746</v>
      </c>
      <c r="C605" t="s">
        <v>24</v>
      </c>
      <c r="D605" s="7">
        <v>10</v>
      </c>
      <c r="E605" s="7">
        <v>2</v>
      </c>
      <c r="F605" s="7">
        <f t="shared" si="9"/>
        <v>6</v>
      </c>
      <c r="G605" s="7" t="str">
        <f>LOOKUP(H605,[1]startdates!$A$2:$A$10,[1]startdates!$B$2:$B$10)</f>
        <v>C</v>
      </c>
      <c r="H605">
        <v>8</v>
      </c>
      <c r="I605" s="7">
        <v>761</v>
      </c>
      <c r="K605" s="7">
        <v>695</v>
      </c>
      <c r="M605" s="7">
        <v>344</v>
      </c>
      <c r="N605" s="7">
        <v>227</v>
      </c>
    </row>
    <row r="606" spans="1:18" x14ac:dyDescent="0.2">
      <c r="A606">
        <v>605</v>
      </c>
      <c r="B606" s="1">
        <v>40746</v>
      </c>
      <c r="C606" t="s">
        <v>24</v>
      </c>
      <c r="D606" s="7">
        <v>10</v>
      </c>
      <c r="E606" s="7">
        <v>2</v>
      </c>
      <c r="F606" s="7">
        <f t="shared" si="9"/>
        <v>6</v>
      </c>
      <c r="G606" s="7" t="str">
        <f>LOOKUP(H606,[1]startdates!$A$2:$A$10,[1]startdates!$B$2:$B$10)</f>
        <v>C</v>
      </c>
      <c r="H606">
        <v>8</v>
      </c>
      <c r="I606" s="7">
        <v>787</v>
      </c>
      <c r="K606" s="7">
        <v>646</v>
      </c>
      <c r="M606" s="7">
        <v>277</v>
      </c>
      <c r="N606" s="7">
        <v>252</v>
      </c>
    </row>
    <row r="607" spans="1:18" x14ac:dyDescent="0.2">
      <c r="A607">
        <v>606</v>
      </c>
      <c r="B607" s="1">
        <v>40746</v>
      </c>
      <c r="C607" t="s">
        <v>24</v>
      </c>
      <c r="D607" s="7">
        <v>10</v>
      </c>
      <c r="E607" s="7">
        <v>2</v>
      </c>
      <c r="F607" s="7">
        <f t="shared" si="9"/>
        <v>6</v>
      </c>
      <c r="G607" s="7" t="str">
        <f>LOOKUP(H607,[1]startdates!$A$2:$A$10,[1]startdates!$B$2:$B$10)</f>
        <v>C</v>
      </c>
      <c r="H607">
        <v>8</v>
      </c>
      <c r="I607" s="7">
        <v>772</v>
      </c>
      <c r="N607" s="7">
        <v>198</v>
      </c>
    </row>
    <row r="608" spans="1:18" x14ac:dyDescent="0.2">
      <c r="A608">
        <v>607</v>
      </c>
      <c r="B608" s="1">
        <v>40746</v>
      </c>
      <c r="C608" t="s">
        <v>24</v>
      </c>
      <c r="D608" s="7">
        <v>10</v>
      </c>
      <c r="E608" s="7">
        <v>2</v>
      </c>
      <c r="F608" s="7">
        <f t="shared" si="9"/>
        <v>6</v>
      </c>
      <c r="G608" s="7" t="str">
        <f>LOOKUP(H608,[1]startdates!$A$2:$A$10,[1]startdates!$B$2:$B$10)</f>
        <v>C</v>
      </c>
      <c r="H608">
        <v>8</v>
      </c>
      <c r="I608" s="7">
        <v>744</v>
      </c>
    </row>
    <row r="609" spans="1:18" x14ac:dyDescent="0.2">
      <c r="A609">
        <v>608</v>
      </c>
      <c r="B609" s="1">
        <v>40746</v>
      </c>
      <c r="C609" t="s">
        <v>24</v>
      </c>
      <c r="D609" s="7">
        <v>10</v>
      </c>
      <c r="E609" s="7">
        <v>2</v>
      </c>
      <c r="F609" s="7">
        <f t="shared" si="9"/>
        <v>6</v>
      </c>
      <c r="G609" s="7" t="str">
        <f>LOOKUP(H609,[1]startdates!$A$2:$A$10,[1]startdates!$B$2:$B$10)</f>
        <v>FMr</v>
      </c>
      <c r="H609">
        <v>9</v>
      </c>
      <c r="I609" s="7">
        <v>834</v>
      </c>
      <c r="J609" s="7">
        <v>657</v>
      </c>
      <c r="K609" s="7">
        <v>553</v>
      </c>
      <c r="M609" s="7">
        <v>347</v>
      </c>
      <c r="N609" s="7">
        <v>234</v>
      </c>
      <c r="O609" s="7">
        <v>161</v>
      </c>
    </row>
    <row r="610" spans="1:18" x14ac:dyDescent="0.2">
      <c r="A610">
        <v>609</v>
      </c>
      <c r="B610" s="1">
        <v>40746</v>
      </c>
      <c r="C610" t="s">
        <v>24</v>
      </c>
      <c r="D610" s="7">
        <v>10</v>
      </c>
      <c r="E610" s="7">
        <v>2</v>
      </c>
      <c r="F610" s="7">
        <f t="shared" si="9"/>
        <v>6</v>
      </c>
      <c r="G610" s="7" t="str">
        <f>LOOKUP(H610,[1]startdates!$A$2:$A$10,[1]startdates!$B$2:$B$10)</f>
        <v>FMr</v>
      </c>
      <c r="H610">
        <v>9</v>
      </c>
      <c r="I610" s="7">
        <v>627</v>
      </c>
      <c r="K610" s="7">
        <v>646</v>
      </c>
      <c r="M610" s="7">
        <v>363</v>
      </c>
      <c r="N610" s="7">
        <v>185</v>
      </c>
      <c r="O610" s="7">
        <v>155</v>
      </c>
    </row>
    <row r="611" spans="1:18" x14ac:dyDescent="0.2">
      <c r="A611">
        <v>610</v>
      </c>
      <c r="B611" s="1">
        <v>40746</v>
      </c>
      <c r="C611" t="s">
        <v>24</v>
      </c>
      <c r="D611" s="7">
        <v>10</v>
      </c>
      <c r="E611" s="7">
        <v>2</v>
      </c>
      <c r="F611" s="7">
        <f t="shared" si="9"/>
        <v>6</v>
      </c>
      <c r="G611" s="7" t="str">
        <f>LOOKUP(H611,[1]startdates!$A$2:$A$10,[1]startdates!$B$2:$B$10)</f>
        <v>FMr</v>
      </c>
      <c r="H611">
        <v>9</v>
      </c>
      <c r="I611" s="7">
        <v>651</v>
      </c>
      <c r="M611" s="7">
        <v>298</v>
      </c>
      <c r="N611" s="7">
        <v>213</v>
      </c>
      <c r="O611" s="7">
        <v>172</v>
      </c>
    </row>
    <row r="612" spans="1:18" x14ac:dyDescent="0.2">
      <c r="A612">
        <v>611</v>
      </c>
      <c r="B612" s="1">
        <v>40746</v>
      </c>
      <c r="C612" t="s">
        <v>24</v>
      </c>
      <c r="D612" s="7">
        <v>10</v>
      </c>
      <c r="E612" s="7">
        <v>2</v>
      </c>
      <c r="F612" s="7">
        <f t="shared" si="9"/>
        <v>6</v>
      </c>
      <c r="G612" s="7" t="str">
        <f>LOOKUP(H612,[1]startdates!$A$2:$A$10,[1]startdates!$B$2:$B$10)</f>
        <v>FMr</v>
      </c>
      <c r="H612">
        <v>9</v>
      </c>
      <c r="I612" s="7">
        <v>722</v>
      </c>
      <c r="N612" s="7">
        <v>196</v>
      </c>
      <c r="O612" s="7">
        <v>182</v>
      </c>
    </row>
    <row r="613" spans="1:18" x14ac:dyDescent="0.2">
      <c r="A613">
        <v>612</v>
      </c>
      <c r="B613" s="1">
        <v>40746</v>
      </c>
      <c r="C613" t="s">
        <v>24</v>
      </c>
      <c r="D613" s="7">
        <v>10</v>
      </c>
      <c r="E613" s="7">
        <v>2</v>
      </c>
      <c r="F613" s="7">
        <f t="shared" si="9"/>
        <v>6</v>
      </c>
      <c r="G613" s="7" t="str">
        <f>LOOKUP(H613,[1]startdates!$A$2:$A$10,[1]startdates!$B$2:$B$10)</f>
        <v>FMr</v>
      </c>
      <c r="H613">
        <v>9</v>
      </c>
      <c r="I613" s="7">
        <v>854</v>
      </c>
      <c r="N613" s="7">
        <v>189</v>
      </c>
      <c r="O613" s="7">
        <v>173</v>
      </c>
    </row>
    <row r="614" spans="1:18" x14ac:dyDescent="0.2">
      <c r="A614">
        <v>613</v>
      </c>
      <c r="B614" s="1">
        <v>40746</v>
      </c>
      <c r="C614" t="s">
        <v>24</v>
      </c>
      <c r="D614" s="7">
        <v>10</v>
      </c>
      <c r="E614" s="7">
        <v>2</v>
      </c>
      <c r="F614" s="7">
        <f t="shared" si="9"/>
        <v>6</v>
      </c>
      <c r="G614" s="7" t="str">
        <f>LOOKUP(H614,[1]startdates!$A$2:$A$10,[1]startdates!$B$2:$B$10)</f>
        <v>FMr</v>
      </c>
      <c r="H614">
        <v>9</v>
      </c>
      <c r="I614" s="7">
        <v>853</v>
      </c>
      <c r="N614" s="7">
        <v>197</v>
      </c>
      <c r="O614" s="7">
        <v>181</v>
      </c>
    </row>
    <row r="615" spans="1:18" x14ac:dyDescent="0.2">
      <c r="A615">
        <v>614</v>
      </c>
      <c r="B615" s="1">
        <v>40746</v>
      </c>
      <c r="C615" t="s">
        <v>24</v>
      </c>
      <c r="D615" s="7">
        <v>10</v>
      </c>
      <c r="E615" s="7">
        <v>2</v>
      </c>
      <c r="F615" s="7">
        <f t="shared" si="9"/>
        <v>6</v>
      </c>
      <c r="G615" s="7" t="str">
        <f>LOOKUP(H615,[1]startdates!$A$2:$A$10,[1]startdates!$B$2:$B$10)</f>
        <v>FMr</v>
      </c>
      <c r="H615">
        <v>9</v>
      </c>
      <c r="I615" s="7">
        <v>788</v>
      </c>
      <c r="N615" s="7">
        <v>199</v>
      </c>
      <c r="O615" s="7">
        <v>170</v>
      </c>
    </row>
    <row r="616" spans="1:18" x14ac:dyDescent="0.2">
      <c r="A616">
        <v>615</v>
      </c>
      <c r="B616" s="1">
        <v>40746</v>
      </c>
      <c r="C616" t="s">
        <v>24</v>
      </c>
      <c r="D616" s="7">
        <v>10</v>
      </c>
      <c r="E616" s="7">
        <v>2</v>
      </c>
      <c r="F616" s="7">
        <f t="shared" si="9"/>
        <v>6</v>
      </c>
      <c r="G616" s="7" t="str">
        <f>LOOKUP(H616,[1]startdates!$A$2:$A$10,[1]startdates!$B$2:$B$10)</f>
        <v>FMr</v>
      </c>
      <c r="H616">
        <v>9</v>
      </c>
      <c r="N616" s="7">
        <v>219</v>
      </c>
      <c r="O616" s="7">
        <v>155</v>
      </c>
    </row>
    <row r="617" spans="1:18" x14ac:dyDescent="0.2">
      <c r="A617">
        <v>616</v>
      </c>
      <c r="B617" s="1">
        <v>40746</v>
      </c>
      <c r="C617" t="s">
        <v>24</v>
      </c>
      <c r="D617" s="7">
        <v>10</v>
      </c>
      <c r="E617" s="7">
        <v>2</v>
      </c>
      <c r="F617" s="7">
        <f t="shared" ref="F617:F680" si="10">WEEKDAY(B617)</f>
        <v>6</v>
      </c>
      <c r="G617" s="7" t="str">
        <f>LOOKUP(H617,[1]startdates!$A$2:$A$10,[1]startdates!$B$2:$B$10)</f>
        <v>FMr</v>
      </c>
      <c r="H617">
        <v>9</v>
      </c>
      <c r="N617" s="7">
        <v>233</v>
      </c>
      <c r="O617" s="7">
        <v>172</v>
      </c>
    </row>
    <row r="618" spans="1:18" x14ac:dyDescent="0.2">
      <c r="A618">
        <v>617</v>
      </c>
      <c r="B618" s="1">
        <v>40746</v>
      </c>
      <c r="C618" t="s">
        <v>24</v>
      </c>
      <c r="D618" s="7">
        <v>10</v>
      </c>
      <c r="E618" s="7">
        <v>2</v>
      </c>
      <c r="F618" s="7">
        <f t="shared" si="10"/>
        <v>6</v>
      </c>
      <c r="G618" s="7" t="str">
        <f>LOOKUP(H618,[1]startdates!$A$2:$A$10,[1]startdates!$B$2:$B$10)</f>
        <v>FMr</v>
      </c>
      <c r="H618">
        <v>9</v>
      </c>
      <c r="N618" s="7">
        <v>222</v>
      </c>
    </row>
    <row r="619" spans="1:18" x14ac:dyDescent="0.2">
      <c r="A619">
        <v>618</v>
      </c>
      <c r="B619" s="1">
        <v>40746</v>
      </c>
      <c r="C619" t="s">
        <v>24</v>
      </c>
      <c r="D619" s="7">
        <v>10</v>
      </c>
      <c r="E619" s="7">
        <v>2</v>
      </c>
      <c r="F619" s="7">
        <f t="shared" si="10"/>
        <v>6</v>
      </c>
      <c r="G619" s="7" t="str">
        <f>LOOKUP(H619,[1]startdates!$A$2:$A$10,[1]startdates!$B$2:$B$10)</f>
        <v>FMr</v>
      </c>
      <c r="H619">
        <v>9</v>
      </c>
      <c r="N619" s="7">
        <v>183</v>
      </c>
    </row>
    <row r="620" spans="1:18" x14ac:dyDescent="0.2">
      <c r="A620">
        <v>619</v>
      </c>
      <c r="B620" s="1">
        <v>40746</v>
      </c>
      <c r="C620" t="s">
        <v>24</v>
      </c>
      <c r="D620" s="7">
        <v>10</v>
      </c>
      <c r="E620" s="7">
        <v>2</v>
      </c>
      <c r="F620" s="7">
        <f t="shared" si="10"/>
        <v>6</v>
      </c>
      <c r="G620" s="7" t="str">
        <f>LOOKUP(H620,[1]startdates!$A$2:$A$10,[1]startdates!$B$2:$B$10)</f>
        <v>FMr</v>
      </c>
      <c r="H620">
        <v>9</v>
      </c>
      <c r="N620" s="7">
        <v>191</v>
      </c>
    </row>
    <row r="621" spans="1:18" x14ac:dyDescent="0.2">
      <c r="A621">
        <v>620</v>
      </c>
      <c r="B621" s="1">
        <v>40749</v>
      </c>
      <c r="C621" t="s">
        <v>24</v>
      </c>
      <c r="D621" s="7">
        <v>13</v>
      </c>
      <c r="E621" s="7">
        <v>3</v>
      </c>
      <c r="F621" s="7">
        <f t="shared" si="10"/>
        <v>2</v>
      </c>
      <c r="G621" s="7" t="str">
        <f>LOOKUP(H621,[1]startdates!$A$2:$A$10,[1]startdates!$B$2:$B$10)</f>
        <v>SMr</v>
      </c>
      <c r="H621">
        <v>1</v>
      </c>
      <c r="I621" s="7">
        <v>804</v>
      </c>
      <c r="K621" s="7">
        <v>744</v>
      </c>
      <c r="L621" s="7">
        <v>461</v>
      </c>
      <c r="M621" s="7">
        <v>361</v>
      </c>
      <c r="N621" s="7">
        <v>233</v>
      </c>
      <c r="O621" s="7">
        <v>126</v>
      </c>
      <c r="Q621" s="7">
        <v>365</v>
      </c>
      <c r="R621" s="7">
        <v>286</v>
      </c>
    </row>
    <row r="622" spans="1:18" x14ac:dyDescent="0.2">
      <c r="A622">
        <v>621</v>
      </c>
      <c r="B622" s="1">
        <v>40749</v>
      </c>
      <c r="C622" t="s">
        <v>24</v>
      </c>
      <c r="D622" s="7">
        <v>13</v>
      </c>
      <c r="E622" s="7">
        <v>3</v>
      </c>
      <c r="F622" s="7">
        <f t="shared" si="10"/>
        <v>2</v>
      </c>
      <c r="G622" s="7" t="str">
        <f>LOOKUP(H622,[1]startdates!$A$2:$A$10,[1]startdates!$B$2:$B$10)</f>
        <v>SMr</v>
      </c>
      <c r="H622">
        <v>1</v>
      </c>
      <c r="I622" s="7">
        <v>824</v>
      </c>
      <c r="K622" s="7">
        <v>629</v>
      </c>
      <c r="L622" s="7">
        <v>432</v>
      </c>
      <c r="M622" s="7">
        <v>260</v>
      </c>
      <c r="N622" s="7">
        <v>176</v>
      </c>
      <c r="O622" s="7">
        <v>146</v>
      </c>
      <c r="R622" s="7">
        <v>257</v>
      </c>
    </row>
    <row r="623" spans="1:18" x14ac:dyDescent="0.2">
      <c r="A623">
        <v>622</v>
      </c>
      <c r="B623" s="1">
        <v>40749</v>
      </c>
      <c r="C623" t="s">
        <v>24</v>
      </c>
      <c r="D623" s="7">
        <v>13</v>
      </c>
      <c r="E623" s="7">
        <v>3</v>
      </c>
      <c r="F623" s="7">
        <f t="shared" si="10"/>
        <v>2</v>
      </c>
      <c r="G623" s="7" t="str">
        <f>LOOKUP(H623,[1]startdates!$A$2:$A$10,[1]startdates!$B$2:$B$10)</f>
        <v>SMr</v>
      </c>
      <c r="H623">
        <v>1</v>
      </c>
      <c r="I623" s="7">
        <v>992</v>
      </c>
      <c r="L623" s="7">
        <v>424</v>
      </c>
      <c r="M623" s="7">
        <v>250</v>
      </c>
      <c r="N623" s="7">
        <v>227</v>
      </c>
      <c r="O623" s="7">
        <v>165</v>
      </c>
      <c r="R623" s="7">
        <v>281</v>
      </c>
    </row>
    <row r="624" spans="1:18" x14ac:dyDescent="0.2">
      <c r="A624">
        <v>623</v>
      </c>
      <c r="B624" s="1">
        <v>40749</v>
      </c>
      <c r="C624" t="s">
        <v>24</v>
      </c>
      <c r="D624" s="7">
        <v>13</v>
      </c>
      <c r="E624" s="7">
        <v>3</v>
      </c>
      <c r="F624" s="7">
        <f t="shared" si="10"/>
        <v>2</v>
      </c>
      <c r="G624" s="7" t="str">
        <f>LOOKUP(H624,[1]startdates!$A$2:$A$10,[1]startdates!$B$2:$B$10)</f>
        <v>SMr</v>
      </c>
      <c r="H624">
        <v>1</v>
      </c>
      <c r="I624" s="7">
        <v>845</v>
      </c>
      <c r="L624" s="7">
        <v>448</v>
      </c>
      <c r="M624" s="7">
        <v>253</v>
      </c>
      <c r="N624" s="7">
        <v>249</v>
      </c>
      <c r="O624" s="7">
        <v>169</v>
      </c>
      <c r="R624" s="7">
        <v>257</v>
      </c>
    </row>
    <row r="625" spans="1:15" x14ac:dyDescent="0.2">
      <c r="A625">
        <v>624</v>
      </c>
      <c r="B625" s="1">
        <v>40749</v>
      </c>
      <c r="C625" t="s">
        <v>24</v>
      </c>
      <c r="D625" s="7">
        <v>13</v>
      </c>
      <c r="E625" s="7">
        <v>3</v>
      </c>
      <c r="F625" s="7">
        <f t="shared" si="10"/>
        <v>2</v>
      </c>
      <c r="G625" s="7" t="str">
        <f>LOOKUP(H625,[1]startdates!$A$2:$A$10,[1]startdates!$B$2:$B$10)</f>
        <v>SMr</v>
      </c>
      <c r="H625">
        <v>1</v>
      </c>
      <c r="I625" s="7">
        <v>863</v>
      </c>
      <c r="L625" s="7">
        <v>457</v>
      </c>
      <c r="M625" s="7">
        <v>252</v>
      </c>
      <c r="N625" s="7">
        <v>204</v>
      </c>
      <c r="O625" s="7">
        <v>164</v>
      </c>
    </row>
    <row r="626" spans="1:15" x14ac:dyDescent="0.2">
      <c r="A626">
        <v>625</v>
      </c>
      <c r="B626" s="1">
        <v>40749</v>
      </c>
      <c r="C626" t="s">
        <v>24</v>
      </c>
      <c r="D626" s="7">
        <v>13</v>
      </c>
      <c r="E626" s="7">
        <v>3</v>
      </c>
      <c r="F626" s="7">
        <f t="shared" si="10"/>
        <v>2</v>
      </c>
      <c r="G626" s="7" t="str">
        <f>LOOKUP(H626,[1]startdates!$A$2:$A$10,[1]startdates!$B$2:$B$10)</f>
        <v>SMr</v>
      </c>
      <c r="H626">
        <v>1</v>
      </c>
      <c r="I626" s="7">
        <v>1050</v>
      </c>
      <c r="L626" s="7">
        <v>405</v>
      </c>
      <c r="M626" s="7">
        <v>270</v>
      </c>
      <c r="N626" s="7">
        <v>193</v>
      </c>
      <c r="O626" s="7">
        <v>179</v>
      </c>
    </row>
    <row r="627" spans="1:15" x14ac:dyDescent="0.2">
      <c r="A627">
        <v>626</v>
      </c>
      <c r="B627" s="1">
        <v>40749</v>
      </c>
      <c r="C627" t="s">
        <v>24</v>
      </c>
      <c r="D627" s="7">
        <v>13</v>
      </c>
      <c r="E627" s="7">
        <v>3</v>
      </c>
      <c r="F627" s="7">
        <f t="shared" si="10"/>
        <v>2</v>
      </c>
      <c r="G627" s="7" t="str">
        <f>LOOKUP(H627,[1]startdates!$A$2:$A$10,[1]startdates!$B$2:$B$10)</f>
        <v>SMr</v>
      </c>
      <c r="H627">
        <v>1</v>
      </c>
      <c r="M627" s="7">
        <v>260</v>
      </c>
      <c r="N627" s="7">
        <v>263</v>
      </c>
      <c r="O627" s="7">
        <v>159</v>
      </c>
    </row>
    <row r="628" spans="1:15" x14ac:dyDescent="0.2">
      <c r="A628">
        <v>627</v>
      </c>
      <c r="B628" s="1">
        <v>40749</v>
      </c>
      <c r="C628" t="s">
        <v>24</v>
      </c>
      <c r="D628" s="7">
        <v>13</v>
      </c>
      <c r="E628" s="7">
        <v>3</v>
      </c>
      <c r="F628" s="7">
        <f t="shared" si="10"/>
        <v>2</v>
      </c>
      <c r="G628" s="7" t="str">
        <f>LOOKUP(H628,[1]startdates!$A$2:$A$10,[1]startdates!$B$2:$B$10)</f>
        <v>SMr</v>
      </c>
      <c r="H628">
        <v>1</v>
      </c>
      <c r="N628" s="7">
        <v>237</v>
      </c>
      <c r="O628" s="7">
        <v>154</v>
      </c>
    </row>
    <row r="629" spans="1:15" x14ac:dyDescent="0.2">
      <c r="A629">
        <v>628</v>
      </c>
      <c r="B629" s="1">
        <v>40749</v>
      </c>
      <c r="C629" t="s">
        <v>24</v>
      </c>
      <c r="D629" s="7">
        <v>13</v>
      </c>
      <c r="E629" s="7">
        <v>3</v>
      </c>
      <c r="F629" s="7">
        <f t="shared" si="10"/>
        <v>2</v>
      </c>
      <c r="G629" s="7" t="str">
        <f>LOOKUP(H629,[1]startdates!$A$2:$A$10,[1]startdates!$B$2:$B$10)</f>
        <v>SMr</v>
      </c>
      <c r="H629">
        <v>1</v>
      </c>
      <c r="N629" s="7">
        <v>253</v>
      </c>
      <c r="O629" s="7">
        <v>155</v>
      </c>
    </row>
    <row r="630" spans="1:15" x14ac:dyDescent="0.2">
      <c r="A630">
        <v>629</v>
      </c>
      <c r="B630" s="1">
        <v>40749</v>
      </c>
      <c r="C630" t="s">
        <v>24</v>
      </c>
      <c r="D630" s="7">
        <v>13</v>
      </c>
      <c r="E630" s="7">
        <v>3</v>
      </c>
      <c r="F630" s="7">
        <f t="shared" si="10"/>
        <v>2</v>
      </c>
      <c r="G630" s="7" t="str">
        <f>LOOKUP(H630,[1]startdates!$A$2:$A$10,[1]startdates!$B$2:$B$10)</f>
        <v>SMr</v>
      </c>
      <c r="H630">
        <v>1</v>
      </c>
      <c r="N630" s="7">
        <v>193</v>
      </c>
      <c r="O630" s="7">
        <v>176</v>
      </c>
    </row>
    <row r="631" spans="1:15" x14ac:dyDescent="0.2">
      <c r="A631">
        <v>630</v>
      </c>
      <c r="B631" s="1">
        <v>40749</v>
      </c>
      <c r="C631" t="s">
        <v>24</v>
      </c>
      <c r="D631" s="7">
        <v>13</v>
      </c>
      <c r="E631" s="7">
        <v>3</v>
      </c>
      <c r="F631" s="7">
        <f t="shared" si="10"/>
        <v>2</v>
      </c>
      <c r="G631" s="7" t="str">
        <f>LOOKUP(H631,[1]startdates!$A$2:$A$10,[1]startdates!$B$2:$B$10)</f>
        <v>SMr</v>
      </c>
      <c r="H631">
        <v>1</v>
      </c>
      <c r="N631" s="7">
        <v>143</v>
      </c>
      <c r="O631" s="7">
        <v>178</v>
      </c>
    </row>
    <row r="632" spans="1:15" x14ac:dyDescent="0.2">
      <c r="A632">
        <v>631</v>
      </c>
      <c r="B632" s="1">
        <v>40749</v>
      </c>
      <c r="C632" t="s">
        <v>24</v>
      </c>
      <c r="D632" s="7">
        <v>13</v>
      </c>
      <c r="E632" s="7">
        <v>3</v>
      </c>
      <c r="F632" s="7">
        <f t="shared" si="10"/>
        <v>2</v>
      </c>
      <c r="G632" s="7" t="str">
        <f>LOOKUP(H632,[1]startdates!$A$2:$A$10,[1]startdates!$B$2:$B$10)</f>
        <v>SMr</v>
      </c>
      <c r="H632">
        <v>1</v>
      </c>
      <c r="N632" s="7">
        <v>159</v>
      </c>
      <c r="O632" s="7">
        <v>166</v>
      </c>
    </row>
    <row r="633" spans="1:15" x14ac:dyDescent="0.2">
      <c r="A633">
        <v>632</v>
      </c>
      <c r="B633" s="1">
        <v>40749</v>
      </c>
      <c r="C633" t="s">
        <v>24</v>
      </c>
      <c r="D633" s="7">
        <v>13</v>
      </c>
      <c r="E633" s="7">
        <v>3</v>
      </c>
      <c r="F633" s="7">
        <f t="shared" si="10"/>
        <v>2</v>
      </c>
      <c r="G633" s="7" t="str">
        <f>LOOKUP(H633,[1]startdates!$A$2:$A$10,[1]startdates!$B$2:$B$10)</f>
        <v>SMr</v>
      </c>
      <c r="H633">
        <v>1</v>
      </c>
      <c r="N633" s="7">
        <v>210</v>
      </c>
      <c r="O633" s="7">
        <v>150</v>
      </c>
    </row>
    <row r="634" spans="1:15" x14ac:dyDescent="0.2">
      <c r="A634">
        <v>633</v>
      </c>
      <c r="B634" s="1">
        <v>40749</v>
      </c>
      <c r="C634" t="s">
        <v>24</v>
      </c>
      <c r="D634" s="7">
        <v>13</v>
      </c>
      <c r="E634" s="7">
        <v>3</v>
      </c>
      <c r="F634" s="7">
        <f t="shared" si="10"/>
        <v>2</v>
      </c>
      <c r="G634" s="7" t="str">
        <f>LOOKUP(H634,[1]startdates!$A$2:$A$10,[1]startdates!$B$2:$B$10)</f>
        <v>SMr</v>
      </c>
      <c r="H634">
        <v>1</v>
      </c>
      <c r="N634" s="7">
        <v>244</v>
      </c>
      <c r="O634" s="7">
        <v>158</v>
      </c>
    </row>
    <row r="635" spans="1:15" x14ac:dyDescent="0.2">
      <c r="A635">
        <v>634</v>
      </c>
      <c r="B635" s="1">
        <v>40749</v>
      </c>
      <c r="C635" t="s">
        <v>24</v>
      </c>
      <c r="D635" s="7">
        <v>13</v>
      </c>
      <c r="E635" s="7">
        <v>3</v>
      </c>
      <c r="F635" s="7">
        <f t="shared" si="10"/>
        <v>2</v>
      </c>
      <c r="G635" s="7" t="str">
        <f>LOOKUP(H635,[1]startdates!$A$2:$A$10,[1]startdates!$B$2:$B$10)</f>
        <v>SMr</v>
      </c>
      <c r="H635">
        <v>1</v>
      </c>
      <c r="N635" s="7">
        <v>233</v>
      </c>
      <c r="O635" s="7">
        <v>179</v>
      </c>
    </row>
    <row r="636" spans="1:15" x14ac:dyDescent="0.2">
      <c r="A636">
        <v>635</v>
      </c>
      <c r="B636" s="1">
        <v>40749</v>
      </c>
      <c r="C636" t="s">
        <v>24</v>
      </c>
      <c r="D636" s="7">
        <v>13</v>
      </c>
      <c r="E636" s="7">
        <v>3</v>
      </c>
      <c r="F636" s="7">
        <f t="shared" si="10"/>
        <v>2</v>
      </c>
      <c r="G636" s="7" t="str">
        <f>LOOKUP(H636,[1]startdates!$A$2:$A$10,[1]startdates!$B$2:$B$10)</f>
        <v>SMr</v>
      </c>
      <c r="H636">
        <v>1</v>
      </c>
      <c r="N636" s="7">
        <v>235</v>
      </c>
      <c r="O636" s="7">
        <v>131</v>
      </c>
    </row>
    <row r="637" spans="1:15" x14ac:dyDescent="0.2">
      <c r="A637">
        <v>636</v>
      </c>
      <c r="B637" s="1">
        <v>40749</v>
      </c>
      <c r="C637" t="s">
        <v>24</v>
      </c>
      <c r="D637" s="7">
        <v>13</v>
      </c>
      <c r="E637" s="7">
        <v>3</v>
      </c>
      <c r="F637" s="7">
        <f t="shared" si="10"/>
        <v>2</v>
      </c>
      <c r="G637" s="7" t="str">
        <f>LOOKUP(H637,[1]startdates!$A$2:$A$10,[1]startdates!$B$2:$B$10)</f>
        <v>SMr</v>
      </c>
      <c r="H637">
        <v>1</v>
      </c>
      <c r="N637" s="7">
        <v>213</v>
      </c>
      <c r="O637" s="7">
        <v>171</v>
      </c>
    </row>
    <row r="638" spans="1:15" x14ac:dyDescent="0.2">
      <c r="A638">
        <v>637</v>
      </c>
      <c r="B638" s="1">
        <v>40749</v>
      </c>
      <c r="C638" t="s">
        <v>24</v>
      </c>
      <c r="D638" s="7">
        <v>13</v>
      </c>
      <c r="E638" s="7">
        <v>3</v>
      </c>
      <c r="F638" s="7">
        <f t="shared" si="10"/>
        <v>2</v>
      </c>
      <c r="G638" s="7" t="str">
        <f>LOOKUP(H638,[1]startdates!$A$2:$A$10,[1]startdates!$B$2:$B$10)</f>
        <v>SMr</v>
      </c>
      <c r="H638">
        <v>1</v>
      </c>
      <c r="N638" s="7">
        <v>169</v>
      </c>
      <c r="O638" s="7">
        <v>155</v>
      </c>
    </row>
    <row r="639" spans="1:15" x14ac:dyDescent="0.2">
      <c r="A639">
        <v>638</v>
      </c>
      <c r="B639" s="1">
        <v>40749</v>
      </c>
      <c r="C639" t="s">
        <v>24</v>
      </c>
      <c r="D639" s="7">
        <v>13</v>
      </c>
      <c r="E639" s="7">
        <v>3</v>
      </c>
      <c r="F639" s="7">
        <f t="shared" si="10"/>
        <v>2</v>
      </c>
      <c r="G639" s="7" t="str">
        <f>LOOKUP(H639,[1]startdates!$A$2:$A$10,[1]startdates!$B$2:$B$10)</f>
        <v>SMr</v>
      </c>
      <c r="H639">
        <v>1</v>
      </c>
      <c r="N639" s="7">
        <v>155</v>
      </c>
      <c r="O639" s="7">
        <v>157</v>
      </c>
    </row>
    <row r="640" spans="1:15" x14ac:dyDescent="0.2">
      <c r="A640">
        <v>639</v>
      </c>
      <c r="B640" s="1">
        <v>40749</v>
      </c>
      <c r="C640" t="s">
        <v>24</v>
      </c>
      <c r="D640" s="7">
        <v>13</v>
      </c>
      <c r="E640" s="7">
        <v>3</v>
      </c>
      <c r="F640" s="7">
        <f t="shared" si="10"/>
        <v>2</v>
      </c>
      <c r="G640" s="7" t="str">
        <f>LOOKUP(H640,[1]startdates!$A$2:$A$10,[1]startdates!$B$2:$B$10)</f>
        <v>SMr</v>
      </c>
      <c r="H640">
        <v>1</v>
      </c>
      <c r="N640" s="7">
        <v>239</v>
      </c>
      <c r="O640" s="7">
        <v>185</v>
      </c>
    </row>
    <row r="641" spans="1:18" x14ac:dyDescent="0.2">
      <c r="A641">
        <v>640</v>
      </c>
      <c r="B641" s="1">
        <v>40749</v>
      </c>
      <c r="C641" t="s">
        <v>24</v>
      </c>
      <c r="D641" s="7">
        <v>13</v>
      </c>
      <c r="E641" s="7">
        <v>3</v>
      </c>
      <c r="F641" s="7">
        <f t="shared" si="10"/>
        <v>2</v>
      </c>
      <c r="G641" s="7" t="str">
        <f>LOOKUP(H641,[1]startdates!$A$2:$A$10,[1]startdates!$B$2:$B$10)</f>
        <v>SMr</v>
      </c>
      <c r="H641">
        <v>1</v>
      </c>
      <c r="N641" s="7">
        <v>215</v>
      </c>
      <c r="O641" s="7">
        <v>147</v>
      </c>
    </row>
    <row r="642" spans="1:18" x14ac:dyDescent="0.2">
      <c r="A642">
        <v>641</v>
      </c>
      <c r="B642" s="1">
        <v>40749</v>
      </c>
      <c r="C642" t="s">
        <v>24</v>
      </c>
      <c r="D642" s="7">
        <v>13</v>
      </c>
      <c r="E642" s="7">
        <v>3</v>
      </c>
      <c r="F642" s="7">
        <f t="shared" si="10"/>
        <v>2</v>
      </c>
      <c r="G642" s="7" t="str">
        <f>LOOKUP(H642,[1]startdates!$A$2:$A$10,[1]startdates!$B$2:$B$10)</f>
        <v>SMr</v>
      </c>
      <c r="H642">
        <v>2</v>
      </c>
      <c r="I642" s="7">
        <v>589</v>
      </c>
      <c r="J642" s="7">
        <v>698</v>
      </c>
      <c r="K642" s="7">
        <v>591</v>
      </c>
      <c r="L642" s="7">
        <v>389</v>
      </c>
      <c r="M642" s="7">
        <v>326</v>
      </c>
      <c r="N642" s="7">
        <v>205</v>
      </c>
      <c r="O642" s="7">
        <v>165</v>
      </c>
      <c r="Q642" s="7">
        <v>367</v>
      </c>
    </row>
    <row r="643" spans="1:18" x14ac:dyDescent="0.2">
      <c r="A643">
        <v>642</v>
      </c>
      <c r="B643" s="1">
        <v>40749</v>
      </c>
      <c r="C643" t="s">
        <v>24</v>
      </c>
      <c r="D643" s="7">
        <v>13</v>
      </c>
      <c r="E643" s="7">
        <v>3</v>
      </c>
      <c r="F643" s="7">
        <f t="shared" si="10"/>
        <v>2</v>
      </c>
      <c r="G643" s="7" t="str">
        <f>LOOKUP(H643,[1]startdates!$A$2:$A$10,[1]startdates!$B$2:$B$10)</f>
        <v>SMr</v>
      </c>
      <c r="H643">
        <v>2</v>
      </c>
      <c r="I643" s="7">
        <v>699</v>
      </c>
      <c r="J643" s="7">
        <v>424</v>
      </c>
      <c r="K643" s="7">
        <v>662</v>
      </c>
      <c r="L643" s="7">
        <v>392</v>
      </c>
      <c r="M643" s="7">
        <v>389</v>
      </c>
      <c r="N643" s="7">
        <v>238</v>
      </c>
      <c r="O643" s="7">
        <v>199</v>
      </c>
      <c r="Q643" s="7">
        <v>388</v>
      </c>
    </row>
    <row r="644" spans="1:18" x14ac:dyDescent="0.2">
      <c r="A644">
        <v>643</v>
      </c>
      <c r="B644" s="1">
        <v>40749</v>
      </c>
      <c r="C644" t="s">
        <v>24</v>
      </c>
      <c r="D644" s="7">
        <v>13</v>
      </c>
      <c r="E644" s="7">
        <v>3</v>
      </c>
      <c r="F644" s="7">
        <f t="shared" si="10"/>
        <v>2</v>
      </c>
      <c r="G644" s="7" t="str">
        <f>LOOKUP(H644,[1]startdates!$A$2:$A$10,[1]startdates!$B$2:$B$10)</f>
        <v>SMr</v>
      </c>
      <c r="H644">
        <v>2</v>
      </c>
      <c r="I644" s="7">
        <v>584</v>
      </c>
      <c r="J644" s="7">
        <v>583</v>
      </c>
      <c r="L644" s="7">
        <v>424</v>
      </c>
      <c r="M644" s="7">
        <v>315</v>
      </c>
      <c r="N644" s="7">
        <v>219</v>
      </c>
      <c r="O644" s="7">
        <v>152</v>
      </c>
      <c r="Q644" s="7">
        <v>394</v>
      </c>
    </row>
    <row r="645" spans="1:18" x14ac:dyDescent="0.2">
      <c r="A645">
        <v>644</v>
      </c>
      <c r="B645" s="1">
        <v>40749</v>
      </c>
      <c r="C645" t="s">
        <v>24</v>
      </c>
      <c r="D645" s="7">
        <v>13</v>
      </c>
      <c r="E645" s="7">
        <v>3</v>
      </c>
      <c r="F645" s="7">
        <f t="shared" si="10"/>
        <v>2</v>
      </c>
      <c r="G645" s="7" t="str">
        <f>LOOKUP(H645,[1]startdates!$A$2:$A$10,[1]startdates!$B$2:$B$10)</f>
        <v>SMr</v>
      </c>
      <c r="H645">
        <v>2</v>
      </c>
      <c r="I645" s="7">
        <v>640</v>
      </c>
      <c r="L645" s="7">
        <v>397</v>
      </c>
      <c r="M645" s="7">
        <v>272</v>
      </c>
      <c r="N645" s="7">
        <v>255</v>
      </c>
      <c r="O645" s="7">
        <v>167</v>
      </c>
      <c r="Q645" s="7">
        <v>390</v>
      </c>
    </row>
    <row r="646" spans="1:18" x14ac:dyDescent="0.2">
      <c r="A646">
        <v>645</v>
      </c>
      <c r="B646" s="1">
        <v>40749</v>
      </c>
      <c r="C646" t="s">
        <v>24</v>
      </c>
      <c r="D646" s="7">
        <v>13</v>
      </c>
      <c r="E646" s="7">
        <v>3</v>
      </c>
      <c r="F646" s="7">
        <f t="shared" si="10"/>
        <v>2</v>
      </c>
      <c r="G646" s="7" t="str">
        <f>LOOKUP(H646,[1]startdates!$A$2:$A$10,[1]startdates!$B$2:$B$10)</f>
        <v>SMr</v>
      </c>
      <c r="H646">
        <v>2</v>
      </c>
      <c r="L646" s="7">
        <v>388</v>
      </c>
      <c r="M646" s="7">
        <v>308</v>
      </c>
      <c r="N646" s="7">
        <v>227</v>
      </c>
      <c r="Q646" s="7">
        <v>403</v>
      </c>
    </row>
    <row r="647" spans="1:18" x14ac:dyDescent="0.2">
      <c r="A647">
        <v>646</v>
      </c>
      <c r="B647" s="1">
        <v>40749</v>
      </c>
      <c r="C647" t="s">
        <v>24</v>
      </c>
      <c r="D647" s="7">
        <v>13</v>
      </c>
      <c r="E647" s="7">
        <v>3</v>
      </c>
      <c r="F647" s="7">
        <f t="shared" si="10"/>
        <v>2</v>
      </c>
      <c r="G647" s="7" t="str">
        <f>LOOKUP(H647,[1]startdates!$A$2:$A$10,[1]startdates!$B$2:$B$10)</f>
        <v>SMr</v>
      </c>
      <c r="H647">
        <v>2</v>
      </c>
      <c r="L647" s="7">
        <v>326</v>
      </c>
      <c r="M647" s="7">
        <v>333</v>
      </c>
      <c r="N647" s="7">
        <v>166</v>
      </c>
    </row>
    <row r="648" spans="1:18" x14ac:dyDescent="0.2">
      <c r="A648">
        <v>647</v>
      </c>
      <c r="B648" s="1">
        <v>40749</v>
      </c>
      <c r="C648" t="s">
        <v>24</v>
      </c>
      <c r="D648" s="7">
        <v>13</v>
      </c>
      <c r="E648" s="7">
        <v>3</v>
      </c>
      <c r="F648" s="7">
        <f t="shared" si="10"/>
        <v>2</v>
      </c>
      <c r="G648" s="7" t="str">
        <f>LOOKUP(H648,[1]startdates!$A$2:$A$10,[1]startdates!$B$2:$B$10)</f>
        <v>SMr</v>
      </c>
      <c r="H648">
        <v>2</v>
      </c>
      <c r="M648" s="7">
        <v>340</v>
      </c>
      <c r="N648" s="7">
        <v>189</v>
      </c>
    </row>
    <row r="649" spans="1:18" x14ac:dyDescent="0.2">
      <c r="A649">
        <v>648</v>
      </c>
      <c r="B649" s="1">
        <v>40749</v>
      </c>
      <c r="C649" t="s">
        <v>24</v>
      </c>
      <c r="D649" s="7">
        <v>13</v>
      </c>
      <c r="E649" s="7">
        <v>3</v>
      </c>
      <c r="F649" s="7">
        <f t="shared" si="10"/>
        <v>2</v>
      </c>
      <c r="G649" s="7" t="str">
        <f>LOOKUP(H649,[1]startdates!$A$2:$A$10,[1]startdates!$B$2:$B$10)</f>
        <v>SMr</v>
      </c>
      <c r="H649">
        <v>2</v>
      </c>
      <c r="M649" s="7">
        <v>330</v>
      </c>
      <c r="N649" s="7">
        <v>157</v>
      </c>
    </row>
    <row r="650" spans="1:18" x14ac:dyDescent="0.2">
      <c r="A650">
        <v>649</v>
      </c>
      <c r="B650" s="1">
        <v>40749</v>
      </c>
      <c r="C650" t="s">
        <v>24</v>
      </c>
      <c r="D650" s="7">
        <v>13</v>
      </c>
      <c r="E650" s="7">
        <v>3</v>
      </c>
      <c r="F650" s="7">
        <f t="shared" si="10"/>
        <v>2</v>
      </c>
      <c r="G650" s="7" t="str">
        <f>LOOKUP(H650,[1]startdates!$A$2:$A$10,[1]startdates!$B$2:$B$10)</f>
        <v>SMr</v>
      </c>
      <c r="H650">
        <v>2</v>
      </c>
      <c r="M650" s="7">
        <v>342</v>
      </c>
    </row>
    <row r="651" spans="1:18" x14ac:dyDescent="0.2">
      <c r="A651">
        <v>650</v>
      </c>
      <c r="B651" s="1">
        <v>40749</v>
      </c>
      <c r="C651" t="s">
        <v>24</v>
      </c>
      <c r="D651" s="7">
        <v>13</v>
      </c>
      <c r="E651" s="7">
        <v>3</v>
      </c>
      <c r="F651" s="7">
        <f t="shared" si="10"/>
        <v>2</v>
      </c>
      <c r="G651" s="7" t="str">
        <f>LOOKUP(H651,[1]startdates!$A$2:$A$10,[1]startdates!$B$2:$B$10)</f>
        <v>SMr</v>
      </c>
      <c r="H651">
        <v>2</v>
      </c>
      <c r="M651" s="7">
        <v>327</v>
      </c>
    </row>
    <row r="652" spans="1:18" x14ac:dyDescent="0.2">
      <c r="A652">
        <v>651</v>
      </c>
      <c r="B652" s="1">
        <v>40749</v>
      </c>
      <c r="C652" t="s">
        <v>28</v>
      </c>
      <c r="D652" s="7">
        <v>13</v>
      </c>
      <c r="E652" s="7">
        <v>3</v>
      </c>
      <c r="F652" s="7">
        <f t="shared" si="10"/>
        <v>2</v>
      </c>
      <c r="G652" s="7" t="str">
        <f>LOOKUP(H652,[1]startdates!$A$2:$A$10,[1]startdates!$B$2:$B$10)</f>
        <v>C</v>
      </c>
      <c r="H652">
        <v>3</v>
      </c>
      <c r="I652" s="7">
        <v>746</v>
      </c>
      <c r="K652" s="7">
        <v>670</v>
      </c>
      <c r="L652" s="7">
        <v>424</v>
      </c>
      <c r="M652" s="7">
        <v>306</v>
      </c>
      <c r="N652" s="7">
        <v>198</v>
      </c>
      <c r="O652" s="7">
        <v>134</v>
      </c>
      <c r="P652" s="7">
        <v>478</v>
      </c>
      <c r="R652" s="7">
        <v>252</v>
      </c>
    </row>
    <row r="653" spans="1:18" x14ac:dyDescent="0.2">
      <c r="A653">
        <v>652</v>
      </c>
      <c r="B653" s="1">
        <v>40749</v>
      </c>
      <c r="C653" t="s">
        <v>28</v>
      </c>
      <c r="D653" s="7">
        <v>13</v>
      </c>
      <c r="E653" s="7">
        <v>3</v>
      </c>
      <c r="F653" s="7">
        <f t="shared" si="10"/>
        <v>2</v>
      </c>
      <c r="G653" s="7" t="str">
        <f>LOOKUP(H653,[1]startdates!$A$2:$A$10,[1]startdates!$B$2:$B$10)</f>
        <v>C</v>
      </c>
      <c r="H653">
        <v>3</v>
      </c>
      <c r="I653" s="7">
        <v>744</v>
      </c>
      <c r="K653" s="7">
        <v>678</v>
      </c>
      <c r="M653" s="7">
        <v>304</v>
      </c>
      <c r="N653" s="7">
        <v>248</v>
      </c>
      <c r="O653" s="7">
        <v>150</v>
      </c>
    </row>
    <row r="654" spans="1:18" x14ac:dyDescent="0.2">
      <c r="A654">
        <v>653</v>
      </c>
      <c r="B654" s="1">
        <v>40749</v>
      </c>
      <c r="C654" t="s">
        <v>28</v>
      </c>
      <c r="D654" s="7">
        <v>13</v>
      </c>
      <c r="E654" s="7">
        <v>3</v>
      </c>
      <c r="F654" s="7">
        <f t="shared" si="10"/>
        <v>2</v>
      </c>
      <c r="G654" s="7" t="str">
        <f>LOOKUP(H654,[1]startdates!$A$2:$A$10,[1]startdates!$B$2:$B$10)</f>
        <v>C</v>
      </c>
      <c r="H654">
        <v>3</v>
      </c>
      <c r="I654" s="7">
        <v>807</v>
      </c>
      <c r="M654" s="7">
        <v>270</v>
      </c>
      <c r="N654" s="7">
        <v>196</v>
      </c>
      <c r="O654" s="7">
        <v>150</v>
      </c>
    </row>
    <row r="655" spans="1:18" x14ac:dyDescent="0.2">
      <c r="A655">
        <v>654</v>
      </c>
      <c r="B655" s="1">
        <v>40749</v>
      </c>
      <c r="C655" t="s">
        <v>28</v>
      </c>
      <c r="D655" s="7">
        <v>13</v>
      </c>
      <c r="E655" s="7">
        <v>3</v>
      </c>
      <c r="F655" s="7">
        <f t="shared" si="10"/>
        <v>2</v>
      </c>
      <c r="G655" s="7" t="str">
        <f>LOOKUP(H655,[1]startdates!$A$2:$A$10,[1]startdates!$B$2:$B$10)</f>
        <v>C</v>
      </c>
      <c r="H655">
        <v>3</v>
      </c>
      <c r="I655" s="7">
        <v>746</v>
      </c>
      <c r="N655" s="7">
        <v>173</v>
      </c>
      <c r="O655" s="7">
        <v>160</v>
      </c>
    </row>
    <row r="656" spans="1:18" x14ac:dyDescent="0.2">
      <c r="A656">
        <v>655</v>
      </c>
      <c r="B656" s="1">
        <v>40749</v>
      </c>
      <c r="C656" t="s">
        <v>28</v>
      </c>
      <c r="D656" s="7">
        <v>13</v>
      </c>
      <c r="E656" s="7">
        <v>3</v>
      </c>
      <c r="F656" s="7">
        <f t="shared" si="10"/>
        <v>2</v>
      </c>
      <c r="G656" s="7" t="str">
        <f>LOOKUP(H656,[1]startdates!$A$2:$A$10,[1]startdates!$B$2:$B$10)</f>
        <v>C</v>
      </c>
      <c r="H656">
        <v>3</v>
      </c>
      <c r="I656" s="7">
        <v>855</v>
      </c>
      <c r="N656" s="7">
        <v>215</v>
      </c>
      <c r="O656" s="7">
        <v>154</v>
      </c>
    </row>
    <row r="657" spans="1:17" x14ac:dyDescent="0.2">
      <c r="A657">
        <v>656</v>
      </c>
      <c r="B657" s="1">
        <v>40749</v>
      </c>
      <c r="C657" t="s">
        <v>28</v>
      </c>
      <c r="D657" s="7">
        <v>13</v>
      </c>
      <c r="E657" s="7">
        <v>3</v>
      </c>
      <c r="F657" s="7">
        <f t="shared" si="10"/>
        <v>2</v>
      </c>
      <c r="G657" s="7" t="str">
        <f>LOOKUP(H657,[1]startdates!$A$2:$A$10,[1]startdates!$B$2:$B$10)</f>
        <v>C</v>
      </c>
      <c r="H657">
        <v>3</v>
      </c>
      <c r="I657" s="7">
        <v>813</v>
      </c>
      <c r="N657" s="7">
        <v>260</v>
      </c>
      <c r="O657" s="7">
        <v>183</v>
      </c>
    </row>
    <row r="658" spans="1:17" x14ac:dyDescent="0.2">
      <c r="A658">
        <v>657</v>
      </c>
      <c r="B658" s="1">
        <v>40749</v>
      </c>
      <c r="C658" t="s">
        <v>28</v>
      </c>
      <c r="D658" s="7">
        <v>13</v>
      </c>
      <c r="E658" s="7">
        <v>3</v>
      </c>
      <c r="F658" s="7">
        <f t="shared" si="10"/>
        <v>2</v>
      </c>
      <c r="G658" s="7" t="str">
        <f>LOOKUP(H658,[1]startdates!$A$2:$A$10,[1]startdates!$B$2:$B$10)</f>
        <v>C</v>
      </c>
      <c r="H658">
        <v>3</v>
      </c>
      <c r="I658" s="7">
        <v>801</v>
      </c>
      <c r="N658" s="7">
        <v>183</v>
      </c>
      <c r="O658" s="7">
        <v>168</v>
      </c>
    </row>
    <row r="659" spans="1:17" x14ac:dyDescent="0.2">
      <c r="A659">
        <v>658</v>
      </c>
      <c r="B659" s="1">
        <v>40749</v>
      </c>
      <c r="C659" t="s">
        <v>28</v>
      </c>
      <c r="D659" s="7">
        <v>13</v>
      </c>
      <c r="E659" s="7">
        <v>3</v>
      </c>
      <c r="F659" s="7">
        <f t="shared" si="10"/>
        <v>2</v>
      </c>
      <c r="G659" s="7" t="str">
        <f>LOOKUP(H659,[1]startdates!$A$2:$A$10,[1]startdates!$B$2:$B$10)</f>
        <v>C</v>
      </c>
      <c r="H659">
        <v>3</v>
      </c>
      <c r="N659" s="7">
        <v>238</v>
      </c>
      <c r="O659" s="7">
        <v>158</v>
      </c>
    </row>
    <row r="660" spans="1:17" x14ac:dyDescent="0.2">
      <c r="A660">
        <v>659</v>
      </c>
      <c r="B660" s="1">
        <v>40749</v>
      </c>
      <c r="C660" t="s">
        <v>28</v>
      </c>
      <c r="D660" s="7">
        <v>13</v>
      </c>
      <c r="E660" s="7">
        <v>3</v>
      </c>
      <c r="F660" s="7">
        <f t="shared" si="10"/>
        <v>2</v>
      </c>
      <c r="G660" s="7" t="str">
        <f>LOOKUP(H660,[1]startdates!$A$2:$A$10,[1]startdates!$B$2:$B$10)</f>
        <v>C</v>
      </c>
      <c r="H660">
        <v>3</v>
      </c>
      <c r="N660" s="7">
        <v>248</v>
      </c>
      <c r="O660" s="7">
        <v>160</v>
      </c>
    </row>
    <row r="661" spans="1:17" x14ac:dyDescent="0.2">
      <c r="A661">
        <v>660</v>
      </c>
      <c r="B661" s="1">
        <v>40749</v>
      </c>
      <c r="C661" t="s">
        <v>28</v>
      </c>
      <c r="D661" s="7">
        <v>13</v>
      </c>
      <c r="E661" s="7">
        <v>3</v>
      </c>
      <c r="F661" s="7">
        <f t="shared" si="10"/>
        <v>2</v>
      </c>
      <c r="G661" s="7" t="str">
        <f>LOOKUP(H661,[1]startdates!$A$2:$A$10,[1]startdates!$B$2:$B$10)</f>
        <v>C</v>
      </c>
      <c r="H661">
        <v>3</v>
      </c>
      <c r="N661" s="7">
        <v>180</v>
      </c>
      <c r="O661" s="7">
        <v>151</v>
      </c>
    </row>
    <row r="662" spans="1:17" x14ac:dyDescent="0.2">
      <c r="A662">
        <v>661</v>
      </c>
      <c r="B662" s="1">
        <v>40749</v>
      </c>
      <c r="C662" t="s">
        <v>28</v>
      </c>
      <c r="D662" s="7">
        <v>13</v>
      </c>
      <c r="E662" s="7">
        <v>3</v>
      </c>
      <c r="F662" s="7">
        <f t="shared" si="10"/>
        <v>2</v>
      </c>
      <c r="G662" s="7" t="str">
        <f>LOOKUP(H662,[1]startdates!$A$2:$A$10,[1]startdates!$B$2:$B$10)</f>
        <v>C</v>
      </c>
      <c r="H662">
        <v>3</v>
      </c>
      <c r="O662" s="7">
        <v>151</v>
      </c>
    </row>
    <row r="663" spans="1:17" x14ac:dyDescent="0.2">
      <c r="A663">
        <v>662</v>
      </c>
      <c r="B663" s="1">
        <v>40749</v>
      </c>
      <c r="C663" t="s">
        <v>28</v>
      </c>
      <c r="D663" s="7">
        <v>13</v>
      </c>
      <c r="E663" s="7">
        <v>3</v>
      </c>
      <c r="F663" s="7">
        <f t="shared" si="10"/>
        <v>2</v>
      </c>
      <c r="G663" s="7" t="str">
        <f>LOOKUP(H663,[1]startdates!$A$2:$A$10,[1]startdates!$B$2:$B$10)</f>
        <v>C</v>
      </c>
      <c r="H663">
        <v>3</v>
      </c>
      <c r="O663" s="7">
        <v>127</v>
      </c>
    </row>
    <row r="664" spans="1:17" x14ac:dyDescent="0.2">
      <c r="A664">
        <v>663</v>
      </c>
      <c r="B664" s="1">
        <v>40749</v>
      </c>
      <c r="C664" t="s">
        <v>28</v>
      </c>
      <c r="D664" s="7">
        <v>13</v>
      </c>
      <c r="E664" s="7">
        <v>3</v>
      </c>
      <c r="F664" s="7">
        <f t="shared" si="10"/>
        <v>2</v>
      </c>
      <c r="G664" s="7" t="str">
        <f>LOOKUP(H664,[1]startdates!$A$2:$A$10,[1]startdates!$B$2:$B$10)</f>
        <v>C</v>
      </c>
      <c r="H664">
        <v>3</v>
      </c>
      <c r="O664" s="7">
        <v>155</v>
      </c>
    </row>
    <row r="665" spans="1:17" x14ac:dyDescent="0.2">
      <c r="A665">
        <v>664</v>
      </c>
      <c r="B665" s="1">
        <v>40749</v>
      </c>
      <c r="C665" t="s">
        <v>24</v>
      </c>
      <c r="D665" s="7">
        <v>13</v>
      </c>
      <c r="E665" s="7">
        <v>3</v>
      </c>
      <c r="F665" s="7">
        <f t="shared" si="10"/>
        <v>2</v>
      </c>
      <c r="G665" s="7" t="str">
        <f>LOOKUP(H665,[1]startdates!$A$2:$A$10,[1]startdates!$B$2:$B$10)</f>
        <v>SMr</v>
      </c>
      <c r="H665">
        <v>4</v>
      </c>
      <c r="I665" s="7">
        <v>782</v>
      </c>
      <c r="K665" s="7">
        <v>715</v>
      </c>
      <c r="M665" s="7">
        <v>304</v>
      </c>
      <c r="N665" s="7">
        <v>205</v>
      </c>
      <c r="O665" s="7">
        <v>194</v>
      </c>
      <c r="P665" s="7">
        <v>499</v>
      </c>
      <c r="Q665" s="7">
        <v>376</v>
      </c>
    </row>
    <row r="666" spans="1:17" x14ac:dyDescent="0.2">
      <c r="A666">
        <v>665</v>
      </c>
      <c r="B666" s="1">
        <v>40749</v>
      </c>
      <c r="C666" t="s">
        <v>24</v>
      </c>
      <c r="D666" s="7">
        <v>13</v>
      </c>
      <c r="E666" s="7">
        <v>3</v>
      </c>
      <c r="F666" s="7">
        <f t="shared" si="10"/>
        <v>2</v>
      </c>
      <c r="G666" s="7" t="str">
        <f>LOOKUP(H666,[1]startdates!$A$2:$A$10,[1]startdates!$B$2:$B$10)</f>
        <v>SMr</v>
      </c>
      <c r="H666">
        <v>4</v>
      </c>
      <c r="I666" s="7">
        <v>578</v>
      </c>
      <c r="K666" s="7">
        <v>560</v>
      </c>
      <c r="M666" s="7">
        <v>272</v>
      </c>
      <c r="N666" s="7">
        <v>209</v>
      </c>
      <c r="O666" s="7">
        <v>166</v>
      </c>
      <c r="P666" s="7">
        <v>498</v>
      </c>
    </row>
    <row r="667" spans="1:17" x14ac:dyDescent="0.2">
      <c r="A667">
        <v>666</v>
      </c>
      <c r="B667" s="1">
        <v>40749</v>
      </c>
      <c r="C667" t="s">
        <v>24</v>
      </c>
      <c r="D667" s="7">
        <v>13</v>
      </c>
      <c r="E667" s="7">
        <v>3</v>
      </c>
      <c r="F667" s="7">
        <f t="shared" si="10"/>
        <v>2</v>
      </c>
      <c r="G667" s="7" t="str">
        <f>LOOKUP(H667,[1]startdates!$A$2:$A$10,[1]startdates!$B$2:$B$10)</f>
        <v>SMr</v>
      </c>
      <c r="H667">
        <v>4</v>
      </c>
      <c r="M667" s="7">
        <v>362</v>
      </c>
      <c r="N667" s="7">
        <v>167</v>
      </c>
      <c r="O667" s="7">
        <v>180</v>
      </c>
      <c r="P667" s="7">
        <v>524</v>
      </c>
    </row>
    <row r="668" spans="1:17" x14ac:dyDescent="0.2">
      <c r="A668">
        <v>667</v>
      </c>
      <c r="B668" s="1">
        <v>40749</v>
      </c>
      <c r="C668" t="s">
        <v>24</v>
      </c>
      <c r="D668" s="7">
        <v>13</v>
      </c>
      <c r="E668" s="7">
        <v>3</v>
      </c>
      <c r="F668" s="7">
        <f t="shared" si="10"/>
        <v>2</v>
      </c>
      <c r="G668" s="7" t="str">
        <f>LOOKUP(H668,[1]startdates!$A$2:$A$10,[1]startdates!$B$2:$B$10)</f>
        <v>SMr</v>
      </c>
      <c r="H668">
        <v>4</v>
      </c>
      <c r="M668" s="7">
        <v>348</v>
      </c>
      <c r="N668" s="7">
        <v>333</v>
      </c>
      <c r="O668" s="7">
        <v>176</v>
      </c>
    </row>
    <row r="669" spans="1:17" x14ac:dyDescent="0.2">
      <c r="A669">
        <v>668</v>
      </c>
      <c r="B669" s="1">
        <v>40749</v>
      </c>
      <c r="C669" t="s">
        <v>24</v>
      </c>
      <c r="D669" s="7">
        <v>13</v>
      </c>
      <c r="E669" s="7">
        <v>3</v>
      </c>
      <c r="F669" s="7">
        <f t="shared" si="10"/>
        <v>2</v>
      </c>
      <c r="G669" s="7" t="str">
        <f>LOOKUP(H669,[1]startdates!$A$2:$A$10,[1]startdates!$B$2:$B$10)</f>
        <v>SMr</v>
      </c>
      <c r="H669">
        <v>4</v>
      </c>
      <c r="M669" s="7">
        <v>335</v>
      </c>
      <c r="N669" s="7">
        <v>172</v>
      </c>
      <c r="O669" s="7">
        <v>140</v>
      </c>
    </row>
    <row r="670" spans="1:17" x14ac:dyDescent="0.2">
      <c r="A670">
        <v>669</v>
      </c>
      <c r="B670" s="1">
        <v>40749</v>
      </c>
      <c r="C670" t="s">
        <v>24</v>
      </c>
      <c r="D670" s="7">
        <v>13</v>
      </c>
      <c r="E670" s="7">
        <v>3</v>
      </c>
      <c r="F670" s="7">
        <f t="shared" si="10"/>
        <v>2</v>
      </c>
      <c r="G670" s="7" t="str">
        <f>LOOKUP(H670,[1]startdates!$A$2:$A$10,[1]startdates!$B$2:$B$10)</f>
        <v>SMr</v>
      </c>
      <c r="H670">
        <v>4</v>
      </c>
      <c r="M670" s="7">
        <v>307</v>
      </c>
      <c r="N670" s="7">
        <v>185</v>
      </c>
      <c r="O670" s="7">
        <v>164</v>
      </c>
    </row>
    <row r="671" spans="1:17" x14ac:dyDescent="0.2">
      <c r="A671">
        <v>670</v>
      </c>
      <c r="B671" s="1">
        <v>40749</v>
      </c>
      <c r="C671" t="s">
        <v>24</v>
      </c>
      <c r="D671" s="7">
        <v>13</v>
      </c>
      <c r="E671" s="7">
        <v>3</v>
      </c>
      <c r="F671" s="7">
        <f t="shared" si="10"/>
        <v>2</v>
      </c>
      <c r="G671" s="7" t="str">
        <f>LOOKUP(H671,[1]startdates!$A$2:$A$10,[1]startdates!$B$2:$B$10)</f>
        <v>SMr</v>
      </c>
      <c r="H671">
        <v>4</v>
      </c>
      <c r="O671" s="7">
        <v>156</v>
      </c>
    </row>
    <row r="672" spans="1:17" x14ac:dyDescent="0.2">
      <c r="A672">
        <v>671</v>
      </c>
      <c r="B672" s="1">
        <v>40749</v>
      </c>
      <c r="C672" t="s">
        <v>24</v>
      </c>
      <c r="D672" s="7">
        <v>13</v>
      </c>
      <c r="E672" s="7">
        <v>3</v>
      </c>
      <c r="F672" s="7">
        <f t="shared" si="10"/>
        <v>2</v>
      </c>
      <c r="G672" s="7" t="str">
        <f>LOOKUP(H672,[1]startdates!$A$2:$A$10,[1]startdates!$B$2:$B$10)</f>
        <v>SMr</v>
      </c>
      <c r="H672">
        <v>4</v>
      </c>
      <c r="O672" s="7">
        <v>168</v>
      </c>
    </row>
    <row r="673" spans="1:18" x14ac:dyDescent="0.2">
      <c r="A673">
        <v>672</v>
      </c>
      <c r="B673" s="1">
        <v>40749</v>
      </c>
      <c r="C673" t="s">
        <v>24</v>
      </c>
      <c r="D673" s="7">
        <v>13</v>
      </c>
      <c r="E673" s="7">
        <v>3</v>
      </c>
      <c r="F673" s="7">
        <f t="shared" si="10"/>
        <v>2</v>
      </c>
      <c r="G673" s="7" t="str">
        <f>LOOKUP(H673,[1]startdates!$A$2:$A$10,[1]startdates!$B$2:$B$10)</f>
        <v>SMr</v>
      </c>
      <c r="H673">
        <v>4</v>
      </c>
      <c r="O673" s="7">
        <v>179</v>
      </c>
    </row>
    <row r="674" spans="1:18" x14ac:dyDescent="0.2">
      <c r="A674">
        <v>673</v>
      </c>
      <c r="B674" s="1">
        <v>40749</v>
      </c>
      <c r="C674" t="s">
        <v>24</v>
      </c>
      <c r="D674" s="7">
        <v>13</v>
      </c>
      <c r="E674" s="7">
        <v>3</v>
      </c>
      <c r="F674" s="7">
        <f t="shared" si="10"/>
        <v>2</v>
      </c>
      <c r="G674" s="7" t="str">
        <f>LOOKUP(H674,[1]startdates!$A$2:$A$10,[1]startdates!$B$2:$B$10)</f>
        <v>SMr</v>
      </c>
      <c r="H674">
        <v>4</v>
      </c>
      <c r="O674" s="7">
        <v>169</v>
      </c>
    </row>
    <row r="675" spans="1:18" x14ac:dyDescent="0.2">
      <c r="A675">
        <v>674</v>
      </c>
      <c r="B675" s="1">
        <v>40749</v>
      </c>
      <c r="C675" t="s">
        <v>24</v>
      </c>
      <c r="D675" s="7">
        <v>13</v>
      </c>
      <c r="E675" s="7">
        <v>3</v>
      </c>
      <c r="F675" s="7">
        <f t="shared" si="10"/>
        <v>2</v>
      </c>
      <c r="G675" s="7" t="str">
        <f>LOOKUP(H675,[1]startdates!$A$2:$A$10,[1]startdates!$B$2:$B$10)</f>
        <v>SMr</v>
      </c>
      <c r="H675">
        <v>4</v>
      </c>
      <c r="O675" s="7">
        <v>174</v>
      </c>
    </row>
    <row r="676" spans="1:18" x14ac:dyDescent="0.2">
      <c r="A676">
        <v>675</v>
      </c>
      <c r="B676" s="1">
        <v>40749</v>
      </c>
      <c r="C676" t="s">
        <v>24</v>
      </c>
      <c r="D676" s="7">
        <v>13</v>
      </c>
      <c r="E676" s="7">
        <v>3</v>
      </c>
      <c r="F676" s="7">
        <f t="shared" si="10"/>
        <v>2</v>
      </c>
      <c r="G676" s="7" t="str">
        <f>LOOKUP(H676,[1]startdates!$A$2:$A$10,[1]startdates!$B$2:$B$10)</f>
        <v>SMr</v>
      </c>
      <c r="H676">
        <v>4</v>
      </c>
      <c r="O676" s="7">
        <v>168</v>
      </c>
    </row>
    <row r="677" spans="1:18" x14ac:dyDescent="0.2">
      <c r="A677">
        <v>676</v>
      </c>
      <c r="B677" s="1">
        <v>40749</v>
      </c>
      <c r="C677" t="s">
        <v>24</v>
      </c>
      <c r="D677" s="7">
        <v>13</v>
      </c>
      <c r="E677" s="7">
        <v>3</v>
      </c>
      <c r="F677" s="7">
        <f t="shared" si="10"/>
        <v>2</v>
      </c>
      <c r="G677" s="7" t="str">
        <f>LOOKUP(H677,[1]startdates!$A$2:$A$10,[1]startdates!$B$2:$B$10)</f>
        <v>SMr</v>
      </c>
      <c r="H677">
        <v>4</v>
      </c>
      <c r="O677" s="7">
        <v>175</v>
      </c>
    </row>
    <row r="678" spans="1:18" x14ac:dyDescent="0.2">
      <c r="A678">
        <v>677</v>
      </c>
      <c r="B678" s="1">
        <v>40749</v>
      </c>
      <c r="C678" t="s">
        <v>24</v>
      </c>
      <c r="D678" s="7">
        <v>13</v>
      </c>
      <c r="E678" s="7">
        <v>3</v>
      </c>
      <c r="F678" s="7">
        <f t="shared" si="10"/>
        <v>2</v>
      </c>
      <c r="G678" s="7" t="str">
        <f>LOOKUP(H678,[1]startdates!$A$2:$A$10,[1]startdates!$B$2:$B$10)</f>
        <v>SMr</v>
      </c>
      <c r="H678">
        <v>4</v>
      </c>
      <c r="O678" s="7">
        <v>182</v>
      </c>
    </row>
    <row r="679" spans="1:18" x14ac:dyDescent="0.2">
      <c r="A679">
        <v>678</v>
      </c>
      <c r="B679" s="1">
        <v>40749</v>
      </c>
      <c r="C679" t="s">
        <v>24</v>
      </c>
      <c r="D679" s="7">
        <v>13</v>
      </c>
      <c r="E679" s="7">
        <v>3</v>
      </c>
      <c r="F679" s="7">
        <f t="shared" si="10"/>
        <v>2</v>
      </c>
      <c r="G679" s="7" t="str">
        <f>LOOKUP(H679,[1]startdates!$A$2:$A$10,[1]startdates!$B$2:$B$10)</f>
        <v>SMr</v>
      </c>
      <c r="H679">
        <v>4</v>
      </c>
      <c r="O679" s="7">
        <v>169</v>
      </c>
    </row>
    <row r="680" spans="1:18" x14ac:dyDescent="0.2">
      <c r="A680">
        <v>679</v>
      </c>
      <c r="B680" s="1">
        <v>40749</v>
      </c>
      <c r="C680" t="s">
        <v>24</v>
      </c>
      <c r="D680" s="7">
        <v>13</v>
      </c>
      <c r="E680" s="7">
        <v>3</v>
      </c>
      <c r="F680" s="7">
        <f t="shared" si="10"/>
        <v>2</v>
      </c>
      <c r="G680" s="7" t="str">
        <f>LOOKUP(H680,[1]startdates!$A$2:$A$10,[1]startdates!$B$2:$B$10)</f>
        <v>C</v>
      </c>
      <c r="H680">
        <v>5</v>
      </c>
      <c r="I680" s="7">
        <v>545</v>
      </c>
      <c r="K680" s="7">
        <v>507</v>
      </c>
      <c r="L680" s="7">
        <v>346</v>
      </c>
      <c r="M680" s="7">
        <v>262</v>
      </c>
      <c r="N680" s="7">
        <v>189</v>
      </c>
      <c r="O680" s="7">
        <v>165</v>
      </c>
      <c r="P680" s="7">
        <v>468</v>
      </c>
      <c r="Q680" s="7">
        <v>346</v>
      </c>
      <c r="R680" s="7">
        <v>235</v>
      </c>
    </row>
    <row r="681" spans="1:18" x14ac:dyDescent="0.2">
      <c r="A681">
        <v>680</v>
      </c>
      <c r="B681" s="1">
        <v>40749</v>
      </c>
      <c r="C681" t="s">
        <v>24</v>
      </c>
      <c r="D681" s="7">
        <v>13</v>
      </c>
      <c r="E681" s="7">
        <v>3</v>
      </c>
      <c r="F681" s="7">
        <f t="shared" ref="F681:F744" si="11">WEEKDAY(B681)</f>
        <v>2</v>
      </c>
      <c r="G681" s="7" t="str">
        <f>LOOKUP(H681,[1]startdates!$A$2:$A$10,[1]startdates!$B$2:$B$10)</f>
        <v>C</v>
      </c>
      <c r="H681">
        <v>5</v>
      </c>
      <c r="I681" s="7">
        <v>637</v>
      </c>
      <c r="K681" s="7">
        <v>520</v>
      </c>
      <c r="L681" s="7">
        <v>368</v>
      </c>
      <c r="M681" s="7">
        <v>274</v>
      </c>
      <c r="N681" s="7">
        <v>229</v>
      </c>
      <c r="O681" s="7">
        <v>170</v>
      </c>
    </row>
    <row r="682" spans="1:18" x14ac:dyDescent="0.2">
      <c r="A682">
        <v>681</v>
      </c>
      <c r="B682" s="1">
        <v>40749</v>
      </c>
      <c r="C682" t="s">
        <v>24</v>
      </c>
      <c r="D682" s="7">
        <v>13</v>
      </c>
      <c r="E682" s="7">
        <v>3</v>
      </c>
      <c r="F682" s="7">
        <f t="shared" si="11"/>
        <v>2</v>
      </c>
      <c r="G682" s="7" t="str">
        <f>LOOKUP(H682,[1]startdates!$A$2:$A$10,[1]startdates!$B$2:$B$10)</f>
        <v>C</v>
      </c>
      <c r="H682">
        <v>5</v>
      </c>
      <c r="I682" s="7">
        <v>553</v>
      </c>
      <c r="L682" s="7">
        <v>369</v>
      </c>
      <c r="M682" s="7">
        <v>269</v>
      </c>
      <c r="N682" s="7">
        <v>166</v>
      </c>
      <c r="O682" s="7">
        <v>164</v>
      </c>
    </row>
    <row r="683" spans="1:18" x14ac:dyDescent="0.2">
      <c r="A683">
        <v>682</v>
      </c>
      <c r="B683" s="1">
        <v>40749</v>
      </c>
      <c r="C683" t="s">
        <v>24</v>
      </c>
      <c r="D683" s="7">
        <v>13</v>
      </c>
      <c r="E683" s="7">
        <v>3</v>
      </c>
      <c r="F683" s="7">
        <f t="shared" si="11"/>
        <v>2</v>
      </c>
      <c r="G683" s="7" t="str">
        <f>LOOKUP(H683,[1]startdates!$A$2:$A$10,[1]startdates!$B$2:$B$10)</f>
        <v>C</v>
      </c>
      <c r="H683">
        <v>5</v>
      </c>
      <c r="L683" s="7">
        <v>410</v>
      </c>
      <c r="M683" s="7">
        <v>247</v>
      </c>
      <c r="N683" s="7">
        <v>180</v>
      </c>
      <c r="O683" s="7">
        <v>157</v>
      </c>
    </row>
    <row r="684" spans="1:18" x14ac:dyDescent="0.2">
      <c r="A684">
        <v>683</v>
      </c>
      <c r="B684" s="1">
        <v>40749</v>
      </c>
      <c r="C684" t="s">
        <v>24</v>
      </c>
      <c r="D684" s="7">
        <v>13</v>
      </c>
      <c r="E684" s="7">
        <v>3</v>
      </c>
      <c r="F684" s="7">
        <f t="shared" si="11"/>
        <v>2</v>
      </c>
      <c r="G684" s="7" t="str">
        <f>LOOKUP(H684,[1]startdates!$A$2:$A$10,[1]startdates!$B$2:$B$10)</f>
        <v>C</v>
      </c>
      <c r="H684">
        <v>5</v>
      </c>
      <c r="L684" s="7">
        <v>369</v>
      </c>
      <c r="M684" s="7">
        <v>346</v>
      </c>
      <c r="N684" s="7">
        <v>245</v>
      </c>
      <c r="O684" s="7">
        <v>163</v>
      </c>
    </row>
    <row r="685" spans="1:18" x14ac:dyDescent="0.2">
      <c r="A685">
        <v>684</v>
      </c>
      <c r="B685" s="1">
        <v>40749</v>
      </c>
      <c r="C685" t="s">
        <v>24</v>
      </c>
      <c r="D685" s="7">
        <v>13</v>
      </c>
      <c r="E685" s="7">
        <v>3</v>
      </c>
      <c r="F685" s="7">
        <f t="shared" si="11"/>
        <v>2</v>
      </c>
      <c r="G685" s="7" t="str">
        <f>LOOKUP(H685,[1]startdates!$A$2:$A$10,[1]startdates!$B$2:$B$10)</f>
        <v>C</v>
      </c>
      <c r="H685">
        <v>5</v>
      </c>
      <c r="M685" s="7">
        <v>333</v>
      </c>
      <c r="N685" s="7">
        <v>185</v>
      </c>
      <c r="O685" s="7">
        <v>163</v>
      </c>
    </row>
    <row r="686" spans="1:18" x14ac:dyDescent="0.2">
      <c r="A686">
        <v>685</v>
      </c>
      <c r="B686" s="1">
        <v>40749</v>
      </c>
      <c r="C686" t="s">
        <v>24</v>
      </c>
      <c r="D686" s="7">
        <v>13</v>
      </c>
      <c r="E686" s="7">
        <v>3</v>
      </c>
      <c r="F686" s="7">
        <f t="shared" si="11"/>
        <v>2</v>
      </c>
      <c r="G686" s="7" t="str">
        <f>LOOKUP(H686,[1]startdates!$A$2:$A$10,[1]startdates!$B$2:$B$10)</f>
        <v>C</v>
      </c>
      <c r="H686">
        <v>5</v>
      </c>
      <c r="M686" s="7">
        <v>374</v>
      </c>
      <c r="N686" s="7">
        <v>195</v>
      </c>
      <c r="O686" s="7">
        <v>149</v>
      </c>
    </row>
    <row r="687" spans="1:18" x14ac:dyDescent="0.2">
      <c r="A687">
        <v>686</v>
      </c>
      <c r="B687" s="1">
        <v>40749</v>
      </c>
      <c r="C687" t="s">
        <v>24</v>
      </c>
      <c r="D687" s="7">
        <v>13</v>
      </c>
      <c r="E687" s="7">
        <v>3</v>
      </c>
      <c r="F687" s="7">
        <f t="shared" si="11"/>
        <v>2</v>
      </c>
      <c r="G687" s="7" t="str">
        <f>LOOKUP(H687,[1]startdates!$A$2:$A$10,[1]startdates!$B$2:$B$10)</f>
        <v>C</v>
      </c>
      <c r="H687">
        <v>5</v>
      </c>
      <c r="N687" s="7">
        <v>202</v>
      </c>
      <c r="O687" s="7">
        <v>168</v>
      </c>
    </row>
    <row r="688" spans="1:18" x14ac:dyDescent="0.2">
      <c r="A688">
        <v>687</v>
      </c>
      <c r="B688" s="1">
        <v>40749</v>
      </c>
      <c r="C688" t="s">
        <v>24</v>
      </c>
      <c r="D688" s="7">
        <v>13</v>
      </c>
      <c r="E688" s="7">
        <v>3</v>
      </c>
      <c r="F688" s="7">
        <f t="shared" si="11"/>
        <v>2</v>
      </c>
      <c r="G688" s="7" t="str">
        <f>LOOKUP(H688,[1]startdates!$A$2:$A$10,[1]startdates!$B$2:$B$10)</f>
        <v>C</v>
      </c>
      <c r="H688">
        <v>5</v>
      </c>
      <c r="N688" s="7">
        <v>242</v>
      </c>
      <c r="O688" s="7">
        <v>180</v>
      </c>
    </row>
    <row r="689" spans="1:16" x14ac:dyDescent="0.2">
      <c r="A689">
        <v>688</v>
      </c>
      <c r="B689" s="1">
        <v>40749</v>
      </c>
      <c r="C689" t="s">
        <v>24</v>
      </c>
      <c r="D689" s="7">
        <v>13</v>
      </c>
      <c r="E689" s="7">
        <v>3</v>
      </c>
      <c r="F689" s="7">
        <f t="shared" si="11"/>
        <v>2</v>
      </c>
      <c r="G689" s="7" t="str">
        <f>LOOKUP(H689,[1]startdates!$A$2:$A$10,[1]startdates!$B$2:$B$10)</f>
        <v>C</v>
      </c>
      <c r="H689">
        <v>5</v>
      </c>
      <c r="N689" s="7">
        <v>235</v>
      </c>
      <c r="O689" s="7">
        <v>144</v>
      </c>
    </row>
    <row r="690" spans="1:16" x14ac:dyDescent="0.2">
      <c r="A690">
        <v>689</v>
      </c>
      <c r="B690" s="1">
        <v>40749</v>
      </c>
      <c r="C690" t="s">
        <v>24</v>
      </c>
      <c r="D690" s="7">
        <v>13</v>
      </c>
      <c r="E690" s="7">
        <v>3</v>
      </c>
      <c r="F690" s="7">
        <f t="shared" si="11"/>
        <v>2</v>
      </c>
      <c r="G690" s="7" t="str">
        <f>LOOKUP(H690,[1]startdates!$A$2:$A$10,[1]startdates!$B$2:$B$10)</f>
        <v>C</v>
      </c>
      <c r="H690">
        <v>5</v>
      </c>
      <c r="N690" s="7">
        <v>185</v>
      </c>
      <c r="O690" s="7">
        <v>145</v>
      </c>
    </row>
    <row r="691" spans="1:16" x14ac:dyDescent="0.2">
      <c r="A691">
        <v>690</v>
      </c>
      <c r="B691" s="1">
        <v>40749</v>
      </c>
      <c r="C691" t="s">
        <v>24</v>
      </c>
      <c r="D691" s="7">
        <v>13</v>
      </c>
      <c r="E691" s="7">
        <v>3</v>
      </c>
      <c r="F691" s="7">
        <f t="shared" si="11"/>
        <v>2</v>
      </c>
      <c r="G691" s="7" t="str">
        <f>LOOKUP(H691,[1]startdates!$A$2:$A$10,[1]startdates!$B$2:$B$10)</f>
        <v>C</v>
      </c>
      <c r="H691">
        <v>5</v>
      </c>
      <c r="N691" s="7">
        <v>213</v>
      </c>
    </row>
    <row r="692" spans="1:16" x14ac:dyDescent="0.2">
      <c r="A692">
        <v>691</v>
      </c>
      <c r="B692" s="1">
        <v>40749</v>
      </c>
      <c r="C692" t="s">
        <v>28</v>
      </c>
      <c r="D692" s="7">
        <v>13</v>
      </c>
      <c r="E692" s="7">
        <v>3</v>
      </c>
      <c r="F692" s="7">
        <f t="shared" si="11"/>
        <v>2</v>
      </c>
      <c r="G692" s="7" t="str">
        <f>LOOKUP(H692,[1]startdates!$A$2:$A$10,[1]startdates!$B$2:$B$10)</f>
        <v>FMr</v>
      </c>
      <c r="H692">
        <v>6</v>
      </c>
      <c r="I692" s="7">
        <v>827</v>
      </c>
      <c r="J692" s="7">
        <v>670</v>
      </c>
      <c r="K692" s="7">
        <v>650</v>
      </c>
      <c r="L692" s="7">
        <v>449</v>
      </c>
      <c r="M692" s="7">
        <v>342</v>
      </c>
      <c r="N692" s="7">
        <v>258</v>
      </c>
      <c r="O692" s="7">
        <v>148</v>
      </c>
      <c r="P692" s="7">
        <v>417</v>
      </c>
    </row>
    <row r="693" spans="1:16" x14ac:dyDescent="0.2">
      <c r="A693">
        <v>692</v>
      </c>
      <c r="B693" s="1">
        <v>40749</v>
      </c>
      <c r="C693" t="s">
        <v>28</v>
      </c>
      <c r="D693" s="7">
        <v>13</v>
      </c>
      <c r="E693" s="7">
        <v>3</v>
      </c>
      <c r="F693" s="7">
        <f t="shared" si="11"/>
        <v>2</v>
      </c>
      <c r="G693" s="7" t="str">
        <f>LOOKUP(H693,[1]startdates!$A$2:$A$10,[1]startdates!$B$2:$B$10)</f>
        <v>FMr</v>
      </c>
      <c r="H693">
        <v>6</v>
      </c>
      <c r="I693" s="7">
        <v>826</v>
      </c>
      <c r="J693" s="7">
        <v>581</v>
      </c>
      <c r="K693" s="7">
        <v>669</v>
      </c>
      <c r="L693" s="7">
        <v>450</v>
      </c>
      <c r="M693" s="7">
        <v>303</v>
      </c>
      <c r="N693" s="7">
        <v>192</v>
      </c>
      <c r="O693" s="7">
        <v>174</v>
      </c>
    </row>
    <row r="694" spans="1:16" x14ac:dyDescent="0.2">
      <c r="A694">
        <v>693</v>
      </c>
      <c r="B694" s="1">
        <v>40749</v>
      </c>
      <c r="C694" t="s">
        <v>28</v>
      </c>
      <c r="D694" s="7">
        <v>13</v>
      </c>
      <c r="E694" s="7">
        <v>3</v>
      </c>
      <c r="F694" s="7">
        <f t="shared" si="11"/>
        <v>2</v>
      </c>
      <c r="G694" s="7" t="str">
        <f>LOOKUP(H694,[1]startdates!$A$2:$A$10,[1]startdates!$B$2:$B$10)</f>
        <v>FMr</v>
      </c>
      <c r="H694">
        <v>6</v>
      </c>
      <c r="I694" s="7">
        <v>781</v>
      </c>
      <c r="K694" s="7">
        <v>695</v>
      </c>
      <c r="M694" s="7">
        <v>254</v>
      </c>
      <c r="N694" s="7">
        <v>182</v>
      </c>
      <c r="O694" s="7">
        <v>159</v>
      </c>
    </row>
    <row r="695" spans="1:16" x14ac:dyDescent="0.2">
      <c r="A695">
        <v>694</v>
      </c>
      <c r="B695" s="1">
        <v>40749</v>
      </c>
      <c r="C695" t="s">
        <v>28</v>
      </c>
      <c r="D695" s="7">
        <v>13</v>
      </c>
      <c r="E695" s="7">
        <v>3</v>
      </c>
      <c r="F695" s="7">
        <f t="shared" si="11"/>
        <v>2</v>
      </c>
      <c r="G695" s="7" t="str">
        <f>LOOKUP(H695,[1]startdates!$A$2:$A$10,[1]startdates!$B$2:$B$10)</f>
        <v>FMr</v>
      </c>
      <c r="H695">
        <v>6</v>
      </c>
      <c r="I695" s="7">
        <v>838</v>
      </c>
      <c r="M695" s="7">
        <v>321</v>
      </c>
      <c r="N695" s="7">
        <v>276</v>
      </c>
      <c r="O695" s="7">
        <v>159</v>
      </c>
    </row>
    <row r="696" spans="1:16" x14ac:dyDescent="0.2">
      <c r="A696">
        <v>695</v>
      </c>
      <c r="B696" s="1">
        <v>40749</v>
      </c>
      <c r="C696" t="s">
        <v>28</v>
      </c>
      <c r="D696" s="7">
        <v>13</v>
      </c>
      <c r="E696" s="7">
        <v>3</v>
      </c>
      <c r="F696" s="7">
        <f t="shared" si="11"/>
        <v>2</v>
      </c>
      <c r="G696" s="7" t="str">
        <f>LOOKUP(H696,[1]startdates!$A$2:$A$10,[1]startdates!$B$2:$B$10)</f>
        <v>FMr</v>
      </c>
      <c r="H696">
        <v>6</v>
      </c>
      <c r="I696" s="7">
        <v>892</v>
      </c>
      <c r="M696" s="7">
        <v>316</v>
      </c>
      <c r="N696" s="7">
        <v>205</v>
      </c>
      <c r="O696" s="7">
        <v>158</v>
      </c>
    </row>
    <row r="697" spans="1:16" x14ac:dyDescent="0.2">
      <c r="A697">
        <v>696</v>
      </c>
      <c r="B697" s="1">
        <v>40749</v>
      </c>
      <c r="C697" t="s">
        <v>28</v>
      </c>
      <c r="D697" s="7">
        <v>13</v>
      </c>
      <c r="E697" s="7">
        <v>3</v>
      </c>
      <c r="F697" s="7">
        <f t="shared" si="11"/>
        <v>2</v>
      </c>
      <c r="G697" s="7" t="str">
        <f>LOOKUP(H697,[1]startdates!$A$2:$A$10,[1]startdates!$B$2:$B$10)</f>
        <v>FMr</v>
      </c>
      <c r="H697">
        <v>6</v>
      </c>
      <c r="M697" s="7">
        <v>338</v>
      </c>
      <c r="N697" s="7">
        <v>222</v>
      </c>
      <c r="O697" s="7">
        <v>179</v>
      </c>
    </row>
    <row r="698" spans="1:16" x14ac:dyDescent="0.2">
      <c r="A698">
        <v>697</v>
      </c>
      <c r="B698" s="1">
        <v>40749</v>
      </c>
      <c r="C698" t="s">
        <v>28</v>
      </c>
      <c r="D698" s="7">
        <v>13</v>
      </c>
      <c r="E698" s="7">
        <v>3</v>
      </c>
      <c r="F698" s="7">
        <f t="shared" si="11"/>
        <v>2</v>
      </c>
      <c r="G698" s="7" t="str">
        <f>LOOKUP(H698,[1]startdates!$A$2:$A$10,[1]startdates!$B$2:$B$10)</f>
        <v>FMr</v>
      </c>
      <c r="H698">
        <v>6</v>
      </c>
      <c r="M698" s="7">
        <v>280</v>
      </c>
      <c r="N698" s="7">
        <v>181</v>
      </c>
      <c r="O698" s="7">
        <v>156</v>
      </c>
    </row>
    <row r="699" spans="1:16" x14ac:dyDescent="0.2">
      <c r="A699">
        <v>698</v>
      </c>
      <c r="B699" s="1">
        <v>40749</v>
      </c>
      <c r="C699" t="s">
        <v>28</v>
      </c>
      <c r="D699" s="7">
        <v>13</v>
      </c>
      <c r="E699" s="7">
        <v>3</v>
      </c>
      <c r="F699" s="7">
        <f t="shared" si="11"/>
        <v>2</v>
      </c>
      <c r="G699" s="7" t="str">
        <f>LOOKUP(H699,[1]startdates!$A$2:$A$10,[1]startdates!$B$2:$B$10)</f>
        <v>FMr</v>
      </c>
      <c r="H699">
        <v>6</v>
      </c>
      <c r="N699" s="7">
        <v>233</v>
      </c>
      <c r="O699" s="7">
        <v>161</v>
      </c>
    </row>
    <row r="700" spans="1:16" x14ac:dyDescent="0.2">
      <c r="A700">
        <v>699</v>
      </c>
      <c r="B700" s="1">
        <v>40749</v>
      </c>
      <c r="C700" t="s">
        <v>28</v>
      </c>
      <c r="D700" s="7">
        <v>13</v>
      </c>
      <c r="E700" s="7">
        <v>3</v>
      </c>
      <c r="F700" s="7">
        <f t="shared" si="11"/>
        <v>2</v>
      </c>
      <c r="G700" s="7" t="str">
        <f>LOOKUP(H700,[1]startdates!$A$2:$A$10,[1]startdates!$B$2:$B$10)</f>
        <v>FMr</v>
      </c>
      <c r="H700">
        <v>6</v>
      </c>
      <c r="N700" s="7">
        <v>232</v>
      </c>
      <c r="O700" s="7">
        <v>197</v>
      </c>
    </row>
    <row r="701" spans="1:16" x14ac:dyDescent="0.2">
      <c r="A701">
        <v>700</v>
      </c>
      <c r="B701" s="1">
        <v>40749</v>
      </c>
      <c r="C701" t="s">
        <v>28</v>
      </c>
      <c r="D701" s="7">
        <v>13</v>
      </c>
      <c r="E701" s="7">
        <v>3</v>
      </c>
      <c r="F701" s="7">
        <f t="shared" si="11"/>
        <v>2</v>
      </c>
      <c r="G701" s="7" t="str">
        <f>LOOKUP(H701,[1]startdates!$A$2:$A$10,[1]startdates!$B$2:$B$10)</f>
        <v>FMr</v>
      </c>
      <c r="H701">
        <v>6</v>
      </c>
      <c r="N701" s="7">
        <v>212</v>
      </c>
      <c r="O701" s="7">
        <v>182</v>
      </c>
    </row>
    <row r="702" spans="1:16" x14ac:dyDescent="0.2">
      <c r="A702">
        <v>701</v>
      </c>
      <c r="B702" s="1">
        <v>40749</v>
      </c>
      <c r="C702" t="s">
        <v>28</v>
      </c>
      <c r="D702" s="7">
        <v>13</v>
      </c>
      <c r="E702" s="7">
        <v>3</v>
      </c>
      <c r="F702" s="7">
        <f t="shared" si="11"/>
        <v>2</v>
      </c>
      <c r="G702" s="7" t="str">
        <f>LOOKUP(H702,[1]startdates!$A$2:$A$10,[1]startdates!$B$2:$B$10)</f>
        <v>FMr</v>
      </c>
      <c r="H702">
        <v>6</v>
      </c>
      <c r="N702" s="7">
        <v>250</v>
      </c>
      <c r="O702" s="7">
        <v>179</v>
      </c>
    </row>
    <row r="703" spans="1:16" x14ac:dyDescent="0.2">
      <c r="A703">
        <v>702</v>
      </c>
      <c r="B703" s="1">
        <v>40749</v>
      </c>
      <c r="C703" t="s">
        <v>28</v>
      </c>
      <c r="D703" s="7">
        <v>13</v>
      </c>
      <c r="E703" s="7">
        <v>3</v>
      </c>
      <c r="F703" s="7">
        <f t="shared" si="11"/>
        <v>2</v>
      </c>
      <c r="G703" s="7" t="str">
        <f>LOOKUP(H703,[1]startdates!$A$2:$A$10,[1]startdates!$B$2:$B$10)</f>
        <v>FMr</v>
      </c>
      <c r="H703">
        <v>6</v>
      </c>
      <c r="N703" s="7">
        <v>189</v>
      </c>
    </row>
    <row r="704" spans="1:16" x14ac:dyDescent="0.2">
      <c r="A704">
        <v>703</v>
      </c>
      <c r="B704" s="1">
        <v>40749</v>
      </c>
      <c r="C704" t="s">
        <v>24</v>
      </c>
      <c r="D704" s="7">
        <v>13</v>
      </c>
      <c r="E704" s="7">
        <v>3</v>
      </c>
      <c r="F704" s="7">
        <f t="shared" si="11"/>
        <v>2</v>
      </c>
      <c r="G704" s="7" t="str">
        <f>LOOKUP(H704,[1]startdates!$A$2:$A$10,[1]startdates!$B$2:$B$10)</f>
        <v>FMr</v>
      </c>
      <c r="H704">
        <v>7</v>
      </c>
      <c r="I704" s="7">
        <v>583</v>
      </c>
      <c r="L704" s="7">
        <v>443</v>
      </c>
      <c r="M704" s="7">
        <v>303</v>
      </c>
      <c r="N704" s="7">
        <v>219</v>
      </c>
      <c r="O704" s="7">
        <v>142</v>
      </c>
      <c r="P704" s="7">
        <v>519</v>
      </c>
    </row>
    <row r="705" spans="1:16" x14ac:dyDescent="0.2">
      <c r="A705">
        <v>704</v>
      </c>
      <c r="B705" s="1">
        <v>40749</v>
      </c>
      <c r="C705" t="s">
        <v>24</v>
      </c>
      <c r="D705" s="7">
        <v>13</v>
      </c>
      <c r="E705" s="7">
        <v>3</v>
      </c>
      <c r="F705" s="7">
        <f t="shared" si="11"/>
        <v>2</v>
      </c>
      <c r="G705" s="7" t="str">
        <f>LOOKUP(H705,[1]startdates!$A$2:$A$10,[1]startdates!$B$2:$B$10)</f>
        <v>FMr</v>
      </c>
      <c r="H705">
        <v>7</v>
      </c>
      <c r="I705" s="7">
        <v>711</v>
      </c>
      <c r="L705" s="7">
        <v>393</v>
      </c>
      <c r="M705" s="7">
        <v>263</v>
      </c>
      <c r="N705" s="7">
        <v>178</v>
      </c>
      <c r="O705" s="7">
        <v>182</v>
      </c>
      <c r="P705" s="7">
        <v>522</v>
      </c>
    </row>
    <row r="706" spans="1:16" x14ac:dyDescent="0.2">
      <c r="A706">
        <v>705</v>
      </c>
      <c r="B706" s="1">
        <v>40749</v>
      </c>
      <c r="C706" t="s">
        <v>24</v>
      </c>
      <c r="D706" s="7">
        <v>13</v>
      </c>
      <c r="E706" s="7">
        <v>3</v>
      </c>
      <c r="F706" s="7">
        <f t="shared" si="11"/>
        <v>2</v>
      </c>
      <c r="G706" s="7" t="str">
        <f>LOOKUP(H706,[1]startdates!$A$2:$A$10,[1]startdates!$B$2:$B$10)</f>
        <v>FMr</v>
      </c>
      <c r="H706">
        <v>7</v>
      </c>
      <c r="I706" s="7">
        <v>830</v>
      </c>
      <c r="L706" s="7">
        <v>479</v>
      </c>
      <c r="M706" s="7">
        <v>291</v>
      </c>
      <c r="N706" s="7">
        <v>248</v>
      </c>
      <c r="O706" s="7">
        <v>162</v>
      </c>
      <c r="P706" s="7">
        <v>468</v>
      </c>
    </row>
    <row r="707" spans="1:16" x14ac:dyDescent="0.2">
      <c r="A707">
        <v>706</v>
      </c>
      <c r="B707" s="1">
        <v>40749</v>
      </c>
      <c r="C707" t="s">
        <v>24</v>
      </c>
      <c r="D707" s="7">
        <v>13</v>
      </c>
      <c r="E707" s="7">
        <v>3</v>
      </c>
      <c r="F707" s="7">
        <f t="shared" si="11"/>
        <v>2</v>
      </c>
      <c r="G707" s="7" t="str">
        <f>LOOKUP(H707,[1]startdates!$A$2:$A$10,[1]startdates!$B$2:$B$10)</f>
        <v>FMr</v>
      </c>
      <c r="H707">
        <v>7</v>
      </c>
      <c r="I707" s="7">
        <v>837</v>
      </c>
      <c r="L707" s="7">
        <v>434</v>
      </c>
      <c r="M707" s="7">
        <v>246</v>
      </c>
      <c r="N707" s="7">
        <v>218</v>
      </c>
      <c r="O707" s="7">
        <v>146</v>
      </c>
    </row>
    <row r="708" spans="1:16" x14ac:dyDescent="0.2">
      <c r="A708">
        <v>707</v>
      </c>
      <c r="B708" s="1">
        <v>40749</v>
      </c>
      <c r="C708" t="s">
        <v>24</v>
      </c>
      <c r="D708" s="7">
        <v>13</v>
      </c>
      <c r="E708" s="7">
        <v>3</v>
      </c>
      <c r="F708" s="7">
        <f t="shared" si="11"/>
        <v>2</v>
      </c>
      <c r="G708" s="7" t="str">
        <f>LOOKUP(H708,[1]startdates!$A$2:$A$10,[1]startdates!$B$2:$B$10)</f>
        <v>FMr</v>
      </c>
      <c r="H708">
        <v>7</v>
      </c>
      <c r="I708" s="7">
        <v>690</v>
      </c>
      <c r="M708" s="7">
        <v>293</v>
      </c>
      <c r="N708" s="7">
        <v>203</v>
      </c>
      <c r="O708" s="7">
        <v>169</v>
      </c>
    </row>
    <row r="709" spans="1:16" x14ac:dyDescent="0.2">
      <c r="A709">
        <v>708</v>
      </c>
      <c r="B709" s="1">
        <v>40749</v>
      </c>
      <c r="C709" t="s">
        <v>24</v>
      </c>
      <c r="D709" s="7">
        <v>13</v>
      </c>
      <c r="E709" s="7">
        <v>3</v>
      </c>
      <c r="F709" s="7">
        <f t="shared" si="11"/>
        <v>2</v>
      </c>
      <c r="G709" s="7" t="str">
        <f>LOOKUP(H709,[1]startdates!$A$2:$A$10,[1]startdates!$B$2:$B$10)</f>
        <v>FMr</v>
      </c>
      <c r="H709">
        <v>7</v>
      </c>
      <c r="M709" s="7">
        <v>283</v>
      </c>
      <c r="N709" s="7">
        <v>208</v>
      </c>
      <c r="O709" s="7">
        <v>151</v>
      </c>
    </row>
    <row r="710" spans="1:16" x14ac:dyDescent="0.2">
      <c r="A710">
        <v>709</v>
      </c>
      <c r="B710" s="1">
        <v>40749</v>
      </c>
      <c r="C710" t="s">
        <v>24</v>
      </c>
      <c r="D710" s="7">
        <v>13</v>
      </c>
      <c r="E710" s="7">
        <v>3</v>
      </c>
      <c r="F710" s="7">
        <f t="shared" si="11"/>
        <v>2</v>
      </c>
      <c r="G710" s="7" t="str">
        <f>LOOKUP(H710,[1]startdates!$A$2:$A$10,[1]startdates!$B$2:$B$10)</f>
        <v>FMr</v>
      </c>
      <c r="H710">
        <v>7</v>
      </c>
      <c r="M710" s="7">
        <v>297</v>
      </c>
      <c r="N710" s="7">
        <v>171</v>
      </c>
      <c r="O710" s="7">
        <v>174</v>
      </c>
    </row>
    <row r="711" spans="1:16" x14ac:dyDescent="0.2">
      <c r="A711">
        <v>710</v>
      </c>
      <c r="B711" s="1">
        <v>40749</v>
      </c>
      <c r="C711" t="s">
        <v>24</v>
      </c>
      <c r="D711" s="7">
        <v>13</v>
      </c>
      <c r="E711" s="7">
        <v>3</v>
      </c>
      <c r="F711" s="7">
        <f t="shared" si="11"/>
        <v>2</v>
      </c>
      <c r="G711" s="7" t="str">
        <f>LOOKUP(H711,[1]startdates!$A$2:$A$10,[1]startdates!$B$2:$B$10)</f>
        <v>FMr</v>
      </c>
      <c r="H711">
        <v>7</v>
      </c>
      <c r="N711" s="7">
        <v>175</v>
      </c>
      <c r="O711" s="7">
        <v>167</v>
      </c>
    </row>
    <row r="712" spans="1:16" x14ac:dyDescent="0.2">
      <c r="A712">
        <v>711</v>
      </c>
      <c r="B712" s="1">
        <v>40749</v>
      </c>
      <c r="C712" t="s">
        <v>24</v>
      </c>
      <c r="D712" s="7">
        <v>13</v>
      </c>
      <c r="E712" s="7">
        <v>3</v>
      </c>
      <c r="F712" s="7">
        <f t="shared" si="11"/>
        <v>2</v>
      </c>
      <c r="G712" s="7" t="str">
        <f>LOOKUP(H712,[1]startdates!$A$2:$A$10,[1]startdates!$B$2:$B$10)</f>
        <v>FMr</v>
      </c>
      <c r="H712">
        <v>7</v>
      </c>
      <c r="N712" s="7">
        <v>202</v>
      </c>
      <c r="O712" s="7">
        <v>179</v>
      </c>
    </row>
    <row r="713" spans="1:16" x14ac:dyDescent="0.2">
      <c r="A713">
        <v>712</v>
      </c>
      <c r="B713" s="1">
        <v>40749</v>
      </c>
      <c r="C713" t="s">
        <v>24</v>
      </c>
      <c r="D713" s="7">
        <v>13</v>
      </c>
      <c r="E713" s="7">
        <v>3</v>
      </c>
      <c r="F713" s="7">
        <f t="shared" si="11"/>
        <v>2</v>
      </c>
      <c r="G713" s="7" t="str">
        <f>LOOKUP(H713,[1]startdates!$A$2:$A$10,[1]startdates!$B$2:$B$10)</f>
        <v>FMr</v>
      </c>
      <c r="H713">
        <v>7</v>
      </c>
      <c r="N713" s="7">
        <v>197</v>
      </c>
      <c r="O713" s="7">
        <v>151</v>
      </c>
    </row>
    <row r="714" spans="1:16" x14ac:dyDescent="0.2">
      <c r="A714">
        <v>713</v>
      </c>
      <c r="B714" s="1">
        <v>40749</v>
      </c>
      <c r="C714" t="s">
        <v>24</v>
      </c>
      <c r="D714" s="7">
        <v>13</v>
      </c>
      <c r="E714" s="7">
        <v>3</v>
      </c>
      <c r="F714" s="7">
        <f t="shared" si="11"/>
        <v>2</v>
      </c>
      <c r="G714" s="7" t="str">
        <f>LOOKUP(H714,[1]startdates!$A$2:$A$10,[1]startdates!$B$2:$B$10)</f>
        <v>FMr</v>
      </c>
      <c r="H714">
        <v>7</v>
      </c>
      <c r="N714" s="7">
        <v>195</v>
      </c>
      <c r="O714" s="7">
        <v>188</v>
      </c>
    </row>
    <row r="715" spans="1:16" x14ac:dyDescent="0.2">
      <c r="A715">
        <v>714</v>
      </c>
      <c r="B715" s="1">
        <v>40749</v>
      </c>
      <c r="C715" t="s">
        <v>24</v>
      </c>
      <c r="D715" s="7">
        <v>13</v>
      </c>
      <c r="E715" s="7">
        <v>3</v>
      </c>
      <c r="F715" s="7">
        <f t="shared" si="11"/>
        <v>2</v>
      </c>
      <c r="G715" s="7" t="str">
        <f>LOOKUP(H715,[1]startdates!$A$2:$A$10,[1]startdates!$B$2:$B$10)</f>
        <v>FMr</v>
      </c>
      <c r="H715">
        <v>7</v>
      </c>
      <c r="N715" s="7">
        <v>201</v>
      </c>
      <c r="O715" s="7">
        <v>171</v>
      </c>
    </row>
    <row r="716" spans="1:16" x14ac:dyDescent="0.2">
      <c r="A716">
        <v>715</v>
      </c>
      <c r="B716" s="1">
        <v>40749</v>
      </c>
      <c r="C716" t="s">
        <v>24</v>
      </c>
      <c r="D716" s="7">
        <v>13</v>
      </c>
      <c r="E716" s="7">
        <v>3</v>
      </c>
      <c r="F716" s="7">
        <f t="shared" si="11"/>
        <v>2</v>
      </c>
      <c r="G716" s="7" t="str">
        <f>LOOKUP(H716,[1]startdates!$A$2:$A$10,[1]startdates!$B$2:$B$10)</f>
        <v>FMr</v>
      </c>
      <c r="H716">
        <v>7</v>
      </c>
      <c r="N716" s="7">
        <v>210</v>
      </c>
      <c r="O716" s="7">
        <v>154</v>
      </c>
    </row>
    <row r="717" spans="1:16" x14ac:dyDescent="0.2">
      <c r="A717">
        <v>716</v>
      </c>
      <c r="B717" s="1">
        <v>40749</v>
      </c>
      <c r="C717" t="s">
        <v>24</v>
      </c>
      <c r="D717" s="7">
        <v>13</v>
      </c>
      <c r="E717" s="7">
        <v>3</v>
      </c>
      <c r="F717" s="7">
        <f t="shared" si="11"/>
        <v>2</v>
      </c>
      <c r="G717" s="7" t="str">
        <f>LOOKUP(H717,[1]startdates!$A$2:$A$10,[1]startdates!$B$2:$B$10)</f>
        <v>FMr</v>
      </c>
      <c r="H717">
        <v>7</v>
      </c>
      <c r="N717" s="7">
        <v>216</v>
      </c>
      <c r="O717" s="7">
        <v>179</v>
      </c>
    </row>
    <row r="718" spans="1:16" x14ac:dyDescent="0.2">
      <c r="A718">
        <v>717</v>
      </c>
      <c r="B718" s="1">
        <v>40749</v>
      </c>
      <c r="C718" t="s">
        <v>24</v>
      </c>
      <c r="D718" s="7">
        <v>13</v>
      </c>
      <c r="E718" s="7">
        <v>3</v>
      </c>
      <c r="F718" s="7">
        <f t="shared" si="11"/>
        <v>2</v>
      </c>
      <c r="G718" s="7" t="str">
        <f>LOOKUP(H718,[1]startdates!$A$2:$A$10,[1]startdates!$B$2:$B$10)</f>
        <v>FMr</v>
      </c>
      <c r="H718">
        <v>7</v>
      </c>
      <c r="N718" s="7">
        <v>246</v>
      </c>
      <c r="O718" s="7">
        <v>155</v>
      </c>
    </row>
    <row r="719" spans="1:16" x14ac:dyDescent="0.2">
      <c r="A719">
        <v>718</v>
      </c>
      <c r="B719" s="1">
        <v>40749</v>
      </c>
      <c r="C719" t="s">
        <v>24</v>
      </c>
      <c r="D719" s="7">
        <v>13</v>
      </c>
      <c r="E719" s="7">
        <v>3</v>
      </c>
      <c r="F719" s="7">
        <f t="shared" si="11"/>
        <v>2</v>
      </c>
      <c r="G719" s="7" t="str">
        <f>LOOKUP(H719,[1]startdates!$A$2:$A$10,[1]startdates!$B$2:$B$10)</f>
        <v>FMr</v>
      </c>
      <c r="H719">
        <v>7</v>
      </c>
      <c r="O719" s="7">
        <v>155</v>
      </c>
    </row>
    <row r="720" spans="1:16" x14ac:dyDescent="0.2">
      <c r="A720">
        <v>719</v>
      </c>
      <c r="B720" s="1">
        <v>40749</v>
      </c>
      <c r="C720" t="s">
        <v>24</v>
      </c>
      <c r="D720" s="7">
        <v>13</v>
      </c>
      <c r="E720" s="7">
        <v>3</v>
      </c>
      <c r="F720" s="7">
        <f t="shared" si="11"/>
        <v>2</v>
      </c>
      <c r="G720" s="7" t="str">
        <f>LOOKUP(H720,[1]startdates!$A$2:$A$10,[1]startdates!$B$2:$B$10)</f>
        <v>FMr</v>
      </c>
      <c r="H720">
        <v>7</v>
      </c>
      <c r="O720" s="7">
        <v>151</v>
      </c>
    </row>
    <row r="721" spans="1:18" x14ac:dyDescent="0.2">
      <c r="A721">
        <v>720</v>
      </c>
      <c r="B721" s="1">
        <v>40749</v>
      </c>
      <c r="C721" t="s">
        <v>24</v>
      </c>
      <c r="D721" s="7">
        <v>13</v>
      </c>
      <c r="E721" s="7">
        <v>3</v>
      </c>
      <c r="F721" s="7">
        <f t="shared" si="11"/>
        <v>2</v>
      </c>
      <c r="G721" s="7" t="str">
        <f>LOOKUP(H721,[1]startdates!$A$2:$A$10,[1]startdates!$B$2:$B$10)</f>
        <v>FMr</v>
      </c>
      <c r="H721">
        <v>7</v>
      </c>
      <c r="O721" s="7">
        <v>167</v>
      </c>
    </row>
    <row r="722" spans="1:18" x14ac:dyDescent="0.2">
      <c r="A722">
        <v>721</v>
      </c>
      <c r="B722" s="1">
        <v>40749</v>
      </c>
      <c r="C722" t="s">
        <v>24</v>
      </c>
      <c r="D722" s="7">
        <v>13</v>
      </c>
      <c r="E722" s="7">
        <v>3</v>
      </c>
      <c r="F722" s="7">
        <f t="shared" si="11"/>
        <v>2</v>
      </c>
      <c r="G722" s="7" t="str">
        <f>LOOKUP(H722,[1]startdates!$A$2:$A$10,[1]startdates!$B$2:$B$10)</f>
        <v>FMr</v>
      </c>
      <c r="H722">
        <v>7</v>
      </c>
      <c r="O722" s="7">
        <v>204</v>
      </c>
    </row>
    <row r="723" spans="1:18" x14ac:dyDescent="0.2">
      <c r="A723">
        <v>722</v>
      </c>
      <c r="B723" s="1">
        <v>40749</v>
      </c>
      <c r="C723" t="s">
        <v>24</v>
      </c>
      <c r="D723" s="7">
        <v>13</v>
      </c>
      <c r="E723" s="7">
        <v>3</v>
      </c>
      <c r="F723" s="7">
        <f t="shared" si="11"/>
        <v>2</v>
      </c>
      <c r="G723" s="7" t="str">
        <f>LOOKUP(H723,[1]startdates!$A$2:$A$10,[1]startdates!$B$2:$B$10)</f>
        <v>C</v>
      </c>
      <c r="H723">
        <v>8</v>
      </c>
      <c r="I723" s="7">
        <v>565</v>
      </c>
      <c r="K723" s="7">
        <v>603</v>
      </c>
      <c r="L723" s="7">
        <v>409</v>
      </c>
      <c r="M723" s="7">
        <v>322</v>
      </c>
      <c r="N723" s="7">
        <v>261</v>
      </c>
      <c r="O723" s="7">
        <v>153</v>
      </c>
      <c r="P723" s="7">
        <v>521</v>
      </c>
      <c r="Q723" s="7">
        <v>362</v>
      </c>
    </row>
    <row r="724" spans="1:18" x14ac:dyDescent="0.2">
      <c r="A724">
        <v>723</v>
      </c>
      <c r="B724" s="1">
        <v>40749</v>
      </c>
      <c r="C724" t="s">
        <v>24</v>
      </c>
      <c r="D724" s="7">
        <v>13</v>
      </c>
      <c r="E724" s="7">
        <v>3</v>
      </c>
      <c r="F724" s="7">
        <f t="shared" si="11"/>
        <v>2</v>
      </c>
      <c r="G724" s="7" t="str">
        <f>LOOKUP(H724,[1]startdates!$A$2:$A$10,[1]startdates!$B$2:$B$10)</f>
        <v>C</v>
      </c>
      <c r="H724">
        <v>8</v>
      </c>
      <c r="L724" s="7">
        <v>397</v>
      </c>
      <c r="M724" s="7">
        <v>280</v>
      </c>
      <c r="N724" s="7">
        <v>186</v>
      </c>
      <c r="O724" s="7">
        <v>161</v>
      </c>
      <c r="P724" s="7">
        <v>558</v>
      </c>
    </row>
    <row r="725" spans="1:18" x14ac:dyDescent="0.2">
      <c r="A725">
        <v>724</v>
      </c>
      <c r="B725" s="1">
        <v>40749</v>
      </c>
      <c r="C725" t="s">
        <v>24</v>
      </c>
      <c r="D725" s="7">
        <v>13</v>
      </c>
      <c r="E725" s="7">
        <v>3</v>
      </c>
      <c r="F725" s="7">
        <f t="shared" si="11"/>
        <v>2</v>
      </c>
      <c r="G725" s="7" t="str">
        <f>LOOKUP(H725,[1]startdates!$A$2:$A$10,[1]startdates!$B$2:$B$10)</f>
        <v>C</v>
      </c>
      <c r="H725">
        <v>8</v>
      </c>
      <c r="L725" s="7">
        <v>335</v>
      </c>
      <c r="M725" s="7">
        <v>280</v>
      </c>
      <c r="N725" s="7">
        <v>202</v>
      </c>
      <c r="O725" s="7">
        <v>182</v>
      </c>
    </row>
    <row r="726" spans="1:18" x14ac:dyDescent="0.2">
      <c r="A726">
        <v>725</v>
      </c>
      <c r="B726" s="1">
        <v>40749</v>
      </c>
      <c r="C726" t="s">
        <v>24</v>
      </c>
      <c r="D726" s="7">
        <v>13</v>
      </c>
      <c r="E726" s="7">
        <v>3</v>
      </c>
      <c r="F726" s="7">
        <f t="shared" si="11"/>
        <v>2</v>
      </c>
      <c r="G726" s="7" t="str">
        <f>LOOKUP(H726,[1]startdates!$A$2:$A$10,[1]startdates!$B$2:$B$10)</f>
        <v>C</v>
      </c>
      <c r="H726">
        <v>8</v>
      </c>
      <c r="L726" s="7">
        <v>356</v>
      </c>
      <c r="M726" s="7">
        <v>305</v>
      </c>
      <c r="N726" s="7">
        <v>239</v>
      </c>
      <c r="O726" s="7">
        <v>163</v>
      </c>
    </row>
    <row r="727" spans="1:18" x14ac:dyDescent="0.2">
      <c r="A727">
        <v>726</v>
      </c>
      <c r="B727" s="1">
        <v>40749</v>
      </c>
      <c r="C727" t="s">
        <v>24</v>
      </c>
      <c r="D727" s="7">
        <v>13</v>
      </c>
      <c r="E727" s="7">
        <v>3</v>
      </c>
      <c r="F727" s="7">
        <f t="shared" si="11"/>
        <v>2</v>
      </c>
      <c r="G727" s="7" t="str">
        <f>LOOKUP(H727,[1]startdates!$A$2:$A$10,[1]startdates!$B$2:$B$10)</f>
        <v>C</v>
      </c>
      <c r="H727">
        <v>8</v>
      </c>
      <c r="M727" s="7">
        <v>328</v>
      </c>
      <c r="N727" s="7">
        <v>238</v>
      </c>
      <c r="O727" s="7">
        <v>166</v>
      </c>
    </row>
    <row r="728" spans="1:18" x14ac:dyDescent="0.2">
      <c r="A728">
        <v>727</v>
      </c>
      <c r="B728" s="1">
        <v>40749</v>
      </c>
      <c r="C728" t="s">
        <v>24</v>
      </c>
      <c r="D728" s="7">
        <v>13</v>
      </c>
      <c r="E728" s="7">
        <v>3</v>
      </c>
      <c r="F728" s="7">
        <f t="shared" si="11"/>
        <v>2</v>
      </c>
      <c r="G728" s="7" t="str">
        <f>LOOKUP(H728,[1]startdates!$A$2:$A$10,[1]startdates!$B$2:$B$10)</f>
        <v>C</v>
      </c>
      <c r="H728">
        <v>8</v>
      </c>
      <c r="N728" s="7">
        <v>240</v>
      </c>
      <c r="O728" s="7">
        <v>177</v>
      </c>
    </row>
    <row r="729" spans="1:18" x14ac:dyDescent="0.2">
      <c r="A729">
        <v>728</v>
      </c>
      <c r="B729" s="1">
        <v>40749</v>
      </c>
      <c r="C729" t="s">
        <v>24</v>
      </c>
      <c r="D729" s="7">
        <v>13</v>
      </c>
      <c r="E729" s="7">
        <v>3</v>
      </c>
      <c r="F729" s="7">
        <f t="shared" si="11"/>
        <v>2</v>
      </c>
      <c r="G729" s="7" t="str">
        <f>LOOKUP(H729,[1]startdates!$A$2:$A$10,[1]startdates!$B$2:$B$10)</f>
        <v>C</v>
      </c>
      <c r="H729">
        <v>8</v>
      </c>
      <c r="O729" s="7">
        <v>162</v>
      </c>
    </row>
    <row r="730" spans="1:18" x14ac:dyDescent="0.2">
      <c r="A730">
        <v>729</v>
      </c>
      <c r="B730" s="1">
        <v>40749</v>
      </c>
      <c r="C730" t="s">
        <v>24</v>
      </c>
      <c r="D730" s="7">
        <v>13</v>
      </c>
      <c r="E730" s="7">
        <v>3</v>
      </c>
      <c r="F730" s="7">
        <f t="shared" si="11"/>
        <v>2</v>
      </c>
      <c r="G730" s="7" t="str">
        <f>LOOKUP(H730,[1]startdates!$A$2:$A$10,[1]startdates!$B$2:$B$10)</f>
        <v>C</v>
      </c>
      <c r="H730">
        <v>8</v>
      </c>
      <c r="O730" s="7">
        <v>187</v>
      </c>
    </row>
    <row r="731" spans="1:18" x14ac:dyDescent="0.2">
      <c r="A731">
        <v>730</v>
      </c>
      <c r="B731" s="1">
        <v>40749</v>
      </c>
      <c r="C731" t="s">
        <v>24</v>
      </c>
      <c r="D731" s="7">
        <v>13</v>
      </c>
      <c r="E731" s="7">
        <v>3</v>
      </c>
      <c r="F731" s="7">
        <f t="shared" si="11"/>
        <v>2</v>
      </c>
      <c r="G731" s="7" t="str">
        <f>LOOKUP(H731,[1]startdates!$A$2:$A$10,[1]startdates!$B$2:$B$10)</f>
        <v>C</v>
      </c>
      <c r="H731">
        <v>8</v>
      </c>
      <c r="O731" s="7">
        <v>196</v>
      </c>
    </row>
    <row r="732" spans="1:18" x14ac:dyDescent="0.2">
      <c r="A732">
        <v>731</v>
      </c>
      <c r="B732" s="1">
        <v>40749</v>
      </c>
      <c r="C732" t="s">
        <v>24</v>
      </c>
      <c r="D732" s="7">
        <v>13</v>
      </c>
      <c r="E732" s="7">
        <v>3</v>
      </c>
      <c r="F732" s="7">
        <f t="shared" si="11"/>
        <v>2</v>
      </c>
      <c r="G732" s="7" t="str">
        <f>LOOKUP(H732,[1]startdates!$A$2:$A$10,[1]startdates!$B$2:$B$10)</f>
        <v>C</v>
      </c>
      <c r="H732">
        <v>8</v>
      </c>
      <c r="O732" s="7">
        <v>204</v>
      </c>
    </row>
    <row r="733" spans="1:18" x14ac:dyDescent="0.2">
      <c r="A733">
        <v>732</v>
      </c>
      <c r="B733" s="1">
        <v>40749</v>
      </c>
      <c r="C733" t="s">
        <v>28</v>
      </c>
      <c r="D733" s="7">
        <v>13</v>
      </c>
      <c r="E733" s="7">
        <v>3</v>
      </c>
      <c r="F733" s="7">
        <f t="shared" si="11"/>
        <v>2</v>
      </c>
      <c r="G733" s="7" t="str">
        <f>LOOKUP(H733,[1]startdates!$A$2:$A$10,[1]startdates!$B$2:$B$10)</f>
        <v>FMr</v>
      </c>
      <c r="H733">
        <v>9</v>
      </c>
      <c r="I733" s="7">
        <v>713</v>
      </c>
      <c r="J733" s="7">
        <v>652</v>
      </c>
      <c r="K733" s="7">
        <v>660</v>
      </c>
      <c r="M733" s="7">
        <v>354</v>
      </c>
      <c r="N733" s="7">
        <v>221</v>
      </c>
      <c r="O733" s="7">
        <v>195</v>
      </c>
      <c r="R733" s="7">
        <v>252</v>
      </c>
    </row>
    <row r="734" spans="1:18" x14ac:dyDescent="0.2">
      <c r="A734">
        <v>733</v>
      </c>
      <c r="B734" s="1">
        <v>40749</v>
      </c>
      <c r="C734" t="s">
        <v>28</v>
      </c>
      <c r="D734" s="7">
        <v>13</v>
      </c>
      <c r="E734" s="7">
        <v>3</v>
      </c>
      <c r="F734" s="7">
        <f t="shared" si="11"/>
        <v>2</v>
      </c>
      <c r="G734" s="7" t="str">
        <f>LOOKUP(H734,[1]startdates!$A$2:$A$10,[1]startdates!$B$2:$B$10)</f>
        <v>FMr</v>
      </c>
      <c r="H734">
        <v>9</v>
      </c>
      <c r="I734" s="7">
        <v>874</v>
      </c>
      <c r="J734" s="7">
        <v>605</v>
      </c>
      <c r="K734" s="7">
        <v>599</v>
      </c>
      <c r="M734" s="7">
        <v>303</v>
      </c>
      <c r="N734" s="7">
        <v>222</v>
      </c>
      <c r="O734" s="7">
        <v>172</v>
      </c>
    </row>
    <row r="735" spans="1:18" x14ac:dyDescent="0.2">
      <c r="A735">
        <v>734</v>
      </c>
      <c r="B735" s="1">
        <v>40749</v>
      </c>
      <c r="C735" t="s">
        <v>28</v>
      </c>
      <c r="D735" s="7">
        <v>13</v>
      </c>
      <c r="E735" s="7">
        <v>3</v>
      </c>
      <c r="F735" s="7">
        <f t="shared" si="11"/>
        <v>2</v>
      </c>
      <c r="G735" s="7" t="str">
        <f>LOOKUP(H735,[1]startdates!$A$2:$A$10,[1]startdates!$B$2:$B$10)</f>
        <v>FMr</v>
      </c>
      <c r="H735">
        <v>9</v>
      </c>
      <c r="I735" s="7">
        <v>813</v>
      </c>
      <c r="M735" s="7">
        <v>275</v>
      </c>
      <c r="N735" s="7">
        <v>182</v>
      </c>
      <c r="O735" s="7">
        <v>175</v>
      </c>
    </row>
    <row r="736" spans="1:18" x14ac:dyDescent="0.2">
      <c r="A736">
        <v>735</v>
      </c>
      <c r="B736" s="1">
        <v>40749</v>
      </c>
      <c r="C736" t="s">
        <v>28</v>
      </c>
      <c r="D736" s="7">
        <v>13</v>
      </c>
      <c r="E736" s="7">
        <v>3</v>
      </c>
      <c r="F736" s="7">
        <f t="shared" si="11"/>
        <v>2</v>
      </c>
      <c r="G736" s="7" t="str">
        <f>LOOKUP(H736,[1]startdates!$A$2:$A$10,[1]startdates!$B$2:$B$10)</f>
        <v>FMr</v>
      </c>
      <c r="H736">
        <v>9</v>
      </c>
      <c r="I736" s="7">
        <v>745</v>
      </c>
      <c r="M736" s="7">
        <v>317</v>
      </c>
      <c r="N736" s="7">
        <v>220</v>
      </c>
      <c r="O736" s="7">
        <v>178</v>
      </c>
    </row>
    <row r="737" spans="1:18" x14ac:dyDescent="0.2">
      <c r="A737">
        <v>736</v>
      </c>
      <c r="B737" s="1">
        <v>40749</v>
      </c>
      <c r="C737" t="s">
        <v>28</v>
      </c>
      <c r="D737" s="7">
        <v>13</v>
      </c>
      <c r="E737" s="7">
        <v>3</v>
      </c>
      <c r="F737" s="7">
        <f t="shared" si="11"/>
        <v>2</v>
      </c>
      <c r="G737" s="7" t="str">
        <f>LOOKUP(H737,[1]startdates!$A$2:$A$10,[1]startdates!$B$2:$B$10)</f>
        <v>FMr</v>
      </c>
      <c r="H737">
        <v>9</v>
      </c>
      <c r="I737" s="7">
        <v>838</v>
      </c>
      <c r="M737" s="7">
        <v>164</v>
      </c>
      <c r="N737" s="7">
        <v>237</v>
      </c>
      <c r="O737" s="7">
        <v>165</v>
      </c>
    </row>
    <row r="738" spans="1:18" x14ac:dyDescent="0.2">
      <c r="A738">
        <v>737</v>
      </c>
      <c r="B738" s="1">
        <v>40749</v>
      </c>
      <c r="C738" t="s">
        <v>28</v>
      </c>
      <c r="D738" s="7">
        <v>13</v>
      </c>
      <c r="E738" s="7">
        <v>3</v>
      </c>
      <c r="F738" s="7">
        <f t="shared" si="11"/>
        <v>2</v>
      </c>
      <c r="G738" s="7" t="str">
        <f>LOOKUP(H738,[1]startdates!$A$2:$A$10,[1]startdates!$B$2:$B$10)</f>
        <v>FMr</v>
      </c>
      <c r="H738">
        <v>9</v>
      </c>
      <c r="I738" s="7">
        <v>785</v>
      </c>
      <c r="M738" s="7">
        <v>160</v>
      </c>
      <c r="N738" s="7">
        <v>243</v>
      </c>
      <c r="O738" s="7">
        <v>163</v>
      </c>
    </row>
    <row r="739" spans="1:18" x14ac:dyDescent="0.2">
      <c r="A739">
        <v>738</v>
      </c>
      <c r="B739" s="1">
        <v>40749</v>
      </c>
      <c r="C739" t="s">
        <v>28</v>
      </c>
      <c r="D739" s="7">
        <v>13</v>
      </c>
      <c r="E739" s="7">
        <v>3</v>
      </c>
      <c r="F739" s="7">
        <f t="shared" si="11"/>
        <v>2</v>
      </c>
      <c r="G739" s="7" t="str">
        <f>LOOKUP(H739,[1]startdates!$A$2:$A$10,[1]startdates!$B$2:$B$10)</f>
        <v>FMr</v>
      </c>
      <c r="H739">
        <v>9</v>
      </c>
      <c r="N739" s="7">
        <v>192</v>
      </c>
      <c r="O739" s="7">
        <v>161</v>
      </c>
    </row>
    <row r="740" spans="1:18" x14ac:dyDescent="0.2">
      <c r="A740">
        <v>739</v>
      </c>
      <c r="B740" s="1">
        <v>40749</v>
      </c>
      <c r="C740" t="s">
        <v>28</v>
      </c>
      <c r="D740" s="7">
        <v>13</v>
      </c>
      <c r="E740" s="7">
        <v>3</v>
      </c>
      <c r="F740" s="7">
        <f t="shared" si="11"/>
        <v>2</v>
      </c>
      <c r="G740" s="7" t="str">
        <f>LOOKUP(H740,[1]startdates!$A$2:$A$10,[1]startdates!$B$2:$B$10)</f>
        <v>FMr</v>
      </c>
      <c r="H740">
        <v>9</v>
      </c>
      <c r="N740" s="7">
        <v>229</v>
      </c>
      <c r="O740" s="7">
        <v>172</v>
      </c>
    </row>
    <row r="741" spans="1:18" x14ac:dyDescent="0.2">
      <c r="A741">
        <v>740</v>
      </c>
      <c r="B741" s="1">
        <v>40749</v>
      </c>
      <c r="C741" t="s">
        <v>28</v>
      </c>
      <c r="D741" s="7">
        <v>13</v>
      </c>
      <c r="E741" s="7">
        <v>3</v>
      </c>
      <c r="F741" s="7">
        <f t="shared" si="11"/>
        <v>2</v>
      </c>
      <c r="G741" s="7" t="str">
        <f>LOOKUP(H741,[1]startdates!$A$2:$A$10,[1]startdates!$B$2:$B$10)</f>
        <v>FMr</v>
      </c>
      <c r="H741">
        <v>9</v>
      </c>
      <c r="N741" s="7">
        <v>224</v>
      </c>
      <c r="O741" s="7">
        <v>162</v>
      </c>
    </row>
    <row r="742" spans="1:18" x14ac:dyDescent="0.2">
      <c r="A742">
        <v>741</v>
      </c>
      <c r="B742" s="1">
        <v>40749</v>
      </c>
      <c r="C742" t="s">
        <v>28</v>
      </c>
      <c r="D742" s="7">
        <v>13</v>
      </c>
      <c r="E742" s="7">
        <v>3</v>
      </c>
      <c r="F742" s="7">
        <f t="shared" si="11"/>
        <v>2</v>
      </c>
      <c r="G742" s="7" t="str">
        <f>LOOKUP(H742,[1]startdates!$A$2:$A$10,[1]startdates!$B$2:$B$10)</f>
        <v>FMr</v>
      </c>
      <c r="H742">
        <v>9</v>
      </c>
      <c r="O742" s="7">
        <v>170</v>
      </c>
    </row>
    <row r="743" spans="1:18" x14ac:dyDescent="0.2">
      <c r="A743">
        <v>742</v>
      </c>
      <c r="B743" s="1">
        <v>40751</v>
      </c>
      <c r="C743" t="s">
        <v>28</v>
      </c>
      <c r="D743" s="7">
        <v>15</v>
      </c>
      <c r="E743" s="7">
        <v>3</v>
      </c>
      <c r="F743" s="7">
        <f t="shared" si="11"/>
        <v>4</v>
      </c>
      <c r="G743" s="7" t="str">
        <f>LOOKUP(H743,[1]startdates!$A$2:$A$10,[1]startdates!$B$2:$B$10)</f>
        <v>SMr</v>
      </c>
      <c r="H743">
        <v>1</v>
      </c>
      <c r="I743" s="7">
        <v>582</v>
      </c>
      <c r="K743" s="7">
        <v>715</v>
      </c>
      <c r="L743" s="7">
        <v>573</v>
      </c>
      <c r="M743" s="7">
        <v>363</v>
      </c>
      <c r="N743" s="7">
        <v>224</v>
      </c>
      <c r="O743" s="7">
        <v>163</v>
      </c>
      <c r="R743" s="7">
        <v>227</v>
      </c>
    </row>
    <row r="744" spans="1:18" x14ac:dyDescent="0.2">
      <c r="A744">
        <v>743</v>
      </c>
      <c r="B744" s="1">
        <v>40751</v>
      </c>
      <c r="C744" t="s">
        <v>28</v>
      </c>
      <c r="D744" s="7">
        <v>15</v>
      </c>
      <c r="E744" s="7">
        <v>3</v>
      </c>
      <c r="F744" s="7">
        <f t="shared" si="11"/>
        <v>4</v>
      </c>
      <c r="G744" s="7" t="str">
        <f>LOOKUP(H744,[1]startdates!$A$2:$A$10,[1]startdates!$B$2:$B$10)</f>
        <v>SMr</v>
      </c>
      <c r="H744">
        <v>1</v>
      </c>
      <c r="K744" s="7">
        <v>399</v>
      </c>
      <c r="L744" s="7">
        <v>478</v>
      </c>
      <c r="M744" s="7">
        <v>334</v>
      </c>
      <c r="N744" s="7">
        <v>258</v>
      </c>
      <c r="O744" s="7">
        <v>162</v>
      </c>
      <c r="R744" s="7">
        <v>245</v>
      </c>
    </row>
    <row r="745" spans="1:18" x14ac:dyDescent="0.2">
      <c r="A745">
        <v>744</v>
      </c>
      <c r="B745" s="1">
        <v>40751</v>
      </c>
      <c r="C745" t="s">
        <v>28</v>
      </c>
      <c r="D745" s="7">
        <v>15</v>
      </c>
      <c r="E745" s="7">
        <v>3</v>
      </c>
      <c r="F745" s="7">
        <f t="shared" ref="F745:F808" si="12">WEEKDAY(B745)</f>
        <v>4</v>
      </c>
      <c r="G745" s="7" t="str">
        <f>LOOKUP(H745,[1]startdates!$A$2:$A$10,[1]startdates!$B$2:$B$10)</f>
        <v>SMr</v>
      </c>
      <c r="H745">
        <v>1</v>
      </c>
      <c r="M745" s="7">
        <v>319</v>
      </c>
      <c r="N745" s="7">
        <v>229</v>
      </c>
      <c r="O745" s="7">
        <v>133</v>
      </c>
    </row>
    <row r="746" spans="1:18" x14ac:dyDescent="0.2">
      <c r="A746">
        <v>745</v>
      </c>
      <c r="B746" s="1">
        <v>40751</v>
      </c>
      <c r="C746" t="s">
        <v>28</v>
      </c>
      <c r="D746" s="7">
        <v>15</v>
      </c>
      <c r="E746" s="7">
        <v>3</v>
      </c>
      <c r="F746" s="7">
        <f t="shared" si="12"/>
        <v>4</v>
      </c>
      <c r="G746" s="7" t="str">
        <f>LOOKUP(H746,[1]startdates!$A$2:$A$10,[1]startdates!$B$2:$B$10)</f>
        <v>SMr</v>
      </c>
      <c r="H746">
        <v>1</v>
      </c>
      <c r="M746" s="7">
        <v>346</v>
      </c>
      <c r="N746" s="7">
        <v>221</v>
      </c>
      <c r="O746" s="7">
        <v>141</v>
      </c>
    </row>
    <row r="747" spans="1:18" x14ac:dyDescent="0.2">
      <c r="A747">
        <v>746</v>
      </c>
      <c r="B747" s="1">
        <v>40751</v>
      </c>
      <c r="C747" t="s">
        <v>28</v>
      </c>
      <c r="D747" s="7">
        <v>15</v>
      </c>
      <c r="E747" s="7">
        <v>3</v>
      </c>
      <c r="F747" s="7">
        <f t="shared" si="12"/>
        <v>4</v>
      </c>
      <c r="G747" s="7" t="str">
        <f>LOOKUP(H747,[1]startdates!$A$2:$A$10,[1]startdates!$B$2:$B$10)</f>
        <v>SMr</v>
      </c>
      <c r="H747">
        <v>1</v>
      </c>
      <c r="M747" s="7">
        <v>311</v>
      </c>
      <c r="N747" s="7">
        <v>260</v>
      </c>
      <c r="O747" s="7">
        <v>172</v>
      </c>
    </row>
    <row r="748" spans="1:18" x14ac:dyDescent="0.2">
      <c r="A748">
        <v>747</v>
      </c>
      <c r="B748" s="1">
        <v>40751</v>
      </c>
      <c r="C748" t="s">
        <v>28</v>
      </c>
      <c r="D748" s="7">
        <v>15</v>
      </c>
      <c r="E748" s="7">
        <v>3</v>
      </c>
      <c r="F748" s="7">
        <f t="shared" si="12"/>
        <v>4</v>
      </c>
      <c r="G748" s="7" t="str">
        <f>LOOKUP(H748,[1]startdates!$A$2:$A$10,[1]startdates!$B$2:$B$10)</f>
        <v>SMr</v>
      </c>
      <c r="H748">
        <v>1</v>
      </c>
      <c r="M748" s="7">
        <v>322</v>
      </c>
      <c r="N748" s="7">
        <v>229</v>
      </c>
      <c r="O748" s="7">
        <v>171</v>
      </c>
    </row>
    <row r="749" spans="1:18" x14ac:dyDescent="0.2">
      <c r="A749">
        <v>748</v>
      </c>
      <c r="B749" s="1">
        <v>40751</v>
      </c>
      <c r="C749" t="s">
        <v>28</v>
      </c>
      <c r="D749" s="7">
        <v>15</v>
      </c>
      <c r="E749" s="7">
        <v>3</v>
      </c>
      <c r="F749" s="7">
        <f t="shared" si="12"/>
        <v>4</v>
      </c>
      <c r="G749" s="7" t="str">
        <f>LOOKUP(H749,[1]startdates!$A$2:$A$10,[1]startdates!$B$2:$B$10)</f>
        <v>SMr</v>
      </c>
      <c r="H749">
        <v>1</v>
      </c>
      <c r="M749" s="7">
        <v>316</v>
      </c>
      <c r="N749" s="7">
        <v>195</v>
      </c>
      <c r="O749" s="7">
        <v>151</v>
      </c>
    </row>
    <row r="750" spans="1:18" x14ac:dyDescent="0.2">
      <c r="A750">
        <v>749</v>
      </c>
      <c r="B750" s="1">
        <v>40751</v>
      </c>
      <c r="C750" t="s">
        <v>28</v>
      </c>
      <c r="D750" s="7">
        <v>15</v>
      </c>
      <c r="E750" s="7">
        <v>3</v>
      </c>
      <c r="F750" s="7">
        <f t="shared" si="12"/>
        <v>4</v>
      </c>
      <c r="G750" s="7" t="str">
        <f>LOOKUP(H750,[1]startdates!$A$2:$A$10,[1]startdates!$B$2:$B$10)</f>
        <v>SMr</v>
      </c>
      <c r="H750">
        <v>1</v>
      </c>
      <c r="M750" s="7">
        <v>327</v>
      </c>
      <c r="N750" s="7">
        <v>230</v>
      </c>
      <c r="O750" s="7">
        <v>156</v>
      </c>
    </row>
    <row r="751" spans="1:18" x14ac:dyDescent="0.2">
      <c r="A751">
        <v>750</v>
      </c>
      <c r="B751" s="1">
        <v>40751</v>
      </c>
      <c r="C751" t="s">
        <v>28</v>
      </c>
      <c r="D751" s="7">
        <v>15</v>
      </c>
      <c r="E751" s="7">
        <v>3</v>
      </c>
      <c r="F751" s="7">
        <f t="shared" si="12"/>
        <v>4</v>
      </c>
      <c r="G751" s="7" t="str">
        <f>LOOKUP(H751,[1]startdates!$A$2:$A$10,[1]startdates!$B$2:$B$10)</f>
        <v>SMr</v>
      </c>
      <c r="H751">
        <v>1</v>
      </c>
      <c r="N751" s="7">
        <v>195</v>
      </c>
      <c r="O751" s="7">
        <v>138</v>
      </c>
    </row>
    <row r="752" spans="1:18" x14ac:dyDescent="0.2">
      <c r="A752">
        <v>751</v>
      </c>
      <c r="B752" s="1">
        <v>40751</v>
      </c>
      <c r="C752" t="s">
        <v>28</v>
      </c>
      <c r="D752" s="7">
        <v>15</v>
      </c>
      <c r="E752" s="7">
        <v>3</v>
      </c>
      <c r="F752" s="7">
        <f t="shared" si="12"/>
        <v>4</v>
      </c>
      <c r="G752" s="7" t="str">
        <f>LOOKUP(H752,[1]startdates!$A$2:$A$10,[1]startdates!$B$2:$B$10)</f>
        <v>SMr</v>
      </c>
      <c r="H752">
        <v>1</v>
      </c>
      <c r="N752" s="7">
        <v>188</v>
      </c>
      <c r="O752" s="7">
        <v>134</v>
      </c>
    </row>
    <row r="753" spans="1:18" x14ac:dyDescent="0.2">
      <c r="A753">
        <v>752</v>
      </c>
      <c r="B753" s="1">
        <v>40751</v>
      </c>
      <c r="C753" t="s">
        <v>28</v>
      </c>
      <c r="D753" s="7">
        <v>15</v>
      </c>
      <c r="E753" s="7">
        <v>3</v>
      </c>
      <c r="F753" s="7">
        <f t="shared" si="12"/>
        <v>4</v>
      </c>
      <c r="G753" s="7" t="str">
        <f>LOOKUP(H753,[1]startdates!$A$2:$A$10,[1]startdates!$B$2:$B$10)</f>
        <v>SMr</v>
      </c>
      <c r="H753">
        <v>1</v>
      </c>
      <c r="N753" s="7">
        <v>185</v>
      </c>
      <c r="O753" s="7">
        <v>126</v>
      </c>
    </row>
    <row r="754" spans="1:18" x14ac:dyDescent="0.2">
      <c r="A754">
        <v>753</v>
      </c>
      <c r="B754" s="1">
        <v>40751</v>
      </c>
      <c r="C754" t="s">
        <v>28</v>
      </c>
      <c r="D754" s="7">
        <v>15</v>
      </c>
      <c r="E754" s="7">
        <v>3</v>
      </c>
      <c r="F754" s="7">
        <f t="shared" si="12"/>
        <v>4</v>
      </c>
      <c r="G754" s="7" t="str">
        <f>LOOKUP(H754,[1]startdates!$A$2:$A$10,[1]startdates!$B$2:$B$10)</f>
        <v>SMr</v>
      </c>
      <c r="H754">
        <v>1</v>
      </c>
      <c r="N754" s="7">
        <v>163</v>
      </c>
      <c r="O754" s="7">
        <v>136</v>
      </c>
    </row>
    <row r="755" spans="1:18" x14ac:dyDescent="0.2">
      <c r="A755">
        <v>754</v>
      </c>
      <c r="B755" s="1">
        <v>40751</v>
      </c>
      <c r="C755" t="s">
        <v>28</v>
      </c>
      <c r="D755" s="7">
        <v>15</v>
      </c>
      <c r="E755" s="7">
        <v>3</v>
      </c>
      <c r="F755" s="7">
        <f t="shared" si="12"/>
        <v>4</v>
      </c>
      <c r="G755" s="7" t="str">
        <f>LOOKUP(H755,[1]startdates!$A$2:$A$10,[1]startdates!$B$2:$B$10)</f>
        <v>SMr</v>
      </c>
      <c r="H755">
        <v>1</v>
      </c>
      <c r="N755" s="7">
        <v>176</v>
      </c>
    </row>
    <row r="756" spans="1:18" x14ac:dyDescent="0.2">
      <c r="A756">
        <v>755</v>
      </c>
      <c r="B756" s="1">
        <v>40751</v>
      </c>
      <c r="C756" t="s">
        <v>24</v>
      </c>
      <c r="D756" s="7">
        <v>15</v>
      </c>
      <c r="E756" s="7">
        <v>3</v>
      </c>
      <c r="F756" s="7">
        <f t="shared" si="12"/>
        <v>4</v>
      </c>
      <c r="G756" s="7" t="str">
        <f>LOOKUP(H756,[1]startdates!$A$2:$A$10,[1]startdates!$B$2:$B$10)</f>
        <v>SMr</v>
      </c>
      <c r="H756">
        <v>2</v>
      </c>
      <c r="I756" s="7">
        <v>702</v>
      </c>
      <c r="K756" s="7">
        <v>556</v>
      </c>
      <c r="L756" s="7">
        <v>504</v>
      </c>
      <c r="M756" s="7">
        <v>362</v>
      </c>
      <c r="N756" s="7">
        <v>247</v>
      </c>
      <c r="O756" s="7">
        <v>149</v>
      </c>
      <c r="P756" s="7">
        <v>545</v>
      </c>
      <c r="Q756" s="7">
        <v>379</v>
      </c>
      <c r="R756" s="7">
        <v>200</v>
      </c>
    </row>
    <row r="757" spans="1:18" x14ac:dyDescent="0.2">
      <c r="A757">
        <v>756</v>
      </c>
      <c r="B757" s="1">
        <v>40751</v>
      </c>
      <c r="C757" t="s">
        <v>24</v>
      </c>
      <c r="D757" s="7">
        <v>15</v>
      </c>
      <c r="E757" s="7">
        <v>3</v>
      </c>
      <c r="F757" s="7">
        <f t="shared" si="12"/>
        <v>4</v>
      </c>
      <c r="G757" s="7" t="str">
        <f>LOOKUP(H757,[1]startdates!$A$2:$A$10,[1]startdates!$B$2:$B$10)</f>
        <v>SMr</v>
      </c>
      <c r="H757">
        <v>2</v>
      </c>
      <c r="I757" s="7">
        <v>704</v>
      </c>
      <c r="K757" s="7">
        <v>552</v>
      </c>
      <c r="L757" s="7">
        <v>411</v>
      </c>
      <c r="M757" s="7">
        <v>330</v>
      </c>
      <c r="N757" s="7">
        <v>212</v>
      </c>
      <c r="O757" s="7">
        <v>147</v>
      </c>
      <c r="P757" s="7">
        <v>542</v>
      </c>
    </row>
    <row r="758" spans="1:18" x14ac:dyDescent="0.2">
      <c r="A758">
        <v>757</v>
      </c>
      <c r="B758" s="1">
        <v>40751</v>
      </c>
      <c r="C758" t="s">
        <v>24</v>
      </c>
      <c r="D758" s="7">
        <v>15</v>
      </c>
      <c r="E758" s="7">
        <v>3</v>
      </c>
      <c r="F758" s="7">
        <f t="shared" si="12"/>
        <v>4</v>
      </c>
      <c r="G758" s="7" t="str">
        <f>LOOKUP(H758,[1]startdates!$A$2:$A$10,[1]startdates!$B$2:$B$10)</f>
        <v>SMr</v>
      </c>
      <c r="H758">
        <v>2</v>
      </c>
      <c r="I758" s="7">
        <v>667</v>
      </c>
      <c r="L758" s="7">
        <v>356</v>
      </c>
      <c r="M758" s="7">
        <v>357</v>
      </c>
      <c r="N758" s="7">
        <v>257</v>
      </c>
      <c r="O758" s="7">
        <v>178</v>
      </c>
      <c r="P758" s="7">
        <v>509</v>
      </c>
    </row>
    <row r="759" spans="1:18" x14ac:dyDescent="0.2">
      <c r="A759">
        <v>758</v>
      </c>
      <c r="B759" s="1">
        <v>40751</v>
      </c>
      <c r="C759" t="s">
        <v>24</v>
      </c>
      <c r="D759" s="7">
        <v>15</v>
      </c>
      <c r="E759" s="7">
        <v>3</v>
      </c>
      <c r="F759" s="7">
        <f t="shared" si="12"/>
        <v>4</v>
      </c>
      <c r="G759" s="7" t="str">
        <f>LOOKUP(H759,[1]startdates!$A$2:$A$10,[1]startdates!$B$2:$B$10)</f>
        <v>SMr</v>
      </c>
      <c r="H759">
        <v>2</v>
      </c>
      <c r="L759" s="7">
        <v>508</v>
      </c>
      <c r="M759" s="7">
        <v>324</v>
      </c>
      <c r="N759" s="7">
        <v>179</v>
      </c>
      <c r="O759" s="7">
        <v>149</v>
      </c>
    </row>
    <row r="760" spans="1:18" x14ac:dyDescent="0.2">
      <c r="A760">
        <v>759</v>
      </c>
      <c r="B760" s="1">
        <v>40751</v>
      </c>
      <c r="C760" t="s">
        <v>24</v>
      </c>
      <c r="D760" s="7">
        <v>15</v>
      </c>
      <c r="E760" s="7">
        <v>3</v>
      </c>
      <c r="F760" s="7">
        <f t="shared" si="12"/>
        <v>4</v>
      </c>
      <c r="G760" s="7" t="str">
        <f>LOOKUP(H760,[1]startdates!$A$2:$A$10,[1]startdates!$B$2:$B$10)</f>
        <v>SMr</v>
      </c>
      <c r="H760">
        <v>2</v>
      </c>
      <c r="L760" s="7">
        <v>379</v>
      </c>
      <c r="M760" s="7">
        <v>321</v>
      </c>
      <c r="N760" s="7">
        <v>243</v>
      </c>
      <c r="O760" s="7">
        <v>151</v>
      </c>
    </row>
    <row r="761" spans="1:18" x14ac:dyDescent="0.2">
      <c r="A761">
        <v>760</v>
      </c>
      <c r="B761" s="1">
        <v>40751</v>
      </c>
      <c r="C761" t="s">
        <v>24</v>
      </c>
      <c r="D761" s="7">
        <v>15</v>
      </c>
      <c r="E761" s="7">
        <v>3</v>
      </c>
      <c r="F761" s="7">
        <f t="shared" si="12"/>
        <v>4</v>
      </c>
      <c r="G761" s="7" t="str">
        <f>LOOKUP(H761,[1]startdates!$A$2:$A$10,[1]startdates!$B$2:$B$10)</f>
        <v>SMr</v>
      </c>
      <c r="H761">
        <v>2</v>
      </c>
      <c r="L761" s="7">
        <v>395</v>
      </c>
      <c r="M761" s="7">
        <v>293</v>
      </c>
      <c r="N761" s="7">
        <v>165</v>
      </c>
      <c r="O761" s="7">
        <v>163</v>
      </c>
    </row>
    <row r="762" spans="1:18" x14ac:dyDescent="0.2">
      <c r="A762">
        <v>761</v>
      </c>
      <c r="B762" s="1">
        <v>40751</v>
      </c>
      <c r="C762" t="s">
        <v>24</v>
      </c>
      <c r="D762" s="7">
        <v>15</v>
      </c>
      <c r="E762" s="7">
        <v>3</v>
      </c>
      <c r="F762" s="7">
        <f t="shared" si="12"/>
        <v>4</v>
      </c>
      <c r="G762" s="7" t="str">
        <f>LOOKUP(H762,[1]startdates!$A$2:$A$10,[1]startdates!$B$2:$B$10)</f>
        <v>SMr</v>
      </c>
      <c r="H762">
        <v>2</v>
      </c>
      <c r="L762" s="7">
        <v>348</v>
      </c>
      <c r="N762" s="7">
        <v>226</v>
      </c>
      <c r="O762" s="7">
        <v>186</v>
      </c>
    </row>
    <row r="763" spans="1:18" x14ac:dyDescent="0.2">
      <c r="A763">
        <v>762</v>
      </c>
      <c r="B763" s="1">
        <v>40751</v>
      </c>
      <c r="C763" t="s">
        <v>24</v>
      </c>
      <c r="D763" s="7">
        <v>15</v>
      </c>
      <c r="E763" s="7">
        <v>3</v>
      </c>
      <c r="F763" s="7">
        <f t="shared" si="12"/>
        <v>4</v>
      </c>
      <c r="G763" s="7" t="str">
        <f>LOOKUP(H763,[1]startdates!$A$2:$A$10,[1]startdates!$B$2:$B$10)</f>
        <v>SMr</v>
      </c>
      <c r="H763">
        <v>2</v>
      </c>
      <c r="N763" s="7">
        <v>254</v>
      </c>
      <c r="O763" s="7">
        <v>156</v>
      </c>
    </row>
    <row r="764" spans="1:18" x14ac:dyDescent="0.2">
      <c r="A764">
        <v>763</v>
      </c>
      <c r="B764" s="1">
        <v>40751</v>
      </c>
      <c r="C764" t="s">
        <v>24</v>
      </c>
      <c r="D764" s="7">
        <v>15</v>
      </c>
      <c r="E764" s="7">
        <v>3</v>
      </c>
      <c r="F764" s="7">
        <f t="shared" si="12"/>
        <v>4</v>
      </c>
      <c r="G764" s="7" t="str">
        <f>LOOKUP(H764,[1]startdates!$A$2:$A$10,[1]startdates!$B$2:$B$10)</f>
        <v>SMr</v>
      </c>
      <c r="H764">
        <v>2</v>
      </c>
      <c r="N764" s="7">
        <v>231</v>
      </c>
      <c r="O764" s="7">
        <v>189</v>
      </c>
    </row>
    <row r="765" spans="1:18" x14ac:dyDescent="0.2">
      <c r="A765">
        <v>764</v>
      </c>
      <c r="B765" s="1">
        <v>40751</v>
      </c>
      <c r="C765" t="s">
        <v>24</v>
      </c>
      <c r="D765" s="7">
        <v>15</v>
      </c>
      <c r="E765" s="7">
        <v>3</v>
      </c>
      <c r="F765" s="7">
        <f t="shared" si="12"/>
        <v>4</v>
      </c>
      <c r="G765" s="7" t="str">
        <f>LOOKUP(H765,[1]startdates!$A$2:$A$10,[1]startdates!$B$2:$B$10)</f>
        <v>SMr</v>
      </c>
      <c r="H765">
        <v>2</v>
      </c>
      <c r="N765" s="7">
        <v>235</v>
      </c>
      <c r="O765" s="7">
        <v>156</v>
      </c>
    </row>
    <row r="766" spans="1:18" x14ac:dyDescent="0.2">
      <c r="A766">
        <v>765</v>
      </c>
      <c r="B766" s="1">
        <v>40751</v>
      </c>
      <c r="C766" t="s">
        <v>24</v>
      </c>
      <c r="D766" s="7">
        <v>15</v>
      </c>
      <c r="E766" s="7">
        <v>3</v>
      </c>
      <c r="F766" s="7">
        <f t="shared" si="12"/>
        <v>4</v>
      </c>
      <c r="G766" s="7" t="str">
        <f>LOOKUP(H766,[1]startdates!$A$2:$A$10,[1]startdates!$B$2:$B$10)</f>
        <v>SMr</v>
      </c>
      <c r="H766">
        <v>2</v>
      </c>
      <c r="O766" s="7">
        <v>171</v>
      </c>
    </row>
    <row r="767" spans="1:18" x14ac:dyDescent="0.2">
      <c r="A767">
        <v>766</v>
      </c>
      <c r="B767" s="1">
        <v>40751</v>
      </c>
      <c r="C767" t="s">
        <v>24</v>
      </c>
      <c r="D767" s="7">
        <v>15</v>
      </c>
      <c r="E767" s="7">
        <v>3</v>
      </c>
      <c r="F767" s="7">
        <f t="shared" si="12"/>
        <v>4</v>
      </c>
      <c r="G767" s="7" t="str">
        <f>LOOKUP(H767,[1]startdates!$A$2:$A$10,[1]startdates!$B$2:$B$10)</f>
        <v>SMr</v>
      </c>
      <c r="H767">
        <v>2</v>
      </c>
      <c r="O767" s="7">
        <v>156</v>
      </c>
    </row>
    <row r="768" spans="1:18" x14ac:dyDescent="0.2">
      <c r="A768">
        <v>767</v>
      </c>
      <c r="B768" s="1">
        <v>40751</v>
      </c>
      <c r="C768" t="s">
        <v>28</v>
      </c>
      <c r="D768" s="7">
        <v>15</v>
      </c>
      <c r="E768" s="7">
        <v>3</v>
      </c>
      <c r="F768" s="7">
        <f t="shared" si="12"/>
        <v>4</v>
      </c>
      <c r="G768" s="7" t="str">
        <f>LOOKUP(H768,[1]startdates!$A$2:$A$10,[1]startdates!$B$2:$B$10)</f>
        <v>C</v>
      </c>
      <c r="H768">
        <v>3</v>
      </c>
      <c r="I768" s="7">
        <v>676</v>
      </c>
      <c r="K768" s="7">
        <v>570</v>
      </c>
      <c r="L768" s="7">
        <v>420</v>
      </c>
      <c r="M768" s="7">
        <v>301</v>
      </c>
      <c r="N768" s="7">
        <v>236</v>
      </c>
      <c r="O768" s="7">
        <v>150</v>
      </c>
      <c r="P768" s="7">
        <v>504</v>
      </c>
      <c r="Q768" s="7">
        <v>330</v>
      </c>
      <c r="R768" s="7">
        <v>169</v>
      </c>
    </row>
    <row r="769" spans="1:18" x14ac:dyDescent="0.2">
      <c r="A769">
        <v>768</v>
      </c>
      <c r="B769" s="1">
        <v>40751</v>
      </c>
      <c r="C769" t="s">
        <v>28</v>
      </c>
      <c r="D769" s="7">
        <v>15</v>
      </c>
      <c r="E769" s="7">
        <v>3</v>
      </c>
      <c r="F769" s="7">
        <f t="shared" si="12"/>
        <v>4</v>
      </c>
      <c r="G769" s="7" t="str">
        <f>LOOKUP(H769,[1]startdates!$A$2:$A$10,[1]startdates!$B$2:$B$10)</f>
        <v>C</v>
      </c>
      <c r="H769">
        <v>3</v>
      </c>
      <c r="I769" s="7">
        <v>622</v>
      </c>
      <c r="K769" s="7">
        <v>518</v>
      </c>
      <c r="L769" s="7">
        <v>364</v>
      </c>
      <c r="M769" s="7">
        <v>269</v>
      </c>
      <c r="N769" s="7">
        <v>220</v>
      </c>
      <c r="O769" s="7">
        <v>168</v>
      </c>
      <c r="R769" s="7">
        <v>242</v>
      </c>
    </row>
    <row r="770" spans="1:18" x14ac:dyDescent="0.2">
      <c r="A770">
        <v>769</v>
      </c>
      <c r="B770" s="1">
        <v>40751</v>
      </c>
      <c r="C770" t="s">
        <v>28</v>
      </c>
      <c r="D770" s="7">
        <v>15</v>
      </c>
      <c r="E770" s="7">
        <v>3</v>
      </c>
      <c r="F770" s="7">
        <f t="shared" si="12"/>
        <v>4</v>
      </c>
      <c r="G770" s="7" t="str">
        <f>LOOKUP(H770,[1]startdates!$A$2:$A$10,[1]startdates!$B$2:$B$10)</f>
        <v>C</v>
      </c>
      <c r="H770">
        <v>3</v>
      </c>
      <c r="M770" s="7">
        <v>296</v>
      </c>
      <c r="N770" s="7">
        <v>249</v>
      </c>
      <c r="O770" s="7">
        <v>178</v>
      </c>
    </row>
    <row r="771" spans="1:18" x14ac:dyDescent="0.2">
      <c r="A771">
        <v>770</v>
      </c>
      <c r="B771" s="1">
        <v>40751</v>
      </c>
      <c r="C771" t="s">
        <v>28</v>
      </c>
      <c r="D771" s="7">
        <v>15</v>
      </c>
      <c r="E771" s="7">
        <v>3</v>
      </c>
      <c r="F771" s="7">
        <f t="shared" si="12"/>
        <v>4</v>
      </c>
      <c r="G771" s="7" t="str">
        <f>LOOKUP(H771,[1]startdates!$A$2:$A$10,[1]startdates!$B$2:$B$10)</f>
        <v>C</v>
      </c>
      <c r="H771">
        <v>3</v>
      </c>
      <c r="M771" s="7">
        <v>254</v>
      </c>
      <c r="N771" s="7">
        <v>208</v>
      </c>
      <c r="O771" s="7">
        <v>148</v>
      </c>
    </row>
    <row r="772" spans="1:18" x14ac:dyDescent="0.2">
      <c r="A772">
        <v>771</v>
      </c>
      <c r="B772" s="1">
        <v>40751</v>
      </c>
      <c r="C772" t="s">
        <v>28</v>
      </c>
      <c r="D772" s="7">
        <v>15</v>
      </c>
      <c r="E772" s="7">
        <v>3</v>
      </c>
      <c r="F772" s="7">
        <f t="shared" si="12"/>
        <v>4</v>
      </c>
      <c r="G772" s="7" t="str">
        <f>LOOKUP(H772,[1]startdates!$A$2:$A$10,[1]startdates!$B$2:$B$10)</f>
        <v>C</v>
      </c>
      <c r="H772">
        <v>3</v>
      </c>
      <c r="M772" s="7">
        <v>311</v>
      </c>
      <c r="N772" s="7">
        <v>189</v>
      </c>
      <c r="O772" s="7">
        <v>144</v>
      </c>
    </row>
    <row r="773" spans="1:18" x14ac:dyDescent="0.2">
      <c r="A773">
        <v>772</v>
      </c>
      <c r="B773" s="1">
        <v>40751</v>
      </c>
      <c r="C773" t="s">
        <v>28</v>
      </c>
      <c r="D773" s="7">
        <v>15</v>
      </c>
      <c r="E773" s="7">
        <v>3</v>
      </c>
      <c r="F773" s="7">
        <f t="shared" si="12"/>
        <v>4</v>
      </c>
      <c r="G773" s="7" t="str">
        <f>LOOKUP(H773,[1]startdates!$A$2:$A$10,[1]startdates!$B$2:$B$10)</f>
        <v>C</v>
      </c>
      <c r="H773">
        <v>3</v>
      </c>
      <c r="M773" s="7">
        <v>307</v>
      </c>
      <c r="N773" s="7">
        <v>188</v>
      </c>
      <c r="O773" s="7">
        <v>154</v>
      </c>
    </row>
    <row r="774" spans="1:18" x14ac:dyDescent="0.2">
      <c r="A774">
        <v>773</v>
      </c>
      <c r="B774" s="1">
        <v>40751</v>
      </c>
      <c r="C774" t="s">
        <v>28</v>
      </c>
      <c r="D774" s="7">
        <v>15</v>
      </c>
      <c r="E774" s="7">
        <v>3</v>
      </c>
      <c r="F774" s="7">
        <f t="shared" si="12"/>
        <v>4</v>
      </c>
      <c r="G774" s="7" t="str">
        <f>LOOKUP(H774,[1]startdates!$A$2:$A$10,[1]startdates!$B$2:$B$10)</f>
        <v>C</v>
      </c>
      <c r="H774">
        <v>3</v>
      </c>
      <c r="N774" s="7">
        <v>243</v>
      </c>
      <c r="O774" s="7">
        <v>150</v>
      </c>
    </row>
    <row r="775" spans="1:18" x14ac:dyDescent="0.2">
      <c r="A775">
        <v>774</v>
      </c>
      <c r="B775" s="1">
        <v>40751</v>
      </c>
      <c r="C775" t="s">
        <v>28</v>
      </c>
      <c r="D775" s="7">
        <v>15</v>
      </c>
      <c r="E775" s="7">
        <v>3</v>
      </c>
      <c r="F775" s="7">
        <f t="shared" si="12"/>
        <v>4</v>
      </c>
      <c r="G775" s="7" t="str">
        <f>LOOKUP(H775,[1]startdates!$A$2:$A$10,[1]startdates!$B$2:$B$10)</f>
        <v>C</v>
      </c>
      <c r="H775">
        <v>3</v>
      </c>
      <c r="N775" s="7">
        <v>169</v>
      </c>
      <c r="O775" s="7">
        <v>156</v>
      </c>
    </row>
    <row r="776" spans="1:18" x14ac:dyDescent="0.2">
      <c r="A776">
        <v>775</v>
      </c>
      <c r="B776" s="1">
        <v>40751</v>
      </c>
      <c r="C776" t="s">
        <v>28</v>
      </c>
      <c r="D776" s="7">
        <v>15</v>
      </c>
      <c r="E776" s="7">
        <v>3</v>
      </c>
      <c r="F776" s="7">
        <f t="shared" si="12"/>
        <v>4</v>
      </c>
      <c r="G776" s="7" t="str">
        <f>LOOKUP(H776,[1]startdates!$A$2:$A$10,[1]startdates!$B$2:$B$10)</f>
        <v>C</v>
      </c>
      <c r="H776">
        <v>3</v>
      </c>
      <c r="N776" s="7">
        <v>183</v>
      </c>
      <c r="O776" s="7">
        <v>153</v>
      </c>
    </row>
    <row r="777" spans="1:18" x14ac:dyDescent="0.2">
      <c r="A777">
        <v>776</v>
      </c>
      <c r="B777" s="1">
        <v>40751</v>
      </c>
      <c r="C777" t="s">
        <v>28</v>
      </c>
      <c r="D777" s="7">
        <v>15</v>
      </c>
      <c r="E777" s="7">
        <v>3</v>
      </c>
      <c r="F777" s="7">
        <f t="shared" si="12"/>
        <v>4</v>
      </c>
      <c r="G777" s="7" t="str">
        <f>LOOKUP(H777,[1]startdates!$A$2:$A$10,[1]startdates!$B$2:$B$10)</f>
        <v>C</v>
      </c>
      <c r="H777">
        <v>3</v>
      </c>
      <c r="N777" s="7">
        <v>187</v>
      </c>
    </row>
    <row r="778" spans="1:18" x14ac:dyDescent="0.2">
      <c r="A778">
        <v>777</v>
      </c>
      <c r="B778" s="1">
        <v>40751</v>
      </c>
      <c r="C778" t="s">
        <v>28</v>
      </c>
      <c r="D778" s="7">
        <v>15</v>
      </c>
      <c r="E778" s="7">
        <v>3</v>
      </c>
      <c r="F778" s="7">
        <f t="shared" si="12"/>
        <v>4</v>
      </c>
      <c r="G778" s="7" t="str">
        <f>LOOKUP(H778,[1]startdates!$A$2:$A$10,[1]startdates!$B$2:$B$10)</f>
        <v>C</v>
      </c>
      <c r="H778">
        <v>3</v>
      </c>
      <c r="N778" s="7">
        <v>209</v>
      </c>
    </row>
    <row r="779" spans="1:18" x14ac:dyDescent="0.2">
      <c r="A779">
        <v>778</v>
      </c>
      <c r="B779" s="1">
        <v>40751</v>
      </c>
      <c r="C779" t="s">
        <v>28</v>
      </c>
      <c r="D779" s="7">
        <v>15</v>
      </c>
      <c r="E779" s="7">
        <v>3</v>
      </c>
      <c r="F779" s="7">
        <f t="shared" si="12"/>
        <v>4</v>
      </c>
      <c r="G779" s="7" t="str">
        <f>LOOKUP(H779,[1]startdates!$A$2:$A$10,[1]startdates!$B$2:$B$10)</f>
        <v>C</v>
      </c>
      <c r="H779">
        <v>3</v>
      </c>
      <c r="N779" s="7">
        <v>212</v>
      </c>
    </row>
    <row r="780" spans="1:18" x14ac:dyDescent="0.2">
      <c r="A780">
        <v>779</v>
      </c>
      <c r="B780" s="1">
        <v>40751</v>
      </c>
      <c r="C780" t="s">
        <v>24</v>
      </c>
      <c r="D780" s="7">
        <v>15</v>
      </c>
      <c r="E780" s="7">
        <v>3</v>
      </c>
      <c r="F780" s="7">
        <f t="shared" si="12"/>
        <v>4</v>
      </c>
      <c r="G780" s="7" t="str">
        <f>LOOKUP(H780,[1]startdates!$A$2:$A$10,[1]startdates!$B$2:$B$10)</f>
        <v>SMr</v>
      </c>
      <c r="H780">
        <v>4</v>
      </c>
      <c r="I780" s="7">
        <v>547</v>
      </c>
      <c r="K780" s="7">
        <v>611</v>
      </c>
      <c r="L780" s="7">
        <v>369</v>
      </c>
      <c r="M780" s="7">
        <v>273</v>
      </c>
      <c r="N780" s="7">
        <v>172</v>
      </c>
      <c r="O780" s="7">
        <v>157</v>
      </c>
      <c r="P780" s="7">
        <v>541</v>
      </c>
    </row>
    <row r="781" spans="1:18" x14ac:dyDescent="0.2">
      <c r="A781">
        <v>780</v>
      </c>
      <c r="B781" s="1">
        <v>40751</v>
      </c>
      <c r="C781" t="s">
        <v>24</v>
      </c>
      <c r="D781" s="7">
        <v>15</v>
      </c>
      <c r="E781" s="7">
        <v>3</v>
      </c>
      <c r="F781" s="7">
        <f t="shared" si="12"/>
        <v>4</v>
      </c>
      <c r="G781" s="7" t="str">
        <f>LOOKUP(H781,[1]startdates!$A$2:$A$10,[1]startdates!$B$2:$B$10)</f>
        <v>SMr</v>
      </c>
      <c r="H781">
        <v>4</v>
      </c>
      <c r="I781" s="7">
        <v>696</v>
      </c>
      <c r="M781" s="7">
        <v>368</v>
      </c>
      <c r="N781" s="7">
        <v>146</v>
      </c>
      <c r="O781" s="7">
        <v>145</v>
      </c>
      <c r="P781" s="7">
        <v>517</v>
      </c>
    </row>
    <row r="782" spans="1:18" x14ac:dyDescent="0.2">
      <c r="A782">
        <v>781</v>
      </c>
      <c r="B782" s="1">
        <v>40751</v>
      </c>
      <c r="C782" t="s">
        <v>24</v>
      </c>
      <c r="D782" s="7">
        <v>15</v>
      </c>
      <c r="E782" s="7">
        <v>3</v>
      </c>
      <c r="F782" s="7">
        <f t="shared" si="12"/>
        <v>4</v>
      </c>
      <c r="G782" s="7" t="str">
        <f>LOOKUP(H782,[1]startdates!$A$2:$A$10,[1]startdates!$B$2:$B$10)</f>
        <v>SMr</v>
      </c>
      <c r="H782">
        <v>4</v>
      </c>
      <c r="I782" s="7">
        <v>565</v>
      </c>
      <c r="M782" s="7">
        <v>367</v>
      </c>
      <c r="N782" s="7">
        <v>205</v>
      </c>
      <c r="O782" s="7">
        <v>144</v>
      </c>
    </row>
    <row r="783" spans="1:18" x14ac:dyDescent="0.2">
      <c r="A783">
        <v>782</v>
      </c>
      <c r="B783" s="1">
        <v>40751</v>
      </c>
      <c r="C783" t="s">
        <v>24</v>
      </c>
      <c r="D783" s="7">
        <v>15</v>
      </c>
      <c r="E783" s="7">
        <v>3</v>
      </c>
      <c r="F783" s="7">
        <f t="shared" si="12"/>
        <v>4</v>
      </c>
      <c r="G783" s="7" t="str">
        <f>LOOKUP(H783,[1]startdates!$A$2:$A$10,[1]startdates!$B$2:$B$10)</f>
        <v>SMr</v>
      </c>
      <c r="H783">
        <v>4</v>
      </c>
      <c r="I783" s="7">
        <v>558</v>
      </c>
      <c r="M783" s="7">
        <v>373</v>
      </c>
      <c r="N783" s="7">
        <v>220</v>
      </c>
      <c r="O783" s="7">
        <v>176</v>
      </c>
    </row>
    <row r="784" spans="1:18" x14ac:dyDescent="0.2">
      <c r="A784">
        <v>783</v>
      </c>
      <c r="B784" s="1">
        <v>40751</v>
      </c>
      <c r="C784" t="s">
        <v>24</v>
      </c>
      <c r="D784" s="7">
        <v>15</v>
      </c>
      <c r="E784" s="7">
        <v>3</v>
      </c>
      <c r="F784" s="7">
        <f t="shared" si="12"/>
        <v>4</v>
      </c>
      <c r="G784" s="7" t="str">
        <f>LOOKUP(H784,[1]startdates!$A$2:$A$10,[1]startdates!$B$2:$B$10)</f>
        <v>SMr</v>
      </c>
      <c r="H784">
        <v>4</v>
      </c>
      <c r="I784" s="7">
        <v>594</v>
      </c>
      <c r="M784" s="7">
        <v>352</v>
      </c>
      <c r="N784" s="7">
        <v>209</v>
      </c>
      <c r="O784" s="7">
        <v>173</v>
      </c>
    </row>
    <row r="785" spans="1:18" x14ac:dyDescent="0.2">
      <c r="A785">
        <v>784</v>
      </c>
      <c r="B785" s="1">
        <v>40751</v>
      </c>
      <c r="C785" t="s">
        <v>24</v>
      </c>
      <c r="D785" s="7">
        <v>15</v>
      </c>
      <c r="E785" s="7">
        <v>3</v>
      </c>
      <c r="F785" s="7">
        <f t="shared" si="12"/>
        <v>4</v>
      </c>
      <c r="G785" s="7" t="str">
        <f>LOOKUP(H785,[1]startdates!$A$2:$A$10,[1]startdates!$B$2:$B$10)</f>
        <v>SMr</v>
      </c>
      <c r="H785">
        <v>4</v>
      </c>
      <c r="M785" s="7">
        <v>339</v>
      </c>
      <c r="N785" s="7">
        <v>194</v>
      </c>
      <c r="O785" s="7">
        <v>174</v>
      </c>
    </row>
    <row r="786" spans="1:18" x14ac:dyDescent="0.2">
      <c r="A786">
        <v>785</v>
      </c>
      <c r="B786" s="1">
        <v>40751</v>
      </c>
      <c r="C786" t="s">
        <v>24</v>
      </c>
      <c r="D786" s="7">
        <v>15</v>
      </c>
      <c r="E786" s="7">
        <v>3</v>
      </c>
      <c r="F786" s="7">
        <f t="shared" si="12"/>
        <v>4</v>
      </c>
      <c r="G786" s="7" t="str">
        <f>LOOKUP(H786,[1]startdates!$A$2:$A$10,[1]startdates!$B$2:$B$10)</f>
        <v>SMr</v>
      </c>
      <c r="H786">
        <v>4</v>
      </c>
      <c r="M786" s="7">
        <v>333</v>
      </c>
      <c r="N786" s="7">
        <v>202</v>
      </c>
    </row>
    <row r="787" spans="1:18" x14ac:dyDescent="0.2">
      <c r="A787">
        <v>786</v>
      </c>
      <c r="B787" s="1">
        <v>40751</v>
      </c>
      <c r="C787" t="s">
        <v>24</v>
      </c>
      <c r="D787" s="7">
        <v>15</v>
      </c>
      <c r="E787" s="7">
        <v>3</v>
      </c>
      <c r="F787" s="7">
        <f t="shared" si="12"/>
        <v>4</v>
      </c>
      <c r="G787" s="7" t="str">
        <f>LOOKUP(H787,[1]startdates!$A$2:$A$10,[1]startdates!$B$2:$B$10)</f>
        <v>SMr</v>
      </c>
      <c r="H787">
        <v>4</v>
      </c>
      <c r="N787" s="7">
        <v>251</v>
      </c>
    </row>
    <row r="788" spans="1:18" x14ac:dyDescent="0.2">
      <c r="A788">
        <v>787</v>
      </c>
      <c r="B788" s="1">
        <v>40751</v>
      </c>
      <c r="C788" t="s">
        <v>24</v>
      </c>
      <c r="D788" s="7">
        <v>15</v>
      </c>
      <c r="E788" s="7">
        <v>3</v>
      </c>
      <c r="F788" s="7">
        <f t="shared" si="12"/>
        <v>4</v>
      </c>
      <c r="G788" s="7" t="str">
        <f>LOOKUP(H788,[1]startdates!$A$2:$A$10,[1]startdates!$B$2:$B$10)</f>
        <v>SMr</v>
      </c>
      <c r="H788">
        <v>4</v>
      </c>
      <c r="N788" s="7">
        <v>213</v>
      </c>
    </row>
    <row r="789" spans="1:18" x14ac:dyDescent="0.2">
      <c r="A789">
        <v>788</v>
      </c>
      <c r="B789" s="1">
        <v>40751</v>
      </c>
      <c r="C789" t="s">
        <v>24</v>
      </c>
      <c r="D789" s="7">
        <v>15</v>
      </c>
      <c r="E789" s="7">
        <v>3</v>
      </c>
      <c r="F789" s="7">
        <f t="shared" si="12"/>
        <v>4</v>
      </c>
      <c r="G789" s="7" t="str">
        <f>LOOKUP(H789,[1]startdates!$A$2:$A$10,[1]startdates!$B$2:$B$10)</f>
        <v>SMr</v>
      </c>
      <c r="H789">
        <v>4</v>
      </c>
      <c r="N789" s="7">
        <v>231</v>
      </c>
    </row>
    <row r="790" spans="1:18" x14ac:dyDescent="0.2">
      <c r="A790">
        <v>789</v>
      </c>
      <c r="B790" s="1">
        <v>40751</v>
      </c>
      <c r="C790" t="s">
        <v>24</v>
      </c>
      <c r="D790" s="7">
        <v>15</v>
      </c>
      <c r="E790" s="7">
        <v>3</v>
      </c>
      <c r="F790" s="7">
        <f t="shared" si="12"/>
        <v>4</v>
      </c>
      <c r="G790" s="7" t="str">
        <f>LOOKUP(H790,[1]startdates!$A$2:$A$10,[1]startdates!$B$2:$B$10)</f>
        <v>SMr</v>
      </c>
      <c r="H790">
        <v>4</v>
      </c>
      <c r="N790" s="7">
        <v>160</v>
      </c>
    </row>
    <row r="791" spans="1:18" x14ac:dyDescent="0.2">
      <c r="A791">
        <v>790</v>
      </c>
      <c r="B791" s="1">
        <v>40751</v>
      </c>
      <c r="C791" t="s">
        <v>24</v>
      </c>
      <c r="D791" s="7">
        <v>15</v>
      </c>
      <c r="E791" s="7">
        <v>3</v>
      </c>
      <c r="F791" s="7">
        <f t="shared" si="12"/>
        <v>4</v>
      </c>
      <c r="G791" s="7" t="str">
        <f>LOOKUP(H791,[1]startdates!$A$2:$A$10,[1]startdates!$B$2:$B$10)</f>
        <v>SMr</v>
      </c>
      <c r="H791">
        <v>4</v>
      </c>
      <c r="N791" s="7">
        <v>219</v>
      </c>
    </row>
    <row r="792" spans="1:18" x14ac:dyDescent="0.2">
      <c r="A792">
        <v>791</v>
      </c>
      <c r="B792" s="1">
        <v>40751</v>
      </c>
      <c r="C792" t="s">
        <v>24</v>
      </c>
      <c r="D792" s="7">
        <v>15</v>
      </c>
      <c r="E792" s="7">
        <v>3</v>
      </c>
      <c r="F792" s="7">
        <f t="shared" si="12"/>
        <v>4</v>
      </c>
      <c r="G792" s="7" t="str">
        <f>LOOKUP(H792,[1]startdates!$A$2:$A$10,[1]startdates!$B$2:$B$10)</f>
        <v>SMr</v>
      </c>
      <c r="H792">
        <v>4</v>
      </c>
      <c r="N792" s="7">
        <v>205</v>
      </c>
    </row>
    <row r="793" spans="1:18" x14ac:dyDescent="0.2">
      <c r="A793">
        <v>792</v>
      </c>
      <c r="B793" s="1">
        <v>40751</v>
      </c>
      <c r="C793" t="s">
        <v>28</v>
      </c>
      <c r="D793" s="7">
        <v>15</v>
      </c>
      <c r="E793" s="7">
        <v>3</v>
      </c>
      <c r="F793" s="7">
        <f t="shared" si="12"/>
        <v>4</v>
      </c>
      <c r="G793" s="7" t="str">
        <f>LOOKUP(H793,[1]startdates!$A$2:$A$10,[1]startdates!$B$2:$B$10)</f>
        <v>C</v>
      </c>
      <c r="H793">
        <v>5</v>
      </c>
      <c r="I793" s="7">
        <v>617</v>
      </c>
      <c r="K793" s="7">
        <v>567</v>
      </c>
      <c r="L793" s="7">
        <v>450</v>
      </c>
      <c r="M793" s="7">
        <v>253</v>
      </c>
      <c r="N793" s="7">
        <v>182</v>
      </c>
      <c r="O793" s="7">
        <v>177</v>
      </c>
      <c r="P793" s="7">
        <v>520</v>
      </c>
      <c r="Q793" s="7">
        <v>362</v>
      </c>
      <c r="R793" s="7">
        <v>220</v>
      </c>
    </row>
    <row r="794" spans="1:18" x14ac:dyDescent="0.2">
      <c r="A794">
        <v>793</v>
      </c>
      <c r="B794" s="1">
        <v>40751</v>
      </c>
      <c r="C794" t="s">
        <v>28</v>
      </c>
      <c r="D794" s="7">
        <v>15</v>
      </c>
      <c r="E794" s="7">
        <v>3</v>
      </c>
      <c r="F794" s="7">
        <f t="shared" si="12"/>
        <v>4</v>
      </c>
      <c r="G794" s="7" t="str">
        <f>LOOKUP(H794,[1]startdates!$A$2:$A$10,[1]startdates!$B$2:$B$10)</f>
        <v>C</v>
      </c>
      <c r="H794">
        <v>5</v>
      </c>
      <c r="I794" s="7">
        <v>674</v>
      </c>
      <c r="K794" s="7">
        <v>615</v>
      </c>
      <c r="L794" s="7">
        <v>463</v>
      </c>
      <c r="M794" s="7">
        <v>293</v>
      </c>
      <c r="N794" s="7">
        <v>220</v>
      </c>
      <c r="O794" s="7">
        <v>155</v>
      </c>
      <c r="Q794" s="7">
        <v>359</v>
      </c>
    </row>
    <row r="795" spans="1:18" x14ac:dyDescent="0.2">
      <c r="A795">
        <v>794</v>
      </c>
      <c r="B795" s="1">
        <v>40751</v>
      </c>
      <c r="C795" t="s">
        <v>28</v>
      </c>
      <c r="D795" s="7">
        <v>15</v>
      </c>
      <c r="E795" s="7">
        <v>3</v>
      </c>
      <c r="F795" s="7">
        <f t="shared" si="12"/>
        <v>4</v>
      </c>
      <c r="G795" s="7" t="str">
        <f>LOOKUP(H795,[1]startdates!$A$2:$A$10,[1]startdates!$B$2:$B$10)</f>
        <v>C</v>
      </c>
      <c r="H795">
        <v>5</v>
      </c>
      <c r="I795" s="7">
        <v>619</v>
      </c>
      <c r="K795" s="7">
        <v>561</v>
      </c>
      <c r="M795" s="7">
        <v>270</v>
      </c>
      <c r="N795" s="7">
        <v>174</v>
      </c>
      <c r="O795" s="7">
        <v>130</v>
      </c>
    </row>
    <row r="796" spans="1:18" x14ac:dyDescent="0.2">
      <c r="A796">
        <v>795</v>
      </c>
      <c r="B796" s="1">
        <v>40751</v>
      </c>
      <c r="C796" t="s">
        <v>28</v>
      </c>
      <c r="D796" s="7">
        <v>15</v>
      </c>
      <c r="E796" s="7">
        <v>3</v>
      </c>
      <c r="F796" s="7">
        <f t="shared" si="12"/>
        <v>4</v>
      </c>
      <c r="G796" s="7" t="str">
        <f>LOOKUP(H796,[1]startdates!$A$2:$A$10,[1]startdates!$B$2:$B$10)</f>
        <v>C</v>
      </c>
      <c r="H796">
        <v>5</v>
      </c>
      <c r="I796" s="7">
        <v>597</v>
      </c>
      <c r="M796" s="7">
        <v>298</v>
      </c>
      <c r="N796" s="7">
        <v>191</v>
      </c>
      <c r="O796" s="7">
        <v>156</v>
      </c>
    </row>
    <row r="797" spans="1:18" x14ac:dyDescent="0.2">
      <c r="A797">
        <v>796</v>
      </c>
      <c r="B797" s="1">
        <v>40751</v>
      </c>
      <c r="C797" t="s">
        <v>28</v>
      </c>
      <c r="D797" s="7">
        <v>15</v>
      </c>
      <c r="E797" s="7">
        <v>3</v>
      </c>
      <c r="F797" s="7">
        <f t="shared" si="12"/>
        <v>4</v>
      </c>
      <c r="G797" s="7" t="str">
        <f>LOOKUP(H797,[1]startdates!$A$2:$A$10,[1]startdates!$B$2:$B$10)</f>
        <v>C</v>
      </c>
      <c r="H797">
        <v>5</v>
      </c>
      <c r="I797" s="7">
        <v>707</v>
      </c>
      <c r="M797" s="7">
        <v>304</v>
      </c>
      <c r="N797" s="7">
        <v>217</v>
      </c>
      <c r="O797" s="7">
        <v>155</v>
      </c>
    </row>
    <row r="798" spans="1:18" x14ac:dyDescent="0.2">
      <c r="A798">
        <v>797</v>
      </c>
      <c r="B798" s="1">
        <v>40751</v>
      </c>
      <c r="C798" t="s">
        <v>28</v>
      </c>
      <c r="D798" s="7">
        <v>15</v>
      </c>
      <c r="E798" s="7">
        <v>3</v>
      </c>
      <c r="F798" s="7">
        <f t="shared" si="12"/>
        <v>4</v>
      </c>
      <c r="G798" s="7" t="str">
        <f>LOOKUP(H798,[1]startdates!$A$2:$A$10,[1]startdates!$B$2:$B$10)</f>
        <v>C</v>
      </c>
      <c r="H798">
        <v>5</v>
      </c>
      <c r="M798" s="7">
        <v>271</v>
      </c>
      <c r="N798" s="7">
        <v>213</v>
      </c>
      <c r="O798" s="7">
        <v>128</v>
      </c>
    </row>
    <row r="799" spans="1:18" x14ac:dyDescent="0.2">
      <c r="A799">
        <v>798</v>
      </c>
      <c r="B799" s="1">
        <v>40751</v>
      </c>
      <c r="C799" t="s">
        <v>28</v>
      </c>
      <c r="D799" s="7">
        <v>15</v>
      </c>
      <c r="E799" s="7">
        <v>3</v>
      </c>
      <c r="F799" s="7">
        <f t="shared" si="12"/>
        <v>4</v>
      </c>
      <c r="G799" s="7" t="str">
        <f>LOOKUP(H799,[1]startdates!$A$2:$A$10,[1]startdates!$B$2:$B$10)</f>
        <v>C</v>
      </c>
      <c r="H799">
        <v>5</v>
      </c>
      <c r="M799" s="7">
        <v>294</v>
      </c>
      <c r="N799" s="7">
        <v>253</v>
      </c>
      <c r="O799" s="7">
        <v>140</v>
      </c>
    </row>
    <row r="800" spans="1:18" x14ac:dyDescent="0.2">
      <c r="A800">
        <v>799</v>
      </c>
      <c r="B800" s="1">
        <v>40751</v>
      </c>
      <c r="C800" t="s">
        <v>28</v>
      </c>
      <c r="D800" s="7">
        <v>15</v>
      </c>
      <c r="E800" s="7">
        <v>3</v>
      </c>
      <c r="F800" s="7">
        <f t="shared" si="12"/>
        <v>4</v>
      </c>
      <c r="G800" s="7" t="str">
        <f>LOOKUP(H800,[1]startdates!$A$2:$A$10,[1]startdates!$B$2:$B$10)</f>
        <v>C</v>
      </c>
      <c r="H800">
        <v>5</v>
      </c>
      <c r="N800" s="7">
        <v>226</v>
      </c>
      <c r="O800" s="7">
        <v>172</v>
      </c>
    </row>
    <row r="801" spans="1:18" x14ac:dyDescent="0.2">
      <c r="A801">
        <v>800</v>
      </c>
      <c r="B801" s="1">
        <v>40751</v>
      </c>
      <c r="C801" t="s">
        <v>28</v>
      </c>
      <c r="D801" s="7">
        <v>15</v>
      </c>
      <c r="E801" s="7">
        <v>3</v>
      </c>
      <c r="F801" s="7">
        <f t="shared" si="12"/>
        <v>4</v>
      </c>
      <c r="G801" s="7" t="str">
        <f>LOOKUP(H801,[1]startdates!$A$2:$A$10,[1]startdates!$B$2:$B$10)</f>
        <v>C</v>
      </c>
      <c r="H801">
        <v>5</v>
      </c>
      <c r="N801" s="7">
        <v>191</v>
      </c>
      <c r="O801" s="7">
        <v>176</v>
      </c>
    </row>
    <row r="802" spans="1:18" x14ac:dyDescent="0.2">
      <c r="A802">
        <v>801</v>
      </c>
      <c r="B802" s="1">
        <v>40751</v>
      </c>
      <c r="C802" t="s">
        <v>28</v>
      </c>
      <c r="D802" s="7">
        <v>15</v>
      </c>
      <c r="E802" s="7">
        <v>3</v>
      </c>
      <c r="F802" s="7">
        <f t="shared" si="12"/>
        <v>4</v>
      </c>
      <c r="G802" s="7" t="str">
        <f>LOOKUP(H802,[1]startdates!$A$2:$A$10,[1]startdates!$B$2:$B$10)</f>
        <v>C</v>
      </c>
      <c r="H802">
        <v>5</v>
      </c>
      <c r="O802" s="7">
        <v>141</v>
      </c>
    </row>
    <row r="803" spans="1:18" x14ac:dyDescent="0.2">
      <c r="A803">
        <v>802</v>
      </c>
      <c r="B803" s="1">
        <v>40751</v>
      </c>
      <c r="C803" t="s">
        <v>28</v>
      </c>
      <c r="D803" s="7">
        <v>15</v>
      </c>
      <c r="E803" s="7">
        <v>3</v>
      </c>
      <c r="F803" s="7">
        <f t="shared" si="12"/>
        <v>4</v>
      </c>
      <c r="G803" s="7" t="str">
        <f>LOOKUP(H803,[1]startdates!$A$2:$A$10,[1]startdates!$B$2:$B$10)</f>
        <v>C</v>
      </c>
      <c r="H803">
        <v>5</v>
      </c>
      <c r="O803" s="7">
        <v>160</v>
      </c>
    </row>
    <row r="804" spans="1:18" x14ac:dyDescent="0.2">
      <c r="A804">
        <v>803</v>
      </c>
      <c r="B804" s="1">
        <v>40751</v>
      </c>
      <c r="C804" t="s">
        <v>28</v>
      </c>
      <c r="D804" s="7">
        <v>15</v>
      </c>
      <c r="E804" s="7">
        <v>3</v>
      </c>
      <c r="F804" s="7">
        <f t="shared" si="12"/>
        <v>4</v>
      </c>
      <c r="G804" s="7" t="str">
        <f>LOOKUP(H804,[1]startdates!$A$2:$A$10,[1]startdates!$B$2:$B$10)</f>
        <v>FMr</v>
      </c>
      <c r="H804">
        <v>6</v>
      </c>
      <c r="I804" s="7">
        <v>747</v>
      </c>
      <c r="K804" s="7">
        <v>683</v>
      </c>
      <c r="L804" s="7">
        <v>531</v>
      </c>
      <c r="M804" s="7">
        <v>335</v>
      </c>
      <c r="N804" s="7">
        <v>204</v>
      </c>
      <c r="O804" s="7">
        <v>159</v>
      </c>
      <c r="Q804" s="7">
        <v>363</v>
      </c>
      <c r="R804" s="7">
        <v>224</v>
      </c>
    </row>
    <row r="805" spans="1:18" x14ac:dyDescent="0.2">
      <c r="A805">
        <v>804</v>
      </c>
      <c r="B805" s="1">
        <v>40751</v>
      </c>
      <c r="C805" t="s">
        <v>28</v>
      </c>
      <c r="D805" s="7">
        <v>15</v>
      </c>
      <c r="E805" s="7">
        <v>3</v>
      </c>
      <c r="F805" s="7">
        <f t="shared" si="12"/>
        <v>4</v>
      </c>
      <c r="G805" s="7" t="str">
        <f>LOOKUP(H805,[1]startdates!$A$2:$A$10,[1]startdates!$B$2:$B$10)</f>
        <v>FMr</v>
      </c>
      <c r="H805">
        <v>6</v>
      </c>
      <c r="I805" s="7">
        <v>796</v>
      </c>
      <c r="K805" s="7">
        <v>685</v>
      </c>
      <c r="L805" s="7">
        <v>536</v>
      </c>
      <c r="M805" s="7">
        <v>307</v>
      </c>
      <c r="N805" s="7">
        <v>196</v>
      </c>
      <c r="O805" s="7">
        <v>142</v>
      </c>
      <c r="Q805" s="7">
        <v>390</v>
      </c>
      <c r="R805" s="7">
        <v>249</v>
      </c>
    </row>
    <row r="806" spans="1:18" x14ac:dyDescent="0.2">
      <c r="A806">
        <v>805</v>
      </c>
      <c r="B806" s="1">
        <v>40751</v>
      </c>
      <c r="C806" t="s">
        <v>28</v>
      </c>
      <c r="D806" s="7">
        <v>15</v>
      </c>
      <c r="E806" s="7">
        <v>3</v>
      </c>
      <c r="F806" s="7">
        <f t="shared" si="12"/>
        <v>4</v>
      </c>
      <c r="G806" s="7" t="str">
        <f>LOOKUP(H806,[1]startdates!$A$2:$A$10,[1]startdates!$B$2:$B$10)</f>
        <v>FMr</v>
      </c>
      <c r="H806">
        <v>6</v>
      </c>
      <c r="I806" s="7">
        <v>655</v>
      </c>
      <c r="L806" s="7">
        <v>408</v>
      </c>
      <c r="M806" s="7">
        <v>268</v>
      </c>
      <c r="N806" s="7">
        <v>185</v>
      </c>
      <c r="O806" s="7">
        <v>151</v>
      </c>
    </row>
    <row r="807" spans="1:18" x14ac:dyDescent="0.2">
      <c r="A807">
        <v>806</v>
      </c>
      <c r="B807" s="1">
        <v>40751</v>
      </c>
      <c r="C807" t="s">
        <v>28</v>
      </c>
      <c r="D807" s="7">
        <v>15</v>
      </c>
      <c r="E807" s="7">
        <v>3</v>
      </c>
      <c r="F807" s="7">
        <f t="shared" si="12"/>
        <v>4</v>
      </c>
      <c r="G807" s="7" t="str">
        <f>LOOKUP(H807,[1]startdates!$A$2:$A$10,[1]startdates!$B$2:$B$10)</f>
        <v>FMr</v>
      </c>
      <c r="H807">
        <v>6</v>
      </c>
      <c r="I807" s="7">
        <v>709</v>
      </c>
      <c r="L807" s="7">
        <v>422</v>
      </c>
      <c r="M807" s="7">
        <v>321</v>
      </c>
      <c r="N807" s="7">
        <v>200</v>
      </c>
      <c r="O807" s="7">
        <v>133</v>
      </c>
    </row>
    <row r="808" spans="1:18" x14ac:dyDescent="0.2">
      <c r="A808">
        <v>807</v>
      </c>
      <c r="B808" s="1">
        <v>40751</v>
      </c>
      <c r="C808" t="s">
        <v>28</v>
      </c>
      <c r="D808" s="7">
        <v>15</v>
      </c>
      <c r="E808" s="7">
        <v>3</v>
      </c>
      <c r="F808" s="7">
        <f t="shared" si="12"/>
        <v>4</v>
      </c>
      <c r="G808" s="7" t="str">
        <f>LOOKUP(H808,[1]startdates!$A$2:$A$10,[1]startdates!$B$2:$B$10)</f>
        <v>FMr</v>
      </c>
      <c r="H808">
        <v>6</v>
      </c>
      <c r="I808" s="7">
        <v>637</v>
      </c>
      <c r="M808" s="7">
        <v>389</v>
      </c>
      <c r="N808" s="7">
        <v>183</v>
      </c>
      <c r="O808" s="7">
        <v>150</v>
      </c>
    </row>
    <row r="809" spans="1:18" x14ac:dyDescent="0.2">
      <c r="A809">
        <v>808</v>
      </c>
      <c r="B809" s="1">
        <v>40751</v>
      </c>
      <c r="C809" t="s">
        <v>28</v>
      </c>
      <c r="D809" s="7">
        <v>15</v>
      </c>
      <c r="E809" s="7">
        <v>3</v>
      </c>
      <c r="F809" s="7">
        <f t="shared" ref="F809:F872" si="13">WEEKDAY(B809)</f>
        <v>4</v>
      </c>
      <c r="G809" s="7" t="str">
        <f>LOOKUP(H809,[1]startdates!$A$2:$A$10,[1]startdates!$B$2:$B$10)</f>
        <v>FMr</v>
      </c>
      <c r="H809">
        <v>6</v>
      </c>
      <c r="M809" s="7">
        <v>341</v>
      </c>
      <c r="N809" s="7">
        <v>239</v>
      </c>
      <c r="O809" s="7">
        <v>159</v>
      </c>
    </row>
    <row r="810" spans="1:18" x14ac:dyDescent="0.2">
      <c r="A810">
        <v>809</v>
      </c>
      <c r="B810" s="1">
        <v>40751</v>
      </c>
      <c r="C810" t="s">
        <v>28</v>
      </c>
      <c r="D810" s="7">
        <v>15</v>
      </c>
      <c r="E810" s="7">
        <v>3</v>
      </c>
      <c r="F810" s="7">
        <f t="shared" si="13"/>
        <v>4</v>
      </c>
      <c r="G810" s="7" t="str">
        <f>LOOKUP(H810,[1]startdates!$A$2:$A$10,[1]startdates!$B$2:$B$10)</f>
        <v>FMr</v>
      </c>
      <c r="H810">
        <v>6</v>
      </c>
      <c r="M810" s="7">
        <v>292</v>
      </c>
      <c r="N810" s="7">
        <v>221</v>
      </c>
      <c r="O810" s="7">
        <v>147</v>
      </c>
    </row>
    <row r="811" spans="1:18" x14ac:dyDescent="0.2">
      <c r="A811">
        <v>810</v>
      </c>
      <c r="B811" s="1">
        <v>40751</v>
      </c>
      <c r="C811" t="s">
        <v>28</v>
      </c>
      <c r="D811" s="7">
        <v>15</v>
      </c>
      <c r="E811" s="7">
        <v>3</v>
      </c>
      <c r="F811" s="7">
        <f t="shared" si="13"/>
        <v>4</v>
      </c>
      <c r="G811" s="7" t="str">
        <f>LOOKUP(H811,[1]startdates!$A$2:$A$10,[1]startdates!$B$2:$B$10)</f>
        <v>FMr</v>
      </c>
      <c r="H811">
        <v>6</v>
      </c>
      <c r="M811" s="7">
        <v>254</v>
      </c>
      <c r="N811" s="7">
        <v>192</v>
      </c>
    </row>
    <row r="812" spans="1:18" x14ac:dyDescent="0.2">
      <c r="A812">
        <v>811</v>
      </c>
      <c r="B812" s="1">
        <v>40751</v>
      </c>
      <c r="C812" t="s">
        <v>28</v>
      </c>
      <c r="D812" s="7">
        <v>15</v>
      </c>
      <c r="E812" s="7">
        <v>3</v>
      </c>
      <c r="F812" s="7">
        <f t="shared" si="13"/>
        <v>4</v>
      </c>
      <c r="G812" s="7" t="str">
        <f>LOOKUP(H812,[1]startdates!$A$2:$A$10,[1]startdates!$B$2:$B$10)</f>
        <v>FMr</v>
      </c>
      <c r="H812">
        <v>6</v>
      </c>
      <c r="N812" s="7">
        <v>199</v>
      </c>
    </row>
    <row r="813" spans="1:18" x14ac:dyDescent="0.2">
      <c r="A813">
        <v>812</v>
      </c>
      <c r="B813" s="1">
        <v>40751</v>
      </c>
      <c r="C813" t="s">
        <v>28</v>
      </c>
      <c r="D813" s="7">
        <v>15</v>
      </c>
      <c r="E813" s="7">
        <v>3</v>
      </c>
      <c r="F813" s="7">
        <f t="shared" si="13"/>
        <v>4</v>
      </c>
      <c r="G813" s="7" t="str">
        <f>LOOKUP(H813,[1]startdates!$A$2:$A$10,[1]startdates!$B$2:$B$10)</f>
        <v>FMr</v>
      </c>
      <c r="H813">
        <v>6</v>
      </c>
      <c r="N813" s="7">
        <v>224</v>
      </c>
    </row>
    <row r="814" spans="1:18" x14ac:dyDescent="0.2">
      <c r="A814">
        <v>813</v>
      </c>
      <c r="B814" s="1">
        <v>40751</v>
      </c>
      <c r="C814" t="s">
        <v>28</v>
      </c>
      <c r="D814" s="7">
        <v>15</v>
      </c>
      <c r="E814" s="7">
        <v>3</v>
      </c>
      <c r="F814" s="7">
        <f t="shared" si="13"/>
        <v>4</v>
      </c>
      <c r="G814" s="7" t="str">
        <f>LOOKUP(H814,[1]startdates!$A$2:$A$10,[1]startdates!$B$2:$B$10)</f>
        <v>FMr</v>
      </c>
      <c r="H814">
        <v>7</v>
      </c>
      <c r="I814" s="7">
        <v>731</v>
      </c>
      <c r="K814" s="7">
        <v>485</v>
      </c>
      <c r="L814" s="7">
        <v>397</v>
      </c>
      <c r="M814" s="7">
        <v>303</v>
      </c>
      <c r="N814" s="7">
        <v>237</v>
      </c>
      <c r="O814" s="7">
        <v>170</v>
      </c>
      <c r="P814" s="7">
        <v>508</v>
      </c>
      <c r="Q814" s="7">
        <v>347</v>
      </c>
    </row>
    <row r="815" spans="1:18" x14ac:dyDescent="0.2">
      <c r="A815">
        <v>814</v>
      </c>
      <c r="B815" s="1">
        <v>40751</v>
      </c>
      <c r="C815" t="s">
        <v>28</v>
      </c>
      <c r="D815" s="7">
        <v>15</v>
      </c>
      <c r="E815" s="7">
        <v>3</v>
      </c>
      <c r="F815" s="7">
        <f t="shared" si="13"/>
        <v>4</v>
      </c>
      <c r="G815" s="7" t="str">
        <f>LOOKUP(H815,[1]startdates!$A$2:$A$10,[1]startdates!$B$2:$B$10)</f>
        <v>FMr</v>
      </c>
      <c r="H815">
        <v>7</v>
      </c>
      <c r="I815" s="7">
        <v>603</v>
      </c>
      <c r="K815" s="7">
        <v>516</v>
      </c>
      <c r="L815" s="7">
        <v>502</v>
      </c>
      <c r="M815" s="7">
        <v>253</v>
      </c>
      <c r="N815" s="7">
        <v>221</v>
      </c>
      <c r="O815" s="7">
        <v>161</v>
      </c>
      <c r="Q815" s="7">
        <v>368</v>
      </c>
    </row>
    <row r="816" spans="1:18" x14ac:dyDescent="0.2">
      <c r="A816">
        <v>815</v>
      </c>
      <c r="B816" s="1">
        <v>40751</v>
      </c>
      <c r="C816" t="s">
        <v>28</v>
      </c>
      <c r="D816" s="7">
        <v>15</v>
      </c>
      <c r="E816" s="7">
        <v>3</v>
      </c>
      <c r="F816" s="7">
        <f t="shared" si="13"/>
        <v>4</v>
      </c>
      <c r="G816" s="7" t="str">
        <f>LOOKUP(H816,[1]startdates!$A$2:$A$10,[1]startdates!$B$2:$B$10)</f>
        <v>FMr</v>
      </c>
      <c r="H816">
        <v>7</v>
      </c>
      <c r="I816" s="7">
        <v>585</v>
      </c>
      <c r="K816" s="7">
        <v>528</v>
      </c>
      <c r="M816" s="7">
        <v>272</v>
      </c>
      <c r="N816" s="7">
        <v>261</v>
      </c>
      <c r="O816" s="7">
        <v>163</v>
      </c>
      <c r="Q816" s="7">
        <v>346</v>
      </c>
    </row>
    <row r="817" spans="1:17" x14ac:dyDescent="0.2">
      <c r="A817">
        <v>816</v>
      </c>
      <c r="B817" s="1">
        <v>40751</v>
      </c>
      <c r="C817" t="s">
        <v>28</v>
      </c>
      <c r="D817" s="7">
        <v>15</v>
      </c>
      <c r="E817" s="7">
        <v>3</v>
      </c>
      <c r="F817" s="7">
        <f t="shared" si="13"/>
        <v>4</v>
      </c>
      <c r="G817" s="7" t="str">
        <f>LOOKUP(H817,[1]startdates!$A$2:$A$10,[1]startdates!$B$2:$B$10)</f>
        <v>FMr</v>
      </c>
      <c r="H817">
        <v>7</v>
      </c>
      <c r="I817" s="7">
        <v>603</v>
      </c>
      <c r="K817" s="7">
        <v>495</v>
      </c>
      <c r="N817" s="7">
        <v>214</v>
      </c>
      <c r="O817" s="7">
        <v>170</v>
      </c>
      <c r="Q817" s="7">
        <v>327</v>
      </c>
    </row>
    <row r="818" spans="1:17" x14ac:dyDescent="0.2">
      <c r="A818">
        <v>817</v>
      </c>
      <c r="B818" s="1">
        <v>40751</v>
      </c>
      <c r="C818" t="s">
        <v>28</v>
      </c>
      <c r="D818" s="7">
        <v>15</v>
      </c>
      <c r="E818" s="7">
        <v>3</v>
      </c>
      <c r="F818" s="7">
        <f t="shared" si="13"/>
        <v>4</v>
      </c>
      <c r="G818" s="7" t="str">
        <f>LOOKUP(H818,[1]startdates!$A$2:$A$10,[1]startdates!$B$2:$B$10)</f>
        <v>FMr</v>
      </c>
      <c r="H818">
        <v>7</v>
      </c>
      <c r="I818" s="7">
        <v>710</v>
      </c>
      <c r="N818" s="7">
        <v>198</v>
      </c>
      <c r="O818" s="7">
        <v>165</v>
      </c>
      <c r="Q818" s="7">
        <v>356</v>
      </c>
    </row>
    <row r="819" spans="1:17" x14ac:dyDescent="0.2">
      <c r="A819">
        <v>818</v>
      </c>
      <c r="B819" s="1">
        <v>40751</v>
      </c>
      <c r="C819" t="s">
        <v>28</v>
      </c>
      <c r="D819" s="7">
        <v>15</v>
      </c>
      <c r="E819" s="7">
        <v>3</v>
      </c>
      <c r="F819" s="7">
        <f t="shared" si="13"/>
        <v>4</v>
      </c>
      <c r="G819" s="7" t="str">
        <f>LOOKUP(H819,[1]startdates!$A$2:$A$10,[1]startdates!$B$2:$B$10)</f>
        <v>FMr</v>
      </c>
      <c r="H819">
        <v>7</v>
      </c>
      <c r="N819" s="7">
        <v>189</v>
      </c>
      <c r="O819" s="7">
        <v>161</v>
      </c>
    </row>
    <row r="820" spans="1:17" x14ac:dyDescent="0.2">
      <c r="A820">
        <v>819</v>
      </c>
      <c r="B820" s="1">
        <v>40751</v>
      </c>
      <c r="C820" t="s">
        <v>28</v>
      </c>
      <c r="D820" s="7">
        <v>15</v>
      </c>
      <c r="E820" s="7">
        <v>3</v>
      </c>
      <c r="F820" s="7">
        <f t="shared" si="13"/>
        <v>4</v>
      </c>
      <c r="G820" s="7" t="str">
        <f>LOOKUP(H820,[1]startdates!$A$2:$A$10,[1]startdates!$B$2:$B$10)</f>
        <v>FMr</v>
      </c>
      <c r="H820">
        <v>7</v>
      </c>
      <c r="N820" s="7">
        <v>180</v>
      </c>
      <c r="O820" s="7">
        <v>148</v>
      </c>
    </row>
    <row r="821" spans="1:17" x14ac:dyDescent="0.2">
      <c r="A821">
        <v>820</v>
      </c>
      <c r="B821" s="1">
        <v>40751</v>
      </c>
      <c r="C821" t="s">
        <v>28</v>
      </c>
      <c r="D821" s="7">
        <v>15</v>
      </c>
      <c r="E821" s="7">
        <v>3</v>
      </c>
      <c r="F821" s="7">
        <f t="shared" si="13"/>
        <v>4</v>
      </c>
      <c r="G821" s="7" t="str">
        <f>LOOKUP(H821,[1]startdates!$A$2:$A$10,[1]startdates!$B$2:$B$10)</f>
        <v>FMr</v>
      </c>
      <c r="H821">
        <v>7</v>
      </c>
      <c r="N821" s="7">
        <v>232</v>
      </c>
      <c r="O821" s="7">
        <v>148</v>
      </c>
    </row>
    <row r="822" spans="1:17" x14ac:dyDescent="0.2">
      <c r="A822">
        <v>821</v>
      </c>
      <c r="B822" s="1">
        <v>40751</v>
      </c>
      <c r="C822" t="s">
        <v>28</v>
      </c>
      <c r="D822" s="7">
        <v>15</v>
      </c>
      <c r="E822" s="7">
        <v>3</v>
      </c>
      <c r="F822" s="7">
        <f t="shared" si="13"/>
        <v>4</v>
      </c>
      <c r="G822" s="7" t="str">
        <f>LOOKUP(H822,[1]startdates!$A$2:$A$10,[1]startdates!$B$2:$B$10)</f>
        <v>FMr</v>
      </c>
      <c r="H822">
        <v>7</v>
      </c>
      <c r="N822" s="7">
        <v>180</v>
      </c>
      <c r="O822" s="7">
        <v>151</v>
      </c>
    </row>
    <row r="823" spans="1:17" x14ac:dyDescent="0.2">
      <c r="A823">
        <v>822</v>
      </c>
      <c r="B823" s="1">
        <v>40751</v>
      </c>
      <c r="C823" t="s">
        <v>28</v>
      </c>
      <c r="D823" s="7">
        <v>15</v>
      </c>
      <c r="E823" s="7">
        <v>3</v>
      </c>
      <c r="F823" s="7">
        <f t="shared" si="13"/>
        <v>4</v>
      </c>
      <c r="G823" s="7" t="str">
        <f>LOOKUP(H823,[1]startdates!$A$2:$A$10,[1]startdates!$B$2:$B$10)</f>
        <v>FMr</v>
      </c>
      <c r="H823">
        <v>7</v>
      </c>
      <c r="N823" s="7">
        <v>241</v>
      </c>
      <c r="O823" s="7">
        <v>151</v>
      </c>
    </row>
    <row r="824" spans="1:17" x14ac:dyDescent="0.2">
      <c r="A824">
        <v>823</v>
      </c>
      <c r="B824" s="1">
        <v>40751</v>
      </c>
      <c r="C824" t="s">
        <v>28</v>
      </c>
      <c r="D824" s="7">
        <v>15</v>
      </c>
      <c r="E824" s="7">
        <v>3</v>
      </c>
      <c r="F824" s="7">
        <f t="shared" si="13"/>
        <v>4</v>
      </c>
      <c r="G824" s="7" t="str">
        <f>LOOKUP(H824,[1]startdates!$A$2:$A$10,[1]startdates!$B$2:$B$10)</f>
        <v>FMr</v>
      </c>
      <c r="H824">
        <v>7</v>
      </c>
      <c r="N824" s="7">
        <v>176</v>
      </c>
      <c r="O824" s="7">
        <v>161</v>
      </c>
    </row>
    <row r="825" spans="1:17" x14ac:dyDescent="0.2">
      <c r="A825">
        <v>824</v>
      </c>
      <c r="B825" s="1">
        <v>40751</v>
      </c>
      <c r="C825" t="s">
        <v>28</v>
      </c>
      <c r="D825" s="7">
        <v>15</v>
      </c>
      <c r="E825" s="7">
        <v>3</v>
      </c>
      <c r="F825" s="7">
        <f t="shared" si="13"/>
        <v>4</v>
      </c>
      <c r="G825" s="7" t="str">
        <f>LOOKUP(H825,[1]startdates!$A$2:$A$10,[1]startdates!$B$2:$B$10)</f>
        <v>FMr</v>
      </c>
      <c r="H825">
        <v>7</v>
      </c>
      <c r="O825" s="7">
        <v>167</v>
      </c>
    </row>
    <row r="826" spans="1:17" x14ac:dyDescent="0.2">
      <c r="A826">
        <v>825</v>
      </c>
      <c r="B826" s="1">
        <v>40751</v>
      </c>
      <c r="C826" t="s">
        <v>28</v>
      </c>
      <c r="D826" s="7">
        <v>15</v>
      </c>
      <c r="E826" s="7">
        <v>3</v>
      </c>
      <c r="F826" s="7">
        <f t="shared" si="13"/>
        <v>4</v>
      </c>
      <c r="G826" s="7" t="str">
        <f>LOOKUP(H826,[1]startdates!$A$2:$A$10,[1]startdates!$B$2:$B$10)</f>
        <v>FMr</v>
      </c>
      <c r="H826">
        <v>7</v>
      </c>
      <c r="O826" s="7">
        <v>143</v>
      </c>
    </row>
    <row r="827" spans="1:17" x14ac:dyDescent="0.2">
      <c r="A827">
        <v>826</v>
      </c>
      <c r="B827" s="1">
        <v>40751</v>
      </c>
      <c r="C827" t="s">
        <v>28</v>
      </c>
      <c r="D827" s="7">
        <v>15</v>
      </c>
      <c r="E827" s="7">
        <v>3</v>
      </c>
      <c r="F827" s="7">
        <f t="shared" si="13"/>
        <v>4</v>
      </c>
      <c r="G827" s="7" t="str">
        <f>LOOKUP(H827,[1]startdates!$A$2:$A$10,[1]startdates!$B$2:$B$10)</f>
        <v>FMr</v>
      </c>
      <c r="H827">
        <v>7</v>
      </c>
      <c r="O827" s="7">
        <v>157</v>
      </c>
    </row>
    <row r="828" spans="1:17" x14ac:dyDescent="0.2">
      <c r="A828">
        <v>827</v>
      </c>
      <c r="B828" s="1">
        <v>40751</v>
      </c>
      <c r="C828" t="s">
        <v>28</v>
      </c>
      <c r="D828" s="7">
        <v>15</v>
      </c>
      <c r="E828" s="7">
        <v>3</v>
      </c>
      <c r="F828" s="7">
        <f t="shared" si="13"/>
        <v>4</v>
      </c>
      <c r="G828" s="7" t="str">
        <f>LOOKUP(H828,[1]startdates!$A$2:$A$10,[1]startdates!$B$2:$B$10)</f>
        <v>FMr</v>
      </c>
      <c r="H828">
        <v>7</v>
      </c>
      <c r="O828" s="7">
        <v>148</v>
      </c>
    </row>
    <row r="829" spans="1:17" x14ac:dyDescent="0.2">
      <c r="A829">
        <v>828</v>
      </c>
      <c r="B829" s="1">
        <v>40751</v>
      </c>
      <c r="C829" t="s">
        <v>28</v>
      </c>
      <c r="D829" s="7">
        <v>15</v>
      </c>
      <c r="E829" s="7">
        <v>3</v>
      </c>
      <c r="F829" s="7">
        <f t="shared" si="13"/>
        <v>4</v>
      </c>
      <c r="G829" s="7" t="str">
        <f>LOOKUP(H829,[1]startdates!$A$2:$A$10,[1]startdates!$B$2:$B$10)</f>
        <v>FMr</v>
      </c>
      <c r="H829">
        <v>7</v>
      </c>
      <c r="O829" s="7">
        <v>168</v>
      </c>
    </row>
    <row r="830" spans="1:17" x14ac:dyDescent="0.2">
      <c r="A830">
        <v>829</v>
      </c>
      <c r="B830" s="1">
        <v>40751</v>
      </c>
      <c r="C830" t="s">
        <v>28</v>
      </c>
      <c r="D830" s="7">
        <v>15</v>
      </c>
      <c r="E830" s="7">
        <v>3</v>
      </c>
      <c r="F830" s="7">
        <f t="shared" si="13"/>
        <v>4</v>
      </c>
      <c r="G830" s="7" t="str">
        <f>LOOKUP(H830,[1]startdates!$A$2:$A$10,[1]startdates!$B$2:$B$10)</f>
        <v>FMr</v>
      </c>
      <c r="H830">
        <v>7</v>
      </c>
      <c r="O830" s="7">
        <v>159</v>
      </c>
    </row>
    <row r="831" spans="1:17" x14ac:dyDescent="0.2">
      <c r="A831">
        <v>830</v>
      </c>
      <c r="B831" s="1">
        <v>40751</v>
      </c>
      <c r="C831" t="s">
        <v>28</v>
      </c>
      <c r="D831" s="7">
        <v>15</v>
      </c>
      <c r="E831" s="7">
        <v>3</v>
      </c>
      <c r="F831" s="7">
        <f t="shared" si="13"/>
        <v>4</v>
      </c>
      <c r="G831" s="7" t="str">
        <f>LOOKUP(H831,[1]startdates!$A$2:$A$10,[1]startdates!$B$2:$B$10)</f>
        <v>FMr</v>
      </c>
      <c r="H831">
        <v>7</v>
      </c>
      <c r="O831" s="7">
        <v>167</v>
      </c>
    </row>
    <row r="832" spans="1:17" x14ac:dyDescent="0.2">
      <c r="A832">
        <v>831</v>
      </c>
      <c r="B832" s="1">
        <v>40751</v>
      </c>
      <c r="C832" t="s">
        <v>24</v>
      </c>
      <c r="D832" s="7">
        <v>15</v>
      </c>
      <c r="E832" s="7">
        <v>3</v>
      </c>
      <c r="F832" s="7">
        <f t="shared" si="13"/>
        <v>4</v>
      </c>
      <c r="G832" s="7" t="str">
        <f>LOOKUP(H832,[1]startdates!$A$2:$A$10,[1]startdates!$B$2:$B$10)</f>
        <v>C</v>
      </c>
      <c r="H832">
        <v>8</v>
      </c>
      <c r="I832" s="7">
        <v>720</v>
      </c>
      <c r="K832" s="7">
        <v>585</v>
      </c>
      <c r="L832" s="7">
        <v>410</v>
      </c>
      <c r="M832" s="7">
        <v>306</v>
      </c>
      <c r="N832" s="7">
        <v>193</v>
      </c>
      <c r="O832" s="7">
        <v>162</v>
      </c>
      <c r="Q832" s="7">
        <v>411</v>
      </c>
    </row>
    <row r="833" spans="1:18" x14ac:dyDescent="0.2">
      <c r="A833">
        <v>832</v>
      </c>
      <c r="B833" s="1">
        <v>40751</v>
      </c>
      <c r="C833" t="s">
        <v>24</v>
      </c>
      <c r="D833" s="7">
        <v>15</v>
      </c>
      <c r="E833" s="7">
        <v>3</v>
      </c>
      <c r="F833" s="7">
        <f t="shared" si="13"/>
        <v>4</v>
      </c>
      <c r="G833" s="7" t="str">
        <f>LOOKUP(H833,[1]startdates!$A$2:$A$10,[1]startdates!$B$2:$B$10)</f>
        <v>C</v>
      </c>
      <c r="H833">
        <v>8</v>
      </c>
      <c r="I833" s="7">
        <v>629</v>
      </c>
      <c r="K833" s="7">
        <v>582</v>
      </c>
      <c r="L833" s="7">
        <v>366</v>
      </c>
      <c r="M833" s="7">
        <v>333</v>
      </c>
      <c r="N833" s="7">
        <v>224</v>
      </c>
      <c r="O833" s="7">
        <v>172</v>
      </c>
    </row>
    <row r="834" spans="1:18" x14ac:dyDescent="0.2">
      <c r="A834">
        <v>833</v>
      </c>
      <c r="B834" s="1">
        <v>40751</v>
      </c>
      <c r="C834" t="s">
        <v>24</v>
      </c>
      <c r="D834" s="7">
        <v>15</v>
      </c>
      <c r="E834" s="7">
        <v>3</v>
      </c>
      <c r="F834" s="7">
        <f t="shared" si="13"/>
        <v>4</v>
      </c>
      <c r="G834" s="7" t="str">
        <f>LOOKUP(H834,[1]startdates!$A$2:$A$10,[1]startdates!$B$2:$B$10)</f>
        <v>C</v>
      </c>
      <c r="H834">
        <v>8</v>
      </c>
      <c r="I834" s="7">
        <v>663</v>
      </c>
      <c r="M834" s="7">
        <v>330</v>
      </c>
      <c r="N834" s="7">
        <v>286</v>
      </c>
      <c r="O834" s="7">
        <v>164</v>
      </c>
    </row>
    <row r="835" spans="1:18" x14ac:dyDescent="0.2">
      <c r="A835">
        <v>834</v>
      </c>
      <c r="B835" s="1">
        <v>40751</v>
      </c>
      <c r="C835" t="s">
        <v>24</v>
      </c>
      <c r="D835" s="7">
        <v>15</v>
      </c>
      <c r="E835" s="7">
        <v>3</v>
      </c>
      <c r="F835" s="7">
        <f t="shared" si="13"/>
        <v>4</v>
      </c>
      <c r="G835" s="7" t="str">
        <f>LOOKUP(H835,[1]startdates!$A$2:$A$10,[1]startdates!$B$2:$B$10)</f>
        <v>C</v>
      </c>
      <c r="H835">
        <v>8</v>
      </c>
      <c r="I835" s="7">
        <v>719</v>
      </c>
      <c r="M835" s="7">
        <v>279</v>
      </c>
      <c r="N835" s="7">
        <v>252</v>
      </c>
      <c r="O835" s="7">
        <v>167</v>
      </c>
    </row>
    <row r="836" spans="1:18" x14ac:dyDescent="0.2">
      <c r="A836">
        <v>835</v>
      </c>
      <c r="B836" s="1">
        <v>40751</v>
      </c>
      <c r="C836" t="s">
        <v>24</v>
      </c>
      <c r="D836" s="7">
        <v>15</v>
      </c>
      <c r="E836" s="7">
        <v>3</v>
      </c>
      <c r="F836" s="7">
        <f t="shared" si="13"/>
        <v>4</v>
      </c>
      <c r="G836" s="7" t="str">
        <f>LOOKUP(H836,[1]startdates!$A$2:$A$10,[1]startdates!$B$2:$B$10)</f>
        <v>C</v>
      </c>
      <c r="H836">
        <v>8</v>
      </c>
      <c r="M836" s="7">
        <v>305</v>
      </c>
      <c r="N836" s="7">
        <v>247</v>
      </c>
      <c r="O836" s="7">
        <v>186</v>
      </c>
    </row>
    <row r="837" spans="1:18" x14ac:dyDescent="0.2">
      <c r="A837">
        <v>836</v>
      </c>
      <c r="B837" s="1">
        <v>40751</v>
      </c>
      <c r="C837" t="s">
        <v>24</v>
      </c>
      <c r="D837" s="7">
        <v>15</v>
      </c>
      <c r="E837" s="7">
        <v>3</v>
      </c>
      <c r="F837" s="7">
        <f t="shared" si="13"/>
        <v>4</v>
      </c>
      <c r="G837" s="7" t="str">
        <f>LOOKUP(H837,[1]startdates!$A$2:$A$10,[1]startdates!$B$2:$B$10)</f>
        <v>C</v>
      </c>
      <c r="H837">
        <v>8</v>
      </c>
      <c r="M837" s="7">
        <v>340</v>
      </c>
      <c r="N837" s="7">
        <v>202</v>
      </c>
      <c r="O837" s="7">
        <v>185</v>
      </c>
    </row>
    <row r="838" spans="1:18" x14ac:dyDescent="0.2">
      <c r="A838">
        <v>837</v>
      </c>
      <c r="B838" s="1">
        <v>40751</v>
      </c>
      <c r="C838" t="s">
        <v>24</v>
      </c>
      <c r="D838" s="7">
        <v>15</v>
      </c>
      <c r="E838" s="7">
        <v>3</v>
      </c>
      <c r="F838" s="7">
        <f t="shared" si="13"/>
        <v>4</v>
      </c>
      <c r="G838" s="7" t="str">
        <f>LOOKUP(H838,[1]startdates!$A$2:$A$10,[1]startdates!$B$2:$B$10)</f>
        <v>C</v>
      </c>
      <c r="H838">
        <v>8</v>
      </c>
      <c r="N838" s="7">
        <v>198</v>
      </c>
      <c r="O838" s="7">
        <v>179</v>
      </c>
    </row>
    <row r="839" spans="1:18" x14ac:dyDescent="0.2">
      <c r="A839">
        <v>838</v>
      </c>
      <c r="B839" s="1">
        <v>40751</v>
      </c>
      <c r="C839" t="s">
        <v>24</v>
      </c>
      <c r="D839" s="7">
        <v>15</v>
      </c>
      <c r="E839" s="7">
        <v>3</v>
      </c>
      <c r="F839" s="7">
        <f t="shared" si="13"/>
        <v>4</v>
      </c>
      <c r="G839" s="7" t="str">
        <f>LOOKUP(H839,[1]startdates!$A$2:$A$10,[1]startdates!$B$2:$B$10)</f>
        <v>C</v>
      </c>
      <c r="H839">
        <v>8</v>
      </c>
      <c r="N839" s="7">
        <v>248</v>
      </c>
      <c r="O839" s="7">
        <v>180</v>
      </c>
    </row>
    <row r="840" spans="1:18" x14ac:dyDescent="0.2">
      <c r="A840">
        <v>839</v>
      </c>
      <c r="B840" s="1">
        <v>40751</v>
      </c>
      <c r="C840" t="s">
        <v>24</v>
      </c>
      <c r="D840" s="7">
        <v>15</v>
      </c>
      <c r="E840" s="7">
        <v>3</v>
      </c>
      <c r="F840" s="7">
        <f t="shared" si="13"/>
        <v>4</v>
      </c>
      <c r="G840" s="7" t="str">
        <f>LOOKUP(H840,[1]startdates!$A$2:$A$10,[1]startdates!$B$2:$B$10)</f>
        <v>C</v>
      </c>
      <c r="H840">
        <v>8</v>
      </c>
      <c r="N840" s="7">
        <v>170</v>
      </c>
      <c r="O840" s="7">
        <v>171</v>
      </c>
    </row>
    <row r="841" spans="1:18" x14ac:dyDescent="0.2">
      <c r="A841">
        <v>840</v>
      </c>
      <c r="B841" s="1">
        <v>40751</v>
      </c>
      <c r="C841" t="s">
        <v>24</v>
      </c>
      <c r="D841" s="7">
        <v>15</v>
      </c>
      <c r="E841" s="7">
        <v>3</v>
      </c>
      <c r="F841" s="7">
        <f t="shared" si="13"/>
        <v>4</v>
      </c>
      <c r="G841" s="7" t="str">
        <f>LOOKUP(H841,[1]startdates!$A$2:$A$10,[1]startdates!$B$2:$B$10)</f>
        <v>C</v>
      </c>
      <c r="H841">
        <v>8</v>
      </c>
      <c r="N841" s="7">
        <v>191</v>
      </c>
      <c r="O841" s="7">
        <v>176</v>
      </c>
    </row>
    <row r="842" spans="1:18" x14ac:dyDescent="0.2">
      <c r="A842">
        <v>841</v>
      </c>
      <c r="B842" s="1">
        <v>40751</v>
      </c>
      <c r="C842" t="s">
        <v>24</v>
      </c>
      <c r="D842" s="7">
        <v>15</v>
      </c>
      <c r="E842" s="7">
        <v>3</v>
      </c>
      <c r="F842" s="7">
        <f t="shared" si="13"/>
        <v>4</v>
      </c>
      <c r="G842" s="7" t="str">
        <f>LOOKUP(H842,[1]startdates!$A$2:$A$10,[1]startdates!$B$2:$B$10)</f>
        <v>C</v>
      </c>
      <c r="H842">
        <v>8</v>
      </c>
      <c r="N842" s="7">
        <v>225</v>
      </c>
      <c r="O842" s="7">
        <v>166</v>
      </c>
    </row>
    <row r="843" spans="1:18" x14ac:dyDescent="0.2">
      <c r="A843">
        <v>842</v>
      </c>
      <c r="B843" s="1">
        <v>40751</v>
      </c>
      <c r="C843" t="s">
        <v>24</v>
      </c>
      <c r="D843" s="7">
        <v>15</v>
      </c>
      <c r="E843" s="7">
        <v>3</v>
      </c>
      <c r="F843" s="7">
        <f t="shared" si="13"/>
        <v>4</v>
      </c>
      <c r="G843" s="7" t="str">
        <f>LOOKUP(H843,[1]startdates!$A$2:$A$10,[1]startdates!$B$2:$B$10)</f>
        <v>C</v>
      </c>
      <c r="H843">
        <v>8</v>
      </c>
      <c r="N843" s="7">
        <v>257</v>
      </c>
      <c r="O843" s="7">
        <v>171</v>
      </c>
    </row>
    <row r="844" spans="1:18" x14ac:dyDescent="0.2">
      <c r="A844">
        <v>843</v>
      </c>
      <c r="B844" s="1">
        <v>40751</v>
      </c>
      <c r="C844" t="s">
        <v>24</v>
      </c>
      <c r="D844" s="7">
        <v>15</v>
      </c>
      <c r="E844" s="7">
        <v>3</v>
      </c>
      <c r="F844" s="7">
        <f t="shared" si="13"/>
        <v>4</v>
      </c>
      <c r="G844" s="7" t="str">
        <f>LOOKUP(H844,[1]startdates!$A$2:$A$10,[1]startdates!$B$2:$B$10)</f>
        <v>C</v>
      </c>
      <c r="H844">
        <v>8</v>
      </c>
      <c r="N844" s="7">
        <v>185</v>
      </c>
      <c r="O844" s="7">
        <v>199</v>
      </c>
    </row>
    <row r="845" spans="1:18" x14ac:dyDescent="0.2">
      <c r="A845">
        <v>844</v>
      </c>
      <c r="B845" s="1">
        <v>40751</v>
      </c>
      <c r="C845" t="s">
        <v>24</v>
      </c>
      <c r="D845" s="7">
        <v>15</v>
      </c>
      <c r="E845" s="7">
        <v>3</v>
      </c>
      <c r="F845" s="7">
        <f t="shared" si="13"/>
        <v>4</v>
      </c>
      <c r="G845" s="7" t="str">
        <f>LOOKUP(H845,[1]startdates!$A$2:$A$10,[1]startdates!$B$2:$B$10)</f>
        <v>C</v>
      </c>
      <c r="H845">
        <v>8</v>
      </c>
      <c r="N845" s="7">
        <v>239</v>
      </c>
      <c r="O845" s="7">
        <v>173</v>
      </c>
    </row>
    <row r="846" spans="1:18" x14ac:dyDescent="0.2">
      <c r="A846">
        <v>845</v>
      </c>
      <c r="B846" s="1">
        <v>40751</v>
      </c>
      <c r="C846" t="s">
        <v>24</v>
      </c>
      <c r="D846" s="7">
        <v>15</v>
      </c>
      <c r="E846" s="7">
        <v>3</v>
      </c>
      <c r="F846" s="7">
        <f t="shared" si="13"/>
        <v>4</v>
      </c>
      <c r="G846" s="7" t="str">
        <f>LOOKUP(H846,[1]startdates!$A$2:$A$10,[1]startdates!$B$2:$B$10)</f>
        <v>FMr</v>
      </c>
      <c r="H846">
        <v>9</v>
      </c>
      <c r="L846" s="7">
        <v>471</v>
      </c>
      <c r="M846" s="7">
        <v>318</v>
      </c>
      <c r="N846" s="7">
        <v>187</v>
      </c>
      <c r="O846" s="7">
        <v>160</v>
      </c>
      <c r="R846" s="7">
        <v>278</v>
      </c>
    </row>
    <row r="847" spans="1:18" x14ac:dyDescent="0.2">
      <c r="A847">
        <v>846</v>
      </c>
      <c r="B847" s="1">
        <v>40751</v>
      </c>
      <c r="C847" t="s">
        <v>24</v>
      </c>
      <c r="D847" s="7">
        <v>15</v>
      </c>
      <c r="E847" s="7">
        <v>3</v>
      </c>
      <c r="F847" s="7">
        <f t="shared" si="13"/>
        <v>4</v>
      </c>
      <c r="G847" s="7" t="str">
        <f>LOOKUP(H847,[1]startdates!$A$2:$A$10,[1]startdates!$B$2:$B$10)</f>
        <v>FMr</v>
      </c>
      <c r="H847">
        <v>9</v>
      </c>
      <c r="L847" s="7">
        <v>348</v>
      </c>
      <c r="M847" s="7">
        <v>355</v>
      </c>
      <c r="N847" s="7">
        <v>190</v>
      </c>
      <c r="O847" s="7">
        <v>166</v>
      </c>
    </row>
    <row r="848" spans="1:18" x14ac:dyDescent="0.2">
      <c r="A848">
        <v>847</v>
      </c>
      <c r="B848" s="1">
        <v>40751</v>
      </c>
      <c r="C848" t="s">
        <v>24</v>
      </c>
      <c r="D848" s="7">
        <v>15</v>
      </c>
      <c r="E848" s="7">
        <v>3</v>
      </c>
      <c r="F848" s="7">
        <f t="shared" si="13"/>
        <v>4</v>
      </c>
      <c r="G848" s="7" t="str">
        <f>LOOKUP(H848,[1]startdates!$A$2:$A$10,[1]startdates!$B$2:$B$10)</f>
        <v>FMr</v>
      </c>
      <c r="H848">
        <v>9</v>
      </c>
      <c r="L848" s="7">
        <v>374</v>
      </c>
      <c r="M848" s="7">
        <v>333</v>
      </c>
      <c r="N848" s="7">
        <v>219</v>
      </c>
      <c r="O848" s="7">
        <v>150</v>
      </c>
    </row>
    <row r="849" spans="1:15" x14ac:dyDescent="0.2">
      <c r="A849">
        <v>848</v>
      </c>
      <c r="B849" s="1">
        <v>40751</v>
      </c>
      <c r="C849" t="s">
        <v>24</v>
      </c>
      <c r="D849" s="7">
        <v>15</v>
      </c>
      <c r="E849" s="7">
        <v>3</v>
      </c>
      <c r="F849" s="7">
        <f t="shared" si="13"/>
        <v>4</v>
      </c>
      <c r="G849" s="7" t="str">
        <f>LOOKUP(H849,[1]startdates!$A$2:$A$10,[1]startdates!$B$2:$B$10)</f>
        <v>FMr</v>
      </c>
      <c r="H849">
        <v>9</v>
      </c>
      <c r="M849" s="7">
        <v>327</v>
      </c>
      <c r="N849" s="7">
        <v>223</v>
      </c>
      <c r="O849" s="7">
        <v>189</v>
      </c>
    </row>
    <row r="850" spans="1:15" x14ac:dyDescent="0.2">
      <c r="A850">
        <v>849</v>
      </c>
      <c r="B850" s="1">
        <v>40751</v>
      </c>
      <c r="C850" t="s">
        <v>24</v>
      </c>
      <c r="D850" s="7">
        <v>15</v>
      </c>
      <c r="E850" s="7">
        <v>3</v>
      </c>
      <c r="F850" s="7">
        <f t="shared" si="13"/>
        <v>4</v>
      </c>
      <c r="G850" s="7" t="str">
        <f>LOOKUP(H850,[1]startdates!$A$2:$A$10,[1]startdates!$B$2:$B$10)</f>
        <v>FMr</v>
      </c>
      <c r="H850">
        <v>9</v>
      </c>
      <c r="M850" s="7">
        <v>341</v>
      </c>
      <c r="N850" s="7">
        <v>248</v>
      </c>
      <c r="O850" s="7">
        <v>142</v>
      </c>
    </row>
    <row r="851" spans="1:15" x14ac:dyDescent="0.2">
      <c r="A851">
        <v>850</v>
      </c>
      <c r="B851" s="1">
        <v>40751</v>
      </c>
      <c r="C851" t="s">
        <v>24</v>
      </c>
      <c r="D851" s="7">
        <v>15</v>
      </c>
      <c r="E851" s="7">
        <v>3</v>
      </c>
      <c r="F851" s="7">
        <f t="shared" si="13"/>
        <v>4</v>
      </c>
      <c r="G851" s="7" t="str">
        <f>LOOKUP(H851,[1]startdates!$A$2:$A$10,[1]startdates!$B$2:$B$10)</f>
        <v>FMr</v>
      </c>
      <c r="H851">
        <v>9</v>
      </c>
      <c r="M851" s="7">
        <v>316</v>
      </c>
      <c r="N851" s="7">
        <v>207</v>
      </c>
      <c r="O851" s="7">
        <v>173</v>
      </c>
    </row>
    <row r="852" spans="1:15" x14ac:dyDescent="0.2">
      <c r="A852">
        <v>851</v>
      </c>
      <c r="B852" s="1">
        <v>40751</v>
      </c>
      <c r="C852" t="s">
        <v>24</v>
      </c>
      <c r="D852" s="7">
        <v>15</v>
      </c>
      <c r="E852" s="7">
        <v>3</v>
      </c>
      <c r="F852" s="7">
        <f t="shared" si="13"/>
        <v>4</v>
      </c>
      <c r="G852" s="7" t="str">
        <f>LOOKUP(H852,[1]startdates!$A$2:$A$10,[1]startdates!$B$2:$B$10)</f>
        <v>FMr</v>
      </c>
      <c r="H852">
        <v>9</v>
      </c>
      <c r="N852" s="7">
        <v>241</v>
      </c>
      <c r="O852" s="7">
        <v>169</v>
      </c>
    </row>
    <row r="853" spans="1:15" x14ac:dyDescent="0.2">
      <c r="A853">
        <v>852</v>
      </c>
      <c r="B853" s="1">
        <v>40751</v>
      </c>
      <c r="C853" t="s">
        <v>24</v>
      </c>
      <c r="D853" s="7">
        <v>15</v>
      </c>
      <c r="E853" s="7">
        <v>3</v>
      </c>
      <c r="F853" s="7">
        <f t="shared" si="13"/>
        <v>4</v>
      </c>
      <c r="G853" s="7" t="str">
        <f>LOOKUP(H853,[1]startdates!$A$2:$A$10,[1]startdates!$B$2:$B$10)</f>
        <v>FMr</v>
      </c>
      <c r="H853">
        <v>9</v>
      </c>
      <c r="N853" s="7">
        <v>195</v>
      </c>
      <c r="O853" s="7">
        <v>156</v>
      </c>
    </row>
    <row r="854" spans="1:15" x14ac:dyDescent="0.2">
      <c r="A854">
        <v>853</v>
      </c>
      <c r="B854" s="1">
        <v>40751</v>
      </c>
      <c r="C854" t="s">
        <v>24</v>
      </c>
      <c r="D854" s="7">
        <v>15</v>
      </c>
      <c r="E854" s="7">
        <v>3</v>
      </c>
      <c r="F854" s="7">
        <f t="shared" si="13"/>
        <v>4</v>
      </c>
      <c r="G854" s="7" t="str">
        <f>LOOKUP(H854,[1]startdates!$A$2:$A$10,[1]startdates!$B$2:$B$10)</f>
        <v>FMr</v>
      </c>
      <c r="H854">
        <v>9</v>
      </c>
      <c r="N854" s="7">
        <v>219</v>
      </c>
      <c r="O854" s="7">
        <v>150</v>
      </c>
    </row>
    <row r="855" spans="1:15" x14ac:dyDescent="0.2">
      <c r="A855">
        <v>854</v>
      </c>
      <c r="B855" s="1">
        <v>40751</v>
      </c>
      <c r="C855" t="s">
        <v>24</v>
      </c>
      <c r="D855" s="7">
        <v>15</v>
      </c>
      <c r="E855" s="7">
        <v>3</v>
      </c>
      <c r="F855" s="7">
        <f t="shared" si="13"/>
        <v>4</v>
      </c>
      <c r="G855" s="7" t="str">
        <f>LOOKUP(H855,[1]startdates!$A$2:$A$10,[1]startdates!$B$2:$B$10)</f>
        <v>FMr</v>
      </c>
      <c r="H855">
        <v>9</v>
      </c>
      <c r="N855" s="7">
        <v>224</v>
      </c>
      <c r="O855" s="7">
        <v>172</v>
      </c>
    </row>
    <row r="856" spans="1:15" x14ac:dyDescent="0.2">
      <c r="A856">
        <v>855</v>
      </c>
      <c r="B856" s="1">
        <v>40751</v>
      </c>
      <c r="C856" t="s">
        <v>24</v>
      </c>
      <c r="D856" s="7">
        <v>15</v>
      </c>
      <c r="E856" s="7">
        <v>3</v>
      </c>
      <c r="F856" s="7">
        <f t="shared" si="13"/>
        <v>4</v>
      </c>
      <c r="G856" s="7" t="str">
        <f>LOOKUP(H856,[1]startdates!$A$2:$A$10,[1]startdates!$B$2:$B$10)</f>
        <v>FMr</v>
      </c>
      <c r="H856">
        <v>9</v>
      </c>
      <c r="N856" s="7">
        <v>191</v>
      </c>
      <c r="O856" s="7">
        <v>182</v>
      </c>
    </row>
    <row r="857" spans="1:15" x14ac:dyDescent="0.2">
      <c r="A857">
        <v>856</v>
      </c>
      <c r="B857" s="1">
        <v>40751</v>
      </c>
      <c r="C857" t="s">
        <v>24</v>
      </c>
      <c r="D857" s="7">
        <v>15</v>
      </c>
      <c r="E857" s="7">
        <v>3</v>
      </c>
      <c r="F857" s="7">
        <f t="shared" si="13"/>
        <v>4</v>
      </c>
      <c r="G857" s="7" t="str">
        <f>LOOKUP(H857,[1]startdates!$A$2:$A$10,[1]startdates!$B$2:$B$10)</f>
        <v>FMr</v>
      </c>
      <c r="H857">
        <v>9</v>
      </c>
      <c r="N857" s="7">
        <v>191</v>
      </c>
      <c r="O857" s="7">
        <v>152</v>
      </c>
    </row>
    <row r="858" spans="1:15" x14ac:dyDescent="0.2">
      <c r="A858">
        <v>857</v>
      </c>
      <c r="B858" s="1">
        <v>40751</v>
      </c>
      <c r="C858" t="s">
        <v>24</v>
      </c>
      <c r="D858" s="7">
        <v>15</v>
      </c>
      <c r="E858" s="7">
        <v>3</v>
      </c>
      <c r="F858" s="7">
        <f t="shared" si="13"/>
        <v>4</v>
      </c>
      <c r="G858" s="7" t="str">
        <f>LOOKUP(H858,[1]startdates!$A$2:$A$10,[1]startdates!$B$2:$B$10)</f>
        <v>FMr</v>
      </c>
      <c r="H858">
        <v>9</v>
      </c>
      <c r="N858" s="7">
        <v>199</v>
      </c>
      <c r="O858" s="7">
        <v>177</v>
      </c>
    </row>
    <row r="859" spans="1:15" x14ac:dyDescent="0.2">
      <c r="A859">
        <v>858</v>
      </c>
      <c r="B859" s="1">
        <v>40751</v>
      </c>
      <c r="C859" t="s">
        <v>24</v>
      </c>
      <c r="D859" s="7">
        <v>15</v>
      </c>
      <c r="E859" s="7">
        <v>3</v>
      </c>
      <c r="F859" s="7">
        <f t="shared" si="13"/>
        <v>4</v>
      </c>
      <c r="G859" s="7" t="str">
        <f>LOOKUP(H859,[1]startdates!$A$2:$A$10,[1]startdates!$B$2:$B$10)</f>
        <v>FMr</v>
      </c>
      <c r="H859">
        <v>9</v>
      </c>
      <c r="N859" s="7">
        <v>171</v>
      </c>
      <c r="O859" s="7">
        <v>173</v>
      </c>
    </row>
    <row r="860" spans="1:15" x14ac:dyDescent="0.2">
      <c r="A860">
        <v>859</v>
      </c>
      <c r="B860" s="1">
        <v>40751</v>
      </c>
      <c r="C860" t="s">
        <v>24</v>
      </c>
      <c r="D860" s="7">
        <v>15</v>
      </c>
      <c r="E860" s="7">
        <v>3</v>
      </c>
      <c r="F860" s="7">
        <f t="shared" si="13"/>
        <v>4</v>
      </c>
      <c r="G860" s="7" t="str">
        <f>LOOKUP(H860,[1]startdates!$A$2:$A$10,[1]startdates!$B$2:$B$10)</f>
        <v>FMr</v>
      </c>
      <c r="H860">
        <v>9</v>
      </c>
      <c r="N860" s="7">
        <v>253</v>
      </c>
      <c r="O860" s="7">
        <v>202</v>
      </c>
    </row>
    <row r="861" spans="1:15" x14ac:dyDescent="0.2">
      <c r="A861">
        <v>860</v>
      </c>
      <c r="B861" s="1">
        <v>40751</v>
      </c>
      <c r="C861" t="s">
        <v>24</v>
      </c>
      <c r="D861" s="7">
        <v>15</v>
      </c>
      <c r="E861" s="7">
        <v>3</v>
      </c>
      <c r="F861" s="7">
        <f t="shared" si="13"/>
        <v>4</v>
      </c>
      <c r="G861" s="7" t="str">
        <f>LOOKUP(H861,[1]startdates!$A$2:$A$10,[1]startdates!$B$2:$B$10)</f>
        <v>FMr</v>
      </c>
      <c r="H861">
        <v>9</v>
      </c>
      <c r="N861" s="7">
        <v>168</v>
      </c>
    </row>
    <row r="862" spans="1:15" x14ac:dyDescent="0.2">
      <c r="A862">
        <v>861</v>
      </c>
      <c r="B862" s="1">
        <v>40751</v>
      </c>
      <c r="C862" t="s">
        <v>24</v>
      </c>
      <c r="D862" s="7">
        <v>15</v>
      </c>
      <c r="E862" s="7">
        <v>3</v>
      </c>
      <c r="F862" s="7">
        <f t="shared" si="13"/>
        <v>4</v>
      </c>
      <c r="G862" s="7" t="str">
        <f>LOOKUP(H862,[1]startdates!$A$2:$A$10,[1]startdates!$B$2:$B$10)</f>
        <v>FMr</v>
      </c>
      <c r="H862">
        <v>9</v>
      </c>
      <c r="N862" s="7">
        <v>179</v>
      </c>
    </row>
    <row r="863" spans="1:15" x14ac:dyDescent="0.2">
      <c r="A863">
        <v>862</v>
      </c>
      <c r="B863" s="1">
        <v>40751</v>
      </c>
      <c r="C863" t="s">
        <v>24</v>
      </c>
      <c r="D863" s="7">
        <v>15</v>
      </c>
      <c r="E863" s="7">
        <v>3</v>
      </c>
      <c r="F863" s="7">
        <f t="shared" si="13"/>
        <v>4</v>
      </c>
      <c r="G863" s="7" t="str">
        <f>LOOKUP(H863,[1]startdates!$A$2:$A$10,[1]startdates!$B$2:$B$10)</f>
        <v>FMr</v>
      </c>
      <c r="H863">
        <v>9</v>
      </c>
      <c r="N863" s="7">
        <v>178</v>
      </c>
    </row>
    <row r="864" spans="1:15" x14ac:dyDescent="0.2">
      <c r="A864">
        <v>863</v>
      </c>
      <c r="B864" s="1">
        <v>40751</v>
      </c>
      <c r="C864" t="s">
        <v>24</v>
      </c>
      <c r="D864" s="7">
        <v>15</v>
      </c>
      <c r="E864" s="7">
        <v>3</v>
      </c>
      <c r="F864" s="7">
        <f t="shared" si="13"/>
        <v>4</v>
      </c>
      <c r="G864" s="7" t="str">
        <f>LOOKUP(H864,[1]startdates!$A$2:$A$10,[1]startdates!$B$2:$B$10)</f>
        <v>FMr</v>
      </c>
      <c r="H864">
        <v>9</v>
      </c>
      <c r="N864" s="7">
        <v>230</v>
      </c>
    </row>
    <row r="865" spans="1:18" x14ac:dyDescent="0.2">
      <c r="A865">
        <v>864</v>
      </c>
      <c r="B865" s="1">
        <v>40751</v>
      </c>
      <c r="C865" t="s">
        <v>24</v>
      </c>
      <c r="D865" s="7">
        <v>15</v>
      </c>
      <c r="E865" s="7">
        <v>3</v>
      </c>
      <c r="F865" s="7">
        <f t="shared" si="13"/>
        <v>4</v>
      </c>
      <c r="G865" s="7" t="str">
        <f>LOOKUP(H865,[1]startdates!$A$2:$A$10,[1]startdates!$B$2:$B$10)</f>
        <v>FMr</v>
      </c>
      <c r="H865">
        <v>9</v>
      </c>
      <c r="N865" s="7">
        <v>230</v>
      </c>
    </row>
    <row r="866" spans="1:18" x14ac:dyDescent="0.2">
      <c r="A866">
        <v>865</v>
      </c>
      <c r="B866" s="1">
        <v>40753</v>
      </c>
      <c r="C866" t="s">
        <v>28</v>
      </c>
      <c r="D866" s="7">
        <v>17</v>
      </c>
      <c r="E866" s="7">
        <v>3</v>
      </c>
      <c r="F866" s="7">
        <f t="shared" si="13"/>
        <v>6</v>
      </c>
      <c r="G866" s="7" t="str">
        <f>LOOKUP(H866,[1]startdates!$A$2:$A$10,[1]startdates!$B$2:$B$10)</f>
        <v>SMr</v>
      </c>
      <c r="H866">
        <v>1</v>
      </c>
      <c r="I866" s="7">
        <v>609</v>
      </c>
      <c r="K866" s="7">
        <v>702</v>
      </c>
      <c r="L866" s="7">
        <v>471</v>
      </c>
      <c r="M866" s="7">
        <v>339</v>
      </c>
      <c r="N866" s="7">
        <v>214</v>
      </c>
      <c r="O866" s="7">
        <v>182</v>
      </c>
      <c r="Q866" s="7">
        <v>330</v>
      </c>
    </row>
    <row r="867" spans="1:18" x14ac:dyDescent="0.2">
      <c r="A867">
        <v>866</v>
      </c>
      <c r="B867" s="1">
        <v>40753</v>
      </c>
      <c r="C867" t="s">
        <v>28</v>
      </c>
      <c r="D867" s="7">
        <v>17</v>
      </c>
      <c r="E867" s="7">
        <v>3</v>
      </c>
      <c r="F867" s="7">
        <f t="shared" si="13"/>
        <v>6</v>
      </c>
      <c r="G867" s="7" t="str">
        <f>LOOKUP(H867,[1]startdates!$A$2:$A$10,[1]startdates!$B$2:$B$10)</f>
        <v>SMr</v>
      </c>
      <c r="H867">
        <v>1</v>
      </c>
      <c r="I867" s="7">
        <v>666</v>
      </c>
      <c r="K867" s="7">
        <v>423</v>
      </c>
      <c r="L867" s="7">
        <v>494</v>
      </c>
      <c r="M867" s="7">
        <v>317</v>
      </c>
      <c r="N867" s="7">
        <v>187</v>
      </c>
      <c r="O867" s="7">
        <v>135</v>
      </c>
      <c r="Q867" s="7">
        <v>392</v>
      </c>
    </row>
    <row r="868" spans="1:18" x14ac:dyDescent="0.2">
      <c r="A868">
        <v>867</v>
      </c>
      <c r="B868" s="1">
        <v>40753</v>
      </c>
      <c r="C868" t="s">
        <v>28</v>
      </c>
      <c r="D868" s="7">
        <v>17</v>
      </c>
      <c r="E868" s="7">
        <v>3</v>
      </c>
      <c r="F868" s="7">
        <f t="shared" si="13"/>
        <v>6</v>
      </c>
      <c r="G868" s="7" t="str">
        <f>LOOKUP(H868,[1]startdates!$A$2:$A$10,[1]startdates!$B$2:$B$10)</f>
        <v>SMr</v>
      </c>
      <c r="H868">
        <v>1</v>
      </c>
      <c r="I868" s="7">
        <v>672</v>
      </c>
      <c r="L868" s="7">
        <v>486</v>
      </c>
      <c r="M868" s="7">
        <v>235</v>
      </c>
      <c r="N868" s="7">
        <v>176</v>
      </c>
      <c r="O868" s="7">
        <v>151</v>
      </c>
      <c r="Q868" s="7">
        <v>336</v>
      </c>
    </row>
    <row r="869" spans="1:18" x14ac:dyDescent="0.2">
      <c r="A869">
        <v>868</v>
      </c>
      <c r="B869" s="1">
        <v>40753</v>
      </c>
      <c r="C869" t="s">
        <v>28</v>
      </c>
      <c r="D869" s="7">
        <v>17</v>
      </c>
      <c r="E869" s="7">
        <v>3</v>
      </c>
      <c r="F869" s="7">
        <f t="shared" si="13"/>
        <v>6</v>
      </c>
      <c r="G869" s="7" t="str">
        <f>LOOKUP(H869,[1]startdates!$A$2:$A$10,[1]startdates!$B$2:$B$10)</f>
        <v>SMr</v>
      </c>
      <c r="H869">
        <v>1</v>
      </c>
      <c r="I869" s="7">
        <v>513</v>
      </c>
      <c r="L869" s="7">
        <v>471</v>
      </c>
      <c r="M869" s="7">
        <v>277</v>
      </c>
      <c r="N869" s="7">
        <v>238</v>
      </c>
      <c r="O869" s="7">
        <v>145</v>
      </c>
    </row>
    <row r="870" spans="1:18" x14ac:dyDescent="0.2">
      <c r="A870">
        <v>869</v>
      </c>
      <c r="B870" s="1">
        <v>40753</v>
      </c>
      <c r="C870" t="s">
        <v>28</v>
      </c>
      <c r="D870" s="7">
        <v>17</v>
      </c>
      <c r="E870" s="7">
        <v>3</v>
      </c>
      <c r="F870" s="7">
        <f t="shared" si="13"/>
        <v>6</v>
      </c>
      <c r="G870" s="7" t="str">
        <f>LOOKUP(H870,[1]startdates!$A$2:$A$10,[1]startdates!$B$2:$B$10)</f>
        <v>SMr</v>
      </c>
      <c r="H870">
        <v>1</v>
      </c>
      <c r="M870" s="7">
        <v>311</v>
      </c>
      <c r="N870" s="7">
        <v>212</v>
      </c>
      <c r="O870" s="7">
        <v>160</v>
      </c>
    </row>
    <row r="871" spans="1:18" x14ac:dyDescent="0.2">
      <c r="A871">
        <v>870</v>
      </c>
      <c r="B871" s="1">
        <v>40753</v>
      </c>
      <c r="C871" t="s">
        <v>28</v>
      </c>
      <c r="D871" s="7">
        <v>17</v>
      </c>
      <c r="E871" s="7">
        <v>3</v>
      </c>
      <c r="F871" s="7">
        <f t="shared" si="13"/>
        <v>6</v>
      </c>
      <c r="G871" s="7" t="str">
        <f>LOOKUP(H871,[1]startdates!$A$2:$A$10,[1]startdates!$B$2:$B$10)</f>
        <v>SMr</v>
      </c>
      <c r="H871">
        <v>1</v>
      </c>
      <c r="N871" s="7">
        <v>208</v>
      </c>
      <c r="O871" s="7">
        <v>158</v>
      </c>
    </row>
    <row r="872" spans="1:18" x14ac:dyDescent="0.2">
      <c r="A872">
        <v>871</v>
      </c>
      <c r="B872" s="1">
        <v>40753</v>
      </c>
      <c r="C872" t="s">
        <v>28</v>
      </c>
      <c r="D872" s="7">
        <v>17</v>
      </c>
      <c r="E872" s="7">
        <v>3</v>
      </c>
      <c r="F872" s="7">
        <f t="shared" si="13"/>
        <v>6</v>
      </c>
      <c r="G872" s="7" t="str">
        <f>LOOKUP(H872,[1]startdates!$A$2:$A$10,[1]startdates!$B$2:$B$10)</f>
        <v>SMr</v>
      </c>
      <c r="H872">
        <v>1</v>
      </c>
      <c r="N872" s="7">
        <v>229</v>
      </c>
      <c r="O872" s="7">
        <v>146</v>
      </c>
    </row>
    <row r="873" spans="1:18" x14ac:dyDescent="0.2">
      <c r="A873">
        <v>872</v>
      </c>
      <c r="B873" s="1">
        <v>40753</v>
      </c>
      <c r="C873" t="s">
        <v>28</v>
      </c>
      <c r="D873" s="7">
        <v>17</v>
      </c>
      <c r="E873" s="7">
        <v>3</v>
      </c>
      <c r="F873" s="7">
        <f t="shared" ref="F873:F936" si="14">WEEKDAY(B873)</f>
        <v>6</v>
      </c>
      <c r="G873" s="7" t="str">
        <f>LOOKUP(H873,[1]startdates!$A$2:$A$10,[1]startdates!$B$2:$B$10)</f>
        <v>SMr</v>
      </c>
      <c r="H873">
        <v>1</v>
      </c>
      <c r="N873" s="7">
        <v>190</v>
      </c>
      <c r="O873" s="7">
        <v>147</v>
      </c>
    </row>
    <row r="874" spans="1:18" x14ac:dyDescent="0.2">
      <c r="A874">
        <v>873</v>
      </c>
      <c r="B874" s="1">
        <v>40753</v>
      </c>
      <c r="C874" t="s">
        <v>28</v>
      </c>
      <c r="D874" s="7">
        <v>17</v>
      </c>
      <c r="E874" s="7">
        <v>3</v>
      </c>
      <c r="F874" s="7">
        <f t="shared" si="14"/>
        <v>6</v>
      </c>
      <c r="G874" s="7" t="str">
        <f>LOOKUP(H874,[1]startdates!$A$2:$A$10,[1]startdates!$B$2:$B$10)</f>
        <v>SMr</v>
      </c>
      <c r="H874">
        <v>1</v>
      </c>
      <c r="N874" s="7">
        <v>214</v>
      </c>
      <c r="O874" s="7">
        <v>156</v>
      </c>
    </row>
    <row r="875" spans="1:18" x14ac:dyDescent="0.2">
      <c r="A875">
        <v>874</v>
      </c>
      <c r="B875" s="1">
        <v>40753</v>
      </c>
      <c r="C875" t="s">
        <v>28</v>
      </c>
      <c r="D875" s="7">
        <v>17</v>
      </c>
      <c r="E875" s="7">
        <v>3</v>
      </c>
      <c r="F875" s="7">
        <f t="shared" si="14"/>
        <v>6</v>
      </c>
      <c r="G875" s="7" t="str">
        <f>LOOKUP(H875,[1]startdates!$A$2:$A$10,[1]startdates!$B$2:$B$10)</f>
        <v>SMr</v>
      </c>
      <c r="H875">
        <v>1</v>
      </c>
      <c r="O875" s="7">
        <v>191</v>
      </c>
    </row>
    <row r="876" spans="1:18" x14ac:dyDescent="0.2">
      <c r="A876">
        <v>875</v>
      </c>
      <c r="B876" s="1">
        <v>40753</v>
      </c>
      <c r="C876" t="s">
        <v>24</v>
      </c>
      <c r="D876" s="7">
        <v>17</v>
      </c>
      <c r="E876" s="7">
        <v>3</v>
      </c>
      <c r="F876" s="7">
        <f t="shared" si="14"/>
        <v>6</v>
      </c>
      <c r="G876" s="7" t="str">
        <f>LOOKUP(H876,[1]startdates!$A$2:$A$10,[1]startdates!$B$2:$B$10)</f>
        <v>SMr</v>
      </c>
      <c r="H876">
        <v>2</v>
      </c>
      <c r="I876" s="7">
        <v>594</v>
      </c>
      <c r="K876" s="7">
        <v>599</v>
      </c>
      <c r="L876" s="7">
        <v>502</v>
      </c>
      <c r="M876" s="7">
        <v>349</v>
      </c>
      <c r="N876" s="7">
        <v>289</v>
      </c>
      <c r="O876" s="7">
        <v>184</v>
      </c>
      <c r="P876" s="7">
        <v>595</v>
      </c>
      <c r="Q876" s="7">
        <v>444</v>
      </c>
      <c r="R876" s="7">
        <v>201</v>
      </c>
    </row>
    <row r="877" spans="1:18" x14ac:dyDescent="0.2">
      <c r="A877">
        <v>876</v>
      </c>
      <c r="B877" s="1">
        <v>40753</v>
      </c>
      <c r="C877" t="s">
        <v>24</v>
      </c>
      <c r="D877" s="7">
        <v>17</v>
      </c>
      <c r="E877" s="7">
        <v>3</v>
      </c>
      <c r="F877" s="7">
        <f t="shared" si="14"/>
        <v>6</v>
      </c>
      <c r="G877" s="7" t="str">
        <f>LOOKUP(H877,[1]startdates!$A$2:$A$10,[1]startdates!$B$2:$B$10)</f>
        <v>SMr</v>
      </c>
      <c r="H877">
        <v>2</v>
      </c>
      <c r="I877" s="7">
        <v>726</v>
      </c>
      <c r="K877" s="7">
        <v>568</v>
      </c>
      <c r="L877" s="7">
        <v>478</v>
      </c>
      <c r="M877" s="7">
        <v>320</v>
      </c>
      <c r="N877" s="7">
        <v>201</v>
      </c>
      <c r="O877" s="7">
        <v>174</v>
      </c>
      <c r="P877" s="7">
        <v>515</v>
      </c>
      <c r="R877" s="7">
        <v>243</v>
      </c>
    </row>
    <row r="878" spans="1:18" x14ac:dyDescent="0.2">
      <c r="A878">
        <v>877</v>
      </c>
      <c r="B878" s="1">
        <v>40753</v>
      </c>
      <c r="C878" t="s">
        <v>24</v>
      </c>
      <c r="D878" s="7">
        <v>17</v>
      </c>
      <c r="E878" s="7">
        <v>3</v>
      </c>
      <c r="F878" s="7">
        <f t="shared" si="14"/>
        <v>6</v>
      </c>
      <c r="G878" s="7" t="str">
        <f>LOOKUP(H878,[1]startdates!$A$2:$A$10,[1]startdates!$B$2:$B$10)</f>
        <v>SMr</v>
      </c>
      <c r="H878">
        <v>2</v>
      </c>
      <c r="I878" s="7">
        <v>668</v>
      </c>
      <c r="K878" s="7">
        <v>511</v>
      </c>
      <c r="L878" s="7">
        <v>409</v>
      </c>
      <c r="M878" s="7">
        <v>382</v>
      </c>
      <c r="N878" s="7">
        <v>247</v>
      </c>
      <c r="O878" s="7">
        <v>164</v>
      </c>
    </row>
    <row r="879" spans="1:18" x14ac:dyDescent="0.2">
      <c r="A879">
        <v>878</v>
      </c>
      <c r="B879" s="1">
        <v>40753</v>
      </c>
      <c r="C879" t="s">
        <v>24</v>
      </c>
      <c r="D879" s="7">
        <v>17</v>
      </c>
      <c r="E879" s="7">
        <v>3</v>
      </c>
      <c r="F879" s="7">
        <f t="shared" si="14"/>
        <v>6</v>
      </c>
      <c r="G879" s="7" t="str">
        <f>LOOKUP(H879,[1]startdates!$A$2:$A$10,[1]startdates!$B$2:$B$10)</f>
        <v>SMr</v>
      </c>
      <c r="H879">
        <v>2</v>
      </c>
      <c r="I879" s="7">
        <v>605</v>
      </c>
      <c r="L879" s="7">
        <v>514</v>
      </c>
      <c r="N879" s="7">
        <v>255</v>
      </c>
      <c r="O879" s="7">
        <v>173</v>
      </c>
    </row>
    <row r="880" spans="1:18" x14ac:dyDescent="0.2">
      <c r="A880">
        <v>879</v>
      </c>
      <c r="B880" s="1">
        <v>40753</v>
      </c>
      <c r="C880" t="s">
        <v>24</v>
      </c>
      <c r="D880" s="7">
        <v>17</v>
      </c>
      <c r="E880" s="7">
        <v>3</v>
      </c>
      <c r="F880" s="7">
        <f t="shared" si="14"/>
        <v>6</v>
      </c>
      <c r="G880" s="7" t="str">
        <f>LOOKUP(H880,[1]startdates!$A$2:$A$10,[1]startdates!$B$2:$B$10)</f>
        <v>SMr</v>
      </c>
      <c r="H880">
        <v>2</v>
      </c>
      <c r="I880" s="7">
        <v>704</v>
      </c>
      <c r="L880" s="7">
        <v>482</v>
      </c>
      <c r="N880" s="7">
        <v>225</v>
      </c>
      <c r="O880" s="7">
        <v>158</v>
      </c>
    </row>
    <row r="881" spans="1:18" x14ac:dyDescent="0.2">
      <c r="A881">
        <v>880</v>
      </c>
      <c r="B881" s="1">
        <v>40753</v>
      </c>
      <c r="C881" t="s">
        <v>24</v>
      </c>
      <c r="D881" s="7">
        <v>17</v>
      </c>
      <c r="E881" s="7">
        <v>3</v>
      </c>
      <c r="F881" s="7">
        <f t="shared" si="14"/>
        <v>6</v>
      </c>
      <c r="G881" s="7" t="str">
        <f>LOOKUP(H881,[1]startdates!$A$2:$A$10,[1]startdates!$B$2:$B$10)</f>
        <v>SMr</v>
      </c>
      <c r="H881">
        <v>2</v>
      </c>
      <c r="I881" s="7">
        <v>674</v>
      </c>
      <c r="L881" s="7">
        <v>553</v>
      </c>
      <c r="N881" s="7">
        <v>246</v>
      </c>
      <c r="O881" s="7">
        <v>162</v>
      </c>
    </row>
    <row r="882" spans="1:18" x14ac:dyDescent="0.2">
      <c r="A882">
        <v>881</v>
      </c>
      <c r="B882" s="1">
        <v>40753</v>
      </c>
      <c r="C882" t="s">
        <v>24</v>
      </c>
      <c r="D882" s="7">
        <v>17</v>
      </c>
      <c r="E882" s="7">
        <v>3</v>
      </c>
      <c r="F882" s="7">
        <f t="shared" si="14"/>
        <v>6</v>
      </c>
      <c r="G882" s="7" t="str">
        <f>LOOKUP(H882,[1]startdates!$A$2:$A$10,[1]startdates!$B$2:$B$10)</f>
        <v>SMr</v>
      </c>
      <c r="H882">
        <v>2</v>
      </c>
      <c r="L882" s="7">
        <v>451</v>
      </c>
      <c r="N882" s="7">
        <v>243</v>
      </c>
      <c r="O882" s="7">
        <v>146</v>
      </c>
    </row>
    <row r="883" spans="1:18" x14ac:dyDescent="0.2">
      <c r="A883">
        <v>882</v>
      </c>
      <c r="B883" s="1">
        <v>40753</v>
      </c>
      <c r="C883" t="s">
        <v>24</v>
      </c>
      <c r="D883" s="7">
        <v>17</v>
      </c>
      <c r="E883" s="7">
        <v>3</v>
      </c>
      <c r="F883" s="7">
        <f t="shared" si="14"/>
        <v>6</v>
      </c>
      <c r="G883" s="7" t="str">
        <f>LOOKUP(H883,[1]startdates!$A$2:$A$10,[1]startdates!$B$2:$B$10)</f>
        <v>SMr</v>
      </c>
      <c r="H883">
        <v>2</v>
      </c>
      <c r="N883" s="7">
        <v>268</v>
      </c>
      <c r="O883" s="7">
        <v>181</v>
      </c>
    </row>
    <row r="884" spans="1:18" x14ac:dyDescent="0.2">
      <c r="A884">
        <v>883</v>
      </c>
      <c r="B884" s="1">
        <v>40753</v>
      </c>
      <c r="C884" t="s">
        <v>24</v>
      </c>
      <c r="D884" s="7">
        <v>17</v>
      </c>
      <c r="E884" s="7">
        <v>3</v>
      </c>
      <c r="F884" s="7">
        <f t="shared" si="14"/>
        <v>6</v>
      </c>
      <c r="G884" s="7" t="str">
        <f>LOOKUP(H884,[1]startdates!$A$2:$A$10,[1]startdates!$B$2:$B$10)</f>
        <v>SMr</v>
      </c>
      <c r="H884">
        <v>2</v>
      </c>
      <c r="N884" s="7">
        <v>231</v>
      </c>
      <c r="O884" s="7">
        <v>170</v>
      </c>
    </row>
    <row r="885" spans="1:18" x14ac:dyDescent="0.2">
      <c r="A885">
        <v>884</v>
      </c>
      <c r="B885" s="1">
        <v>40753</v>
      </c>
      <c r="C885" t="s">
        <v>24</v>
      </c>
      <c r="D885" s="7">
        <v>17</v>
      </c>
      <c r="E885" s="7">
        <v>3</v>
      </c>
      <c r="F885" s="7">
        <f t="shared" si="14"/>
        <v>6</v>
      </c>
      <c r="G885" s="7" t="str">
        <f>LOOKUP(H885,[1]startdates!$A$2:$A$10,[1]startdates!$B$2:$B$10)</f>
        <v>SMr</v>
      </c>
      <c r="H885">
        <v>2</v>
      </c>
      <c r="N885" s="7">
        <v>205</v>
      </c>
    </row>
    <row r="886" spans="1:18" x14ac:dyDescent="0.2">
      <c r="A886">
        <v>885</v>
      </c>
      <c r="B886" s="1">
        <v>40753</v>
      </c>
      <c r="C886" t="s">
        <v>24</v>
      </c>
      <c r="D886" s="7">
        <v>17</v>
      </c>
      <c r="E886" s="7">
        <v>3</v>
      </c>
      <c r="F886" s="7">
        <f t="shared" si="14"/>
        <v>6</v>
      </c>
      <c r="G886" s="7" t="str">
        <f>LOOKUP(H886,[1]startdates!$A$2:$A$10,[1]startdates!$B$2:$B$10)</f>
        <v>SMr</v>
      </c>
      <c r="H886">
        <v>2</v>
      </c>
      <c r="N886" s="7">
        <v>237</v>
      </c>
    </row>
    <row r="887" spans="1:18" x14ac:dyDescent="0.2">
      <c r="A887">
        <v>886</v>
      </c>
      <c r="B887" s="1">
        <v>40753</v>
      </c>
      <c r="C887" t="s">
        <v>24</v>
      </c>
      <c r="D887" s="7">
        <v>17</v>
      </c>
      <c r="E887" s="7">
        <v>3</v>
      </c>
      <c r="F887" s="7">
        <f t="shared" si="14"/>
        <v>6</v>
      </c>
      <c r="G887" s="7" t="str">
        <f>LOOKUP(H887,[1]startdates!$A$2:$A$10,[1]startdates!$B$2:$B$10)</f>
        <v>SMr</v>
      </c>
      <c r="H887">
        <v>2</v>
      </c>
      <c r="N887" s="7">
        <v>320</v>
      </c>
    </row>
    <row r="888" spans="1:18" x14ac:dyDescent="0.2">
      <c r="A888">
        <v>887</v>
      </c>
      <c r="B888" s="1">
        <v>40753</v>
      </c>
      <c r="C888" t="s">
        <v>24</v>
      </c>
      <c r="D888" s="7">
        <v>17</v>
      </c>
      <c r="E888" s="7">
        <v>3</v>
      </c>
      <c r="F888" s="7">
        <f t="shared" si="14"/>
        <v>6</v>
      </c>
      <c r="G888" s="7" t="str">
        <f>LOOKUP(H888,[1]startdates!$A$2:$A$10,[1]startdates!$B$2:$B$10)</f>
        <v>SMr</v>
      </c>
      <c r="H888">
        <v>2</v>
      </c>
      <c r="N888" s="7">
        <v>233</v>
      </c>
    </row>
    <row r="889" spans="1:18" x14ac:dyDescent="0.2">
      <c r="A889">
        <v>888</v>
      </c>
      <c r="B889" s="1">
        <v>40753</v>
      </c>
      <c r="C889" t="s">
        <v>24</v>
      </c>
      <c r="D889" s="7">
        <v>17</v>
      </c>
      <c r="E889" s="7">
        <v>3</v>
      </c>
      <c r="F889" s="7">
        <f t="shared" si="14"/>
        <v>6</v>
      </c>
      <c r="G889" s="7" t="str">
        <f>LOOKUP(H889,[1]startdates!$A$2:$A$10,[1]startdates!$B$2:$B$10)</f>
        <v>C</v>
      </c>
      <c r="H889">
        <v>3</v>
      </c>
      <c r="I889" s="7">
        <v>375</v>
      </c>
      <c r="K889" s="7">
        <v>587</v>
      </c>
      <c r="L889" s="7">
        <v>420</v>
      </c>
      <c r="M889" s="7">
        <v>391</v>
      </c>
      <c r="N889" s="7">
        <v>224</v>
      </c>
      <c r="O889" s="7">
        <v>140</v>
      </c>
      <c r="P889" s="7">
        <v>524</v>
      </c>
      <c r="Q889" s="7">
        <v>383</v>
      </c>
      <c r="R889" s="7">
        <v>239</v>
      </c>
    </row>
    <row r="890" spans="1:18" x14ac:dyDescent="0.2">
      <c r="A890">
        <v>889</v>
      </c>
      <c r="B890" s="1">
        <v>40753</v>
      </c>
      <c r="C890" t="s">
        <v>24</v>
      </c>
      <c r="D890" s="7">
        <v>17</v>
      </c>
      <c r="E890" s="7">
        <v>3</v>
      </c>
      <c r="F890" s="7">
        <f t="shared" si="14"/>
        <v>6</v>
      </c>
      <c r="G890" s="7" t="str">
        <f>LOOKUP(H890,[1]startdates!$A$2:$A$10,[1]startdates!$B$2:$B$10)</f>
        <v>C</v>
      </c>
      <c r="H890">
        <v>3</v>
      </c>
      <c r="I890" s="7">
        <v>661</v>
      </c>
      <c r="K890" s="7">
        <v>546</v>
      </c>
      <c r="L890" s="7">
        <v>464</v>
      </c>
      <c r="M890" s="7">
        <v>390</v>
      </c>
      <c r="N890" s="7">
        <v>224</v>
      </c>
      <c r="O890" s="7">
        <v>160</v>
      </c>
      <c r="P890" s="7">
        <v>549</v>
      </c>
      <c r="Q890" s="7">
        <v>391</v>
      </c>
      <c r="R890" s="7">
        <v>265</v>
      </c>
    </row>
    <row r="891" spans="1:18" x14ac:dyDescent="0.2">
      <c r="A891">
        <v>890</v>
      </c>
      <c r="B891" s="1">
        <v>40753</v>
      </c>
      <c r="C891" t="s">
        <v>24</v>
      </c>
      <c r="D891" s="7">
        <v>17</v>
      </c>
      <c r="E891" s="7">
        <v>3</v>
      </c>
      <c r="F891" s="7">
        <f t="shared" si="14"/>
        <v>6</v>
      </c>
      <c r="G891" s="7" t="str">
        <f>LOOKUP(H891,[1]startdates!$A$2:$A$10,[1]startdates!$B$2:$B$10)</f>
        <v>C</v>
      </c>
      <c r="H891">
        <v>3</v>
      </c>
      <c r="M891" s="7">
        <v>391</v>
      </c>
      <c r="N891" s="7">
        <v>220</v>
      </c>
      <c r="O891" s="7">
        <v>165</v>
      </c>
    </row>
    <row r="892" spans="1:18" x14ac:dyDescent="0.2">
      <c r="A892">
        <v>891</v>
      </c>
      <c r="B892" s="1">
        <v>40753</v>
      </c>
      <c r="C892" t="s">
        <v>24</v>
      </c>
      <c r="D892" s="7">
        <v>17</v>
      </c>
      <c r="E892" s="7">
        <v>3</v>
      </c>
      <c r="F892" s="7">
        <f t="shared" si="14"/>
        <v>6</v>
      </c>
      <c r="G892" s="7" t="str">
        <f>LOOKUP(H892,[1]startdates!$A$2:$A$10,[1]startdates!$B$2:$B$10)</f>
        <v>C</v>
      </c>
      <c r="H892">
        <v>3</v>
      </c>
      <c r="M892" s="7">
        <v>357</v>
      </c>
      <c r="N892" s="7">
        <v>217</v>
      </c>
      <c r="O892" s="7">
        <v>168</v>
      </c>
    </row>
    <row r="893" spans="1:18" x14ac:dyDescent="0.2">
      <c r="A893">
        <v>892</v>
      </c>
      <c r="B893" s="1">
        <v>40753</v>
      </c>
      <c r="C893" t="s">
        <v>24</v>
      </c>
      <c r="D893" s="7">
        <v>17</v>
      </c>
      <c r="E893" s="7">
        <v>3</v>
      </c>
      <c r="F893" s="7">
        <f t="shared" si="14"/>
        <v>6</v>
      </c>
      <c r="G893" s="7" t="str">
        <f>LOOKUP(H893,[1]startdates!$A$2:$A$10,[1]startdates!$B$2:$B$10)</f>
        <v>C</v>
      </c>
      <c r="H893">
        <v>3</v>
      </c>
      <c r="M893" s="7">
        <v>352</v>
      </c>
      <c r="N893" s="7">
        <v>225</v>
      </c>
      <c r="O893" s="7">
        <v>185</v>
      </c>
    </row>
    <row r="894" spans="1:18" x14ac:dyDescent="0.2">
      <c r="A894">
        <v>893</v>
      </c>
      <c r="B894" s="1">
        <v>40753</v>
      </c>
      <c r="C894" t="s">
        <v>24</v>
      </c>
      <c r="D894" s="7">
        <v>17</v>
      </c>
      <c r="E894" s="7">
        <v>3</v>
      </c>
      <c r="F894" s="7">
        <f t="shared" si="14"/>
        <v>6</v>
      </c>
      <c r="G894" s="7" t="str">
        <f>LOOKUP(H894,[1]startdates!$A$2:$A$10,[1]startdates!$B$2:$B$10)</f>
        <v>C</v>
      </c>
      <c r="H894">
        <v>3</v>
      </c>
      <c r="M894" s="7">
        <v>381</v>
      </c>
      <c r="N894" s="7">
        <v>289</v>
      </c>
    </row>
    <row r="895" spans="1:18" x14ac:dyDescent="0.2">
      <c r="A895">
        <v>894</v>
      </c>
      <c r="B895" s="1">
        <v>40753</v>
      </c>
      <c r="C895" t="s">
        <v>24</v>
      </c>
      <c r="D895" s="7">
        <v>17</v>
      </c>
      <c r="E895" s="7">
        <v>3</v>
      </c>
      <c r="F895" s="7">
        <f t="shared" si="14"/>
        <v>6</v>
      </c>
      <c r="G895" s="7" t="str">
        <f>LOOKUP(H895,[1]startdates!$A$2:$A$10,[1]startdates!$B$2:$B$10)</f>
        <v>C</v>
      </c>
      <c r="H895">
        <v>3</v>
      </c>
      <c r="M895" s="7">
        <v>365</v>
      </c>
      <c r="N895" s="7">
        <v>202</v>
      </c>
    </row>
    <row r="896" spans="1:18" x14ac:dyDescent="0.2">
      <c r="A896">
        <v>895</v>
      </c>
      <c r="B896" s="1">
        <v>40753</v>
      </c>
      <c r="C896" t="s">
        <v>24</v>
      </c>
      <c r="D896" s="7">
        <v>17</v>
      </c>
      <c r="E896" s="7">
        <v>3</v>
      </c>
      <c r="F896" s="7">
        <f t="shared" si="14"/>
        <v>6</v>
      </c>
      <c r="G896" s="7" t="str">
        <f>LOOKUP(H896,[1]startdates!$A$2:$A$10,[1]startdates!$B$2:$B$10)</f>
        <v>C</v>
      </c>
      <c r="H896">
        <v>3</v>
      </c>
      <c r="N896" s="7">
        <v>180</v>
      </c>
    </row>
    <row r="897" spans="1:16" x14ac:dyDescent="0.2">
      <c r="A897">
        <v>896</v>
      </c>
      <c r="B897" s="1">
        <v>40753</v>
      </c>
      <c r="C897" t="s">
        <v>24</v>
      </c>
      <c r="D897" s="7">
        <v>17</v>
      </c>
      <c r="E897" s="7">
        <v>3</v>
      </c>
      <c r="F897" s="7">
        <f t="shared" si="14"/>
        <v>6</v>
      </c>
      <c r="G897" s="7" t="str">
        <f>LOOKUP(H897,[1]startdates!$A$2:$A$10,[1]startdates!$B$2:$B$10)</f>
        <v>C</v>
      </c>
      <c r="H897">
        <v>3</v>
      </c>
      <c r="N897" s="7">
        <v>250</v>
      </c>
    </row>
    <row r="898" spans="1:16" x14ac:dyDescent="0.2">
      <c r="A898">
        <v>897</v>
      </c>
      <c r="B898" s="1">
        <v>40753</v>
      </c>
      <c r="C898" t="s">
        <v>24</v>
      </c>
      <c r="D898" s="7">
        <v>17</v>
      </c>
      <c r="E898" s="7">
        <v>3</v>
      </c>
      <c r="F898" s="7">
        <f t="shared" si="14"/>
        <v>6</v>
      </c>
      <c r="G898" s="7" t="str">
        <f>LOOKUP(H898,[1]startdates!$A$2:$A$10,[1]startdates!$B$2:$B$10)</f>
        <v>C</v>
      </c>
      <c r="H898">
        <v>3</v>
      </c>
      <c r="N898" s="7">
        <v>231</v>
      </c>
    </row>
    <row r="899" spans="1:16" x14ac:dyDescent="0.2">
      <c r="A899">
        <v>898</v>
      </c>
      <c r="B899" s="1">
        <v>40753</v>
      </c>
      <c r="C899" t="s">
        <v>24</v>
      </c>
      <c r="D899" s="7">
        <v>17</v>
      </c>
      <c r="E899" s="7">
        <v>3</v>
      </c>
      <c r="F899" s="7">
        <f t="shared" si="14"/>
        <v>6</v>
      </c>
      <c r="G899" s="7" t="str">
        <f>LOOKUP(H899,[1]startdates!$A$2:$A$10,[1]startdates!$B$2:$B$10)</f>
        <v>C</v>
      </c>
      <c r="H899">
        <v>3</v>
      </c>
      <c r="N899" s="7">
        <v>223</v>
      </c>
    </row>
    <row r="900" spans="1:16" x14ac:dyDescent="0.2">
      <c r="A900">
        <v>899</v>
      </c>
      <c r="B900" s="1">
        <v>40753</v>
      </c>
      <c r="C900" t="s">
        <v>24</v>
      </c>
      <c r="D900" s="7">
        <v>17</v>
      </c>
      <c r="E900" s="7">
        <v>3</v>
      </c>
      <c r="F900" s="7">
        <f t="shared" si="14"/>
        <v>6</v>
      </c>
      <c r="G900" s="7" t="str">
        <f>LOOKUP(H900,[1]startdates!$A$2:$A$10,[1]startdates!$B$2:$B$10)</f>
        <v>C</v>
      </c>
      <c r="H900">
        <v>3</v>
      </c>
      <c r="N900" s="7">
        <v>182</v>
      </c>
    </row>
    <row r="901" spans="1:16" x14ac:dyDescent="0.2">
      <c r="A901">
        <v>900</v>
      </c>
      <c r="B901" s="1">
        <v>40753</v>
      </c>
      <c r="C901" t="s">
        <v>24</v>
      </c>
      <c r="D901" s="7">
        <v>17</v>
      </c>
      <c r="E901" s="7">
        <v>3</v>
      </c>
      <c r="F901" s="7">
        <f t="shared" si="14"/>
        <v>6</v>
      </c>
      <c r="G901" s="7" t="str">
        <f>LOOKUP(H901,[1]startdates!$A$2:$A$10,[1]startdates!$B$2:$B$10)</f>
        <v>C</v>
      </c>
      <c r="H901">
        <v>3</v>
      </c>
      <c r="N901" s="7">
        <v>259</v>
      </c>
    </row>
    <row r="902" spans="1:16" x14ac:dyDescent="0.2">
      <c r="A902">
        <v>901</v>
      </c>
      <c r="B902" s="1">
        <v>40753</v>
      </c>
      <c r="C902" t="s">
        <v>24</v>
      </c>
      <c r="D902" s="7">
        <v>17</v>
      </c>
      <c r="E902" s="7">
        <v>3</v>
      </c>
      <c r="F902" s="7">
        <f t="shared" si="14"/>
        <v>6</v>
      </c>
      <c r="G902" s="7" t="str">
        <f>LOOKUP(H902,[1]startdates!$A$2:$A$10,[1]startdates!$B$2:$B$10)</f>
        <v>C</v>
      </c>
      <c r="H902">
        <v>3</v>
      </c>
      <c r="N902" s="7">
        <v>236</v>
      </c>
    </row>
    <row r="903" spans="1:16" x14ac:dyDescent="0.2">
      <c r="A903">
        <v>902</v>
      </c>
      <c r="B903" s="1">
        <v>40753</v>
      </c>
      <c r="C903" t="s">
        <v>24</v>
      </c>
      <c r="D903" s="7">
        <v>17</v>
      </c>
      <c r="E903" s="7">
        <v>3</v>
      </c>
      <c r="F903" s="7">
        <f t="shared" si="14"/>
        <v>6</v>
      </c>
      <c r="G903" s="7" t="str">
        <f>LOOKUP(H903,[1]startdates!$A$2:$A$10,[1]startdates!$B$2:$B$10)</f>
        <v>C</v>
      </c>
      <c r="H903">
        <v>3</v>
      </c>
      <c r="N903" s="7">
        <v>182</v>
      </c>
    </row>
    <row r="904" spans="1:16" x14ac:dyDescent="0.2">
      <c r="A904">
        <v>903</v>
      </c>
      <c r="B904" s="1">
        <v>40753</v>
      </c>
      <c r="C904" t="s">
        <v>24</v>
      </c>
      <c r="D904" s="7">
        <v>17</v>
      </c>
      <c r="E904" s="7">
        <v>3</v>
      </c>
      <c r="F904" s="7">
        <f t="shared" si="14"/>
        <v>6</v>
      </c>
      <c r="G904" s="7" t="str">
        <f>LOOKUP(H904,[1]startdates!$A$2:$A$10,[1]startdates!$B$2:$B$10)</f>
        <v>SMr</v>
      </c>
      <c r="H904">
        <v>4</v>
      </c>
      <c r="I904" s="7">
        <v>619</v>
      </c>
      <c r="K904" s="7">
        <v>586</v>
      </c>
      <c r="L904" s="7">
        <v>411</v>
      </c>
      <c r="M904" s="7">
        <v>334</v>
      </c>
      <c r="N904" s="7">
        <v>181</v>
      </c>
      <c r="O904" s="7">
        <v>167</v>
      </c>
      <c r="P904" s="7">
        <v>538</v>
      </c>
    </row>
    <row r="905" spans="1:16" x14ac:dyDescent="0.2">
      <c r="A905">
        <v>904</v>
      </c>
      <c r="B905" s="1">
        <v>40753</v>
      </c>
      <c r="C905" t="s">
        <v>24</v>
      </c>
      <c r="D905" s="7">
        <v>17</v>
      </c>
      <c r="E905" s="7">
        <v>3</v>
      </c>
      <c r="F905" s="7">
        <f t="shared" si="14"/>
        <v>6</v>
      </c>
      <c r="G905" s="7" t="str">
        <f>LOOKUP(H905,[1]startdates!$A$2:$A$10,[1]startdates!$B$2:$B$10)</f>
        <v>SMr</v>
      </c>
      <c r="H905">
        <v>4</v>
      </c>
      <c r="I905" s="7">
        <v>689</v>
      </c>
      <c r="L905" s="7">
        <v>493</v>
      </c>
      <c r="M905" s="7">
        <v>279</v>
      </c>
      <c r="N905" s="7">
        <v>244</v>
      </c>
      <c r="O905" s="7">
        <v>180</v>
      </c>
    </row>
    <row r="906" spans="1:16" x14ac:dyDescent="0.2">
      <c r="A906">
        <v>905</v>
      </c>
      <c r="B906" s="1">
        <v>40753</v>
      </c>
      <c r="C906" t="s">
        <v>24</v>
      </c>
      <c r="D906" s="7">
        <v>17</v>
      </c>
      <c r="E906" s="7">
        <v>3</v>
      </c>
      <c r="F906" s="7">
        <f t="shared" si="14"/>
        <v>6</v>
      </c>
      <c r="G906" s="7" t="str">
        <f>LOOKUP(H906,[1]startdates!$A$2:$A$10,[1]startdates!$B$2:$B$10)</f>
        <v>SMr</v>
      </c>
      <c r="H906">
        <v>4</v>
      </c>
      <c r="I906" s="7">
        <v>671</v>
      </c>
      <c r="L906" s="7">
        <v>473</v>
      </c>
      <c r="M906" s="7">
        <v>327</v>
      </c>
      <c r="N906" s="7">
        <v>184</v>
      </c>
      <c r="O906" s="7">
        <v>177</v>
      </c>
    </row>
    <row r="907" spans="1:16" x14ac:dyDescent="0.2">
      <c r="A907">
        <v>906</v>
      </c>
      <c r="B907" s="1">
        <v>40753</v>
      </c>
      <c r="C907" t="s">
        <v>24</v>
      </c>
      <c r="D907" s="7">
        <v>17</v>
      </c>
      <c r="E907" s="7">
        <v>3</v>
      </c>
      <c r="F907" s="7">
        <f t="shared" si="14"/>
        <v>6</v>
      </c>
      <c r="G907" s="7" t="str">
        <f>LOOKUP(H907,[1]startdates!$A$2:$A$10,[1]startdates!$B$2:$B$10)</f>
        <v>SMr</v>
      </c>
      <c r="H907">
        <v>4</v>
      </c>
      <c r="L907" s="7">
        <v>447</v>
      </c>
      <c r="M907" s="7">
        <v>378</v>
      </c>
      <c r="N907" s="7">
        <v>205</v>
      </c>
      <c r="O907" s="7">
        <v>167</v>
      </c>
    </row>
    <row r="908" spans="1:16" x14ac:dyDescent="0.2">
      <c r="A908">
        <v>907</v>
      </c>
      <c r="B908" s="1">
        <v>40753</v>
      </c>
      <c r="C908" t="s">
        <v>24</v>
      </c>
      <c r="D908" s="7">
        <v>17</v>
      </c>
      <c r="E908" s="7">
        <v>3</v>
      </c>
      <c r="F908" s="7">
        <f t="shared" si="14"/>
        <v>6</v>
      </c>
      <c r="G908" s="7" t="str">
        <f>LOOKUP(H908,[1]startdates!$A$2:$A$10,[1]startdates!$B$2:$B$10)</f>
        <v>SMr</v>
      </c>
      <c r="H908">
        <v>4</v>
      </c>
      <c r="M908" s="7">
        <v>374</v>
      </c>
      <c r="N908" s="7">
        <v>265</v>
      </c>
      <c r="O908" s="7">
        <v>162</v>
      </c>
    </row>
    <row r="909" spans="1:16" x14ac:dyDescent="0.2">
      <c r="A909">
        <v>908</v>
      </c>
      <c r="B909" s="1">
        <v>40753</v>
      </c>
      <c r="C909" t="s">
        <v>24</v>
      </c>
      <c r="D909" s="7">
        <v>17</v>
      </c>
      <c r="E909" s="7">
        <v>3</v>
      </c>
      <c r="F909" s="7">
        <f t="shared" si="14"/>
        <v>6</v>
      </c>
      <c r="G909" s="7" t="str">
        <f>LOOKUP(H909,[1]startdates!$A$2:$A$10,[1]startdates!$B$2:$B$10)</f>
        <v>SMr</v>
      </c>
      <c r="H909">
        <v>4</v>
      </c>
      <c r="M909" s="7">
        <v>331</v>
      </c>
      <c r="N909" s="7">
        <v>224</v>
      </c>
      <c r="O909" s="7">
        <v>171</v>
      </c>
    </row>
    <row r="910" spans="1:16" x14ac:dyDescent="0.2">
      <c r="A910">
        <v>909</v>
      </c>
      <c r="B910" s="1">
        <v>40753</v>
      </c>
      <c r="C910" t="s">
        <v>24</v>
      </c>
      <c r="D910" s="7">
        <v>17</v>
      </c>
      <c r="E910" s="7">
        <v>3</v>
      </c>
      <c r="F910" s="7">
        <f t="shared" si="14"/>
        <v>6</v>
      </c>
      <c r="G910" s="7" t="str">
        <f>LOOKUP(H910,[1]startdates!$A$2:$A$10,[1]startdates!$B$2:$B$10)</f>
        <v>SMr</v>
      </c>
      <c r="H910">
        <v>4</v>
      </c>
      <c r="N910" s="7">
        <v>269</v>
      </c>
      <c r="O910" s="7">
        <v>173</v>
      </c>
    </row>
    <row r="911" spans="1:16" x14ac:dyDescent="0.2">
      <c r="A911">
        <v>910</v>
      </c>
      <c r="B911" s="1">
        <v>40753</v>
      </c>
      <c r="C911" t="s">
        <v>24</v>
      </c>
      <c r="D911" s="7">
        <v>17</v>
      </c>
      <c r="E911" s="7">
        <v>3</v>
      </c>
      <c r="F911" s="7">
        <f t="shared" si="14"/>
        <v>6</v>
      </c>
      <c r="G911" s="7" t="str">
        <f>LOOKUP(H911,[1]startdates!$A$2:$A$10,[1]startdates!$B$2:$B$10)</f>
        <v>SMr</v>
      </c>
      <c r="H911">
        <v>4</v>
      </c>
      <c r="N911" s="7">
        <v>197</v>
      </c>
      <c r="O911" s="7">
        <v>179</v>
      </c>
    </row>
    <row r="912" spans="1:16" x14ac:dyDescent="0.2">
      <c r="A912">
        <v>911</v>
      </c>
      <c r="B912" s="1">
        <v>40753</v>
      </c>
      <c r="C912" t="s">
        <v>24</v>
      </c>
      <c r="D912" s="7">
        <v>17</v>
      </c>
      <c r="E912" s="7">
        <v>3</v>
      </c>
      <c r="F912" s="7">
        <f t="shared" si="14"/>
        <v>6</v>
      </c>
      <c r="G912" s="7" t="str">
        <f>LOOKUP(H912,[1]startdates!$A$2:$A$10,[1]startdates!$B$2:$B$10)</f>
        <v>SMr</v>
      </c>
      <c r="H912">
        <v>4</v>
      </c>
      <c r="N912" s="7">
        <v>205</v>
      </c>
      <c r="O912" s="7">
        <v>183</v>
      </c>
    </row>
    <row r="913" spans="1:18" x14ac:dyDescent="0.2">
      <c r="A913">
        <v>912</v>
      </c>
      <c r="B913" s="1">
        <v>40753</v>
      </c>
      <c r="C913" t="s">
        <v>24</v>
      </c>
      <c r="D913" s="7">
        <v>17</v>
      </c>
      <c r="E913" s="7">
        <v>3</v>
      </c>
      <c r="F913" s="7">
        <f t="shared" si="14"/>
        <v>6</v>
      </c>
      <c r="G913" s="7" t="str">
        <f>LOOKUP(H913,[1]startdates!$A$2:$A$10,[1]startdates!$B$2:$B$10)</f>
        <v>SMr</v>
      </c>
      <c r="H913">
        <v>4</v>
      </c>
      <c r="N913" s="7">
        <v>245</v>
      </c>
      <c r="O913" s="7">
        <v>167</v>
      </c>
    </row>
    <row r="914" spans="1:18" x14ac:dyDescent="0.2">
      <c r="A914">
        <v>913</v>
      </c>
      <c r="B914" s="1">
        <v>40753</v>
      </c>
      <c r="C914" t="s">
        <v>24</v>
      </c>
      <c r="D914" s="7">
        <v>17</v>
      </c>
      <c r="E914" s="7">
        <v>3</v>
      </c>
      <c r="F914" s="7">
        <f t="shared" si="14"/>
        <v>6</v>
      </c>
      <c r="G914" s="7" t="str">
        <f>LOOKUP(H914,[1]startdates!$A$2:$A$10,[1]startdates!$B$2:$B$10)</f>
        <v>SMr</v>
      </c>
      <c r="H914">
        <v>4</v>
      </c>
      <c r="N914" s="7">
        <v>227</v>
      </c>
      <c r="O914" s="7">
        <v>175</v>
      </c>
    </row>
    <row r="915" spans="1:18" x14ac:dyDescent="0.2">
      <c r="A915">
        <v>914</v>
      </c>
      <c r="B915" s="1">
        <v>40753</v>
      </c>
      <c r="C915" t="s">
        <v>24</v>
      </c>
      <c r="D915" s="7">
        <v>17</v>
      </c>
      <c r="E915" s="7">
        <v>3</v>
      </c>
      <c r="F915" s="7">
        <f t="shared" si="14"/>
        <v>6</v>
      </c>
      <c r="G915" s="7" t="str">
        <f>LOOKUP(H915,[1]startdates!$A$2:$A$10,[1]startdates!$B$2:$B$10)</f>
        <v>SMr</v>
      </c>
      <c r="H915">
        <v>4</v>
      </c>
      <c r="N915" s="7">
        <v>256</v>
      </c>
      <c r="O915" s="7">
        <v>169</v>
      </c>
    </row>
    <row r="916" spans="1:18" x14ac:dyDescent="0.2">
      <c r="A916">
        <v>915</v>
      </c>
      <c r="B916" s="1">
        <v>40753</v>
      </c>
      <c r="C916" t="s">
        <v>24</v>
      </c>
      <c r="D916" s="7">
        <v>17</v>
      </c>
      <c r="E916" s="7">
        <v>3</v>
      </c>
      <c r="F916" s="7">
        <f t="shared" si="14"/>
        <v>6</v>
      </c>
      <c r="G916" s="7" t="str">
        <f>LOOKUP(H916,[1]startdates!$A$2:$A$10,[1]startdates!$B$2:$B$10)</f>
        <v>SMr</v>
      </c>
      <c r="H916">
        <v>4</v>
      </c>
      <c r="N916" s="7">
        <v>282</v>
      </c>
      <c r="O916" s="7">
        <v>157</v>
      </c>
    </row>
    <row r="917" spans="1:18" x14ac:dyDescent="0.2">
      <c r="A917">
        <v>916</v>
      </c>
      <c r="B917" s="1">
        <v>40753</v>
      </c>
      <c r="C917" t="s">
        <v>24</v>
      </c>
      <c r="D917" s="7">
        <v>17</v>
      </c>
      <c r="E917" s="7">
        <v>3</v>
      </c>
      <c r="F917" s="7">
        <f t="shared" si="14"/>
        <v>6</v>
      </c>
      <c r="G917" s="7" t="str">
        <f>LOOKUP(H917,[1]startdates!$A$2:$A$10,[1]startdates!$B$2:$B$10)</f>
        <v>SMr</v>
      </c>
      <c r="H917">
        <v>4</v>
      </c>
      <c r="O917" s="7">
        <v>171</v>
      </c>
    </row>
    <row r="918" spans="1:18" x14ac:dyDescent="0.2">
      <c r="A918">
        <v>917</v>
      </c>
      <c r="B918" s="1">
        <v>40753</v>
      </c>
      <c r="C918" t="s">
        <v>24</v>
      </c>
      <c r="D918" s="7">
        <v>17</v>
      </c>
      <c r="E918" s="7">
        <v>3</v>
      </c>
      <c r="F918" s="7">
        <f t="shared" si="14"/>
        <v>6</v>
      </c>
      <c r="G918" s="7" t="str">
        <f>LOOKUP(H918,[1]startdates!$A$2:$A$10,[1]startdates!$B$2:$B$10)</f>
        <v>SMr</v>
      </c>
      <c r="H918">
        <v>4</v>
      </c>
      <c r="O918" s="7">
        <v>161</v>
      </c>
    </row>
    <row r="919" spans="1:18" x14ac:dyDescent="0.2">
      <c r="A919">
        <v>918</v>
      </c>
      <c r="B919" s="1">
        <v>40753</v>
      </c>
      <c r="C919" t="s">
        <v>24</v>
      </c>
      <c r="D919" s="7">
        <v>17</v>
      </c>
      <c r="E919" s="7">
        <v>3</v>
      </c>
      <c r="F919" s="7">
        <f t="shared" si="14"/>
        <v>6</v>
      </c>
      <c r="G919" s="7" t="str">
        <f>LOOKUP(H919,[1]startdates!$A$2:$A$10,[1]startdates!$B$2:$B$10)</f>
        <v>SMr</v>
      </c>
      <c r="H919">
        <v>4</v>
      </c>
      <c r="O919" s="7">
        <v>178</v>
      </c>
    </row>
    <row r="920" spans="1:18" x14ac:dyDescent="0.2">
      <c r="A920">
        <v>919</v>
      </c>
      <c r="B920" s="1">
        <v>40753</v>
      </c>
      <c r="C920" t="s">
        <v>24</v>
      </c>
      <c r="D920" s="7">
        <v>17</v>
      </c>
      <c r="E920" s="7">
        <v>3</v>
      </c>
      <c r="F920" s="7">
        <f t="shared" si="14"/>
        <v>6</v>
      </c>
      <c r="G920" s="7" t="str">
        <f>LOOKUP(H920,[1]startdates!$A$2:$A$10,[1]startdates!$B$2:$B$10)</f>
        <v>SMr</v>
      </c>
      <c r="H920">
        <v>4</v>
      </c>
      <c r="O920" s="7">
        <v>182</v>
      </c>
    </row>
    <row r="921" spans="1:18" x14ac:dyDescent="0.2">
      <c r="A921">
        <v>920</v>
      </c>
      <c r="B921" s="1">
        <v>40753</v>
      </c>
      <c r="C921" t="s">
        <v>24</v>
      </c>
      <c r="D921" s="7">
        <v>17</v>
      </c>
      <c r="E921" s="7">
        <v>3</v>
      </c>
      <c r="F921" s="7">
        <f t="shared" si="14"/>
        <v>6</v>
      </c>
      <c r="G921" s="7" t="str">
        <f>LOOKUP(H921,[1]startdates!$A$2:$A$10,[1]startdates!$B$2:$B$10)</f>
        <v>SMr</v>
      </c>
      <c r="H921">
        <v>4</v>
      </c>
      <c r="O921" s="7">
        <v>160</v>
      </c>
    </row>
    <row r="922" spans="1:18" x14ac:dyDescent="0.2">
      <c r="A922">
        <v>921</v>
      </c>
      <c r="B922" s="1">
        <v>40753</v>
      </c>
      <c r="C922" t="s">
        <v>24</v>
      </c>
      <c r="D922" s="7">
        <v>17</v>
      </c>
      <c r="E922" s="7">
        <v>3</v>
      </c>
      <c r="F922" s="7">
        <f t="shared" si="14"/>
        <v>6</v>
      </c>
      <c r="G922" s="7" t="str">
        <f>LOOKUP(H922,[1]startdates!$A$2:$A$10,[1]startdates!$B$2:$B$10)</f>
        <v>C</v>
      </c>
      <c r="H922">
        <v>5</v>
      </c>
      <c r="I922" s="7">
        <v>624</v>
      </c>
      <c r="J922" s="7">
        <v>512</v>
      </c>
      <c r="K922" s="7">
        <v>447</v>
      </c>
      <c r="L922" s="7">
        <v>506</v>
      </c>
      <c r="M922" s="7">
        <v>294</v>
      </c>
      <c r="N922" s="7">
        <v>183</v>
      </c>
      <c r="O922" s="7">
        <v>163</v>
      </c>
      <c r="P922" s="7">
        <v>501</v>
      </c>
      <c r="R922" s="7">
        <v>270</v>
      </c>
    </row>
    <row r="923" spans="1:18" x14ac:dyDescent="0.2">
      <c r="A923">
        <v>922</v>
      </c>
      <c r="B923" s="1">
        <v>40753</v>
      </c>
      <c r="C923" t="s">
        <v>24</v>
      </c>
      <c r="D923" s="7">
        <v>17</v>
      </c>
      <c r="E923" s="7">
        <v>3</v>
      </c>
      <c r="F923" s="7">
        <f t="shared" si="14"/>
        <v>6</v>
      </c>
      <c r="G923" s="7" t="str">
        <f>LOOKUP(H923,[1]startdates!$A$2:$A$10,[1]startdates!$B$2:$B$10)</f>
        <v>C</v>
      </c>
      <c r="H923">
        <v>5</v>
      </c>
      <c r="I923" s="7">
        <v>704</v>
      </c>
      <c r="K923" s="7">
        <v>513</v>
      </c>
      <c r="L923" s="7">
        <v>510</v>
      </c>
      <c r="M923" s="7">
        <v>322</v>
      </c>
      <c r="N923" s="7">
        <v>228</v>
      </c>
      <c r="O923" s="7">
        <v>160</v>
      </c>
    </row>
    <row r="924" spans="1:18" x14ac:dyDescent="0.2">
      <c r="A924">
        <v>923</v>
      </c>
      <c r="B924" s="1">
        <v>40753</v>
      </c>
      <c r="C924" t="s">
        <v>24</v>
      </c>
      <c r="D924" s="7">
        <v>17</v>
      </c>
      <c r="E924" s="7">
        <v>3</v>
      </c>
      <c r="F924" s="7">
        <f t="shared" si="14"/>
        <v>6</v>
      </c>
      <c r="G924" s="7" t="str">
        <f>LOOKUP(H924,[1]startdates!$A$2:$A$10,[1]startdates!$B$2:$B$10)</f>
        <v>C</v>
      </c>
      <c r="H924">
        <v>5</v>
      </c>
      <c r="I924" s="7">
        <v>612</v>
      </c>
      <c r="K924" s="7">
        <v>535</v>
      </c>
      <c r="L924" s="7">
        <v>501</v>
      </c>
      <c r="M924" s="7">
        <v>380</v>
      </c>
      <c r="N924" s="7">
        <v>156</v>
      </c>
      <c r="O924" s="7">
        <v>170</v>
      </c>
    </row>
    <row r="925" spans="1:18" x14ac:dyDescent="0.2">
      <c r="A925">
        <v>924</v>
      </c>
      <c r="B925" s="1">
        <v>40753</v>
      </c>
      <c r="C925" t="s">
        <v>24</v>
      </c>
      <c r="D925" s="7">
        <v>17</v>
      </c>
      <c r="E925" s="7">
        <v>3</v>
      </c>
      <c r="F925" s="7">
        <f t="shared" si="14"/>
        <v>6</v>
      </c>
      <c r="G925" s="7" t="str">
        <f>LOOKUP(H925,[1]startdates!$A$2:$A$10,[1]startdates!$B$2:$B$10)</f>
        <v>C</v>
      </c>
      <c r="H925">
        <v>5</v>
      </c>
      <c r="I925" s="7">
        <v>615</v>
      </c>
      <c r="K925" s="7">
        <v>597</v>
      </c>
      <c r="L925" s="7">
        <v>498</v>
      </c>
      <c r="M925" s="7">
        <v>330</v>
      </c>
      <c r="N925" s="7">
        <v>236</v>
      </c>
      <c r="O925" s="7">
        <v>170</v>
      </c>
    </row>
    <row r="926" spans="1:18" x14ac:dyDescent="0.2">
      <c r="A926">
        <v>925</v>
      </c>
      <c r="B926" s="1">
        <v>40753</v>
      </c>
      <c r="C926" t="s">
        <v>24</v>
      </c>
      <c r="D926" s="7">
        <v>17</v>
      </c>
      <c r="E926" s="7">
        <v>3</v>
      </c>
      <c r="F926" s="7">
        <f t="shared" si="14"/>
        <v>6</v>
      </c>
      <c r="G926" s="7" t="str">
        <f>LOOKUP(H926,[1]startdates!$A$2:$A$10,[1]startdates!$B$2:$B$10)</f>
        <v>C</v>
      </c>
      <c r="H926">
        <v>5</v>
      </c>
      <c r="I926" s="7">
        <v>713</v>
      </c>
      <c r="M926" s="7">
        <v>165</v>
      </c>
      <c r="N926" s="7">
        <v>224</v>
      </c>
      <c r="O926" s="7">
        <v>156</v>
      </c>
    </row>
    <row r="927" spans="1:18" x14ac:dyDescent="0.2">
      <c r="A927">
        <v>926</v>
      </c>
      <c r="B927" s="1">
        <v>40753</v>
      </c>
      <c r="C927" t="s">
        <v>24</v>
      </c>
      <c r="D927" s="7">
        <v>17</v>
      </c>
      <c r="E927" s="7">
        <v>3</v>
      </c>
      <c r="F927" s="7">
        <f t="shared" si="14"/>
        <v>6</v>
      </c>
      <c r="G927" s="7" t="str">
        <f>LOOKUP(H927,[1]startdates!$A$2:$A$10,[1]startdates!$B$2:$B$10)</f>
        <v>C</v>
      </c>
      <c r="H927">
        <v>5</v>
      </c>
      <c r="I927" s="7">
        <v>624</v>
      </c>
      <c r="M927" s="7">
        <v>363</v>
      </c>
      <c r="N927" s="7">
        <v>225</v>
      </c>
      <c r="O927" s="7">
        <v>163</v>
      </c>
    </row>
    <row r="928" spans="1:18" x14ac:dyDescent="0.2">
      <c r="A928">
        <v>927</v>
      </c>
      <c r="B928" s="1">
        <v>40753</v>
      </c>
      <c r="C928" t="s">
        <v>24</v>
      </c>
      <c r="D928" s="7">
        <v>17</v>
      </c>
      <c r="E928" s="7">
        <v>3</v>
      </c>
      <c r="F928" s="7">
        <f t="shared" si="14"/>
        <v>6</v>
      </c>
      <c r="G928" s="7" t="str">
        <f>LOOKUP(H928,[1]startdates!$A$2:$A$10,[1]startdates!$B$2:$B$10)</f>
        <v>C</v>
      </c>
      <c r="H928">
        <v>5</v>
      </c>
      <c r="M928" s="7">
        <v>315</v>
      </c>
      <c r="N928" s="7">
        <v>255</v>
      </c>
      <c r="O928" s="7">
        <v>173</v>
      </c>
    </row>
    <row r="929" spans="1:17" x14ac:dyDescent="0.2">
      <c r="A929">
        <v>928</v>
      </c>
      <c r="B929" s="1">
        <v>40753</v>
      </c>
      <c r="C929" t="s">
        <v>24</v>
      </c>
      <c r="D929" s="7">
        <v>17</v>
      </c>
      <c r="E929" s="7">
        <v>3</v>
      </c>
      <c r="F929" s="7">
        <f t="shared" si="14"/>
        <v>6</v>
      </c>
      <c r="G929" s="7" t="str">
        <f>LOOKUP(H929,[1]startdates!$A$2:$A$10,[1]startdates!$B$2:$B$10)</f>
        <v>C</v>
      </c>
      <c r="H929">
        <v>5</v>
      </c>
      <c r="M929" s="7">
        <v>393</v>
      </c>
      <c r="O929" s="7">
        <v>163</v>
      </c>
    </row>
    <row r="930" spans="1:17" x14ac:dyDescent="0.2">
      <c r="A930">
        <v>929</v>
      </c>
      <c r="B930" s="1">
        <v>40753</v>
      </c>
      <c r="C930" t="s">
        <v>24</v>
      </c>
      <c r="D930" s="7">
        <v>17</v>
      </c>
      <c r="E930" s="7">
        <v>3</v>
      </c>
      <c r="F930" s="7">
        <f t="shared" si="14"/>
        <v>6</v>
      </c>
      <c r="G930" s="7" t="str">
        <f>LOOKUP(H930,[1]startdates!$A$2:$A$10,[1]startdates!$B$2:$B$10)</f>
        <v>C</v>
      </c>
      <c r="H930">
        <v>5</v>
      </c>
      <c r="M930" s="7">
        <v>254</v>
      </c>
      <c r="O930" s="7">
        <v>157</v>
      </c>
    </row>
    <row r="931" spans="1:17" x14ac:dyDescent="0.2">
      <c r="A931">
        <v>930</v>
      </c>
      <c r="B931" s="1">
        <v>40753</v>
      </c>
      <c r="C931" t="s">
        <v>24</v>
      </c>
      <c r="D931" s="7">
        <v>17</v>
      </c>
      <c r="E931" s="7">
        <v>3</v>
      </c>
      <c r="F931" s="7">
        <f t="shared" si="14"/>
        <v>6</v>
      </c>
      <c r="G931" s="7" t="str">
        <f>LOOKUP(H931,[1]startdates!$A$2:$A$10,[1]startdates!$B$2:$B$10)</f>
        <v>C</v>
      </c>
      <c r="H931">
        <v>5</v>
      </c>
      <c r="M931" s="7">
        <v>309</v>
      </c>
      <c r="O931" s="7">
        <v>171</v>
      </c>
    </row>
    <row r="932" spans="1:17" x14ac:dyDescent="0.2">
      <c r="A932">
        <v>931</v>
      </c>
      <c r="B932" s="1">
        <v>40753</v>
      </c>
      <c r="C932" t="s">
        <v>24</v>
      </c>
      <c r="D932" s="7">
        <v>17</v>
      </c>
      <c r="E932" s="7">
        <v>3</v>
      </c>
      <c r="F932" s="7">
        <f t="shared" si="14"/>
        <v>6</v>
      </c>
      <c r="G932" s="7" t="str">
        <f>LOOKUP(H932,[1]startdates!$A$2:$A$10,[1]startdates!$B$2:$B$10)</f>
        <v>C</v>
      </c>
      <c r="H932">
        <v>5</v>
      </c>
      <c r="M932" s="7">
        <v>356</v>
      </c>
      <c r="O932" s="7">
        <v>170</v>
      </c>
    </row>
    <row r="933" spans="1:17" x14ac:dyDescent="0.2">
      <c r="A933">
        <v>932</v>
      </c>
      <c r="B933" s="1">
        <v>40753</v>
      </c>
      <c r="C933" t="s">
        <v>24</v>
      </c>
      <c r="D933" s="7">
        <v>17</v>
      </c>
      <c r="E933" s="7">
        <v>3</v>
      </c>
      <c r="F933" s="7">
        <f t="shared" si="14"/>
        <v>6</v>
      </c>
      <c r="G933" s="7" t="str">
        <f>LOOKUP(H933,[1]startdates!$A$2:$A$10,[1]startdates!$B$2:$B$10)</f>
        <v>C</v>
      </c>
      <c r="H933">
        <v>5</v>
      </c>
      <c r="O933" s="7">
        <v>152</v>
      </c>
    </row>
    <row r="934" spans="1:17" x14ac:dyDescent="0.2">
      <c r="A934">
        <v>933</v>
      </c>
      <c r="B934" s="1">
        <v>40753</v>
      </c>
      <c r="C934" t="s">
        <v>24</v>
      </c>
      <c r="D934" s="7">
        <v>17</v>
      </c>
      <c r="E934" s="7">
        <v>3</v>
      </c>
      <c r="F934" s="7">
        <f t="shared" si="14"/>
        <v>6</v>
      </c>
      <c r="G934" s="7" t="str">
        <f>LOOKUP(H934,[1]startdates!$A$2:$A$10,[1]startdates!$B$2:$B$10)</f>
        <v>C</v>
      </c>
      <c r="H934">
        <v>5</v>
      </c>
      <c r="O934" s="7">
        <v>149</v>
      </c>
    </row>
    <row r="935" spans="1:17" x14ac:dyDescent="0.2">
      <c r="A935">
        <v>934</v>
      </c>
      <c r="B935" s="1">
        <v>40753</v>
      </c>
      <c r="C935" t="s">
        <v>24</v>
      </c>
      <c r="D935" s="7">
        <v>17</v>
      </c>
      <c r="E935" s="7">
        <v>3</v>
      </c>
      <c r="F935" s="7">
        <f t="shared" si="14"/>
        <v>6</v>
      </c>
      <c r="G935" s="7" t="str">
        <f>LOOKUP(H935,[1]startdates!$A$2:$A$10,[1]startdates!$B$2:$B$10)</f>
        <v>FMr</v>
      </c>
      <c r="H935">
        <v>6</v>
      </c>
      <c r="I935" s="7">
        <v>622</v>
      </c>
      <c r="K935" s="7">
        <v>572</v>
      </c>
      <c r="L935" s="7">
        <v>410</v>
      </c>
      <c r="M935" s="7">
        <v>333</v>
      </c>
      <c r="N935" s="7">
        <v>205</v>
      </c>
      <c r="O935" s="7">
        <v>151</v>
      </c>
      <c r="P935" s="7">
        <v>517</v>
      </c>
      <c r="Q935" s="7">
        <v>368</v>
      </c>
    </row>
    <row r="936" spans="1:17" x14ac:dyDescent="0.2">
      <c r="A936">
        <v>935</v>
      </c>
      <c r="B936" s="1">
        <v>40753</v>
      </c>
      <c r="C936" t="s">
        <v>24</v>
      </c>
      <c r="D936" s="7">
        <v>17</v>
      </c>
      <c r="E936" s="7">
        <v>3</v>
      </c>
      <c r="F936" s="7">
        <f t="shared" si="14"/>
        <v>6</v>
      </c>
      <c r="G936" s="7" t="str">
        <f>LOOKUP(H936,[1]startdates!$A$2:$A$10,[1]startdates!$B$2:$B$10)</f>
        <v>FMr</v>
      </c>
      <c r="H936">
        <v>6</v>
      </c>
      <c r="I936" s="7">
        <v>739</v>
      </c>
      <c r="K936" s="7">
        <v>562</v>
      </c>
      <c r="L936" s="7">
        <v>537</v>
      </c>
      <c r="M936" s="7">
        <v>295</v>
      </c>
      <c r="N936" s="7">
        <v>187</v>
      </c>
      <c r="O936" s="7">
        <v>162</v>
      </c>
    </row>
    <row r="937" spans="1:17" x14ac:dyDescent="0.2">
      <c r="A937">
        <v>936</v>
      </c>
      <c r="B937" s="1">
        <v>40753</v>
      </c>
      <c r="C937" t="s">
        <v>24</v>
      </c>
      <c r="D937" s="7">
        <v>17</v>
      </c>
      <c r="E937" s="7">
        <v>3</v>
      </c>
      <c r="F937" s="7">
        <f t="shared" ref="F937:F1000" si="15">WEEKDAY(B937)</f>
        <v>6</v>
      </c>
      <c r="G937" s="7" t="str">
        <f>LOOKUP(H937,[1]startdates!$A$2:$A$10,[1]startdates!$B$2:$B$10)</f>
        <v>FMr</v>
      </c>
      <c r="H937">
        <v>6</v>
      </c>
      <c r="I937" s="7">
        <v>803</v>
      </c>
      <c r="K937" s="7">
        <v>663</v>
      </c>
      <c r="L937" s="7">
        <v>529</v>
      </c>
      <c r="M937" s="7">
        <v>348</v>
      </c>
      <c r="N937" s="7">
        <v>198</v>
      </c>
      <c r="O937" s="7">
        <v>186</v>
      </c>
    </row>
    <row r="938" spans="1:17" x14ac:dyDescent="0.2">
      <c r="A938">
        <v>937</v>
      </c>
      <c r="B938" s="1">
        <v>40753</v>
      </c>
      <c r="C938" t="s">
        <v>24</v>
      </c>
      <c r="D938" s="7">
        <v>17</v>
      </c>
      <c r="E938" s="7">
        <v>3</v>
      </c>
      <c r="F938" s="7">
        <f t="shared" si="15"/>
        <v>6</v>
      </c>
      <c r="G938" s="7" t="str">
        <f>LOOKUP(H938,[1]startdates!$A$2:$A$10,[1]startdates!$B$2:$B$10)</f>
        <v>FMr</v>
      </c>
      <c r="H938">
        <v>6</v>
      </c>
      <c r="I938" s="7">
        <v>626</v>
      </c>
      <c r="K938" s="7">
        <v>571</v>
      </c>
      <c r="L938" s="7">
        <v>479</v>
      </c>
      <c r="M938" s="7">
        <v>248</v>
      </c>
      <c r="N938" s="7">
        <v>202</v>
      </c>
      <c r="O938" s="7">
        <v>168</v>
      </c>
    </row>
    <row r="939" spans="1:17" x14ac:dyDescent="0.2">
      <c r="A939">
        <v>938</v>
      </c>
      <c r="B939" s="1">
        <v>40753</v>
      </c>
      <c r="C939" t="s">
        <v>24</v>
      </c>
      <c r="D939" s="7">
        <v>17</v>
      </c>
      <c r="E939" s="7">
        <v>3</v>
      </c>
      <c r="F939" s="7">
        <f t="shared" si="15"/>
        <v>6</v>
      </c>
      <c r="G939" s="7" t="str">
        <f>LOOKUP(H939,[1]startdates!$A$2:$A$10,[1]startdates!$B$2:$B$10)</f>
        <v>FMr</v>
      </c>
      <c r="H939">
        <v>6</v>
      </c>
      <c r="I939" s="7">
        <v>777</v>
      </c>
      <c r="L939" s="7">
        <v>468</v>
      </c>
      <c r="M939" s="7">
        <v>336</v>
      </c>
      <c r="N939" s="7">
        <v>209</v>
      </c>
      <c r="O939" s="7">
        <v>152</v>
      </c>
    </row>
    <row r="940" spans="1:17" x14ac:dyDescent="0.2">
      <c r="A940">
        <v>939</v>
      </c>
      <c r="B940" s="1">
        <v>40753</v>
      </c>
      <c r="C940" t="s">
        <v>24</v>
      </c>
      <c r="D940" s="7">
        <v>17</v>
      </c>
      <c r="E940" s="7">
        <v>3</v>
      </c>
      <c r="F940" s="7">
        <f t="shared" si="15"/>
        <v>6</v>
      </c>
      <c r="G940" s="7" t="str">
        <f>LOOKUP(H940,[1]startdates!$A$2:$A$10,[1]startdates!$B$2:$B$10)</f>
        <v>FMr</v>
      </c>
      <c r="H940">
        <v>6</v>
      </c>
      <c r="L940" s="7">
        <v>433</v>
      </c>
      <c r="M940" s="7">
        <v>295</v>
      </c>
      <c r="N940" s="7">
        <v>217</v>
      </c>
      <c r="O940" s="7">
        <v>158</v>
      </c>
    </row>
    <row r="941" spans="1:17" x14ac:dyDescent="0.2">
      <c r="A941">
        <v>940</v>
      </c>
      <c r="B941" s="1">
        <v>40753</v>
      </c>
      <c r="C941" t="s">
        <v>24</v>
      </c>
      <c r="D941" s="7">
        <v>17</v>
      </c>
      <c r="E941" s="7">
        <v>3</v>
      </c>
      <c r="F941" s="7">
        <f t="shared" si="15"/>
        <v>6</v>
      </c>
      <c r="G941" s="7" t="str">
        <f>LOOKUP(H941,[1]startdates!$A$2:$A$10,[1]startdates!$B$2:$B$10)</f>
        <v>FMr</v>
      </c>
      <c r="H941">
        <v>6</v>
      </c>
      <c r="L941" s="7">
        <v>511</v>
      </c>
      <c r="M941" s="7">
        <v>278</v>
      </c>
      <c r="N941" s="7">
        <v>194</v>
      </c>
      <c r="O941" s="7">
        <v>144</v>
      </c>
    </row>
    <row r="942" spans="1:17" x14ac:dyDescent="0.2">
      <c r="A942">
        <v>941</v>
      </c>
      <c r="B942" s="1">
        <v>40753</v>
      </c>
      <c r="C942" t="s">
        <v>24</v>
      </c>
      <c r="D942" s="7">
        <v>17</v>
      </c>
      <c r="E942" s="7">
        <v>3</v>
      </c>
      <c r="F942" s="7">
        <f t="shared" si="15"/>
        <v>6</v>
      </c>
      <c r="G942" s="7" t="str">
        <f>LOOKUP(H942,[1]startdates!$A$2:$A$10,[1]startdates!$B$2:$B$10)</f>
        <v>FMr</v>
      </c>
      <c r="H942">
        <v>6</v>
      </c>
      <c r="L942" s="7">
        <v>494</v>
      </c>
      <c r="N942" s="7">
        <v>179</v>
      </c>
      <c r="O942" s="7">
        <v>155</v>
      </c>
    </row>
    <row r="943" spans="1:17" x14ac:dyDescent="0.2">
      <c r="A943">
        <v>942</v>
      </c>
      <c r="B943" s="1">
        <v>40753</v>
      </c>
      <c r="C943" t="s">
        <v>24</v>
      </c>
      <c r="D943" s="7">
        <v>17</v>
      </c>
      <c r="E943" s="7">
        <v>3</v>
      </c>
      <c r="F943" s="7">
        <f t="shared" si="15"/>
        <v>6</v>
      </c>
      <c r="G943" s="7" t="str">
        <f>LOOKUP(H943,[1]startdates!$A$2:$A$10,[1]startdates!$B$2:$B$10)</f>
        <v>FMr</v>
      </c>
      <c r="H943">
        <v>6</v>
      </c>
      <c r="L943" s="7">
        <v>455</v>
      </c>
      <c r="N943" s="7">
        <v>230</v>
      </c>
      <c r="O943" s="7">
        <v>163</v>
      </c>
    </row>
    <row r="944" spans="1:17" x14ac:dyDescent="0.2">
      <c r="A944">
        <v>943</v>
      </c>
      <c r="B944" s="1">
        <v>40753</v>
      </c>
      <c r="C944" t="s">
        <v>24</v>
      </c>
      <c r="D944" s="7">
        <v>17</v>
      </c>
      <c r="E944" s="7">
        <v>3</v>
      </c>
      <c r="F944" s="7">
        <f t="shared" si="15"/>
        <v>6</v>
      </c>
      <c r="G944" s="7" t="str">
        <f>LOOKUP(H944,[1]startdates!$A$2:$A$10,[1]startdates!$B$2:$B$10)</f>
        <v>FMr</v>
      </c>
      <c r="H944">
        <v>6</v>
      </c>
      <c r="L944" s="7">
        <v>368</v>
      </c>
      <c r="N944" s="7">
        <v>209</v>
      </c>
      <c r="O944" s="7">
        <v>186</v>
      </c>
    </row>
    <row r="945" spans="1:18" x14ac:dyDescent="0.2">
      <c r="A945">
        <v>944</v>
      </c>
      <c r="B945" s="1">
        <v>40753</v>
      </c>
      <c r="C945" t="s">
        <v>24</v>
      </c>
      <c r="D945" s="7">
        <v>17</v>
      </c>
      <c r="E945" s="7">
        <v>3</v>
      </c>
      <c r="F945" s="7">
        <f t="shared" si="15"/>
        <v>6</v>
      </c>
      <c r="G945" s="7" t="str">
        <f>LOOKUP(H945,[1]startdates!$A$2:$A$10,[1]startdates!$B$2:$B$10)</f>
        <v>FMr</v>
      </c>
      <c r="H945">
        <v>6</v>
      </c>
      <c r="L945" s="7">
        <v>369</v>
      </c>
      <c r="N945" s="7">
        <v>184</v>
      </c>
      <c r="O945" s="7">
        <v>169</v>
      </c>
    </row>
    <row r="946" spans="1:18" x14ac:dyDescent="0.2">
      <c r="A946">
        <v>945</v>
      </c>
      <c r="B946" s="1">
        <v>40753</v>
      </c>
      <c r="C946" t="s">
        <v>24</v>
      </c>
      <c r="D946" s="7">
        <v>17</v>
      </c>
      <c r="E946" s="7">
        <v>3</v>
      </c>
      <c r="F946" s="7">
        <f t="shared" si="15"/>
        <v>6</v>
      </c>
      <c r="G946" s="7" t="str">
        <f>LOOKUP(H946,[1]startdates!$A$2:$A$10,[1]startdates!$B$2:$B$10)</f>
        <v>FMr</v>
      </c>
      <c r="H946">
        <v>6</v>
      </c>
      <c r="L946" s="7">
        <v>314</v>
      </c>
      <c r="N946" s="7">
        <v>225</v>
      </c>
      <c r="O946" s="7">
        <v>173</v>
      </c>
    </row>
    <row r="947" spans="1:18" x14ac:dyDescent="0.2">
      <c r="A947">
        <v>946</v>
      </c>
      <c r="B947" s="1">
        <v>40753</v>
      </c>
      <c r="C947" t="s">
        <v>24</v>
      </c>
      <c r="D947" s="7">
        <v>17</v>
      </c>
      <c r="E947" s="7">
        <v>3</v>
      </c>
      <c r="F947" s="7">
        <f t="shared" si="15"/>
        <v>6</v>
      </c>
      <c r="G947" s="7" t="str">
        <f>LOOKUP(H947,[1]startdates!$A$2:$A$10,[1]startdates!$B$2:$B$10)</f>
        <v>FMr</v>
      </c>
      <c r="H947">
        <v>6</v>
      </c>
      <c r="L947" s="7">
        <v>471</v>
      </c>
      <c r="N947" s="7">
        <v>230</v>
      </c>
      <c r="O947" s="7">
        <v>128</v>
      </c>
    </row>
    <row r="948" spans="1:18" x14ac:dyDescent="0.2">
      <c r="A948">
        <v>947</v>
      </c>
      <c r="B948" s="1">
        <v>40753</v>
      </c>
      <c r="C948" t="s">
        <v>24</v>
      </c>
      <c r="D948" s="7">
        <v>17</v>
      </c>
      <c r="E948" s="7">
        <v>3</v>
      </c>
      <c r="F948" s="7">
        <f t="shared" si="15"/>
        <v>6</v>
      </c>
      <c r="G948" s="7" t="str">
        <f>LOOKUP(H948,[1]startdates!$A$2:$A$10,[1]startdates!$B$2:$B$10)</f>
        <v>FMr</v>
      </c>
      <c r="H948">
        <v>6</v>
      </c>
      <c r="N948" s="7">
        <v>209</v>
      </c>
      <c r="O948" s="7">
        <v>173</v>
      </c>
    </row>
    <row r="949" spans="1:18" x14ac:dyDescent="0.2">
      <c r="A949">
        <v>948</v>
      </c>
      <c r="B949" s="1">
        <v>40753</v>
      </c>
      <c r="C949" t="s">
        <v>24</v>
      </c>
      <c r="D949" s="7">
        <v>17</v>
      </c>
      <c r="E949" s="7">
        <v>3</v>
      </c>
      <c r="F949" s="7">
        <f t="shared" si="15"/>
        <v>6</v>
      </c>
      <c r="G949" s="7" t="str">
        <f>LOOKUP(H949,[1]startdates!$A$2:$A$10,[1]startdates!$B$2:$B$10)</f>
        <v>FMr</v>
      </c>
      <c r="H949">
        <v>6</v>
      </c>
      <c r="N949" s="7">
        <v>218</v>
      </c>
    </row>
    <row r="950" spans="1:18" x14ac:dyDescent="0.2">
      <c r="A950">
        <v>949</v>
      </c>
      <c r="B950" s="1">
        <v>40753</v>
      </c>
      <c r="C950" t="s">
        <v>24</v>
      </c>
      <c r="D950" s="7">
        <v>17</v>
      </c>
      <c r="E950" s="7">
        <v>3</v>
      </c>
      <c r="F950" s="7">
        <f t="shared" si="15"/>
        <v>6</v>
      </c>
      <c r="G950" s="7" t="str">
        <f>LOOKUP(H950,[1]startdates!$A$2:$A$10,[1]startdates!$B$2:$B$10)</f>
        <v>FMr</v>
      </c>
      <c r="H950">
        <v>6</v>
      </c>
      <c r="N950" s="7">
        <v>247</v>
      </c>
    </row>
    <row r="951" spans="1:18" x14ac:dyDescent="0.2">
      <c r="A951">
        <v>950</v>
      </c>
      <c r="B951" s="1">
        <v>40753</v>
      </c>
      <c r="C951" t="s">
        <v>28</v>
      </c>
      <c r="D951" s="7">
        <v>17</v>
      </c>
      <c r="E951" s="7">
        <v>3</v>
      </c>
      <c r="F951" s="7">
        <f t="shared" si="15"/>
        <v>6</v>
      </c>
      <c r="G951" s="7" t="str">
        <f>LOOKUP(H951,[1]startdates!$A$2:$A$10,[1]startdates!$B$2:$B$10)</f>
        <v>FMr</v>
      </c>
      <c r="H951">
        <v>7</v>
      </c>
      <c r="I951" s="7">
        <v>668</v>
      </c>
      <c r="K951" s="7">
        <v>570</v>
      </c>
      <c r="L951" s="7">
        <v>501</v>
      </c>
      <c r="M951" s="7">
        <v>371</v>
      </c>
      <c r="N951" s="7">
        <v>204</v>
      </c>
      <c r="O951" s="7">
        <v>162</v>
      </c>
      <c r="P951" s="7">
        <v>488</v>
      </c>
      <c r="R951" s="7">
        <v>234</v>
      </c>
    </row>
    <row r="952" spans="1:18" x14ac:dyDescent="0.2">
      <c r="A952">
        <v>951</v>
      </c>
      <c r="B952" s="1">
        <v>40753</v>
      </c>
      <c r="C952" t="s">
        <v>28</v>
      </c>
      <c r="D952" s="7">
        <v>17</v>
      </c>
      <c r="E952" s="7">
        <v>3</v>
      </c>
      <c r="F952" s="7">
        <f t="shared" si="15"/>
        <v>6</v>
      </c>
      <c r="G952" s="7" t="str">
        <f>LOOKUP(H952,[1]startdates!$A$2:$A$10,[1]startdates!$B$2:$B$10)</f>
        <v>FMr</v>
      </c>
      <c r="H952">
        <v>7</v>
      </c>
      <c r="I952" s="7">
        <v>720</v>
      </c>
      <c r="K952" s="7">
        <v>617</v>
      </c>
      <c r="L952" s="7">
        <v>439</v>
      </c>
      <c r="M952" s="7">
        <v>282</v>
      </c>
      <c r="N952" s="7">
        <v>249</v>
      </c>
      <c r="O952" s="7">
        <v>185</v>
      </c>
      <c r="P952" s="7">
        <v>415</v>
      </c>
    </row>
    <row r="953" spans="1:18" x14ac:dyDescent="0.2">
      <c r="A953">
        <v>952</v>
      </c>
      <c r="B953" s="1">
        <v>40753</v>
      </c>
      <c r="C953" t="s">
        <v>28</v>
      </c>
      <c r="D953" s="7">
        <v>17</v>
      </c>
      <c r="E953" s="7">
        <v>3</v>
      </c>
      <c r="F953" s="7">
        <f t="shared" si="15"/>
        <v>6</v>
      </c>
      <c r="G953" s="7" t="str">
        <f>LOOKUP(H953,[1]startdates!$A$2:$A$10,[1]startdates!$B$2:$B$10)</f>
        <v>FMr</v>
      </c>
      <c r="H953">
        <v>7</v>
      </c>
      <c r="I953" s="7">
        <v>722</v>
      </c>
      <c r="K953" s="7">
        <v>498</v>
      </c>
      <c r="L953" s="7">
        <v>355</v>
      </c>
      <c r="M953" s="7">
        <v>305</v>
      </c>
      <c r="N953" s="7">
        <v>240</v>
      </c>
      <c r="O953" s="7">
        <v>170</v>
      </c>
      <c r="P953" s="7">
        <v>430</v>
      </c>
    </row>
    <row r="954" spans="1:18" x14ac:dyDescent="0.2">
      <c r="A954">
        <v>953</v>
      </c>
      <c r="B954" s="1">
        <v>40753</v>
      </c>
      <c r="C954" t="s">
        <v>28</v>
      </c>
      <c r="D954" s="7">
        <v>17</v>
      </c>
      <c r="E954" s="7">
        <v>3</v>
      </c>
      <c r="F954" s="7">
        <f t="shared" si="15"/>
        <v>6</v>
      </c>
      <c r="G954" s="7" t="str">
        <f>LOOKUP(H954,[1]startdates!$A$2:$A$10,[1]startdates!$B$2:$B$10)</f>
        <v>FMr</v>
      </c>
      <c r="H954">
        <v>7</v>
      </c>
      <c r="M954" s="7">
        <v>287</v>
      </c>
      <c r="N954" s="7">
        <v>198</v>
      </c>
      <c r="O954" s="7">
        <v>176</v>
      </c>
    </row>
    <row r="955" spans="1:18" x14ac:dyDescent="0.2">
      <c r="A955">
        <v>954</v>
      </c>
      <c r="B955" s="1">
        <v>40753</v>
      </c>
      <c r="C955" t="s">
        <v>28</v>
      </c>
      <c r="D955" s="7">
        <v>17</v>
      </c>
      <c r="E955" s="7">
        <v>3</v>
      </c>
      <c r="F955" s="7">
        <f t="shared" si="15"/>
        <v>6</v>
      </c>
      <c r="G955" s="7" t="str">
        <f>LOOKUP(H955,[1]startdates!$A$2:$A$10,[1]startdates!$B$2:$B$10)</f>
        <v>FMr</v>
      </c>
      <c r="H955">
        <v>7</v>
      </c>
      <c r="M955" s="7">
        <v>293</v>
      </c>
      <c r="N955" s="7">
        <v>189</v>
      </c>
      <c r="O955" s="7">
        <v>191</v>
      </c>
    </row>
    <row r="956" spans="1:18" x14ac:dyDescent="0.2">
      <c r="A956">
        <v>955</v>
      </c>
      <c r="B956" s="1">
        <v>40753</v>
      </c>
      <c r="C956" t="s">
        <v>28</v>
      </c>
      <c r="D956" s="7">
        <v>17</v>
      </c>
      <c r="E956" s="7">
        <v>3</v>
      </c>
      <c r="F956" s="7">
        <f t="shared" si="15"/>
        <v>6</v>
      </c>
      <c r="G956" s="7" t="str">
        <f>LOOKUP(H956,[1]startdates!$A$2:$A$10,[1]startdates!$B$2:$B$10)</f>
        <v>FMr</v>
      </c>
      <c r="H956">
        <v>7</v>
      </c>
      <c r="N956" s="7">
        <v>179</v>
      </c>
      <c r="O956" s="7">
        <v>179</v>
      </c>
    </row>
    <row r="957" spans="1:18" x14ac:dyDescent="0.2">
      <c r="A957">
        <v>956</v>
      </c>
      <c r="B957" s="1">
        <v>40753</v>
      </c>
      <c r="C957" t="s">
        <v>28</v>
      </c>
      <c r="D957" s="7">
        <v>17</v>
      </c>
      <c r="E957" s="7">
        <v>3</v>
      </c>
      <c r="F957" s="7">
        <f t="shared" si="15"/>
        <v>6</v>
      </c>
      <c r="G957" s="7" t="str">
        <f>LOOKUP(H957,[1]startdates!$A$2:$A$10,[1]startdates!$B$2:$B$10)</f>
        <v>FMr</v>
      </c>
      <c r="H957">
        <v>7</v>
      </c>
      <c r="N957" s="7">
        <v>174</v>
      </c>
      <c r="O957" s="7">
        <v>158</v>
      </c>
    </row>
    <row r="958" spans="1:18" x14ac:dyDescent="0.2">
      <c r="A958">
        <v>957</v>
      </c>
      <c r="B958" s="1">
        <v>40753</v>
      </c>
      <c r="C958" t="s">
        <v>28</v>
      </c>
      <c r="D958" s="7">
        <v>17</v>
      </c>
      <c r="E958" s="7">
        <v>3</v>
      </c>
      <c r="F958" s="7">
        <f t="shared" si="15"/>
        <v>6</v>
      </c>
      <c r="G958" s="7" t="str">
        <f>LOOKUP(H958,[1]startdates!$A$2:$A$10,[1]startdates!$B$2:$B$10)</f>
        <v>FMr</v>
      </c>
      <c r="H958">
        <v>7</v>
      </c>
      <c r="O958" s="7">
        <v>152</v>
      </c>
    </row>
    <row r="959" spans="1:18" x14ac:dyDescent="0.2">
      <c r="A959">
        <v>958</v>
      </c>
      <c r="B959" s="1">
        <v>40753</v>
      </c>
      <c r="C959" t="s">
        <v>28</v>
      </c>
      <c r="D959" s="7">
        <v>17</v>
      </c>
      <c r="E959" s="7">
        <v>3</v>
      </c>
      <c r="F959" s="7">
        <f t="shared" si="15"/>
        <v>6</v>
      </c>
      <c r="G959" s="7" t="str">
        <f>LOOKUP(H959,[1]startdates!$A$2:$A$10,[1]startdates!$B$2:$B$10)</f>
        <v>FMr</v>
      </c>
      <c r="H959">
        <v>7</v>
      </c>
      <c r="O959" s="7">
        <v>135</v>
      </c>
    </row>
    <row r="960" spans="1:18" x14ac:dyDescent="0.2">
      <c r="A960">
        <v>959</v>
      </c>
      <c r="B960" s="1">
        <v>40753</v>
      </c>
      <c r="C960" t="s">
        <v>28</v>
      </c>
      <c r="D960" s="7">
        <v>17</v>
      </c>
      <c r="E960" s="7">
        <v>3</v>
      </c>
      <c r="F960" s="7">
        <f t="shared" si="15"/>
        <v>6</v>
      </c>
      <c r="G960" s="7" t="str">
        <f>LOOKUP(H960,[1]startdates!$A$2:$A$10,[1]startdates!$B$2:$B$10)</f>
        <v>FMr</v>
      </c>
      <c r="H960">
        <v>7</v>
      </c>
      <c r="O960" s="7">
        <v>180</v>
      </c>
    </row>
    <row r="961" spans="1:17" x14ac:dyDescent="0.2">
      <c r="A961">
        <v>960</v>
      </c>
      <c r="B961" s="1">
        <v>40753</v>
      </c>
      <c r="C961" t="s">
        <v>28</v>
      </c>
      <c r="D961" s="7">
        <v>17</v>
      </c>
      <c r="E961" s="7">
        <v>3</v>
      </c>
      <c r="F961" s="7">
        <f t="shared" si="15"/>
        <v>6</v>
      </c>
      <c r="G961" s="7" t="str">
        <f>LOOKUP(H961,[1]startdates!$A$2:$A$10,[1]startdates!$B$2:$B$10)</f>
        <v>FMr</v>
      </c>
      <c r="H961">
        <v>7</v>
      </c>
      <c r="O961" s="7">
        <v>148</v>
      </c>
    </row>
    <row r="962" spans="1:17" x14ac:dyDescent="0.2">
      <c r="A962">
        <v>961</v>
      </c>
      <c r="B962" s="1">
        <v>40753</v>
      </c>
      <c r="C962" t="s">
        <v>28</v>
      </c>
      <c r="D962" s="7">
        <v>17</v>
      </c>
      <c r="E962" s="7">
        <v>3</v>
      </c>
      <c r="F962" s="7">
        <f t="shared" si="15"/>
        <v>6</v>
      </c>
      <c r="G962" s="7" t="str">
        <f>LOOKUP(H962,[1]startdates!$A$2:$A$10,[1]startdates!$B$2:$B$10)</f>
        <v>FMr</v>
      </c>
      <c r="H962">
        <v>7</v>
      </c>
      <c r="O962" s="7">
        <v>151</v>
      </c>
    </row>
    <row r="963" spans="1:17" x14ac:dyDescent="0.2">
      <c r="A963">
        <v>962</v>
      </c>
      <c r="B963" s="1">
        <v>40753</v>
      </c>
      <c r="C963" t="s">
        <v>28</v>
      </c>
      <c r="D963" s="7">
        <v>17</v>
      </c>
      <c r="E963" s="7">
        <v>3</v>
      </c>
      <c r="F963" s="7">
        <f t="shared" si="15"/>
        <v>6</v>
      </c>
      <c r="G963" s="7" t="str">
        <f>LOOKUP(H963,[1]startdates!$A$2:$A$10,[1]startdates!$B$2:$B$10)</f>
        <v>C</v>
      </c>
      <c r="H963">
        <v>8</v>
      </c>
      <c r="I963" s="7">
        <v>717</v>
      </c>
      <c r="K963" s="7">
        <v>582</v>
      </c>
      <c r="L963" s="7">
        <v>480</v>
      </c>
      <c r="M963" s="7">
        <v>309</v>
      </c>
      <c r="N963" s="7">
        <v>213</v>
      </c>
      <c r="O963" s="7">
        <v>138</v>
      </c>
      <c r="P963" s="7">
        <v>526</v>
      </c>
      <c r="Q963" s="7">
        <v>382</v>
      </c>
    </row>
    <row r="964" spans="1:17" x14ac:dyDescent="0.2">
      <c r="A964">
        <v>963</v>
      </c>
      <c r="B964" s="1">
        <v>40753</v>
      </c>
      <c r="C964" t="s">
        <v>28</v>
      </c>
      <c r="D964" s="7">
        <v>17</v>
      </c>
      <c r="E964" s="7">
        <v>3</v>
      </c>
      <c r="F964" s="7">
        <f t="shared" si="15"/>
        <v>6</v>
      </c>
      <c r="G964" s="7" t="str">
        <f>LOOKUP(H964,[1]startdates!$A$2:$A$10,[1]startdates!$B$2:$B$10)</f>
        <v>C</v>
      </c>
      <c r="H964">
        <v>8</v>
      </c>
      <c r="I964" s="7">
        <v>740</v>
      </c>
      <c r="K964" s="7">
        <v>561</v>
      </c>
      <c r="L964" s="7">
        <v>544</v>
      </c>
      <c r="M964" s="7">
        <v>320</v>
      </c>
      <c r="N964" s="7">
        <v>240</v>
      </c>
      <c r="O964" s="7">
        <v>180</v>
      </c>
      <c r="P964" s="7">
        <v>549</v>
      </c>
      <c r="Q964" s="7">
        <v>387</v>
      </c>
    </row>
    <row r="965" spans="1:17" x14ac:dyDescent="0.2">
      <c r="A965">
        <v>964</v>
      </c>
      <c r="B965" s="1">
        <v>40753</v>
      </c>
      <c r="C965" t="s">
        <v>28</v>
      </c>
      <c r="D965" s="7">
        <v>17</v>
      </c>
      <c r="E965" s="7">
        <v>3</v>
      </c>
      <c r="F965" s="7">
        <f t="shared" si="15"/>
        <v>6</v>
      </c>
      <c r="G965" s="7" t="str">
        <f>LOOKUP(H965,[1]startdates!$A$2:$A$10,[1]startdates!$B$2:$B$10)</f>
        <v>C</v>
      </c>
      <c r="H965">
        <v>8</v>
      </c>
      <c r="K965" s="7">
        <v>574</v>
      </c>
      <c r="M965" s="7">
        <v>339</v>
      </c>
      <c r="N965" s="7">
        <v>223</v>
      </c>
      <c r="O965" s="7">
        <v>170</v>
      </c>
    </row>
    <row r="966" spans="1:17" x14ac:dyDescent="0.2">
      <c r="A966">
        <v>965</v>
      </c>
      <c r="B966" s="1">
        <v>40753</v>
      </c>
      <c r="C966" t="s">
        <v>28</v>
      </c>
      <c r="D966" s="7">
        <v>17</v>
      </c>
      <c r="E966" s="7">
        <v>3</v>
      </c>
      <c r="F966" s="7">
        <f t="shared" si="15"/>
        <v>6</v>
      </c>
      <c r="G966" s="7" t="str">
        <f>LOOKUP(H966,[1]startdates!$A$2:$A$10,[1]startdates!$B$2:$B$10)</f>
        <v>C</v>
      </c>
      <c r="H966">
        <v>8</v>
      </c>
      <c r="M966" s="7">
        <v>284</v>
      </c>
      <c r="N966" s="7">
        <v>191</v>
      </c>
      <c r="O966" s="7">
        <v>170</v>
      </c>
    </row>
    <row r="967" spans="1:17" x14ac:dyDescent="0.2">
      <c r="A967">
        <v>966</v>
      </c>
      <c r="B967" s="1">
        <v>40753</v>
      </c>
      <c r="C967" t="s">
        <v>28</v>
      </c>
      <c r="D967" s="7">
        <v>17</v>
      </c>
      <c r="E967" s="7">
        <v>3</v>
      </c>
      <c r="F967" s="7">
        <f t="shared" si="15"/>
        <v>6</v>
      </c>
      <c r="G967" s="7" t="str">
        <f>LOOKUP(H967,[1]startdates!$A$2:$A$10,[1]startdates!$B$2:$B$10)</f>
        <v>C</v>
      </c>
      <c r="H967">
        <v>8</v>
      </c>
      <c r="M967" s="7">
        <v>321</v>
      </c>
      <c r="N967" s="7">
        <v>226</v>
      </c>
      <c r="O967" s="7">
        <v>168</v>
      </c>
    </row>
    <row r="968" spans="1:17" x14ac:dyDescent="0.2">
      <c r="A968">
        <v>967</v>
      </c>
      <c r="B968" s="1">
        <v>40753</v>
      </c>
      <c r="C968" t="s">
        <v>28</v>
      </c>
      <c r="D968" s="7">
        <v>17</v>
      </c>
      <c r="E968" s="7">
        <v>3</v>
      </c>
      <c r="F968" s="7">
        <f t="shared" si="15"/>
        <v>6</v>
      </c>
      <c r="G968" s="7" t="str">
        <f>LOOKUP(H968,[1]startdates!$A$2:$A$10,[1]startdates!$B$2:$B$10)</f>
        <v>C</v>
      </c>
      <c r="H968">
        <v>8</v>
      </c>
      <c r="M968" s="7">
        <v>338</v>
      </c>
      <c r="N968" s="7">
        <v>208</v>
      </c>
      <c r="O968" s="7">
        <v>155</v>
      </c>
    </row>
    <row r="969" spans="1:17" x14ac:dyDescent="0.2">
      <c r="A969">
        <v>968</v>
      </c>
      <c r="B969" s="1">
        <v>40753</v>
      </c>
      <c r="C969" t="s">
        <v>28</v>
      </c>
      <c r="D969" s="7">
        <v>17</v>
      </c>
      <c r="E969" s="7">
        <v>3</v>
      </c>
      <c r="F969" s="7">
        <f t="shared" si="15"/>
        <v>6</v>
      </c>
      <c r="G969" s="7" t="str">
        <f>LOOKUP(H969,[1]startdates!$A$2:$A$10,[1]startdates!$B$2:$B$10)</f>
        <v>C</v>
      </c>
      <c r="H969">
        <v>8</v>
      </c>
      <c r="N969" s="7">
        <v>249</v>
      </c>
      <c r="O969" s="7">
        <v>158</v>
      </c>
    </row>
    <row r="970" spans="1:17" x14ac:dyDescent="0.2">
      <c r="A970">
        <v>969</v>
      </c>
      <c r="B970" s="1">
        <v>40753</v>
      </c>
      <c r="C970" t="s">
        <v>28</v>
      </c>
      <c r="D970" s="7">
        <v>17</v>
      </c>
      <c r="E970" s="7">
        <v>3</v>
      </c>
      <c r="F970" s="7">
        <f t="shared" si="15"/>
        <v>6</v>
      </c>
      <c r="G970" s="7" t="str">
        <f>LOOKUP(H970,[1]startdates!$A$2:$A$10,[1]startdates!$B$2:$B$10)</f>
        <v>C</v>
      </c>
      <c r="H970">
        <v>8</v>
      </c>
      <c r="N970" s="7">
        <v>190</v>
      </c>
      <c r="O970" s="7">
        <v>170</v>
      </c>
    </row>
    <row r="971" spans="1:17" x14ac:dyDescent="0.2">
      <c r="A971">
        <v>970</v>
      </c>
      <c r="B971" s="1">
        <v>40753</v>
      </c>
      <c r="C971" t="s">
        <v>28</v>
      </c>
      <c r="D971" s="7">
        <v>17</v>
      </c>
      <c r="E971" s="7">
        <v>3</v>
      </c>
      <c r="F971" s="7">
        <f t="shared" si="15"/>
        <v>6</v>
      </c>
      <c r="G971" s="7" t="str">
        <f>LOOKUP(H971,[1]startdates!$A$2:$A$10,[1]startdates!$B$2:$B$10)</f>
        <v>C</v>
      </c>
      <c r="H971">
        <v>8</v>
      </c>
      <c r="N971" s="7">
        <v>242</v>
      </c>
      <c r="O971" s="7">
        <v>181</v>
      </c>
    </row>
    <row r="972" spans="1:17" x14ac:dyDescent="0.2">
      <c r="A972">
        <v>971</v>
      </c>
      <c r="B972" s="1">
        <v>40753</v>
      </c>
      <c r="C972" t="s">
        <v>28</v>
      </c>
      <c r="D972" s="7">
        <v>17</v>
      </c>
      <c r="E972" s="7">
        <v>3</v>
      </c>
      <c r="F972" s="7">
        <f t="shared" si="15"/>
        <v>6</v>
      </c>
      <c r="G972" s="7" t="str">
        <f>LOOKUP(H972,[1]startdates!$A$2:$A$10,[1]startdates!$B$2:$B$10)</f>
        <v>C</v>
      </c>
      <c r="H972">
        <v>8</v>
      </c>
      <c r="N972" s="7">
        <v>242</v>
      </c>
    </row>
    <row r="973" spans="1:17" x14ac:dyDescent="0.2">
      <c r="A973">
        <v>972</v>
      </c>
      <c r="B973" s="1">
        <v>40753</v>
      </c>
      <c r="C973" t="s">
        <v>28</v>
      </c>
      <c r="D973" s="7">
        <v>17</v>
      </c>
      <c r="E973" s="7">
        <v>3</v>
      </c>
      <c r="F973" s="7">
        <f t="shared" si="15"/>
        <v>6</v>
      </c>
      <c r="G973" s="7" t="str">
        <f>LOOKUP(H973,[1]startdates!$A$2:$A$10,[1]startdates!$B$2:$B$10)</f>
        <v>C</v>
      </c>
      <c r="H973">
        <v>8</v>
      </c>
      <c r="N973" s="7">
        <v>242</v>
      </c>
    </row>
    <row r="974" spans="1:17" x14ac:dyDescent="0.2">
      <c r="A974">
        <v>973</v>
      </c>
      <c r="B974" s="1">
        <v>40753</v>
      </c>
      <c r="C974" t="s">
        <v>28</v>
      </c>
      <c r="D974" s="7">
        <v>17</v>
      </c>
      <c r="E974" s="7">
        <v>3</v>
      </c>
      <c r="F974" s="7">
        <f t="shared" si="15"/>
        <v>6</v>
      </c>
      <c r="G974" s="7" t="str">
        <f>LOOKUP(H974,[1]startdates!$A$2:$A$10,[1]startdates!$B$2:$B$10)</f>
        <v>FMr</v>
      </c>
      <c r="H974">
        <v>9</v>
      </c>
      <c r="I974" s="7">
        <v>685</v>
      </c>
      <c r="K974" s="7">
        <v>563</v>
      </c>
      <c r="L974" s="7">
        <v>411</v>
      </c>
      <c r="M974" s="7">
        <v>280</v>
      </c>
      <c r="N974" s="7">
        <v>198</v>
      </c>
      <c r="O974" s="7">
        <v>159</v>
      </c>
      <c r="P974" s="7">
        <v>410</v>
      </c>
    </row>
    <row r="975" spans="1:17" x14ac:dyDescent="0.2">
      <c r="A975">
        <v>974</v>
      </c>
      <c r="B975" s="1">
        <v>40753</v>
      </c>
      <c r="C975" t="s">
        <v>28</v>
      </c>
      <c r="D975" s="7">
        <v>17</v>
      </c>
      <c r="E975" s="7">
        <v>3</v>
      </c>
      <c r="F975" s="7">
        <f t="shared" si="15"/>
        <v>6</v>
      </c>
      <c r="G975" s="7" t="str">
        <f>LOOKUP(H975,[1]startdates!$A$2:$A$10,[1]startdates!$B$2:$B$10)</f>
        <v>FMr</v>
      </c>
      <c r="H975">
        <v>9</v>
      </c>
      <c r="L975" s="7">
        <v>508</v>
      </c>
      <c r="M975" s="7">
        <v>344</v>
      </c>
      <c r="N975" s="7">
        <v>206</v>
      </c>
      <c r="O975" s="7">
        <v>174</v>
      </c>
    </row>
    <row r="976" spans="1:17" x14ac:dyDescent="0.2">
      <c r="A976">
        <v>975</v>
      </c>
      <c r="B976" s="1">
        <v>40753</v>
      </c>
      <c r="C976" t="s">
        <v>28</v>
      </c>
      <c r="D976" s="7">
        <v>17</v>
      </c>
      <c r="E976" s="7">
        <v>3</v>
      </c>
      <c r="F976" s="7">
        <f t="shared" si="15"/>
        <v>6</v>
      </c>
      <c r="G976" s="7" t="str">
        <f>LOOKUP(H976,[1]startdates!$A$2:$A$10,[1]startdates!$B$2:$B$10)</f>
        <v>FMr</v>
      </c>
      <c r="H976">
        <v>9</v>
      </c>
      <c r="L976" s="7">
        <v>542</v>
      </c>
      <c r="M976" s="7">
        <v>254</v>
      </c>
      <c r="N976" s="7">
        <v>241</v>
      </c>
      <c r="O976" s="7">
        <v>154</v>
      </c>
    </row>
    <row r="977" spans="1:19" x14ac:dyDescent="0.2">
      <c r="A977">
        <v>976</v>
      </c>
      <c r="B977" s="1">
        <v>40753</v>
      </c>
      <c r="C977" t="s">
        <v>28</v>
      </c>
      <c r="D977" s="7">
        <v>17</v>
      </c>
      <c r="E977" s="7">
        <v>3</v>
      </c>
      <c r="F977" s="7">
        <f t="shared" si="15"/>
        <v>6</v>
      </c>
      <c r="G977" s="7" t="str">
        <f>LOOKUP(H977,[1]startdates!$A$2:$A$10,[1]startdates!$B$2:$B$10)</f>
        <v>FMr</v>
      </c>
      <c r="H977">
        <v>9</v>
      </c>
      <c r="L977" s="7">
        <v>503</v>
      </c>
      <c r="M977" s="7">
        <v>245</v>
      </c>
      <c r="N977" s="7">
        <v>172</v>
      </c>
      <c r="O977" s="7">
        <v>152</v>
      </c>
    </row>
    <row r="978" spans="1:19" x14ac:dyDescent="0.2">
      <c r="A978">
        <v>977</v>
      </c>
      <c r="B978" s="1">
        <v>40753</v>
      </c>
      <c r="C978" t="s">
        <v>28</v>
      </c>
      <c r="D978" s="7">
        <v>17</v>
      </c>
      <c r="E978" s="7">
        <v>3</v>
      </c>
      <c r="F978" s="7">
        <f t="shared" si="15"/>
        <v>6</v>
      </c>
      <c r="G978" s="7" t="str">
        <f>LOOKUP(H978,[1]startdates!$A$2:$A$10,[1]startdates!$B$2:$B$10)</f>
        <v>FMr</v>
      </c>
      <c r="H978">
        <v>9</v>
      </c>
      <c r="M978" s="7">
        <v>249</v>
      </c>
      <c r="N978" s="7">
        <v>199</v>
      </c>
      <c r="O978" s="7">
        <v>167</v>
      </c>
    </row>
    <row r="979" spans="1:19" x14ac:dyDescent="0.2">
      <c r="A979">
        <v>978</v>
      </c>
      <c r="B979" s="1">
        <v>40753</v>
      </c>
      <c r="C979" t="s">
        <v>28</v>
      </c>
      <c r="D979" s="7">
        <v>17</v>
      </c>
      <c r="E979" s="7">
        <v>3</v>
      </c>
      <c r="F979" s="7">
        <f t="shared" si="15"/>
        <v>6</v>
      </c>
      <c r="G979" s="7" t="str">
        <f>LOOKUP(H979,[1]startdates!$A$2:$A$10,[1]startdates!$B$2:$B$10)</f>
        <v>FMr</v>
      </c>
      <c r="H979">
        <v>9</v>
      </c>
      <c r="M979" s="7">
        <v>250</v>
      </c>
      <c r="N979" s="7">
        <v>191</v>
      </c>
      <c r="O979" s="7">
        <v>164</v>
      </c>
    </row>
    <row r="980" spans="1:19" x14ac:dyDescent="0.2">
      <c r="A980">
        <v>979</v>
      </c>
      <c r="B980" s="1">
        <v>40753</v>
      </c>
      <c r="C980" t="s">
        <v>28</v>
      </c>
      <c r="D980" s="7">
        <v>17</v>
      </c>
      <c r="E980" s="7">
        <v>3</v>
      </c>
      <c r="F980" s="7">
        <f t="shared" si="15"/>
        <v>6</v>
      </c>
      <c r="G980" s="7" t="str">
        <f>LOOKUP(H980,[1]startdates!$A$2:$A$10,[1]startdates!$B$2:$B$10)</f>
        <v>FMr</v>
      </c>
      <c r="H980">
        <v>9</v>
      </c>
      <c r="M980" s="7">
        <v>292</v>
      </c>
      <c r="N980" s="7">
        <v>209</v>
      </c>
      <c r="O980" s="7">
        <v>176</v>
      </c>
    </row>
    <row r="981" spans="1:19" x14ac:dyDescent="0.2">
      <c r="A981">
        <v>980</v>
      </c>
      <c r="B981" s="1">
        <v>40753</v>
      </c>
      <c r="C981" t="s">
        <v>28</v>
      </c>
      <c r="D981" s="7">
        <v>17</v>
      </c>
      <c r="E981" s="7">
        <v>3</v>
      </c>
      <c r="F981" s="7">
        <f t="shared" si="15"/>
        <v>6</v>
      </c>
      <c r="G981" s="7" t="str">
        <f>LOOKUP(H981,[1]startdates!$A$2:$A$10,[1]startdates!$B$2:$B$10)</f>
        <v>FMr</v>
      </c>
      <c r="H981">
        <v>9</v>
      </c>
      <c r="M981" s="7">
        <v>234</v>
      </c>
      <c r="N981" s="7">
        <v>212</v>
      </c>
      <c r="O981" s="7">
        <v>146</v>
      </c>
    </row>
    <row r="982" spans="1:19" x14ac:dyDescent="0.2">
      <c r="A982">
        <v>981</v>
      </c>
      <c r="B982" s="1">
        <v>40753</v>
      </c>
      <c r="C982" t="s">
        <v>28</v>
      </c>
      <c r="D982" s="7">
        <v>17</v>
      </c>
      <c r="E982" s="7">
        <v>3</v>
      </c>
      <c r="F982" s="7">
        <f t="shared" si="15"/>
        <v>6</v>
      </c>
      <c r="G982" s="7" t="str">
        <f>LOOKUP(H982,[1]startdates!$A$2:$A$10,[1]startdates!$B$2:$B$10)</f>
        <v>FMr</v>
      </c>
      <c r="H982">
        <v>9</v>
      </c>
      <c r="M982" s="7">
        <v>232</v>
      </c>
      <c r="N982" s="7">
        <v>211</v>
      </c>
      <c r="O982" s="7">
        <v>149</v>
      </c>
    </row>
    <row r="983" spans="1:19" x14ac:dyDescent="0.2">
      <c r="A983">
        <v>982</v>
      </c>
      <c r="B983" s="1">
        <v>40753</v>
      </c>
      <c r="C983" t="s">
        <v>28</v>
      </c>
      <c r="D983" s="7">
        <v>17</v>
      </c>
      <c r="E983" s="7">
        <v>3</v>
      </c>
      <c r="F983" s="7">
        <f t="shared" si="15"/>
        <v>6</v>
      </c>
      <c r="G983" s="7" t="str">
        <f>LOOKUP(H983,[1]startdates!$A$2:$A$10,[1]startdates!$B$2:$B$10)</f>
        <v>FMr</v>
      </c>
      <c r="H983">
        <v>9</v>
      </c>
      <c r="M983" s="7">
        <v>301</v>
      </c>
      <c r="N983" s="7">
        <v>226</v>
      </c>
      <c r="O983" s="7">
        <v>144</v>
      </c>
    </row>
    <row r="984" spans="1:19" x14ac:dyDescent="0.2">
      <c r="A984">
        <v>983</v>
      </c>
      <c r="B984" s="1">
        <v>40753</v>
      </c>
      <c r="C984" t="s">
        <v>28</v>
      </c>
      <c r="D984" s="7">
        <v>17</v>
      </c>
      <c r="E984" s="7">
        <v>3</v>
      </c>
      <c r="F984" s="7">
        <f t="shared" si="15"/>
        <v>6</v>
      </c>
      <c r="G984" s="7" t="str">
        <f>LOOKUP(H984,[1]startdates!$A$2:$A$10,[1]startdates!$B$2:$B$10)</f>
        <v>FMr</v>
      </c>
      <c r="H984">
        <v>9</v>
      </c>
      <c r="M984" s="7">
        <v>264</v>
      </c>
      <c r="N984" s="7">
        <v>242</v>
      </c>
    </row>
    <row r="985" spans="1:19" x14ac:dyDescent="0.2">
      <c r="A985">
        <v>984</v>
      </c>
      <c r="B985" s="1">
        <v>40753</v>
      </c>
      <c r="C985" t="s">
        <v>28</v>
      </c>
      <c r="D985" s="7">
        <v>17</v>
      </c>
      <c r="E985" s="7">
        <v>3</v>
      </c>
      <c r="F985" s="7">
        <f t="shared" si="15"/>
        <v>6</v>
      </c>
      <c r="G985" s="7" t="str">
        <f>LOOKUP(H985,[1]startdates!$A$2:$A$10,[1]startdates!$B$2:$B$10)</f>
        <v>FMr</v>
      </c>
      <c r="H985">
        <v>9</v>
      </c>
      <c r="M985" s="7">
        <v>288</v>
      </c>
      <c r="N985" s="7">
        <v>176</v>
      </c>
    </row>
    <row r="986" spans="1:19" x14ac:dyDescent="0.2">
      <c r="A986">
        <v>985</v>
      </c>
      <c r="B986" s="1">
        <v>40753</v>
      </c>
      <c r="C986" t="s">
        <v>28</v>
      </c>
      <c r="D986" s="7">
        <v>17</v>
      </c>
      <c r="E986" s="7">
        <v>3</v>
      </c>
      <c r="F986" s="7">
        <f t="shared" si="15"/>
        <v>6</v>
      </c>
      <c r="G986" s="7" t="str">
        <f>LOOKUP(H986,[1]startdates!$A$2:$A$10,[1]startdates!$B$2:$B$10)</f>
        <v>FMr</v>
      </c>
      <c r="H986">
        <v>9</v>
      </c>
      <c r="N986" s="7">
        <v>203</v>
      </c>
    </row>
    <row r="987" spans="1:19" x14ac:dyDescent="0.2">
      <c r="A987">
        <v>986</v>
      </c>
      <c r="B987" s="1">
        <v>40753</v>
      </c>
      <c r="C987" t="s">
        <v>28</v>
      </c>
      <c r="D987" s="7">
        <v>17</v>
      </c>
      <c r="E987" s="7">
        <v>3</v>
      </c>
      <c r="F987" s="7">
        <f t="shared" si="15"/>
        <v>6</v>
      </c>
      <c r="G987" s="7" t="str">
        <f>LOOKUP(H987,[1]startdates!$A$2:$A$10,[1]startdates!$B$2:$B$10)</f>
        <v>FMr</v>
      </c>
      <c r="H987">
        <v>9</v>
      </c>
      <c r="N987" s="7">
        <v>244</v>
      </c>
    </row>
    <row r="988" spans="1:19" x14ac:dyDescent="0.2">
      <c r="A988">
        <v>987</v>
      </c>
      <c r="B988" s="1">
        <v>40753</v>
      </c>
      <c r="C988" t="s">
        <v>28</v>
      </c>
      <c r="D988" s="7">
        <v>17</v>
      </c>
      <c r="E988" s="7">
        <v>3</v>
      </c>
      <c r="F988" s="7">
        <f t="shared" si="15"/>
        <v>6</v>
      </c>
      <c r="G988" s="7" t="str">
        <f>LOOKUP(H988,[1]startdates!$A$2:$A$10,[1]startdates!$B$2:$B$10)</f>
        <v>FMr</v>
      </c>
      <c r="H988">
        <v>9</v>
      </c>
      <c r="N988" s="7">
        <v>191</v>
      </c>
    </row>
    <row r="989" spans="1:19" x14ac:dyDescent="0.2">
      <c r="A989">
        <v>988</v>
      </c>
      <c r="B989" s="1">
        <v>40756</v>
      </c>
      <c r="C989" t="s">
        <v>24</v>
      </c>
      <c r="D989" s="7">
        <v>19</v>
      </c>
      <c r="E989" s="7">
        <v>4</v>
      </c>
      <c r="F989" s="7">
        <f t="shared" si="15"/>
        <v>2</v>
      </c>
      <c r="G989" s="7" t="str">
        <f>LOOKUP(H989,[1]startdates!$A$2:$A$10,[1]startdates!$B$2:$B$10)</f>
        <v>SMr</v>
      </c>
      <c r="H989">
        <v>1</v>
      </c>
      <c r="I989" s="7">
        <v>626</v>
      </c>
      <c r="J989" s="7">
        <v>512</v>
      </c>
      <c r="K989" s="7">
        <v>486</v>
      </c>
      <c r="L989" s="7">
        <v>410</v>
      </c>
      <c r="M989" s="7">
        <v>247</v>
      </c>
      <c r="N989" s="7">
        <v>281</v>
      </c>
      <c r="O989" s="7">
        <v>183</v>
      </c>
      <c r="R989" s="7">
        <v>206</v>
      </c>
      <c r="S989" s="7">
        <v>280</v>
      </c>
    </row>
    <row r="990" spans="1:19" x14ac:dyDescent="0.2">
      <c r="A990">
        <v>989</v>
      </c>
      <c r="B990" s="1">
        <v>40756</v>
      </c>
      <c r="C990" t="s">
        <v>24</v>
      </c>
      <c r="D990" s="7">
        <v>19</v>
      </c>
      <c r="E990" s="7">
        <v>4</v>
      </c>
      <c r="F990" s="7">
        <f t="shared" si="15"/>
        <v>2</v>
      </c>
      <c r="G990" s="7" t="str">
        <f>LOOKUP(H990,[1]startdates!$A$2:$A$10,[1]startdates!$B$2:$B$10)</f>
        <v>SMr</v>
      </c>
      <c r="H990">
        <v>1</v>
      </c>
      <c r="I990" s="7">
        <v>624</v>
      </c>
      <c r="J990" s="7">
        <v>581</v>
      </c>
      <c r="K990" s="7">
        <v>638</v>
      </c>
      <c r="L990" s="7">
        <v>408</v>
      </c>
      <c r="M990" s="7">
        <v>310</v>
      </c>
      <c r="N990" s="7">
        <v>248</v>
      </c>
      <c r="O990" s="7">
        <v>185</v>
      </c>
    </row>
    <row r="991" spans="1:19" x14ac:dyDescent="0.2">
      <c r="A991">
        <v>990</v>
      </c>
      <c r="B991" s="1">
        <v>40756</v>
      </c>
      <c r="C991" t="s">
        <v>24</v>
      </c>
      <c r="D991" s="7">
        <v>19</v>
      </c>
      <c r="E991" s="7">
        <v>4</v>
      </c>
      <c r="F991" s="7">
        <f t="shared" si="15"/>
        <v>2</v>
      </c>
      <c r="G991" s="7" t="str">
        <f>LOOKUP(H991,[1]startdates!$A$2:$A$10,[1]startdates!$B$2:$B$10)</f>
        <v>SMr</v>
      </c>
      <c r="H991">
        <v>1</v>
      </c>
      <c r="I991" s="7">
        <v>658</v>
      </c>
      <c r="L991" s="7">
        <v>435</v>
      </c>
      <c r="M991" s="7">
        <v>387</v>
      </c>
      <c r="N991" s="7">
        <v>250</v>
      </c>
      <c r="O991" s="7">
        <v>170</v>
      </c>
    </row>
    <row r="992" spans="1:19" x14ac:dyDescent="0.2">
      <c r="A992">
        <v>991</v>
      </c>
      <c r="B992" s="1">
        <v>40756</v>
      </c>
      <c r="C992" t="s">
        <v>24</v>
      </c>
      <c r="D992" s="7">
        <v>19</v>
      </c>
      <c r="E992" s="7">
        <v>4</v>
      </c>
      <c r="F992" s="7">
        <f t="shared" si="15"/>
        <v>2</v>
      </c>
      <c r="G992" s="7" t="str">
        <f>LOOKUP(H992,[1]startdates!$A$2:$A$10,[1]startdates!$B$2:$B$10)</f>
        <v>SMr</v>
      </c>
      <c r="H992">
        <v>1</v>
      </c>
      <c r="I992" s="7">
        <v>594</v>
      </c>
      <c r="L992" s="7">
        <v>414</v>
      </c>
      <c r="M992" s="7">
        <v>396</v>
      </c>
      <c r="N992" s="7">
        <v>201</v>
      </c>
      <c r="O992" s="7">
        <v>169</v>
      </c>
    </row>
    <row r="993" spans="1:18" x14ac:dyDescent="0.2">
      <c r="A993">
        <v>992</v>
      </c>
      <c r="B993" s="1">
        <v>40756</v>
      </c>
      <c r="C993" t="s">
        <v>24</v>
      </c>
      <c r="D993" s="7">
        <v>19</v>
      </c>
      <c r="E993" s="7">
        <v>4</v>
      </c>
      <c r="F993" s="7">
        <f t="shared" si="15"/>
        <v>2</v>
      </c>
      <c r="G993" s="7" t="str">
        <f>LOOKUP(H993,[1]startdates!$A$2:$A$10,[1]startdates!$B$2:$B$10)</f>
        <v>SMr</v>
      </c>
      <c r="H993">
        <v>1</v>
      </c>
      <c r="I993" s="7">
        <v>633</v>
      </c>
      <c r="L993" s="7">
        <v>406</v>
      </c>
      <c r="N993" s="7">
        <v>233</v>
      </c>
      <c r="O993" s="7">
        <v>179</v>
      </c>
    </row>
    <row r="994" spans="1:18" x14ac:dyDescent="0.2">
      <c r="A994">
        <v>993</v>
      </c>
      <c r="B994" s="1">
        <v>40756</v>
      </c>
      <c r="C994" t="s">
        <v>24</v>
      </c>
      <c r="D994" s="7">
        <v>19</v>
      </c>
      <c r="E994" s="7">
        <v>4</v>
      </c>
      <c r="F994" s="7">
        <f t="shared" si="15"/>
        <v>2</v>
      </c>
      <c r="G994" s="7" t="str">
        <f>LOOKUP(H994,[1]startdates!$A$2:$A$10,[1]startdates!$B$2:$B$10)</f>
        <v>SMr</v>
      </c>
      <c r="H994">
        <v>1</v>
      </c>
      <c r="I994" s="7">
        <v>619</v>
      </c>
      <c r="L994" s="7">
        <v>405</v>
      </c>
      <c r="N994" s="7">
        <v>259</v>
      </c>
      <c r="O994" s="7">
        <v>169</v>
      </c>
    </row>
    <row r="995" spans="1:18" x14ac:dyDescent="0.2">
      <c r="A995">
        <v>994</v>
      </c>
      <c r="B995" s="1">
        <v>40756</v>
      </c>
      <c r="C995" t="s">
        <v>24</v>
      </c>
      <c r="D995" s="7">
        <v>19</v>
      </c>
      <c r="E995" s="7">
        <v>4</v>
      </c>
      <c r="F995" s="7">
        <f t="shared" si="15"/>
        <v>2</v>
      </c>
      <c r="G995" s="7" t="str">
        <f>LOOKUP(H995,[1]startdates!$A$2:$A$10,[1]startdates!$B$2:$B$10)</f>
        <v>SMr</v>
      </c>
      <c r="H995">
        <v>1</v>
      </c>
      <c r="I995" s="7">
        <v>603</v>
      </c>
      <c r="L995" s="7">
        <v>416</v>
      </c>
      <c r="N995" s="7">
        <v>243</v>
      </c>
      <c r="O995" s="7">
        <v>167</v>
      </c>
    </row>
    <row r="996" spans="1:18" x14ac:dyDescent="0.2">
      <c r="A996">
        <v>995</v>
      </c>
      <c r="B996" s="1">
        <v>40756</v>
      </c>
      <c r="C996" t="s">
        <v>24</v>
      </c>
      <c r="D996" s="7">
        <v>19</v>
      </c>
      <c r="E996" s="7">
        <v>4</v>
      </c>
      <c r="F996" s="7">
        <f t="shared" si="15"/>
        <v>2</v>
      </c>
      <c r="G996" s="7" t="str">
        <f>LOOKUP(H996,[1]startdates!$A$2:$A$10,[1]startdates!$B$2:$B$10)</f>
        <v>SMr</v>
      </c>
      <c r="H996">
        <v>1</v>
      </c>
      <c r="O996" s="7">
        <v>163</v>
      </c>
    </row>
    <row r="997" spans="1:18" x14ac:dyDescent="0.2">
      <c r="A997">
        <v>996</v>
      </c>
      <c r="B997" s="1">
        <v>40756</v>
      </c>
      <c r="C997" t="s">
        <v>24</v>
      </c>
      <c r="D997" s="7">
        <v>19</v>
      </c>
      <c r="E997" s="7">
        <v>4</v>
      </c>
      <c r="F997" s="7">
        <f t="shared" si="15"/>
        <v>2</v>
      </c>
      <c r="G997" s="7" t="str">
        <f>LOOKUP(H997,[1]startdates!$A$2:$A$10,[1]startdates!$B$2:$B$10)</f>
        <v>SMr</v>
      </c>
      <c r="H997">
        <v>1</v>
      </c>
      <c r="O997" s="7">
        <v>160</v>
      </c>
    </row>
    <row r="998" spans="1:18" x14ac:dyDescent="0.2">
      <c r="A998">
        <v>997</v>
      </c>
      <c r="B998" s="1">
        <v>40756</v>
      </c>
      <c r="C998" t="s">
        <v>24</v>
      </c>
      <c r="D998" s="7">
        <v>19</v>
      </c>
      <c r="E998" s="7">
        <v>4</v>
      </c>
      <c r="F998" s="7">
        <f t="shared" si="15"/>
        <v>2</v>
      </c>
      <c r="G998" s="7" t="str">
        <f>LOOKUP(H998,[1]startdates!$A$2:$A$10,[1]startdates!$B$2:$B$10)</f>
        <v>SMr</v>
      </c>
      <c r="H998">
        <v>1</v>
      </c>
      <c r="O998" s="7">
        <v>199</v>
      </c>
    </row>
    <row r="999" spans="1:18" x14ac:dyDescent="0.2">
      <c r="A999">
        <v>998</v>
      </c>
      <c r="B999" s="1">
        <v>40756</v>
      </c>
      <c r="C999" t="s">
        <v>24</v>
      </c>
      <c r="D999" s="7">
        <v>19</v>
      </c>
      <c r="E999" s="7">
        <v>4</v>
      </c>
      <c r="F999" s="7">
        <f t="shared" si="15"/>
        <v>2</v>
      </c>
      <c r="G999" s="7" t="str">
        <f>LOOKUP(H999,[1]startdates!$A$2:$A$10,[1]startdates!$B$2:$B$10)</f>
        <v>SMr</v>
      </c>
      <c r="H999">
        <v>1</v>
      </c>
      <c r="O999" s="7">
        <v>171</v>
      </c>
    </row>
    <row r="1000" spans="1:18" x14ac:dyDescent="0.2">
      <c r="A1000">
        <v>999</v>
      </c>
      <c r="B1000" s="1">
        <v>40756</v>
      </c>
      <c r="C1000" t="s">
        <v>24</v>
      </c>
      <c r="D1000" s="7">
        <v>19</v>
      </c>
      <c r="E1000" s="7">
        <v>4</v>
      </c>
      <c r="F1000" s="7">
        <f t="shared" si="15"/>
        <v>2</v>
      </c>
      <c r="G1000" s="7" t="str">
        <f>LOOKUP(H1000,[1]startdates!$A$2:$A$10,[1]startdates!$B$2:$B$10)</f>
        <v>SMr</v>
      </c>
      <c r="H1000">
        <v>1</v>
      </c>
      <c r="O1000" s="7">
        <v>181</v>
      </c>
    </row>
    <row r="1001" spans="1:18" x14ac:dyDescent="0.2">
      <c r="A1001">
        <v>1000</v>
      </c>
      <c r="B1001" s="1">
        <v>40756</v>
      </c>
      <c r="C1001" t="s">
        <v>24</v>
      </c>
      <c r="D1001" s="7">
        <v>19</v>
      </c>
      <c r="E1001" s="7">
        <v>4</v>
      </c>
      <c r="F1001" s="7">
        <f t="shared" ref="F1001:F1064" si="16">WEEKDAY(B1001)</f>
        <v>2</v>
      </c>
      <c r="G1001" s="7" t="str">
        <f>LOOKUP(H1001,[1]startdates!$A$2:$A$10,[1]startdates!$B$2:$B$10)</f>
        <v>SMr</v>
      </c>
      <c r="H1001">
        <v>1</v>
      </c>
      <c r="O1001" s="7">
        <v>187</v>
      </c>
    </row>
    <row r="1002" spans="1:18" x14ac:dyDescent="0.2">
      <c r="A1002">
        <v>1001</v>
      </c>
      <c r="B1002" s="1">
        <v>40756</v>
      </c>
      <c r="C1002" t="s">
        <v>24</v>
      </c>
      <c r="D1002" s="7">
        <v>19</v>
      </c>
      <c r="E1002" s="7">
        <v>4</v>
      </c>
      <c r="F1002" s="7">
        <f t="shared" si="16"/>
        <v>2</v>
      </c>
      <c r="G1002" s="7" t="str">
        <f>LOOKUP(H1002,[1]startdates!$A$2:$A$10,[1]startdates!$B$2:$B$10)</f>
        <v>SMr</v>
      </c>
      <c r="H1002">
        <v>1</v>
      </c>
      <c r="O1002" s="7">
        <v>159</v>
      </c>
    </row>
    <row r="1003" spans="1:18" x14ac:dyDescent="0.2">
      <c r="A1003">
        <v>1002</v>
      </c>
      <c r="B1003" s="1">
        <v>40756</v>
      </c>
      <c r="C1003" t="s">
        <v>24</v>
      </c>
      <c r="D1003" s="7">
        <v>19</v>
      </c>
      <c r="E1003" s="7">
        <v>4</v>
      </c>
      <c r="F1003" s="7">
        <f t="shared" si="16"/>
        <v>2</v>
      </c>
      <c r="G1003" s="7" t="str">
        <f>LOOKUP(H1003,[1]startdates!$A$2:$A$10,[1]startdates!$B$2:$B$10)</f>
        <v>SMr</v>
      </c>
      <c r="H1003">
        <v>1</v>
      </c>
      <c r="O1003" s="7">
        <v>197</v>
      </c>
    </row>
    <row r="1004" spans="1:18" x14ac:dyDescent="0.2">
      <c r="A1004">
        <v>1003</v>
      </c>
      <c r="B1004" s="1">
        <v>40756</v>
      </c>
      <c r="C1004" t="s">
        <v>24</v>
      </c>
      <c r="D1004" s="7">
        <v>19</v>
      </c>
      <c r="E1004" s="7">
        <v>4</v>
      </c>
      <c r="F1004" s="7">
        <f t="shared" si="16"/>
        <v>2</v>
      </c>
      <c r="G1004" s="7" t="str">
        <f>LOOKUP(H1004,[1]startdates!$A$2:$A$10,[1]startdates!$B$2:$B$10)</f>
        <v>SMr</v>
      </c>
      <c r="H1004">
        <v>1</v>
      </c>
      <c r="O1004" s="7">
        <v>165</v>
      </c>
    </row>
    <row r="1005" spans="1:18" x14ac:dyDescent="0.2">
      <c r="A1005">
        <v>1004</v>
      </c>
      <c r="B1005" s="1">
        <v>40756</v>
      </c>
      <c r="C1005" t="s">
        <v>24</v>
      </c>
      <c r="D1005" s="7">
        <v>19</v>
      </c>
      <c r="E1005" s="7">
        <v>4</v>
      </c>
      <c r="F1005" s="7">
        <f t="shared" si="16"/>
        <v>2</v>
      </c>
      <c r="G1005" s="7" t="str">
        <f>LOOKUP(H1005,[1]startdates!$A$2:$A$10,[1]startdates!$B$2:$B$10)</f>
        <v>SMr</v>
      </c>
      <c r="H1005">
        <v>1</v>
      </c>
      <c r="O1005" s="7">
        <v>169</v>
      </c>
    </row>
    <row r="1006" spans="1:18" x14ac:dyDescent="0.2">
      <c r="A1006">
        <v>1005</v>
      </c>
      <c r="B1006" s="1">
        <v>40756</v>
      </c>
      <c r="C1006" t="s">
        <v>24</v>
      </c>
      <c r="D1006" s="7">
        <v>19</v>
      </c>
      <c r="E1006" s="7">
        <v>4</v>
      </c>
      <c r="F1006" s="7">
        <f t="shared" si="16"/>
        <v>2</v>
      </c>
      <c r="G1006" s="7" t="str">
        <f>LOOKUP(H1006,[1]startdates!$A$2:$A$10,[1]startdates!$B$2:$B$10)</f>
        <v>SMr</v>
      </c>
      <c r="H1006">
        <v>1</v>
      </c>
      <c r="O1006" s="7">
        <v>170</v>
      </c>
    </row>
    <row r="1007" spans="1:18" x14ac:dyDescent="0.2">
      <c r="A1007">
        <v>1006</v>
      </c>
      <c r="B1007" s="1">
        <v>40756</v>
      </c>
      <c r="C1007" t="s">
        <v>28</v>
      </c>
      <c r="D1007" s="7">
        <v>19</v>
      </c>
      <c r="E1007" s="7">
        <v>4</v>
      </c>
      <c r="F1007" s="7">
        <f t="shared" si="16"/>
        <v>2</v>
      </c>
      <c r="G1007" s="7" t="str">
        <f>LOOKUP(H1007,[1]startdates!$A$2:$A$10,[1]startdates!$B$2:$B$10)</f>
        <v>SMr</v>
      </c>
      <c r="H1007">
        <v>2</v>
      </c>
      <c r="I1007" s="7">
        <v>684</v>
      </c>
      <c r="K1007" s="7">
        <v>597</v>
      </c>
      <c r="L1007" s="7">
        <v>431</v>
      </c>
      <c r="M1007" s="7">
        <v>306</v>
      </c>
      <c r="N1007" s="7">
        <v>189</v>
      </c>
      <c r="O1007" s="7">
        <v>159</v>
      </c>
      <c r="Q1007" s="7">
        <v>347</v>
      </c>
      <c r="R1007" s="7">
        <v>282</v>
      </c>
    </row>
    <row r="1008" spans="1:18" x14ac:dyDescent="0.2">
      <c r="A1008">
        <v>1007</v>
      </c>
      <c r="B1008" s="1">
        <v>40756</v>
      </c>
      <c r="C1008" t="s">
        <v>28</v>
      </c>
      <c r="D1008" s="7">
        <v>19</v>
      </c>
      <c r="E1008" s="7">
        <v>4</v>
      </c>
      <c r="F1008" s="7">
        <f t="shared" si="16"/>
        <v>2</v>
      </c>
      <c r="G1008" s="7" t="str">
        <f>LOOKUP(H1008,[1]startdates!$A$2:$A$10,[1]startdates!$B$2:$B$10)</f>
        <v>SMr</v>
      </c>
      <c r="H1008">
        <v>2</v>
      </c>
      <c r="I1008" s="7">
        <v>690</v>
      </c>
      <c r="K1008" s="7">
        <v>556</v>
      </c>
      <c r="L1008" s="7">
        <v>426</v>
      </c>
      <c r="N1008" s="7">
        <v>195</v>
      </c>
      <c r="O1008" s="7">
        <v>145</v>
      </c>
    </row>
    <row r="1009" spans="1:16" x14ac:dyDescent="0.2">
      <c r="A1009">
        <v>1008</v>
      </c>
      <c r="B1009" s="1">
        <v>40756</v>
      </c>
      <c r="C1009" t="s">
        <v>28</v>
      </c>
      <c r="D1009" s="7">
        <v>19</v>
      </c>
      <c r="E1009" s="7">
        <v>4</v>
      </c>
      <c r="F1009" s="7">
        <f t="shared" si="16"/>
        <v>2</v>
      </c>
      <c r="G1009" s="7" t="str">
        <f>LOOKUP(H1009,[1]startdates!$A$2:$A$10,[1]startdates!$B$2:$B$10)</f>
        <v>SMr</v>
      </c>
      <c r="H1009">
        <v>2</v>
      </c>
      <c r="I1009" s="7">
        <v>664</v>
      </c>
      <c r="K1009" s="7">
        <v>561</v>
      </c>
      <c r="N1009" s="7">
        <v>235</v>
      </c>
      <c r="O1009" s="7">
        <v>156</v>
      </c>
    </row>
    <row r="1010" spans="1:16" x14ac:dyDescent="0.2">
      <c r="A1010">
        <v>1009</v>
      </c>
      <c r="B1010" s="1">
        <v>40756</v>
      </c>
      <c r="C1010" t="s">
        <v>28</v>
      </c>
      <c r="D1010" s="7">
        <v>19</v>
      </c>
      <c r="E1010" s="7">
        <v>4</v>
      </c>
      <c r="F1010" s="7">
        <f t="shared" si="16"/>
        <v>2</v>
      </c>
      <c r="G1010" s="7" t="str">
        <f>LOOKUP(H1010,[1]startdates!$A$2:$A$10,[1]startdates!$B$2:$B$10)</f>
        <v>SMr</v>
      </c>
      <c r="H1010">
        <v>2</v>
      </c>
      <c r="I1010" s="7">
        <v>592</v>
      </c>
      <c r="K1010" s="7">
        <v>519</v>
      </c>
      <c r="N1010" s="7">
        <v>176</v>
      </c>
      <c r="O1010" s="7">
        <v>154</v>
      </c>
    </row>
    <row r="1011" spans="1:16" x14ac:dyDescent="0.2">
      <c r="A1011">
        <v>1010</v>
      </c>
      <c r="B1011" s="1">
        <v>40756</v>
      </c>
      <c r="C1011" t="s">
        <v>28</v>
      </c>
      <c r="D1011" s="7">
        <v>19</v>
      </c>
      <c r="E1011" s="7">
        <v>4</v>
      </c>
      <c r="F1011" s="7">
        <f t="shared" si="16"/>
        <v>2</v>
      </c>
      <c r="G1011" s="7" t="str">
        <f>LOOKUP(H1011,[1]startdates!$A$2:$A$10,[1]startdates!$B$2:$B$10)</f>
        <v>SMr</v>
      </c>
      <c r="H1011">
        <v>2</v>
      </c>
      <c r="I1011" s="7">
        <v>539</v>
      </c>
      <c r="N1011" s="7">
        <v>204</v>
      </c>
      <c r="O1011" s="7">
        <v>167</v>
      </c>
    </row>
    <row r="1012" spans="1:16" x14ac:dyDescent="0.2">
      <c r="A1012">
        <v>1011</v>
      </c>
      <c r="B1012" s="1">
        <v>40756</v>
      </c>
      <c r="C1012" t="s">
        <v>28</v>
      </c>
      <c r="D1012" s="7">
        <v>19</v>
      </c>
      <c r="E1012" s="7">
        <v>4</v>
      </c>
      <c r="F1012" s="7">
        <f t="shared" si="16"/>
        <v>2</v>
      </c>
      <c r="G1012" s="7" t="str">
        <f>LOOKUP(H1012,[1]startdates!$A$2:$A$10,[1]startdates!$B$2:$B$10)</f>
        <v>SMr</v>
      </c>
      <c r="H1012">
        <v>2</v>
      </c>
      <c r="I1012" s="7">
        <v>585</v>
      </c>
      <c r="O1012" s="7">
        <v>169</v>
      </c>
    </row>
    <row r="1013" spans="1:16" x14ac:dyDescent="0.2">
      <c r="A1013">
        <v>1012</v>
      </c>
      <c r="B1013" s="1">
        <v>40756</v>
      </c>
      <c r="C1013" t="s">
        <v>28</v>
      </c>
      <c r="D1013" s="7">
        <v>19</v>
      </c>
      <c r="E1013" s="7">
        <v>4</v>
      </c>
      <c r="F1013" s="7">
        <f t="shared" si="16"/>
        <v>2</v>
      </c>
      <c r="G1013" s="7" t="str">
        <f>LOOKUP(H1013,[1]startdates!$A$2:$A$10,[1]startdates!$B$2:$B$10)</f>
        <v>SMr</v>
      </c>
      <c r="H1013">
        <v>2</v>
      </c>
      <c r="O1013" s="7">
        <v>153</v>
      </c>
    </row>
    <row r="1014" spans="1:16" x14ac:dyDescent="0.2">
      <c r="A1014">
        <v>1013</v>
      </c>
      <c r="B1014" s="1">
        <v>40756</v>
      </c>
      <c r="C1014" t="s">
        <v>28</v>
      </c>
      <c r="D1014" s="7">
        <v>19</v>
      </c>
      <c r="E1014" s="7">
        <v>4</v>
      </c>
      <c r="F1014" s="7">
        <f t="shared" si="16"/>
        <v>2</v>
      </c>
      <c r="G1014" s="7" t="str">
        <f>LOOKUP(H1014,[1]startdates!$A$2:$A$10,[1]startdates!$B$2:$B$10)</f>
        <v>SMr</v>
      </c>
      <c r="H1014">
        <v>2</v>
      </c>
      <c r="O1014" s="7">
        <v>167</v>
      </c>
    </row>
    <row r="1015" spans="1:16" x14ac:dyDescent="0.2">
      <c r="A1015">
        <v>1014</v>
      </c>
      <c r="B1015" s="1">
        <v>40756</v>
      </c>
      <c r="C1015" t="s">
        <v>28</v>
      </c>
      <c r="D1015" s="7">
        <v>19</v>
      </c>
      <c r="E1015" s="7">
        <v>4</v>
      </c>
      <c r="F1015" s="7">
        <f t="shared" si="16"/>
        <v>2</v>
      </c>
      <c r="G1015" s="7" t="str">
        <f>LOOKUP(H1015,[1]startdates!$A$2:$A$10,[1]startdates!$B$2:$B$10)</f>
        <v>SMr</v>
      </c>
      <c r="H1015">
        <v>2</v>
      </c>
      <c r="O1015" s="7">
        <v>158</v>
      </c>
    </row>
    <row r="1016" spans="1:16" x14ac:dyDescent="0.2">
      <c r="A1016">
        <v>1015</v>
      </c>
      <c r="B1016" s="1">
        <v>40756</v>
      </c>
      <c r="C1016" t="s">
        <v>28</v>
      </c>
      <c r="D1016" s="7">
        <v>19</v>
      </c>
      <c r="E1016" s="7">
        <v>4</v>
      </c>
      <c r="F1016" s="7">
        <f t="shared" si="16"/>
        <v>2</v>
      </c>
      <c r="G1016" s="7" t="str">
        <f>LOOKUP(H1016,[1]startdates!$A$2:$A$10,[1]startdates!$B$2:$B$10)</f>
        <v>SMr</v>
      </c>
      <c r="H1016">
        <v>2</v>
      </c>
      <c r="O1016" s="7">
        <v>149</v>
      </c>
    </row>
    <row r="1017" spans="1:16" x14ac:dyDescent="0.2">
      <c r="A1017">
        <v>1016</v>
      </c>
      <c r="B1017" s="1">
        <v>40756</v>
      </c>
      <c r="C1017" t="s">
        <v>28</v>
      </c>
      <c r="D1017" s="7">
        <v>19</v>
      </c>
      <c r="E1017" s="7">
        <v>4</v>
      </c>
      <c r="F1017" s="7">
        <f t="shared" si="16"/>
        <v>2</v>
      </c>
      <c r="G1017" s="7" t="str">
        <f>LOOKUP(H1017,[1]startdates!$A$2:$A$10,[1]startdates!$B$2:$B$10)</f>
        <v>SMr</v>
      </c>
      <c r="H1017">
        <v>2</v>
      </c>
      <c r="O1017" s="7">
        <v>155</v>
      </c>
    </row>
    <row r="1018" spans="1:16" x14ac:dyDescent="0.2">
      <c r="A1018">
        <v>1017</v>
      </c>
      <c r="B1018" s="1">
        <v>40756</v>
      </c>
      <c r="C1018" t="s">
        <v>28</v>
      </c>
      <c r="D1018" s="7">
        <v>19</v>
      </c>
      <c r="E1018" s="7">
        <v>4</v>
      </c>
      <c r="F1018" s="7">
        <f t="shared" si="16"/>
        <v>2</v>
      </c>
      <c r="G1018" s="7" t="str">
        <f>LOOKUP(H1018,[1]startdates!$A$2:$A$10,[1]startdates!$B$2:$B$10)</f>
        <v>SMr</v>
      </c>
      <c r="H1018">
        <v>2</v>
      </c>
      <c r="O1018" s="7">
        <v>163</v>
      </c>
    </row>
    <row r="1019" spans="1:16" x14ac:dyDescent="0.2">
      <c r="A1019">
        <v>1018</v>
      </c>
      <c r="B1019" s="1">
        <v>40756</v>
      </c>
      <c r="C1019" t="s">
        <v>28</v>
      </c>
      <c r="D1019" s="7">
        <v>19</v>
      </c>
      <c r="E1019" s="7">
        <v>4</v>
      </c>
      <c r="F1019" s="7">
        <f t="shared" si="16"/>
        <v>2</v>
      </c>
      <c r="G1019" s="7" t="str">
        <f>LOOKUP(H1019,[1]startdates!$A$2:$A$10,[1]startdates!$B$2:$B$10)</f>
        <v>SMr</v>
      </c>
      <c r="H1019">
        <v>2</v>
      </c>
      <c r="O1019" s="7">
        <v>150</v>
      </c>
    </row>
    <row r="1020" spans="1:16" x14ac:dyDescent="0.2">
      <c r="A1020">
        <v>1019</v>
      </c>
      <c r="B1020" s="1">
        <v>40756</v>
      </c>
      <c r="C1020" t="s">
        <v>28</v>
      </c>
      <c r="D1020" s="7">
        <v>19</v>
      </c>
      <c r="E1020" s="7">
        <v>4</v>
      </c>
      <c r="F1020" s="7">
        <f t="shared" si="16"/>
        <v>2</v>
      </c>
      <c r="G1020" s="7" t="str">
        <f>LOOKUP(H1020,[1]startdates!$A$2:$A$10,[1]startdates!$B$2:$B$10)</f>
        <v>C</v>
      </c>
      <c r="H1020">
        <v>3</v>
      </c>
      <c r="I1020" s="7">
        <v>613</v>
      </c>
      <c r="K1020" s="7">
        <v>576</v>
      </c>
      <c r="M1020" s="7">
        <v>262</v>
      </c>
      <c r="N1020" s="7">
        <v>191</v>
      </c>
      <c r="O1020" s="7">
        <v>179</v>
      </c>
      <c r="P1020" s="7">
        <v>521</v>
      </c>
    </row>
    <row r="1021" spans="1:16" x14ac:dyDescent="0.2">
      <c r="A1021">
        <v>1020</v>
      </c>
      <c r="B1021" s="1">
        <v>40756</v>
      </c>
      <c r="C1021" t="s">
        <v>28</v>
      </c>
      <c r="D1021" s="7">
        <v>19</v>
      </c>
      <c r="E1021" s="7">
        <v>4</v>
      </c>
      <c r="F1021" s="7">
        <f t="shared" si="16"/>
        <v>2</v>
      </c>
      <c r="G1021" s="7" t="str">
        <f>LOOKUP(H1021,[1]startdates!$A$2:$A$10,[1]startdates!$B$2:$B$10)</f>
        <v>C</v>
      </c>
      <c r="H1021">
        <v>3</v>
      </c>
      <c r="I1021" s="7">
        <v>703</v>
      </c>
      <c r="K1021" s="7">
        <v>577</v>
      </c>
      <c r="M1021" s="7">
        <v>271</v>
      </c>
      <c r="N1021" s="7">
        <v>175</v>
      </c>
      <c r="O1021" s="7">
        <v>180</v>
      </c>
      <c r="P1021" s="7">
        <v>519</v>
      </c>
    </row>
    <row r="1022" spans="1:16" x14ac:dyDescent="0.2">
      <c r="A1022">
        <v>1021</v>
      </c>
      <c r="B1022" s="1">
        <v>40756</v>
      </c>
      <c r="C1022" t="s">
        <v>28</v>
      </c>
      <c r="D1022" s="7">
        <v>19</v>
      </c>
      <c r="E1022" s="7">
        <v>4</v>
      </c>
      <c r="F1022" s="7">
        <f t="shared" si="16"/>
        <v>2</v>
      </c>
      <c r="G1022" s="7" t="str">
        <f>LOOKUP(H1022,[1]startdates!$A$2:$A$10,[1]startdates!$B$2:$B$10)</f>
        <v>C</v>
      </c>
      <c r="H1022">
        <v>3</v>
      </c>
      <c r="I1022" s="7">
        <v>595</v>
      </c>
      <c r="K1022" s="7">
        <v>572</v>
      </c>
      <c r="M1022" s="7">
        <v>268</v>
      </c>
      <c r="N1022" s="7">
        <v>170</v>
      </c>
      <c r="O1022" s="7">
        <v>165</v>
      </c>
    </row>
    <row r="1023" spans="1:16" x14ac:dyDescent="0.2">
      <c r="A1023">
        <v>1022</v>
      </c>
      <c r="B1023" s="1">
        <v>40756</v>
      </c>
      <c r="C1023" t="s">
        <v>28</v>
      </c>
      <c r="D1023" s="7">
        <v>19</v>
      </c>
      <c r="E1023" s="7">
        <v>4</v>
      </c>
      <c r="F1023" s="7">
        <f t="shared" si="16"/>
        <v>2</v>
      </c>
      <c r="G1023" s="7" t="str">
        <f>LOOKUP(H1023,[1]startdates!$A$2:$A$10,[1]startdates!$B$2:$B$10)</f>
        <v>C</v>
      </c>
      <c r="H1023">
        <v>3</v>
      </c>
      <c r="I1023" s="7">
        <v>567</v>
      </c>
      <c r="K1023" s="7">
        <v>545</v>
      </c>
      <c r="M1023" s="7">
        <v>262</v>
      </c>
      <c r="N1023" s="7">
        <v>170</v>
      </c>
      <c r="O1023" s="7">
        <v>167</v>
      </c>
    </row>
    <row r="1024" spans="1:16" x14ac:dyDescent="0.2">
      <c r="A1024">
        <v>1023</v>
      </c>
      <c r="B1024" s="1">
        <v>40756</v>
      </c>
      <c r="C1024" t="s">
        <v>28</v>
      </c>
      <c r="D1024" s="7">
        <v>19</v>
      </c>
      <c r="E1024" s="7">
        <v>4</v>
      </c>
      <c r="F1024" s="7">
        <f t="shared" si="16"/>
        <v>2</v>
      </c>
      <c r="G1024" s="7" t="str">
        <f>LOOKUP(H1024,[1]startdates!$A$2:$A$10,[1]startdates!$B$2:$B$10)</f>
        <v>C</v>
      </c>
      <c r="H1024">
        <v>3</v>
      </c>
      <c r="I1024" s="7">
        <v>641</v>
      </c>
      <c r="N1024" s="7">
        <v>191</v>
      </c>
      <c r="O1024" s="7">
        <v>160</v>
      </c>
    </row>
    <row r="1025" spans="1:15" x14ac:dyDescent="0.2">
      <c r="A1025">
        <v>1024</v>
      </c>
      <c r="B1025" s="1">
        <v>40756</v>
      </c>
      <c r="C1025" t="s">
        <v>28</v>
      </c>
      <c r="D1025" s="7">
        <v>19</v>
      </c>
      <c r="E1025" s="7">
        <v>4</v>
      </c>
      <c r="F1025" s="7">
        <f t="shared" si="16"/>
        <v>2</v>
      </c>
      <c r="G1025" s="7" t="str">
        <f>LOOKUP(H1025,[1]startdates!$A$2:$A$10,[1]startdates!$B$2:$B$10)</f>
        <v>C</v>
      </c>
      <c r="H1025">
        <v>3</v>
      </c>
      <c r="I1025" s="7">
        <v>628</v>
      </c>
      <c r="N1025" s="7">
        <v>171</v>
      </c>
      <c r="O1025" s="7">
        <v>134</v>
      </c>
    </row>
    <row r="1026" spans="1:15" x14ac:dyDescent="0.2">
      <c r="A1026">
        <v>1025</v>
      </c>
      <c r="B1026" s="1">
        <v>40756</v>
      </c>
      <c r="C1026" t="s">
        <v>28</v>
      </c>
      <c r="D1026" s="7">
        <v>19</v>
      </c>
      <c r="E1026" s="7">
        <v>4</v>
      </c>
      <c r="F1026" s="7">
        <f t="shared" si="16"/>
        <v>2</v>
      </c>
      <c r="G1026" s="7" t="str">
        <f>LOOKUP(H1026,[1]startdates!$A$2:$A$10,[1]startdates!$B$2:$B$10)</f>
        <v>C</v>
      </c>
      <c r="H1026">
        <v>3</v>
      </c>
      <c r="N1026" s="7">
        <v>191</v>
      </c>
      <c r="O1026" s="7">
        <v>181</v>
      </c>
    </row>
    <row r="1027" spans="1:15" x14ac:dyDescent="0.2">
      <c r="A1027">
        <v>1026</v>
      </c>
      <c r="B1027" s="1">
        <v>40756</v>
      </c>
      <c r="C1027" t="s">
        <v>28</v>
      </c>
      <c r="D1027" s="7">
        <v>19</v>
      </c>
      <c r="E1027" s="7">
        <v>4</v>
      </c>
      <c r="F1027" s="7">
        <f t="shared" si="16"/>
        <v>2</v>
      </c>
      <c r="G1027" s="7" t="str">
        <f>LOOKUP(H1027,[1]startdates!$A$2:$A$10,[1]startdates!$B$2:$B$10)</f>
        <v>C</v>
      </c>
      <c r="H1027">
        <v>3</v>
      </c>
      <c r="N1027" s="7">
        <v>180</v>
      </c>
      <c r="O1027" s="7">
        <v>166</v>
      </c>
    </row>
    <row r="1028" spans="1:15" x14ac:dyDescent="0.2">
      <c r="A1028">
        <v>1027</v>
      </c>
      <c r="B1028" s="1">
        <v>40756</v>
      </c>
      <c r="C1028" t="s">
        <v>28</v>
      </c>
      <c r="D1028" s="7">
        <v>19</v>
      </c>
      <c r="E1028" s="7">
        <v>4</v>
      </c>
      <c r="F1028" s="7">
        <f t="shared" si="16"/>
        <v>2</v>
      </c>
      <c r="G1028" s="7" t="str">
        <f>LOOKUP(H1028,[1]startdates!$A$2:$A$10,[1]startdates!$B$2:$B$10)</f>
        <v>C</v>
      </c>
      <c r="H1028">
        <v>3</v>
      </c>
      <c r="N1028" s="7">
        <v>184</v>
      </c>
      <c r="O1028" s="7">
        <v>170</v>
      </c>
    </row>
    <row r="1029" spans="1:15" x14ac:dyDescent="0.2">
      <c r="A1029">
        <v>1028</v>
      </c>
      <c r="B1029" s="1">
        <v>40756</v>
      </c>
      <c r="C1029" t="s">
        <v>28</v>
      </c>
      <c r="D1029" s="7">
        <v>19</v>
      </c>
      <c r="E1029" s="7">
        <v>4</v>
      </c>
      <c r="F1029" s="7">
        <f t="shared" si="16"/>
        <v>2</v>
      </c>
      <c r="G1029" s="7" t="str">
        <f>LOOKUP(H1029,[1]startdates!$A$2:$A$10,[1]startdates!$B$2:$B$10)</f>
        <v>C</v>
      </c>
      <c r="H1029">
        <v>3</v>
      </c>
      <c r="O1029" s="7">
        <v>161</v>
      </c>
    </row>
    <row r="1030" spans="1:15" x14ac:dyDescent="0.2">
      <c r="A1030">
        <v>1029</v>
      </c>
      <c r="B1030" s="1">
        <v>40756</v>
      </c>
      <c r="C1030" t="s">
        <v>28</v>
      </c>
      <c r="D1030" s="7">
        <v>19</v>
      </c>
      <c r="E1030" s="7">
        <v>4</v>
      </c>
      <c r="F1030" s="7">
        <f t="shared" si="16"/>
        <v>2</v>
      </c>
      <c r="G1030" s="7" t="str">
        <f>LOOKUP(H1030,[1]startdates!$A$2:$A$10,[1]startdates!$B$2:$B$10)</f>
        <v>C</v>
      </c>
      <c r="H1030">
        <v>3</v>
      </c>
      <c r="O1030" s="7">
        <v>147</v>
      </c>
    </row>
    <row r="1031" spans="1:15" x14ac:dyDescent="0.2">
      <c r="A1031">
        <v>1030</v>
      </c>
      <c r="B1031" s="1">
        <v>40756</v>
      </c>
      <c r="C1031" t="s">
        <v>24</v>
      </c>
      <c r="D1031" s="7">
        <v>19</v>
      </c>
      <c r="E1031" s="7">
        <v>4</v>
      </c>
      <c r="F1031" s="7">
        <f t="shared" si="16"/>
        <v>2</v>
      </c>
      <c r="G1031" s="7" t="str">
        <f>LOOKUP(H1031,[1]startdates!$A$2:$A$10,[1]startdates!$B$2:$B$10)</f>
        <v>SMr</v>
      </c>
      <c r="H1031">
        <v>4</v>
      </c>
      <c r="I1031" s="7">
        <v>673</v>
      </c>
      <c r="K1031" s="7">
        <v>505</v>
      </c>
      <c r="L1031" s="7">
        <v>413</v>
      </c>
      <c r="M1031" s="7">
        <v>288</v>
      </c>
      <c r="N1031" s="7">
        <v>179</v>
      </c>
      <c r="O1031" s="7">
        <v>161</v>
      </c>
    </row>
    <row r="1032" spans="1:15" x14ac:dyDescent="0.2">
      <c r="A1032">
        <v>1031</v>
      </c>
      <c r="B1032" s="1">
        <v>40756</v>
      </c>
      <c r="C1032" t="s">
        <v>24</v>
      </c>
      <c r="D1032" s="7">
        <v>19</v>
      </c>
      <c r="E1032" s="7">
        <v>4</v>
      </c>
      <c r="F1032" s="7">
        <f t="shared" si="16"/>
        <v>2</v>
      </c>
      <c r="G1032" s="7" t="str">
        <f>LOOKUP(H1032,[1]startdates!$A$2:$A$10,[1]startdates!$B$2:$B$10)</f>
        <v>SMr</v>
      </c>
      <c r="H1032">
        <v>4</v>
      </c>
      <c r="I1032" s="7">
        <v>646</v>
      </c>
      <c r="K1032" s="7">
        <v>560</v>
      </c>
      <c r="L1032" s="7">
        <v>424</v>
      </c>
      <c r="M1032" s="7">
        <v>266</v>
      </c>
      <c r="N1032" s="7">
        <v>166</v>
      </c>
      <c r="O1032" s="7">
        <v>173</v>
      </c>
    </row>
    <row r="1033" spans="1:15" x14ac:dyDescent="0.2">
      <c r="A1033">
        <v>1032</v>
      </c>
      <c r="B1033" s="1">
        <v>40756</v>
      </c>
      <c r="C1033" t="s">
        <v>24</v>
      </c>
      <c r="D1033" s="7">
        <v>19</v>
      </c>
      <c r="E1033" s="7">
        <v>4</v>
      </c>
      <c r="F1033" s="7">
        <f t="shared" si="16"/>
        <v>2</v>
      </c>
      <c r="G1033" s="7" t="str">
        <f>LOOKUP(H1033,[1]startdates!$A$2:$A$10,[1]startdates!$B$2:$B$10)</f>
        <v>SMr</v>
      </c>
      <c r="H1033">
        <v>4</v>
      </c>
      <c r="I1033" s="7">
        <v>574</v>
      </c>
      <c r="K1033" s="7">
        <v>546</v>
      </c>
      <c r="L1033" s="7">
        <v>480</v>
      </c>
      <c r="M1033" s="7">
        <v>278</v>
      </c>
      <c r="N1033" s="7">
        <v>233</v>
      </c>
      <c r="O1033" s="7">
        <v>150</v>
      </c>
    </row>
    <row r="1034" spans="1:15" x14ac:dyDescent="0.2">
      <c r="A1034">
        <v>1033</v>
      </c>
      <c r="B1034" s="1">
        <v>40756</v>
      </c>
      <c r="C1034" t="s">
        <v>24</v>
      </c>
      <c r="D1034" s="7">
        <v>19</v>
      </c>
      <c r="E1034" s="7">
        <v>4</v>
      </c>
      <c r="F1034" s="7">
        <f t="shared" si="16"/>
        <v>2</v>
      </c>
      <c r="G1034" s="7" t="str">
        <f>LOOKUP(H1034,[1]startdates!$A$2:$A$10,[1]startdates!$B$2:$B$10)</f>
        <v>SMr</v>
      </c>
      <c r="H1034">
        <v>4</v>
      </c>
      <c r="I1034" s="7">
        <v>576</v>
      </c>
      <c r="K1034" s="7">
        <v>559</v>
      </c>
      <c r="L1034" s="7">
        <v>418</v>
      </c>
      <c r="M1034" s="7">
        <v>276</v>
      </c>
      <c r="N1034" s="7">
        <v>213</v>
      </c>
      <c r="O1034" s="7">
        <v>173</v>
      </c>
    </row>
    <row r="1035" spans="1:15" x14ac:dyDescent="0.2">
      <c r="A1035">
        <v>1034</v>
      </c>
      <c r="B1035" s="1">
        <v>40756</v>
      </c>
      <c r="C1035" t="s">
        <v>24</v>
      </c>
      <c r="D1035" s="7">
        <v>19</v>
      </c>
      <c r="E1035" s="7">
        <v>4</v>
      </c>
      <c r="F1035" s="7">
        <f t="shared" si="16"/>
        <v>2</v>
      </c>
      <c r="G1035" s="7" t="str">
        <f>LOOKUP(H1035,[1]startdates!$A$2:$A$10,[1]startdates!$B$2:$B$10)</f>
        <v>SMr</v>
      </c>
      <c r="H1035">
        <v>4</v>
      </c>
      <c r="K1035" s="7">
        <v>456</v>
      </c>
      <c r="M1035" s="7">
        <v>310</v>
      </c>
      <c r="N1035" s="7">
        <v>196</v>
      </c>
      <c r="O1035" s="7">
        <v>186</v>
      </c>
    </row>
    <row r="1036" spans="1:15" x14ac:dyDescent="0.2">
      <c r="A1036">
        <v>1035</v>
      </c>
      <c r="B1036" s="1">
        <v>40756</v>
      </c>
      <c r="C1036" t="s">
        <v>24</v>
      </c>
      <c r="D1036" s="7">
        <v>19</v>
      </c>
      <c r="E1036" s="7">
        <v>4</v>
      </c>
      <c r="F1036" s="7">
        <f t="shared" si="16"/>
        <v>2</v>
      </c>
      <c r="G1036" s="7" t="str">
        <f>LOOKUP(H1036,[1]startdates!$A$2:$A$10,[1]startdates!$B$2:$B$10)</f>
        <v>SMr</v>
      </c>
      <c r="H1036">
        <v>4</v>
      </c>
      <c r="M1036" s="7">
        <v>294</v>
      </c>
      <c r="N1036" s="7">
        <v>177</v>
      </c>
      <c r="O1036" s="7">
        <v>187</v>
      </c>
    </row>
    <row r="1037" spans="1:15" x14ac:dyDescent="0.2">
      <c r="A1037">
        <v>1036</v>
      </c>
      <c r="B1037" s="1">
        <v>40756</v>
      </c>
      <c r="C1037" t="s">
        <v>24</v>
      </c>
      <c r="D1037" s="7">
        <v>19</v>
      </c>
      <c r="E1037" s="7">
        <v>4</v>
      </c>
      <c r="F1037" s="7">
        <f t="shared" si="16"/>
        <v>2</v>
      </c>
      <c r="G1037" s="7" t="str">
        <f>LOOKUP(H1037,[1]startdates!$A$2:$A$10,[1]startdates!$B$2:$B$10)</f>
        <v>SMr</v>
      </c>
      <c r="H1037">
        <v>4</v>
      </c>
      <c r="M1037" s="7">
        <v>300</v>
      </c>
      <c r="N1037" s="7">
        <v>176</v>
      </c>
      <c r="O1037" s="7">
        <v>157</v>
      </c>
    </row>
    <row r="1038" spans="1:15" x14ac:dyDescent="0.2">
      <c r="A1038">
        <v>1037</v>
      </c>
      <c r="B1038" s="1">
        <v>40756</v>
      </c>
      <c r="C1038" t="s">
        <v>24</v>
      </c>
      <c r="D1038" s="7">
        <v>19</v>
      </c>
      <c r="E1038" s="7">
        <v>4</v>
      </c>
      <c r="F1038" s="7">
        <f t="shared" si="16"/>
        <v>2</v>
      </c>
      <c r="G1038" s="7" t="str">
        <f>LOOKUP(H1038,[1]startdates!$A$2:$A$10,[1]startdates!$B$2:$B$10)</f>
        <v>SMr</v>
      </c>
      <c r="H1038">
        <v>4</v>
      </c>
      <c r="M1038" s="7">
        <v>377</v>
      </c>
      <c r="N1038" s="7">
        <v>195</v>
      </c>
      <c r="O1038" s="7">
        <v>169</v>
      </c>
    </row>
    <row r="1039" spans="1:15" x14ac:dyDescent="0.2">
      <c r="A1039">
        <v>1038</v>
      </c>
      <c r="B1039" s="1">
        <v>40756</v>
      </c>
      <c r="C1039" t="s">
        <v>24</v>
      </c>
      <c r="D1039" s="7">
        <v>19</v>
      </c>
      <c r="E1039" s="7">
        <v>4</v>
      </c>
      <c r="F1039" s="7">
        <f t="shared" si="16"/>
        <v>2</v>
      </c>
      <c r="G1039" s="7" t="str">
        <f>LOOKUP(H1039,[1]startdates!$A$2:$A$10,[1]startdates!$B$2:$B$10)</f>
        <v>SMr</v>
      </c>
      <c r="H1039">
        <v>4</v>
      </c>
      <c r="M1039" s="7">
        <v>244</v>
      </c>
      <c r="N1039" s="7">
        <v>186</v>
      </c>
      <c r="O1039" s="7">
        <v>177</v>
      </c>
    </row>
    <row r="1040" spans="1:15" x14ac:dyDescent="0.2">
      <c r="A1040">
        <v>1039</v>
      </c>
      <c r="B1040" s="1">
        <v>40756</v>
      </c>
      <c r="C1040" t="s">
        <v>24</v>
      </c>
      <c r="D1040" s="7">
        <v>19</v>
      </c>
      <c r="E1040" s="7">
        <v>4</v>
      </c>
      <c r="F1040" s="7">
        <f t="shared" si="16"/>
        <v>2</v>
      </c>
      <c r="G1040" s="7" t="str">
        <f>LOOKUP(H1040,[1]startdates!$A$2:$A$10,[1]startdates!$B$2:$B$10)</f>
        <v>SMr</v>
      </c>
      <c r="H1040">
        <v>4</v>
      </c>
      <c r="N1040" s="7">
        <v>180</v>
      </c>
      <c r="O1040" s="7">
        <v>163</v>
      </c>
    </row>
    <row r="1041" spans="1:17" x14ac:dyDescent="0.2">
      <c r="A1041">
        <v>1040</v>
      </c>
      <c r="B1041" s="1">
        <v>40756</v>
      </c>
      <c r="C1041" t="s">
        <v>24</v>
      </c>
      <c r="D1041" s="7">
        <v>19</v>
      </c>
      <c r="E1041" s="7">
        <v>4</v>
      </c>
      <c r="F1041" s="7">
        <f t="shared" si="16"/>
        <v>2</v>
      </c>
      <c r="G1041" s="7" t="str">
        <f>LOOKUP(H1041,[1]startdates!$A$2:$A$10,[1]startdates!$B$2:$B$10)</f>
        <v>SMr</v>
      </c>
      <c r="H1041">
        <v>4</v>
      </c>
      <c r="N1041" s="7">
        <v>179</v>
      </c>
      <c r="O1041" s="7">
        <v>152</v>
      </c>
    </row>
    <row r="1042" spans="1:17" x14ac:dyDescent="0.2">
      <c r="A1042">
        <v>1041</v>
      </c>
      <c r="B1042" s="1">
        <v>40756</v>
      </c>
      <c r="C1042" t="s">
        <v>24</v>
      </c>
      <c r="D1042" s="7">
        <v>19</v>
      </c>
      <c r="E1042" s="7">
        <v>4</v>
      </c>
      <c r="F1042" s="7">
        <f t="shared" si="16"/>
        <v>2</v>
      </c>
      <c r="G1042" s="7" t="str">
        <f>LOOKUP(H1042,[1]startdates!$A$2:$A$10,[1]startdates!$B$2:$B$10)</f>
        <v>SMr</v>
      </c>
      <c r="H1042">
        <v>4</v>
      </c>
      <c r="N1042" s="7">
        <v>181</v>
      </c>
      <c r="O1042" s="7">
        <v>146</v>
      </c>
    </row>
    <row r="1043" spans="1:17" x14ac:dyDescent="0.2">
      <c r="A1043">
        <v>1042</v>
      </c>
      <c r="B1043" s="1">
        <v>40756</v>
      </c>
      <c r="C1043" t="s">
        <v>24</v>
      </c>
      <c r="D1043" s="7">
        <v>19</v>
      </c>
      <c r="E1043" s="7">
        <v>4</v>
      </c>
      <c r="F1043" s="7">
        <f t="shared" si="16"/>
        <v>2</v>
      </c>
      <c r="G1043" s="7" t="str">
        <f>LOOKUP(H1043,[1]startdates!$A$2:$A$10,[1]startdates!$B$2:$B$10)</f>
        <v>SMr</v>
      </c>
      <c r="H1043">
        <v>4</v>
      </c>
      <c r="N1043" s="7">
        <v>180</v>
      </c>
      <c r="O1043" s="7">
        <v>160</v>
      </c>
    </row>
    <row r="1044" spans="1:17" x14ac:dyDescent="0.2">
      <c r="A1044">
        <v>1043</v>
      </c>
      <c r="B1044" s="1">
        <v>40756</v>
      </c>
      <c r="C1044" t="s">
        <v>24</v>
      </c>
      <c r="D1044" s="7">
        <v>19</v>
      </c>
      <c r="E1044" s="7">
        <v>4</v>
      </c>
      <c r="F1044" s="7">
        <f t="shared" si="16"/>
        <v>2</v>
      </c>
      <c r="G1044" s="7" t="str">
        <f>LOOKUP(H1044,[1]startdates!$A$2:$A$10,[1]startdates!$B$2:$B$10)</f>
        <v>SMr</v>
      </c>
      <c r="H1044">
        <v>4</v>
      </c>
      <c r="O1044" s="7">
        <v>155</v>
      </c>
    </row>
    <row r="1045" spans="1:17" x14ac:dyDescent="0.2">
      <c r="A1045">
        <v>1044</v>
      </c>
      <c r="B1045" s="1">
        <v>40756</v>
      </c>
      <c r="C1045" t="s">
        <v>24</v>
      </c>
      <c r="D1045" s="7">
        <v>19</v>
      </c>
      <c r="E1045" s="7">
        <v>4</v>
      </c>
      <c r="F1045" s="7">
        <f t="shared" si="16"/>
        <v>2</v>
      </c>
      <c r="G1045" s="7" t="str">
        <f>LOOKUP(H1045,[1]startdates!$A$2:$A$10,[1]startdates!$B$2:$B$10)</f>
        <v>SMr</v>
      </c>
      <c r="H1045">
        <v>4</v>
      </c>
      <c r="O1045" s="7">
        <v>171</v>
      </c>
    </row>
    <row r="1046" spans="1:17" x14ac:dyDescent="0.2">
      <c r="A1046">
        <v>1045</v>
      </c>
      <c r="B1046" s="1">
        <v>40756</v>
      </c>
      <c r="C1046" t="s">
        <v>24</v>
      </c>
      <c r="D1046" s="7">
        <v>19</v>
      </c>
      <c r="E1046" s="7">
        <v>4</v>
      </c>
      <c r="F1046" s="7">
        <f t="shared" si="16"/>
        <v>2</v>
      </c>
      <c r="G1046" s="7" t="str">
        <f>LOOKUP(H1046,[1]startdates!$A$2:$A$10,[1]startdates!$B$2:$B$10)</f>
        <v>C</v>
      </c>
      <c r="H1046">
        <v>5</v>
      </c>
      <c r="I1046" s="7">
        <v>589</v>
      </c>
      <c r="K1046" s="7">
        <v>536</v>
      </c>
      <c r="L1046" s="7">
        <v>374</v>
      </c>
      <c r="M1046" s="7">
        <v>300</v>
      </c>
      <c r="N1046" s="7">
        <v>179</v>
      </c>
      <c r="O1046" s="7">
        <v>146</v>
      </c>
      <c r="Q1046" s="7">
        <v>351</v>
      </c>
    </row>
    <row r="1047" spans="1:17" x14ac:dyDescent="0.2">
      <c r="A1047">
        <v>1046</v>
      </c>
      <c r="B1047" s="1">
        <v>40756</v>
      </c>
      <c r="C1047" t="s">
        <v>24</v>
      </c>
      <c r="D1047" s="7">
        <v>19</v>
      </c>
      <c r="E1047" s="7">
        <v>4</v>
      </c>
      <c r="F1047" s="7">
        <f t="shared" si="16"/>
        <v>2</v>
      </c>
      <c r="G1047" s="7" t="str">
        <f>LOOKUP(H1047,[1]startdates!$A$2:$A$10,[1]startdates!$B$2:$B$10)</f>
        <v>C</v>
      </c>
      <c r="H1047">
        <v>5</v>
      </c>
      <c r="I1047" s="7">
        <v>581</v>
      </c>
      <c r="K1047" s="7">
        <v>509</v>
      </c>
      <c r="L1047" s="7">
        <v>344</v>
      </c>
      <c r="M1047" s="7">
        <v>248</v>
      </c>
      <c r="N1047" s="7">
        <v>242</v>
      </c>
      <c r="O1047" s="7">
        <v>136</v>
      </c>
    </row>
    <row r="1048" spans="1:17" x14ac:dyDescent="0.2">
      <c r="A1048">
        <v>1047</v>
      </c>
      <c r="B1048" s="1">
        <v>40756</v>
      </c>
      <c r="C1048" t="s">
        <v>24</v>
      </c>
      <c r="D1048" s="7">
        <v>19</v>
      </c>
      <c r="E1048" s="7">
        <v>4</v>
      </c>
      <c r="F1048" s="7">
        <f t="shared" si="16"/>
        <v>2</v>
      </c>
      <c r="G1048" s="7" t="str">
        <f>LOOKUP(H1048,[1]startdates!$A$2:$A$10,[1]startdates!$B$2:$B$10)</f>
        <v>C</v>
      </c>
      <c r="H1048">
        <v>5</v>
      </c>
      <c r="I1048" s="7">
        <v>692</v>
      </c>
      <c r="K1048" s="7">
        <v>541</v>
      </c>
      <c r="M1048" s="7">
        <v>309</v>
      </c>
      <c r="N1048" s="7">
        <v>177</v>
      </c>
      <c r="O1048" s="7">
        <v>159</v>
      </c>
    </row>
    <row r="1049" spans="1:17" x14ac:dyDescent="0.2">
      <c r="A1049">
        <v>1048</v>
      </c>
      <c r="B1049" s="1">
        <v>40756</v>
      </c>
      <c r="C1049" t="s">
        <v>24</v>
      </c>
      <c r="D1049" s="7">
        <v>19</v>
      </c>
      <c r="E1049" s="7">
        <v>4</v>
      </c>
      <c r="F1049" s="7">
        <f t="shared" si="16"/>
        <v>2</v>
      </c>
      <c r="G1049" s="7" t="str">
        <f>LOOKUP(H1049,[1]startdates!$A$2:$A$10,[1]startdates!$B$2:$B$10)</f>
        <v>C</v>
      </c>
      <c r="H1049">
        <v>5</v>
      </c>
      <c r="I1049" s="7">
        <v>556</v>
      </c>
      <c r="K1049" s="7">
        <v>519</v>
      </c>
      <c r="M1049" s="7">
        <v>278</v>
      </c>
      <c r="N1049" s="7">
        <v>297</v>
      </c>
      <c r="O1049" s="7">
        <v>173</v>
      </c>
    </row>
    <row r="1050" spans="1:17" x14ac:dyDescent="0.2">
      <c r="A1050">
        <v>1049</v>
      </c>
      <c r="B1050" s="1">
        <v>40756</v>
      </c>
      <c r="C1050" t="s">
        <v>24</v>
      </c>
      <c r="D1050" s="7">
        <v>19</v>
      </c>
      <c r="E1050" s="7">
        <v>4</v>
      </c>
      <c r="F1050" s="7">
        <f t="shared" si="16"/>
        <v>2</v>
      </c>
      <c r="G1050" s="7" t="str">
        <f>LOOKUP(H1050,[1]startdates!$A$2:$A$10,[1]startdates!$B$2:$B$10)</f>
        <v>C</v>
      </c>
      <c r="H1050">
        <v>5</v>
      </c>
      <c r="I1050" s="7">
        <v>635</v>
      </c>
      <c r="M1050" s="7">
        <v>361</v>
      </c>
      <c r="N1050" s="7">
        <v>224</v>
      </c>
      <c r="O1050" s="7">
        <v>163</v>
      </c>
    </row>
    <row r="1051" spans="1:17" x14ac:dyDescent="0.2">
      <c r="A1051">
        <v>1050</v>
      </c>
      <c r="B1051" s="1">
        <v>40756</v>
      </c>
      <c r="C1051" t="s">
        <v>24</v>
      </c>
      <c r="D1051" s="7">
        <v>19</v>
      </c>
      <c r="E1051" s="7">
        <v>4</v>
      </c>
      <c r="F1051" s="7">
        <f t="shared" si="16"/>
        <v>2</v>
      </c>
      <c r="G1051" s="7" t="str">
        <f>LOOKUP(H1051,[1]startdates!$A$2:$A$10,[1]startdates!$B$2:$B$10)</f>
        <v>C</v>
      </c>
      <c r="H1051">
        <v>5</v>
      </c>
      <c r="I1051" s="7">
        <v>698</v>
      </c>
      <c r="M1051" s="7">
        <v>340</v>
      </c>
      <c r="N1051" s="7">
        <v>250</v>
      </c>
      <c r="O1051" s="7">
        <v>167</v>
      </c>
    </row>
    <row r="1052" spans="1:17" x14ac:dyDescent="0.2">
      <c r="A1052">
        <v>1051</v>
      </c>
      <c r="B1052" s="1">
        <v>40756</v>
      </c>
      <c r="C1052" t="s">
        <v>24</v>
      </c>
      <c r="D1052" s="7">
        <v>19</v>
      </c>
      <c r="E1052" s="7">
        <v>4</v>
      </c>
      <c r="F1052" s="7">
        <f t="shared" si="16"/>
        <v>2</v>
      </c>
      <c r="G1052" s="7" t="str">
        <f>LOOKUP(H1052,[1]startdates!$A$2:$A$10,[1]startdates!$B$2:$B$10)</f>
        <v>C</v>
      </c>
      <c r="H1052">
        <v>5</v>
      </c>
      <c r="I1052" s="7">
        <v>624</v>
      </c>
      <c r="N1052" s="7">
        <v>241</v>
      </c>
      <c r="O1052" s="7">
        <v>171</v>
      </c>
    </row>
    <row r="1053" spans="1:17" x14ac:dyDescent="0.2">
      <c r="A1053">
        <v>1052</v>
      </c>
      <c r="B1053" s="1">
        <v>40756</v>
      </c>
      <c r="C1053" t="s">
        <v>24</v>
      </c>
      <c r="D1053" s="7">
        <v>19</v>
      </c>
      <c r="E1053" s="7">
        <v>4</v>
      </c>
      <c r="F1053" s="7">
        <f t="shared" si="16"/>
        <v>2</v>
      </c>
      <c r="G1053" s="7" t="str">
        <f>LOOKUP(H1053,[1]startdates!$A$2:$A$10,[1]startdates!$B$2:$B$10)</f>
        <v>C</v>
      </c>
      <c r="H1053">
        <v>5</v>
      </c>
      <c r="N1053" s="7">
        <v>191</v>
      </c>
      <c r="O1053" s="7">
        <v>163</v>
      </c>
    </row>
    <row r="1054" spans="1:17" x14ac:dyDescent="0.2">
      <c r="A1054">
        <v>1053</v>
      </c>
      <c r="B1054" s="1">
        <v>40756</v>
      </c>
      <c r="C1054" t="s">
        <v>24</v>
      </c>
      <c r="D1054" s="7">
        <v>19</v>
      </c>
      <c r="E1054" s="7">
        <v>4</v>
      </c>
      <c r="F1054" s="7">
        <f t="shared" si="16"/>
        <v>2</v>
      </c>
      <c r="G1054" s="7" t="str">
        <f>LOOKUP(H1054,[1]startdates!$A$2:$A$10,[1]startdates!$B$2:$B$10)</f>
        <v>C</v>
      </c>
      <c r="H1054">
        <v>5</v>
      </c>
      <c r="N1054" s="7">
        <v>163</v>
      </c>
      <c r="O1054" s="7">
        <v>161</v>
      </c>
    </row>
    <row r="1055" spans="1:17" x14ac:dyDescent="0.2">
      <c r="A1055">
        <v>1054</v>
      </c>
      <c r="B1055" s="1">
        <v>40756</v>
      </c>
      <c r="C1055" t="s">
        <v>24</v>
      </c>
      <c r="D1055" s="7">
        <v>19</v>
      </c>
      <c r="E1055" s="7">
        <v>4</v>
      </c>
      <c r="F1055" s="7">
        <f t="shared" si="16"/>
        <v>2</v>
      </c>
      <c r="G1055" s="7" t="str">
        <f>LOOKUP(H1055,[1]startdates!$A$2:$A$10,[1]startdates!$B$2:$B$10)</f>
        <v>C</v>
      </c>
      <c r="H1055">
        <v>5</v>
      </c>
      <c r="N1055" s="7">
        <v>191</v>
      </c>
      <c r="O1055" s="7">
        <v>149</v>
      </c>
    </row>
    <row r="1056" spans="1:17" x14ac:dyDescent="0.2">
      <c r="A1056">
        <v>1055</v>
      </c>
      <c r="B1056" s="1">
        <v>40756</v>
      </c>
      <c r="C1056" t="s">
        <v>24</v>
      </c>
      <c r="D1056" s="7">
        <v>19</v>
      </c>
      <c r="E1056" s="7">
        <v>4</v>
      </c>
      <c r="F1056" s="7">
        <f t="shared" si="16"/>
        <v>2</v>
      </c>
      <c r="G1056" s="7" t="str">
        <f>LOOKUP(H1056,[1]startdates!$A$2:$A$10,[1]startdates!$B$2:$B$10)</f>
        <v>C</v>
      </c>
      <c r="H1056">
        <v>5</v>
      </c>
      <c r="N1056" s="7">
        <v>224</v>
      </c>
      <c r="O1056" s="7">
        <v>169</v>
      </c>
    </row>
    <row r="1057" spans="1:18" x14ac:dyDescent="0.2">
      <c r="A1057">
        <v>1056</v>
      </c>
      <c r="B1057" s="1">
        <v>40756</v>
      </c>
      <c r="C1057" t="s">
        <v>24</v>
      </c>
      <c r="D1057" s="7">
        <v>19</v>
      </c>
      <c r="E1057" s="7">
        <v>4</v>
      </c>
      <c r="F1057" s="7">
        <f t="shared" si="16"/>
        <v>2</v>
      </c>
      <c r="G1057" s="7" t="str">
        <f>LOOKUP(H1057,[1]startdates!$A$2:$A$10,[1]startdates!$B$2:$B$10)</f>
        <v>C</v>
      </c>
      <c r="H1057">
        <v>5</v>
      </c>
      <c r="N1057" s="7">
        <v>203</v>
      </c>
      <c r="O1057" s="7">
        <v>175</v>
      </c>
    </row>
    <row r="1058" spans="1:18" x14ac:dyDescent="0.2">
      <c r="A1058">
        <v>1057</v>
      </c>
      <c r="B1058" s="1">
        <v>40756</v>
      </c>
      <c r="C1058" t="s">
        <v>24</v>
      </c>
      <c r="D1058" s="7">
        <v>19</v>
      </c>
      <c r="E1058" s="7">
        <v>4</v>
      </c>
      <c r="F1058" s="7">
        <f t="shared" si="16"/>
        <v>2</v>
      </c>
      <c r="G1058" s="7" t="str">
        <f>LOOKUP(H1058,[1]startdates!$A$2:$A$10,[1]startdates!$B$2:$B$10)</f>
        <v>C</v>
      </c>
      <c r="H1058">
        <v>5</v>
      </c>
      <c r="N1058" s="7">
        <v>215</v>
      </c>
      <c r="O1058" s="7">
        <v>163</v>
      </c>
    </row>
    <row r="1059" spans="1:18" x14ac:dyDescent="0.2">
      <c r="A1059">
        <v>1058</v>
      </c>
      <c r="B1059" s="1">
        <v>40756</v>
      </c>
      <c r="C1059" t="s">
        <v>24</v>
      </c>
      <c r="D1059" s="7">
        <v>19</v>
      </c>
      <c r="E1059" s="7">
        <v>4</v>
      </c>
      <c r="F1059" s="7">
        <f t="shared" si="16"/>
        <v>2</v>
      </c>
      <c r="G1059" s="7" t="str">
        <f>LOOKUP(H1059,[1]startdates!$A$2:$A$10,[1]startdates!$B$2:$B$10)</f>
        <v>C</v>
      </c>
      <c r="H1059">
        <v>5</v>
      </c>
      <c r="N1059" s="7">
        <v>232</v>
      </c>
    </row>
    <row r="1060" spans="1:18" x14ac:dyDescent="0.2">
      <c r="A1060">
        <v>1059</v>
      </c>
      <c r="B1060" s="1">
        <v>40756</v>
      </c>
      <c r="C1060" t="s">
        <v>24</v>
      </c>
      <c r="D1060" s="7">
        <v>19</v>
      </c>
      <c r="E1060" s="7">
        <v>4</v>
      </c>
      <c r="F1060" s="7">
        <f t="shared" si="16"/>
        <v>2</v>
      </c>
      <c r="G1060" s="7" t="str">
        <f>LOOKUP(H1060,[1]startdates!$A$2:$A$10,[1]startdates!$B$2:$B$10)</f>
        <v>C</v>
      </c>
      <c r="H1060">
        <v>5</v>
      </c>
      <c r="N1060" s="7">
        <v>191</v>
      </c>
    </row>
    <row r="1061" spans="1:18" x14ac:dyDescent="0.2">
      <c r="A1061">
        <v>1060</v>
      </c>
      <c r="B1061" s="1">
        <v>40756</v>
      </c>
      <c r="C1061" t="s">
        <v>28</v>
      </c>
      <c r="D1061" s="7">
        <v>19</v>
      </c>
      <c r="E1061" s="7">
        <v>4</v>
      </c>
      <c r="F1061" s="7">
        <f t="shared" si="16"/>
        <v>2</v>
      </c>
      <c r="G1061" s="7" t="str">
        <f>LOOKUP(H1061,[1]startdates!$A$2:$A$10,[1]startdates!$B$2:$B$10)</f>
        <v>FMr</v>
      </c>
      <c r="H1061">
        <v>6</v>
      </c>
      <c r="I1061" s="7">
        <v>616</v>
      </c>
      <c r="K1061" s="7">
        <v>580</v>
      </c>
      <c r="L1061" s="7">
        <v>490</v>
      </c>
      <c r="M1061" s="7">
        <v>384</v>
      </c>
      <c r="N1061" s="7">
        <v>205</v>
      </c>
      <c r="O1061" s="7">
        <v>168</v>
      </c>
      <c r="R1061" s="7">
        <v>234</v>
      </c>
    </row>
    <row r="1062" spans="1:18" x14ac:dyDescent="0.2">
      <c r="A1062">
        <v>1061</v>
      </c>
      <c r="B1062" s="1">
        <v>40756</v>
      </c>
      <c r="C1062" t="s">
        <v>28</v>
      </c>
      <c r="D1062" s="7">
        <v>19</v>
      </c>
      <c r="E1062" s="7">
        <v>4</v>
      </c>
      <c r="F1062" s="7">
        <f t="shared" si="16"/>
        <v>2</v>
      </c>
      <c r="G1062" s="7" t="str">
        <f>LOOKUP(H1062,[1]startdates!$A$2:$A$10,[1]startdates!$B$2:$B$10)</f>
        <v>FMr</v>
      </c>
      <c r="H1062">
        <v>6</v>
      </c>
      <c r="I1062" s="7">
        <v>747</v>
      </c>
      <c r="K1062" s="7">
        <v>557</v>
      </c>
      <c r="M1062" s="7">
        <v>319</v>
      </c>
      <c r="N1062" s="7">
        <v>252</v>
      </c>
      <c r="O1062" s="7">
        <v>148</v>
      </c>
      <c r="R1062" s="7">
        <v>266</v>
      </c>
    </row>
    <row r="1063" spans="1:18" x14ac:dyDescent="0.2">
      <c r="A1063">
        <v>1062</v>
      </c>
      <c r="B1063" s="1">
        <v>40756</v>
      </c>
      <c r="C1063" t="s">
        <v>28</v>
      </c>
      <c r="D1063" s="7">
        <v>19</v>
      </c>
      <c r="E1063" s="7">
        <v>4</v>
      </c>
      <c r="F1063" s="7">
        <f t="shared" si="16"/>
        <v>2</v>
      </c>
      <c r="G1063" s="7" t="str">
        <f>LOOKUP(H1063,[1]startdates!$A$2:$A$10,[1]startdates!$B$2:$B$10)</f>
        <v>FMr</v>
      </c>
      <c r="H1063">
        <v>6</v>
      </c>
      <c r="I1063" s="7">
        <v>649</v>
      </c>
      <c r="M1063" s="7">
        <v>299</v>
      </c>
      <c r="N1063" s="7">
        <v>221</v>
      </c>
      <c r="O1063" s="7">
        <v>151</v>
      </c>
    </row>
    <row r="1064" spans="1:18" x14ac:dyDescent="0.2">
      <c r="A1064">
        <v>1063</v>
      </c>
      <c r="B1064" s="1">
        <v>40756</v>
      </c>
      <c r="C1064" t="s">
        <v>28</v>
      </c>
      <c r="D1064" s="7">
        <v>19</v>
      </c>
      <c r="E1064" s="7">
        <v>4</v>
      </c>
      <c r="F1064" s="7">
        <f t="shared" si="16"/>
        <v>2</v>
      </c>
      <c r="G1064" s="7" t="str">
        <f>LOOKUP(H1064,[1]startdates!$A$2:$A$10,[1]startdates!$B$2:$B$10)</f>
        <v>FMr</v>
      </c>
      <c r="H1064">
        <v>6</v>
      </c>
      <c r="I1064" s="7">
        <v>587</v>
      </c>
      <c r="M1064" s="7">
        <v>332</v>
      </c>
      <c r="N1064" s="7">
        <v>171</v>
      </c>
      <c r="O1064" s="7">
        <v>157</v>
      </c>
    </row>
    <row r="1065" spans="1:18" x14ac:dyDescent="0.2">
      <c r="A1065">
        <v>1064</v>
      </c>
      <c r="B1065" s="1">
        <v>40756</v>
      </c>
      <c r="C1065" t="s">
        <v>28</v>
      </c>
      <c r="D1065" s="7">
        <v>19</v>
      </c>
      <c r="E1065" s="7">
        <v>4</v>
      </c>
      <c r="F1065" s="7">
        <f t="shared" ref="F1065:F1128" si="17">WEEKDAY(B1065)</f>
        <v>2</v>
      </c>
      <c r="G1065" s="7" t="str">
        <f>LOOKUP(H1065,[1]startdates!$A$2:$A$10,[1]startdates!$B$2:$B$10)</f>
        <v>FMr</v>
      </c>
      <c r="H1065">
        <v>6</v>
      </c>
      <c r="I1065" s="7">
        <v>542</v>
      </c>
      <c r="M1065" s="7">
        <v>322</v>
      </c>
      <c r="N1065" s="7">
        <v>219</v>
      </c>
      <c r="O1065" s="7">
        <v>152</v>
      </c>
    </row>
    <row r="1066" spans="1:18" x14ac:dyDescent="0.2">
      <c r="A1066">
        <v>1065</v>
      </c>
      <c r="B1066" s="1">
        <v>40756</v>
      </c>
      <c r="C1066" t="s">
        <v>28</v>
      </c>
      <c r="D1066" s="7">
        <v>19</v>
      </c>
      <c r="E1066" s="7">
        <v>4</v>
      </c>
      <c r="F1066" s="7">
        <f t="shared" si="17"/>
        <v>2</v>
      </c>
      <c r="G1066" s="7" t="str">
        <f>LOOKUP(H1066,[1]startdates!$A$2:$A$10,[1]startdates!$B$2:$B$10)</f>
        <v>FMr</v>
      </c>
      <c r="H1066">
        <v>6</v>
      </c>
      <c r="I1066" s="7">
        <v>565</v>
      </c>
      <c r="N1066" s="7">
        <v>238</v>
      </c>
      <c r="O1066" s="7">
        <v>178</v>
      </c>
    </row>
    <row r="1067" spans="1:18" x14ac:dyDescent="0.2">
      <c r="A1067">
        <v>1066</v>
      </c>
      <c r="B1067" s="1">
        <v>40756</v>
      </c>
      <c r="C1067" t="s">
        <v>28</v>
      </c>
      <c r="D1067" s="7">
        <v>19</v>
      </c>
      <c r="E1067" s="7">
        <v>4</v>
      </c>
      <c r="F1067" s="7">
        <f t="shared" si="17"/>
        <v>2</v>
      </c>
      <c r="G1067" s="7" t="str">
        <f>LOOKUP(H1067,[1]startdates!$A$2:$A$10,[1]startdates!$B$2:$B$10)</f>
        <v>FMr</v>
      </c>
      <c r="H1067">
        <v>6</v>
      </c>
      <c r="I1067" s="7">
        <v>707</v>
      </c>
      <c r="N1067" s="7">
        <v>174</v>
      </c>
      <c r="O1067" s="7">
        <v>151</v>
      </c>
    </row>
    <row r="1068" spans="1:18" x14ac:dyDescent="0.2">
      <c r="A1068">
        <v>1067</v>
      </c>
      <c r="B1068" s="1">
        <v>40756</v>
      </c>
      <c r="C1068" t="s">
        <v>28</v>
      </c>
      <c r="D1068" s="7">
        <v>19</v>
      </c>
      <c r="E1068" s="7">
        <v>4</v>
      </c>
      <c r="F1068" s="7">
        <f t="shared" si="17"/>
        <v>2</v>
      </c>
      <c r="G1068" s="7" t="str">
        <f>LOOKUP(H1068,[1]startdates!$A$2:$A$10,[1]startdates!$B$2:$B$10)</f>
        <v>FMr</v>
      </c>
      <c r="H1068">
        <v>6</v>
      </c>
      <c r="I1068" s="7">
        <v>527</v>
      </c>
      <c r="O1068" s="7">
        <v>183</v>
      </c>
    </row>
    <row r="1069" spans="1:18" x14ac:dyDescent="0.2">
      <c r="A1069">
        <v>1068</v>
      </c>
      <c r="B1069" s="1">
        <v>40756</v>
      </c>
      <c r="C1069" t="s">
        <v>28</v>
      </c>
      <c r="D1069" s="7">
        <v>19</v>
      </c>
      <c r="E1069" s="7">
        <v>4</v>
      </c>
      <c r="F1069" s="7">
        <f t="shared" si="17"/>
        <v>2</v>
      </c>
      <c r="G1069" s="7" t="str">
        <f>LOOKUP(H1069,[1]startdates!$A$2:$A$10,[1]startdates!$B$2:$B$10)</f>
        <v>FMr</v>
      </c>
      <c r="H1069">
        <v>6</v>
      </c>
      <c r="O1069" s="7">
        <v>151</v>
      </c>
    </row>
    <row r="1070" spans="1:18" x14ac:dyDescent="0.2">
      <c r="A1070">
        <v>1069</v>
      </c>
      <c r="B1070" s="1">
        <v>40756</v>
      </c>
      <c r="C1070" t="s">
        <v>28</v>
      </c>
      <c r="D1070" s="7">
        <v>19</v>
      </c>
      <c r="E1070" s="7">
        <v>4</v>
      </c>
      <c r="F1070" s="7">
        <f t="shared" si="17"/>
        <v>2</v>
      </c>
      <c r="G1070" s="7" t="str">
        <f>LOOKUP(H1070,[1]startdates!$A$2:$A$10,[1]startdates!$B$2:$B$10)</f>
        <v>FMr</v>
      </c>
      <c r="H1070">
        <v>6</v>
      </c>
      <c r="O1070" s="7">
        <v>155</v>
      </c>
    </row>
    <row r="1071" spans="1:18" x14ac:dyDescent="0.2">
      <c r="A1071">
        <v>1070</v>
      </c>
      <c r="B1071" s="1">
        <v>40756</v>
      </c>
      <c r="C1071" t="s">
        <v>28</v>
      </c>
      <c r="D1071" s="7">
        <v>19</v>
      </c>
      <c r="E1071" s="7">
        <v>4</v>
      </c>
      <c r="F1071" s="7">
        <f t="shared" si="17"/>
        <v>2</v>
      </c>
      <c r="G1071" s="7" t="str">
        <f>LOOKUP(H1071,[1]startdates!$A$2:$A$10,[1]startdates!$B$2:$B$10)</f>
        <v>FMr</v>
      </c>
      <c r="H1071">
        <v>6</v>
      </c>
      <c r="O1071" s="7">
        <v>178</v>
      </c>
    </row>
    <row r="1072" spans="1:18" x14ac:dyDescent="0.2">
      <c r="A1072">
        <v>1071</v>
      </c>
      <c r="B1072" s="1">
        <v>40756</v>
      </c>
      <c r="C1072" t="s">
        <v>28</v>
      </c>
      <c r="D1072" s="7">
        <v>19</v>
      </c>
      <c r="E1072" s="7">
        <v>4</v>
      </c>
      <c r="F1072" s="7">
        <f t="shared" si="17"/>
        <v>2</v>
      </c>
      <c r="G1072" s="7" t="str">
        <f>LOOKUP(H1072,[1]startdates!$A$2:$A$10,[1]startdates!$B$2:$B$10)</f>
        <v>FMr</v>
      </c>
      <c r="H1072">
        <v>6</v>
      </c>
      <c r="O1072" s="7">
        <v>145</v>
      </c>
    </row>
    <row r="1073" spans="1:18" x14ac:dyDescent="0.2">
      <c r="A1073">
        <v>1072</v>
      </c>
      <c r="B1073" s="1">
        <v>40756</v>
      </c>
      <c r="C1073" t="s">
        <v>28</v>
      </c>
      <c r="D1073" s="7">
        <v>19</v>
      </c>
      <c r="E1073" s="7">
        <v>4</v>
      </c>
      <c r="F1073" s="7">
        <f t="shared" si="17"/>
        <v>2</v>
      </c>
      <c r="G1073" s="7" t="str">
        <f>LOOKUP(H1073,[1]startdates!$A$2:$A$10,[1]startdates!$B$2:$B$10)</f>
        <v>FMr</v>
      </c>
      <c r="H1073">
        <v>7</v>
      </c>
      <c r="I1073" s="7">
        <v>657</v>
      </c>
      <c r="K1073" s="7">
        <v>443</v>
      </c>
      <c r="L1073" s="7">
        <v>379</v>
      </c>
      <c r="M1073" s="7">
        <v>250</v>
      </c>
      <c r="N1073" s="7">
        <v>218</v>
      </c>
      <c r="O1073" s="7">
        <v>177</v>
      </c>
      <c r="Q1073" s="7">
        <v>375</v>
      </c>
      <c r="R1073" s="7">
        <v>168</v>
      </c>
    </row>
    <row r="1074" spans="1:18" x14ac:dyDescent="0.2">
      <c r="A1074">
        <v>1073</v>
      </c>
      <c r="B1074" s="1">
        <v>40756</v>
      </c>
      <c r="C1074" t="s">
        <v>28</v>
      </c>
      <c r="D1074" s="7">
        <v>19</v>
      </c>
      <c r="E1074" s="7">
        <v>4</v>
      </c>
      <c r="F1074" s="7">
        <f t="shared" si="17"/>
        <v>2</v>
      </c>
      <c r="G1074" s="7" t="str">
        <f>LOOKUP(H1074,[1]startdates!$A$2:$A$10,[1]startdates!$B$2:$B$10)</f>
        <v>FMr</v>
      </c>
      <c r="H1074">
        <v>7</v>
      </c>
      <c r="I1074" s="7">
        <v>657</v>
      </c>
      <c r="K1074" s="7">
        <v>581</v>
      </c>
      <c r="M1074" s="7">
        <v>297</v>
      </c>
      <c r="N1074" s="7">
        <v>216</v>
      </c>
      <c r="O1074" s="7">
        <v>157</v>
      </c>
    </row>
    <row r="1075" spans="1:18" x14ac:dyDescent="0.2">
      <c r="A1075">
        <v>1074</v>
      </c>
      <c r="B1075" s="1">
        <v>40756</v>
      </c>
      <c r="C1075" t="s">
        <v>28</v>
      </c>
      <c r="D1075" s="7">
        <v>19</v>
      </c>
      <c r="E1075" s="7">
        <v>4</v>
      </c>
      <c r="F1075" s="7">
        <f t="shared" si="17"/>
        <v>2</v>
      </c>
      <c r="G1075" s="7" t="str">
        <f>LOOKUP(H1075,[1]startdates!$A$2:$A$10,[1]startdates!$B$2:$B$10)</f>
        <v>FMr</v>
      </c>
      <c r="H1075">
        <v>7</v>
      </c>
      <c r="I1075" s="7">
        <v>775</v>
      </c>
      <c r="K1075" s="7">
        <v>506</v>
      </c>
      <c r="N1075" s="7">
        <v>195</v>
      </c>
      <c r="O1075" s="7">
        <v>144</v>
      </c>
    </row>
    <row r="1076" spans="1:18" x14ac:dyDescent="0.2">
      <c r="A1076">
        <v>1075</v>
      </c>
      <c r="B1076" s="1">
        <v>40756</v>
      </c>
      <c r="C1076" t="s">
        <v>28</v>
      </c>
      <c r="D1076" s="7">
        <v>19</v>
      </c>
      <c r="E1076" s="7">
        <v>4</v>
      </c>
      <c r="F1076" s="7">
        <f t="shared" si="17"/>
        <v>2</v>
      </c>
      <c r="G1076" s="7" t="str">
        <f>LOOKUP(H1076,[1]startdates!$A$2:$A$10,[1]startdates!$B$2:$B$10)</f>
        <v>FMr</v>
      </c>
      <c r="H1076">
        <v>7</v>
      </c>
      <c r="I1076" s="7">
        <v>551</v>
      </c>
      <c r="K1076" s="7">
        <v>537</v>
      </c>
      <c r="N1076" s="7">
        <v>201</v>
      </c>
      <c r="O1076" s="7">
        <v>193</v>
      </c>
    </row>
    <row r="1077" spans="1:18" x14ac:dyDescent="0.2">
      <c r="A1077">
        <v>1076</v>
      </c>
      <c r="B1077" s="1">
        <v>40756</v>
      </c>
      <c r="C1077" t="s">
        <v>28</v>
      </c>
      <c r="D1077" s="7">
        <v>19</v>
      </c>
      <c r="E1077" s="7">
        <v>4</v>
      </c>
      <c r="F1077" s="7">
        <f t="shared" si="17"/>
        <v>2</v>
      </c>
      <c r="G1077" s="7" t="str">
        <f>LOOKUP(H1077,[1]startdates!$A$2:$A$10,[1]startdates!$B$2:$B$10)</f>
        <v>FMr</v>
      </c>
      <c r="H1077">
        <v>7</v>
      </c>
      <c r="I1077" s="7">
        <v>627</v>
      </c>
      <c r="K1077" s="7">
        <v>560</v>
      </c>
      <c r="N1077" s="7">
        <v>186</v>
      </c>
      <c r="O1077" s="7">
        <v>163</v>
      </c>
    </row>
    <row r="1078" spans="1:18" x14ac:dyDescent="0.2">
      <c r="A1078">
        <v>1077</v>
      </c>
      <c r="B1078" s="1">
        <v>40756</v>
      </c>
      <c r="C1078" t="s">
        <v>28</v>
      </c>
      <c r="D1078" s="7">
        <v>19</v>
      </c>
      <c r="E1078" s="7">
        <v>4</v>
      </c>
      <c r="F1078" s="7">
        <f t="shared" si="17"/>
        <v>2</v>
      </c>
      <c r="G1078" s="7" t="str">
        <f>LOOKUP(H1078,[1]startdates!$A$2:$A$10,[1]startdates!$B$2:$B$10)</f>
        <v>FMr</v>
      </c>
      <c r="H1078">
        <v>7</v>
      </c>
      <c r="N1078" s="7">
        <v>158</v>
      </c>
      <c r="O1078" s="7">
        <v>166</v>
      </c>
    </row>
    <row r="1079" spans="1:18" x14ac:dyDescent="0.2">
      <c r="A1079">
        <v>1078</v>
      </c>
      <c r="B1079" s="1">
        <v>40756</v>
      </c>
      <c r="C1079" t="s">
        <v>28</v>
      </c>
      <c r="D1079" s="7">
        <v>19</v>
      </c>
      <c r="E1079" s="7">
        <v>4</v>
      </c>
      <c r="F1079" s="7">
        <f t="shared" si="17"/>
        <v>2</v>
      </c>
      <c r="G1079" s="7" t="str">
        <f>LOOKUP(H1079,[1]startdates!$A$2:$A$10,[1]startdates!$B$2:$B$10)</f>
        <v>FMr</v>
      </c>
      <c r="H1079">
        <v>7</v>
      </c>
      <c r="N1079" s="7">
        <v>228</v>
      </c>
      <c r="O1079" s="7">
        <v>148</v>
      </c>
    </row>
    <row r="1080" spans="1:18" x14ac:dyDescent="0.2">
      <c r="A1080">
        <v>1079</v>
      </c>
      <c r="B1080" s="1">
        <v>40756</v>
      </c>
      <c r="C1080" t="s">
        <v>28</v>
      </c>
      <c r="D1080" s="7">
        <v>19</v>
      </c>
      <c r="E1080" s="7">
        <v>4</v>
      </c>
      <c r="F1080" s="7">
        <f t="shared" si="17"/>
        <v>2</v>
      </c>
      <c r="G1080" s="7" t="str">
        <f>LOOKUP(H1080,[1]startdates!$A$2:$A$10,[1]startdates!$B$2:$B$10)</f>
        <v>FMr</v>
      </c>
      <c r="H1080">
        <v>7</v>
      </c>
      <c r="O1080" s="7">
        <v>178</v>
      </c>
    </row>
    <row r="1081" spans="1:18" x14ac:dyDescent="0.2">
      <c r="A1081">
        <v>1080</v>
      </c>
      <c r="B1081" s="1">
        <v>40756</v>
      </c>
      <c r="C1081" t="s">
        <v>28</v>
      </c>
      <c r="D1081" s="7">
        <v>19</v>
      </c>
      <c r="E1081" s="7">
        <v>4</v>
      </c>
      <c r="F1081" s="7">
        <f t="shared" si="17"/>
        <v>2</v>
      </c>
      <c r="G1081" s="7" t="str">
        <f>LOOKUP(H1081,[1]startdates!$A$2:$A$10,[1]startdates!$B$2:$B$10)</f>
        <v>FMr</v>
      </c>
      <c r="H1081">
        <v>7</v>
      </c>
      <c r="O1081" s="7">
        <v>198</v>
      </c>
    </row>
    <row r="1082" spans="1:18" x14ac:dyDescent="0.2">
      <c r="A1082">
        <v>1081</v>
      </c>
      <c r="B1082" s="1">
        <v>40756</v>
      </c>
      <c r="C1082" t="s">
        <v>28</v>
      </c>
      <c r="D1082" s="7">
        <v>19</v>
      </c>
      <c r="E1082" s="7">
        <v>4</v>
      </c>
      <c r="F1082" s="7">
        <f t="shared" si="17"/>
        <v>2</v>
      </c>
      <c r="G1082" s="7" t="str">
        <f>LOOKUP(H1082,[1]startdates!$A$2:$A$10,[1]startdates!$B$2:$B$10)</f>
        <v>FMr</v>
      </c>
      <c r="H1082">
        <v>7</v>
      </c>
      <c r="O1082" s="7">
        <v>166</v>
      </c>
    </row>
    <row r="1083" spans="1:18" x14ac:dyDescent="0.2">
      <c r="A1083">
        <v>1082</v>
      </c>
      <c r="B1083" s="1">
        <v>40756</v>
      </c>
      <c r="C1083" t="s">
        <v>28</v>
      </c>
      <c r="D1083" s="7">
        <v>19</v>
      </c>
      <c r="E1083" s="7">
        <v>4</v>
      </c>
      <c r="F1083" s="7">
        <f t="shared" si="17"/>
        <v>2</v>
      </c>
      <c r="G1083" s="7" t="str">
        <f>LOOKUP(H1083,[1]startdates!$A$2:$A$10,[1]startdates!$B$2:$B$10)</f>
        <v>FMr</v>
      </c>
      <c r="H1083">
        <v>7</v>
      </c>
      <c r="O1083" s="7">
        <v>158</v>
      </c>
    </row>
    <row r="1084" spans="1:18" x14ac:dyDescent="0.2">
      <c r="A1084">
        <v>1083</v>
      </c>
      <c r="B1084" s="1">
        <v>40756</v>
      </c>
      <c r="C1084" t="s">
        <v>28</v>
      </c>
      <c r="D1084" s="7">
        <v>19</v>
      </c>
      <c r="E1084" s="7">
        <v>4</v>
      </c>
      <c r="F1084" s="7">
        <f t="shared" si="17"/>
        <v>2</v>
      </c>
      <c r="G1084" s="7" t="str">
        <f>LOOKUP(H1084,[1]startdates!$A$2:$A$10,[1]startdates!$B$2:$B$10)</f>
        <v>FMr</v>
      </c>
      <c r="H1084">
        <v>7</v>
      </c>
      <c r="O1084" s="7">
        <v>156</v>
      </c>
    </row>
    <row r="1085" spans="1:18" x14ac:dyDescent="0.2">
      <c r="A1085">
        <v>1084</v>
      </c>
      <c r="B1085" s="1">
        <v>40756</v>
      </c>
      <c r="C1085" t="s">
        <v>28</v>
      </c>
      <c r="D1085" s="7">
        <v>19</v>
      </c>
      <c r="E1085" s="7">
        <v>4</v>
      </c>
      <c r="F1085" s="7">
        <f t="shared" si="17"/>
        <v>2</v>
      </c>
      <c r="G1085" s="7" t="str">
        <f>LOOKUP(H1085,[1]startdates!$A$2:$A$10,[1]startdates!$B$2:$B$10)</f>
        <v>FMr</v>
      </c>
      <c r="H1085">
        <v>7</v>
      </c>
      <c r="O1085" s="7">
        <v>158</v>
      </c>
    </row>
    <row r="1086" spans="1:18" x14ac:dyDescent="0.2">
      <c r="A1086">
        <v>1085</v>
      </c>
      <c r="B1086" s="1">
        <v>40756</v>
      </c>
      <c r="C1086" t="s">
        <v>28</v>
      </c>
      <c r="D1086" s="7">
        <v>19</v>
      </c>
      <c r="E1086" s="7">
        <v>4</v>
      </c>
      <c r="F1086" s="7">
        <f t="shared" si="17"/>
        <v>2</v>
      </c>
      <c r="G1086" s="7" t="str">
        <f>LOOKUP(H1086,[1]startdates!$A$2:$A$10,[1]startdates!$B$2:$B$10)</f>
        <v>FMr</v>
      </c>
      <c r="H1086">
        <v>7</v>
      </c>
      <c r="O1086" s="7">
        <v>159</v>
      </c>
    </row>
    <row r="1087" spans="1:18" x14ac:dyDescent="0.2">
      <c r="A1087">
        <v>1086</v>
      </c>
      <c r="B1087" s="1">
        <v>40756</v>
      </c>
      <c r="C1087" t="s">
        <v>28</v>
      </c>
      <c r="D1087" s="7">
        <v>19</v>
      </c>
      <c r="E1087" s="7">
        <v>4</v>
      </c>
      <c r="F1087" s="7">
        <f t="shared" si="17"/>
        <v>2</v>
      </c>
      <c r="G1087" s="7" t="str">
        <f>LOOKUP(H1087,[1]startdates!$A$2:$A$10,[1]startdates!$B$2:$B$10)</f>
        <v>FMr</v>
      </c>
      <c r="H1087">
        <v>7</v>
      </c>
      <c r="O1087" s="7">
        <v>157</v>
      </c>
    </row>
    <row r="1088" spans="1:18" x14ac:dyDescent="0.2">
      <c r="A1088">
        <v>1087</v>
      </c>
      <c r="B1088" s="1">
        <v>40756</v>
      </c>
      <c r="C1088" t="s">
        <v>24</v>
      </c>
      <c r="D1088" s="7">
        <v>19</v>
      </c>
      <c r="E1088" s="7">
        <v>4</v>
      </c>
      <c r="F1088" s="7">
        <f t="shared" si="17"/>
        <v>2</v>
      </c>
      <c r="G1088" s="7" t="str">
        <f>LOOKUP(H1088,[1]startdates!$A$2:$A$10,[1]startdates!$B$2:$B$10)</f>
        <v>C</v>
      </c>
      <c r="H1088">
        <v>8</v>
      </c>
      <c r="I1088" s="7">
        <v>719</v>
      </c>
      <c r="J1088" s="7">
        <v>599</v>
      </c>
      <c r="K1088" s="7">
        <v>576</v>
      </c>
      <c r="L1088" s="7">
        <v>404</v>
      </c>
      <c r="M1088" s="7">
        <v>333</v>
      </c>
      <c r="N1088" s="7">
        <v>187</v>
      </c>
      <c r="O1088" s="7">
        <v>186</v>
      </c>
    </row>
    <row r="1089" spans="1:16" x14ac:dyDescent="0.2">
      <c r="A1089">
        <v>1088</v>
      </c>
      <c r="B1089" s="1">
        <v>40756</v>
      </c>
      <c r="C1089" t="s">
        <v>24</v>
      </c>
      <c r="D1089" s="7">
        <v>19</v>
      </c>
      <c r="E1089" s="7">
        <v>4</v>
      </c>
      <c r="F1089" s="7">
        <f t="shared" si="17"/>
        <v>2</v>
      </c>
      <c r="G1089" s="7" t="str">
        <f>LOOKUP(H1089,[1]startdates!$A$2:$A$10,[1]startdates!$B$2:$B$10)</f>
        <v>C</v>
      </c>
      <c r="H1089">
        <v>8</v>
      </c>
      <c r="I1089" s="7">
        <v>415</v>
      </c>
      <c r="K1089" s="7">
        <v>634</v>
      </c>
      <c r="L1089" s="7">
        <v>430</v>
      </c>
      <c r="M1089" s="7">
        <v>258</v>
      </c>
      <c r="N1089" s="7">
        <v>221</v>
      </c>
      <c r="O1089" s="7">
        <v>189</v>
      </c>
    </row>
    <row r="1090" spans="1:16" x14ac:dyDescent="0.2">
      <c r="A1090">
        <v>1089</v>
      </c>
      <c r="B1090" s="1">
        <v>40756</v>
      </c>
      <c r="C1090" t="s">
        <v>24</v>
      </c>
      <c r="D1090" s="7">
        <v>19</v>
      </c>
      <c r="E1090" s="7">
        <v>4</v>
      </c>
      <c r="F1090" s="7">
        <f t="shared" si="17"/>
        <v>2</v>
      </c>
      <c r="G1090" s="7" t="str">
        <f>LOOKUP(H1090,[1]startdates!$A$2:$A$10,[1]startdates!$B$2:$B$10)</f>
        <v>C</v>
      </c>
      <c r="H1090">
        <v>8</v>
      </c>
      <c r="I1090" s="7">
        <v>497</v>
      </c>
      <c r="N1090" s="7">
        <v>231</v>
      </c>
      <c r="O1090" s="7">
        <v>174</v>
      </c>
    </row>
    <row r="1091" spans="1:16" x14ac:dyDescent="0.2">
      <c r="A1091">
        <v>1090</v>
      </c>
      <c r="B1091" s="1">
        <v>40756</v>
      </c>
      <c r="C1091" t="s">
        <v>24</v>
      </c>
      <c r="D1091" s="7">
        <v>19</v>
      </c>
      <c r="E1091" s="7">
        <v>4</v>
      </c>
      <c r="F1091" s="7">
        <f t="shared" si="17"/>
        <v>2</v>
      </c>
      <c r="G1091" s="7" t="str">
        <f>LOOKUP(H1091,[1]startdates!$A$2:$A$10,[1]startdates!$B$2:$B$10)</f>
        <v>C</v>
      </c>
      <c r="H1091">
        <v>8</v>
      </c>
      <c r="O1091" s="7">
        <v>143</v>
      </c>
    </row>
    <row r="1092" spans="1:16" x14ac:dyDescent="0.2">
      <c r="A1092">
        <v>1091</v>
      </c>
      <c r="B1092" s="1">
        <v>40756</v>
      </c>
      <c r="C1092" t="s">
        <v>24</v>
      </c>
      <c r="D1092" s="7">
        <v>19</v>
      </c>
      <c r="E1092" s="7">
        <v>4</v>
      </c>
      <c r="F1092" s="7">
        <f t="shared" si="17"/>
        <v>2</v>
      </c>
      <c r="G1092" s="7" t="str">
        <f>LOOKUP(H1092,[1]startdates!$A$2:$A$10,[1]startdates!$B$2:$B$10)</f>
        <v>C</v>
      </c>
      <c r="H1092">
        <v>8</v>
      </c>
      <c r="O1092" s="7">
        <v>168</v>
      </c>
    </row>
    <row r="1093" spans="1:16" x14ac:dyDescent="0.2">
      <c r="A1093">
        <v>1092</v>
      </c>
      <c r="B1093" s="1">
        <v>40756</v>
      </c>
      <c r="C1093" t="s">
        <v>24</v>
      </c>
      <c r="D1093" s="7">
        <v>19</v>
      </c>
      <c r="E1093" s="7">
        <v>4</v>
      </c>
      <c r="F1093" s="7">
        <f t="shared" si="17"/>
        <v>2</v>
      </c>
      <c r="G1093" s="7" t="str">
        <f>LOOKUP(H1093,[1]startdates!$A$2:$A$10,[1]startdates!$B$2:$B$10)</f>
        <v>C</v>
      </c>
      <c r="H1093">
        <v>8</v>
      </c>
      <c r="O1093" s="7">
        <v>166</v>
      </c>
    </row>
    <row r="1094" spans="1:16" x14ac:dyDescent="0.2">
      <c r="A1094">
        <v>1093</v>
      </c>
      <c r="B1094" s="1">
        <v>40756</v>
      </c>
      <c r="C1094" t="s">
        <v>24</v>
      </c>
      <c r="D1094" s="7">
        <v>19</v>
      </c>
      <c r="E1094" s="7">
        <v>4</v>
      </c>
      <c r="F1094" s="7">
        <f t="shared" si="17"/>
        <v>2</v>
      </c>
      <c r="G1094" s="7" t="str">
        <f>LOOKUP(H1094,[1]startdates!$A$2:$A$10,[1]startdates!$B$2:$B$10)</f>
        <v>C</v>
      </c>
      <c r="H1094">
        <v>8</v>
      </c>
      <c r="O1094" s="7">
        <v>213</v>
      </c>
    </row>
    <row r="1095" spans="1:16" x14ac:dyDescent="0.2">
      <c r="A1095">
        <v>1094</v>
      </c>
      <c r="B1095" s="1">
        <v>40756</v>
      </c>
      <c r="C1095" t="s">
        <v>24</v>
      </c>
      <c r="D1095" s="7">
        <v>19</v>
      </c>
      <c r="E1095" s="7">
        <v>4</v>
      </c>
      <c r="F1095" s="7">
        <f t="shared" si="17"/>
        <v>2</v>
      </c>
      <c r="G1095" s="7" t="str">
        <f>LOOKUP(H1095,[1]startdates!$A$2:$A$10,[1]startdates!$B$2:$B$10)</f>
        <v>C</v>
      </c>
      <c r="H1095">
        <v>8</v>
      </c>
      <c r="O1095" s="7">
        <v>187</v>
      </c>
    </row>
    <row r="1096" spans="1:16" x14ac:dyDescent="0.2">
      <c r="A1096">
        <v>1095</v>
      </c>
      <c r="B1096" s="1">
        <v>40756</v>
      </c>
      <c r="C1096" t="s">
        <v>24</v>
      </c>
      <c r="D1096" s="7">
        <v>19</v>
      </c>
      <c r="E1096" s="7">
        <v>4</v>
      </c>
      <c r="F1096" s="7">
        <f t="shared" si="17"/>
        <v>2</v>
      </c>
      <c r="G1096" s="7" t="str">
        <f>LOOKUP(H1096,[1]startdates!$A$2:$A$10,[1]startdates!$B$2:$B$10)</f>
        <v>C</v>
      </c>
      <c r="H1096">
        <v>8</v>
      </c>
      <c r="O1096" s="7">
        <v>180</v>
      </c>
    </row>
    <row r="1097" spans="1:16" x14ac:dyDescent="0.2">
      <c r="A1097">
        <v>1096</v>
      </c>
      <c r="B1097" s="1">
        <v>40756</v>
      </c>
      <c r="C1097" t="s">
        <v>28</v>
      </c>
      <c r="D1097" s="7">
        <v>19</v>
      </c>
      <c r="E1097" s="7">
        <v>4</v>
      </c>
      <c r="F1097" s="7">
        <f t="shared" si="17"/>
        <v>2</v>
      </c>
      <c r="G1097" s="7" t="str">
        <f>LOOKUP(H1097,[1]startdates!$A$2:$A$10,[1]startdates!$B$2:$B$10)</f>
        <v>FMr</v>
      </c>
      <c r="H1097">
        <v>9</v>
      </c>
      <c r="I1097" s="7">
        <v>735</v>
      </c>
      <c r="J1097" s="7">
        <v>547</v>
      </c>
      <c r="K1097" s="7">
        <v>582</v>
      </c>
      <c r="L1097" s="7">
        <v>441</v>
      </c>
      <c r="M1097" s="7">
        <v>290</v>
      </c>
      <c r="N1097" s="7">
        <v>215</v>
      </c>
      <c r="O1097" s="7">
        <v>168</v>
      </c>
      <c r="P1097" s="7">
        <v>480</v>
      </c>
    </row>
    <row r="1098" spans="1:16" x14ac:dyDescent="0.2">
      <c r="A1098">
        <v>1097</v>
      </c>
      <c r="B1098" s="1">
        <v>40756</v>
      </c>
      <c r="C1098" t="s">
        <v>28</v>
      </c>
      <c r="D1098" s="7">
        <v>19</v>
      </c>
      <c r="E1098" s="7">
        <v>4</v>
      </c>
      <c r="F1098" s="7">
        <f t="shared" si="17"/>
        <v>2</v>
      </c>
      <c r="G1098" s="7" t="str">
        <f>LOOKUP(H1098,[1]startdates!$A$2:$A$10,[1]startdates!$B$2:$B$10)</f>
        <v>FMr</v>
      </c>
      <c r="H1098">
        <v>9</v>
      </c>
      <c r="I1098" s="7">
        <v>553</v>
      </c>
      <c r="K1098" s="7">
        <v>580</v>
      </c>
      <c r="L1098" s="7">
        <v>422</v>
      </c>
      <c r="M1098" s="7">
        <v>335</v>
      </c>
      <c r="N1098" s="7">
        <v>200</v>
      </c>
      <c r="O1098" s="7">
        <v>175</v>
      </c>
      <c r="P1098" s="7">
        <v>514</v>
      </c>
    </row>
    <row r="1099" spans="1:16" x14ac:dyDescent="0.2">
      <c r="A1099">
        <v>1098</v>
      </c>
      <c r="B1099" s="1">
        <v>40756</v>
      </c>
      <c r="C1099" t="s">
        <v>28</v>
      </c>
      <c r="D1099" s="7">
        <v>19</v>
      </c>
      <c r="E1099" s="7">
        <v>4</v>
      </c>
      <c r="F1099" s="7">
        <f t="shared" si="17"/>
        <v>2</v>
      </c>
      <c r="G1099" s="7" t="str">
        <f>LOOKUP(H1099,[1]startdates!$A$2:$A$10,[1]startdates!$B$2:$B$10)</f>
        <v>FMr</v>
      </c>
      <c r="H1099">
        <v>9</v>
      </c>
      <c r="I1099" s="7">
        <v>546</v>
      </c>
      <c r="K1099" s="7">
        <v>545</v>
      </c>
      <c r="L1099" s="7">
        <v>415</v>
      </c>
      <c r="M1099" s="7">
        <v>298</v>
      </c>
      <c r="N1099" s="7">
        <v>204</v>
      </c>
      <c r="O1099" s="7">
        <v>176</v>
      </c>
    </row>
    <row r="1100" spans="1:16" x14ac:dyDescent="0.2">
      <c r="A1100">
        <v>1099</v>
      </c>
      <c r="B1100" s="1">
        <v>40756</v>
      </c>
      <c r="C1100" t="s">
        <v>28</v>
      </c>
      <c r="D1100" s="7">
        <v>19</v>
      </c>
      <c r="E1100" s="7">
        <v>4</v>
      </c>
      <c r="F1100" s="7">
        <f t="shared" si="17"/>
        <v>2</v>
      </c>
      <c r="G1100" s="7" t="str">
        <f>LOOKUP(H1100,[1]startdates!$A$2:$A$10,[1]startdates!$B$2:$B$10)</f>
        <v>FMr</v>
      </c>
      <c r="H1100">
        <v>9</v>
      </c>
      <c r="I1100" s="7">
        <v>623</v>
      </c>
      <c r="K1100" s="7">
        <v>574</v>
      </c>
      <c r="M1100" s="7">
        <v>276</v>
      </c>
      <c r="O1100" s="7">
        <v>158</v>
      </c>
    </row>
    <row r="1101" spans="1:16" x14ac:dyDescent="0.2">
      <c r="A1101">
        <v>1100</v>
      </c>
      <c r="B1101" s="1">
        <v>40756</v>
      </c>
      <c r="C1101" t="s">
        <v>28</v>
      </c>
      <c r="D1101" s="7">
        <v>19</v>
      </c>
      <c r="E1101" s="7">
        <v>4</v>
      </c>
      <c r="F1101" s="7">
        <f t="shared" si="17"/>
        <v>2</v>
      </c>
      <c r="G1101" s="7" t="str">
        <f>LOOKUP(H1101,[1]startdates!$A$2:$A$10,[1]startdates!$B$2:$B$10)</f>
        <v>FMr</v>
      </c>
      <c r="H1101">
        <v>9</v>
      </c>
      <c r="I1101" s="7">
        <v>766</v>
      </c>
      <c r="M1101" s="7">
        <v>297</v>
      </c>
      <c r="O1101" s="7">
        <v>159</v>
      </c>
    </row>
    <row r="1102" spans="1:16" x14ac:dyDescent="0.2">
      <c r="A1102">
        <v>1101</v>
      </c>
      <c r="B1102" s="1">
        <v>40756</v>
      </c>
      <c r="C1102" t="s">
        <v>28</v>
      </c>
      <c r="D1102" s="7">
        <v>19</v>
      </c>
      <c r="E1102" s="7">
        <v>4</v>
      </c>
      <c r="F1102" s="7">
        <f t="shared" si="17"/>
        <v>2</v>
      </c>
      <c r="G1102" s="7" t="str">
        <f>LOOKUP(H1102,[1]startdates!$A$2:$A$10,[1]startdates!$B$2:$B$10)</f>
        <v>FMr</v>
      </c>
      <c r="H1102">
        <v>9</v>
      </c>
      <c r="I1102" s="7">
        <v>596</v>
      </c>
      <c r="M1102" s="7">
        <v>300</v>
      </c>
      <c r="O1102" s="7">
        <v>152</v>
      </c>
    </row>
    <row r="1103" spans="1:16" x14ac:dyDescent="0.2">
      <c r="A1103">
        <v>1102</v>
      </c>
      <c r="B1103" s="1">
        <v>40756</v>
      </c>
      <c r="C1103" t="s">
        <v>28</v>
      </c>
      <c r="D1103" s="7">
        <v>19</v>
      </c>
      <c r="E1103" s="7">
        <v>4</v>
      </c>
      <c r="F1103" s="7">
        <f t="shared" si="17"/>
        <v>2</v>
      </c>
      <c r="G1103" s="7" t="str">
        <f>LOOKUP(H1103,[1]startdates!$A$2:$A$10,[1]startdates!$B$2:$B$10)</f>
        <v>FMr</v>
      </c>
      <c r="H1103">
        <v>9</v>
      </c>
      <c r="M1103" s="7">
        <v>307</v>
      </c>
      <c r="O1103" s="7">
        <v>171</v>
      </c>
    </row>
    <row r="1104" spans="1:16" x14ac:dyDescent="0.2">
      <c r="A1104">
        <v>1103</v>
      </c>
      <c r="B1104" s="1">
        <v>40756</v>
      </c>
      <c r="C1104" t="s">
        <v>28</v>
      </c>
      <c r="D1104" s="7">
        <v>19</v>
      </c>
      <c r="E1104" s="7">
        <v>4</v>
      </c>
      <c r="F1104" s="7">
        <f t="shared" si="17"/>
        <v>2</v>
      </c>
      <c r="G1104" s="7" t="str">
        <f>LOOKUP(H1104,[1]startdates!$A$2:$A$10,[1]startdates!$B$2:$B$10)</f>
        <v>FMr</v>
      </c>
      <c r="H1104">
        <v>9</v>
      </c>
      <c r="M1104" s="7">
        <v>305</v>
      </c>
      <c r="O1104" s="7">
        <v>151</v>
      </c>
    </row>
    <row r="1105" spans="1:19" x14ac:dyDescent="0.2">
      <c r="A1105">
        <v>1104</v>
      </c>
      <c r="B1105" s="1">
        <v>40756</v>
      </c>
      <c r="C1105" t="s">
        <v>28</v>
      </c>
      <c r="D1105" s="7">
        <v>19</v>
      </c>
      <c r="E1105" s="7">
        <v>4</v>
      </c>
      <c r="F1105" s="7">
        <f t="shared" si="17"/>
        <v>2</v>
      </c>
      <c r="G1105" s="7" t="str">
        <f>LOOKUP(H1105,[1]startdates!$A$2:$A$10,[1]startdates!$B$2:$B$10)</f>
        <v>FMr</v>
      </c>
      <c r="H1105">
        <v>9</v>
      </c>
      <c r="M1105" s="7">
        <v>250</v>
      </c>
    </row>
    <row r="1106" spans="1:19" x14ac:dyDescent="0.2">
      <c r="A1106">
        <v>1105</v>
      </c>
      <c r="B1106" s="1">
        <v>40756</v>
      </c>
      <c r="C1106" t="s">
        <v>28</v>
      </c>
      <c r="D1106" s="7">
        <v>19</v>
      </c>
      <c r="E1106" s="7">
        <v>4</v>
      </c>
      <c r="F1106" s="7">
        <f t="shared" si="17"/>
        <v>2</v>
      </c>
      <c r="G1106" s="7" t="str">
        <f>LOOKUP(H1106,[1]startdates!$A$2:$A$10,[1]startdates!$B$2:$B$10)</f>
        <v>FMr</v>
      </c>
      <c r="H1106">
        <v>9</v>
      </c>
      <c r="M1106" s="7">
        <v>270</v>
      </c>
    </row>
    <row r="1107" spans="1:19" x14ac:dyDescent="0.2">
      <c r="A1107">
        <v>1106</v>
      </c>
      <c r="B1107" s="1">
        <v>40756</v>
      </c>
      <c r="C1107" t="s">
        <v>28</v>
      </c>
      <c r="D1107" s="7">
        <v>19</v>
      </c>
      <c r="E1107" s="7">
        <v>4</v>
      </c>
      <c r="F1107" s="7">
        <f t="shared" si="17"/>
        <v>2</v>
      </c>
      <c r="G1107" s="7" t="str">
        <f>LOOKUP(H1107,[1]startdates!$A$2:$A$10,[1]startdates!$B$2:$B$10)</f>
        <v>FMr</v>
      </c>
      <c r="H1107">
        <v>9</v>
      </c>
      <c r="M1107" s="7">
        <v>274</v>
      </c>
    </row>
    <row r="1108" spans="1:19" x14ac:dyDescent="0.2">
      <c r="A1108">
        <v>1107</v>
      </c>
      <c r="B1108" s="1">
        <v>40756</v>
      </c>
      <c r="C1108" t="s">
        <v>28</v>
      </c>
      <c r="D1108" s="7">
        <v>19</v>
      </c>
      <c r="E1108" s="7">
        <v>4</v>
      </c>
      <c r="F1108" s="7">
        <f t="shared" si="17"/>
        <v>2</v>
      </c>
      <c r="G1108" s="7" t="str">
        <f>LOOKUP(H1108,[1]startdates!$A$2:$A$10,[1]startdates!$B$2:$B$10)</f>
        <v>FMr</v>
      </c>
      <c r="H1108">
        <v>9</v>
      </c>
      <c r="M1108" s="7">
        <v>336</v>
      </c>
    </row>
    <row r="1109" spans="1:19" x14ac:dyDescent="0.2">
      <c r="A1109">
        <v>1108</v>
      </c>
      <c r="B1109" s="1">
        <v>40756</v>
      </c>
      <c r="C1109" t="s">
        <v>28</v>
      </c>
      <c r="D1109" s="7">
        <v>19</v>
      </c>
      <c r="E1109" s="7">
        <v>4</v>
      </c>
      <c r="F1109" s="7">
        <f t="shared" si="17"/>
        <v>2</v>
      </c>
      <c r="G1109" s="7" t="str">
        <f>LOOKUP(H1109,[1]startdates!$A$2:$A$10,[1]startdates!$B$2:$B$10)</f>
        <v>FMr</v>
      </c>
      <c r="H1109">
        <v>9</v>
      </c>
      <c r="M1109" s="7">
        <v>302</v>
      </c>
    </row>
    <row r="1110" spans="1:19" x14ac:dyDescent="0.2">
      <c r="A1110">
        <v>1109</v>
      </c>
      <c r="B1110" s="1">
        <v>40758</v>
      </c>
      <c r="C1110" t="s">
        <v>24</v>
      </c>
      <c r="D1110" s="7">
        <v>21</v>
      </c>
      <c r="E1110" s="7">
        <v>4</v>
      </c>
      <c r="F1110" s="7">
        <f t="shared" si="17"/>
        <v>4</v>
      </c>
      <c r="G1110" s="7" t="str">
        <f>LOOKUP(H1110,[1]startdates!$A$2:$A$10,[1]startdates!$B$2:$B$10)</f>
        <v>SMr</v>
      </c>
      <c r="H1110">
        <v>1</v>
      </c>
      <c r="I1110" s="7">
        <v>671</v>
      </c>
      <c r="K1110" s="7">
        <v>637</v>
      </c>
      <c r="L1110" s="7">
        <v>360</v>
      </c>
      <c r="M1110" s="7">
        <v>317</v>
      </c>
      <c r="N1110" s="7">
        <v>248</v>
      </c>
      <c r="O1110" s="7">
        <v>175</v>
      </c>
      <c r="P1110" s="7">
        <v>558</v>
      </c>
      <c r="Q1110" s="7">
        <v>362</v>
      </c>
    </row>
    <row r="1111" spans="1:19" x14ac:dyDescent="0.2">
      <c r="A1111">
        <v>1110</v>
      </c>
      <c r="B1111" s="1">
        <v>40758</v>
      </c>
      <c r="C1111" t="s">
        <v>24</v>
      </c>
      <c r="D1111" s="7">
        <v>21</v>
      </c>
      <c r="E1111" s="7">
        <v>4</v>
      </c>
      <c r="F1111" s="7">
        <f t="shared" si="17"/>
        <v>4</v>
      </c>
      <c r="G1111" s="7" t="str">
        <f>LOOKUP(H1111,[1]startdates!$A$2:$A$10,[1]startdates!$B$2:$B$10)</f>
        <v>SMr</v>
      </c>
      <c r="H1111">
        <v>1</v>
      </c>
      <c r="I1111" s="7">
        <v>680</v>
      </c>
      <c r="K1111" s="7">
        <v>537</v>
      </c>
      <c r="M1111" s="7">
        <v>346</v>
      </c>
      <c r="N1111" s="7">
        <v>185</v>
      </c>
      <c r="O1111" s="7">
        <v>161</v>
      </c>
      <c r="P1111" s="7">
        <v>555</v>
      </c>
    </row>
    <row r="1112" spans="1:19" x14ac:dyDescent="0.2">
      <c r="A1112">
        <v>1111</v>
      </c>
      <c r="B1112" s="1">
        <v>40758</v>
      </c>
      <c r="C1112" t="s">
        <v>24</v>
      </c>
      <c r="D1112" s="7">
        <v>21</v>
      </c>
      <c r="E1112" s="7">
        <v>4</v>
      </c>
      <c r="F1112" s="7">
        <f t="shared" si="17"/>
        <v>4</v>
      </c>
      <c r="G1112" s="7" t="str">
        <f>LOOKUP(H1112,[1]startdates!$A$2:$A$10,[1]startdates!$B$2:$B$10)</f>
        <v>SMr</v>
      </c>
      <c r="H1112">
        <v>1</v>
      </c>
      <c r="I1112" s="7">
        <v>631</v>
      </c>
      <c r="K1112" s="7">
        <v>586</v>
      </c>
      <c r="M1112" s="7">
        <v>347</v>
      </c>
      <c r="N1112" s="7">
        <v>233</v>
      </c>
      <c r="O1112" s="7">
        <v>162</v>
      </c>
      <c r="P1112" s="7">
        <v>482</v>
      </c>
    </row>
    <row r="1113" spans="1:19" x14ac:dyDescent="0.2">
      <c r="A1113">
        <v>1112</v>
      </c>
      <c r="B1113" s="1">
        <v>40758</v>
      </c>
      <c r="C1113" t="s">
        <v>24</v>
      </c>
      <c r="D1113" s="7">
        <v>21</v>
      </c>
      <c r="E1113" s="7">
        <v>4</v>
      </c>
      <c r="F1113" s="7">
        <f t="shared" si="17"/>
        <v>4</v>
      </c>
      <c r="G1113" s="7" t="str">
        <f>LOOKUP(H1113,[1]startdates!$A$2:$A$10,[1]startdates!$B$2:$B$10)</f>
        <v>SMr</v>
      </c>
      <c r="H1113">
        <v>1</v>
      </c>
      <c r="I1113" s="7">
        <v>616</v>
      </c>
      <c r="K1113" s="7">
        <v>610</v>
      </c>
      <c r="N1113" s="7">
        <v>191</v>
      </c>
      <c r="O1113" s="7">
        <v>165</v>
      </c>
    </row>
    <row r="1114" spans="1:19" x14ac:dyDescent="0.2">
      <c r="A1114">
        <v>1113</v>
      </c>
      <c r="B1114" s="1">
        <v>40758</v>
      </c>
      <c r="C1114" t="s">
        <v>24</v>
      </c>
      <c r="D1114" s="7">
        <v>21</v>
      </c>
      <c r="E1114" s="7">
        <v>4</v>
      </c>
      <c r="F1114" s="7">
        <f t="shared" si="17"/>
        <v>4</v>
      </c>
      <c r="G1114" s="7" t="str">
        <f>LOOKUP(H1114,[1]startdates!$A$2:$A$10,[1]startdates!$B$2:$B$10)</f>
        <v>SMr</v>
      </c>
      <c r="H1114">
        <v>1</v>
      </c>
      <c r="K1114" s="7">
        <v>580</v>
      </c>
      <c r="N1114" s="7">
        <v>209</v>
      </c>
      <c r="O1114" s="7">
        <v>163</v>
      </c>
    </row>
    <row r="1115" spans="1:19" x14ac:dyDescent="0.2">
      <c r="A1115">
        <v>1114</v>
      </c>
      <c r="B1115" s="1">
        <v>40758</v>
      </c>
      <c r="C1115" t="s">
        <v>24</v>
      </c>
      <c r="D1115" s="7">
        <v>21</v>
      </c>
      <c r="E1115" s="7">
        <v>4</v>
      </c>
      <c r="F1115" s="7">
        <f t="shared" si="17"/>
        <v>4</v>
      </c>
      <c r="G1115" s="7" t="str">
        <f>LOOKUP(H1115,[1]startdates!$A$2:$A$10,[1]startdates!$B$2:$B$10)</f>
        <v>SMr</v>
      </c>
      <c r="H1115">
        <v>1</v>
      </c>
      <c r="N1115" s="7">
        <v>218</v>
      </c>
      <c r="O1115" s="7">
        <v>169</v>
      </c>
    </row>
    <row r="1116" spans="1:19" x14ac:dyDescent="0.2">
      <c r="A1116">
        <v>1115</v>
      </c>
      <c r="B1116" s="1">
        <v>40758</v>
      </c>
      <c r="C1116" t="s">
        <v>24</v>
      </c>
      <c r="D1116" s="7">
        <v>21</v>
      </c>
      <c r="E1116" s="7">
        <v>4</v>
      </c>
      <c r="F1116" s="7">
        <f t="shared" si="17"/>
        <v>4</v>
      </c>
      <c r="G1116" s="7" t="str">
        <f>LOOKUP(H1116,[1]startdates!$A$2:$A$10,[1]startdates!$B$2:$B$10)</f>
        <v>SMr</v>
      </c>
      <c r="H1116">
        <v>1</v>
      </c>
      <c r="N1116" s="7">
        <v>167</v>
      </c>
      <c r="O1116" s="7">
        <v>174</v>
      </c>
    </row>
    <row r="1117" spans="1:19" x14ac:dyDescent="0.2">
      <c r="A1117">
        <v>1116</v>
      </c>
      <c r="B1117" s="1">
        <v>40758</v>
      </c>
      <c r="C1117" t="s">
        <v>24</v>
      </c>
      <c r="D1117" s="7">
        <v>21</v>
      </c>
      <c r="E1117" s="7">
        <v>4</v>
      </c>
      <c r="F1117" s="7">
        <f t="shared" si="17"/>
        <v>4</v>
      </c>
      <c r="G1117" s="7" t="str">
        <f>LOOKUP(H1117,[1]startdates!$A$2:$A$10,[1]startdates!$B$2:$B$10)</f>
        <v>SMr</v>
      </c>
      <c r="H1117">
        <v>1</v>
      </c>
      <c r="N1117" s="7">
        <v>235</v>
      </c>
      <c r="O1117" s="7">
        <v>155</v>
      </c>
    </row>
    <row r="1118" spans="1:19" x14ac:dyDescent="0.2">
      <c r="A1118">
        <v>1117</v>
      </c>
      <c r="B1118" s="1">
        <v>40758</v>
      </c>
      <c r="C1118" t="s">
        <v>24</v>
      </c>
      <c r="D1118" s="7">
        <v>21</v>
      </c>
      <c r="E1118" s="7">
        <v>4</v>
      </c>
      <c r="F1118" s="7">
        <f t="shared" si="17"/>
        <v>4</v>
      </c>
      <c r="G1118" s="7" t="str">
        <f>LOOKUP(H1118,[1]startdates!$A$2:$A$10,[1]startdates!$B$2:$B$10)</f>
        <v>SMr</v>
      </c>
      <c r="H1118">
        <v>1</v>
      </c>
      <c r="N1118" s="7">
        <v>186</v>
      </c>
      <c r="O1118" s="7">
        <v>155</v>
      </c>
    </row>
    <row r="1119" spans="1:19" x14ac:dyDescent="0.2">
      <c r="A1119">
        <v>1118</v>
      </c>
      <c r="B1119" s="1">
        <v>40758</v>
      </c>
      <c r="C1119" t="s">
        <v>24</v>
      </c>
      <c r="D1119" s="7">
        <v>21</v>
      </c>
      <c r="E1119" s="7">
        <v>4</v>
      </c>
      <c r="F1119" s="7">
        <f t="shared" si="17"/>
        <v>4</v>
      </c>
      <c r="G1119" s="7" t="str">
        <f>LOOKUP(H1119,[1]startdates!$A$2:$A$10,[1]startdates!$B$2:$B$10)</f>
        <v>SMr</v>
      </c>
      <c r="H1119">
        <v>1</v>
      </c>
      <c r="N1119" s="7">
        <v>182</v>
      </c>
    </row>
    <row r="1120" spans="1:19" x14ac:dyDescent="0.2">
      <c r="A1120">
        <v>1119</v>
      </c>
      <c r="B1120" s="1">
        <v>40758</v>
      </c>
      <c r="C1120" t="s">
        <v>24</v>
      </c>
      <c r="D1120" s="7">
        <v>21</v>
      </c>
      <c r="E1120" s="7">
        <v>4</v>
      </c>
      <c r="F1120" s="7">
        <f t="shared" si="17"/>
        <v>4</v>
      </c>
      <c r="G1120" s="7" t="str">
        <f>LOOKUP(H1120,[1]startdates!$A$2:$A$10,[1]startdates!$B$2:$B$10)</f>
        <v>SMr</v>
      </c>
      <c r="H1120">
        <v>2</v>
      </c>
      <c r="I1120" s="7">
        <v>537</v>
      </c>
      <c r="K1120" s="7">
        <v>657</v>
      </c>
      <c r="L1120" s="7">
        <v>522</v>
      </c>
      <c r="M1120" s="7">
        <v>274</v>
      </c>
      <c r="N1120" s="7">
        <v>220</v>
      </c>
      <c r="O1120" s="7">
        <v>164</v>
      </c>
      <c r="P1120" s="7">
        <v>530</v>
      </c>
      <c r="Q1120" s="7">
        <v>421</v>
      </c>
      <c r="S1120" s="7">
        <v>273</v>
      </c>
    </row>
    <row r="1121" spans="1:16" x14ac:dyDescent="0.2">
      <c r="A1121">
        <v>1120</v>
      </c>
      <c r="B1121" s="1">
        <v>40758</v>
      </c>
      <c r="C1121" t="s">
        <v>24</v>
      </c>
      <c r="D1121" s="7">
        <v>21</v>
      </c>
      <c r="E1121" s="7">
        <v>4</v>
      </c>
      <c r="F1121" s="7">
        <f t="shared" si="17"/>
        <v>4</v>
      </c>
      <c r="G1121" s="7" t="str">
        <f>LOOKUP(H1121,[1]startdates!$A$2:$A$10,[1]startdates!$B$2:$B$10)</f>
        <v>SMr</v>
      </c>
      <c r="H1121">
        <v>2</v>
      </c>
      <c r="I1121" s="7">
        <v>743</v>
      </c>
      <c r="K1121" s="7">
        <v>606</v>
      </c>
      <c r="L1121" s="7">
        <v>534</v>
      </c>
      <c r="M1121" s="7">
        <v>285</v>
      </c>
      <c r="N1121" s="7">
        <v>251</v>
      </c>
      <c r="O1121" s="7">
        <v>152</v>
      </c>
    </row>
    <row r="1122" spans="1:16" x14ac:dyDescent="0.2">
      <c r="A1122">
        <v>1121</v>
      </c>
      <c r="B1122" s="1">
        <v>40758</v>
      </c>
      <c r="C1122" t="s">
        <v>24</v>
      </c>
      <c r="D1122" s="7">
        <v>21</v>
      </c>
      <c r="E1122" s="7">
        <v>4</v>
      </c>
      <c r="F1122" s="7">
        <f t="shared" si="17"/>
        <v>4</v>
      </c>
      <c r="G1122" s="7" t="str">
        <f>LOOKUP(H1122,[1]startdates!$A$2:$A$10,[1]startdates!$B$2:$B$10)</f>
        <v>SMr</v>
      </c>
      <c r="H1122">
        <v>2</v>
      </c>
      <c r="I1122" s="7">
        <v>619</v>
      </c>
      <c r="K1122" s="7">
        <v>562</v>
      </c>
      <c r="N1122" s="7">
        <v>186</v>
      </c>
      <c r="O1122" s="7">
        <v>159</v>
      </c>
    </row>
    <row r="1123" spans="1:16" x14ac:dyDescent="0.2">
      <c r="A1123">
        <v>1122</v>
      </c>
      <c r="B1123" s="1">
        <v>40758</v>
      </c>
      <c r="C1123" t="s">
        <v>24</v>
      </c>
      <c r="D1123" s="7">
        <v>21</v>
      </c>
      <c r="E1123" s="7">
        <v>4</v>
      </c>
      <c r="F1123" s="7">
        <f t="shared" si="17"/>
        <v>4</v>
      </c>
      <c r="G1123" s="7" t="str">
        <f>LOOKUP(H1123,[1]startdates!$A$2:$A$10,[1]startdates!$B$2:$B$10)</f>
        <v>SMr</v>
      </c>
      <c r="H1123">
        <v>2</v>
      </c>
      <c r="I1123" s="7">
        <v>748</v>
      </c>
      <c r="N1123" s="7">
        <v>196</v>
      </c>
      <c r="O1123" s="7">
        <v>162</v>
      </c>
    </row>
    <row r="1124" spans="1:16" x14ac:dyDescent="0.2">
      <c r="A1124">
        <v>1123</v>
      </c>
      <c r="B1124" s="1">
        <v>40758</v>
      </c>
      <c r="C1124" t="s">
        <v>24</v>
      </c>
      <c r="D1124" s="7">
        <v>21</v>
      </c>
      <c r="E1124" s="7">
        <v>4</v>
      </c>
      <c r="F1124" s="7">
        <f t="shared" si="17"/>
        <v>4</v>
      </c>
      <c r="G1124" s="7" t="str">
        <f>LOOKUP(H1124,[1]startdates!$A$2:$A$10,[1]startdates!$B$2:$B$10)</f>
        <v>SMr</v>
      </c>
      <c r="H1124">
        <v>2</v>
      </c>
      <c r="I1124" s="7">
        <v>582</v>
      </c>
      <c r="N1124" s="7">
        <v>181</v>
      </c>
      <c r="O1124" s="7">
        <v>173</v>
      </c>
    </row>
    <row r="1125" spans="1:16" x14ac:dyDescent="0.2">
      <c r="A1125">
        <v>1124</v>
      </c>
      <c r="B1125" s="1">
        <v>40758</v>
      </c>
      <c r="C1125" t="s">
        <v>24</v>
      </c>
      <c r="D1125" s="7">
        <v>21</v>
      </c>
      <c r="E1125" s="7">
        <v>4</v>
      </c>
      <c r="F1125" s="7">
        <f t="shared" si="17"/>
        <v>4</v>
      </c>
      <c r="G1125" s="7" t="str">
        <f>LOOKUP(H1125,[1]startdates!$A$2:$A$10,[1]startdates!$B$2:$B$10)</f>
        <v>SMr</v>
      </c>
      <c r="H1125">
        <v>2</v>
      </c>
      <c r="I1125" s="7">
        <v>591</v>
      </c>
      <c r="N1125" s="7">
        <v>205</v>
      </c>
    </row>
    <row r="1126" spans="1:16" x14ac:dyDescent="0.2">
      <c r="A1126">
        <v>1125</v>
      </c>
      <c r="B1126" s="1">
        <v>40758</v>
      </c>
      <c r="C1126" t="s">
        <v>24</v>
      </c>
      <c r="D1126" s="7">
        <v>21</v>
      </c>
      <c r="E1126" s="7">
        <v>4</v>
      </c>
      <c r="F1126" s="7">
        <f t="shared" si="17"/>
        <v>4</v>
      </c>
      <c r="G1126" s="7" t="str">
        <f>LOOKUP(H1126,[1]startdates!$A$2:$A$10,[1]startdates!$B$2:$B$10)</f>
        <v>SMr</v>
      </c>
      <c r="H1126">
        <v>2</v>
      </c>
      <c r="N1126" s="7">
        <v>250</v>
      </c>
    </row>
    <row r="1127" spans="1:16" x14ac:dyDescent="0.2">
      <c r="A1127">
        <v>1126</v>
      </c>
      <c r="B1127" s="1">
        <v>40758</v>
      </c>
      <c r="C1127" t="s">
        <v>24</v>
      </c>
      <c r="D1127" s="7">
        <v>21</v>
      </c>
      <c r="E1127" s="7">
        <v>4</v>
      </c>
      <c r="F1127" s="7">
        <f t="shared" si="17"/>
        <v>4</v>
      </c>
      <c r="G1127" s="7" t="str">
        <f>LOOKUP(H1127,[1]startdates!$A$2:$A$10,[1]startdates!$B$2:$B$10)</f>
        <v>SMr</v>
      </c>
      <c r="H1127">
        <v>2</v>
      </c>
      <c r="N1127" s="7">
        <v>155</v>
      </c>
    </row>
    <row r="1128" spans="1:16" x14ac:dyDescent="0.2">
      <c r="A1128">
        <v>1127</v>
      </c>
      <c r="B1128" s="1">
        <v>40758</v>
      </c>
      <c r="C1128" t="s">
        <v>24</v>
      </c>
      <c r="D1128" s="7">
        <v>21</v>
      </c>
      <c r="E1128" s="7">
        <v>4</v>
      </c>
      <c r="F1128" s="7">
        <f t="shared" si="17"/>
        <v>4</v>
      </c>
      <c r="G1128" s="7" t="str">
        <f>LOOKUP(H1128,[1]startdates!$A$2:$A$10,[1]startdates!$B$2:$B$10)</f>
        <v>SMr</v>
      </c>
      <c r="H1128">
        <v>2</v>
      </c>
      <c r="N1128" s="7">
        <v>261</v>
      </c>
    </row>
    <row r="1129" spans="1:16" x14ac:dyDescent="0.2">
      <c r="A1129">
        <v>1128</v>
      </c>
      <c r="B1129" s="1">
        <v>40758</v>
      </c>
      <c r="C1129" t="s">
        <v>24</v>
      </c>
      <c r="D1129" s="7">
        <v>21</v>
      </c>
      <c r="E1129" s="7">
        <v>4</v>
      </c>
      <c r="F1129" s="7">
        <f t="shared" ref="F1129:F1192" si="18">WEEKDAY(B1129)</f>
        <v>4</v>
      </c>
      <c r="G1129" s="7" t="str">
        <f>LOOKUP(H1129,[1]startdates!$A$2:$A$10,[1]startdates!$B$2:$B$10)</f>
        <v>SMr</v>
      </c>
      <c r="H1129">
        <v>2</v>
      </c>
      <c r="N1129" s="7">
        <v>208</v>
      </c>
    </row>
    <row r="1130" spans="1:16" x14ac:dyDescent="0.2">
      <c r="A1130">
        <v>1129</v>
      </c>
      <c r="B1130" s="1">
        <v>40758</v>
      </c>
      <c r="C1130" t="s">
        <v>24</v>
      </c>
      <c r="D1130" s="7">
        <v>21</v>
      </c>
      <c r="E1130" s="7">
        <v>4</v>
      </c>
      <c r="F1130" s="7">
        <f t="shared" si="18"/>
        <v>4</v>
      </c>
      <c r="G1130" s="7" t="str">
        <f>LOOKUP(H1130,[1]startdates!$A$2:$A$10,[1]startdates!$B$2:$B$10)</f>
        <v>SMr</v>
      </c>
      <c r="H1130">
        <v>2</v>
      </c>
      <c r="N1130" s="7">
        <v>240</v>
      </c>
    </row>
    <row r="1131" spans="1:16" x14ac:dyDescent="0.2">
      <c r="A1131">
        <v>1130</v>
      </c>
      <c r="B1131" s="1">
        <v>40758</v>
      </c>
      <c r="C1131" t="s">
        <v>24</v>
      </c>
      <c r="D1131" s="7">
        <v>21</v>
      </c>
      <c r="E1131" s="7">
        <v>4</v>
      </c>
      <c r="F1131" s="7">
        <f t="shared" si="18"/>
        <v>4</v>
      </c>
      <c r="G1131" s="7" t="str">
        <f>LOOKUP(H1131,[1]startdates!$A$2:$A$10,[1]startdates!$B$2:$B$10)</f>
        <v>SMr</v>
      </c>
      <c r="H1131">
        <v>2</v>
      </c>
      <c r="N1131" s="7">
        <v>260</v>
      </c>
    </row>
    <row r="1132" spans="1:16" x14ac:dyDescent="0.2">
      <c r="A1132">
        <v>1131</v>
      </c>
      <c r="B1132" s="1">
        <v>40758</v>
      </c>
      <c r="C1132" t="s">
        <v>24</v>
      </c>
      <c r="D1132" s="7">
        <v>21</v>
      </c>
      <c r="E1132" s="7">
        <v>4</v>
      </c>
      <c r="F1132" s="7">
        <f t="shared" si="18"/>
        <v>4</v>
      </c>
      <c r="G1132" s="7" t="str">
        <f>LOOKUP(H1132,[1]startdates!$A$2:$A$10,[1]startdates!$B$2:$B$10)</f>
        <v>SMr</v>
      </c>
      <c r="H1132">
        <v>2</v>
      </c>
      <c r="N1132" s="7">
        <v>202</v>
      </c>
    </row>
    <row r="1133" spans="1:16" x14ac:dyDescent="0.2">
      <c r="A1133">
        <v>1132</v>
      </c>
      <c r="B1133" s="1">
        <v>40758</v>
      </c>
      <c r="C1133" t="s">
        <v>24</v>
      </c>
      <c r="D1133" s="7">
        <v>21</v>
      </c>
      <c r="E1133" s="7">
        <v>4</v>
      </c>
      <c r="F1133" s="7">
        <f t="shared" si="18"/>
        <v>4</v>
      </c>
      <c r="G1133" s="7" t="str">
        <f>LOOKUP(H1133,[1]startdates!$A$2:$A$10,[1]startdates!$B$2:$B$10)</f>
        <v>SMr</v>
      </c>
      <c r="H1133">
        <v>2</v>
      </c>
      <c r="N1133" s="7">
        <v>197</v>
      </c>
    </row>
    <row r="1134" spans="1:16" x14ac:dyDescent="0.2">
      <c r="A1134">
        <v>1133</v>
      </c>
      <c r="B1134" s="1">
        <v>40758</v>
      </c>
      <c r="C1134" t="s">
        <v>24</v>
      </c>
      <c r="D1134" s="7">
        <v>21</v>
      </c>
      <c r="E1134" s="7">
        <v>4</v>
      </c>
      <c r="F1134" s="7">
        <f t="shared" si="18"/>
        <v>4</v>
      </c>
      <c r="G1134" s="7" t="str">
        <f>LOOKUP(H1134,[1]startdates!$A$2:$A$10,[1]startdates!$B$2:$B$10)</f>
        <v>SMr</v>
      </c>
      <c r="H1134">
        <v>2</v>
      </c>
      <c r="N1134" s="7">
        <v>146</v>
      </c>
    </row>
    <row r="1135" spans="1:16" x14ac:dyDescent="0.2">
      <c r="A1135">
        <v>1134</v>
      </c>
      <c r="B1135" s="1">
        <v>40758</v>
      </c>
      <c r="C1135" t="s">
        <v>24</v>
      </c>
      <c r="D1135" s="7">
        <v>21</v>
      </c>
      <c r="E1135" s="7">
        <v>4</v>
      </c>
      <c r="F1135" s="7">
        <f t="shared" si="18"/>
        <v>4</v>
      </c>
      <c r="G1135" s="7" t="str">
        <f>LOOKUP(H1135,[1]startdates!$A$2:$A$10,[1]startdates!$B$2:$B$10)</f>
        <v>C</v>
      </c>
      <c r="H1135">
        <v>3</v>
      </c>
      <c r="I1135" s="7">
        <v>652</v>
      </c>
      <c r="J1135" s="7">
        <v>582</v>
      </c>
      <c r="K1135" s="7">
        <v>592</v>
      </c>
      <c r="L1135" s="7">
        <v>503</v>
      </c>
      <c r="M1135" s="7">
        <v>374</v>
      </c>
      <c r="N1135" s="7">
        <v>195</v>
      </c>
      <c r="O1135" s="7">
        <v>160</v>
      </c>
      <c r="P1135" s="7">
        <v>521</v>
      </c>
    </row>
    <row r="1136" spans="1:16" x14ac:dyDescent="0.2">
      <c r="A1136">
        <v>1135</v>
      </c>
      <c r="B1136" s="1">
        <v>40758</v>
      </c>
      <c r="C1136" t="s">
        <v>24</v>
      </c>
      <c r="D1136" s="7">
        <v>21</v>
      </c>
      <c r="E1136" s="7">
        <v>4</v>
      </c>
      <c r="F1136" s="7">
        <f t="shared" si="18"/>
        <v>4</v>
      </c>
      <c r="G1136" s="7" t="str">
        <f>LOOKUP(H1136,[1]startdates!$A$2:$A$10,[1]startdates!$B$2:$B$10)</f>
        <v>C</v>
      </c>
      <c r="H1136">
        <v>3</v>
      </c>
      <c r="I1136" s="7">
        <v>736</v>
      </c>
      <c r="K1136" s="7">
        <v>511</v>
      </c>
      <c r="L1136" s="7">
        <v>355</v>
      </c>
      <c r="M1136" s="7">
        <v>366</v>
      </c>
      <c r="N1136" s="7">
        <v>207</v>
      </c>
      <c r="O1136" s="7">
        <v>184</v>
      </c>
      <c r="P1136" s="7">
        <v>476</v>
      </c>
    </row>
    <row r="1137" spans="1:19" x14ac:dyDescent="0.2">
      <c r="A1137">
        <v>1136</v>
      </c>
      <c r="B1137" s="1">
        <v>40758</v>
      </c>
      <c r="C1137" t="s">
        <v>24</v>
      </c>
      <c r="D1137" s="7">
        <v>21</v>
      </c>
      <c r="E1137" s="7">
        <v>4</v>
      </c>
      <c r="F1137" s="7">
        <f t="shared" si="18"/>
        <v>4</v>
      </c>
      <c r="G1137" s="7" t="str">
        <f>LOOKUP(H1137,[1]startdates!$A$2:$A$10,[1]startdates!$B$2:$B$10)</f>
        <v>C</v>
      </c>
      <c r="H1137">
        <v>3</v>
      </c>
      <c r="I1137" s="7">
        <v>659</v>
      </c>
      <c r="K1137" s="7">
        <v>604</v>
      </c>
      <c r="L1137" s="7">
        <v>359</v>
      </c>
      <c r="M1137" s="7">
        <v>344</v>
      </c>
      <c r="N1137" s="7">
        <v>218</v>
      </c>
      <c r="O1137" s="7">
        <v>167</v>
      </c>
    </row>
    <row r="1138" spans="1:19" x14ac:dyDescent="0.2">
      <c r="A1138">
        <v>1137</v>
      </c>
      <c r="B1138" s="1">
        <v>40758</v>
      </c>
      <c r="C1138" t="s">
        <v>24</v>
      </c>
      <c r="D1138" s="7">
        <v>21</v>
      </c>
      <c r="E1138" s="7">
        <v>4</v>
      </c>
      <c r="F1138" s="7">
        <f t="shared" si="18"/>
        <v>4</v>
      </c>
      <c r="G1138" s="7" t="str">
        <f>LOOKUP(H1138,[1]startdates!$A$2:$A$10,[1]startdates!$B$2:$B$10)</f>
        <v>C</v>
      </c>
      <c r="H1138">
        <v>3</v>
      </c>
      <c r="I1138" s="7">
        <v>632</v>
      </c>
      <c r="K1138" s="7">
        <v>490</v>
      </c>
      <c r="M1138" s="7">
        <v>380</v>
      </c>
      <c r="N1138" s="7">
        <v>242</v>
      </c>
      <c r="O1138" s="7">
        <v>173</v>
      </c>
    </row>
    <row r="1139" spans="1:19" x14ac:dyDescent="0.2">
      <c r="A1139">
        <v>1138</v>
      </c>
      <c r="B1139" s="1">
        <v>40758</v>
      </c>
      <c r="C1139" t="s">
        <v>24</v>
      </c>
      <c r="D1139" s="7">
        <v>21</v>
      </c>
      <c r="E1139" s="7">
        <v>4</v>
      </c>
      <c r="F1139" s="7">
        <f t="shared" si="18"/>
        <v>4</v>
      </c>
      <c r="G1139" s="7" t="str">
        <f>LOOKUP(H1139,[1]startdates!$A$2:$A$10,[1]startdates!$B$2:$B$10)</f>
        <v>C</v>
      </c>
      <c r="H1139">
        <v>3</v>
      </c>
      <c r="I1139" s="7">
        <v>761</v>
      </c>
      <c r="K1139" s="7">
        <v>576</v>
      </c>
      <c r="N1139" s="7">
        <v>258</v>
      </c>
      <c r="O1139" s="7">
        <v>182</v>
      </c>
    </row>
    <row r="1140" spans="1:19" x14ac:dyDescent="0.2">
      <c r="A1140">
        <v>1139</v>
      </c>
      <c r="B1140" s="1">
        <v>40758</v>
      </c>
      <c r="C1140" t="s">
        <v>24</v>
      </c>
      <c r="D1140" s="7">
        <v>21</v>
      </c>
      <c r="E1140" s="7">
        <v>4</v>
      </c>
      <c r="F1140" s="7">
        <f t="shared" si="18"/>
        <v>4</v>
      </c>
      <c r="G1140" s="7" t="str">
        <f>LOOKUP(H1140,[1]startdates!$A$2:$A$10,[1]startdates!$B$2:$B$10)</f>
        <v>C</v>
      </c>
      <c r="H1140">
        <v>3</v>
      </c>
      <c r="K1140" s="7">
        <v>600</v>
      </c>
      <c r="N1140" s="7">
        <v>233</v>
      </c>
      <c r="O1140" s="7">
        <v>179</v>
      </c>
    </row>
    <row r="1141" spans="1:19" x14ac:dyDescent="0.2">
      <c r="A1141">
        <v>1140</v>
      </c>
      <c r="B1141" s="1">
        <v>40758</v>
      </c>
      <c r="C1141" t="s">
        <v>24</v>
      </c>
      <c r="D1141" s="7">
        <v>21</v>
      </c>
      <c r="E1141" s="7">
        <v>4</v>
      </c>
      <c r="F1141" s="7">
        <f t="shared" si="18"/>
        <v>4</v>
      </c>
      <c r="G1141" s="7" t="str">
        <f>LOOKUP(H1141,[1]startdates!$A$2:$A$10,[1]startdates!$B$2:$B$10)</f>
        <v>C</v>
      </c>
      <c r="H1141">
        <v>3</v>
      </c>
      <c r="N1141" s="7">
        <v>223</v>
      </c>
      <c r="O1141" s="7">
        <v>174</v>
      </c>
    </row>
    <row r="1142" spans="1:19" x14ac:dyDescent="0.2">
      <c r="A1142">
        <v>1141</v>
      </c>
      <c r="B1142" s="1">
        <v>40758</v>
      </c>
      <c r="C1142" t="s">
        <v>24</v>
      </c>
      <c r="D1142" s="7">
        <v>21</v>
      </c>
      <c r="E1142" s="7">
        <v>4</v>
      </c>
      <c r="F1142" s="7">
        <f t="shared" si="18"/>
        <v>4</v>
      </c>
      <c r="G1142" s="7" t="str">
        <f>LOOKUP(H1142,[1]startdates!$A$2:$A$10,[1]startdates!$B$2:$B$10)</f>
        <v>C</v>
      </c>
      <c r="H1142">
        <v>3</v>
      </c>
      <c r="N1142" s="7">
        <v>223</v>
      </c>
      <c r="O1142" s="7">
        <v>160</v>
      </c>
    </row>
    <row r="1143" spans="1:19" x14ac:dyDescent="0.2">
      <c r="A1143">
        <v>1142</v>
      </c>
      <c r="B1143" s="1">
        <v>40758</v>
      </c>
      <c r="C1143" t="s">
        <v>24</v>
      </c>
      <c r="D1143" s="7">
        <v>21</v>
      </c>
      <c r="E1143" s="7">
        <v>4</v>
      </c>
      <c r="F1143" s="7">
        <f t="shared" si="18"/>
        <v>4</v>
      </c>
      <c r="G1143" s="7" t="str">
        <f>LOOKUP(H1143,[1]startdates!$A$2:$A$10,[1]startdates!$B$2:$B$10)</f>
        <v>C</v>
      </c>
      <c r="H1143">
        <v>3</v>
      </c>
      <c r="N1143" s="7">
        <v>208</v>
      </c>
      <c r="O1143" s="7">
        <v>159</v>
      </c>
    </row>
    <row r="1144" spans="1:19" x14ac:dyDescent="0.2">
      <c r="A1144">
        <v>1143</v>
      </c>
      <c r="B1144" s="1">
        <v>40758</v>
      </c>
      <c r="C1144" t="s">
        <v>24</v>
      </c>
      <c r="D1144" s="7">
        <v>21</v>
      </c>
      <c r="E1144" s="7">
        <v>4</v>
      </c>
      <c r="F1144" s="7">
        <f t="shared" si="18"/>
        <v>4</v>
      </c>
      <c r="G1144" s="7" t="str">
        <f>LOOKUP(H1144,[1]startdates!$A$2:$A$10,[1]startdates!$B$2:$B$10)</f>
        <v>C</v>
      </c>
      <c r="H1144">
        <v>3</v>
      </c>
      <c r="N1144" s="7">
        <v>196</v>
      </c>
      <c r="O1144" s="7">
        <v>179</v>
      </c>
    </row>
    <row r="1145" spans="1:19" x14ac:dyDescent="0.2">
      <c r="A1145">
        <v>1144</v>
      </c>
      <c r="B1145" s="1">
        <v>40758</v>
      </c>
      <c r="C1145" t="s">
        <v>24</v>
      </c>
      <c r="D1145" s="7">
        <v>21</v>
      </c>
      <c r="E1145" s="7">
        <v>4</v>
      </c>
      <c r="F1145" s="7">
        <f t="shared" si="18"/>
        <v>4</v>
      </c>
      <c r="G1145" s="7" t="str">
        <f>LOOKUP(H1145,[1]startdates!$A$2:$A$10,[1]startdates!$B$2:$B$10)</f>
        <v>C</v>
      </c>
      <c r="H1145">
        <v>3</v>
      </c>
      <c r="N1145" s="7">
        <v>167</v>
      </c>
      <c r="O1145" s="7">
        <v>184</v>
      </c>
    </row>
    <row r="1146" spans="1:19" x14ac:dyDescent="0.2">
      <c r="A1146">
        <v>1145</v>
      </c>
      <c r="B1146" s="1">
        <v>40758</v>
      </c>
      <c r="C1146" t="s">
        <v>24</v>
      </c>
      <c r="D1146" s="7">
        <v>21</v>
      </c>
      <c r="E1146" s="7">
        <v>4</v>
      </c>
      <c r="F1146" s="7">
        <f t="shared" si="18"/>
        <v>4</v>
      </c>
      <c r="G1146" s="7" t="str">
        <f>LOOKUP(H1146,[1]startdates!$A$2:$A$10,[1]startdates!$B$2:$B$10)</f>
        <v>C</v>
      </c>
      <c r="H1146">
        <v>3</v>
      </c>
      <c r="N1146" s="7">
        <v>220</v>
      </c>
      <c r="O1146" s="7">
        <v>152</v>
      </c>
    </row>
    <row r="1147" spans="1:19" x14ac:dyDescent="0.2">
      <c r="A1147">
        <v>1146</v>
      </c>
      <c r="B1147" s="1">
        <v>40758</v>
      </c>
      <c r="C1147" t="s">
        <v>24</v>
      </c>
      <c r="D1147" s="7">
        <v>21</v>
      </c>
      <c r="E1147" s="7">
        <v>4</v>
      </c>
      <c r="F1147" s="7">
        <f t="shared" si="18"/>
        <v>4</v>
      </c>
      <c r="G1147" s="7" t="str">
        <f>LOOKUP(H1147,[1]startdates!$A$2:$A$10,[1]startdates!$B$2:$B$10)</f>
        <v>C</v>
      </c>
      <c r="H1147">
        <v>3</v>
      </c>
      <c r="N1147" s="7">
        <v>270</v>
      </c>
      <c r="O1147" s="7">
        <v>163</v>
      </c>
    </row>
    <row r="1148" spans="1:19" x14ac:dyDescent="0.2">
      <c r="A1148">
        <v>1147</v>
      </c>
      <c r="B1148" s="1">
        <v>40758</v>
      </c>
      <c r="C1148" t="s">
        <v>24</v>
      </c>
      <c r="D1148" s="7">
        <v>21</v>
      </c>
      <c r="E1148" s="7">
        <v>4</v>
      </c>
      <c r="F1148" s="7">
        <f t="shared" si="18"/>
        <v>4</v>
      </c>
      <c r="G1148" s="7" t="str">
        <f>LOOKUP(H1148,[1]startdates!$A$2:$A$10,[1]startdates!$B$2:$B$10)</f>
        <v>C</v>
      </c>
      <c r="H1148">
        <v>3</v>
      </c>
      <c r="N1148" s="7">
        <v>194</v>
      </c>
      <c r="O1148" s="7">
        <v>180</v>
      </c>
    </row>
    <row r="1149" spans="1:19" x14ac:dyDescent="0.2">
      <c r="A1149">
        <v>1148</v>
      </c>
      <c r="B1149" s="1">
        <v>40758</v>
      </c>
      <c r="C1149" t="s">
        <v>24</v>
      </c>
      <c r="D1149" s="7">
        <v>21</v>
      </c>
      <c r="E1149" s="7">
        <v>4</v>
      </c>
      <c r="F1149" s="7">
        <f t="shared" si="18"/>
        <v>4</v>
      </c>
      <c r="G1149" s="7" t="str">
        <f>LOOKUP(H1149,[1]startdates!$A$2:$A$10,[1]startdates!$B$2:$B$10)</f>
        <v>C</v>
      </c>
      <c r="H1149">
        <v>3</v>
      </c>
      <c r="N1149" s="7">
        <v>205</v>
      </c>
      <c r="O1149" s="7">
        <v>167</v>
      </c>
    </row>
    <row r="1150" spans="1:19" x14ac:dyDescent="0.2">
      <c r="A1150">
        <v>1149</v>
      </c>
      <c r="B1150" s="1">
        <v>40758</v>
      </c>
      <c r="C1150" t="s">
        <v>24</v>
      </c>
      <c r="D1150" s="7">
        <v>21</v>
      </c>
      <c r="E1150" s="7">
        <v>4</v>
      </c>
      <c r="F1150" s="7">
        <f t="shared" si="18"/>
        <v>4</v>
      </c>
      <c r="G1150" s="7" t="str">
        <f>LOOKUP(H1150,[1]startdates!$A$2:$A$10,[1]startdates!$B$2:$B$10)</f>
        <v>C</v>
      </c>
      <c r="H1150">
        <v>3</v>
      </c>
      <c r="O1150" s="7">
        <v>151</v>
      </c>
    </row>
    <row r="1151" spans="1:19" x14ac:dyDescent="0.2">
      <c r="A1151">
        <v>1150</v>
      </c>
      <c r="B1151" s="1">
        <v>40758</v>
      </c>
      <c r="C1151" t="s">
        <v>24</v>
      </c>
      <c r="D1151" s="7">
        <v>21</v>
      </c>
      <c r="E1151" s="7">
        <v>4</v>
      </c>
      <c r="F1151" s="7">
        <f t="shared" si="18"/>
        <v>4</v>
      </c>
      <c r="G1151" s="7" t="str">
        <f>LOOKUP(H1151,[1]startdates!$A$2:$A$10,[1]startdates!$B$2:$B$10)</f>
        <v>C</v>
      </c>
      <c r="H1151">
        <v>3</v>
      </c>
      <c r="O1151" s="7">
        <v>165</v>
      </c>
    </row>
    <row r="1152" spans="1:19" x14ac:dyDescent="0.2">
      <c r="A1152">
        <v>1151</v>
      </c>
      <c r="B1152" s="1">
        <v>40758</v>
      </c>
      <c r="C1152" t="s">
        <v>24</v>
      </c>
      <c r="D1152" s="7">
        <v>21</v>
      </c>
      <c r="E1152" s="7">
        <v>4</v>
      </c>
      <c r="F1152" s="7">
        <f t="shared" si="18"/>
        <v>4</v>
      </c>
      <c r="G1152" s="7" t="str">
        <f>LOOKUP(H1152,[1]startdates!$A$2:$A$10,[1]startdates!$B$2:$B$10)</f>
        <v>SMr</v>
      </c>
      <c r="H1152">
        <v>4</v>
      </c>
      <c r="I1152" s="7">
        <v>635</v>
      </c>
      <c r="K1152" s="7">
        <v>528</v>
      </c>
      <c r="L1152" s="7">
        <v>369</v>
      </c>
      <c r="M1152" s="7">
        <v>217</v>
      </c>
      <c r="N1152" s="7">
        <v>211</v>
      </c>
      <c r="O1152" s="7">
        <v>167</v>
      </c>
      <c r="P1152" s="7">
        <v>559</v>
      </c>
      <c r="R1152" s="7">
        <v>287</v>
      </c>
      <c r="S1152" s="7">
        <v>262</v>
      </c>
    </row>
    <row r="1153" spans="1:15" x14ac:dyDescent="0.2">
      <c r="A1153">
        <v>1152</v>
      </c>
      <c r="B1153" s="1">
        <v>40758</v>
      </c>
      <c r="C1153" t="s">
        <v>24</v>
      </c>
      <c r="D1153" s="7">
        <v>21</v>
      </c>
      <c r="E1153" s="7">
        <v>4</v>
      </c>
      <c r="F1153" s="7">
        <f t="shared" si="18"/>
        <v>4</v>
      </c>
      <c r="G1153" s="7" t="str">
        <f>LOOKUP(H1153,[1]startdates!$A$2:$A$10,[1]startdates!$B$2:$B$10)</f>
        <v>SMr</v>
      </c>
      <c r="H1153">
        <v>4</v>
      </c>
      <c r="I1153" s="7">
        <v>726</v>
      </c>
      <c r="K1153" s="7">
        <v>508</v>
      </c>
      <c r="L1153" s="7">
        <v>477</v>
      </c>
      <c r="M1153" s="7">
        <v>262</v>
      </c>
      <c r="N1153" s="7">
        <v>181</v>
      </c>
      <c r="O1153" s="7">
        <v>158</v>
      </c>
    </row>
    <row r="1154" spans="1:15" x14ac:dyDescent="0.2">
      <c r="A1154">
        <v>1153</v>
      </c>
      <c r="B1154" s="1">
        <v>40758</v>
      </c>
      <c r="C1154" t="s">
        <v>24</v>
      </c>
      <c r="D1154" s="7">
        <v>21</v>
      </c>
      <c r="E1154" s="7">
        <v>4</v>
      </c>
      <c r="F1154" s="7">
        <f t="shared" si="18"/>
        <v>4</v>
      </c>
      <c r="G1154" s="7" t="str">
        <f>LOOKUP(H1154,[1]startdates!$A$2:$A$10,[1]startdates!$B$2:$B$10)</f>
        <v>SMr</v>
      </c>
      <c r="H1154">
        <v>4</v>
      </c>
      <c r="I1154" s="7">
        <v>702</v>
      </c>
      <c r="K1154" s="7">
        <v>533</v>
      </c>
      <c r="L1154" s="7">
        <v>358</v>
      </c>
      <c r="M1154" s="7">
        <v>267</v>
      </c>
      <c r="N1154" s="7">
        <v>254</v>
      </c>
      <c r="O1154" s="7">
        <v>153</v>
      </c>
    </row>
    <row r="1155" spans="1:15" x14ac:dyDescent="0.2">
      <c r="A1155">
        <v>1154</v>
      </c>
      <c r="B1155" s="1">
        <v>40758</v>
      </c>
      <c r="C1155" t="s">
        <v>24</v>
      </c>
      <c r="D1155" s="7">
        <v>21</v>
      </c>
      <c r="E1155" s="7">
        <v>4</v>
      </c>
      <c r="F1155" s="7">
        <f t="shared" si="18"/>
        <v>4</v>
      </c>
      <c r="G1155" s="7" t="str">
        <f>LOOKUP(H1155,[1]startdates!$A$2:$A$10,[1]startdates!$B$2:$B$10)</f>
        <v>SMr</v>
      </c>
      <c r="H1155">
        <v>4</v>
      </c>
      <c r="L1155" s="7">
        <v>387</v>
      </c>
      <c r="M1155" s="7">
        <v>226</v>
      </c>
      <c r="N1155" s="7">
        <v>181</v>
      </c>
      <c r="O1155" s="7">
        <v>162</v>
      </c>
    </row>
    <row r="1156" spans="1:15" x14ac:dyDescent="0.2">
      <c r="A1156">
        <v>1155</v>
      </c>
      <c r="B1156" s="1">
        <v>40758</v>
      </c>
      <c r="C1156" t="s">
        <v>24</v>
      </c>
      <c r="D1156" s="7">
        <v>21</v>
      </c>
      <c r="E1156" s="7">
        <v>4</v>
      </c>
      <c r="F1156" s="7">
        <f t="shared" si="18"/>
        <v>4</v>
      </c>
      <c r="G1156" s="7" t="str">
        <f>LOOKUP(H1156,[1]startdates!$A$2:$A$10,[1]startdates!$B$2:$B$10)</f>
        <v>SMr</v>
      </c>
      <c r="H1156">
        <v>4</v>
      </c>
      <c r="L1156" s="7">
        <v>396</v>
      </c>
      <c r="M1156" s="7">
        <v>285</v>
      </c>
      <c r="N1156" s="7">
        <v>184</v>
      </c>
      <c r="O1156" s="7">
        <v>178</v>
      </c>
    </row>
    <row r="1157" spans="1:15" x14ac:dyDescent="0.2">
      <c r="A1157">
        <v>1156</v>
      </c>
      <c r="B1157" s="1">
        <v>40758</v>
      </c>
      <c r="C1157" t="s">
        <v>24</v>
      </c>
      <c r="D1157" s="7">
        <v>21</v>
      </c>
      <c r="E1157" s="7">
        <v>4</v>
      </c>
      <c r="F1157" s="7">
        <f t="shared" si="18"/>
        <v>4</v>
      </c>
      <c r="G1157" s="7" t="str">
        <f>LOOKUP(H1157,[1]startdates!$A$2:$A$10,[1]startdates!$B$2:$B$10)</f>
        <v>SMr</v>
      </c>
      <c r="H1157">
        <v>4</v>
      </c>
      <c r="M1157" s="7">
        <v>204</v>
      </c>
      <c r="N1157" s="7">
        <v>184</v>
      </c>
      <c r="O1157" s="7">
        <v>150</v>
      </c>
    </row>
    <row r="1158" spans="1:15" x14ac:dyDescent="0.2">
      <c r="A1158">
        <v>1157</v>
      </c>
      <c r="B1158" s="1">
        <v>40758</v>
      </c>
      <c r="C1158" t="s">
        <v>24</v>
      </c>
      <c r="D1158" s="7">
        <v>21</v>
      </c>
      <c r="E1158" s="7">
        <v>4</v>
      </c>
      <c r="F1158" s="7">
        <f t="shared" si="18"/>
        <v>4</v>
      </c>
      <c r="G1158" s="7" t="str">
        <f>LOOKUP(H1158,[1]startdates!$A$2:$A$10,[1]startdates!$B$2:$B$10)</f>
        <v>SMr</v>
      </c>
      <c r="H1158">
        <v>4</v>
      </c>
      <c r="M1158" s="7">
        <v>229</v>
      </c>
      <c r="N1158" s="7">
        <v>221</v>
      </c>
      <c r="O1158" s="7">
        <v>170</v>
      </c>
    </row>
    <row r="1159" spans="1:15" x14ac:dyDescent="0.2">
      <c r="A1159">
        <v>1158</v>
      </c>
      <c r="B1159" s="1">
        <v>40758</v>
      </c>
      <c r="C1159" t="s">
        <v>24</v>
      </c>
      <c r="D1159" s="7">
        <v>21</v>
      </c>
      <c r="E1159" s="7">
        <v>4</v>
      </c>
      <c r="F1159" s="7">
        <f t="shared" si="18"/>
        <v>4</v>
      </c>
      <c r="G1159" s="7" t="str">
        <f>LOOKUP(H1159,[1]startdates!$A$2:$A$10,[1]startdates!$B$2:$B$10)</f>
        <v>SMr</v>
      </c>
      <c r="H1159">
        <v>4</v>
      </c>
      <c r="M1159" s="7">
        <v>267</v>
      </c>
      <c r="N1159" s="7">
        <v>186</v>
      </c>
    </row>
    <row r="1160" spans="1:15" x14ac:dyDescent="0.2">
      <c r="A1160">
        <v>1159</v>
      </c>
      <c r="B1160" s="1">
        <v>40758</v>
      </c>
      <c r="C1160" t="s">
        <v>24</v>
      </c>
      <c r="D1160" s="7">
        <v>21</v>
      </c>
      <c r="E1160" s="7">
        <v>4</v>
      </c>
      <c r="F1160" s="7">
        <f t="shared" si="18"/>
        <v>4</v>
      </c>
      <c r="G1160" s="7" t="str">
        <f>LOOKUP(H1160,[1]startdates!$A$2:$A$10,[1]startdates!$B$2:$B$10)</f>
        <v>SMr</v>
      </c>
      <c r="H1160">
        <v>4</v>
      </c>
      <c r="N1160" s="7">
        <v>179</v>
      </c>
    </row>
    <row r="1161" spans="1:15" x14ac:dyDescent="0.2">
      <c r="A1161">
        <v>1160</v>
      </c>
      <c r="B1161" s="1">
        <v>40758</v>
      </c>
      <c r="C1161" t="s">
        <v>24</v>
      </c>
      <c r="D1161" s="7">
        <v>21</v>
      </c>
      <c r="E1161" s="7">
        <v>4</v>
      </c>
      <c r="F1161" s="7">
        <f t="shared" si="18"/>
        <v>4</v>
      </c>
      <c r="G1161" s="7" t="str">
        <f>LOOKUP(H1161,[1]startdates!$A$2:$A$10,[1]startdates!$B$2:$B$10)</f>
        <v>SMr</v>
      </c>
      <c r="H1161">
        <v>4</v>
      </c>
      <c r="N1161" s="7">
        <v>226</v>
      </c>
    </row>
    <row r="1162" spans="1:15" x14ac:dyDescent="0.2">
      <c r="A1162">
        <v>1161</v>
      </c>
      <c r="B1162" s="1">
        <v>40758</v>
      </c>
      <c r="C1162" t="s">
        <v>24</v>
      </c>
      <c r="D1162" s="7">
        <v>21</v>
      </c>
      <c r="E1162" s="7">
        <v>4</v>
      </c>
      <c r="F1162" s="7">
        <f t="shared" si="18"/>
        <v>4</v>
      </c>
      <c r="G1162" s="7" t="str">
        <f>LOOKUP(H1162,[1]startdates!$A$2:$A$10,[1]startdates!$B$2:$B$10)</f>
        <v>SMr</v>
      </c>
      <c r="H1162">
        <v>4</v>
      </c>
      <c r="N1162" s="7">
        <v>193</v>
      </c>
    </row>
    <row r="1163" spans="1:15" x14ac:dyDescent="0.2">
      <c r="A1163">
        <v>1162</v>
      </c>
      <c r="B1163" s="1">
        <v>40758</v>
      </c>
      <c r="C1163" t="s">
        <v>24</v>
      </c>
      <c r="D1163" s="7">
        <v>21</v>
      </c>
      <c r="E1163" s="7">
        <v>4</v>
      </c>
      <c r="F1163" s="7">
        <f t="shared" si="18"/>
        <v>4</v>
      </c>
      <c r="G1163" s="7" t="str">
        <f>LOOKUP(H1163,[1]startdates!$A$2:$A$10,[1]startdates!$B$2:$B$10)</f>
        <v>SMr</v>
      </c>
      <c r="H1163">
        <v>4</v>
      </c>
      <c r="N1163" s="7">
        <v>159</v>
      </c>
    </row>
    <row r="1164" spans="1:15" x14ac:dyDescent="0.2">
      <c r="A1164">
        <v>1163</v>
      </c>
      <c r="B1164" s="1">
        <v>40758</v>
      </c>
      <c r="C1164" t="s">
        <v>24</v>
      </c>
      <c r="D1164" s="7">
        <v>21</v>
      </c>
      <c r="E1164" s="7">
        <v>4</v>
      </c>
      <c r="F1164" s="7">
        <f t="shared" si="18"/>
        <v>4</v>
      </c>
      <c r="G1164" s="7" t="str">
        <f>LOOKUP(H1164,[1]startdates!$A$2:$A$10,[1]startdates!$B$2:$B$10)</f>
        <v>SMr</v>
      </c>
      <c r="H1164">
        <v>4</v>
      </c>
      <c r="N1164" s="7">
        <v>199</v>
      </c>
    </row>
    <row r="1165" spans="1:15" x14ac:dyDescent="0.2">
      <c r="A1165">
        <v>1164</v>
      </c>
      <c r="B1165" s="1">
        <v>40758</v>
      </c>
      <c r="C1165" t="s">
        <v>24</v>
      </c>
      <c r="D1165" s="7">
        <v>21</v>
      </c>
      <c r="E1165" s="7">
        <v>4</v>
      </c>
      <c r="F1165" s="7">
        <f t="shared" si="18"/>
        <v>4</v>
      </c>
      <c r="G1165" s="7" t="str">
        <f>LOOKUP(H1165,[1]startdates!$A$2:$A$10,[1]startdates!$B$2:$B$10)</f>
        <v>SMr</v>
      </c>
      <c r="H1165">
        <v>4</v>
      </c>
      <c r="N1165" s="7">
        <v>160</v>
      </c>
    </row>
    <row r="1166" spans="1:15" x14ac:dyDescent="0.2">
      <c r="A1166">
        <v>1165</v>
      </c>
      <c r="B1166" s="1">
        <v>40758</v>
      </c>
      <c r="C1166" t="s">
        <v>24</v>
      </c>
      <c r="D1166" s="7">
        <v>21</v>
      </c>
      <c r="E1166" s="7">
        <v>4</v>
      </c>
      <c r="F1166" s="7">
        <f t="shared" si="18"/>
        <v>4</v>
      </c>
      <c r="G1166" s="7" t="str">
        <f>LOOKUP(H1166,[1]startdates!$A$2:$A$10,[1]startdates!$B$2:$B$10)</f>
        <v>SMr</v>
      </c>
      <c r="H1166">
        <v>4</v>
      </c>
      <c r="N1166" s="7">
        <v>199</v>
      </c>
    </row>
    <row r="1167" spans="1:15" x14ac:dyDescent="0.2">
      <c r="A1167">
        <v>1166</v>
      </c>
      <c r="B1167" s="1">
        <v>40758</v>
      </c>
      <c r="C1167" t="s">
        <v>24</v>
      </c>
      <c r="D1167" s="7">
        <v>21</v>
      </c>
      <c r="E1167" s="7">
        <v>4</v>
      </c>
      <c r="F1167" s="7">
        <f t="shared" si="18"/>
        <v>4</v>
      </c>
      <c r="G1167" s="7" t="str">
        <f>LOOKUP(H1167,[1]startdates!$A$2:$A$10,[1]startdates!$B$2:$B$10)</f>
        <v>SMr</v>
      </c>
      <c r="H1167">
        <v>4</v>
      </c>
      <c r="N1167" s="7">
        <v>179</v>
      </c>
    </row>
    <row r="1168" spans="1:15" x14ac:dyDescent="0.2">
      <c r="A1168">
        <v>1167</v>
      </c>
      <c r="B1168" s="1">
        <v>40758</v>
      </c>
      <c r="C1168" t="s">
        <v>24</v>
      </c>
      <c r="D1168" s="7">
        <v>21</v>
      </c>
      <c r="E1168" s="7">
        <v>4</v>
      </c>
      <c r="F1168" s="7">
        <f t="shared" si="18"/>
        <v>4</v>
      </c>
      <c r="G1168" s="7" t="str">
        <f>LOOKUP(H1168,[1]startdates!$A$2:$A$10,[1]startdates!$B$2:$B$10)</f>
        <v>SMr</v>
      </c>
      <c r="H1168">
        <v>4</v>
      </c>
      <c r="N1168" s="7">
        <v>228</v>
      </c>
    </row>
    <row r="1169" spans="1:15" x14ac:dyDescent="0.2">
      <c r="A1169">
        <v>1168</v>
      </c>
      <c r="B1169" s="1">
        <v>40758</v>
      </c>
      <c r="C1169" t="s">
        <v>24</v>
      </c>
      <c r="D1169" s="7">
        <v>21</v>
      </c>
      <c r="E1169" s="7">
        <v>4</v>
      </c>
      <c r="F1169" s="7">
        <f t="shared" si="18"/>
        <v>4</v>
      </c>
      <c r="G1169" s="7" t="str">
        <f>LOOKUP(H1169,[1]startdates!$A$2:$A$10,[1]startdates!$B$2:$B$10)</f>
        <v>SMr</v>
      </c>
      <c r="H1169">
        <v>4</v>
      </c>
      <c r="N1169" s="7">
        <v>210</v>
      </c>
    </row>
    <row r="1170" spans="1:15" x14ac:dyDescent="0.2">
      <c r="A1170">
        <v>1169</v>
      </c>
      <c r="B1170" s="1">
        <v>40758</v>
      </c>
      <c r="C1170" t="s">
        <v>24</v>
      </c>
      <c r="D1170" s="7">
        <v>21</v>
      </c>
      <c r="E1170" s="7">
        <v>4</v>
      </c>
      <c r="F1170" s="7">
        <f t="shared" si="18"/>
        <v>4</v>
      </c>
      <c r="G1170" s="7" t="str">
        <f>LOOKUP(H1170,[1]startdates!$A$2:$A$10,[1]startdates!$B$2:$B$10)</f>
        <v>SMr</v>
      </c>
      <c r="H1170">
        <v>4</v>
      </c>
      <c r="N1170" s="7">
        <v>206</v>
      </c>
    </row>
    <row r="1171" spans="1:15" x14ac:dyDescent="0.2">
      <c r="A1171">
        <v>1170</v>
      </c>
      <c r="B1171" s="1">
        <v>40758</v>
      </c>
      <c r="C1171" t="s">
        <v>24</v>
      </c>
      <c r="D1171" s="7">
        <v>21</v>
      </c>
      <c r="E1171" s="7">
        <v>4</v>
      </c>
      <c r="F1171" s="7">
        <f t="shared" si="18"/>
        <v>4</v>
      </c>
      <c r="G1171" s="7" t="str">
        <f>LOOKUP(H1171,[1]startdates!$A$2:$A$10,[1]startdates!$B$2:$B$10)</f>
        <v>SMr</v>
      </c>
      <c r="H1171">
        <v>4</v>
      </c>
      <c r="N1171" s="7">
        <v>215</v>
      </c>
    </row>
    <row r="1172" spans="1:15" x14ac:dyDescent="0.2">
      <c r="A1172">
        <v>1171</v>
      </c>
      <c r="B1172" s="1">
        <v>40758</v>
      </c>
      <c r="C1172" t="s">
        <v>24</v>
      </c>
      <c r="D1172" s="7">
        <v>21</v>
      </c>
      <c r="E1172" s="7">
        <v>4</v>
      </c>
      <c r="F1172" s="7">
        <f t="shared" si="18"/>
        <v>4</v>
      </c>
      <c r="G1172" s="7" t="str">
        <f>LOOKUP(H1172,[1]startdates!$A$2:$A$10,[1]startdates!$B$2:$B$10)</f>
        <v>C</v>
      </c>
      <c r="H1172">
        <v>5</v>
      </c>
      <c r="I1172" s="7">
        <v>604</v>
      </c>
      <c r="K1172" s="7">
        <v>570</v>
      </c>
      <c r="L1172" s="7">
        <v>465</v>
      </c>
      <c r="M1172" s="7">
        <v>277</v>
      </c>
      <c r="N1172" s="7">
        <v>192</v>
      </c>
      <c r="O1172" s="7">
        <v>158</v>
      </c>
    </row>
    <row r="1173" spans="1:15" x14ac:dyDescent="0.2">
      <c r="A1173">
        <v>1172</v>
      </c>
      <c r="B1173" s="1">
        <v>40758</v>
      </c>
      <c r="C1173" t="s">
        <v>24</v>
      </c>
      <c r="D1173" s="7">
        <v>21</v>
      </c>
      <c r="E1173" s="7">
        <v>4</v>
      </c>
      <c r="F1173" s="7">
        <f t="shared" si="18"/>
        <v>4</v>
      </c>
      <c r="G1173" s="7" t="str">
        <f>LOOKUP(H1173,[1]startdates!$A$2:$A$10,[1]startdates!$B$2:$B$10)</f>
        <v>C</v>
      </c>
      <c r="H1173">
        <v>5</v>
      </c>
      <c r="I1173" s="7">
        <v>705</v>
      </c>
      <c r="K1173" s="7">
        <v>503</v>
      </c>
      <c r="L1173" s="7">
        <v>434</v>
      </c>
      <c r="M1173" s="7">
        <v>324</v>
      </c>
      <c r="N1173" s="7">
        <v>221</v>
      </c>
      <c r="O1173" s="7">
        <v>161</v>
      </c>
    </row>
    <row r="1174" spans="1:15" x14ac:dyDescent="0.2">
      <c r="A1174">
        <v>1173</v>
      </c>
      <c r="B1174" s="1">
        <v>40758</v>
      </c>
      <c r="C1174" t="s">
        <v>24</v>
      </c>
      <c r="D1174" s="7">
        <v>21</v>
      </c>
      <c r="E1174" s="7">
        <v>4</v>
      </c>
      <c r="F1174" s="7">
        <f t="shared" si="18"/>
        <v>4</v>
      </c>
      <c r="G1174" s="7" t="str">
        <f>LOOKUP(H1174,[1]startdates!$A$2:$A$10,[1]startdates!$B$2:$B$10)</f>
        <v>C</v>
      </c>
      <c r="H1174">
        <v>5</v>
      </c>
      <c r="I1174" s="7">
        <v>672</v>
      </c>
      <c r="K1174" s="7">
        <v>535</v>
      </c>
      <c r="L1174" s="7">
        <v>508</v>
      </c>
      <c r="M1174" s="7">
        <v>375</v>
      </c>
      <c r="N1174" s="7">
        <v>257</v>
      </c>
      <c r="O1174" s="7">
        <v>166</v>
      </c>
    </row>
    <row r="1175" spans="1:15" x14ac:dyDescent="0.2">
      <c r="A1175">
        <v>1174</v>
      </c>
      <c r="B1175" s="1">
        <v>40758</v>
      </c>
      <c r="C1175" t="s">
        <v>24</v>
      </c>
      <c r="D1175" s="7">
        <v>21</v>
      </c>
      <c r="E1175" s="7">
        <v>4</v>
      </c>
      <c r="F1175" s="7">
        <f t="shared" si="18"/>
        <v>4</v>
      </c>
      <c r="G1175" s="7" t="str">
        <f>LOOKUP(H1175,[1]startdates!$A$2:$A$10,[1]startdates!$B$2:$B$10)</f>
        <v>C</v>
      </c>
      <c r="H1175">
        <v>5</v>
      </c>
      <c r="I1175" s="7">
        <v>595</v>
      </c>
      <c r="K1175" s="7">
        <v>459</v>
      </c>
      <c r="L1175" s="7">
        <v>388</v>
      </c>
      <c r="M1175" s="7">
        <v>343</v>
      </c>
      <c r="N1175" s="7">
        <v>196</v>
      </c>
      <c r="O1175" s="7">
        <v>146</v>
      </c>
    </row>
    <row r="1176" spans="1:15" x14ac:dyDescent="0.2">
      <c r="A1176">
        <v>1175</v>
      </c>
      <c r="B1176" s="1">
        <v>40758</v>
      </c>
      <c r="C1176" t="s">
        <v>24</v>
      </c>
      <c r="D1176" s="7">
        <v>21</v>
      </c>
      <c r="E1176" s="7">
        <v>4</v>
      </c>
      <c r="F1176" s="7">
        <f t="shared" si="18"/>
        <v>4</v>
      </c>
      <c r="G1176" s="7" t="str">
        <f>LOOKUP(H1176,[1]startdates!$A$2:$A$10,[1]startdates!$B$2:$B$10)</f>
        <v>C</v>
      </c>
      <c r="H1176">
        <v>5</v>
      </c>
      <c r="I1176" s="7">
        <v>622</v>
      </c>
      <c r="N1176" s="7">
        <v>200</v>
      </c>
      <c r="O1176" s="7">
        <v>139</v>
      </c>
    </row>
    <row r="1177" spans="1:15" x14ac:dyDescent="0.2">
      <c r="A1177">
        <v>1176</v>
      </c>
      <c r="B1177" s="1">
        <v>40758</v>
      </c>
      <c r="C1177" t="s">
        <v>24</v>
      </c>
      <c r="D1177" s="7">
        <v>21</v>
      </c>
      <c r="E1177" s="7">
        <v>4</v>
      </c>
      <c r="F1177" s="7">
        <f t="shared" si="18"/>
        <v>4</v>
      </c>
      <c r="G1177" s="7" t="str">
        <f>LOOKUP(H1177,[1]startdates!$A$2:$A$10,[1]startdates!$B$2:$B$10)</f>
        <v>C</v>
      </c>
      <c r="H1177">
        <v>5</v>
      </c>
      <c r="I1177" s="7">
        <v>629</v>
      </c>
      <c r="N1177" s="7">
        <v>195</v>
      </c>
      <c r="O1177" s="7">
        <v>137</v>
      </c>
    </row>
    <row r="1178" spans="1:15" x14ac:dyDescent="0.2">
      <c r="A1178">
        <v>1177</v>
      </c>
      <c r="B1178" s="1">
        <v>40758</v>
      </c>
      <c r="C1178" t="s">
        <v>24</v>
      </c>
      <c r="D1178" s="7">
        <v>21</v>
      </c>
      <c r="E1178" s="7">
        <v>4</v>
      </c>
      <c r="F1178" s="7">
        <f t="shared" si="18"/>
        <v>4</v>
      </c>
      <c r="G1178" s="7" t="str">
        <f>LOOKUP(H1178,[1]startdates!$A$2:$A$10,[1]startdates!$B$2:$B$10)</f>
        <v>C</v>
      </c>
      <c r="H1178">
        <v>5</v>
      </c>
      <c r="I1178" s="7">
        <v>717</v>
      </c>
      <c r="N1178" s="7">
        <v>210</v>
      </c>
      <c r="O1178" s="7">
        <v>151</v>
      </c>
    </row>
    <row r="1179" spans="1:15" x14ac:dyDescent="0.2">
      <c r="A1179">
        <v>1178</v>
      </c>
      <c r="B1179" s="1">
        <v>40758</v>
      </c>
      <c r="C1179" t="s">
        <v>24</v>
      </c>
      <c r="D1179" s="7">
        <v>21</v>
      </c>
      <c r="E1179" s="7">
        <v>4</v>
      </c>
      <c r="F1179" s="7">
        <f t="shared" si="18"/>
        <v>4</v>
      </c>
      <c r="G1179" s="7" t="str">
        <f>LOOKUP(H1179,[1]startdates!$A$2:$A$10,[1]startdates!$B$2:$B$10)</f>
        <v>C</v>
      </c>
      <c r="H1179">
        <v>5</v>
      </c>
      <c r="I1179" s="7">
        <v>687</v>
      </c>
      <c r="N1179" s="7">
        <v>219</v>
      </c>
      <c r="O1179" s="7">
        <v>160</v>
      </c>
    </row>
    <row r="1180" spans="1:15" x14ac:dyDescent="0.2">
      <c r="A1180">
        <v>1179</v>
      </c>
      <c r="B1180" s="1">
        <v>40758</v>
      </c>
      <c r="C1180" t="s">
        <v>24</v>
      </c>
      <c r="D1180" s="7">
        <v>21</v>
      </c>
      <c r="E1180" s="7">
        <v>4</v>
      </c>
      <c r="F1180" s="7">
        <f t="shared" si="18"/>
        <v>4</v>
      </c>
      <c r="G1180" s="7" t="str">
        <f>LOOKUP(H1180,[1]startdates!$A$2:$A$10,[1]startdates!$B$2:$B$10)</f>
        <v>C</v>
      </c>
      <c r="H1180">
        <v>5</v>
      </c>
      <c r="I1180" s="7">
        <v>669</v>
      </c>
      <c r="N1180" s="7">
        <v>275</v>
      </c>
      <c r="O1180" s="7">
        <v>177</v>
      </c>
    </row>
    <row r="1181" spans="1:15" x14ac:dyDescent="0.2">
      <c r="A1181">
        <v>1180</v>
      </c>
      <c r="B1181" s="1">
        <v>40758</v>
      </c>
      <c r="C1181" t="s">
        <v>24</v>
      </c>
      <c r="D1181" s="7">
        <v>21</v>
      </c>
      <c r="E1181" s="7">
        <v>4</v>
      </c>
      <c r="F1181" s="7">
        <f t="shared" si="18"/>
        <v>4</v>
      </c>
      <c r="G1181" s="7" t="str">
        <f>LOOKUP(H1181,[1]startdates!$A$2:$A$10,[1]startdates!$B$2:$B$10)</f>
        <v>C</v>
      </c>
      <c r="H1181">
        <v>5</v>
      </c>
      <c r="N1181" s="7">
        <v>183</v>
      </c>
      <c r="O1181" s="7">
        <v>155</v>
      </c>
    </row>
    <row r="1182" spans="1:15" x14ac:dyDescent="0.2">
      <c r="A1182">
        <v>1181</v>
      </c>
      <c r="B1182" s="1">
        <v>40758</v>
      </c>
      <c r="C1182" t="s">
        <v>24</v>
      </c>
      <c r="D1182" s="7">
        <v>21</v>
      </c>
      <c r="E1182" s="7">
        <v>4</v>
      </c>
      <c r="F1182" s="7">
        <f t="shared" si="18"/>
        <v>4</v>
      </c>
      <c r="G1182" s="7" t="str">
        <f>LOOKUP(H1182,[1]startdates!$A$2:$A$10,[1]startdates!$B$2:$B$10)</f>
        <v>C</v>
      </c>
      <c r="H1182">
        <v>5</v>
      </c>
      <c r="N1182" s="7">
        <v>202</v>
      </c>
      <c r="O1182" s="7">
        <v>172</v>
      </c>
    </row>
    <row r="1183" spans="1:15" x14ac:dyDescent="0.2">
      <c r="A1183">
        <v>1182</v>
      </c>
      <c r="B1183" s="1">
        <v>40758</v>
      </c>
      <c r="C1183" t="s">
        <v>24</v>
      </c>
      <c r="D1183" s="7">
        <v>21</v>
      </c>
      <c r="E1183" s="7">
        <v>4</v>
      </c>
      <c r="F1183" s="7">
        <f t="shared" si="18"/>
        <v>4</v>
      </c>
      <c r="G1183" s="7" t="str">
        <f>LOOKUP(H1183,[1]startdates!$A$2:$A$10,[1]startdates!$B$2:$B$10)</f>
        <v>C</v>
      </c>
      <c r="H1183">
        <v>5</v>
      </c>
      <c r="N1183" s="7">
        <v>184</v>
      </c>
      <c r="O1183" s="7">
        <v>182</v>
      </c>
    </row>
    <row r="1184" spans="1:15" x14ac:dyDescent="0.2">
      <c r="A1184">
        <v>1183</v>
      </c>
      <c r="B1184" s="1">
        <v>40758</v>
      </c>
      <c r="C1184" t="s">
        <v>24</v>
      </c>
      <c r="D1184" s="7">
        <v>21</v>
      </c>
      <c r="E1184" s="7">
        <v>4</v>
      </c>
      <c r="F1184" s="7">
        <f t="shared" si="18"/>
        <v>4</v>
      </c>
      <c r="G1184" s="7" t="str">
        <f>LOOKUP(H1184,[1]startdates!$A$2:$A$10,[1]startdates!$B$2:$B$10)</f>
        <v>C</v>
      </c>
      <c r="H1184">
        <v>5</v>
      </c>
      <c r="N1184" s="7">
        <v>205</v>
      </c>
      <c r="O1184" s="7">
        <v>160</v>
      </c>
    </row>
    <row r="1185" spans="1:16" x14ac:dyDescent="0.2">
      <c r="A1185">
        <v>1184</v>
      </c>
      <c r="B1185" s="1">
        <v>40758</v>
      </c>
      <c r="C1185" t="s">
        <v>24</v>
      </c>
      <c r="D1185" s="7">
        <v>21</v>
      </c>
      <c r="E1185" s="7">
        <v>4</v>
      </c>
      <c r="F1185" s="7">
        <f t="shared" si="18"/>
        <v>4</v>
      </c>
      <c r="G1185" s="7" t="str">
        <f>LOOKUP(H1185,[1]startdates!$A$2:$A$10,[1]startdates!$B$2:$B$10)</f>
        <v>C</v>
      </c>
      <c r="H1185">
        <v>5</v>
      </c>
      <c r="N1185" s="7">
        <v>214</v>
      </c>
      <c r="O1185" s="7">
        <v>194</v>
      </c>
    </row>
    <row r="1186" spans="1:16" x14ac:dyDescent="0.2">
      <c r="A1186">
        <v>1185</v>
      </c>
      <c r="B1186" s="1">
        <v>40758</v>
      </c>
      <c r="C1186" t="s">
        <v>24</v>
      </c>
      <c r="D1186" s="7">
        <v>21</v>
      </c>
      <c r="E1186" s="7">
        <v>4</v>
      </c>
      <c r="F1186" s="7">
        <f t="shared" si="18"/>
        <v>4</v>
      </c>
      <c r="G1186" s="7" t="str">
        <f>LOOKUP(H1186,[1]startdates!$A$2:$A$10,[1]startdates!$B$2:$B$10)</f>
        <v>C</v>
      </c>
      <c r="H1186">
        <v>5</v>
      </c>
      <c r="N1186" s="7">
        <v>161</v>
      </c>
      <c r="O1186" s="7">
        <v>167</v>
      </c>
    </row>
    <row r="1187" spans="1:16" x14ac:dyDescent="0.2">
      <c r="A1187">
        <v>1186</v>
      </c>
      <c r="B1187" s="1">
        <v>40758</v>
      </c>
      <c r="C1187" t="s">
        <v>24</v>
      </c>
      <c r="D1187" s="7">
        <v>21</v>
      </c>
      <c r="E1187" s="7">
        <v>4</v>
      </c>
      <c r="F1187" s="7">
        <f t="shared" si="18"/>
        <v>4</v>
      </c>
      <c r="G1187" s="7" t="str">
        <f>LOOKUP(H1187,[1]startdates!$A$2:$A$10,[1]startdates!$B$2:$B$10)</f>
        <v>C</v>
      </c>
      <c r="H1187">
        <v>5</v>
      </c>
      <c r="O1187" s="7">
        <v>152</v>
      </c>
    </row>
    <row r="1188" spans="1:16" x14ac:dyDescent="0.2">
      <c r="A1188">
        <v>1187</v>
      </c>
      <c r="B1188" s="1">
        <v>40758</v>
      </c>
      <c r="C1188" t="s">
        <v>24</v>
      </c>
      <c r="D1188" s="7">
        <v>21</v>
      </c>
      <c r="E1188" s="7">
        <v>4</v>
      </c>
      <c r="F1188" s="7">
        <f t="shared" si="18"/>
        <v>4</v>
      </c>
      <c r="G1188" s="7" t="str">
        <f>LOOKUP(H1188,[1]startdates!$A$2:$A$10,[1]startdates!$B$2:$B$10)</f>
        <v>FMr</v>
      </c>
      <c r="H1188">
        <v>6</v>
      </c>
      <c r="I1188" s="7">
        <v>689</v>
      </c>
      <c r="K1188" s="7">
        <v>470</v>
      </c>
      <c r="L1188" s="7">
        <v>394</v>
      </c>
      <c r="M1188" s="7">
        <v>289</v>
      </c>
      <c r="N1188" s="7">
        <v>184</v>
      </c>
      <c r="O1188" s="7">
        <v>163</v>
      </c>
      <c r="P1188" s="7">
        <v>559</v>
      </c>
    </row>
    <row r="1189" spans="1:16" x14ac:dyDescent="0.2">
      <c r="A1189">
        <v>1188</v>
      </c>
      <c r="B1189" s="1">
        <v>40758</v>
      </c>
      <c r="C1189" t="s">
        <v>24</v>
      </c>
      <c r="D1189" s="7">
        <v>21</v>
      </c>
      <c r="E1189" s="7">
        <v>4</v>
      </c>
      <c r="F1189" s="7">
        <f t="shared" si="18"/>
        <v>4</v>
      </c>
      <c r="G1189" s="7" t="str">
        <f>LOOKUP(H1189,[1]startdates!$A$2:$A$10,[1]startdates!$B$2:$B$10)</f>
        <v>FMr</v>
      </c>
      <c r="H1189">
        <v>6</v>
      </c>
      <c r="I1189" s="7">
        <v>712</v>
      </c>
      <c r="M1189" s="7">
        <v>335</v>
      </c>
      <c r="N1189" s="7">
        <v>214</v>
      </c>
      <c r="O1189" s="7">
        <v>148</v>
      </c>
    </row>
    <row r="1190" spans="1:16" x14ac:dyDescent="0.2">
      <c r="A1190">
        <v>1189</v>
      </c>
      <c r="B1190" s="1">
        <v>40758</v>
      </c>
      <c r="C1190" t="s">
        <v>24</v>
      </c>
      <c r="D1190" s="7">
        <v>21</v>
      </c>
      <c r="E1190" s="7">
        <v>4</v>
      </c>
      <c r="F1190" s="7">
        <f t="shared" si="18"/>
        <v>4</v>
      </c>
      <c r="G1190" s="7" t="str">
        <f>LOOKUP(H1190,[1]startdates!$A$2:$A$10,[1]startdates!$B$2:$B$10)</f>
        <v>FMr</v>
      </c>
      <c r="H1190">
        <v>6</v>
      </c>
      <c r="I1190" s="7">
        <v>692</v>
      </c>
      <c r="M1190" s="7">
        <v>302</v>
      </c>
      <c r="N1190" s="7">
        <v>227</v>
      </c>
      <c r="O1190" s="7">
        <v>170</v>
      </c>
    </row>
    <row r="1191" spans="1:16" x14ac:dyDescent="0.2">
      <c r="A1191">
        <v>1190</v>
      </c>
      <c r="B1191" s="1">
        <v>40758</v>
      </c>
      <c r="C1191" t="s">
        <v>24</v>
      </c>
      <c r="D1191" s="7">
        <v>21</v>
      </c>
      <c r="E1191" s="7">
        <v>4</v>
      </c>
      <c r="F1191" s="7">
        <f t="shared" si="18"/>
        <v>4</v>
      </c>
      <c r="G1191" s="7" t="str">
        <f>LOOKUP(H1191,[1]startdates!$A$2:$A$10,[1]startdates!$B$2:$B$10)</f>
        <v>FMr</v>
      </c>
      <c r="H1191">
        <v>6</v>
      </c>
      <c r="I1191" s="7">
        <v>687</v>
      </c>
      <c r="M1191" s="7">
        <v>278</v>
      </c>
      <c r="N1191" s="7">
        <v>228</v>
      </c>
      <c r="O1191" s="7">
        <v>181</v>
      </c>
    </row>
    <row r="1192" spans="1:16" x14ac:dyDescent="0.2">
      <c r="A1192">
        <v>1191</v>
      </c>
      <c r="B1192" s="1">
        <v>40758</v>
      </c>
      <c r="C1192" t="s">
        <v>24</v>
      </c>
      <c r="D1192" s="7">
        <v>21</v>
      </c>
      <c r="E1192" s="7">
        <v>4</v>
      </c>
      <c r="F1192" s="7">
        <f t="shared" si="18"/>
        <v>4</v>
      </c>
      <c r="G1192" s="7" t="str">
        <f>LOOKUP(H1192,[1]startdates!$A$2:$A$10,[1]startdates!$B$2:$B$10)</f>
        <v>FMr</v>
      </c>
      <c r="H1192">
        <v>6</v>
      </c>
      <c r="M1192" s="7">
        <v>277</v>
      </c>
      <c r="N1192" s="7">
        <v>219</v>
      </c>
      <c r="O1192" s="7">
        <v>156</v>
      </c>
    </row>
    <row r="1193" spans="1:16" x14ac:dyDescent="0.2">
      <c r="A1193">
        <v>1192</v>
      </c>
      <c r="B1193" s="1">
        <v>40758</v>
      </c>
      <c r="C1193" t="s">
        <v>24</v>
      </c>
      <c r="D1193" s="7">
        <v>21</v>
      </c>
      <c r="E1193" s="7">
        <v>4</v>
      </c>
      <c r="F1193" s="7">
        <f t="shared" ref="F1193:F1256" si="19">WEEKDAY(B1193)</f>
        <v>4</v>
      </c>
      <c r="G1193" s="7" t="str">
        <f>LOOKUP(H1193,[1]startdates!$A$2:$A$10,[1]startdates!$B$2:$B$10)</f>
        <v>FMr</v>
      </c>
      <c r="H1193">
        <v>6</v>
      </c>
      <c r="M1193" s="7">
        <v>296</v>
      </c>
      <c r="N1193" s="7">
        <v>143</v>
      </c>
      <c r="O1193" s="7">
        <v>146</v>
      </c>
    </row>
    <row r="1194" spans="1:16" x14ac:dyDescent="0.2">
      <c r="A1194">
        <v>1193</v>
      </c>
      <c r="B1194" s="1">
        <v>40758</v>
      </c>
      <c r="C1194" t="s">
        <v>24</v>
      </c>
      <c r="D1194" s="7">
        <v>21</v>
      </c>
      <c r="E1194" s="7">
        <v>4</v>
      </c>
      <c r="F1194" s="7">
        <f t="shared" si="19"/>
        <v>4</v>
      </c>
      <c r="G1194" s="7" t="str">
        <f>LOOKUP(H1194,[1]startdates!$A$2:$A$10,[1]startdates!$B$2:$B$10)</f>
        <v>FMr</v>
      </c>
      <c r="H1194">
        <v>6</v>
      </c>
      <c r="N1194" s="7">
        <v>176</v>
      </c>
      <c r="O1194" s="7">
        <v>165</v>
      </c>
    </row>
    <row r="1195" spans="1:16" x14ac:dyDescent="0.2">
      <c r="A1195">
        <v>1194</v>
      </c>
      <c r="B1195" s="1">
        <v>40758</v>
      </c>
      <c r="C1195" t="s">
        <v>24</v>
      </c>
      <c r="D1195" s="7">
        <v>21</v>
      </c>
      <c r="E1195" s="7">
        <v>4</v>
      </c>
      <c r="F1195" s="7">
        <f t="shared" si="19"/>
        <v>4</v>
      </c>
      <c r="G1195" s="7" t="str">
        <f>LOOKUP(H1195,[1]startdates!$A$2:$A$10,[1]startdates!$B$2:$B$10)</f>
        <v>FMr</v>
      </c>
      <c r="H1195">
        <v>6</v>
      </c>
      <c r="N1195" s="7">
        <v>173</v>
      </c>
      <c r="O1195" s="7">
        <v>169</v>
      </c>
    </row>
    <row r="1196" spans="1:16" x14ac:dyDescent="0.2">
      <c r="A1196">
        <v>1195</v>
      </c>
      <c r="B1196" s="1">
        <v>40758</v>
      </c>
      <c r="C1196" t="s">
        <v>24</v>
      </c>
      <c r="D1196" s="7">
        <v>21</v>
      </c>
      <c r="E1196" s="7">
        <v>4</v>
      </c>
      <c r="F1196" s="7">
        <f t="shared" si="19"/>
        <v>4</v>
      </c>
      <c r="G1196" s="7" t="str">
        <f>LOOKUP(H1196,[1]startdates!$A$2:$A$10,[1]startdates!$B$2:$B$10)</f>
        <v>FMr</v>
      </c>
      <c r="H1196">
        <v>6</v>
      </c>
      <c r="N1196" s="7">
        <v>216</v>
      </c>
      <c r="O1196" s="7">
        <v>181</v>
      </c>
    </row>
    <row r="1197" spans="1:16" x14ac:dyDescent="0.2">
      <c r="A1197">
        <v>1196</v>
      </c>
      <c r="B1197" s="1">
        <v>40758</v>
      </c>
      <c r="C1197" t="s">
        <v>24</v>
      </c>
      <c r="D1197" s="7">
        <v>21</v>
      </c>
      <c r="E1197" s="7">
        <v>4</v>
      </c>
      <c r="F1197" s="7">
        <f t="shared" si="19"/>
        <v>4</v>
      </c>
      <c r="G1197" s="7" t="str">
        <f>LOOKUP(H1197,[1]startdates!$A$2:$A$10,[1]startdates!$B$2:$B$10)</f>
        <v>FMr</v>
      </c>
      <c r="H1197">
        <v>6</v>
      </c>
      <c r="N1197" s="7">
        <v>178</v>
      </c>
      <c r="O1197" s="7">
        <v>154</v>
      </c>
    </row>
    <row r="1198" spans="1:16" x14ac:dyDescent="0.2">
      <c r="A1198">
        <v>1197</v>
      </c>
      <c r="B1198" s="1">
        <v>40758</v>
      </c>
      <c r="C1198" t="s">
        <v>24</v>
      </c>
      <c r="D1198" s="7">
        <v>21</v>
      </c>
      <c r="E1198" s="7">
        <v>4</v>
      </c>
      <c r="F1198" s="7">
        <f t="shared" si="19"/>
        <v>4</v>
      </c>
      <c r="G1198" s="7" t="str">
        <f>LOOKUP(H1198,[1]startdates!$A$2:$A$10,[1]startdates!$B$2:$B$10)</f>
        <v>FMr</v>
      </c>
      <c r="H1198">
        <v>6</v>
      </c>
      <c r="N1198" s="7">
        <v>151</v>
      </c>
    </row>
    <row r="1199" spans="1:16" x14ac:dyDescent="0.2">
      <c r="A1199">
        <v>1198</v>
      </c>
      <c r="B1199" s="1">
        <v>40758</v>
      </c>
      <c r="C1199" t="s">
        <v>24</v>
      </c>
      <c r="D1199" s="7">
        <v>21</v>
      </c>
      <c r="E1199" s="7">
        <v>4</v>
      </c>
      <c r="F1199" s="7">
        <f t="shared" si="19"/>
        <v>4</v>
      </c>
      <c r="G1199" s="7" t="str">
        <f>LOOKUP(H1199,[1]startdates!$A$2:$A$10,[1]startdates!$B$2:$B$10)</f>
        <v>FMr</v>
      </c>
      <c r="H1199">
        <v>6</v>
      </c>
      <c r="N1199" s="7">
        <v>227</v>
      </c>
    </row>
    <row r="1200" spans="1:16" x14ac:dyDescent="0.2">
      <c r="A1200">
        <v>1199</v>
      </c>
      <c r="B1200" s="1">
        <v>40758</v>
      </c>
      <c r="C1200" t="s">
        <v>24</v>
      </c>
      <c r="D1200" s="7">
        <v>21</v>
      </c>
      <c r="E1200" s="7">
        <v>4</v>
      </c>
      <c r="F1200" s="7">
        <f t="shared" si="19"/>
        <v>4</v>
      </c>
      <c r="G1200" s="7" t="str">
        <f>LOOKUP(H1200,[1]startdates!$A$2:$A$10,[1]startdates!$B$2:$B$10)</f>
        <v>FMr</v>
      </c>
      <c r="H1200">
        <v>7</v>
      </c>
      <c r="I1200" s="7">
        <v>714</v>
      </c>
      <c r="K1200" s="7">
        <v>550</v>
      </c>
      <c r="L1200" s="7">
        <v>362</v>
      </c>
      <c r="M1200" s="7">
        <v>314</v>
      </c>
      <c r="N1200" s="7">
        <v>212</v>
      </c>
      <c r="O1200" s="7">
        <v>167</v>
      </c>
      <c r="P1200" s="7">
        <v>499</v>
      </c>
    </row>
    <row r="1201" spans="1:16" x14ac:dyDescent="0.2">
      <c r="A1201">
        <v>1200</v>
      </c>
      <c r="B1201" s="1">
        <v>40758</v>
      </c>
      <c r="C1201" t="s">
        <v>24</v>
      </c>
      <c r="D1201" s="7">
        <v>21</v>
      </c>
      <c r="E1201" s="7">
        <v>4</v>
      </c>
      <c r="F1201" s="7">
        <f t="shared" si="19"/>
        <v>4</v>
      </c>
      <c r="G1201" s="7" t="str">
        <f>LOOKUP(H1201,[1]startdates!$A$2:$A$10,[1]startdates!$B$2:$B$10)</f>
        <v>FMr</v>
      </c>
      <c r="H1201">
        <v>7</v>
      </c>
      <c r="I1201" s="7">
        <v>767</v>
      </c>
      <c r="K1201" s="7">
        <v>501</v>
      </c>
      <c r="L1201" s="7">
        <v>401</v>
      </c>
      <c r="M1201" s="7">
        <v>252</v>
      </c>
      <c r="N1201" s="7">
        <v>223</v>
      </c>
      <c r="O1201" s="7">
        <v>154</v>
      </c>
      <c r="P1201" s="7">
        <v>518</v>
      </c>
    </row>
    <row r="1202" spans="1:16" x14ac:dyDescent="0.2">
      <c r="A1202">
        <v>1201</v>
      </c>
      <c r="B1202" s="1">
        <v>40758</v>
      </c>
      <c r="C1202" t="s">
        <v>24</v>
      </c>
      <c r="D1202" s="7">
        <v>21</v>
      </c>
      <c r="E1202" s="7">
        <v>4</v>
      </c>
      <c r="F1202" s="7">
        <f t="shared" si="19"/>
        <v>4</v>
      </c>
      <c r="G1202" s="7" t="str">
        <f>LOOKUP(H1202,[1]startdates!$A$2:$A$10,[1]startdates!$B$2:$B$10)</f>
        <v>FMr</v>
      </c>
      <c r="H1202">
        <v>7</v>
      </c>
      <c r="I1202" s="7">
        <v>661</v>
      </c>
      <c r="K1202" s="7">
        <v>466</v>
      </c>
      <c r="L1202" s="7">
        <v>409</v>
      </c>
      <c r="M1202" s="7">
        <v>341</v>
      </c>
      <c r="N1202" s="7">
        <v>244</v>
      </c>
      <c r="O1202" s="7">
        <v>159</v>
      </c>
      <c r="P1202" s="7">
        <v>489</v>
      </c>
    </row>
    <row r="1203" spans="1:16" x14ac:dyDescent="0.2">
      <c r="A1203">
        <v>1202</v>
      </c>
      <c r="B1203" s="1">
        <v>40758</v>
      </c>
      <c r="C1203" t="s">
        <v>24</v>
      </c>
      <c r="D1203" s="7">
        <v>21</v>
      </c>
      <c r="E1203" s="7">
        <v>4</v>
      </c>
      <c r="F1203" s="7">
        <f t="shared" si="19"/>
        <v>4</v>
      </c>
      <c r="G1203" s="7" t="str">
        <f>LOOKUP(H1203,[1]startdates!$A$2:$A$10,[1]startdates!$B$2:$B$10)</f>
        <v>FMr</v>
      </c>
      <c r="H1203">
        <v>7</v>
      </c>
      <c r="I1203" s="7">
        <v>640</v>
      </c>
      <c r="K1203" s="7">
        <v>621</v>
      </c>
      <c r="L1203" s="7">
        <v>419</v>
      </c>
      <c r="M1203" s="7">
        <v>354</v>
      </c>
      <c r="N1203" s="7">
        <v>202</v>
      </c>
      <c r="O1203" s="7">
        <v>160</v>
      </c>
      <c r="P1203" s="7">
        <v>465</v>
      </c>
    </row>
    <row r="1204" spans="1:16" x14ac:dyDescent="0.2">
      <c r="A1204">
        <v>1203</v>
      </c>
      <c r="B1204" s="1">
        <v>40758</v>
      </c>
      <c r="C1204" t="s">
        <v>24</v>
      </c>
      <c r="D1204" s="7">
        <v>21</v>
      </c>
      <c r="E1204" s="7">
        <v>4</v>
      </c>
      <c r="F1204" s="7">
        <f t="shared" si="19"/>
        <v>4</v>
      </c>
      <c r="G1204" s="7" t="str">
        <f>LOOKUP(H1204,[1]startdates!$A$2:$A$10,[1]startdates!$B$2:$B$10)</f>
        <v>FMr</v>
      </c>
      <c r="H1204">
        <v>7</v>
      </c>
      <c r="I1204" s="7">
        <v>789</v>
      </c>
      <c r="K1204" s="7">
        <v>510</v>
      </c>
      <c r="L1204" s="7">
        <v>443</v>
      </c>
      <c r="M1204" s="7">
        <v>267</v>
      </c>
      <c r="N1204" s="7">
        <v>205</v>
      </c>
      <c r="O1204" s="7">
        <v>166</v>
      </c>
    </row>
    <row r="1205" spans="1:16" x14ac:dyDescent="0.2">
      <c r="A1205">
        <v>1204</v>
      </c>
      <c r="B1205" s="1">
        <v>40758</v>
      </c>
      <c r="C1205" t="s">
        <v>24</v>
      </c>
      <c r="D1205" s="7">
        <v>21</v>
      </c>
      <c r="E1205" s="7">
        <v>4</v>
      </c>
      <c r="F1205" s="7">
        <f t="shared" si="19"/>
        <v>4</v>
      </c>
      <c r="G1205" s="7" t="str">
        <f>LOOKUP(H1205,[1]startdates!$A$2:$A$10,[1]startdates!$B$2:$B$10)</f>
        <v>FMr</v>
      </c>
      <c r="H1205">
        <v>7</v>
      </c>
      <c r="K1205" s="7">
        <v>503</v>
      </c>
      <c r="L1205" s="7">
        <v>442</v>
      </c>
      <c r="N1205" s="7">
        <v>272</v>
      </c>
      <c r="O1205" s="7">
        <v>140</v>
      </c>
    </row>
    <row r="1206" spans="1:16" x14ac:dyDescent="0.2">
      <c r="A1206">
        <v>1205</v>
      </c>
      <c r="B1206" s="1">
        <v>40758</v>
      </c>
      <c r="C1206" t="s">
        <v>24</v>
      </c>
      <c r="D1206" s="7">
        <v>21</v>
      </c>
      <c r="E1206" s="7">
        <v>4</v>
      </c>
      <c r="F1206" s="7">
        <f t="shared" si="19"/>
        <v>4</v>
      </c>
      <c r="G1206" s="7" t="str">
        <f>LOOKUP(H1206,[1]startdates!$A$2:$A$10,[1]startdates!$B$2:$B$10)</f>
        <v>FMr</v>
      </c>
      <c r="H1206">
        <v>7</v>
      </c>
      <c r="L1206" s="7">
        <v>475</v>
      </c>
      <c r="N1206" s="7">
        <v>208</v>
      </c>
      <c r="O1206" s="7">
        <v>169</v>
      </c>
    </row>
    <row r="1207" spans="1:16" x14ac:dyDescent="0.2">
      <c r="A1207">
        <v>1206</v>
      </c>
      <c r="B1207" s="1">
        <v>40758</v>
      </c>
      <c r="C1207" t="s">
        <v>24</v>
      </c>
      <c r="D1207" s="7">
        <v>21</v>
      </c>
      <c r="E1207" s="7">
        <v>4</v>
      </c>
      <c r="F1207" s="7">
        <f t="shared" si="19"/>
        <v>4</v>
      </c>
      <c r="G1207" s="7" t="str">
        <f>LOOKUP(H1207,[1]startdates!$A$2:$A$10,[1]startdates!$B$2:$B$10)</f>
        <v>FMr</v>
      </c>
      <c r="H1207">
        <v>7</v>
      </c>
      <c r="L1207" s="7">
        <v>461</v>
      </c>
      <c r="N1207" s="7">
        <v>177</v>
      </c>
    </row>
    <row r="1208" spans="1:16" x14ac:dyDescent="0.2">
      <c r="A1208">
        <v>1207</v>
      </c>
      <c r="B1208" s="1">
        <v>40758</v>
      </c>
      <c r="C1208" t="s">
        <v>24</v>
      </c>
      <c r="D1208" s="7">
        <v>21</v>
      </c>
      <c r="E1208" s="7">
        <v>4</v>
      </c>
      <c r="F1208" s="7">
        <f t="shared" si="19"/>
        <v>4</v>
      </c>
      <c r="G1208" s="7" t="str">
        <f>LOOKUP(H1208,[1]startdates!$A$2:$A$10,[1]startdates!$B$2:$B$10)</f>
        <v>FMr</v>
      </c>
      <c r="H1208">
        <v>7</v>
      </c>
      <c r="L1208" s="7">
        <v>513</v>
      </c>
      <c r="N1208" s="7">
        <v>211</v>
      </c>
    </row>
    <row r="1209" spans="1:16" x14ac:dyDescent="0.2">
      <c r="A1209">
        <v>1208</v>
      </c>
      <c r="B1209" s="1">
        <v>40758</v>
      </c>
      <c r="C1209" t="s">
        <v>24</v>
      </c>
      <c r="D1209" s="7">
        <v>21</v>
      </c>
      <c r="E1209" s="7">
        <v>4</v>
      </c>
      <c r="F1209" s="7">
        <f t="shared" si="19"/>
        <v>4</v>
      </c>
      <c r="G1209" s="7" t="str">
        <f>LOOKUP(H1209,[1]startdates!$A$2:$A$10,[1]startdates!$B$2:$B$10)</f>
        <v>FMr</v>
      </c>
      <c r="H1209">
        <v>7</v>
      </c>
      <c r="L1209" s="7">
        <v>374</v>
      </c>
      <c r="N1209" s="7">
        <v>200</v>
      </c>
    </row>
    <row r="1210" spans="1:16" x14ac:dyDescent="0.2">
      <c r="A1210">
        <v>1209</v>
      </c>
      <c r="B1210" s="1">
        <v>40758</v>
      </c>
      <c r="C1210" t="s">
        <v>24</v>
      </c>
      <c r="D1210" s="7">
        <v>21</v>
      </c>
      <c r="E1210" s="7">
        <v>4</v>
      </c>
      <c r="F1210" s="7">
        <f t="shared" si="19"/>
        <v>4</v>
      </c>
      <c r="G1210" s="7" t="str">
        <f>LOOKUP(H1210,[1]startdates!$A$2:$A$10,[1]startdates!$B$2:$B$10)</f>
        <v>FMr</v>
      </c>
      <c r="H1210">
        <v>7</v>
      </c>
      <c r="L1210" s="7">
        <v>387</v>
      </c>
      <c r="N1210" s="7">
        <v>190</v>
      </c>
    </row>
    <row r="1211" spans="1:16" x14ac:dyDescent="0.2">
      <c r="A1211">
        <v>1210</v>
      </c>
      <c r="B1211" s="1">
        <v>40758</v>
      </c>
      <c r="C1211" t="s">
        <v>24</v>
      </c>
      <c r="D1211" s="7">
        <v>21</v>
      </c>
      <c r="E1211" s="7">
        <v>4</v>
      </c>
      <c r="F1211" s="7">
        <f t="shared" si="19"/>
        <v>4</v>
      </c>
      <c r="G1211" s="7" t="str">
        <f>LOOKUP(H1211,[1]startdates!$A$2:$A$10,[1]startdates!$B$2:$B$10)</f>
        <v>FMr</v>
      </c>
      <c r="H1211">
        <v>7</v>
      </c>
      <c r="N1211" s="7">
        <v>182</v>
      </c>
    </row>
    <row r="1212" spans="1:16" x14ac:dyDescent="0.2">
      <c r="A1212">
        <v>1211</v>
      </c>
      <c r="B1212" s="1">
        <v>40758</v>
      </c>
      <c r="C1212" t="s">
        <v>24</v>
      </c>
      <c r="D1212" s="7">
        <v>21</v>
      </c>
      <c r="E1212" s="7">
        <v>4</v>
      </c>
      <c r="F1212" s="7">
        <f t="shared" si="19"/>
        <v>4</v>
      </c>
      <c r="G1212" s="7" t="str">
        <f>LOOKUP(H1212,[1]startdates!$A$2:$A$10,[1]startdates!$B$2:$B$10)</f>
        <v>FMr</v>
      </c>
      <c r="H1212">
        <v>7</v>
      </c>
      <c r="N1212" s="7">
        <v>187</v>
      </c>
    </row>
    <row r="1213" spans="1:16" x14ac:dyDescent="0.2">
      <c r="A1213">
        <v>1212</v>
      </c>
      <c r="B1213" s="1">
        <v>40758</v>
      </c>
      <c r="C1213" t="s">
        <v>24</v>
      </c>
      <c r="D1213" s="7">
        <v>21</v>
      </c>
      <c r="E1213" s="7">
        <v>4</v>
      </c>
      <c r="F1213" s="7">
        <f t="shared" si="19"/>
        <v>4</v>
      </c>
      <c r="G1213" s="7" t="str">
        <f>LOOKUP(H1213,[1]startdates!$A$2:$A$10,[1]startdates!$B$2:$B$10)</f>
        <v>FMr</v>
      </c>
      <c r="H1213">
        <v>7</v>
      </c>
      <c r="N1213" s="7">
        <v>186</v>
      </c>
    </row>
    <row r="1214" spans="1:16" x14ac:dyDescent="0.2">
      <c r="A1214">
        <v>1213</v>
      </c>
      <c r="B1214" s="1">
        <v>40758</v>
      </c>
      <c r="C1214" t="s">
        <v>24</v>
      </c>
      <c r="D1214" s="7">
        <v>21</v>
      </c>
      <c r="E1214" s="7">
        <v>4</v>
      </c>
      <c r="F1214" s="7">
        <f t="shared" si="19"/>
        <v>4</v>
      </c>
      <c r="G1214" s="7" t="str">
        <f>LOOKUP(H1214,[1]startdates!$A$2:$A$10,[1]startdates!$B$2:$B$10)</f>
        <v>FMr</v>
      </c>
      <c r="H1214">
        <v>7</v>
      </c>
      <c r="N1214" s="7">
        <v>206</v>
      </c>
    </row>
    <row r="1215" spans="1:16" x14ac:dyDescent="0.2">
      <c r="A1215">
        <v>1214</v>
      </c>
      <c r="B1215" s="1">
        <v>40758</v>
      </c>
      <c r="C1215" t="s">
        <v>24</v>
      </c>
      <c r="D1215" s="7">
        <v>21</v>
      </c>
      <c r="E1215" s="7">
        <v>4</v>
      </c>
      <c r="F1215" s="7">
        <f t="shared" si="19"/>
        <v>4</v>
      </c>
      <c r="G1215" s="7" t="str">
        <f>LOOKUP(H1215,[1]startdates!$A$2:$A$10,[1]startdates!$B$2:$B$10)</f>
        <v>FMr</v>
      </c>
      <c r="H1215">
        <v>7</v>
      </c>
      <c r="N1215" s="7">
        <v>251</v>
      </c>
    </row>
    <row r="1216" spans="1:16" x14ac:dyDescent="0.2">
      <c r="A1216">
        <v>1215</v>
      </c>
      <c r="B1216" s="1">
        <v>40758</v>
      </c>
      <c r="C1216" t="s">
        <v>24</v>
      </c>
      <c r="D1216" s="7">
        <v>21</v>
      </c>
      <c r="E1216" s="7">
        <v>4</v>
      </c>
      <c r="F1216" s="7">
        <f t="shared" si="19"/>
        <v>4</v>
      </c>
      <c r="G1216" s="7" t="str">
        <f>LOOKUP(H1216,[1]startdates!$A$2:$A$10,[1]startdates!$B$2:$B$10)</f>
        <v>FMr</v>
      </c>
      <c r="H1216">
        <v>7</v>
      </c>
      <c r="N1216" s="7">
        <v>224</v>
      </c>
    </row>
    <row r="1217" spans="1:17" x14ac:dyDescent="0.2">
      <c r="A1217">
        <v>1216</v>
      </c>
      <c r="B1217" s="1">
        <v>40758</v>
      </c>
      <c r="C1217" t="s">
        <v>24</v>
      </c>
      <c r="D1217" s="7">
        <v>21</v>
      </c>
      <c r="E1217" s="7">
        <v>4</v>
      </c>
      <c r="F1217" s="7">
        <f t="shared" si="19"/>
        <v>4</v>
      </c>
      <c r="G1217" s="7" t="str">
        <f>LOOKUP(H1217,[1]startdates!$A$2:$A$10,[1]startdates!$B$2:$B$10)</f>
        <v>C</v>
      </c>
      <c r="H1217">
        <v>8</v>
      </c>
      <c r="I1217" s="7">
        <v>664</v>
      </c>
      <c r="J1217" s="7">
        <v>531</v>
      </c>
      <c r="K1217" s="7">
        <v>540</v>
      </c>
      <c r="L1217" s="7">
        <v>353</v>
      </c>
      <c r="M1217" s="7">
        <v>263</v>
      </c>
      <c r="N1217" s="7">
        <v>222</v>
      </c>
      <c r="O1217" s="7">
        <v>158</v>
      </c>
    </row>
    <row r="1218" spans="1:17" x14ac:dyDescent="0.2">
      <c r="A1218">
        <v>1217</v>
      </c>
      <c r="B1218" s="1">
        <v>40758</v>
      </c>
      <c r="C1218" t="s">
        <v>24</v>
      </c>
      <c r="D1218" s="7">
        <v>21</v>
      </c>
      <c r="E1218" s="7">
        <v>4</v>
      </c>
      <c r="F1218" s="7">
        <f t="shared" si="19"/>
        <v>4</v>
      </c>
      <c r="G1218" s="7" t="str">
        <f>LOOKUP(H1218,[1]startdates!$A$2:$A$10,[1]startdates!$B$2:$B$10)</f>
        <v>C</v>
      </c>
      <c r="H1218">
        <v>8</v>
      </c>
      <c r="I1218" s="7">
        <v>751</v>
      </c>
      <c r="L1218" s="7">
        <v>414</v>
      </c>
      <c r="M1218" s="7">
        <v>329</v>
      </c>
      <c r="N1218" s="7">
        <v>229</v>
      </c>
      <c r="O1218" s="7">
        <v>164</v>
      </c>
    </row>
    <row r="1219" spans="1:17" x14ac:dyDescent="0.2">
      <c r="A1219">
        <v>1218</v>
      </c>
      <c r="B1219" s="1">
        <v>40758</v>
      </c>
      <c r="C1219" t="s">
        <v>24</v>
      </c>
      <c r="D1219" s="7">
        <v>21</v>
      </c>
      <c r="E1219" s="7">
        <v>4</v>
      </c>
      <c r="F1219" s="7">
        <f t="shared" si="19"/>
        <v>4</v>
      </c>
      <c r="G1219" s="7" t="str">
        <f>LOOKUP(H1219,[1]startdates!$A$2:$A$10,[1]startdates!$B$2:$B$10)</f>
        <v>C</v>
      </c>
      <c r="H1219">
        <v>8</v>
      </c>
      <c r="I1219" s="7">
        <v>706</v>
      </c>
      <c r="L1219" s="7">
        <v>420</v>
      </c>
      <c r="N1219" s="7">
        <v>152</v>
      </c>
      <c r="O1219" s="7">
        <v>165</v>
      </c>
    </row>
    <row r="1220" spans="1:17" x14ac:dyDescent="0.2">
      <c r="A1220">
        <v>1219</v>
      </c>
      <c r="B1220" s="1">
        <v>40758</v>
      </c>
      <c r="C1220" t="s">
        <v>24</v>
      </c>
      <c r="D1220" s="7">
        <v>21</v>
      </c>
      <c r="E1220" s="7">
        <v>4</v>
      </c>
      <c r="F1220" s="7">
        <f t="shared" si="19"/>
        <v>4</v>
      </c>
      <c r="G1220" s="7" t="str">
        <f>LOOKUP(H1220,[1]startdates!$A$2:$A$10,[1]startdates!$B$2:$B$10)</f>
        <v>C</v>
      </c>
      <c r="H1220">
        <v>8</v>
      </c>
      <c r="I1220" s="7">
        <v>692</v>
      </c>
      <c r="N1220" s="7">
        <v>153</v>
      </c>
      <c r="O1220" s="7">
        <v>143</v>
      </c>
    </row>
    <row r="1221" spans="1:17" x14ac:dyDescent="0.2">
      <c r="A1221">
        <v>1220</v>
      </c>
      <c r="B1221" s="1">
        <v>40758</v>
      </c>
      <c r="C1221" t="s">
        <v>24</v>
      </c>
      <c r="D1221" s="7">
        <v>21</v>
      </c>
      <c r="E1221" s="7">
        <v>4</v>
      </c>
      <c r="F1221" s="7">
        <f t="shared" si="19"/>
        <v>4</v>
      </c>
      <c r="G1221" s="7" t="str">
        <f>LOOKUP(H1221,[1]startdates!$A$2:$A$10,[1]startdates!$B$2:$B$10)</f>
        <v>C</v>
      </c>
      <c r="H1221">
        <v>8</v>
      </c>
      <c r="N1221" s="7">
        <v>199</v>
      </c>
      <c r="O1221" s="7">
        <v>175</v>
      </c>
    </row>
    <row r="1222" spans="1:17" x14ac:dyDescent="0.2">
      <c r="A1222">
        <v>1221</v>
      </c>
      <c r="B1222" s="1">
        <v>40758</v>
      </c>
      <c r="C1222" t="s">
        <v>24</v>
      </c>
      <c r="D1222" s="7">
        <v>21</v>
      </c>
      <c r="E1222" s="7">
        <v>4</v>
      </c>
      <c r="F1222" s="7">
        <f t="shared" si="19"/>
        <v>4</v>
      </c>
      <c r="G1222" s="7" t="str">
        <f>LOOKUP(H1222,[1]startdates!$A$2:$A$10,[1]startdates!$B$2:$B$10)</f>
        <v>C</v>
      </c>
      <c r="H1222">
        <v>8</v>
      </c>
      <c r="N1222" s="7">
        <v>195</v>
      </c>
      <c r="O1222" s="7">
        <v>149</v>
      </c>
    </row>
    <row r="1223" spans="1:17" x14ac:dyDescent="0.2">
      <c r="A1223">
        <v>1222</v>
      </c>
      <c r="B1223" s="1">
        <v>40758</v>
      </c>
      <c r="C1223" t="s">
        <v>24</v>
      </c>
      <c r="D1223" s="7">
        <v>21</v>
      </c>
      <c r="E1223" s="7">
        <v>4</v>
      </c>
      <c r="F1223" s="7">
        <f t="shared" si="19"/>
        <v>4</v>
      </c>
      <c r="G1223" s="7" t="str">
        <f>LOOKUP(H1223,[1]startdates!$A$2:$A$10,[1]startdates!$B$2:$B$10)</f>
        <v>C</v>
      </c>
      <c r="H1223">
        <v>8</v>
      </c>
      <c r="N1223" s="7">
        <v>216</v>
      </c>
    </row>
    <row r="1224" spans="1:17" x14ac:dyDescent="0.2">
      <c r="A1224">
        <v>1223</v>
      </c>
      <c r="B1224" s="1">
        <v>40758</v>
      </c>
      <c r="C1224" t="s">
        <v>24</v>
      </c>
      <c r="D1224" s="7">
        <v>21</v>
      </c>
      <c r="E1224" s="7">
        <v>4</v>
      </c>
      <c r="F1224" s="7">
        <f t="shared" si="19"/>
        <v>4</v>
      </c>
      <c r="G1224" s="7" t="str">
        <f>LOOKUP(H1224,[1]startdates!$A$2:$A$10,[1]startdates!$B$2:$B$10)</f>
        <v>C</v>
      </c>
      <c r="H1224">
        <v>8</v>
      </c>
      <c r="N1224" s="7">
        <v>152</v>
      </c>
    </row>
    <row r="1225" spans="1:17" x14ac:dyDescent="0.2">
      <c r="A1225">
        <v>1224</v>
      </c>
      <c r="B1225" s="1">
        <v>40758</v>
      </c>
      <c r="C1225" t="s">
        <v>24</v>
      </c>
      <c r="D1225" s="7">
        <v>21</v>
      </c>
      <c r="E1225" s="7">
        <v>4</v>
      </c>
      <c r="F1225" s="7">
        <f t="shared" si="19"/>
        <v>4</v>
      </c>
      <c r="G1225" s="7" t="str">
        <f>LOOKUP(H1225,[1]startdates!$A$2:$A$10,[1]startdates!$B$2:$B$10)</f>
        <v>C</v>
      </c>
      <c r="H1225">
        <v>8</v>
      </c>
      <c r="N1225" s="7">
        <v>191</v>
      </c>
    </row>
    <row r="1226" spans="1:17" x14ac:dyDescent="0.2">
      <c r="A1226">
        <v>1225</v>
      </c>
      <c r="B1226" s="1">
        <v>40758</v>
      </c>
      <c r="C1226" t="s">
        <v>24</v>
      </c>
      <c r="D1226" s="7">
        <v>21</v>
      </c>
      <c r="E1226" s="7">
        <v>4</v>
      </c>
      <c r="F1226" s="7">
        <f t="shared" si="19"/>
        <v>4</v>
      </c>
      <c r="G1226" s="7" t="str">
        <f>LOOKUP(H1226,[1]startdates!$A$2:$A$10,[1]startdates!$B$2:$B$10)</f>
        <v>FMr</v>
      </c>
      <c r="H1226">
        <v>9</v>
      </c>
      <c r="I1226" s="7">
        <v>702</v>
      </c>
      <c r="K1226" s="7">
        <v>543</v>
      </c>
      <c r="L1226" s="7">
        <v>474</v>
      </c>
      <c r="M1226" s="7">
        <v>311</v>
      </c>
      <c r="N1226" s="7">
        <v>210</v>
      </c>
      <c r="O1226" s="7">
        <v>174</v>
      </c>
    </row>
    <row r="1227" spans="1:17" x14ac:dyDescent="0.2">
      <c r="A1227">
        <v>1226</v>
      </c>
      <c r="B1227" s="1">
        <v>40758</v>
      </c>
      <c r="C1227" t="s">
        <v>24</v>
      </c>
      <c r="D1227" s="7">
        <v>21</v>
      </c>
      <c r="E1227" s="7">
        <v>4</v>
      </c>
      <c r="F1227" s="7">
        <f t="shared" si="19"/>
        <v>4</v>
      </c>
      <c r="G1227" s="7" t="str">
        <f>LOOKUP(H1227,[1]startdates!$A$2:$A$10,[1]startdates!$B$2:$B$10)</f>
        <v>FMr</v>
      </c>
      <c r="H1227">
        <v>9</v>
      </c>
      <c r="I1227" s="7">
        <v>697</v>
      </c>
      <c r="K1227" s="7">
        <v>579</v>
      </c>
      <c r="M1227" s="7">
        <v>346</v>
      </c>
      <c r="N1227" s="7">
        <v>213</v>
      </c>
      <c r="O1227" s="7">
        <v>143</v>
      </c>
    </row>
    <row r="1228" spans="1:17" x14ac:dyDescent="0.2">
      <c r="A1228">
        <v>1227</v>
      </c>
      <c r="B1228" s="1">
        <v>40758</v>
      </c>
      <c r="C1228" t="s">
        <v>24</v>
      </c>
      <c r="D1228" s="7">
        <v>21</v>
      </c>
      <c r="E1228" s="7">
        <v>4</v>
      </c>
      <c r="F1228" s="7">
        <f t="shared" si="19"/>
        <v>4</v>
      </c>
      <c r="G1228" s="7" t="str">
        <f>LOOKUP(H1228,[1]startdates!$A$2:$A$10,[1]startdates!$B$2:$B$10)</f>
        <v>FMr</v>
      </c>
      <c r="H1228">
        <v>9</v>
      </c>
      <c r="I1228" s="7">
        <v>619</v>
      </c>
      <c r="M1228" s="7">
        <v>264</v>
      </c>
      <c r="O1228" s="7">
        <v>165</v>
      </c>
    </row>
    <row r="1229" spans="1:17" x14ac:dyDescent="0.2">
      <c r="A1229">
        <v>1228</v>
      </c>
      <c r="B1229" s="1">
        <v>40758</v>
      </c>
      <c r="C1229" t="s">
        <v>24</v>
      </c>
      <c r="D1229" s="7">
        <v>21</v>
      </c>
      <c r="E1229" s="7">
        <v>4</v>
      </c>
      <c r="F1229" s="7">
        <f t="shared" si="19"/>
        <v>4</v>
      </c>
      <c r="G1229" s="7" t="str">
        <f>LOOKUP(H1229,[1]startdates!$A$2:$A$10,[1]startdates!$B$2:$B$10)</f>
        <v>FMr</v>
      </c>
      <c r="H1229">
        <v>9</v>
      </c>
      <c r="I1229" s="7">
        <v>700</v>
      </c>
      <c r="M1229" s="7">
        <v>341</v>
      </c>
      <c r="O1229" s="7">
        <v>166</v>
      </c>
    </row>
    <row r="1230" spans="1:17" x14ac:dyDescent="0.2">
      <c r="A1230">
        <v>1229</v>
      </c>
      <c r="B1230" s="1">
        <v>40758</v>
      </c>
      <c r="C1230" t="s">
        <v>24</v>
      </c>
      <c r="D1230" s="7">
        <v>21</v>
      </c>
      <c r="E1230" s="7">
        <v>4</v>
      </c>
      <c r="F1230" s="7">
        <f t="shared" si="19"/>
        <v>4</v>
      </c>
      <c r="G1230" s="7" t="str">
        <f>LOOKUP(H1230,[1]startdates!$A$2:$A$10,[1]startdates!$B$2:$B$10)</f>
        <v>FMr</v>
      </c>
      <c r="H1230">
        <v>9</v>
      </c>
      <c r="M1230" s="7">
        <v>307</v>
      </c>
      <c r="O1230" s="7">
        <v>165</v>
      </c>
    </row>
    <row r="1231" spans="1:17" x14ac:dyDescent="0.2">
      <c r="A1231">
        <v>1230</v>
      </c>
      <c r="B1231" s="1">
        <v>40758</v>
      </c>
      <c r="C1231" t="s">
        <v>24</v>
      </c>
      <c r="D1231" s="7">
        <v>21</v>
      </c>
      <c r="E1231" s="7">
        <v>4</v>
      </c>
      <c r="F1231" s="7">
        <f t="shared" si="19"/>
        <v>4</v>
      </c>
      <c r="G1231" s="7" t="str">
        <f>LOOKUP(H1231,[1]startdates!$A$2:$A$10,[1]startdates!$B$2:$B$10)</f>
        <v>FMr</v>
      </c>
      <c r="H1231">
        <v>9</v>
      </c>
      <c r="M1231" s="7">
        <v>329</v>
      </c>
    </row>
    <row r="1232" spans="1:17" x14ac:dyDescent="0.2">
      <c r="A1232">
        <v>1231</v>
      </c>
      <c r="B1232" s="1">
        <v>40760</v>
      </c>
      <c r="C1232" t="s">
        <v>28</v>
      </c>
      <c r="D1232" s="7">
        <v>23</v>
      </c>
      <c r="E1232" s="7">
        <v>4</v>
      </c>
      <c r="F1232" s="7">
        <f t="shared" si="19"/>
        <v>6</v>
      </c>
      <c r="G1232" s="7" t="str">
        <f>LOOKUP(H1232,[1]startdates!$A$2:$A$10,[1]startdates!$B$2:$B$10)</f>
        <v>SMr</v>
      </c>
      <c r="H1232">
        <v>1</v>
      </c>
      <c r="I1232" s="7">
        <v>722</v>
      </c>
      <c r="J1232" s="7">
        <v>548</v>
      </c>
      <c r="K1232" s="7">
        <v>530</v>
      </c>
      <c r="L1232" s="7">
        <v>367</v>
      </c>
      <c r="M1232" s="7">
        <v>244</v>
      </c>
      <c r="N1232" s="7">
        <v>178</v>
      </c>
      <c r="O1232" s="7">
        <v>176</v>
      </c>
      <c r="Q1232" s="7">
        <v>385</v>
      </c>
    </row>
    <row r="1233" spans="1:19" x14ac:dyDescent="0.2">
      <c r="A1233">
        <v>1232</v>
      </c>
      <c r="B1233" s="1">
        <v>40760</v>
      </c>
      <c r="C1233" t="s">
        <v>28</v>
      </c>
      <c r="D1233" s="7">
        <v>23</v>
      </c>
      <c r="E1233" s="7">
        <v>4</v>
      </c>
      <c r="F1233" s="7">
        <f t="shared" si="19"/>
        <v>6</v>
      </c>
      <c r="G1233" s="7" t="str">
        <f>LOOKUP(H1233,[1]startdates!$A$2:$A$10,[1]startdates!$B$2:$B$10)</f>
        <v>SMr</v>
      </c>
      <c r="H1233">
        <v>1</v>
      </c>
      <c r="I1233" s="7">
        <v>685</v>
      </c>
      <c r="J1233" s="7">
        <v>593</v>
      </c>
      <c r="L1233" s="7">
        <v>448</v>
      </c>
      <c r="M1233" s="7">
        <v>243</v>
      </c>
      <c r="N1233" s="7">
        <v>229</v>
      </c>
      <c r="O1233" s="7">
        <v>174</v>
      </c>
      <c r="Q1233" s="7">
        <v>331</v>
      </c>
    </row>
    <row r="1234" spans="1:19" x14ac:dyDescent="0.2">
      <c r="A1234">
        <v>1233</v>
      </c>
      <c r="B1234" s="1">
        <v>40760</v>
      </c>
      <c r="C1234" t="s">
        <v>28</v>
      </c>
      <c r="D1234" s="7">
        <v>23</v>
      </c>
      <c r="E1234" s="7">
        <v>4</v>
      </c>
      <c r="F1234" s="7">
        <f t="shared" si="19"/>
        <v>6</v>
      </c>
      <c r="G1234" s="7" t="str">
        <f>LOOKUP(H1234,[1]startdates!$A$2:$A$10,[1]startdates!$B$2:$B$10)</f>
        <v>SMr</v>
      </c>
      <c r="H1234">
        <v>1</v>
      </c>
      <c r="I1234" s="7">
        <v>800</v>
      </c>
      <c r="J1234" s="7">
        <v>585</v>
      </c>
      <c r="M1234" s="7">
        <v>261</v>
      </c>
      <c r="N1234" s="7">
        <v>198</v>
      </c>
      <c r="O1234" s="7">
        <v>155</v>
      </c>
    </row>
    <row r="1235" spans="1:19" x14ac:dyDescent="0.2">
      <c r="A1235">
        <v>1234</v>
      </c>
      <c r="B1235" s="1">
        <v>40760</v>
      </c>
      <c r="C1235" t="s">
        <v>28</v>
      </c>
      <c r="D1235" s="7">
        <v>23</v>
      </c>
      <c r="E1235" s="7">
        <v>4</v>
      </c>
      <c r="F1235" s="7">
        <f t="shared" si="19"/>
        <v>6</v>
      </c>
      <c r="G1235" s="7" t="str">
        <f>LOOKUP(H1235,[1]startdates!$A$2:$A$10,[1]startdates!$B$2:$B$10)</f>
        <v>SMr</v>
      </c>
      <c r="H1235">
        <v>1</v>
      </c>
      <c r="I1235" s="7">
        <v>703</v>
      </c>
      <c r="N1235" s="7">
        <v>170</v>
      </c>
      <c r="O1235" s="7">
        <v>122</v>
      </c>
    </row>
    <row r="1236" spans="1:19" x14ac:dyDescent="0.2">
      <c r="A1236">
        <v>1235</v>
      </c>
      <c r="B1236" s="1">
        <v>40760</v>
      </c>
      <c r="C1236" t="s">
        <v>28</v>
      </c>
      <c r="D1236" s="7">
        <v>23</v>
      </c>
      <c r="E1236" s="7">
        <v>4</v>
      </c>
      <c r="F1236" s="7">
        <f t="shared" si="19"/>
        <v>6</v>
      </c>
      <c r="G1236" s="7" t="str">
        <f>LOOKUP(H1236,[1]startdates!$A$2:$A$10,[1]startdates!$B$2:$B$10)</f>
        <v>SMr</v>
      </c>
      <c r="H1236">
        <v>1</v>
      </c>
      <c r="I1236" s="7">
        <v>724</v>
      </c>
      <c r="N1236" s="7">
        <v>194</v>
      </c>
      <c r="O1236" s="7">
        <v>160</v>
      </c>
    </row>
    <row r="1237" spans="1:19" x14ac:dyDescent="0.2">
      <c r="A1237">
        <v>1236</v>
      </c>
      <c r="B1237" s="1">
        <v>40760</v>
      </c>
      <c r="C1237" t="s">
        <v>28</v>
      </c>
      <c r="D1237" s="7">
        <v>23</v>
      </c>
      <c r="E1237" s="7">
        <v>4</v>
      </c>
      <c r="F1237" s="7">
        <f t="shared" si="19"/>
        <v>6</v>
      </c>
      <c r="G1237" s="7" t="str">
        <f>LOOKUP(H1237,[1]startdates!$A$2:$A$10,[1]startdates!$B$2:$B$10)</f>
        <v>SMr</v>
      </c>
      <c r="H1237">
        <v>1</v>
      </c>
      <c r="I1237" s="7">
        <v>675</v>
      </c>
      <c r="N1237" s="7">
        <v>250</v>
      </c>
      <c r="O1237" s="7">
        <v>154</v>
      </c>
    </row>
    <row r="1238" spans="1:19" x14ac:dyDescent="0.2">
      <c r="A1238">
        <v>1237</v>
      </c>
      <c r="B1238" s="1">
        <v>40760</v>
      </c>
      <c r="C1238" t="s">
        <v>28</v>
      </c>
      <c r="D1238" s="7">
        <v>23</v>
      </c>
      <c r="E1238" s="7">
        <v>4</v>
      </c>
      <c r="F1238" s="7">
        <f t="shared" si="19"/>
        <v>6</v>
      </c>
      <c r="G1238" s="7" t="str">
        <f>LOOKUP(H1238,[1]startdates!$A$2:$A$10,[1]startdates!$B$2:$B$10)</f>
        <v>SMr</v>
      </c>
      <c r="H1238">
        <v>1</v>
      </c>
      <c r="I1238" s="7">
        <v>630</v>
      </c>
      <c r="N1238" s="7">
        <v>205</v>
      </c>
    </row>
    <row r="1239" spans="1:19" x14ac:dyDescent="0.2">
      <c r="A1239">
        <v>1238</v>
      </c>
      <c r="B1239" s="1">
        <v>40760</v>
      </c>
      <c r="C1239" t="s">
        <v>28</v>
      </c>
      <c r="D1239" s="7">
        <v>23</v>
      </c>
      <c r="E1239" s="7">
        <v>4</v>
      </c>
      <c r="F1239" s="7">
        <f t="shared" si="19"/>
        <v>6</v>
      </c>
      <c r="G1239" s="7" t="str">
        <f>LOOKUP(H1239,[1]startdates!$A$2:$A$10,[1]startdates!$B$2:$B$10)</f>
        <v>SMr</v>
      </c>
      <c r="H1239">
        <v>1</v>
      </c>
      <c r="N1239" s="7">
        <v>232</v>
      </c>
    </row>
    <row r="1240" spans="1:19" x14ac:dyDescent="0.2">
      <c r="A1240">
        <v>1239</v>
      </c>
      <c r="B1240" s="1">
        <v>40760</v>
      </c>
      <c r="C1240" t="s">
        <v>28</v>
      </c>
      <c r="D1240" s="7">
        <v>23</v>
      </c>
      <c r="E1240" s="7">
        <v>4</v>
      </c>
      <c r="F1240" s="7">
        <f t="shared" si="19"/>
        <v>6</v>
      </c>
      <c r="G1240" s="7" t="str">
        <f>LOOKUP(H1240,[1]startdates!$A$2:$A$10,[1]startdates!$B$2:$B$10)</f>
        <v>SMr</v>
      </c>
      <c r="H1240">
        <v>2</v>
      </c>
      <c r="I1240" s="7">
        <v>782</v>
      </c>
      <c r="K1240" s="7">
        <v>569</v>
      </c>
      <c r="L1240" s="7">
        <v>494</v>
      </c>
      <c r="M1240" s="7">
        <v>374</v>
      </c>
      <c r="N1240" s="7">
        <v>204</v>
      </c>
      <c r="O1240" s="7">
        <v>161</v>
      </c>
      <c r="R1240" s="7">
        <v>257</v>
      </c>
      <c r="S1240" s="7">
        <v>279</v>
      </c>
    </row>
    <row r="1241" spans="1:19" x14ac:dyDescent="0.2">
      <c r="A1241">
        <v>1240</v>
      </c>
      <c r="B1241" s="1">
        <v>40760</v>
      </c>
      <c r="C1241" t="s">
        <v>28</v>
      </c>
      <c r="D1241" s="7">
        <v>23</v>
      </c>
      <c r="E1241" s="7">
        <v>4</v>
      </c>
      <c r="F1241" s="7">
        <f t="shared" si="19"/>
        <v>6</v>
      </c>
      <c r="G1241" s="7" t="str">
        <f>LOOKUP(H1241,[1]startdates!$A$2:$A$10,[1]startdates!$B$2:$B$10)</f>
        <v>SMr</v>
      </c>
      <c r="H1241">
        <v>2</v>
      </c>
      <c r="I1241" s="7">
        <v>731</v>
      </c>
      <c r="K1241" s="7">
        <v>586</v>
      </c>
      <c r="M1241" s="7">
        <v>253</v>
      </c>
      <c r="N1241" s="7">
        <v>262</v>
      </c>
      <c r="O1241" s="7">
        <v>147</v>
      </c>
    </row>
    <row r="1242" spans="1:19" x14ac:dyDescent="0.2">
      <c r="A1242">
        <v>1241</v>
      </c>
      <c r="B1242" s="1">
        <v>40760</v>
      </c>
      <c r="C1242" t="s">
        <v>28</v>
      </c>
      <c r="D1242" s="7">
        <v>23</v>
      </c>
      <c r="E1242" s="7">
        <v>4</v>
      </c>
      <c r="F1242" s="7">
        <f t="shared" si="19"/>
        <v>6</v>
      </c>
      <c r="G1242" s="7" t="str">
        <f>LOOKUP(H1242,[1]startdates!$A$2:$A$10,[1]startdates!$B$2:$B$10)</f>
        <v>SMr</v>
      </c>
      <c r="H1242">
        <v>2</v>
      </c>
      <c r="I1242" s="7">
        <v>743</v>
      </c>
      <c r="K1242" s="7">
        <v>504</v>
      </c>
      <c r="M1242" s="7">
        <v>324</v>
      </c>
      <c r="N1242" s="7">
        <v>211</v>
      </c>
      <c r="O1242" s="7">
        <v>184</v>
      </c>
    </row>
    <row r="1243" spans="1:19" x14ac:dyDescent="0.2">
      <c r="A1243">
        <v>1242</v>
      </c>
      <c r="B1243" s="1">
        <v>40760</v>
      </c>
      <c r="C1243" t="s">
        <v>28</v>
      </c>
      <c r="D1243" s="7">
        <v>23</v>
      </c>
      <c r="E1243" s="7">
        <v>4</v>
      </c>
      <c r="F1243" s="7">
        <f t="shared" si="19"/>
        <v>6</v>
      </c>
      <c r="G1243" s="7" t="str">
        <f>LOOKUP(H1243,[1]startdates!$A$2:$A$10,[1]startdates!$B$2:$B$10)</f>
        <v>SMr</v>
      </c>
      <c r="H1243">
        <v>2</v>
      </c>
      <c r="I1243" s="7">
        <v>637</v>
      </c>
      <c r="K1243" s="7">
        <v>644</v>
      </c>
      <c r="M1243" s="7">
        <v>371</v>
      </c>
      <c r="N1243" s="7">
        <v>209</v>
      </c>
      <c r="O1243" s="7">
        <v>162</v>
      </c>
    </row>
    <row r="1244" spans="1:19" x14ac:dyDescent="0.2">
      <c r="A1244">
        <v>1243</v>
      </c>
      <c r="B1244" s="1">
        <v>40760</v>
      </c>
      <c r="C1244" t="s">
        <v>28</v>
      </c>
      <c r="D1244" s="7">
        <v>23</v>
      </c>
      <c r="E1244" s="7">
        <v>4</v>
      </c>
      <c r="F1244" s="7">
        <f t="shared" si="19"/>
        <v>6</v>
      </c>
      <c r="G1244" s="7" t="str">
        <f>LOOKUP(H1244,[1]startdates!$A$2:$A$10,[1]startdates!$B$2:$B$10)</f>
        <v>SMr</v>
      </c>
      <c r="H1244">
        <v>2</v>
      </c>
      <c r="I1244" s="7">
        <v>734</v>
      </c>
      <c r="M1244" s="7">
        <v>314</v>
      </c>
      <c r="N1244" s="7">
        <v>233</v>
      </c>
      <c r="O1244" s="7">
        <v>172</v>
      </c>
    </row>
    <row r="1245" spans="1:19" x14ac:dyDescent="0.2">
      <c r="A1245">
        <v>1244</v>
      </c>
      <c r="B1245" s="1">
        <v>40760</v>
      </c>
      <c r="C1245" t="s">
        <v>28</v>
      </c>
      <c r="D1245" s="7">
        <v>23</v>
      </c>
      <c r="E1245" s="7">
        <v>4</v>
      </c>
      <c r="F1245" s="7">
        <f t="shared" si="19"/>
        <v>6</v>
      </c>
      <c r="G1245" s="7" t="str">
        <f>LOOKUP(H1245,[1]startdates!$A$2:$A$10,[1]startdates!$B$2:$B$10)</f>
        <v>SMr</v>
      </c>
      <c r="H1245">
        <v>2</v>
      </c>
      <c r="I1245" s="7">
        <v>634</v>
      </c>
      <c r="M1245" s="7">
        <v>252</v>
      </c>
      <c r="N1245" s="7">
        <v>221</v>
      </c>
      <c r="O1245" s="7">
        <v>168</v>
      </c>
    </row>
    <row r="1246" spans="1:19" x14ac:dyDescent="0.2">
      <c r="A1246">
        <v>1245</v>
      </c>
      <c r="B1246" s="1">
        <v>40760</v>
      </c>
      <c r="C1246" t="s">
        <v>28</v>
      </c>
      <c r="D1246" s="7">
        <v>23</v>
      </c>
      <c r="E1246" s="7">
        <v>4</v>
      </c>
      <c r="F1246" s="7">
        <f t="shared" si="19"/>
        <v>6</v>
      </c>
      <c r="G1246" s="7" t="str">
        <f>LOOKUP(H1246,[1]startdates!$A$2:$A$10,[1]startdates!$B$2:$B$10)</f>
        <v>SMr</v>
      </c>
      <c r="H1246">
        <v>2</v>
      </c>
      <c r="M1246" s="7">
        <v>271</v>
      </c>
      <c r="N1246" s="7">
        <v>193</v>
      </c>
      <c r="O1246" s="7">
        <v>151</v>
      </c>
    </row>
    <row r="1247" spans="1:19" x14ac:dyDescent="0.2">
      <c r="A1247">
        <v>1246</v>
      </c>
      <c r="B1247" s="1">
        <v>40760</v>
      </c>
      <c r="C1247" t="s">
        <v>28</v>
      </c>
      <c r="D1247" s="7">
        <v>23</v>
      </c>
      <c r="E1247" s="7">
        <v>4</v>
      </c>
      <c r="F1247" s="7">
        <f t="shared" si="19"/>
        <v>6</v>
      </c>
      <c r="G1247" s="7" t="str">
        <f>LOOKUP(H1247,[1]startdates!$A$2:$A$10,[1]startdates!$B$2:$B$10)</f>
        <v>SMr</v>
      </c>
      <c r="H1247">
        <v>2</v>
      </c>
      <c r="M1247" s="7">
        <v>303</v>
      </c>
      <c r="N1247" s="7">
        <v>249</v>
      </c>
      <c r="O1247" s="7">
        <v>167</v>
      </c>
    </row>
    <row r="1248" spans="1:19" x14ac:dyDescent="0.2">
      <c r="A1248">
        <v>1247</v>
      </c>
      <c r="B1248" s="1">
        <v>40760</v>
      </c>
      <c r="C1248" t="s">
        <v>28</v>
      </c>
      <c r="D1248" s="7">
        <v>23</v>
      </c>
      <c r="E1248" s="7">
        <v>4</v>
      </c>
      <c r="F1248" s="7">
        <f t="shared" si="19"/>
        <v>6</v>
      </c>
      <c r="G1248" s="7" t="str">
        <f>LOOKUP(H1248,[1]startdates!$A$2:$A$10,[1]startdates!$B$2:$B$10)</f>
        <v>SMr</v>
      </c>
      <c r="H1248">
        <v>2</v>
      </c>
      <c r="N1248" s="7">
        <v>206</v>
      </c>
      <c r="O1248" s="7">
        <v>163</v>
      </c>
    </row>
    <row r="1249" spans="1:15" x14ac:dyDescent="0.2">
      <c r="A1249">
        <v>1248</v>
      </c>
      <c r="B1249" s="1">
        <v>40760</v>
      </c>
      <c r="C1249" t="s">
        <v>28</v>
      </c>
      <c r="D1249" s="7">
        <v>23</v>
      </c>
      <c r="E1249" s="7">
        <v>4</v>
      </c>
      <c r="F1249" s="7">
        <f t="shared" si="19"/>
        <v>6</v>
      </c>
      <c r="G1249" s="7" t="str">
        <f>LOOKUP(H1249,[1]startdates!$A$2:$A$10,[1]startdates!$B$2:$B$10)</f>
        <v>SMr</v>
      </c>
      <c r="H1249">
        <v>2</v>
      </c>
      <c r="N1249" s="7">
        <v>164</v>
      </c>
      <c r="O1249" s="7">
        <v>166</v>
      </c>
    </row>
    <row r="1250" spans="1:15" x14ac:dyDescent="0.2">
      <c r="A1250">
        <v>1249</v>
      </c>
      <c r="B1250" s="1">
        <v>40760</v>
      </c>
      <c r="C1250" t="s">
        <v>28</v>
      </c>
      <c r="D1250" s="7">
        <v>23</v>
      </c>
      <c r="E1250" s="7">
        <v>4</v>
      </c>
      <c r="F1250" s="7">
        <f t="shared" si="19"/>
        <v>6</v>
      </c>
      <c r="G1250" s="7" t="str">
        <f>LOOKUP(H1250,[1]startdates!$A$2:$A$10,[1]startdates!$B$2:$B$10)</f>
        <v>SMr</v>
      </c>
      <c r="H1250">
        <v>2</v>
      </c>
      <c r="N1250" s="7">
        <v>200</v>
      </c>
    </row>
    <row r="1251" spans="1:15" x14ac:dyDescent="0.2">
      <c r="A1251">
        <v>1250</v>
      </c>
      <c r="B1251" s="1">
        <v>40760</v>
      </c>
      <c r="C1251" t="s">
        <v>28</v>
      </c>
      <c r="D1251" s="7">
        <v>23</v>
      </c>
      <c r="E1251" s="7">
        <v>4</v>
      </c>
      <c r="F1251" s="7">
        <f t="shared" si="19"/>
        <v>6</v>
      </c>
      <c r="G1251" s="7" t="str">
        <f>LOOKUP(H1251,[1]startdates!$A$2:$A$10,[1]startdates!$B$2:$B$10)</f>
        <v>C</v>
      </c>
      <c r="H1251">
        <v>3</v>
      </c>
      <c r="I1251" s="7">
        <v>668</v>
      </c>
      <c r="J1251" s="7">
        <v>605</v>
      </c>
      <c r="K1251" s="7">
        <v>640</v>
      </c>
      <c r="L1251" s="7">
        <v>430</v>
      </c>
      <c r="M1251" s="7">
        <v>271</v>
      </c>
      <c r="N1251" s="7">
        <v>238</v>
      </c>
      <c r="O1251" s="7">
        <v>145</v>
      </c>
    </row>
    <row r="1252" spans="1:15" x14ac:dyDescent="0.2">
      <c r="A1252">
        <v>1251</v>
      </c>
      <c r="B1252" s="1">
        <v>40760</v>
      </c>
      <c r="C1252" t="s">
        <v>28</v>
      </c>
      <c r="D1252" s="7">
        <v>23</v>
      </c>
      <c r="E1252" s="7">
        <v>4</v>
      </c>
      <c r="F1252" s="7">
        <f t="shared" si="19"/>
        <v>6</v>
      </c>
      <c r="G1252" s="7" t="str">
        <f>LOOKUP(H1252,[1]startdates!$A$2:$A$10,[1]startdates!$B$2:$B$10)</f>
        <v>C</v>
      </c>
      <c r="H1252">
        <v>3</v>
      </c>
      <c r="I1252" s="7">
        <v>739</v>
      </c>
      <c r="K1252" s="7">
        <v>664</v>
      </c>
      <c r="L1252" s="7">
        <v>450</v>
      </c>
      <c r="M1252" s="7">
        <v>330</v>
      </c>
      <c r="N1252" s="7">
        <v>223</v>
      </c>
      <c r="O1252" s="7">
        <v>140</v>
      </c>
    </row>
    <row r="1253" spans="1:15" x14ac:dyDescent="0.2">
      <c r="A1253">
        <v>1252</v>
      </c>
      <c r="B1253" s="1">
        <v>40760</v>
      </c>
      <c r="C1253" t="s">
        <v>28</v>
      </c>
      <c r="D1253" s="7">
        <v>23</v>
      </c>
      <c r="E1253" s="7">
        <v>4</v>
      </c>
      <c r="F1253" s="7">
        <f t="shared" si="19"/>
        <v>6</v>
      </c>
      <c r="G1253" s="7" t="str">
        <f>LOOKUP(H1253,[1]startdates!$A$2:$A$10,[1]startdates!$B$2:$B$10)</f>
        <v>C</v>
      </c>
      <c r="H1253">
        <v>3</v>
      </c>
      <c r="I1253" s="7">
        <v>695</v>
      </c>
      <c r="M1253" s="7">
        <v>298</v>
      </c>
      <c r="N1253" s="7">
        <v>243</v>
      </c>
      <c r="O1253" s="7">
        <v>159</v>
      </c>
    </row>
    <row r="1254" spans="1:15" x14ac:dyDescent="0.2">
      <c r="A1254">
        <v>1253</v>
      </c>
      <c r="B1254" s="1">
        <v>40760</v>
      </c>
      <c r="C1254" t="s">
        <v>28</v>
      </c>
      <c r="D1254" s="7">
        <v>23</v>
      </c>
      <c r="E1254" s="7">
        <v>4</v>
      </c>
      <c r="F1254" s="7">
        <f t="shared" si="19"/>
        <v>6</v>
      </c>
      <c r="G1254" s="7" t="str">
        <f>LOOKUP(H1254,[1]startdates!$A$2:$A$10,[1]startdates!$B$2:$B$10)</f>
        <v>C</v>
      </c>
      <c r="H1254">
        <v>3</v>
      </c>
      <c r="I1254" s="7">
        <v>638</v>
      </c>
      <c r="N1254" s="7">
        <v>206</v>
      </c>
      <c r="O1254" s="7">
        <v>150</v>
      </c>
    </row>
    <row r="1255" spans="1:15" x14ac:dyDescent="0.2">
      <c r="A1255">
        <v>1254</v>
      </c>
      <c r="B1255" s="1">
        <v>40760</v>
      </c>
      <c r="C1255" t="s">
        <v>28</v>
      </c>
      <c r="D1255" s="7">
        <v>23</v>
      </c>
      <c r="E1255" s="7">
        <v>4</v>
      </c>
      <c r="F1255" s="7">
        <f t="shared" si="19"/>
        <v>6</v>
      </c>
      <c r="G1255" s="7" t="str">
        <f>LOOKUP(H1255,[1]startdates!$A$2:$A$10,[1]startdates!$B$2:$B$10)</f>
        <v>C</v>
      </c>
      <c r="H1255">
        <v>3</v>
      </c>
      <c r="N1255" s="7">
        <v>176</v>
      </c>
      <c r="O1255" s="7">
        <v>158</v>
      </c>
    </row>
    <row r="1256" spans="1:15" x14ac:dyDescent="0.2">
      <c r="A1256">
        <v>1255</v>
      </c>
      <c r="B1256" s="1">
        <v>40760</v>
      </c>
      <c r="C1256" t="s">
        <v>28</v>
      </c>
      <c r="D1256" s="7">
        <v>23</v>
      </c>
      <c r="E1256" s="7">
        <v>4</v>
      </c>
      <c r="F1256" s="7">
        <f t="shared" si="19"/>
        <v>6</v>
      </c>
      <c r="G1256" s="7" t="str">
        <f>LOOKUP(H1256,[1]startdates!$A$2:$A$10,[1]startdates!$B$2:$B$10)</f>
        <v>C</v>
      </c>
      <c r="H1256">
        <v>3</v>
      </c>
      <c r="N1256" s="7">
        <v>162</v>
      </c>
      <c r="O1256" s="7">
        <v>150</v>
      </c>
    </row>
    <row r="1257" spans="1:15" x14ac:dyDescent="0.2">
      <c r="A1257">
        <v>1256</v>
      </c>
      <c r="B1257" s="1">
        <v>40760</v>
      </c>
      <c r="C1257" t="s">
        <v>28</v>
      </c>
      <c r="D1257" s="7">
        <v>23</v>
      </c>
      <c r="E1257" s="7">
        <v>4</v>
      </c>
      <c r="F1257" s="7">
        <f t="shared" ref="F1257:F1320" si="20">WEEKDAY(B1257)</f>
        <v>6</v>
      </c>
      <c r="G1257" s="7" t="str">
        <f>LOOKUP(H1257,[1]startdates!$A$2:$A$10,[1]startdates!$B$2:$B$10)</f>
        <v>C</v>
      </c>
      <c r="H1257">
        <v>3</v>
      </c>
      <c r="N1257" s="7">
        <v>140</v>
      </c>
      <c r="O1257" s="7">
        <v>164</v>
      </c>
    </row>
    <row r="1258" spans="1:15" x14ac:dyDescent="0.2">
      <c r="A1258">
        <v>1257</v>
      </c>
      <c r="B1258" s="1">
        <v>40760</v>
      </c>
      <c r="C1258" t="s">
        <v>28</v>
      </c>
      <c r="D1258" s="7">
        <v>23</v>
      </c>
      <c r="E1258" s="7">
        <v>4</v>
      </c>
      <c r="F1258" s="7">
        <f t="shared" si="20"/>
        <v>6</v>
      </c>
      <c r="G1258" s="7" t="str">
        <f>LOOKUP(H1258,[1]startdates!$A$2:$A$10,[1]startdates!$B$2:$B$10)</f>
        <v>C</v>
      </c>
      <c r="H1258">
        <v>3</v>
      </c>
      <c r="O1258" s="7">
        <v>178</v>
      </c>
    </row>
    <row r="1259" spans="1:15" x14ac:dyDescent="0.2">
      <c r="A1259">
        <v>1258</v>
      </c>
      <c r="B1259" s="1">
        <v>40760</v>
      </c>
      <c r="C1259" t="s">
        <v>28</v>
      </c>
      <c r="D1259" s="7">
        <v>23</v>
      </c>
      <c r="E1259" s="7">
        <v>4</v>
      </c>
      <c r="F1259" s="7">
        <f t="shared" si="20"/>
        <v>6</v>
      </c>
      <c r="G1259" s="7" t="str">
        <f>LOOKUP(H1259,[1]startdates!$A$2:$A$10,[1]startdates!$B$2:$B$10)</f>
        <v>C</v>
      </c>
      <c r="H1259">
        <v>3</v>
      </c>
      <c r="O1259" s="7">
        <v>166</v>
      </c>
    </row>
    <row r="1260" spans="1:15" x14ac:dyDescent="0.2">
      <c r="A1260">
        <v>1259</v>
      </c>
      <c r="B1260" s="1">
        <v>40760</v>
      </c>
      <c r="C1260" t="s">
        <v>28</v>
      </c>
      <c r="D1260" s="7">
        <v>23</v>
      </c>
      <c r="E1260" s="7">
        <v>4</v>
      </c>
      <c r="F1260" s="7">
        <f t="shared" si="20"/>
        <v>6</v>
      </c>
      <c r="G1260" s="7" t="str">
        <f>LOOKUP(H1260,[1]startdates!$A$2:$A$10,[1]startdates!$B$2:$B$10)</f>
        <v>C</v>
      </c>
      <c r="H1260">
        <v>3</v>
      </c>
      <c r="O1260" s="7">
        <v>178</v>
      </c>
    </row>
    <row r="1261" spans="1:15" x14ac:dyDescent="0.2">
      <c r="A1261">
        <v>1260</v>
      </c>
      <c r="B1261" s="1">
        <v>40760</v>
      </c>
      <c r="C1261" t="s">
        <v>28</v>
      </c>
      <c r="D1261" s="7">
        <v>23</v>
      </c>
      <c r="E1261" s="7">
        <v>4</v>
      </c>
      <c r="F1261" s="7">
        <f t="shared" si="20"/>
        <v>6</v>
      </c>
      <c r="G1261" s="7" t="str">
        <f>LOOKUP(H1261,[1]startdates!$A$2:$A$10,[1]startdates!$B$2:$B$10)</f>
        <v>C</v>
      </c>
      <c r="H1261">
        <v>3</v>
      </c>
      <c r="O1261" s="7">
        <v>162</v>
      </c>
    </row>
    <row r="1262" spans="1:15" x14ac:dyDescent="0.2">
      <c r="A1262">
        <v>1261</v>
      </c>
      <c r="B1262" s="1">
        <v>40760</v>
      </c>
      <c r="C1262" t="s">
        <v>28</v>
      </c>
      <c r="D1262" s="7">
        <v>23</v>
      </c>
      <c r="E1262" s="7">
        <v>4</v>
      </c>
      <c r="F1262" s="7">
        <f t="shared" si="20"/>
        <v>6</v>
      </c>
      <c r="G1262" s="7" t="str">
        <f>LOOKUP(H1262,[1]startdates!$A$2:$A$10,[1]startdates!$B$2:$B$10)</f>
        <v>C</v>
      </c>
      <c r="H1262">
        <v>3</v>
      </c>
      <c r="O1262" s="7">
        <v>168</v>
      </c>
    </row>
    <row r="1263" spans="1:15" x14ac:dyDescent="0.2">
      <c r="A1263">
        <v>1262</v>
      </c>
      <c r="B1263" s="1">
        <v>40760</v>
      </c>
      <c r="C1263" t="s">
        <v>28</v>
      </c>
      <c r="D1263" s="7">
        <v>23</v>
      </c>
      <c r="E1263" s="7">
        <v>4</v>
      </c>
      <c r="F1263" s="7">
        <f t="shared" si="20"/>
        <v>6</v>
      </c>
      <c r="G1263" s="7" t="str">
        <f>LOOKUP(H1263,[1]startdates!$A$2:$A$10,[1]startdates!$B$2:$B$10)</f>
        <v>C</v>
      </c>
      <c r="H1263">
        <v>3</v>
      </c>
      <c r="O1263" s="7">
        <v>240</v>
      </c>
    </row>
    <row r="1264" spans="1:15" x14ac:dyDescent="0.2">
      <c r="A1264">
        <v>1263</v>
      </c>
      <c r="B1264" s="1">
        <v>40760</v>
      </c>
      <c r="C1264" t="s">
        <v>28</v>
      </c>
      <c r="D1264" s="7">
        <v>23</v>
      </c>
      <c r="E1264" s="7">
        <v>4</v>
      </c>
      <c r="F1264" s="7">
        <f t="shared" si="20"/>
        <v>6</v>
      </c>
      <c r="G1264" s="7" t="str">
        <f>LOOKUP(H1264,[1]startdates!$A$2:$A$10,[1]startdates!$B$2:$B$10)</f>
        <v>C</v>
      </c>
      <c r="H1264">
        <v>3</v>
      </c>
      <c r="O1264" s="7">
        <v>234</v>
      </c>
    </row>
    <row r="1265" spans="1:19" x14ac:dyDescent="0.2">
      <c r="A1265">
        <v>1264</v>
      </c>
      <c r="B1265" s="1">
        <v>40760</v>
      </c>
      <c r="C1265" t="s">
        <v>28</v>
      </c>
      <c r="D1265" s="7">
        <v>23</v>
      </c>
      <c r="E1265" s="7">
        <v>4</v>
      </c>
      <c r="F1265" s="7">
        <f t="shared" si="20"/>
        <v>6</v>
      </c>
      <c r="G1265" s="7" t="str">
        <f>LOOKUP(H1265,[1]startdates!$A$2:$A$10,[1]startdates!$B$2:$B$10)</f>
        <v>SMr</v>
      </c>
      <c r="H1265">
        <v>4</v>
      </c>
      <c r="I1265" s="7">
        <v>745</v>
      </c>
      <c r="K1265" s="7">
        <v>568</v>
      </c>
      <c r="L1265" s="7">
        <v>464</v>
      </c>
      <c r="M1265" s="7">
        <v>281</v>
      </c>
      <c r="N1265" s="7">
        <v>215</v>
      </c>
      <c r="O1265" s="7">
        <v>170</v>
      </c>
      <c r="P1265" s="7">
        <v>453</v>
      </c>
      <c r="Q1265" s="7">
        <v>347</v>
      </c>
      <c r="R1265" s="7">
        <v>255</v>
      </c>
      <c r="S1265" s="7">
        <v>293</v>
      </c>
    </row>
    <row r="1266" spans="1:19" x14ac:dyDescent="0.2">
      <c r="A1266">
        <v>1265</v>
      </c>
      <c r="B1266" s="1">
        <v>40760</v>
      </c>
      <c r="C1266" t="s">
        <v>28</v>
      </c>
      <c r="D1266" s="7">
        <v>23</v>
      </c>
      <c r="E1266" s="7">
        <v>4</v>
      </c>
      <c r="F1266" s="7">
        <f t="shared" si="20"/>
        <v>6</v>
      </c>
      <c r="G1266" s="7" t="str">
        <f>LOOKUP(H1266,[1]startdates!$A$2:$A$10,[1]startdates!$B$2:$B$10)</f>
        <v>SMr</v>
      </c>
      <c r="H1266">
        <v>4</v>
      </c>
      <c r="I1266" s="7">
        <v>745</v>
      </c>
      <c r="L1266" s="7">
        <v>497</v>
      </c>
      <c r="M1266" s="7">
        <v>277</v>
      </c>
      <c r="N1266" s="7">
        <v>248</v>
      </c>
      <c r="O1266" s="7">
        <v>167</v>
      </c>
      <c r="P1266" s="7">
        <v>515</v>
      </c>
      <c r="Q1266" s="7">
        <v>338</v>
      </c>
    </row>
    <row r="1267" spans="1:19" x14ac:dyDescent="0.2">
      <c r="A1267">
        <v>1266</v>
      </c>
      <c r="B1267" s="1">
        <v>40760</v>
      </c>
      <c r="C1267" t="s">
        <v>28</v>
      </c>
      <c r="D1267" s="7">
        <v>23</v>
      </c>
      <c r="E1267" s="7">
        <v>4</v>
      </c>
      <c r="F1267" s="7">
        <f t="shared" si="20"/>
        <v>6</v>
      </c>
      <c r="G1267" s="7" t="str">
        <f>LOOKUP(H1267,[1]startdates!$A$2:$A$10,[1]startdates!$B$2:$B$10)</f>
        <v>SMr</v>
      </c>
      <c r="H1267">
        <v>4</v>
      </c>
      <c r="I1267" s="7">
        <v>736</v>
      </c>
      <c r="M1267" s="7">
        <v>259</v>
      </c>
      <c r="N1267" s="7">
        <v>196</v>
      </c>
      <c r="O1267" s="7">
        <v>162</v>
      </c>
    </row>
    <row r="1268" spans="1:19" x14ac:dyDescent="0.2">
      <c r="A1268">
        <v>1267</v>
      </c>
      <c r="B1268" s="1">
        <v>40760</v>
      </c>
      <c r="C1268" t="s">
        <v>28</v>
      </c>
      <c r="D1268" s="7">
        <v>23</v>
      </c>
      <c r="E1268" s="7">
        <v>4</v>
      </c>
      <c r="F1268" s="7">
        <f t="shared" si="20"/>
        <v>6</v>
      </c>
      <c r="G1268" s="7" t="str">
        <f>LOOKUP(H1268,[1]startdates!$A$2:$A$10,[1]startdates!$B$2:$B$10)</f>
        <v>SMr</v>
      </c>
      <c r="H1268">
        <v>4</v>
      </c>
      <c r="I1268" s="7">
        <v>673</v>
      </c>
      <c r="N1268" s="7">
        <v>260</v>
      </c>
      <c r="O1268" s="7">
        <v>170</v>
      </c>
    </row>
    <row r="1269" spans="1:19" x14ac:dyDescent="0.2">
      <c r="A1269">
        <v>1268</v>
      </c>
      <c r="B1269" s="1">
        <v>40760</v>
      </c>
      <c r="C1269" t="s">
        <v>28</v>
      </c>
      <c r="D1269" s="7">
        <v>23</v>
      </c>
      <c r="E1269" s="7">
        <v>4</v>
      </c>
      <c r="F1269" s="7">
        <f t="shared" si="20"/>
        <v>6</v>
      </c>
      <c r="G1269" s="7" t="str">
        <f>LOOKUP(H1269,[1]startdates!$A$2:$A$10,[1]startdates!$B$2:$B$10)</f>
        <v>SMr</v>
      </c>
      <c r="H1269">
        <v>4</v>
      </c>
      <c r="I1269" s="7">
        <v>634</v>
      </c>
      <c r="N1269" s="7">
        <v>255</v>
      </c>
      <c r="O1269" s="7">
        <v>161</v>
      </c>
    </row>
    <row r="1270" spans="1:19" x14ac:dyDescent="0.2">
      <c r="A1270">
        <v>1269</v>
      </c>
      <c r="B1270" s="1">
        <v>40760</v>
      </c>
      <c r="C1270" t="s">
        <v>28</v>
      </c>
      <c r="D1270" s="7">
        <v>23</v>
      </c>
      <c r="E1270" s="7">
        <v>4</v>
      </c>
      <c r="F1270" s="7">
        <f t="shared" si="20"/>
        <v>6</v>
      </c>
      <c r="G1270" s="7" t="str">
        <f>LOOKUP(H1270,[1]startdates!$A$2:$A$10,[1]startdates!$B$2:$B$10)</f>
        <v>SMr</v>
      </c>
      <c r="H1270">
        <v>4</v>
      </c>
      <c r="N1270" s="7">
        <v>224</v>
      </c>
      <c r="O1270" s="7">
        <v>177</v>
      </c>
    </row>
    <row r="1271" spans="1:19" x14ac:dyDescent="0.2">
      <c r="A1271">
        <v>1270</v>
      </c>
      <c r="B1271" s="1">
        <v>40760</v>
      </c>
      <c r="C1271" t="s">
        <v>28</v>
      </c>
      <c r="D1271" s="7">
        <v>23</v>
      </c>
      <c r="E1271" s="7">
        <v>4</v>
      </c>
      <c r="F1271" s="7">
        <f t="shared" si="20"/>
        <v>6</v>
      </c>
      <c r="G1271" s="7" t="str">
        <f>LOOKUP(H1271,[1]startdates!$A$2:$A$10,[1]startdates!$B$2:$B$10)</f>
        <v>SMr</v>
      </c>
      <c r="H1271">
        <v>4</v>
      </c>
      <c r="N1271" s="7">
        <v>202</v>
      </c>
      <c r="O1271" s="7">
        <v>156</v>
      </c>
    </row>
    <row r="1272" spans="1:19" x14ac:dyDescent="0.2">
      <c r="A1272">
        <v>1271</v>
      </c>
      <c r="B1272" s="1">
        <v>40760</v>
      </c>
      <c r="C1272" t="s">
        <v>28</v>
      </c>
      <c r="D1272" s="7">
        <v>23</v>
      </c>
      <c r="E1272" s="7">
        <v>4</v>
      </c>
      <c r="F1272" s="7">
        <f t="shared" si="20"/>
        <v>6</v>
      </c>
      <c r="G1272" s="7" t="str">
        <f>LOOKUP(H1272,[1]startdates!$A$2:$A$10,[1]startdates!$B$2:$B$10)</f>
        <v>SMr</v>
      </c>
      <c r="H1272">
        <v>4</v>
      </c>
      <c r="N1272" s="7">
        <v>219</v>
      </c>
      <c r="O1272" s="7">
        <v>162</v>
      </c>
    </row>
    <row r="1273" spans="1:19" x14ac:dyDescent="0.2">
      <c r="A1273">
        <v>1272</v>
      </c>
      <c r="B1273" s="1">
        <v>40760</v>
      </c>
      <c r="C1273" t="s">
        <v>28</v>
      </c>
      <c r="D1273" s="7">
        <v>23</v>
      </c>
      <c r="E1273" s="7">
        <v>4</v>
      </c>
      <c r="F1273" s="7">
        <f t="shared" si="20"/>
        <v>6</v>
      </c>
      <c r="G1273" s="7" t="str">
        <f>LOOKUP(H1273,[1]startdates!$A$2:$A$10,[1]startdates!$B$2:$B$10)</f>
        <v>SMr</v>
      </c>
      <c r="H1273">
        <v>4</v>
      </c>
      <c r="N1273" s="7">
        <v>258</v>
      </c>
      <c r="O1273" s="7">
        <v>148</v>
      </c>
    </row>
    <row r="1274" spans="1:19" x14ac:dyDescent="0.2">
      <c r="A1274">
        <v>1273</v>
      </c>
      <c r="B1274" s="1">
        <v>40760</v>
      </c>
      <c r="C1274" t="s">
        <v>28</v>
      </c>
      <c r="D1274" s="7">
        <v>23</v>
      </c>
      <c r="E1274" s="7">
        <v>4</v>
      </c>
      <c r="F1274" s="7">
        <f t="shared" si="20"/>
        <v>6</v>
      </c>
      <c r="G1274" s="7" t="str">
        <f>LOOKUP(H1274,[1]startdates!$A$2:$A$10,[1]startdates!$B$2:$B$10)</f>
        <v>SMr</v>
      </c>
      <c r="H1274">
        <v>4</v>
      </c>
      <c r="N1274" s="7">
        <v>250</v>
      </c>
      <c r="O1274" s="7">
        <v>155</v>
      </c>
    </row>
    <row r="1275" spans="1:19" x14ac:dyDescent="0.2">
      <c r="A1275">
        <v>1274</v>
      </c>
      <c r="B1275" s="1">
        <v>40760</v>
      </c>
      <c r="C1275" t="s">
        <v>28</v>
      </c>
      <c r="D1275" s="7">
        <v>23</v>
      </c>
      <c r="E1275" s="7">
        <v>4</v>
      </c>
      <c r="F1275" s="7">
        <f t="shared" si="20"/>
        <v>6</v>
      </c>
      <c r="G1275" s="7" t="str">
        <f>LOOKUP(H1275,[1]startdates!$A$2:$A$10,[1]startdates!$B$2:$B$10)</f>
        <v>SMr</v>
      </c>
      <c r="H1275">
        <v>4</v>
      </c>
      <c r="N1275" s="7">
        <v>245</v>
      </c>
      <c r="O1275" s="7">
        <v>173</v>
      </c>
    </row>
    <row r="1276" spans="1:19" x14ac:dyDescent="0.2">
      <c r="A1276">
        <v>1275</v>
      </c>
      <c r="B1276" s="1">
        <v>40760</v>
      </c>
      <c r="C1276" t="s">
        <v>28</v>
      </c>
      <c r="D1276" s="7">
        <v>23</v>
      </c>
      <c r="E1276" s="7">
        <v>4</v>
      </c>
      <c r="F1276" s="7">
        <f t="shared" si="20"/>
        <v>6</v>
      </c>
      <c r="G1276" s="7" t="str">
        <f>LOOKUP(H1276,[1]startdates!$A$2:$A$10,[1]startdates!$B$2:$B$10)</f>
        <v>SMr</v>
      </c>
      <c r="H1276">
        <v>4</v>
      </c>
      <c r="N1276" s="7">
        <v>241</v>
      </c>
      <c r="O1276" s="7">
        <v>155</v>
      </c>
    </row>
    <row r="1277" spans="1:19" x14ac:dyDescent="0.2">
      <c r="A1277">
        <v>1276</v>
      </c>
      <c r="B1277" s="1">
        <v>40760</v>
      </c>
      <c r="C1277" t="s">
        <v>28</v>
      </c>
      <c r="D1277" s="7">
        <v>23</v>
      </c>
      <c r="E1277" s="7">
        <v>4</v>
      </c>
      <c r="F1277" s="7">
        <f t="shared" si="20"/>
        <v>6</v>
      </c>
      <c r="G1277" s="7" t="str">
        <f>LOOKUP(H1277,[1]startdates!$A$2:$A$10,[1]startdates!$B$2:$B$10)</f>
        <v>SMr</v>
      </c>
      <c r="H1277">
        <v>4</v>
      </c>
      <c r="N1277" s="7">
        <v>258</v>
      </c>
      <c r="O1277" s="7">
        <v>185</v>
      </c>
    </row>
    <row r="1278" spans="1:19" x14ac:dyDescent="0.2">
      <c r="A1278">
        <v>1277</v>
      </c>
      <c r="B1278" s="1">
        <v>40760</v>
      </c>
      <c r="C1278" t="s">
        <v>28</v>
      </c>
      <c r="D1278" s="7">
        <v>23</v>
      </c>
      <c r="E1278" s="7">
        <v>4</v>
      </c>
      <c r="F1278" s="7">
        <f t="shared" si="20"/>
        <v>6</v>
      </c>
      <c r="G1278" s="7" t="str">
        <f>LOOKUP(H1278,[1]startdates!$A$2:$A$10,[1]startdates!$B$2:$B$10)</f>
        <v>SMr</v>
      </c>
      <c r="H1278">
        <v>4</v>
      </c>
      <c r="N1278" s="7">
        <v>227</v>
      </c>
      <c r="O1278" s="7">
        <v>166</v>
      </c>
    </row>
    <row r="1279" spans="1:19" x14ac:dyDescent="0.2">
      <c r="A1279">
        <v>1278</v>
      </c>
      <c r="B1279" s="1">
        <v>40760</v>
      </c>
      <c r="C1279" t="s">
        <v>28</v>
      </c>
      <c r="D1279" s="7">
        <v>23</v>
      </c>
      <c r="E1279" s="7">
        <v>4</v>
      </c>
      <c r="F1279" s="7">
        <f t="shared" si="20"/>
        <v>6</v>
      </c>
      <c r="G1279" s="7" t="str">
        <f>LOOKUP(H1279,[1]startdates!$A$2:$A$10,[1]startdates!$B$2:$B$10)</f>
        <v>SMr</v>
      </c>
      <c r="H1279">
        <v>4</v>
      </c>
      <c r="N1279" s="7">
        <v>182</v>
      </c>
      <c r="O1279" s="7">
        <v>150</v>
      </c>
    </row>
    <row r="1280" spans="1:19" x14ac:dyDescent="0.2">
      <c r="A1280">
        <v>1279</v>
      </c>
      <c r="B1280" s="1">
        <v>40760</v>
      </c>
      <c r="C1280" t="s">
        <v>28</v>
      </c>
      <c r="D1280" s="7">
        <v>23</v>
      </c>
      <c r="E1280" s="7">
        <v>4</v>
      </c>
      <c r="F1280" s="7">
        <f t="shared" si="20"/>
        <v>6</v>
      </c>
      <c r="G1280" s="7" t="str">
        <f>LOOKUP(H1280,[1]startdates!$A$2:$A$10,[1]startdates!$B$2:$B$10)</f>
        <v>SMr</v>
      </c>
      <c r="H1280">
        <v>4</v>
      </c>
      <c r="N1280" s="7">
        <v>255</v>
      </c>
      <c r="O1280" s="7">
        <v>151</v>
      </c>
    </row>
    <row r="1281" spans="1:17" x14ac:dyDescent="0.2">
      <c r="A1281">
        <v>1280</v>
      </c>
      <c r="B1281" s="1">
        <v>40760</v>
      </c>
      <c r="C1281" t="s">
        <v>28</v>
      </c>
      <c r="D1281" s="7">
        <v>23</v>
      </c>
      <c r="E1281" s="7">
        <v>4</v>
      </c>
      <c r="F1281" s="7">
        <f t="shared" si="20"/>
        <v>6</v>
      </c>
      <c r="G1281" s="7" t="str">
        <f>LOOKUP(H1281,[1]startdates!$A$2:$A$10,[1]startdates!$B$2:$B$10)</f>
        <v>SMr</v>
      </c>
      <c r="H1281">
        <v>4</v>
      </c>
      <c r="N1281" s="7">
        <v>227</v>
      </c>
      <c r="O1281" s="7">
        <v>168</v>
      </c>
    </row>
    <row r="1282" spans="1:17" x14ac:dyDescent="0.2">
      <c r="A1282">
        <v>1281</v>
      </c>
      <c r="B1282" s="1">
        <v>40760</v>
      </c>
      <c r="C1282" t="s">
        <v>28</v>
      </c>
      <c r="D1282" s="7">
        <v>23</v>
      </c>
      <c r="E1282" s="7">
        <v>4</v>
      </c>
      <c r="F1282" s="7">
        <f t="shared" si="20"/>
        <v>6</v>
      </c>
      <c r="G1282" s="7" t="str">
        <f>LOOKUP(H1282,[1]startdates!$A$2:$A$10,[1]startdates!$B$2:$B$10)</f>
        <v>SMr</v>
      </c>
      <c r="H1282">
        <v>4</v>
      </c>
      <c r="N1282" s="7">
        <v>224</v>
      </c>
      <c r="O1282" s="7">
        <v>172</v>
      </c>
    </row>
    <row r="1283" spans="1:17" x14ac:dyDescent="0.2">
      <c r="A1283">
        <v>1282</v>
      </c>
      <c r="B1283" s="1">
        <v>40760</v>
      </c>
      <c r="C1283" t="s">
        <v>28</v>
      </c>
      <c r="D1283" s="7">
        <v>23</v>
      </c>
      <c r="E1283" s="7">
        <v>4</v>
      </c>
      <c r="F1283" s="7">
        <f t="shared" si="20"/>
        <v>6</v>
      </c>
      <c r="G1283" s="7" t="str">
        <f>LOOKUP(H1283,[1]startdates!$A$2:$A$10,[1]startdates!$B$2:$B$10)</f>
        <v>SMr</v>
      </c>
      <c r="H1283">
        <v>4</v>
      </c>
      <c r="N1283" s="7">
        <v>210</v>
      </c>
      <c r="O1283" s="7">
        <v>178</v>
      </c>
    </row>
    <row r="1284" spans="1:17" x14ac:dyDescent="0.2">
      <c r="A1284">
        <v>1283</v>
      </c>
      <c r="B1284" s="1">
        <v>40760</v>
      </c>
      <c r="C1284" t="s">
        <v>28</v>
      </c>
      <c r="D1284" s="7">
        <v>23</v>
      </c>
      <c r="E1284" s="7">
        <v>4</v>
      </c>
      <c r="F1284" s="7">
        <f t="shared" si="20"/>
        <v>6</v>
      </c>
      <c r="G1284" s="7" t="str">
        <f>LOOKUP(H1284,[1]startdates!$A$2:$A$10,[1]startdates!$B$2:$B$10)</f>
        <v>SMr</v>
      </c>
      <c r="H1284">
        <v>4</v>
      </c>
      <c r="N1284" s="7">
        <v>214</v>
      </c>
    </row>
    <row r="1285" spans="1:17" x14ac:dyDescent="0.2">
      <c r="A1285">
        <v>1284</v>
      </c>
      <c r="B1285" s="1">
        <v>40760</v>
      </c>
      <c r="C1285" t="s">
        <v>28</v>
      </c>
      <c r="D1285" s="7">
        <v>23</v>
      </c>
      <c r="E1285" s="7">
        <v>4</v>
      </c>
      <c r="F1285" s="7">
        <f t="shared" si="20"/>
        <v>6</v>
      </c>
      <c r="G1285" s="7" t="str">
        <f>LOOKUP(H1285,[1]startdates!$A$2:$A$10,[1]startdates!$B$2:$B$10)</f>
        <v>SMr</v>
      </c>
      <c r="H1285">
        <v>4</v>
      </c>
      <c r="N1285" s="7">
        <v>249</v>
      </c>
    </row>
    <row r="1286" spans="1:17" x14ac:dyDescent="0.2">
      <c r="A1286">
        <v>1285</v>
      </c>
      <c r="B1286" s="1">
        <v>40760</v>
      </c>
      <c r="C1286" t="s">
        <v>28</v>
      </c>
      <c r="D1286" s="7">
        <v>23</v>
      </c>
      <c r="E1286" s="7">
        <v>4</v>
      </c>
      <c r="F1286" s="7">
        <f t="shared" si="20"/>
        <v>6</v>
      </c>
      <c r="G1286" s="7" t="str">
        <f>LOOKUP(H1286,[1]startdates!$A$2:$A$10,[1]startdates!$B$2:$B$10)</f>
        <v>C</v>
      </c>
      <c r="H1286">
        <v>5</v>
      </c>
      <c r="I1286" s="7">
        <v>671</v>
      </c>
      <c r="K1286" s="7">
        <v>515</v>
      </c>
      <c r="L1286" s="7">
        <v>452</v>
      </c>
      <c r="M1286" s="7">
        <v>344</v>
      </c>
      <c r="N1286" s="7">
        <v>264</v>
      </c>
      <c r="O1286" s="7">
        <v>163</v>
      </c>
      <c r="Q1286" s="7">
        <v>340</v>
      </c>
    </row>
    <row r="1287" spans="1:17" x14ac:dyDescent="0.2">
      <c r="A1287">
        <v>1286</v>
      </c>
      <c r="B1287" s="1">
        <v>40760</v>
      </c>
      <c r="C1287" t="s">
        <v>28</v>
      </c>
      <c r="D1287" s="7">
        <v>23</v>
      </c>
      <c r="E1287" s="7">
        <v>4</v>
      </c>
      <c r="F1287" s="7">
        <f t="shared" si="20"/>
        <v>6</v>
      </c>
      <c r="G1287" s="7" t="str">
        <f>LOOKUP(H1287,[1]startdates!$A$2:$A$10,[1]startdates!$B$2:$B$10)</f>
        <v>C</v>
      </c>
      <c r="H1287">
        <v>5</v>
      </c>
      <c r="I1287" s="7">
        <v>605</v>
      </c>
      <c r="K1287" s="7">
        <v>427</v>
      </c>
      <c r="M1287" s="7">
        <v>396</v>
      </c>
      <c r="N1287" s="7">
        <v>175</v>
      </c>
      <c r="O1287" s="7">
        <v>172</v>
      </c>
    </row>
    <row r="1288" spans="1:17" x14ac:dyDescent="0.2">
      <c r="A1288">
        <v>1287</v>
      </c>
      <c r="B1288" s="1">
        <v>40760</v>
      </c>
      <c r="C1288" t="s">
        <v>28</v>
      </c>
      <c r="D1288" s="7">
        <v>23</v>
      </c>
      <c r="E1288" s="7">
        <v>4</v>
      </c>
      <c r="F1288" s="7">
        <f t="shared" si="20"/>
        <v>6</v>
      </c>
      <c r="G1288" s="7" t="str">
        <f>LOOKUP(H1288,[1]startdates!$A$2:$A$10,[1]startdates!$B$2:$B$10)</f>
        <v>C</v>
      </c>
      <c r="H1288">
        <v>5</v>
      </c>
      <c r="I1288" s="7">
        <v>553</v>
      </c>
      <c r="K1288" s="7">
        <v>484</v>
      </c>
      <c r="M1288" s="7">
        <v>369</v>
      </c>
      <c r="N1288" s="7">
        <v>221</v>
      </c>
      <c r="O1288" s="7">
        <v>172</v>
      </c>
    </row>
    <row r="1289" spans="1:17" x14ac:dyDescent="0.2">
      <c r="A1289">
        <v>1288</v>
      </c>
      <c r="B1289" s="1">
        <v>40760</v>
      </c>
      <c r="C1289" t="s">
        <v>28</v>
      </c>
      <c r="D1289" s="7">
        <v>23</v>
      </c>
      <c r="E1289" s="7">
        <v>4</v>
      </c>
      <c r="F1289" s="7">
        <f t="shared" si="20"/>
        <v>6</v>
      </c>
      <c r="G1289" s="7" t="str">
        <f>LOOKUP(H1289,[1]startdates!$A$2:$A$10,[1]startdates!$B$2:$B$10)</f>
        <v>C</v>
      </c>
      <c r="H1289">
        <v>5</v>
      </c>
      <c r="I1289" s="7">
        <v>714</v>
      </c>
      <c r="M1289" s="7">
        <v>319</v>
      </c>
      <c r="N1289" s="7">
        <v>247</v>
      </c>
      <c r="O1289" s="7">
        <v>162</v>
      </c>
    </row>
    <row r="1290" spans="1:17" x14ac:dyDescent="0.2">
      <c r="A1290">
        <v>1289</v>
      </c>
      <c r="B1290" s="1">
        <v>40760</v>
      </c>
      <c r="C1290" t="s">
        <v>28</v>
      </c>
      <c r="D1290" s="7">
        <v>23</v>
      </c>
      <c r="E1290" s="7">
        <v>4</v>
      </c>
      <c r="F1290" s="7">
        <f t="shared" si="20"/>
        <v>6</v>
      </c>
      <c r="G1290" s="7" t="str">
        <f>LOOKUP(H1290,[1]startdates!$A$2:$A$10,[1]startdates!$B$2:$B$10)</f>
        <v>C</v>
      </c>
      <c r="H1290">
        <v>5</v>
      </c>
      <c r="I1290" s="7">
        <v>686</v>
      </c>
      <c r="N1290" s="7">
        <v>186</v>
      </c>
      <c r="O1290" s="7">
        <v>175</v>
      </c>
    </row>
    <row r="1291" spans="1:17" x14ac:dyDescent="0.2">
      <c r="A1291">
        <v>1290</v>
      </c>
      <c r="B1291" s="1">
        <v>40760</v>
      </c>
      <c r="C1291" t="s">
        <v>28</v>
      </c>
      <c r="D1291" s="7">
        <v>23</v>
      </c>
      <c r="E1291" s="7">
        <v>4</v>
      </c>
      <c r="F1291" s="7">
        <f t="shared" si="20"/>
        <v>6</v>
      </c>
      <c r="G1291" s="7" t="str">
        <f>LOOKUP(H1291,[1]startdates!$A$2:$A$10,[1]startdates!$B$2:$B$10)</f>
        <v>C</v>
      </c>
      <c r="H1291">
        <v>5</v>
      </c>
      <c r="I1291" s="7">
        <v>697</v>
      </c>
      <c r="N1291" s="7">
        <v>192</v>
      </c>
      <c r="O1291" s="7">
        <v>157</v>
      </c>
    </row>
    <row r="1292" spans="1:17" x14ac:dyDescent="0.2">
      <c r="A1292">
        <v>1291</v>
      </c>
      <c r="B1292" s="1">
        <v>40760</v>
      </c>
      <c r="C1292" t="s">
        <v>28</v>
      </c>
      <c r="D1292" s="7">
        <v>23</v>
      </c>
      <c r="E1292" s="7">
        <v>4</v>
      </c>
      <c r="F1292" s="7">
        <f t="shared" si="20"/>
        <v>6</v>
      </c>
      <c r="G1292" s="7" t="str">
        <f>LOOKUP(H1292,[1]startdates!$A$2:$A$10,[1]startdates!$B$2:$B$10)</f>
        <v>C</v>
      </c>
      <c r="H1292">
        <v>5</v>
      </c>
      <c r="I1292" s="7">
        <v>727</v>
      </c>
      <c r="N1292" s="7">
        <v>231</v>
      </c>
      <c r="O1292" s="7">
        <v>140</v>
      </c>
    </row>
    <row r="1293" spans="1:17" x14ac:dyDescent="0.2">
      <c r="A1293">
        <v>1292</v>
      </c>
      <c r="B1293" s="1">
        <v>40760</v>
      </c>
      <c r="C1293" t="s">
        <v>28</v>
      </c>
      <c r="D1293" s="7">
        <v>23</v>
      </c>
      <c r="E1293" s="7">
        <v>4</v>
      </c>
      <c r="F1293" s="7">
        <f t="shared" si="20"/>
        <v>6</v>
      </c>
      <c r="G1293" s="7" t="str">
        <f>LOOKUP(H1293,[1]startdates!$A$2:$A$10,[1]startdates!$B$2:$B$10)</f>
        <v>C</v>
      </c>
      <c r="H1293">
        <v>5</v>
      </c>
      <c r="I1293" s="7">
        <v>553</v>
      </c>
      <c r="N1293" s="7">
        <v>268</v>
      </c>
      <c r="O1293" s="7">
        <v>167</v>
      </c>
    </row>
    <row r="1294" spans="1:17" x14ac:dyDescent="0.2">
      <c r="A1294">
        <v>1293</v>
      </c>
      <c r="B1294" s="1">
        <v>40760</v>
      </c>
      <c r="C1294" t="s">
        <v>28</v>
      </c>
      <c r="D1294" s="7">
        <v>23</v>
      </c>
      <c r="E1294" s="7">
        <v>4</v>
      </c>
      <c r="F1294" s="7">
        <f t="shared" si="20"/>
        <v>6</v>
      </c>
      <c r="G1294" s="7" t="str">
        <f>LOOKUP(H1294,[1]startdates!$A$2:$A$10,[1]startdates!$B$2:$B$10)</f>
        <v>C</v>
      </c>
      <c r="H1294">
        <v>5</v>
      </c>
      <c r="N1294" s="7">
        <v>196</v>
      </c>
      <c r="O1294" s="7">
        <v>135</v>
      </c>
    </row>
    <row r="1295" spans="1:17" x14ac:dyDescent="0.2">
      <c r="A1295">
        <v>1294</v>
      </c>
      <c r="B1295" s="1">
        <v>40760</v>
      </c>
      <c r="C1295" t="s">
        <v>28</v>
      </c>
      <c r="D1295" s="7">
        <v>23</v>
      </c>
      <c r="E1295" s="7">
        <v>4</v>
      </c>
      <c r="F1295" s="7">
        <f t="shared" si="20"/>
        <v>6</v>
      </c>
      <c r="G1295" s="7" t="str">
        <f>LOOKUP(H1295,[1]startdates!$A$2:$A$10,[1]startdates!$B$2:$B$10)</f>
        <v>C</v>
      </c>
      <c r="H1295">
        <v>5</v>
      </c>
      <c r="N1295" s="7">
        <v>203</v>
      </c>
      <c r="O1295" s="7">
        <v>150</v>
      </c>
    </row>
    <row r="1296" spans="1:17" x14ac:dyDescent="0.2">
      <c r="A1296">
        <v>1295</v>
      </c>
      <c r="B1296" s="1">
        <v>40760</v>
      </c>
      <c r="C1296" t="s">
        <v>28</v>
      </c>
      <c r="D1296" s="7">
        <v>23</v>
      </c>
      <c r="E1296" s="7">
        <v>4</v>
      </c>
      <c r="F1296" s="7">
        <f t="shared" si="20"/>
        <v>6</v>
      </c>
      <c r="G1296" s="7" t="str">
        <f>LOOKUP(H1296,[1]startdates!$A$2:$A$10,[1]startdates!$B$2:$B$10)</f>
        <v>C</v>
      </c>
      <c r="H1296">
        <v>5</v>
      </c>
      <c r="N1296" s="7">
        <v>206</v>
      </c>
      <c r="O1296" s="7">
        <v>157</v>
      </c>
    </row>
    <row r="1297" spans="1:17" x14ac:dyDescent="0.2">
      <c r="A1297">
        <v>1296</v>
      </c>
      <c r="B1297" s="1">
        <v>40760</v>
      </c>
      <c r="C1297" t="s">
        <v>28</v>
      </c>
      <c r="D1297" s="7">
        <v>23</v>
      </c>
      <c r="E1297" s="7">
        <v>4</v>
      </c>
      <c r="F1297" s="7">
        <f t="shared" si="20"/>
        <v>6</v>
      </c>
      <c r="G1297" s="7" t="str">
        <f>LOOKUP(H1297,[1]startdates!$A$2:$A$10,[1]startdates!$B$2:$B$10)</f>
        <v>C</v>
      </c>
      <c r="H1297">
        <v>5</v>
      </c>
      <c r="N1297" s="7">
        <v>194</v>
      </c>
      <c r="O1297" s="7">
        <v>147</v>
      </c>
    </row>
    <row r="1298" spans="1:17" x14ac:dyDescent="0.2">
      <c r="A1298">
        <v>1297</v>
      </c>
      <c r="B1298" s="1">
        <v>40760</v>
      </c>
      <c r="C1298" t="s">
        <v>28</v>
      </c>
      <c r="D1298" s="7">
        <v>23</v>
      </c>
      <c r="E1298" s="7">
        <v>4</v>
      </c>
      <c r="F1298" s="7">
        <f t="shared" si="20"/>
        <v>6</v>
      </c>
      <c r="G1298" s="7" t="str">
        <f>LOOKUP(H1298,[1]startdates!$A$2:$A$10,[1]startdates!$B$2:$B$10)</f>
        <v>C</v>
      </c>
      <c r="H1298">
        <v>5</v>
      </c>
      <c r="N1298" s="7">
        <v>259</v>
      </c>
    </row>
    <row r="1299" spans="1:17" x14ac:dyDescent="0.2">
      <c r="A1299">
        <v>1298</v>
      </c>
      <c r="B1299" s="1">
        <v>40760</v>
      </c>
      <c r="C1299" t="s">
        <v>28</v>
      </c>
      <c r="D1299" s="7">
        <v>23</v>
      </c>
      <c r="E1299" s="7">
        <v>4</v>
      </c>
      <c r="F1299" s="7">
        <f t="shared" si="20"/>
        <v>6</v>
      </c>
      <c r="G1299" s="7" t="str">
        <f>LOOKUP(H1299,[1]startdates!$A$2:$A$10,[1]startdates!$B$2:$B$10)</f>
        <v>C</v>
      </c>
      <c r="H1299">
        <v>5</v>
      </c>
      <c r="N1299" s="7">
        <v>287</v>
      </c>
    </row>
    <row r="1300" spans="1:17" x14ac:dyDescent="0.2">
      <c r="A1300">
        <v>1299</v>
      </c>
      <c r="B1300" s="1">
        <v>40760</v>
      </c>
      <c r="C1300" t="s">
        <v>28</v>
      </c>
      <c r="D1300" s="7">
        <v>23</v>
      </c>
      <c r="E1300" s="7">
        <v>4</v>
      </c>
      <c r="F1300" s="7">
        <f t="shared" si="20"/>
        <v>6</v>
      </c>
      <c r="G1300" s="7" t="str">
        <f>LOOKUP(H1300,[1]startdates!$A$2:$A$10,[1]startdates!$B$2:$B$10)</f>
        <v>FMr</v>
      </c>
      <c r="H1300">
        <v>6</v>
      </c>
      <c r="I1300" s="7">
        <v>744</v>
      </c>
      <c r="K1300" s="7">
        <v>552</v>
      </c>
      <c r="L1300" s="7">
        <v>519</v>
      </c>
      <c r="M1300" s="7">
        <v>350</v>
      </c>
      <c r="N1300" s="7">
        <v>206</v>
      </c>
      <c r="O1300" s="7">
        <v>156</v>
      </c>
      <c r="P1300" s="7">
        <v>511</v>
      </c>
      <c r="Q1300" s="7">
        <v>427</v>
      </c>
    </row>
    <row r="1301" spans="1:17" x14ac:dyDescent="0.2">
      <c r="A1301">
        <v>1300</v>
      </c>
      <c r="B1301" s="1">
        <v>40760</v>
      </c>
      <c r="C1301" t="s">
        <v>28</v>
      </c>
      <c r="D1301" s="7">
        <v>23</v>
      </c>
      <c r="E1301" s="7">
        <v>4</v>
      </c>
      <c r="F1301" s="7">
        <f t="shared" si="20"/>
        <v>6</v>
      </c>
      <c r="G1301" s="7" t="str">
        <f>LOOKUP(H1301,[1]startdates!$A$2:$A$10,[1]startdates!$B$2:$B$10)</f>
        <v>FMr</v>
      </c>
      <c r="H1301">
        <v>6</v>
      </c>
      <c r="I1301" s="7">
        <v>718</v>
      </c>
      <c r="K1301" s="7">
        <v>568</v>
      </c>
      <c r="L1301" s="7">
        <v>458</v>
      </c>
      <c r="M1301" s="7">
        <v>351</v>
      </c>
      <c r="N1301" s="7">
        <v>218</v>
      </c>
      <c r="O1301" s="7">
        <v>193</v>
      </c>
    </row>
    <row r="1302" spans="1:17" x14ac:dyDescent="0.2">
      <c r="A1302">
        <v>1301</v>
      </c>
      <c r="B1302" s="1">
        <v>40760</v>
      </c>
      <c r="C1302" t="s">
        <v>28</v>
      </c>
      <c r="D1302" s="7">
        <v>23</v>
      </c>
      <c r="E1302" s="7">
        <v>4</v>
      </c>
      <c r="F1302" s="7">
        <f t="shared" si="20"/>
        <v>6</v>
      </c>
      <c r="G1302" s="7" t="str">
        <f>LOOKUP(H1302,[1]startdates!$A$2:$A$10,[1]startdates!$B$2:$B$10)</f>
        <v>FMr</v>
      </c>
      <c r="H1302">
        <v>6</v>
      </c>
      <c r="I1302" s="7">
        <v>676</v>
      </c>
      <c r="K1302" s="7">
        <v>512</v>
      </c>
      <c r="L1302" s="7">
        <v>472</v>
      </c>
      <c r="M1302" s="7">
        <v>311</v>
      </c>
      <c r="N1302" s="7">
        <v>203</v>
      </c>
      <c r="O1302" s="7">
        <v>188</v>
      </c>
    </row>
    <row r="1303" spans="1:17" x14ac:dyDescent="0.2">
      <c r="A1303">
        <v>1302</v>
      </c>
      <c r="B1303" s="1">
        <v>40760</v>
      </c>
      <c r="C1303" t="s">
        <v>28</v>
      </c>
      <c r="D1303" s="7">
        <v>23</v>
      </c>
      <c r="E1303" s="7">
        <v>4</v>
      </c>
      <c r="F1303" s="7">
        <f t="shared" si="20"/>
        <v>6</v>
      </c>
      <c r="G1303" s="7" t="str">
        <f>LOOKUP(H1303,[1]startdates!$A$2:$A$10,[1]startdates!$B$2:$B$10)</f>
        <v>FMr</v>
      </c>
      <c r="H1303">
        <v>6</v>
      </c>
      <c r="I1303" s="7">
        <v>793</v>
      </c>
      <c r="M1303" s="7">
        <v>361</v>
      </c>
      <c r="N1303" s="7">
        <v>243</v>
      </c>
      <c r="O1303" s="7">
        <v>185</v>
      </c>
    </row>
    <row r="1304" spans="1:17" x14ac:dyDescent="0.2">
      <c r="A1304">
        <v>1303</v>
      </c>
      <c r="B1304" s="1">
        <v>40760</v>
      </c>
      <c r="C1304" t="s">
        <v>28</v>
      </c>
      <c r="D1304" s="7">
        <v>23</v>
      </c>
      <c r="E1304" s="7">
        <v>4</v>
      </c>
      <c r="F1304" s="7">
        <f t="shared" si="20"/>
        <v>6</v>
      </c>
      <c r="G1304" s="7" t="str">
        <f>LOOKUP(H1304,[1]startdates!$A$2:$A$10,[1]startdates!$B$2:$B$10)</f>
        <v>FMr</v>
      </c>
      <c r="H1304">
        <v>6</v>
      </c>
      <c r="N1304" s="7">
        <v>248</v>
      </c>
      <c r="O1304" s="7">
        <v>173</v>
      </c>
    </row>
    <row r="1305" spans="1:17" x14ac:dyDescent="0.2">
      <c r="A1305">
        <v>1304</v>
      </c>
      <c r="B1305" s="1">
        <v>40760</v>
      </c>
      <c r="C1305" t="s">
        <v>28</v>
      </c>
      <c r="D1305" s="7">
        <v>23</v>
      </c>
      <c r="E1305" s="7">
        <v>4</v>
      </c>
      <c r="F1305" s="7">
        <f t="shared" si="20"/>
        <v>6</v>
      </c>
      <c r="G1305" s="7" t="str">
        <f>LOOKUP(H1305,[1]startdates!$A$2:$A$10,[1]startdates!$B$2:$B$10)</f>
        <v>FMr</v>
      </c>
      <c r="H1305">
        <v>6</v>
      </c>
      <c r="N1305" s="7">
        <v>218</v>
      </c>
      <c r="O1305" s="7">
        <v>133</v>
      </c>
    </row>
    <row r="1306" spans="1:17" x14ac:dyDescent="0.2">
      <c r="A1306">
        <v>1305</v>
      </c>
      <c r="B1306" s="1">
        <v>40760</v>
      </c>
      <c r="C1306" t="s">
        <v>28</v>
      </c>
      <c r="D1306" s="7">
        <v>23</v>
      </c>
      <c r="E1306" s="7">
        <v>4</v>
      </c>
      <c r="F1306" s="7">
        <f t="shared" si="20"/>
        <v>6</v>
      </c>
      <c r="G1306" s="7" t="str">
        <f>LOOKUP(H1306,[1]startdates!$A$2:$A$10,[1]startdates!$B$2:$B$10)</f>
        <v>FMr</v>
      </c>
      <c r="H1306">
        <v>6</v>
      </c>
      <c r="N1306" s="7">
        <v>285</v>
      </c>
      <c r="O1306" s="7">
        <v>186</v>
      </c>
    </row>
    <row r="1307" spans="1:17" x14ac:dyDescent="0.2">
      <c r="A1307">
        <v>1306</v>
      </c>
      <c r="B1307" s="1">
        <v>40760</v>
      </c>
      <c r="C1307" t="s">
        <v>28</v>
      </c>
      <c r="D1307" s="7">
        <v>23</v>
      </c>
      <c r="E1307" s="7">
        <v>4</v>
      </c>
      <c r="F1307" s="7">
        <f t="shared" si="20"/>
        <v>6</v>
      </c>
      <c r="G1307" s="7" t="str">
        <f>LOOKUP(H1307,[1]startdates!$A$2:$A$10,[1]startdates!$B$2:$B$10)</f>
        <v>FMr</v>
      </c>
      <c r="H1307">
        <v>6</v>
      </c>
      <c r="N1307" s="7">
        <v>228</v>
      </c>
      <c r="O1307" s="7">
        <v>165</v>
      </c>
    </row>
    <row r="1308" spans="1:17" x14ac:dyDescent="0.2">
      <c r="A1308">
        <v>1307</v>
      </c>
      <c r="B1308" s="1">
        <v>40760</v>
      </c>
      <c r="C1308" t="s">
        <v>28</v>
      </c>
      <c r="D1308" s="7">
        <v>23</v>
      </c>
      <c r="E1308" s="7">
        <v>4</v>
      </c>
      <c r="F1308" s="7">
        <f t="shared" si="20"/>
        <v>6</v>
      </c>
      <c r="G1308" s="7" t="str">
        <f>LOOKUP(H1308,[1]startdates!$A$2:$A$10,[1]startdates!$B$2:$B$10)</f>
        <v>FMr</v>
      </c>
      <c r="H1308">
        <v>6</v>
      </c>
      <c r="N1308" s="7">
        <v>247</v>
      </c>
      <c r="O1308" s="7">
        <v>168</v>
      </c>
    </row>
    <row r="1309" spans="1:17" x14ac:dyDescent="0.2">
      <c r="A1309">
        <v>1308</v>
      </c>
      <c r="B1309" s="1">
        <v>40760</v>
      </c>
      <c r="C1309" t="s">
        <v>28</v>
      </c>
      <c r="D1309" s="7">
        <v>23</v>
      </c>
      <c r="E1309" s="7">
        <v>4</v>
      </c>
      <c r="F1309" s="7">
        <f t="shared" si="20"/>
        <v>6</v>
      </c>
      <c r="G1309" s="7" t="str">
        <f>LOOKUP(H1309,[1]startdates!$A$2:$A$10,[1]startdates!$B$2:$B$10)</f>
        <v>FMr</v>
      </c>
      <c r="H1309">
        <v>6</v>
      </c>
      <c r="N1309" s="7">
        <v>245</v>
      </c>
      <c r="O1309" s="7">
        <v>183</v>
      </c>
    </row>
    <row r="1310" spans="1:17" x14ac:dyDescent="0.2">
      <c r="A1310">
        <v>1309</v>
      </c>
      <c r="B1310" s="1">
        <v>40760</v>
      </c>
      <c r="C1310" t="s">
        <v>28</v>
      </c>
      <c r="D1310" s="7">
        <v>23</v>
      </c>
      <c r="E1310" s="7">
        <v>4</v>
      </c>
      <c r="F1310" s="7">
        <f t="shared" si="20"/>
        <v>6</v>
      </c>
      <c r="G1310" s="7" t="str">
        <f>LOOKUP(H1310,[1]startdates!$A$2:$A$10,[1]startdates!$B$2:$B$10)</f>
        <v>FMr</v>
      </c>
      <c r="H1310">
        <v>6</v>
      </c>
      <c r="N1310" s="7">
        <v>194</v>
      </c>
      <c r="O1310" s="7">
        <v>163</v>
      </c>
    </row>
    <row r="1311" spans="1:17" x14ac:dyDescent="0.2">
      <c r="A1311">
        <v>1310</v>
      </c>
      <c r="B1311" s="1">
        <v>40760</v>
      </c>
      <c r="C1311" t="s">
        <v>28</v>
      </c>
      <c r="D1311" s="7">
        <v>23</v>
      </c>
      <c r="E1311" s="7">
        <v>4</v>
      </c>
      <c r="F1311" s="7">
        <f t="shared" si="20"/>
        <v>6</v>
      </c>
      <c r="G1311" s="7" t="str">
        <f>LOOKUP(H1311,[1]startdates!$A$2:$A$10,[1]startdates!$B$2:$B$10)</f>
        <v>FMr</v>
      </c>
      <c r="H1311">
        <v>6</v>
      </c>
      <c r="N1311" s="7">
        <v>196</v>
      </c>
    </row>
    <row r="1312" spans="1:17" x14ac:dyDescent="0.2">
      <c r="A1312">
        <v>1311</v>
      </c>
      <c r="B1312" s="1">
        <v>40760</v>
      </c>
      <c r="C1312" t="s">
        <v>28</v>
      </c>
      <c r="D1312" s="7">
        <v>23</v>
      </c>
      <c r="E1312" s="7">
        <v>4</v>
      </c>
      <c r="F1312" s="7">
        <f t="shared" si="20"/>
        <v>6</v>
      </c>
      <c r="G1312" s="7" t="str">
        <f>LOOKUP(H1312,[1]startdates!$A$2:$A$10,[1]startdates!$B$2:$B$10)</f>
        <v>FMr</v>
      </c>
      <c r="H1312">
        <v>6</v>
      </c>
      <c r="N1312" s="7">
        <v>187</v>
      </c>
    </row>
    <row r="1313" spans="1:15" x14ac:dyDescent="0.2">
      <c r="A1313">
        <v>1312</v>
      </c>
      <c r="B1313" s="1">
        <v>40760</v>
      </c>
      <c r="C1313" t="s">
        <v>28</v>
      </c>
      <c r="D1313" s="7">
        <v>23</v>
      </c>
      <c r="E1313" s="7">
        <v>4</v>
      </c>
      <c r="F1313" s="7">
        <f t="shared" si="20"/>
        <v>6</v>
      </c>
      <c r="G1313" s="7" t="str">
        <f>LOOKUP(H1313,[1]startdates!$A$2:$A$10,[1]startdates!$B$2:$B$10)</f>
        <v>FMr</v>
      </c>
      <c r="H1313">
        <v>7</v>
      </c>
      <c r="I1313" s="7">
        <v>591</v>
      </c>
      <c r="K1313" s="7">
        <v>590</v>
      </c>
      <c r="L1313" s="7">
        <v>449</v>
      </c>
      <c r="M1313" s="7">
        <v>277</v>
      </c>
      <c r="N1313" s="7">
        <v>175</v>
      </c>
      <c r="O1313" s="7">
        <v>168</v>
      </c>
    </row>
    <row r="1314" spans="1:15" x14ac:dyDescent="0.2">
      <c r="A1314">
        <v>1313</v>
      </c>
      <c r="B1314" s="1">
        <v>40760</v>
      </c>
      <c r="C1314" t="s">
        <v>28</v>
      </c>
      <c r="D1314" s="7">
        <v>23</v>
      </c>
      <c r="E1314" s="7">
        <v>4</v>
      </c>
      <c r="F1314" s="7">
        <f t="shared" si="20"/>
        <v>6</v>
      </c>
      <c r="G1314" s="7" t="str">
        <f>LOOKUP(H1314,[1]startdates!$A$2:$A$10,[1]startdates!$B$2:$B$10)</f>
        <v>FMr</v>
      </c>
      <c r="H1314">
        <v>7</v>
      </c>
      <c r="I1314" s="7">
        <v>599</v>
      </c>
      <c r="K1314" s="7">
        <v>501</v>
      </c>
      <c r="M1314" s="7">
        <v>349</v>
      </c>
      <c r="N1314" s="7">
        <v>277</v>
      </c>
      <c r="O1314" s="7">
        <v>156</v>
      </c>
    </row>
    <row r="1315" spans="1:15" x14ac:dyDescent="0.2">
      <c r="A1315">
        <v>1314</v>
      </c>
      <c r="B1315" s="1">
        <v>40760</v>
      </c>
      <c r="C1315" t="s">
        <v>28</v>
      </c>
      <c r="D1315" s="7">
        <v>23</v>
      </c>
      <c r="E1315" s="7">
        <v>4</v>
      </c>
      <c r="F1315" s="7">
        <f t="shared" si="20"/>
        <v>6</v>
      </c>
      <c r="G1315" s="7" t="str">
        <f>LOOKUP(H1315,[1]startdates!$A$2:$A$10,[1]startdates!$B$2:$B$10)</f>
        <v>FMr</v>
      </c>
      <c r="H1315">
        <v>7</v>
      </c>
      <c r="I1315" s="7">
        <v>611</v>
      </c>
      <c r="K1315" s="7">
        <v>542</v>
      </c>
      <c r="M1315" s="7">
        <v>283</v>
      </c>
      <c r="N1315" s="7">
        <v>186</v>
      </c>
      <c r="O1315" s="7">
        <v>161</v>
      </c>
    </row>
    <row r="1316" spans="1:15" x14ac:dyDescent="0.2">
      <c r="A1316">
        <v>1315</v>
      </c>
      <c r="B1316" s="1">
        <v>40760</v>
      </c>
      <c r="C1316" t="s">
        <v>28</v>
      </c>
      <c r="D1316" s="7">
        <v>23</v>
      </c>
      <c r="E1316" s="7">
        <v>4</v>
      </c>
      <c r="F1316" s="7">
        <f t="shared" si="20"/>
        <v>6</v>
      </c>
      <c r="G1316" s="7" t="str">
        <f>LOOKUP(H1316,[1]startdates!$A$2:$A$10,[1]startdates!$B$2:$B$10)</f>
        <v>FMr</v>
      </c>
      <c r="H1316">
        <v>7</v>
      </c>
      <c r="I1316" s="7">
        <v>700</v>
      </c>
      <c r="K1316" s="7">
        <v>448</v>
      </c>
      <c r="M1316" s="7">
        <v>370</v>
      </c>
      <c r="N1316" s="7">
        <v>206</v>
      </c>
      <c r="O1316" s="7">
        <v>162</v>
      </c>
    </row>
    <row r="1317" spans="1:15" x14ac:dyDescent="0.2">
      <c r="A1317">
        <v>1316</v>
      </c>
      <c r="B1317" s="1">
        <v>40760</v>
      </c>
      <c r="C1317" t="s">
        <v>28</v>
      </c>
      <c r="D1317" s="7">
        <v>23</v>
      </c>
      <c r="E1317" s="7">
        <v>4</v>
      </c>
      <c r="F1317" s="7">
        <f t="shared" si="20"/>
        <v>6</v>
      </c>
      <c r="G1317" s="7" t="str">
        <f>LOOKUP(H1317,[1]startdates!$A$2:$A$10,[1]startdates!$B$2:$B$10)</f>
        <v>FMr</v>
      </c>
      <c r="H1317">
        <v>7</v>
      </c>
      <c r="I1317" s="7">
        <v>705</v>
      </c>
      <c r="K1317" s="7">
        <v>482</v>
      </c>
      <c r="N1317" s="7">
        <v>214</v>
      </c>
      <c r="O1317" s="7">
        <v>147</v>
      </c>
    </row>
    <row r="1318" spans="1:15" x14ac:dyDescent="0.2">
      <c r="A1318">
        <v>1317</v>
      </c>
      <c r="B1318" s="1">
        <v>40760</v>
      </c>
      <c r="C1318" t="s">
        <v>28</v>
      </c>
      <c r="D1318" s="7">
        <v>23</v>
      </c>
      <c r="E1318" s="7">
        <v>4</v>
      </c>
      <c r="F1318" s="7">
        <f t="shared" si="20"/>
        <v>6</v>
      </c>
      <c r="G1318" s="7" t="str">
        <f>LOOKUP(H1318,[1]startdates!$A$2:$A$10,[1]startdates!$B$2:$B$10)</f>
        <v>FMr</v>
      </c>
      <c r="H1318">
        <v>7</v>
      </c>
      <c r="I1318" s="7">
        <v>768</v>
      </c>
      <c r="K1318" s="7">
        <v>511</v>
      </c>
      <c r="N1318" s="7">
        <v>227</v>
      </c>
      <c r="O1318" s="7">
        <v>141</v>
      </c>
    </row>
    <row r="1319" spans="1:15" x14ac:dyDescent="0.2">
      <c r="A1319">
        <v>1318</v>
      </c>
      <c r="B1319" s="1">
        <v>40760</v>
      </c>
      <c r="C1319" t="s">
        <v>28</v>
      </c>
      <c r="D1319" s="7">
        <v>23</v>
      </c>
      <c r="E1319" s="7">
        <v>4</v>
      </c>
      <c r="F1319" s="7">
        <f t="shared" si="20"/>
        <v>6</v>
      </c>
      <c r="G1319" s="7" t="str">
        <f>LOOKUP(H1319,[1]startdates!$A$2:$A$10,[1]startdates!$B$2:$B$10)</f>
        <v>FMr</v>
      </c>
      <c r="H1319">
        <v>7</v>
      </c>
      <c r="I1319" s="7">
        <v>710</v>
      </c>
      <c r="N1319" s="7">
        <v>190</v>
      </c>
      <c r="O1319" s="7">
        <v>149</v>
      </c>
    </row>
    <row r="1320" spans="1:15" x14ac:dyDescent="0.2">
      <c r="A1320">
        <v>1319</v>
      </c>
      <c r="B1320" s="1">
        <v>40760</v>
      </c>
      <c r="C1320" t="s">
        <v>28</v>
      </c>
      <c r="D1320" s="7">
        <v>23</v>
      </c>
      <c r="E1320" s="7">
        <v>4</v>
      </c>
      <c r="F1320" s="7">
        <f t="shared" si="20"/>
        <v>6</v>
      </c>
      <c r="G1320" s="7" t="str">
        <f>LOOKUP(H1320,[1]startdates!$A$2:$A$10,[1]startdates!$B$2:$B$10)</f>
        <v>FMr</v>
      </c>
      <c r="H1320">
        <v>7</v>
      </c>
      <c r="I1320" s="7">
        <v>708</v>
      </c>
      <c r="N1320" s="7">
        <v>229</v>
      </c>
      <c r="O1320" s="7">
        <v>141</v>
      </c>
    </row>
    <row r="1321" spans="1:15" x14ac:dyDescent="0.2">
      <c r="A1321">
        <v>1320</v>
      </c>
      <c r="B1321" s="1">
        <v>40760</v>
      </c>
      <c r="C1321" t="s">
        <v>28</v>
      </c>
      <c r="D1321" s="7">
        <v>23</v>
      </c>
      <c r="E1321" s="7">
        <v>4</v>
      </c>
      <c r="F1321" s="7">
        <f t="shared" ref="F1321:F1384" si="21">WEEKDAY(B1321)</f>
        <v>6</v>
      </c>
      <c r="G1321" s="7" t="str">
        <f>LOOKUP(H1321,[1]startdates!$A$2:$A$10,[1]startdates!$B$2:$B$10)</f>
        <v>FMr</v>
      </c>
      <c r="H1321">
        <v>7</v>
      </c>
      <c r="N1321" s="7">
        <v>166</v>
      </c>
      <c r="O1321" s="7">
        <v>156</v>
      </c>
    </row>
    <row r="1322" spans="1:15" x14ac:dyDescent="0.2">
      <c r="A1322">
        <v>1321</v>
      </c>
      <c r="B1322" s="1">
        <v>40760</v>
      </c>
      <c r="C1322" t="s">
        <v>28</v>
      </c>
      <c r="D1322" s="7">
        <v>23</v>
      </c>
      <c r="E1322" s="7">
        <v>4</v>
      </c>
      <c r="F1322" s="7">
        <f t="shared" si="21"/>
        <v>6</v>
      </c>
      <c r="G1322" s="7" t="str">
        <f>LOOKUP(H1322,[1]startdates!$A$2:$A$10,[1]startdates!$B$2:$B$10)</f>
        <v>FMr</v>
      </c>
      <c r="H1322">
        <v>7</v>
      </c>
      <c r="N1322" s="7">
        <v>243</v>
      </c>
      <c r="O1322" s="7">
        <v>151</v>
      </c>
    </row>
    <row r="1323" spans="1:15" x14ac:dyDescent="0.2">
      <c r="A1323">
        <v>1322</v>
      </c>
      <c r="B1323" s="1">
        <v>40760</v>
      </c>
      <c r="C1323" t="s">
        <v>28</v>
      </c>
      <c r="D1323" s="7">
        <v>23</v>
      </c>
      <c r="E1323" s="7">
        <v>4</v>
      </c>
      <c r="F1323" s="7">
        <f t="shared" si="21"/>
        <v>6</v>
      </c>
      <c r="G1323" s="7" t="str">
        <f>LOOKUP(H1323,[1]startdates!$A$2:$A$10,[1]startdates!$B$2:$B$10)</f>
        <v>FMr</v>
      </c>
      <c r="H1323">
        <v>7</v>
      </c>
      <c r="N1323" s="7">
        <v>204</v>
      </c>
      <c r="O1323" s="7">
        <v>159</v>
      </c>
    </row>
    <row r="1324" spans="1:15" x14ac:dyDescent="0.2">
      <c r="A1324">
        <v>1323</v>
      </c>
      <c r="B1324" s="1">
        <v>40760</v>
      </c>
      <c r="C1324" t="s">
        <v>28</v>
      </c>
      <c r="D1324" s="7">
        <v>23</v>
      </c>
      <c r="E1324" s="7">
        <v>4</v>
      </c>
      <c r="F1324" s="7">
        <f t="shared" si="21"/>
        <v>6</v>
      </c>
      <c r="G1324" s="7" t="str">
        <f>LOOKUP(H1324,[1]startdates!$A$2:$A$10,[1]startdates!$B$2:$B$10)</f>
        <v>FMr</v>
      </c>
      <c r="H1324">
        <v>7</v>
      </c>
      <c r="N1324" s="7">
        <v>197</v>
      </c>
      <c r="O1324" s="7">
        <v>162</v>
      </c>
    </row>
    <row r="1325" spans="1:15" x14ac:dyDescent="0.2">
      <c r="A1325">
        <v>1324</v>
      </c>
      <c r="B1325" s="1">
        <v>40760</v>
      </c>
      <c r="C1325" t="s">
        <v>28</v>
      </c>
      <c r="D1325" s="7">
        <v>23</v>
      </c>
      <c r="E1325" s="7">
        <v>4</v>
      </c>
      <c r="F1325" s="7">
        <f t="shared" si="21"/>
        <v>6</v>
      </c>
      <c r="G1325" s="7" t="str">
        <f>LOOKUP(H1325,[1]startdates!$A$2:$A$10,[1]startdates!$B$2:$B$10)</f>
        <v>FMr</v>
      </c>
      <c r="H1325">
        <v>7</v>
      </c>
      <c r="O1325" s="7">
        <v>149</v>
      </c>
    </row>
    <row r="1326" spans="1:15" x14ac:dyDescent="0.2">
      <c r="A1326">
        <v>1325</v>
      </c>
      <c r="B1326" s="1">
        <v>40760</v>
      </c>
      <c r="C1326" t="s">
        <v>28</v>
      </c>
      <c r="D1326" s="7">
        <v>23</v>
      </c>
      <c r="E1326" s="7">
        <v>4</v>
      </c>
      <c r="F1326" s="7">
        <f t="shared" si="21"/>
        <v>6</v>
      </c>
      <c r="G1326" s="7" t="str">
        <f>LOOKUP(H1326,[1]startdates!$A$2:$A$10,[1]startdates!$B$2:$B$10)</f>
        <v>FMr</v>
      </c>
      <c r="H1326">
        <v>7</v>
      </c>
      <c r="O1326" s="7">
        <v>169</v>
      </c>
    </row>
    <row r="1327" spans="1:15" x14ac:dyDescent="0.2">
      <c r="A1327">
        <v>1326</v>
      </c>
      <c r="B1327" s="1">
        <v>40760</v>
      </c>
      <c r="C1327" t="s">
        <v>28</v>
      </c>
      <c r="D1327" s="7">
        <v>23</v>
      </c>
      <c r="E1327" s="7">
        <v>4</v>
      </c>
      <c r="F1327" s="7">
        <f t="shared" si="21"/>
        <v>6</v>
      </c>
      <c r="G1327" s="7" t="str">
        <f>LOOKUP(H1327,[1]startdates!$A$2:$A$10,[1]startdates!$B$2:$B$10)</f>
        <v>FMr</v>
      </c>
      <c r="H1327">
        <v>7</v>
      </c>
      <c r="O1327" s="7">
        <v>157</v>
      </c>
    </row>
    <row r="1328" spans="1:15" x14ac:dyDescent="0.2">
      <c r="A1328">
        <v>1327</v>
      </c>
      <c r="B1328" s="1">
        <v>40760</v>
      </c>
      <c r="C1328" t="s">
        <v>28</v>
      </c>
      <c r="D1328" s="7">
        <v>23</v>
      </c>
      <c r="E1328" s="7">
        <v>4</v>
      </c>
      <c r="F1328" s="7">
        <f t="shared" si="21"/>
        <v>6</v>
      </c>
      <c r="G1328" s="7" t="str">
        <f>LOOKUP(H1328,[1]startdates!$A$2:$A$10,[1]startdates!$B$2:$B$10)</f>
        <v>FMr</v>
      </c>
      <c r="H1328">
        <v>7</v>
      </c>
      <c r="O1328" s="7">
        <v>150</v>
      </c>
    </row>
    <row r="1329" spans="1:19" x14ac:dyDescent="0.2">
      <c r="A1329">
        <v>1328</v>
      </c>
      <c r="B1329" s="1">
        <v>40760</v>
      </c>
      <c r="C1329" t="s">
        <v>28</v>
      </c>
      <c r="D1329" s="7">
        <v>23</v>
      </c>
      <c r="E1329" s="7">
        <v>4</v>
      </c>
      <c r="F1329" s="7">
        <f t="shared" si="21"/>
        <v>6</v>
      </c>
      <c r="G1329" s="7" t="str">
        <f>LOOKUP(H1329,[1]startdates!$A$2:$A$10,[1]startdates!$B$2:$B$10)</f>
        <v>FMr</v>
      </c>
      <c r="H1329">
        <v>7</v>
      </c>
      <c r="O1329" s="7">
        <v>167</v>
      </c>
    </row>
    <row r="1330" spans="1:19" x14ac:dyDescent="0.2">
      <c r="A1330">
        <v>1329</v>
      </c>
      <c r="B1330" s="1">
        <v>40760</v>
      </c>
      <c r="C1330" t="s">
        <v>28</v>
      </c>
      <c r="D1330" s="7">
        <v>23</v>
      </c>
      <c r="E1330" s="7">
        <v>4</v>
      </c>
      <c r="F1330" s="7">
        <f t="shared" si="21"/>
        <v>6</v>
      </c>
      <c r="G1330" s="7" t="str">
        <f>LOOKUP(H1330,[1]startdates!$A$2:$A$10,[1]startdates!$B$2:$B$10)</f>
        <v>C</v>
      </c>
      <c r="H1330">
        <v>8</v>
      </c>
      <c r="I1330" s="7">
        <v>758</v>
      </c>
      <c r="J1330" s="7">
        <v>650</v>
      </c>
      <c r="L1330" s="7">
        <v>479</v>
      </c>
      <c r="M1330" s="7">
        <v>397</v>
      </c>
      <c r="N1330" s="7">
        <v>137</v>
      </c>
      <c r="O1330" s="7">
        <v>152</v>
      </c>
      <c r="R1330" s="7">
        <v>263</v>
      </c>
    </row>
    <row r="1331" spans="1:19" x14ac:dyDescent="0.2">
      <c r="A1331">
        <v>1330</v>
      </c>
      <c r="B1331" s="1">
        <v>40760</v>
      </c>
      <c r="C1331" t="s">
        <v>28</v>
      </c>
      <c r="D1331" s="7">
        <v>23</v>
      </c>
      <c r="E1331" s="7">
        <v>4</v>
      </c>
      <c r="F1331" s="7">
        <f t="shared" si="21"/>
        <v>6</v>
      </c>
      <c r="G1331" s="7" t="str">
        <f>LOOKUP(H1331,[1]startdates!$A$2:$A$10,[1]startdates!$B$2:$B$10)</f>
        <v>C</v>
      </c>
      <c r="H1331">
        <v>8</v>
      </c>
      <c r="I1331" s="7">
        <v>693</v>
      </c>
      <c r="L1331" s="7">
        <v>406</v>
      </c>
      <c r="M1331" s="7">
        <v>331</v>
      </c>
      <c r="N1331" s="7">
        <v>169</v>
      </c>
      <c r="O1331" s="7">
        <v>147</v>
      </c>
    </row>
    <row r="1332" spans="1:19" x14ac:dyDescent="0.2">
      <c r="A1332">
        <v>1331</v>
      </c>
      <c r="B1332" s="1">
        <v>40760</v>
      </c>
      <c r="C1332" t="s">
        <v>28</v>
      </c>
      <c r="D1332" s="7">
        <v>23</v>
      </c>
      <c r="E1332" s="7">
        <v>4</v>
      </c>
      <c r="F1332" s="7">
        <f t="shared" si="21"/>
        <v>6</v>
      </c>
      <c r="G1332" s="7" t="str">
        <f>LOOKUP(H1332,[1]startdates!$A$2:$A$10,[1]startdates!$B$2:$B$10)</f>
        <v>C</v>
      </c>
      <c r="H1332">
        <v>8</v>
      </c>
      <c r="I1332" s="7">
        <v>727</v>
      </c>
      <c r="N1332" s="7">
        <v>227</v>
      </c>
      <c r="O1332" s="7">
        <v>155</v>
      </c>
    </row>
    <row r="1333" spans="1:19" x14ac:dyDescent="0.2">
      <c r="A1333">
        <v>1332</v>
      </c>
      <c r="B1333" s="1">
        <v>40760</v>
      </c>
      <c r="C1333" t="s">
        <v>28</v>
      </c>
      <c r="D1333" s="7">
        <v>23</v>
      </c>
      <c r="E1333" s="7">
        <v>4</v>
      </c>
      <c r="F1333" s="7">
        <f t="shared" si="21"/>
        <v>6</v>
      </c>
      <c r="G1333" s="7" t="str">
        <f>LOOKUP(H1333,[1]startdates!$A$2:$A$10,[1]startdates!$B$2:$B$10)</f>
        <v>C</v>
      </c>
      <c r="H1333">
        <v>8</v>
      </c>
      <c r="I1333" s="7">
        <v>812</v>
      </c>
      <c r="N1333" s="7">
        <v>174</v>
      </c>
      <c r="O1333" s="7">
        <v>160</v>
      </c>
    </row>
    <row r="1334" spans="1:19" x14ac:dyDescent="0.2">
      <c r="A1334">
        <v>1333</v>
      </c>
      <c r="B1334" s="1">
        <v>40760</v>
      </c>
      <c r="C1334" t="s">
        <v>28</v>
      </c>
      <c r="D1334" s="7">
        <v>23</v>
      </c>
      <c r="E1334" s="7">
        <v>4</v>
      </c>
      <c r="F1334" s="7">
        <f t="shared" si="21"/>
        <v>6</v>
      </c>
      <c r="G1334" s="7" t="str">
        <f>LOOKUP(H1334,[1]startdates!$A$2:$A$10,[1]startdates!$B$2:$B$10)</f>
        <v>C</v>
      </c>
      <c r="H1334">
        <v>8</v>
      </c>
      <c r="N1334" s="7">
        <v>173</v>
      </c>
      <c r="O1334" s="7">
        <v>173</v>
      </c>
    </row>
    <row r="1335" spans="1:19" x14ac:dyDescent="0.2">
      <c r="A1335">
        <v>1334</v>
      </c>
      <c r="B1335" s="1">
        <v>40760</v>
      </c>
      <c r="C1335" t="s">
        <v>28</v>
      </c>
      <c r="D1335" s="7">
        <v>23</v>
      </c>
      <c r="E1335" s="7">
        <v>4</v>
      </c>
      <c r="F1335" s="7">
        <f t="shared" si="21"/>
        <v>6</v>
      </c>
      <c r="G1335" s="7" t="str">
        <f>LOOKUP(H1335,[1]startdates!$A$2:$A$10,[1]startdates!$B$2:$B$10)</f>
        <v>C</v>
      </c>
      <c r="H1335">
        <v>8</v>
      </c>
      <c r="N1335" s="7">
        <v>194</v>
      </c>
      <c r="O1335" s="7">
        <v>177</v>
      </c>
    </row>
    <row r="1336" spans="1:19" x14ac:dyDescent="0.2">
      <c r="A1336">
        <v>1335</v>
      </c>
      <c r="B1336" s="1">
        <v>40760</v>
      </c>
      <c r="C1336" t="s">
        <v>28</v>
      </c>
      <c r="D1336" s="7">
        <v>23</v>
      </c>
      <c r="E1336" s="7">
        <v>4</v>
      </c>
      <c r="F1336" s="7">
        <f t="shared" si="21"/>
        <v>6</v>
      </c>
      <c r="G1336" s="7" t="str">
        <f>LOOKUP(H1336,[1]startdates!$A$2:$A$10,[1]startdates!$B$2:$B$10)</f>
        <v>FMr</v>
      </c>
      <c r="H1336">
        <v>9</v>
      </c>
      <c r="I1336" s="7">
        <v>650</v>
      </c>
      <c r="K1336" s="7">
        <v>553</v>
      </c>
      <c r="L1336" s="7">
        <v>406</v>
      </c>
      <c r="M1336" s="7">
        <v>277</v>
      </c>
      <c r="N1336" s="7">
        <v>209</v>
      </c>
      <c r="O1336" s="7">
        <v>172</v>
      </c>
      <c r="S1336" s="7">
        <v>245</v>
      </c>
    </row>
    <row r="1337" spans="1:19" x14ac:dyDescent="0.2">
      <c r="A1337">
        <v>1336</v>
      </c>
      <c r="B1337" s="1">
        <v>40760</v>
      </c>
      <c r="C1337" t="s">
        <v>28</v>
      </c>
      <c r="D1337" s="7">
        <v>23</v>
      </c>
      <c r="E1337" s="7">
        <v>4</v>
      </c>
      <c r="F1337" s="7">
        <f t="shared" si="21"/>
        <v>6</v>
      </c>
      <c r="G1337" s="7" t="str">
        <f>LOOKUP(H1337,[1]startdates!$A$2:$A$10,[1]startdates!$B$2:$B$10)</f>
        <v>FMr</v>
      </c>
      <c r="H1337">
        <v>9</v>
      </c>
      <c r="I1337" s="7">
        <v>731</v>
      </c>
      <c r="K1337" s="7">
        <v>587</v>
      </c>
      <c r="M1337" s="7">
        <v>368</v>
      </c>
      <c r="N1337" s="7">
        <v>203</v>
      </c>
      <c r="O1337" s="7">
        <v>161</v>
      </c>
    </row>
    <row r="1338" spans="1:19" x14ac:dyDescent="0.2">
      <c r="A1338">
        <v>1337</v>
      </c>
      <c r="B1338" s="1">
        <v>40760</v>
      </c>
      <c r="C1338" t="s">
        <v>28</v>
      </c>
      <c r="D1338" s="7">
        <v>23</v>
      </c>
      <c r="E1338" s="7">
        <v>4</v>
      </c>
      <c r="F1338" s="7">
        <f t="shared" si="21"/>
        <v>6</v>
      </c>
      <c r="G1338" s="7" t="str">
        <f>LOOKUP(H1338,[1]startdates!$A$2:$A$10,[1]startdates!$B$2:$B$10)</f>
        <v>FMr</v>
      </c>
      <c r="H1338">
        <v>9</v>
      </c>
      <c r="I1338" s="7">
        <v>693</v>
      </c>
      <c r="N1338" s="7">
        <v>211</v>
      </c>
      <c r="O1338" s="7">
        <v>168</v>
      </c>
    </row>
    <row r="1339" spans="1:19" x14ac:dyDescent="0.2">
      <c r="A1339">
        <v>1338</v>
      </c>
      <c r="B1339" s="1">
        <v>40760</v>
      </c>
      <c r="C1339" t="s">
        <v>28</v>
      </c>
      <c r="D1339" s="7">
        <v>23</v>
      </c>
      <c r="E1339" s="7">
        <v>4</v>
      </c>
      <c r="F1339" s="7">
        <f t="shared" si="21"/>
        <v>6</v>
      </c>
      <c r="G1339" s="7" t="str">
        <f>LOOKUP(H1339,[1]startdates!$A$2:$A$10,[1]startdates!$B$2:$B$10)</f>
        <v>FMr</v>
      </c>
      <c r="H1339">
        <v>9</v>
      </c>
      <c r="I1339" s="7">
        <v>857</v>
      </c>
      <c r="N1339" s="7">
        <v>212</v>
      </c>
      <c r="O1339" s="7">
        <v>171</v>
      </c>
    </row>
    <row r="1340" spans="1:19" x14ac:dyDescent="0.2">
      <c r="A1340">
        <v>1339</v>
      </c>
      <c r="B1340" s="1">
        <v>40760</v>
      </c>
      <c r="C1340" t="s">
        <v>28</v>
      </c>
      <c r="D1340" s="7">
        <v>23</v>
      </c>
      <c r="E1340" s="7">
        <v>4</v>
      </c>
      <c r="F1340" s="7">
        <f t="shared" si="21"/>
        <v>6</v>
      </c>
      <c r="G1340" s="7" t="str">
        <f>LOOKUP(H1340,[1]startdates!$A$2:$A$10,[1]startdates!$B$2:$B$10)</f>
        <v>FMr</v>
      </c>
      <c r="H1340">
        <v>9</v>
      </c>
      <c r="I1340" s="7">
        <v>685</v>
      </c>
      <c r="N1340" s="7">
        <v>223</v>
      </c>
      <c r="O1340" s="7">
        <v>151</v>
      </c>
    </row>
    <row r="1341" spans="1:19" x14ac:dyDescent="0.2">
      <c r="A1341">
        <v>1340</v>
      </c>
      <c r="B1341" s="1">
        <v>40760</v>
      </c>
      <c r="C1341" t="s">
        <v>28</v>
      </c>
      <c r="D1341" s="7">
        <v>23</v>
      </c>
      <c r="E1341" s="7">
        <v>4</v>
      </c>
      <c r="F1341" s="7">
        <f t="shared" si="21"/>
        <v>6</v>
      </c>
      <c r="G1341" s="7" t="str">
        <f>LOOKUP(H1341,[1]startdates!$A$2:$A$10,[1]startdates!$B$2:$B$10)</f>
        <v>FMr</v>
      </c>
      <c r="H1341">
        <v>9</v>
      </c>
      <c r="I1341" s="7">
        <v>764</v>
      </c>
      <c r="N1341" s="7">
        <v>221</v>
      </c>
      <c r="O1341" s="7">
        <v>162</v>
      </c>
    </row>
    <row r="1342" spans="1:19" x14ac:dyDescent="0.2">
      <c r="A1342">
        <v>1341</v>
      </c>
      <c r="B1342" s="1">
        <v>40760</v>
      </c>
      <c r="C1342" t="s">
        <v>28</v>
      </c>
      <c r="D1342" s="7">
        <v>23</v>
      </c>
      <c r="E1342" s="7">
        <v>4</v>
      </c>
      <c r="F1342" s="7">
        <f t="shared" si="21"/>
        <v>6</v>
      </c>
      <c r="G1342" s="7" t="str">
        <f>LOOKUP(H1342,[1]startdates!$A$2:$A$10,[1]startdates!$B$2:$B$10)</f>
        <v>FMr</v>
      </c>
      <c r="H1342">
        <v>9</v>
      </c>
      <c r="I1342" s="7">
        <v>580</v>
      </c>
      <c r="O1342" s="7">
        <v>170</v>
      </c>
    </row>
    <row r="1343" spans="1:19" x14ac:dyDescent="0.2">
      <c r="A1343">
        <v>1342</v>
      </c>
      <c r="B1343" s="1">
        <v>40760</v>
      </c>
      <c r="C1343" t="s">
        <v>28</v>
      </c>
      <c r="D1343" s="7">
        <v>23</v>
      </c>
      <c r="E1343" s="7">
        <v>4</v>
      </c>
      <c r="F1343" s="7">
        <f t="shared" si="21"/>
        <v>6</v>
      </c>
      <c r="G1343" s="7" t="str">
        <f>LOOKUP(H1343,[1]startdates!$A$2:$A$10,[1]startdates!$B$2:$B$10)</f>
        <v>FMr</v>
      </c>
      <c r="H1343">
        <v>9</v>
      </c>
      <c r="I1343" s="7">
        <v>651</v>
      </c>
      <c r="O1343" s="7">
        <v>148</v>
      </c>
    </row>
    <row r="1344" spans="1:19" x14ac:dyDescent="0.2">
      <c r="A1344">
        <v>1343</v>
      </c>
      <c r="B1344" s="1">
        <v>40760</v>
      </c>
      <c r="C1344" t="s">
        <v>28</v>
      </c>
      <c r="D1344" s="7">
        <v>23</v>
      </c>
      <c r="E1344" s="7">
        <v>4</v>
      </c>
      <c r="F1344" s="7">
        <f t="shared" si="21"/>
        <v>6</v>
      </c>
      <c r="G1344" s="7" t="str">
        <f>LOOKUP(H1344,[1]startdates!$A$2:$A$10,[1]startdates!$B$2:$B$10)</f>
        <v>FMr</v>
      </c>
      <c r="H1344">
        <v>9</v>
      </c>
      <c r="O1344" s="7">
        <v>170</v>
      </c>
    </row>
    <row r="1345" spans="1:18" x14ac:dyDescent="0.2">
      <c r="A1345">
        <v>1344</v>
      </c>
      <c r="B1345" s="1">
        <v>40760</v>
      </c>
      <c r="C1345" t="s">
        <v>28</v>
      </c>
      <c r="D1345" s="7">
        <v>23</v>
      </c>
      <c r="E1345" s="7">
        <v>4</v>
      </c>
      <c r="F1345" s="7">
        <f t="shared" si="21"/>
        <v>6</v>
      </c>
      <c r="G1345" s="7" t="str">
        <f>LOOKUP(H1345,[1]startdates!$A$2:$A$10,[1]startdates!$B$2:$B$10)</f>
        <v>FMr</v>
      </c>
      <c r="H1345">
        <v>9</v>
      </c>
      <c r="O1345" s="7">
        <v>183</v>
      </c>
    </row>
    <row r="1346" spans="1:18" x14ac:dyDescent="0.2">
      <c r="A1346">
        <v>1345</v>
      </c>
      <c r="B1346" s="1">
        <v>40763</v>
      </c>
      <c r="C1346" t="s">
        <v>28</v>
      </c>
      <c r="D1346" s="7">
        <v>26</v>
      </c>
      <c r="E1346" s="7">
        <v>5</v>
      </c>
      <c r="F1346" s="7">
        <f t="shared" si="21"/>
        <v>2</v>
      </c>
      <c r="G1346" s="7" t="str">
        <f>LOOKUP(H1346,[1]startdates!$A$2:$A$10,[1]startdates!$B$2:$B$10)</f>
        <v>SMr</v>
      </c>
      <c r="H1346">
        <v>1</v>
      </c>
      <c r="I1346" s="7">
        <v>664</v>
      </c>
      <c r="J1346" s="7">
        <v>604</v>
      </c>
      <c r="K1346" s="7">
        <v>601</v>
      </c>
      <c r="L1346" s="7">
        <v>538</v>
      </c>
      <c r="M1346" s="7">
        <v>348</v>
      </c>
      <c r="N1346" s="7">
        <v>254</v>
      </c>
      <c r="O1346" s="7">
        <v>142</v>
      </c>
      <c r="R1346" s="7">
        <v>251</v>
      </c>
    </row>
    <row r="1347" spans="1:18" x14ac:dyDescent="0.2">
      <c r="A1347">
        <v>1346</v>
      </c>
      <c r="B1347" s="1">
        <v>40763</v>
      </c>
      <c r="C1347" t="s">
        <v>28</v>
      </c>
      <c r="D1347" s="7">
        <v>26</v>
      </c>
      <c r="E1347" s="7">
        <v>5</v>
      </c>
      <c r="F1347" s="7">
        <f t="shared" si="21"/>
        <v>2</v>
      </c>
      <c r="G1347" s="7" t="str">
        <f>LOOKUP(H1347,[1]startdates!$A$2:$A$10,[1]startdates!$B$2:$B$10)</f>
        <v>SMr</v>
      </c>
      <c r="H1347">
        <v>1</v>
      </c>
      <c r="I1347" s="7">
        <v>788</v>
      </c>
      <c r="J1347" s="7">
        <v>626</v>
      </c>
      <c r="K1347" s="7">
        <v>671</v>
      </c>
      <c r="M1347" s="7">
        <v>297</v>
      </c>
      <c r="N1347" s="7">
        <v>159</v>
      </c>
      <c r="O1347" s="7">
        <v>175</v>
      </c>
      <c r="R1347" s="7">
        <v>272</v>
      </c>
    </row>
    <row r="1348" spans="1:18" x14ac:dyDescent="0.2">
      <c r="A1348">
        <v>1347</v>
      </c>
      <c r="B1348" s="1">
        <v>40763</v>
      </c>
      <c r="C1348" t="s">
        <v>28</v>
      </c>
      <c r="D1348" s="7">
        <v>26</v>
      </c>
      <c r="E1348" s="7">
        <v>5</v>
      </c>
      <c r="F1348" s="7">
        <f t="shared" si="21"/>
        <v>2</v>
      </c>
      <c r="G1348" s="7" t="str">
        <f>LOOKUP(H1348,[1]startdates!$A$2:$A$10,[1]startdates!$B$2:$B$10)</f>
        <v>SMr</v>
      </c>
      <c r="H1348">
        <v>1</v>
      </c>
      <c r="I1348" s="7">
        <v>662</v>
      </c>
      <c r="K1348" s="7">
        <v>538</v>
      </c>
      <c r="N1348" s="7">
        <v>162</v>
      </c>
      <c r="O1348" s="7">
        <v>172</v>
      </c>
      <c r="R1348" s="7">
        <v>257</v>
      </c>
    </row>
    <row r="1349" spans="1:18" x14ac:dyDescent="0.2">
      <c r="A1349">
        <v>1348</v>
      </c>
      <c r="B1349" s="1">
        <v>40763</v>
      </c>
      <c r="C1349" t="s">
        <v>28</v>
      </c>
      <c r="D1349" s="7">
        <v>26</v>
      </c>
      <c r="E1349" s="7">
        <v>5</v>
      </c>
      <c r="F1349" s="7">
        <f t="shared" si="21"/>
        <v>2</v>
      </c>
      <c r="G1349" s="7" t="str">
        <f>LOOKUP(H1349,[1]startdates!$A$2:$A$10,[1]startdates!$B$2:$B$10)</f>
        <v>SMr</v>
      </c>
      <c r="H1349">
        <v>1</v>
      </c>
      <c r="I1349" s="7">
        <v>527</v>
      </c>
      <c r="N1349" s="7">
        <v>236</v>
      </c>
      <c r="O1349" s="7">
        <v>158</v>
      </c>
      <c r="R1349" s="7">
        <v>238</v>
      </c>
    </row>
    <row r="1350" spans="1:18" x14ac:dyDescent="0.2">
      <c r="A1350">
        <v>1349</v>
      </c>
      <c r="B1350" s="1">
        <v>40763</v>
      </c>
      <c r="C1350" t="s">
        <v>28</v>
      </c>
      <c r="D1350" s="7">
        <v>26</v>
      </c>
      <c r="E1350" s="7">
        <v>5</v>
      </c>
      <c r="F1350" s="7">
        <f t="shared" si="21"/>
        <v>2</v>
      </c>
      <c r="G1350" s="7" t="str">
        <f>LOOKUP(H1350,[1]startdates!$A$2:$A$10,[1]startdates!$B$2:$B$10)</f>
        <v>SMr</v>
      </c>
      <c r="H1350">
        <v>1</v>
      </c>
      <c r="I1350" s="7">
        <v>751</v>
      </c>
      <c r="N1350" s="7">
        <v>240</v>
      </c>
      <c r="O1350" s="7">
        <v>148</v>
      </c>
    </row>
    <row r="1351" spans="1:18" x14ac:dyDescent="0.2">
      <c r="A1351">
        <v>1350</v>
      </c>
      <c r="B1351" s="1">
        <v>40763</v>
      </c>
      <c r="C1351" t="s">
        <v>28</v>
      </c>
      <c r="D1351" s="7">
        <v>26</v>
      </c>
      <c r="E1351" s="7">
        <v>5</v>
      </c>
      <c r="F1351" s="7">
        <f t="shared" si="21"/>
        <v>2</v>
      </c>
      <c r="G1351" s="7" t="str">
        <f>LOOKUP(H1351,[1]startdates!$A$2:$A$10,[1]startdates!$B$2:$B$10)</f>
        <v>SMr</v>
      </c>
      <c r="H1351">
        <v>1</v>
      </c>
      <c r="I1351" s="7">
        <v>627</v>
      </c>
      <c r="N1351" s="7">
        <v>256</v>
      </c>
      <c r="O1351" s="7">
        <v>151</v>
      </c>
    </row>
    <row r="1352" spans="1:18" x14ac:dyDescent="0.2">
      <c r="A1352">
        <v>1351</v>
      </c>
      <c r="B1352" s="1">
        <v>40763</v>
      </c>
      <c r="C1352" t="s">
        <v>28</v>
      </c>
      <c r="D1352" s="7">
        <v>26</v>
      </c>
      <c r="E1352" s="7">
        <v>5</v>
      </c>
      <c r="F1352" s="7">
        <f t="shared" si="21"/>
        <v>2</v>
      </c>
      <c r="G1352" s="7" t="str">
        <f>LOOKUP(H1352,[1]startdates!$A$2:$A$10,[1]startdates!$B$2:$B$10)</f>
        <v>SMr</v>
      </c>
      <c r="H1352">
        <v>1</v>
      </c>
      <c r="N1352" s="7">
        <v>240</v>
      </c>
      <c r="O1352" s="7">
        <v>167</v>
      </c>
    </row>
    <row r="1353" spans="1:18" x14ac:dyDescent="0.2">
      <c r="A1353">
        <v>1352</v>
      </c>
      <c r="B1353" s="1">
        <v>40763</v>
      </c>
      <c r="C1353" t="s">
        <v>28</v>
      </c>
      <c r="D1353" s="7">
        <v>26</v>
      </c>
      <c r="E1353" s="7">
        <v>5</v>
      </c>
      <c r="F1353" s="7">
        <f t="shared" si="21"/>
        <v>2</v>
      </c>
      <c r="G1353" s="7" t="str">
        <f>LOOKUP(H1353,[1]startdates!$A$2:$A$10,[1]startdates!$B$2:$B$10)</f>
        <v>SMr</v>
      </c>
      <c r="H1353">
        <v>1</v>
      </c>
      <c r="N1353" s="7">
        <v>227</v>
      </c>
      <c r="O1353" s="7">
        <v>147</v>
      </c>
    </row>
    <row r="1354" spans="1:18" x14ac:dyDescent="0.2">
      <c r="A1354">
        <v>1353</v>
      </c>
      <c r="B1354" s="1">
        <v>40763</v>
      </c>
      <c r="C1354" t="s">
        <v>28</v>
      </c>
      <c r="D1354" s="7">
        <v>26</v>
      </c>
      <c r="E1354" s="7">
        <v>5</v>
      </c>
      <c r="F1354" s="7">
        <f t="shared" si="21"/>
        <v>2</v>
      </c>
      <c r="G1354" s="7" t="str">
        <f>LOOKUP(H1354,[1]startdates!$A$2:$A$10,[1]startdates!$B$2:$B$10)</f>
        <v>SMr</v>
      </c>
      <c r="H1354">
        <v>1</v>
      </c>
      <c r="N1354" s="7">
        <v>202</v>
      </c>
      <c r="O1354" s="7">
        <v>168</v>
      </c>
    </row>
    <row r="1355" spans="1:18" x14ac:dyDescent="0.2">
      <c r="A1355">
        <v>1354</v>
      </c>
      <c r="B1355" s="1">
        <v>40763</v>
      </c>
      <c r="C1355" t="s">
        <v>28</v>
      </c>
      <c r="D1355" s="7">
        <v>26</v>
      </c>
      <c r="E1355" s="7">
        <v>5</v>
      </c>
      <c r="F1355" s="7">
        <f t="shared" si="21"/>
        <v>2</v>
      </c>
      <c r="G1355" s="7" t="str">
        <f>LOOKUP(H1355,[1]startdates!$A$2:$A$10,[1]startdates!$B$2:$B$10)</f>
        <v>SMr</v>
      </c>
      <c r="H1355">
        <v>1</v>
      </c>
      <c r="N1355" s="7">
        <v>232</v>
      </c>
      <c r="O1355" s="7">
        <v>155</v>
      </c>
    </row>
    <row r="1356" spans="1:18" x14ac:dyDescent="0.2">
      <c r="A1356">
        <v>1355</v>
      </c>
      <c r="B1356" s="1">
        <v>40763</v>
      </c>
      <c r="C1356" t="s">
        <v>28</v>
      </c>
      <c r="D1356" s="7">
        <v>26</v>
      </c>
      <c r="E1356" s="7">
        <v>5</v>
      </c>
      <c r="F1356" s="7">
        <f t="shared" si="21"/>
        <v>2</v>
      </c>
      <c r="G1356" s="7" t="str">
        <f>LOOKUP(H1356,[1]startdates!$A$2:$A$10,[1]startdates!$B$2:$B$10)</f>
        <v>SMr</v>
      </c>
      <c r="H1356">
        <v>1</v>
      </c>
      <c r="O1356" s="7">
        <v>133</v>
      </c>
    </row>
    <row r="1357" spans="1:18" x14ac:dyDescent="0.2">
      <c r="A1357">
        <v>1356</v>
      </c>
      <c r="B1357" s="1">
        <v>40763</v>
      </c>
      <c r="C1357" t="s">
        <v>28</v>
      </c>
      <c r="D1357" s="7">
        <v>26</v>
      </c>
      <c r="E1357" s="7">
        <v>5</v>
      </c>
      <c r="F1357" s="7">
        <f t="shared" si="21"/>
        <v>2</v>
      </c>
      <c r="G1357" s="7" t="str">
        <f>LOOKUP(H1357,[1]startdates!$A$2:$A$10,[1]startdates!$B$2:$B$10)</f>
        <v>SMr</v>
      </c>
      <c r="H1357">
        <v>1</v>
      </c>
      <c r="O1357" s="7">
        <v>147</v>
      </c>
    </row>
    <row r="1358" spans="1:18" x14ac:dyDescent="0.2">
      <c r="A1358">
        <v>1357</v>
      </c>
      <c r="B1358" s="1">
        <v>40763</v>
      </c>
      <c r="C1358" t="s">
        <v>28</v>
      </c>
      <c r="D1358" s="7">
        <v>26</v>
      </c>
      <c r="E1358" s="7">
        <v>5</v>
      </c>
      <c r="F1358" s="7">
        <f t="shared" si="21"/>
        <v>2</v>
      </c>
      <c r="G1358" s="7" t="str">
        <f>LOOKUP(H1358,[1]startdates!$A$2:$A$10,[1]startdates!$B$2:$B$10)</f>
        <v>SMr</v>
      </c>
      <c r="H1358">
        <v>1</v>
      </c>
      <c r="O1358" s="7">
        <v>152</v>
      </c>
    </row>
    <row r="1359" spans="1:18" x14ac:dyDescent="0.2">
      <c r="A1359">
        <v>1358</v>
      </c>
      <c r="B1359" s="1">
        <v>40763</v>
      </c>
      <c r="C1359" t="s">
        <v>28</v>
      </c>
      <c r="D1359" s="7">
        <v>26</v>
      </c>
      <c r="E1359" s="7">
        <v>5</v>
      </c>
      <c r="F1359" s="7">
        <f t="shared" si="21"/>
        <v>2</v>
      </c>
      <c r="G1359" s="7" t="str">
        <f>LOOKUP(H1359,[1]startdates!$A$2:$A$10,[1]startdates!$B$2:$B$10)</f>
        <v>SMr</v>
      </c>
      <c r="H1359">
        <v>1</v>
      </c>
      <c r="O1359" s="7">
        <v>165</v>
      </c>
    </row>
    <row r="1360" spans="1:18" x14ac:dyDescent="0.2">
      <c r="A1360">
        <v>1359</v>
      </c>
      <c r="B1360" s="1">
        <v>40763</v>
      </c>
      <c r="C1360" t="s">
        <v>28</v>
      </c>
      <c r="D1360" s="7">
        <v>26</v>
      </c>
      <c r="E1360" s="7">
        <v>5</v>
      </c>
      <c r="F1360" s="7">
        <f t="shared" si="21"/>
        <v>2</v>
      </c>
      <c r="G1360" s="7" t="str">
        <f>LOOKUP(H1360,[1]startdates!$A$2:$A$10,[1]startdates!$B$2:$B$10)</f>
        <v>SMr</v>
      </c>
      <c r="H1360">
        <v>1</v>
      </c>
      <c r="O1360" s="7">
        <v>163</v>
      </c>
    </row>
    <row r="1361" spans="1:18" x14ac:dyDescent="0.2">
      <c r="A1361">
        <v>1360</v>
      </c>
      <c r="B1361" s="1">
        <v>40763</v>
      </c>
      <c r="C1361" t="s">
        <v>28</v>
      </c>
      <c r="D1361" s="7">
        <v>26</v>
      </c>
      <c r="E1361" s="7">
        <v>5</v>
      </c>
      <c r="F1361" s="7">
        <f t="shared" si="21"/>
        <v>2</v>
      </c>
      <c r="G1361" s="7" t="str">
        <f>LOOKUP(H1361,[1]startdates!$A$2:$A$10,[1]startdates!$B$2:$B$10)</f>
        <v>SMr</v>
      </c>
      <c r="H1361">
        <v>1</v>
      </c>
      <c r="O1361" s="7">
        <v>162</v>
      </c>
    </row>
    <row r="1362" spans="1:18" x14ac:dyDescent="0.2">
      <c r="A1362">
        <v>1361</v>
      </c>
      <c r="B1362" s="1">
        <v>40763</v>
      </c>
      <c r="C1362" t="s">
        <v>28</v>
      </c>
      <c r="D1362" s="7">
        <v>26</v>
      </c>
      <c r="E1362" s="7">
        <v>5</v>
      </c>
      <c r="F1362" s="7">
        <f t="shared" si="21"/>
        <v>2</v>
      </c>
      <c r="G1362" s="7" t="str">
        <f>LOOKUP(H1362,[1]startdates!$A$2:$A$10,[1]startdates!$B$2:$B$10)</f>
        <v>SMr</v>
      </c>
      <c r="H1362">
        <v>1</v>
      </c>
      <c r="O1362" s="7">
        <v>168</v>
      </c>
    </row>
    <row r="1363" spans="1:18" x14ac:dyDescent="0.2">
      <c r="A1363">
        <v>1362</v>
      </c>
      <c r="B1363" s="1">
        <v>40763</v>
      </c>
      <c r="C1363" t="s">
        <v>28</v>
      </c>
      <c r="D1363" s="7">
        <v>26</v>
      </c>
      <c r="E1363" s="7">
        <v>5</v>
      </c>
      <c r="F1363" s="7">
        <f t="shared" si="21"/>
        <v>2</v>
      </c>
      <c r="G1363" s="7" t="str">
        <f>LOOKUP(H1363,[1]startdates!$A$2:$A$10,[1]startdates!$B$2:$B$10)</f>
        <v>SMr</v>
      </c>
      <c r="H1363">
        <v>1</v>
      </c>
      <c r="O1363" s="7">
        <v>183</v>
      </c>
    </row>
    <row r="1364" spans="1:18" x14ac:dyDescent="0.2">
      <c r="A1364">
        <v>1363</v>
      </c>
      <c r="B1364" s="1">
        <v>40763</v>
      </c>
      <c r="C1364" t="s">
        <v>28</v>
      </c>
      <c r="D1364" s="7">
        <v>26</v>
      </c>
      <c r="E1364" s="7">
        <v>5</v>
      </c>
      <c r="F1364" s="7">
        <f t="shared" si="21"/>
        <v>2</v>
      </c>
      <c r="G1364" s="7" t="str">
        <f>LOOKUP(H1364,[1]startdates!$A$2:$A$10,[1]startdates!$B$2:$B$10)</f>
        <v>SMr</v>
      </c>
      <c r="H1364">
        <v>1</v>
      </c>
      <c r="O1364" s="7">
        <v>175</v>
      </c>
    </row>
    <row r="1365" spans="1:18" x14ac:dyDescent="0.2">
      <c r="A1365">
        <v>1364</v>
      </c>
      <c r="B1365" s="1">
        <v>40763</v>
      </c>
      <c r="C1365" t="s">
        <v>28</v>
      </c>
      <c r="D1365" s="7">
        <v>26</v>
      </c>
      <c r="E1365" s="7">
        <v>5</v>
      </c>
      <c r="F1365" s="7">
        <f t="shared" si="21"/>
        <v>2</v>
      </c>
      <c r="G1365" s="7" t="str">
        <f>LOOKUP(H1365,[1]startdates!$A$2:$A$10,[1]startdates!$B$2:$B$10)</f>
        <v>SMr</v>
      </c>
      <c r="H1365">
        <v>1</v>
      </c>
      <c r="O1365" s="7">
        <v>148</v>
      </c>
    </row>
    <row r="1366" spans="1:18" x14ac:dyDescent="0.2">
      <c r="A1366">
        <v>1365</v>
      </c>
      <c r="B1366" s="1">
        <v>40763</v>
      </c>
      <c r="C1366" t="s">
        <v>28</v>
      </c>
      <c r="D1366" s="7">
        <v>26</v>
      </c>
      <c r="E1366" s="7">
        <v>5</v>
      </c>
      <c r="F1366" s="7">
        <f t="shared" si="21"/>
        <v>2</v>
      </c>
      <c r="G1366" s="7" t="str">
        <f>LOOKUP(H1366,[1]startdates!$A$2:$A$10,[1]startdates!$B$2:$B$10)</f>
        <v>SMr</v>
      </c>
      <c r="H1366">
        <v>1</v>
      </c>
      <c r="O1366" s="7">
        <v>161</v>
      </c>
    </row>
    <row r="1367" spans="1:18" x14ac:dyDescent="0.2">
      <c r="A1367">
        <v>1366</v>
      </c>
      <c r="B1367" s="1">
        <v>40763</v>
      </c>
      <c r="C1367" t="s">
        <v>28</v>
      </c>
      <c r="D1367" s="7">
        <v>26</v>
      </c>
      <c r="E1367" s="7">
        <v>5</v>
      </c>
      <c r="F1367" s="7">
        <f t="shared" si="21"/>
        <v>2</v>
      </c>
      <c r="G1367" s="7" t="str">
        <f>LOOKUP(H1367,[1]startdates!$A$2:$A$10,[1]startdates!$B$2:$B$10)</f>
        <v>SMr</v>
      </c>
      <c r="H1367">
        <v>1</v>
      </c>
      <c r="O1367" s="7">
        <v>150</v>
      </c>
    </row>
    <row r="1368" spans="1:18" x14ac:dyDescent="0.2">
      <c r="A1368">
        <v>1367</v>
      </c>
      <c r="B1368" s="1">
        <v>40763</v>
      </c>
      <c r="C1368" t="s">
        <v>28</v>
      </c>
      <c r="D1368" s="7">
        <v>26</v>
      </c>
      <c r="E1368" s="7">
        <v>5</v>
      </c>
      <c r="F1368" s="7">
        <f t="shared" si="21"/>
        <v>2</v>
      </c>
      <c r="G1368" s="7" t="str">
        <f>LOOKUP(H1368,[1]startdates!$A$2:$A$10,[1]startdates!$B$2:$B$10)</f>
        <v>SMr</v>
      </c>
      <c r="H1368">
        <v>2</v>
      </c>
      <c r="I1368" s="7">
        <v>703</v>
      </c>
      <c r="K1368" s="7">
        <v>566</v>
      </c>
      <c r="L1368" s="7">
        <v>476</v>
      </c>
      <c r="M1368" s="7">
        <v>358</v>
      </c>
      <c r="N1368" s="7">
        <v>258</v>
      </c>
      <c r="O1368" s="7">
        <v>152</v>
      </c>
      <c r="P1368" s="7">
        <v>573</v>
      </c>
      <c r="Q1368" s="7">
        <v>353</v>
      </c>
      <c r="R1368" s="7">
        <v>292</v>
      </c>
    </row>
    <row r="1369" spans="1:18" x14ac:dyDescent="0.2">
      <c r="A1369">
        <v>1368</v>
      </c>
      <c r="B1369" s="1">
        <v>40763</v>
      </c>
      <c r="C1369" t="s">
        <v>28</v>
      </c>
      <c r="D1369" s="7">
        <v>26</v>
      </c>
      <c r="E1369" s="7">
        <v>5</v>
      </c>
      <c r="F1369" s="7">
        <f t="shared" si="21"/>
        <v>2</v>
      </c>
      <c r="G1369" s="7" t="str">
        <f>LOOKUP(H1369,[1]startdates!$A$2:$A$10,[1]startdates!$B$2:$B$10)</f>
        <v>SMr</v>
      </c>
      <c r="H1369">
        <v>2</v>
      </c>
      <c r="I1369" s="7">
        <v>515</v>
      </c>
      <c r="K1369" s="7">
        <v>593</v>
      </c>
      <c r="L1369" s="7">
        <v>431</v>
      </c>
      <c r="M1369" s="7">
        <v>351</v>
      </c>
      <c r="N1369" s="7">
        <v>239</v>
      </c>
      <c r="O1369" s="7">
        <v>105</v>
      </c>
      <c r="P1369" s="7">
        <v>590</v>
      </c>
      <c r="Q1369" s="7">
        <v>323</v>
      </c>
      <c r="R1369" s="7">
        <v>285</v>
      </c>
    </row>
    <row r="1370" spans="1:18" x14ac:dyDescent="0.2">
      <c r="A1370">
        <v>1369</v>
      </c>
      <c r="B1370" s="1">
        <v>40763</v>
      </c>
      <c r="C1370" t="s">
        <v>28</v>
      </c>
      <c r="D1370" s="7">
        <v>26</v>
      </c>
      <c r="E1370" s="7">
        <v>5</v>
      </c>
      <c r="F1370" s="7">
        <f t="shared" si="21"/>
        <v>2</v>
      </c>
      <c r="G1370" s="7" t="str">
        <f>LOOKUP(H1370,[1]startdates!$A$2:$A$10,[1]startdates!$B$2:$B$10)</f>
        <v>SMr</v>
      </c>
      <c r="H1370">
        <v>2</v>
      </c>
      <c r="I1370" s="7">
        <v>709</v>
      </c>
      <c r="K1370" s="7">
        <v>603</v>
      </c>
      <c r="L1370" s="7">
        <v>428</v>
      </c>
      <c r="M1370" s="7">
        <v>306</v>
      </c>
      <c r="N1370" s="7">
        <v>173</v>
      </c>
      <c r="O1370" s="7">
        <v>147</v>
      </c>
      <c r="Q1370" s="7">
        <v>339</v>
      </c>
    </row>
    <row r="1371" spans="1:18" x14ac:dyDescent="0.2">
      <c r="A1371">
        <v>1370</v>
      </c>
      <c r="B1371" s="1">
        <v>40763</v>
      </c>
      <c r="C1371" t="s">
        <v>28</v>
      </c>
      <c r="D1371" s="7">
        <v>26</v>
      </c>
      <c r="E1371" s="7">
        <v>5</v>
      </c>
      <c r="F1371" s="7">
        <f t="shared" si="21"/>
        <v>2</v>
      </c>
      <c r="G1371" s="7" t="str">
        <f>LOOKUP(H1371,[1]startdates!$A$2:$A$10,[1]startdates!$B$2:$B$10)</f>
        <v>SMr</v>
      </c>
      <c r="H1371">
        <v>2</v>
      </c>
      <c r="I1371" s="7">
        <v>613</v>
      </c>
      <c r="K1371" s="7">
        <v>645</v>
      </c>
      <c r="N1371" s="7">
        <v>181</v>
      </c>
      <c r="O1371" s="7">
        <v>186</v>
      </c>
      <c r="Q1371" s="7">
        <v>393</v>
      </c>
    </row>
    <row r="1372" spans="1:18" x14ac:dyDescent="0.2">
      <c r="A1372">
        <v>1371</v>
      </c>
      <c r="B1372" s="1">
        <v>40763</v>
      </c>
      <c r="C1372" t="s">
        <v>28</v>
      </c>
      <c r="D1372" s="7">
        <v>26</v>
      </c>
      <c r="E1372" s="7">
        <v>5</v>
      </c>
      <c r="F1372" s="7">
        <f t="shared" si="21"/>
        <v>2</v>
      </c>
      <c r="G1372" s="7" t="str">
        <f>LOOKUP(H1372,[1]startdates!$A$2:$A$10,[1]startdates!$B$2:$B$10)</f>
        <v>SMr</v>
      </c>
      <c r="H1372">
        <v>2</v>
      </c>
      <c r="I1372" s="7">
        <v>735</v>
      </c>
      <c r="N1372" s="7">
        <v>182</v>
      </c>
      <c r="O1372" s="7">
        <v>162</v>
      </c>
    </row>
    <row r="1373" spans="1:18" x14ac:dyDescent="0.2">
      <c r="A1373">
        <v>1372</v>
      </c>
      <c r="B1373" s="1">
        <v>40763</v>
      </c>
      <c r="C1373" t="s">
        <v>28</v>
      </c>
      <c r="D1373" s="7">
        <v>26</v>
      </c>
      <c r="E1373" s="7">
        <v>5</v>
      </c>
      <c r="F1373" s="7">
        <f t="shared" si="21"/>
        <v>2</v>
      </c>
      <c r="G1373" s="7" t="str">
        <f>LOOKUP(H1373,[1]startdates!$A$2:$A$10,[1]startdates!$B$2:$B$10)</f>
        <v>SMr</v>
      </c>
      <c r="H1373">
        <v>2</v>
      </c>
      <c r="I1373" s="7">
        <v>841</v>
      </c>
      <c r="N1373" s="7">
        <v>195</v>
      </c>
      <c r="O1373" s="7">
        <v>155</v>
      </c>
    </row>
    <row r="1374" spans="1:18" x14ac:dyDescent="0.2">
      <c r="A1374">
        <v>1373</v>
      </c>
      <c r="B1374" s="1">
        <v>40763</v>
      </c>
      <c r="C1374" t="s">
        <v>28</v>
      </c>
      <c r="D1374" s="7">
        <v>26</v>
      </c>
      <c r="E1374" s="7">
        <v>5</v>
      </c>
      <c r="F1374" s="7">
        <f t="shared" si="21"/>
        <v>2</v>
      </c>
      <c r="G1374" s="7" t="str">
        <f>LOOKUP(H1374,[1]startdates!$A$2:$A$10,[1]startdates!$B$2:$B$10)</f>
        <v>SMr</v>
      </c>
      <c r="H1374">
        <v>2</v>
      </c>
      <c r="I1374" s="7">
        <v>686</v>
      </c>
      <c r="N1374" s="7">
        <v>269</v>
      </c>
      <c r="O1374" s="7">
        <v>148</v>
      </c>
    </row>
    <row r="1375" spans="1:18" x14ac:dyDescent="0.2">
      <c r="A1375">
        <v>1374</v>
      </c>
      <c r="B1375" s="1">
        <v>40763</v>
      </c>
      <c r="C1375" t="s">
        <v>28</v>
      </c>
      <c r="D1375" s="7">
        <v>26</v>
      </c>
      <c r="E1375" s="7">
        <v>5</v>
      </c>
      <c r="F1375" s="7">
        <f t="shared" si="21"/>
        <v>2</v>
      </c>
      <c r="G1375" s="7" t="str">
        <f>LOOKUP(H1375,[1]startdates!$A$2:$A$10,[1]startdates!$B$2:$B$10)</f>
        <v>SMr</v>
      </c>
      <c r="H1375">
        <v>2</v>
      </c>
      <c r="N1375" s="7">
        <v>289</v>
      </c>
      <c r="O1375" s="7">
        <v>151</v>
      </c>
    </row>
    <row r="1376" spans="1:18" x14ac:dyDescent="0.2">
      <c r="A1376">
        <v>1375</v>
      </c>
      <c r="B1376" s="1">
        <v>40763</v>
      </c>
      <c r="C1376" t="s">
        <v>28</v>
      </c>
      <c r="D1376" s="7">
        <v>26</v>
      </c>
      <c r="E1376" s="7">
        <v>5</v>
      </c>
      <c r="F1376" s="7">
        <f t="shared" si="21"/>
        <v>2</v>
      </c>
      <c r="G1376" s="7" t="str">
        <f>LOOKUP(H1376,[1]startdates!$A$2:$A$10,[1]startdates!$B$2:$B$10)</f>
        <v>SMr</v>
      </c>
      <c r="H1376">
        <v>2</v>
      </c>
      <c r="O1376" s="7">
        <v>153</v>
      </c>
    </row>
    <row r="1377" spans="1:17" x14ac:dyDescent="0.2">
      <c r="A1377">
        <v>1376</v>
      </c>
      <c r="B1377" s="1">
        <v>40763</v>
      </c>
      <c r="C1377" t="s">
        <v>28</v>
      </c>
      <c r="D1377" s="7">
        <v>26</v>
      </c>
      <c r="E1377" s="7">
        <v>5</v>
      </c>
      <c r="F1377" s="7">
        <f t="shared" si="21"/>
        <v>2</v>
      </c>
      <c r="G1377" s="7" t="str">
        <f>LOOKUP(H1377,[1]startdates!$A$2:$A$10,[1]startdates!$B$2:$B$10)</f>
        <v>SMr</v>
      </c>
      <c r="H1377">
        <v>2</v>
      </c>
      <c r="O1377" s="7">
        <v>172</v>
      </c>
    </row>
    <row r="1378" spans="1:17" x14ac:dyDescent="0.2">
      <c r="A1378">
        <v>1377</v>
      </c>
      <c r="B1378" s="1">
        <v>40763</v>
      </c>
      <c r="C1378" t="s">
        <v>28</v>
      </c>
      <c r="D1378" s="7">
        <v>26</v>
      </c>
      <c r="E1378" s="7">
        <v>5</v>
      </c>
      <c r="F1378" s="7">
        <f t="shared" si="21"/>
        <v>2</v>
      </c>
      <c r="G1378" s="7" t="str">
        <f>LOOKUP(H1378,[1]startdates!$A$2:$A$10,[1]startdates!$B$2:$B$10)</f>
        <v>SMr</v>
      </c>
      <c r="H1378">
        <v>2</v>
      </c>
      <c r="O1378" s="7">
        <v>163</v>
      </c>
    </row>
    <row r="1379" spans="1:17" x14ac:dyDescent="0.2">
      <c r="A1379">
        <v>1378</v>
      </c>
      <c r="B1379" s="1">
        <v>40763</v>
      </c>
      <c r="C1379" t="s">
        <v>28</v>
      </c>
      <c r="D1379" s="7">
        <v>26</v>
      </c>
      <c r="E1379" s="7">
        <v>5</v>
      </c>
      <c r="F1379" s="7">
        <f t="shared" si="21"/>
        <v>2</v>
      </c>
      <c r="G1379" s="7" t="str">
        <f>LOOKUP(H1379,[1]startdates!$A$2:$A$10,[1]startdates!$B$2:$B$10)</f>
        <v>C</v>
      </c>
      <c r="H1379">
        <v>3</v>
      </c>
      <c r="I1379" s="7">
        <v>624</v>
      </c>
      <c r="J1379" s="7">
        <v>622</v>
      </c>
      <c r="K1379" s="7">
        <v>682</v>
      </c>
      <c r="L1379" s="7">
        <v>516</v>
      </c>
      <c r="M1379" s="7">
        <v>330</v>
      </c>
      <c r="N1379" s="7">
        <v>185</v>
      </c>
      <c r="O1379" s="7">
        <v>159</v>
      </c>
      <c r="P1379" s="7">
        <v>545</v>
      </c>
    </row>
    <row r="1380" spans="1:17" x14ac:dyDescent="0.2">
      <c r="A1380">
        <v>1379</v>
      </c>
      <c r="B1380" s="1">
        <v>40763</v>
      </c>
      <c r="C1380" t="s">
        <v>28</v>
      </c>
      <c r="D1380" s="7">
        <v>26</v>
      </c>
      <c r="E1380" s="7">
        <v>5</v>
      </c>
      <c r="F1380" s="7">
        <f t="shared" si="21"/>
        <v>2</v>
      </c>
      <c r="G1380" s="7" t="str">
        <f>LOOKUP(H1380,[1]startdates!$A$2:$A$10,[1]startdates!$B$2:$B$10)</f>
        <v>C</v>
      </c>
      <c r="H1380">
        <v>3</v>
      </c>
      <c r="I1380" s="7">
        <v>782</v>
      </c>
      <c r="K1380" s="7">
        <v>668</v>
      </c>
      <c r="L1380" s="7">
        <v>474</v>
      </c>
      <c r="M1380" s="7">
        <v>328</v>
      </c>
      <c r="N1380" s="7">
        <v>209</v>
      </c>
      <c r="O1380" s="7">
        <v>158</v>
      </c>
      <c r="P1380" s="7">
        <v>561</v>
      </c>
    </row>
    <row r="1381" spans="1:17" x14ac:dyDescent="0.2">
      <c r="A1381">
        <v>1380</v>
      </c>
      <c r="B1381" s="1">
        <v>40763</v>
      </c>
      <c r="C1381" t="s">
        <v>28</v>
      </c>
      <c r="D1381" s="7">
        <v>26</v>
      </c>
      <c r="E1381" s="7">
        <v>5</v>
      </c>
      <c r="F1381" s="7">
        <f t="shared" si="21"/>
        <v>2</v>
      </c>
      <c r="G1381" s="7" t="str">
        <f>LOOKUP(H1381,[1]startdates!$A$2:$A$10,[1]startdates!$B$2:$B$10)</f>
        <v>C</v>
      </c>
      <c r="H1381">
        <v>3</v>
      </c>
      <c r="I1381" s="7">
        <v>740</v>
      </c>
      <c r="L1381" s="7">
        <v>480</v>
      </c>
      <c r="M1381" s="7">
        <v>295</v>
      </c>
      <c r="N1381" s="7">
        <v>248</v>
      </c>
      <c r="O1381" s="7">
        <v>156</v>
      </c>
    </row>
    <row r="1382" spans="1:17" x14ac:dyDescent="0.2">
      <c r="A1382">
        <v>1381</v>
      </c>
      <c r="B1382" s="1">
        <v>40763</v>
      </c>
      <c r="C1382" t="s">
        <v>28</v>
      </c>
      <c r="D1382" s="7">
        <v>26</v>
      </c>
      <c r="E1382" s="7">
        <v>5</v>
      </c>
      <c r="F1382" s="7">
        <f t="shared" si="21"/>
        <v>2</v>
      </c>
      <c r="G1382" s="7" t="str">
        <f>LOOKUP(H1382,[1]startdates!$A$2:$A$10,[1]startdates!$B$2:$B$10)</f>
        <v>C</v>
      </c>
      <c r="H1382">
        <v>3</v>
      </c>
      <c r="I1382" s="7">
        <v>741</v>
      </c>
      <c r="M1382" s="7">
        <v>298</v>
      </c>
      <c r="N1382" s="7">
        <v>208</v>
      </c>
      <c r="O1382" s="7">
        <v>175</v>
      </c>
    </row>
    <row r="1383" spans="1:17" x14ac:dyDescent="0.2">
      <c r="A1383">
        <v>1382</v>
      </c>
      <c r="B1383" s="1">
        <v>40763</v>
      </c>
      <c r="C1383" t="s">
        <v>28</v>
      </c>
      <c r="D1383" s="7">
        <v>26</v>
      </c>
      <c r="E1383" s="7">
        <v>5</v>
      </c>
      <c r="F1383" s="7">
        <f t="shared" si="21"/>
        <v>2</v>
      </c>
      <c r="G1383" s="7" t="str">
        <f>LOOKUP(H1383,[1]startdates!$A$2:$A$10,[1]startdates!$B$2:$B$10)</f>
        <v>C</v>
      </c>
      <c r="H1383">
        <v>3</v>
      </c>
      <c r="I1383" s="7">
        <v>765</v>
      </c>
      <c r="M1383" s="7">
        <v>323</v>
      </c>
      <c r="N1383" s="7">
        <v>231</v>
      </c>
      <c r="O1383" s="7">
        <v>152</v>
      </c>
    </row>
    <row r="1384" spans="1:17" x14ac:dyDescent="0.2">
      <c r="A1384">
        <v>1383</v>
      </c>
      <c r="B1384" s="1">
        <v>40763</v>
      </c>
      <c r="C1384" t="s">
        <v>28</v>
      </c>
      <c r="D1384" s="7">
        <v>26</v>
      </c>
      <c r="E1384" s="7">
        <v>5</v>
      </c>
      <c r="F1384" s="7">
        <f t="shared" si="21"/>
        <v>2</v>
      </c>
      <c r="G1384" s="7" t="str">
        <f>LOOKUP(H1384,[1]startdates!$A$2:$A$10,[1]startdates!$B$2:$B$10)</f>
        <v>C</v>
      </c>
      <c r="H1384">
        <v>3</v>
      </c>
      <c r="I1384" s="7">
        <v>661</v>
      </c>
      <c r="N1384" s="7">
        <v>250</v>
      </c>
      <c r="O1384" s="7">
        <v>175</v>
      </c>
    </row>
    <row r="1385" spans="1:17" x14ac:dyDescent="0.2">
      <c r="A1385">
        <v>1384</v>
      </c>
      <c r="B1385" s="1">
        <v>40763</v>
      </c>
      <c r="C1385" t="s">
        <v>28</v>
      </c>
      <c r="D1385" s="7">
        <v>26</v>
      </c>
      <c r="E1385" s="7">
        <v>5</v>
      </c>
      <c r="F1385" s="7">
        <f t="shared" ref="F1385:F1448" si="22">WEEKDAY(B1385)</f>
        <v>2</v>
      </c>
      <c r="G1385" s="7" t="str">
        <f>LOOKUP(H1385,[1]startdates!$A$2:$A$10,[1]startdates!$B$2:$B$10)</f>
        <v>C</v>
      </c>
      <c r="H1385">
        <v>3</v>
      </c>
      <c r="I1385" s="7">
        <v>714</v>
      </c>
      <c r="N1385" s="7">
        <v>276</v>
      </c>
      <c r="O1385" s="7">
        <v>174</v>
      </c>
    </row>
    <row r="1386" spans="1:17" x14ac:dyDescent="0.2">
      <c r="A1386">
        <v>1385</v>
      </c>
      <c r="B1386" s="1">
        <v>40763</v>
      </c>
      <c r="C1386" t="s">
        <v>28</v>
      </c>
      <c r="D1386" s="7">
        <v>26</v>
      </c>
      <c r="E1386" s="7">
        <v>5</v>
      </c>
      <c r="F1386" s="7">
        <f t="shared" si="22"/>
        <v>2</v>
      </c>
      <c r="G1386" s="7" t="str">
        <f>LOOKUP(H1386,[1]startdates!$A$2:$A$10,[1]startdates!$B$2:$B$10)</f>
        <v>C</v>
      </c>
      <c r="H1386">
        <v>3</v>
      </c>
      <c r="N1386" s="7">
        <v>228</v>
      </c>
      <c r="O1386" s="7">
        <v>151</v>
      </c>
    </row>
    <row r="1387" spans="1:17" x14ac:dyDescent="0.2">
      <c r="A1387">
        <v>1386</v>
      </c>
      <c r="B1387" s="1">
        <v>40763</v>
      </c>
      <c r="C1387" t="s">
        <v>28</v>
      </c>
      <c r="D1387" s="7">
        <v>26</v>
      </c>
      <c r="E1387" s="7">
        <v>5</v>
      </c>
      <c r="F1387" s="7">
        <f t="shared" si="22"/>
        <v>2</v>
      </c>
      <c r="G1387" s="7" t="str">
        <f>LOOKUP(H1387,[1]startdates!$A$2:$A$10,[1]startdates!$B$2:$B$10)</f>
        <v>C</v>
      </c>
      <c r="H1387">
        <v>3</v>
      </c>
      <c r="N1387" s="7">
        <v>200</v>
      </c>
    </row>
    <row r="1388" spans="1:17" x14ac:dyDescent="0.2">
      <c r="A1388">
        <v>1387</v>
      </c>
      <c r="B1388" s="1">
        <v>40763</v>
      </c>
      <c r="C1388" t="s">
        <v>28</v>
      </c>
      <c r="D1388" s="7">
        <v>26</v>
      </c>
      <c r="E1388" s="7">
        <v>5</v>
      </c>
      <c r="F1388" s="7">
        <f t="shared" si="22"/>
        <v>2</v>
      </c>
      <c r="G1388" s="7" t="str">
        <f>LOOKUP(H1388,[1]startdates!$A$2:$A$10,[1]startdates!$B$2:$B$10)</f>
        <v>C</v>
      </c>
      <c r="H1388">
        <v>3</v>
      </c>
      <c r="N1388" s="7">
        <v>168</v>
      </c>
    </row>
    <row r="1389" spans="1:17" x14ac:dyDescent="0.2">
      <c r="A1389">
        <v>1388</v>
      </c>
      <c r="B1389" s="1">
        <v>40763</v>
      </c>
      <c r="C1389" t="s">
        <v>28</v>
      </c>
      <c r="D1389" s="7">
        <v>26</v>
      </c>
      <c r="E1389" s="7">
        <v>5</v>
      </c>
      <c r="F1389" s="7">
        <f t="shared" si="22"/>
        <v>2</v>
      </c>
      <c r="G1389" s="7" t="str">
        <f>LOOKUP(H1389,[1]startdates!$A$2:$A$10,[1]startdates!$B$2:$B$10)</f>
        <v>C</v>
      </c>
      <c r="H1389">
        <v>3</v>
      </c>
      <c r="N1389" s="7">
        <v>261</v>
      </c>
    </row>
    <row r="1390" spans="1:17" x14ac:dyDescent="0.2">
      <c r="A1390">
        <v>1389</v>
      </c>
      <c r="B1390" s="1">
        <v>40763</v>
      </c>
      <c r="C1390" t="s">
        <v>28</v>
      </c>
      <c r="D1390" s="7">
        <v>26</v>
      </c>
      <c r="E1390" s="7">
        <v>5</v>
      </c>
      <c r="F1390" s="7">
        <f t="shared" si="22"/>
        <v>2</v>
      </c>
      <c r="G1390" s="7" t="str">
        <f>LOOKUP(H1390,[1]startdates!$A$2:$A$10,[1]startdates!$B$2:$B$10)</f>
        <v>SMr</v>
      </c>
      <c r="H1390">
        <v>4</v>
      </c>
      <c r="I1390" s="7">
        <v>742</v>
      </c>
      <c r="K1390" s="7">
        <v>601</v>
      </c>
      <c r="L1390" s="7">
        <v>462</v>
      </c>
      <c r="M1390" s="7">
        <v>388</v>
      </c>
      <c r="N1390" s="7">
        <v>258</v>
      </c>
      <c r="O1390" s="7">
        <v>178</v>
      </c>
      <c r="Q1390" s="7">
        <v>373</v>
      </c>
    </row>
    <row r="1391" spans="1:17" x14ac:dyDescent="0.2">
      <c r="A1391">
        <v>1390</v>
      </c>
      <c r="B1391" s="1">
        <v>40763</v>
      </c>
      <c r="C1391" t="s">
        <v>28</v>
      </c>
      <c r="D1391" s="7">
        <v>26</v>
      </c>
      <c r="E1391" s="7">
        <v>5</v>
      </c>
      <c r="F1391" s="7">
        <f t="shared" si="22"/>
        <v>2</v>
      </c>
      <c r="G1391" s="7" t="str">
        <f>LOOKUP(H1391,[1]startdates!$A$2:$A$10,[1]startdates!$B$2:$B$10)</f>
        <v>SMr</v>
      </c>
      <c r="H1391">
        <v>4</v>
      </c>
      <c r="I1391" s="7">
        <v>691</v>
      </c>
      <c r="L1391" s="7">
        <v>445</v>
      </c>
      <c r="M1391" s="7">
        <v>405</v>
      </c>
      <c r="N1391" s="7">
        <v>233</v>
      </c>
      <c r="O1391" s="7">
        <v>182</v>
      </c>
      <c r="Q1391" s="7">
        <v>368</v>
      </c>
    </row>
    <row r="1392" spans="1:17" x14ac:dyDescent="0.2">
      <c r="A1392">
        <v>1391</v>
      </c>
      <c r="B1392" s="1">
        <v>40763</v>
      </c>
      <c r="C1392" t="s">
        <v>28</v>
      </c>
      <c r="D1392" s="7">
        <v>26</v>
      </c>
      <c r="E1392" s="7">
        <v>5</v>
      </c>
      <c r="F1392" s="7">
        <f t="shared" si="22"/>
        <v>2</v>
      </c>
      <c r="G1392" s="7" t="str">
        <f>LOOKUP(H1392,[1]startdates!$A$2:$A$10,[1]startdates!$B$2:$B$10)</f>
        <v>SMr</v>
      </c>
      <c r="H1392">
        <v>4</v>
      </c>
      <c r="I1392" s="7">
        <v>735</v>
      </c>
      <c r="M1392" s="7">
        <v>408</v>
      </c>
      <c r="N1392" s="7">
        <v>227</v>
      </c>
      <c r="O1392" s="7">
        <v>184</v>
      </c>
      <c r="Q1392" s="7">
        <v>400</v>
      </c>
    </row>
    <row r="1393" spans="1:17" x14ac:dyDescent="0.2">
      <c r="A1393">
        <v>1392</v>
      </c>
      <c r="B1393" s="1">
        <v>40763</v>
      </c>
      <c r="C1393" t="s">
        <v>28</v>
      </c>
      <c r="D1393" s="7">
        <v>26</v>
      </c>
      <c r="E1393" s="7">
        <v>5</v>
      </c>
      <c r="F1393" s="7">
        <f t="shared" si="22"/>
        <v>2</v>
      </c>
      <c r="G1393" s="7" t="str">
        <f>LOOKUP(H1393,[1]startdates!$A$2:$A$10,[1]startdates!$B$2:$B$10)</f>
        <v>SMr</v>
      </c>
      <c r="H1393">
        <v>4</v>
      </c>
      <c r="I1393" s="7">
        <v>791</v>
      </c>
      <c r="M1393" s="7">
        <v>331</v>
      </c>
      <c r="N1393" s="7">
        <v>191</v>
      </c>
      <c r="O1393" s="7">
        <v>167</v>
      </c>
      <c r="Q1393" s="7">
        <v>368</v>
      </c>
    </row>
    <row r="1394" spans="1:17" x14ac:dyDescent="0.2">
      <c r="A1394">
        <v>1393</v>
      </c>
      <c r="B1394" s="1">
        <v>40763</v>
      </c>
      <c r="C1394" t="s">
        <v>28</v>
      </c>
      <c r="D1394" s="7">
        <v>26</v>
      </c>
      <c r="E1394" s="7">
        <v>5</v>
      </c>
      <c r="F1394" s="7">
        <f t="shared" si="22"/>
        <v>2</v>
      </c>
      <c r="G1394" s="7" t="str">
        <f>LOOKUP(H1394,[1]startdates!$A$2:$A$10,[1]startdates!$B$2:$B$10)</f>
        <v>SMr</v>
      </c>
      <c r="H1394">
        <v>4</v>
      </c>
      <c r="I1394" s="7">
        <v>732</v>
      </c>
      <c r="N1394" s="7">
        <v>193</v>
      </c>
      <c r="O1394" s="7">
        <v>173</v>
      </c>
      <c r="Q1394" s="7">
        <v>361</v>
      </c>
    </row>
    <row r="1395" spans="1:17" x14ac:dyDescent="0.2">
      <c r="A1395">
        <v>1394</v>
      </c>
      <c r="B1395" s="1">
        <v>40763</v>
      </c>
      <c r="C1395" t="s">
        <v>28</v>
      </c>
      <c r="D1395" s="7">
        <v>26</v>
      </c>
      <c r="E1395" s="7">
        <v>5</v>
      </c>
      <c r="F1395" s="7">
        <f t="shared" si="22"/>
        <v>2</v>
      </c>
      <c r="G1395" s="7" t="str">
        <f>LOOKUP(H1395,[1]startdates!$A$2:$A$10,[1]startdates!$B$2:$B$10)</f>
        <v>SMr</v>
      </c>
      <c r="H1395">
        <v>4</v>
      </c>
      <c r="N1395" s="7">
        <v>192</v>
      </c>
      <c r="O1395" s="7">
        <v>179</v>
      </c>
      <c r="Q1395" s="7">
        <v>377</v>
      </c>
    </row>
    <row r="1396" spans="1:17" x14ac:dyDescent="0.2">
      <c r="A1396">
        <v>1395</v>
      </c>
      <c r="B1396" s="1">
        <v>40763</v>
      </c>
      <c r="C1396" t="s">
        <v>28</v>
      </c>
      <c r="D1396" s="7">
        <v>26</v>
      </c>
      <c r="E1396" s="7">
        <v>5</v>
      </c>
      <c r="F1396" s="7">
        <f t="shared" si="22"/>
        <v>2</v>
      </c>
      <c r="G1396" s="7" t="str">
        <f>LOOKUP(H1396,[1]startdates!$A$2:$A$10,[1]startdates!$B$2:$B$10)</f>
        <v>SMr</v>
      </c>
      <c r="H1396">
        <v>4</v>
      </c>
      <c r="N1396" s="7">
        <v>256</v>
      </c>
      <c r="O1396" s="7">
        <v>167</v>
      </c>
      <c r="Q1396" s="7">
        <v>379</v>
      </c>
    </row>
    <row r="1397" spans="1:17" x14ac:dyDescent="0.2">
      <c r="A1397">
        <v>1396</v>
      </c>
      <c r="B1397" s="1">
        <v>40763</v>
      </c>
      <c r="C1397" t="s">
        <v>28</v>
      </c>
      <c r="D1397" s="7">
        <v>26</v>
      </c>
      <c r="E1397" s="7">
        <v>5</v>
      </c>
      <c r="F1397" s="7">
        <f t="shared" si="22"/>
        <v>2</v>
      </c>
      <c r="G1397" s="7" t="str">
        <f>LOOKUP(H1397,[1]startdates!$A$2:$A$10,[1]startdates!$B$2:$B$10)</f>
        <v>SMr</v>
      </c>
      <c r="H1397">
        <v>4</v>
      </c>
      <c r="N1397" s="7">
        <v>175</v>
      </c>
      <c r="O1397" s="7">
        <v>168</v>
      </c>
      <c r="Q1397" s="7">
        <v>363</v>
      </c>
    </row>
    <row r="1398" spans="1:17" x14ac:dyDescent="0.2">
      <c r="A1398">
        <v>1397</v>
      </c>
      <c r="B1398" s="1">
        <v>40763</v>
      </c>
      <c r="C1398" t="s">
        <v>28</v>
      </c>
      <c r="D1398" s="7">
        <v>26</v>
      </c>
      <c r="E1398" s="7">
        <v>5</v>
      </c>
      <c r="F1398" s="7">
        <f t="shared" si="22"/>
        <v>2</v>
      </c>
      <c r="G1398" s="7" t="str">
        <f>LOOKUP(H1398,[1]startdates!$A$2:$A$10,[1]startdates!$B$2:$B$10)</f>
        <v>SMr</v>
      </c>
      <c r="H1398">
        <v>4</v>
      </c>
      <c r="N1398" s="7">
        <v>250</v>
      </c>
      <c r="O1398" s="7">
        <v>137</v>
      </c>
    </row>
    <row r="1399" spans="1:17" x14ac:dyDescent="0.2">
      <c r="A1399">
        <v>1398</v>
      </c>
      <c r="B1399" s="1">
        <v>40763</v>
      </c>
      <c r="C1399" t="s">
        <v>28</v>
      </c>
      <c r="D1399" s="7">
        <v>26</v>
      </c>
      <c r="E1399" s="7">
        <v>5</v>
      </c>
      <c r="F1399" s="7">
        <f t="shared" si="22"/>
        <v>2</v>
      </c>
      <c r="G1399" s="7" t="str">
        <f>LOOKUP(H1399,[1]startdates!$A$2:$A$10,[1]startdates!$B$2:$B$10)</f>
        <v>SMr</v>
      </c>
      <c r="H1399">
        <v>4</v>
      </c>
      <c r="N1399" s="7">
        <v>211</v>
      </c>
      <c r="O1399" s="7">
        <v>188</v>
      </c>
    </row>
    <row r="1400" spans="1:17" x14ac:dyDescent="0.2">
      <c r="A1400">
        <v>1399</v>
      </c>
      <c r="B1400" s="1">
        <v>40763</v>
      </c>
      <c r="C1400" t="s">
        <v>28</v>
      </c>
      <c r="D1400" s="7">
        <v>26</v>
      </c>
      <c r="E1400" s="7">
        <v>5</v>
      </c>
      <c r="F1400" s="7">
        <f t="shared" si="22"/>
        <v>2</v>
      </c>
      <c r="G1400" s="7" t="str">
        <f>LOOKUP(H1400,[1]startdates!$A$2:$A$10,[1]startdates!$B$2:$B$10)</f>
        <v>SMr</v>
      </c>
      <c r="H1400">
        <v>4</v>
      </c>
      <c r="N1400" s="7">
        <v>214</v>
      </c>
      <c r="O1400" s="7">
        <v>165</v>
      </c>
    </row>
    <row r="1401" spans="1:17" x14ac:dyDescent="0.2">
      <c r="A1401">
        <v>1400</v>
      </c>
      <c r="B1401" s="1">
        <v>40763</v>
      </c>
      <c r="C1401" t="s">
        <v>28</v>
      </c>
      <c r="D1401" s="7">
        <v>26</v>
      </c>
      <c r="E1401" s="7">
        <v>5</v>
      </c>
      <c r="F1401" s="7">
        <f t="shared" si="22"/>
        <v>2</v>
      </c>
      <c r="G1401" s="7" t="str">
        <f>LOOKUP(H1401,[1]startdates!$A$2:$A$10,[1]startdates!$B$2:$B$10)</f>
        <v>SMr</v>
      </c>
      <c r="H1401">
        <v>4</v>
      </c>
      <c r="O1401" s="7">
        <v>188</v>
      </c>
    </row>
    <row r="1402" spans="1:17" x14ac:dyDescent="0.2">
      <c r="A1402">
        <v>1401</v>
      </c>
      <c r="B1402" s="1">
        <v>40763</v>
      </c>
      <c r="C1402" t="s">
        <v>28</v>
      </c>
      <c r="D1402" s="7">
        <v>26</v>
      </c>
      <c r="E1402" s="7">
        <v>5</v>
      </c>
      <c r="F1402" s="7">
        <f t="shared" si="22"/>
        <v>2</v>
      </c>
      <c r="G1402" s="7" t="str">
        <f>LOOKUP(H1402,[1]startdates!$A$2:$A$10,[1]startdates!$B$2:$B$10)</f>
        <v>SMr</v>
      </c>
      <c r="H1402">
        <v>4</v>
      </c>
      <c r="O1402" s="7">
        <v>178</v>
      </c>
    </row>
    <row r="1403" spans="1:17" x14ac:dyDescent="0.2">
      <c r="A1403">
        <v>1402</v>
      </c>
      <c r="B1403" s="1">
        <v>40763</v>
      </c>
      <c r="C1403" t="s">
        <v>28</v>
      </c>
      <c r="D1403" s="7">
        <v>26</v>
      </c>
      <c r="E1403" s="7">
        <v>5</v>
      </c>
      <c r="F1403" s="7">
        <f t="shared" si="22"/>
        <v>2</v>
      </c>
      <c r="G1403" s="7" t="str">
        <f>LOOKUP(H1403,[1]startdates!$A$2:$A$10,[1]startdates!$B$2:$B$10)</f>
        <v>SMr</v>
      </c>
      <c r="H1403">
        <v>4</v>
      </c>
      <c r="O1403" s="7">
        <v>187</v>
      </c>
    </row>
    <row r="1404" spans="1:17" x14ac:dyDescent="0.2">
      <c r="A1404">
        <v>1403</v>
      </c>
      <c r="B1404" s="1">
        <v>40763</v>
      </c>
      <c r="C1404" t="s">
        <v>28</v>
      </c>
      <c r="D1404" s="7">
        <v>26</v>
      </c>
      <c r="E1404" s="7">
        <v>5</v>
      </c>
      <c r="F1404" s="7">
        <f t="shared" si="22"/>
        <v>2</v>
      </c>
      <c r="G1404" s="7" t="str">
        <f>LOOKUP(H1404,[1]startdates!$A$2:$A$10,[1]startdates!$B$2:$B$10)</f>
        <v>SMr</v>
      </c>
      <c r="H1404">
        <v>4</v>
      </c>
      <c r="O1404" s="7">
        <v>155</v>
      </c>
    </row>
    <row r="1405" spans="1:17" x14ac:dyDescent="0.2">
      <c r="A1405">
        <v>1404</v>
      </c>
      <c r="B1405" s="1">
        <v>40763</v>
      </c>
      <c r="C1405" t="s">
        <v>28</v>
      </c>
      <c r="D1405" s="7">
        <v>26</v>
      </c>
      <c r="E1405" s="7">
        <v>5</v>
      </c>
      <c r="F1405" s="7">
        <f t="shared" si="22"/>
        <v>2</v>
      </c>
      <c r="G1405" s="7" t="str">
        <f>LOOKUP(H1405,[1]startdates!$A$2:$A$10,[1]startdates!$B$2:$B$10)</f>
        <v>C</v>
      </c>
      <c r="H1405">
        <v>5</v>
      </c>
      <c r="I1405" s="7">
        <v>722</v>
      </c>
      <c r="K1405" s="7">
        <v>568</v>
      </c>
      <c r="L1405" s="7">
        <v>400</v>
      </c>
      <c r="M1405" s="7">
        <v>333</v>
      </c>
      <c r="N1405" s="7">
        <v>179</v>
      </c>
      <c r="O1405" s="7">
        <v>167</v>
      </c>
    </row>
    <row r="1406" spans="1:17" x14ac:dyDescent="0.2">
      <c r="A1406">
        <v>1405</v>
      </c>
      <c r="B1406" s="1">
        <v>40763</v>
      </c>
      <c r="C1406" t="s">
        <v>28</v>
      </c>
      <c r="D1406" s="7">
        <v>26</v>
      </c>
      <c r="E1406" s="7">
        <v>5</v>
      </c>
      <c r="F1406" s="7">
        <f t="shared" si="22"/>
        <v>2</v>
      </c>
      <c r="G1406" s="7" t="str">
        <f>LOOKUP(H1406,[1]startdates!$A$2:$A$10,[1]startdates!$B$2:$B$10)</f>
        <v>C</v>
      </c>
      <c r="H1406">
        <v>5</v>
      </c>
      <c r="I1406" s="7">
        <v>771</v>
      </c>
      <c r="K1406" s="7">
        <v>678</v>
      </c>
      <c r="L1406" s="7">
        <v>435</v>
      </c>
      <c r="M1406" s="7">
        <v>317</v>
      </c>
      <c r="N1406" s="7">
        <v>254</v>
      </c>
      <c r="O1406" s="7">
        <v>167</v>
      </c>
    </row>
    <row r="1407" spans="1:17" x14ac:dyDescent="0.2">
      <c r="A1407">
        <v>1406</v>
      </c>
      <c r="B1407" s="1">
        <v>40763</v>
      </c>
      <c r="C1407" t="s">
        <v>28</v>
      </c>
      <c r="D1407" s="7">
        <v>26</v>
      </c>
      <c r="E1407" s="7">
        <v>5</v>
      </c>
      <c r="F1407" s="7">
        <f t="shared" si="22"/>
        <v>2</v>
      </c>
      <c r="G1407" s="7" t="str">
        <f>LOOKUP(H1407,[1]startdates!$A$2:$A$10,[1]startdates!$B$2:$B$10)</f>
        <v>C</v>
      </c>
      <c r="H1407">
        <v>5</v>
      </c>
      <c r="I1407" s="7">
        <v>786</v>
      </c>
      <c r="M1407" s="7">
        <v>332</v>
      </c>
      <c r="N1407" s="7">
        <v>229</v>
      </c>
      <c r="O1407" s="7">
        <v>174</v>
      </c>
    </row>
    <row r="1408" spans="1:17" x14ac:dyDescent="0.2">
      <c r="A1408">
        <v>1407</v>
      </c>
      <c r="B1408" s="1">
        <v>40763</v>
      </c>
      <c r="C1408" t="s">
        <v>28</v>
      </c>
      <c r="D1408" s="7">
        <v>26</v>
      </c>
      <c r="E1408" s="7">
        <v>5</v>
      </c>
      <c r="F1408" s="7">
        <f t="shared" si="22"/>
        <v>2</v>
      </c>
      <c r="G1408" s="7" t="str">
        <f>LOOKUP(H1408,[1]startdates!$A$2:$A$10,[1]startdates!$B$2:$B$10)</f>
        <v>C</v>
      </c>
      <c r="H1408">
        <v>5</v>
      </c>
      <c r="I1408" s="7">
        <v>688</v>
      </c>
      <c r="M1408" s="7">
        <v>343</v>
      </c>
      <c r="N1408" s="7">
        <v>188</v>
      </c>
      <c r="O1408" s="7">
        <v>155</v>
      </c>
    </row>
    <row r="1409" spans="1:16" x14ac:dyDescent="0.2">
      <c r="A1409">
        <v>1408</v>
      </c>
      <c r="B1409" s="1">
        <v>40763</v>
      </c>
      <c r="C1409" t="s">
        <v>28</v>
      </c>
      <c r="D1409" s="7">
        <v>26</v>
      </c>
      <c r="E1409" s="7">
        <v>5</v>
      </c>
      <c r="F1409" s="7">
        <f t="shared" si="22"/>
        <v>2</v>
      </c>
      <c r="G1409" s="7" t="str">
        <f>LOOKUP(H1409,[1]startdates!$A$2:$A$10,[1]startdates!$B$2:$B$10)</f>
        <v>C</v>
      </c>
      <c r="H1409">
        <v>5</v>
      </c>
      <c r="I1409" s="7">
        <v>839</v>
      </c>
      <c r="M1409" s="7">
        <v>333</v>
      </c>
      <c r="N1409" s="7">
        <v>188</v>
      </c>
      <c r="O1409" s="7">
        <v>168</v>
      </c>
    </row>
    <row r="1410" spans="1:16" x14ac:dyDescent="0.2">
      <c r="A1410">
        <v>1409</v>
      </c>
      <c r="B1410" s="1">
        <v>40763</v>
      </c>
      <c r="C1410" t="s">
        <v>28</v>
      </c>
      <c r="D1410" s="7">
        <v>26</v>
      </c>
      <c r="E1410" s="7">
        <v>5</v>
      </c>
      <c r="F1410" s="7">
        <f t="shared" si="22"/>
        <v>2</v>
      </c>
      <c r="G1410" s="7" t="str">
        <f>LOOKUP(H1410,[1]startdates!$A$2:$A$10,[1]startdates!$B$2:$B$10)</f>
        <v>C</v>
      </c>
      <c r="H1410">
        <v>5</v>
      </c>
      <c r="I1410" s="7">
        <v>664</v>
      </c>
      <c r="M1410" s="7">
        <v>336</v>
      </c>
      <c r="N1410" s="7">
        <v>183</v>
      </c>
      <c r="O1410" s="7">
        <v>162</v>
      </c>
    </row>
    <row r="1411" spans="1:16" x14ac:dyDescent="0.2">
      <c r="A1411">
        <v>1410</v>
      </c>
      <c r="B1411" s="1">
        <v>40763</v>
      </c>
      <c r="C1411" t="s">
        <v>28</v>
      </c>
      <c r="D1411" s="7">
        <v>26</v>
      </c>
      <c r="E1411" s="7">
        <v>5</v>
      </c>
      <c r="F1411" s="7">
        <f t="shared" si="22"/>
        <v>2</v>
      </c>
      <c r="G1411" s="7" t="str">
        <f>LOOKUP(H1411,[1]startdates!$A$2:$A$10,[1]startdates!$B$2:$B$10)</f>
        <v>C</v>
      </c>
      <c r="H1411">
        <v>5</v>
      </c>
      <c r="N1411" s="7">
        <v>236</v>
      </c>
      <c r="O1411" s="7">
        <v>155</v>
      </c>
    </row>
    <row r="1412" spans="1:16" x14ac:dyDescent="0.2">
      <c r="A1412">
        <v>1411</v>
      </c>
      <c r="B1412" s="1">
        <v>40763</v>
      </c>
      <c r="C1412" t="s">
        <v>28</v>
      </c>
      <c r="D1412" s="7">
        <v>26</v>
      </c>
      <c r="E1412" s="7">
        <v>5</v>
      </c>
      <c r="F1412" s="7">
        <f t="shared" si="22"/>
        <v>2</v>
      </c>
      <c r="G1412" s="7" t="str">
        <f>LOOKUP(H1412,[1]startdates!$A$2:$A$10,[1]startdates!$B$2:$B$10)</f>
        <v>C</v>
      </c>
      <c r="H1412">
        <v>5</v>
      </c>
      <c r="N1412" s="7">
        <v>178</v>
      </c>
      <c r="O1412" s="7">
        <v>168</v>
      </c>
    </row>
    <row r="1413" spans="1:16" x14ac:dyDescent="0.2">
      <c r="A1413">
        <v>1412</v>
      </c>
      <c r="B1413" s="1">
        <v>40763</v>
      </c>
      <c r="C1413" t="s">
        <v>28</v>
      </c>
      <c r="D1413" s="7">
        <v>26</v>
      </c>
      <c r="E1413" s="7">
        <v>5</v>
      </c>
      <c r="F1413" s="7">
        <f t="shared" si="22"/>
        <v>2</v>
      </c>
      <c r="G1413" s="7" t="str">
        <f>LOOKUP(H1413,[1]startdates!$A$2:$A$10,[1]startdates!$B$2:$B$10)</f>
        <v>C</v>
      </c>
      <c r="H1413">
        <v>5</v>
      </c>
      <c r="N1413" s="7">
        <v>182</v>
      </c>
      <c r="O1413" s="7">
        <v>159</v>
      </c>
    </row>
    <row r="1414" spans="1:16" x14ac:dyDescent="0.2">
      <c r="A1414">
        <v>1413</v>
      </c>
      <c r="B1414" s="1">
        <v>40763</v>
      </c>
      <c r="C1414" t="s">
        <v>28</v>
      </c>
      <c r="D1414" s="7">
        <v>26</v>
      </c>
      <c r="E1414" s="7">
        <v>5</v>
      </c>
      <c r="F1414" s="7">
        <f t="shared" si="22"/>
        <v>2</v>
      </c>
      <c r="G1414" s="7" t="str">
        <f>LOOKUP(H1414,[1]startdates!$A$2:$A$10,[1]startdates!$B$2:$B$10)</f>
        <v>C</v>
      </c>
      <c r="H1414">
        <v>5</v>
      </c>
      <c r="N1414" s="7">
        <v>214</v>
      </c>
      <c r="O1414" s="7">
        <v>178</v>
      </c>
    </row>
    <row r="1415" spans="1:16" x14ac:dyDescent="0.2">
      <c r="A1415">
        <v>1414</v>
      </c>
      <c r="B1415" s="1">
        <v>40763</v>
      </c>
      <c r="C1415" t="s">
        <v>28</v>
      </c>
      <c r="D1415" s="7">
        <v>26</v>
      </c>
      <c r="E1415" s="7">
        <v>5</v>
      </c>
      <c r="F1415" s="7">
        <f t="shared" si="22"/>
        <v>2</v>
      </c>
      <c r="G1415" s="7" t="str">
        <f>LOOKUP(H1415,[1]startdates!$A$2:$A$10,[1]startdates!$B$2:$B$10)</f>
        <v>C</v>
      </c>
      <c r="H1415">
        <v>5</v>
      </c>
      <c r="N1415" s="7">
        <v>233</v>
      </c>
    </row>
    <row r="1416" spans="1:16" x14ac:dyDescent="0.2">
      <c r="A1416">
        <v>1415</v>
      </c>
      <c r="B1416" s="1">
        <v>40763</v>
      </c>
      <c r="C1416" t="s">
        <v>28</v>
      </c>
      <c r="D1416" s="7">
        <v>26</v>
      </c>
      <c r="E1416" s="7">
        <v>5</v>
      </c>
      <c r="F1416" s="7">
        <f t="shared" si="22"/>
        <v>2</v>
      </c>
      <c r="G1416" s="7" t="str">
        <f>LOOKUP(H1416,[1]startdates!$A$2:$A$10,[1]startdates!$B$2:$B$10)</f>
        <v>FMr</v>
      </c>
      <c r="H1416">
        <v>6</v>
      </c>
      <c r="I1416" s="7">
        <v>773</v>
      </c>
      <c r="K1416" s="7">
        <v>611</v>
      </c>
      <c r="L1416" s="7">
        <v>437</v>
      </c>
      <c r="M1416" s="7">
        <v>364</v>
      </c>
      <c r="N1416" s="7">
        <v>273</v>
      </c>
      <c r="O1416" s="7">
        <v>158</v>
      </c>
      <c r="P1416" s="7">
        <v>598</v>
      </c>
    </row>
    <row r="1417" spans="1:16" x14ac:dyDescent="0.2">
      <c r="A1417">
        <v>1416</v>
      </c>
      <c r="B1417" s="1">
        <v>40763</v>
      </c>
      <c r="C1417" t="s">
        <v>28</v>
      </c>
      <c r="D1417" s="7">
        <v>26</v>
      </c>
      <c r="E1417" s="7">
        <v>5</v>
      </c>
      <c r="F1417" s="7">
        <f t="shared" si="22"/>
        <v>2</v>
      </c>
      <c r="G1417" s="7" t="str">
        <f>LOOKUP(H1417,[1]startdates!$A$2:$A$10,[1]startdates!$B$2:$B$10)</f>
        <v>FMr</v>
      </c>
      <c r="H1417">
        <v>6</v>
      </c>
      <c r="I1417" s="7">
        <v>827</v>
      </c>
      <c r="K1417" s="7">
        <v>569</v>
      </c>
      <c r="L1417" s="7">
        <v>536</v>
      </c>
      <c r="M1417" s="7">
        <v>381</v>
      </c>
      <c r="N1417" s="7">
        <v>184</v>
      </c>
      <c r="O1417" s="7">
        <v>198</v>
      </c>
    </row>
    <row r="1418" spans="1:16" x14ac:dyDescent="0.2">
      <c r="A1418">
        <v>1417</v>
      </c>
      <c r="B1418" s="1">
        <v>40763</v>
      </c>
      <c r="C1418" t="s">
        <v>28</v>
      </c>
      <c r="D1418" s="7">
        <v>26</v>
      </c>
      <c r="E1418" s="7">
        <v>5</v>
      </c>
      <c r="F1418" s="7">
        <f t="shared" si="22"/>
        <v>2</v>
      </c>
      <c r="G1418" s="7" t="str">
        <f>LOOKUP(H1418,[1]startdates!$A$2:$A$10,[1]startdates!$B$2:$B$10)</f>
        <v>FMr</v>
      </c>
      <c r="H1418">
        <v>6</v>
      </c>
      <c r="I1418" s="7">
        <v>604</v>
      </c>
      <c r="K1418" s="7">
        <v>506</v>
      </c>
      <c r="L1418" s="7">
        <v>481</v>
      </c>
      <c r="M1418" s="7">
        <v>372</v>
      </c>
      <c r="N1418" s="7">
        <v>235</v>
      </c>
      <c r="O1418" s="7">
        <v>176</v>
      </c>
    </row>
    <row r="1419" spans="1:16" x14ac:dyDescent="0.2">
      <c r="A1419">
        <v>1418</v>
      </c>
      <c r="B1419" s="1">
        <v>40763</v>
      </c>
      <c r="C1419" t="s">
        <v>28</v>
      </c>
      <c r="D1419" s="7">
        <v>26</v>
      </c>
      <c r="E1419" s="7">
        <v>5</v>
      </c>
      <c r="F1419" s="7">
        <f t="shared" si="22"/>
        <v>2</v>
      </c>
      <c r="G1419" s="7" t="str">
        <f>LOOKUP(H1419,[1]startdates!$A$2:$A$10,[1]startdates!$B$2:$B$10)</f>
        <v>FMr</v>
      </c>
      <c r="H1419">
        <v>6</v>
      </c>
      <c r="I1419" s="7">
        <v>739</v>
      </c>
      <c r="M1419" s="7">
        <v>342</v>
      </c>
      <c r="N1419" s="7">
        <v>240</v>
      </c>
      <c r="O1419" s="7">
        <v>189</v>
      </c>
    </row>
    <row r="1420" spans="1:16" x14ac:dyDescent="0.2">
      <c r="A1420">
        <v>1419</v>
      </c>
      <c r="B1420" s="1">
        <v>40763</v>
      </c>
      <c r="C1420" t="s">
        <v>28</v>
      </c>
      <c r="D1420" s="7">
        <v>26</v>
      </c>
      <c r="E1420" s="7">
        <v>5</v>
      </c>
      <c r="F1420" s="7">
        <f t="shared" si="22"/>
        <v>2</v>
      </c>
      <c r="G1420" s="7" t="str">
        <f>LOOKUP(H1420,[1]startdates!$A$2:$A$10,[1]startdates!$B$2:$B$10)</f>
        <v>FMr</v>
      </c>
      <c r="H1420">
        <v>6</v>
      </c>
      <c r="I1420" s="7">
        <v>736</v>
      </c>
      <c r="N1420" s="7">
        <v>214</v>
      </c>
      <c r="O1420" s="7">
        <v>155</v>
      </c>
    </row>
    <row r="1421" spans="1:16" x14ac:dyDescent="0.2">
      <c r="A1421">
        <v>1420</v>
      </c>
      <c r="B1421" s="1">
        <v>40763</v>
      </c>
      <c r="C1421" t="s">
        <v>28</v>
      </c>
      <c r="D1421" s="7">
        <v>26</v>
      </c>
      <c r="E1421" s="7">
        <v>5</v>
      </c>
      <c r="F1421" s="7">
        <f t="shared" si="22"/>
        <v>2</v>
      </c>
      <c r="G1421" s="7" t="str">
        <f>LOOKUP(H1421,[1]startdates!$A$2:$A$10,[1]startdates!$B$2:$B$10)</f>
        <v>FMr</v>
      </c>
      <c r="H1421">
        <v>6</v>
      </c>
      <c r="I1421" s="7">
        <v>787</v>
      </c>
      <c r="N1421" s="7">
        <v>211</v>
      </c>
      <c r="O1421" s="7">
        <v>170</v>
      </c>
    </row>
    <row r="1422" spans="1:16" x14ac:dyDescent="0.2">
      <c r="A1422">
        <v>1421</v>
      </c>
      <c r="B1422" s="1">
        <v>40763</v>
      </c>
      <c r="C1422" t="s">
        <v>28</v>
      </c>
      <c r="D1422" s="7">
        <v>26</v>
      </c>
      <c r="E1422" s="7">
        <v>5</v>
      </c>
      <c r="F1422" s="7">
        <f t="shared" si="22"/>
        <v>2</v>
      </c>
      <c r="G1422" s="7" t="str">
        <f>LOOKUP(H1422,[1]startdates!$A$2:$A$10,[1]startdates!$B$2:$B$10)</f>
        <v>FMr</v>
      </c>
      <c r="H1422">
        <v>6</v>
      </c>
      <c r="N1422" s="7">
        <v>181</v>
      </c>
      <c r="O1422" s="7">
        <v>185</v>
      </c>
    </row>
    <row r="1423" spans="1:16" x14ac:dyDescent="0.2">
      <c r="A1423">
        <v>1422</v>
      </c>
      <c r="B1423" s="1">
        <v>40763</v>
      </c>
      <c r="C1423" t="s">
        <v>28</v>
      </c>
      <c r="D1423" s="7">
        <v>26</v>
      </c>
      <c r="E1423" s="7">
        <v>5</v>
      </c>
      <c r="F1423" s="7">
        <f t="shared" si="22"/>
        <v>2</v>
      </c>
      <c r="G1423" s="7" t="str">
        <f>LOOKUP(H1423,[1]startdates!$A$2:$A$10,[1]startdates!$B$2:$B$10)</f>
        <v>FMr</v>
      </c>
      <c r="H1423">
        <v>6</v>
      </c>
      <c r="N1423" s="7">
        <v>192</v>
      </c>
      <c r="O1423" s="7">
        <v>157</v>
      </c>
    </row>
    <row r="1424" spans="1:16" x14ac:dyDescent="0.2">
      <c r="A1424">
        <v>1423</v>
      </c>
      <c r="B1424" s="1">
        <v>40763</v>
      </c>
      <c r="C1424" t="s">
        <v>28</v>
      </c>
      <c r="D1424" s="7">
        <v>26</v>
      </c>
      <c r="E1424" s="7">
        <v>5</v>
      </c>
      <c r="F1424" s="7">
        <f t="shared" si="22"/>
        <v>2</v>
      </c>
      <c r="G1424" s="7" t="str">
        <f>LOOKUP(H1424,[1]startdates!$A$2:$A$10,[1]startdates!$B$2:$B$10)</f>
        <v>FMr</v>
      </c>
      <c r="H1424">
        <v>6</v>
      </c>
      <c r="N1424" s="7">
        <v>225</v>
      </c>
      <c r="O1424" s="7">
        <v>163</v>
      </c>
    </row>
    <row r="1425" spans="1:16" x14ac:dyDescent="0.2">
      <c r="A1425">
        <v>1424</v>
      </c>
      <c r="B1425" s="1">
        <v>40763</v>
      </c>
      <c r="C1425" t="s">
        <v>28</v>
      </c>
      <c r="D1425" s="7">
        <v>26</v>
      </c>
      <c r="E1425" s="7">
        <v>5</v>
      </c>
      <c r="F1425" s="7">
        <f t="shared" si="22"/>
        <v>2</v>
      </c>
      <c r="G1425" s="7" t="str">
        <f>LOOKUP(H1425,[1]startdates!$A$2:$A$10,[1]startdates!$B$2:$B$10)</f>
        <v>FMr</v>
      </c>
      <c r="H1425">
        <v>6</v>
      </c>
      <c r="N1425" s="7">
        <v>281</v>
      </c>
      <c r="O1425" s="7">
        <v>165</v>
      </c>
    </row>
    <row r="1426" spans="1:16" x14ac:dyDescent="0.2">
      <c r="A1426">
        <v>1425</v>
      </c>
      <c r="B1426" s="1">
        <v>40763</v>
      </c>
      <c r="C1426" t="s">
        <v>28</v>
      </c>
      <c r="D1426" s="7">
        <v>26</v>
      </c>
      <c r="E1426" s="7">
        <v>5</v>
      </c>
      <c r="F1426" s="7">
        <f t="shared" si="22"/>
        <v>2</v>
      </c>
      <c r="G1426" s="7" t="str">
        <f>LOOKUP(H1426,[1]startdates!$A$2:$A$10,[1]startdates!$B$2:$B$10)</f>
        <v>FMr</v>
      </c>
      <c r="H1426">
        <v>6</v>
      </c>
      <c r="N1426" s="7">
        <v>208</v>
      </c>
      <c r="O1426" s="7">
        <v>174</v>
      </c>
    </row>
    <row r="1427" spans="1:16" x14ac:dyDescent="0.2">
      <c r="A1427">
        <v>1426</v>
      </c>
      <c r="B1427" s="1">
        <v>40763</v>
      </c>
      <c r="C1427" t="s">
        <v>28</v>
      </c>
      <c r="D1427" s="7">
        <v>26</v>
      </c>
      <c r="E1427" s="7">
        <v>5</v>
      </c>
      <c r="F1427" s="7">
        <f t="shared" si="22"/>
        <v>2</v>
      </c>
      <c r="G1427" s="7" t="str">
        <f>LOOKUP(H1427,[1]startdates!$A$2:$A$10,[1]startdates!$B$2:$B$10)</f>
        <v>FMr</v>
      </c>
      <c r="H1427">
        <v>6</v>
      </c>
      <c r="O1427" s="7">
        <v>171</v>
      </c>
    </row>
    <row r="1428" spans="1:16" x14ac:dyDescent="0.2">
      <c r="A1428">
        <v>1427</v>
      </c>
      <c r="B1428" s="1">
        <v>40763</v>
      </c>
      <c r="C1428" t="s">
        <v>28</v>
      </c>
      <c r="D1428" s="7">
        <v>26</v>
      </c>
      <c r="E1428" s="7">
        <v>5</v>
      </c>
      <c r="F1428" s="7">
        <f t="shared" si="22"/>
        <v>2</v>
      </c>
      <c r="G1428" s="7" t="str">
        <f>LOOKUP(H1428,[1]startdates!$A$2:$A$10,[1]startdates!$B$2:$B$10)</f>
        <v>FMr</v>
      </c>
      <c r="H1428">
        <v>7</v>
      </c>
      <c r="I1428" s="7">
        <v>641</v>
      </c>
      <c r="K1428" s="7">
        <v>587</v>
      </c>
      <c r="L1428" s="7">
        <v>448</v>
      </c>
      <c r="M1428" s="7">
        <v>322</v>
      </c>
      <c r="N1428" s="7">
        <v>157</v>
      </c>
      <c r="O1428" s="7">
        <v>137</v>
      </c>
      <c r="P1428" s="7">
        <v>563</v>
      </c>
    </row>
    <row r="1429" spans="1:16" x14ac:dyDescent="0.2">
      <c r="A1429">
        <v>1428</v>
      </c>
      <c r="B1429" s="1">
        <v>40763</v>
      </c>
      <c r="C1429" t="s">
        <v>28</v>
      </c>
      <c r="D1429" s="7">
        <v>26</v>
      </c>
      <c r="E1429" s="7">
        <v>5</v>
      </c>
      <c r="F1429" s="7">
        <f t="shared" si="22"/>
        <v>2</v>
      </c>
      <c r="G1429" s="7" t="str">
        <f>LOOKUP(H1429,[1]startdates!$A$2:$A$10,[1]startdates!$B$2:$B$10)</f>
        <v>FMr</v>
      </c>
      <c r="H1429">
        <v>7</v>
      </c>
      <c r="I1429" s="7">
        <v>716</v>
      </c>
      <c r="K1429" s="7">
        <v>515</v>
      </c>
      <c r="M1429" s="7">
        <v>380</v>
      </c>
      <c r="N1429" s="7">
        <v>178</v>
      </c>
      <c r="O1429" s="7">
        <v>170</v>
      </c>
    </row>
    <row r="1430" spans="1:16" x14ac:dyDescent="0.2">
      <c r="A1430">
        <v>1429</v>
      </c>
      <c r="B1430" s="1">
        <v>40763</v>
      </c>
      <c r="C1430" t="s">
        <v>28</v>
      </c>
      <c r="D1430" s="7">
        <v>26</v>
      </c>
      <c r="E1430" s="7">
        <v>5</v>
      </c>
      <c r="F1430" s="7">
        <f t="shared" si="22"/>
        <v>2</v>
      </c>
      <c r="G1430" s="7" t="str">
        <f>LOOKUP(H1430,[1]startdates!$A$2:$A$10,[1]startdates!$B$2:$B$10)</f>
        <v>FMr</v>
      </c>
      <c r="H1430">
        <v>7</v>
      </c>
      <c r="I1430" s="7">
        <v>785</v>
      </c>
      <c r="K1430" s="7">
        <v>570</v>
      </c>
      <c r="N1430" s="7">
        <v>188</v>
      </c>
      <c r="O1430" s="7">
        <v>121</v>
      </c>
    </row>
    <row r="1431" spans="1:16" x14ac:dyDescent="0.2">
      <c r="A1431">
        <v>1430</v>
      </c>
      <c r="B1431" s="1">
        <v>40763</v>
      </c>
      <c r="C1431" t="s">
        <v>28</v>
      </c>
      <c r="D1431" s="7">
        <v>26</v>
      </c>
      <c r="E1431" s="7">
        <v>5</v>
      </c>
      <c r="F1431" s="7">
        <f t="shared" si="22"/>
        <v>2</v>
      </c>
      <c r="G1431" s="7" t="str">
        <f>LOOKUP(H1431,[1]startdates!$A$2:$A$10,[1]startdates!$B$2:$B$10)</f>
        <v>FMr</v>
      </c>
      <c r="H1431">
        <v>7</v>
      </c>
      <c r="I1431" s="7">
        <v>789</v>
      </c>
      <c r="K1431" s="7">
        <v>624</v>
      </c>
      <c r="N1431" s="7">
        <v>207</v>
      </c>
      <c r="O1431" s="7">
        <v>169</v>
      </c>
    </row>
    <row r="1432" spans="1:16" x14ac:dyDescent="0.2">
      <c r="A1432">
        <v>1431</v>
      </c>
      <c r="B1432" s="1">
        <v>40763</v>
      </c>
      <c r="C1432" t="s">
        <v>28</v>
      </c>
      <c r="D1432" s="7">
        <v>26</v>
      </c>
      <c r="E1432" s="7">
        <v>5</v>
      </c>
      <c r="F1432" s="7">
        <f t="shared" si="22"/>
        <v>2</v>
      </c>
      <c r="G1432" s="7" t="str">
        <f>LOOKUP(H1432,[1]startdates!$A$2:$A$10,[1]startdates!$B$2:$B$10)</f>
        <v>FMr</v>
      </c>
      <c r="H1432">
        <v>7</v>
      </c>
      <c r="I1432" s="7">
        <v>696</v>
      </c>
      <c r="K1432" s="7">
        <v>543</v>
      </c>
      <c r="N1432" s="7">
        <v>172</v>
      </c>
      <c r="O1432" s="7">
        <v>176</v>
      </c>
    </row>
    <row r="1433" spans="1:16" x14ac:dyDescent="0.2">
      <c r="A1433">
        <v>1432</v>
      </c>
      <c r="B1433" s="1">
        <v>40763</v>
      </c>
      <c r="C1433" t="s">
        <v>28</v>
      </c>
      <c r="D1433" s="7">
        <v>26</v>
      </c>
      <c r="E1433" s="7">
        <v>5</v>
      </c>
      <c r="F1433" s="7">
        <f t="shared" si="22"/>
        <v>2</v>
      </c>
      <c r="G1433" s="7" t="str">
        <f>LOOKUP(H1433,[1]startdates!$A$2:$A$10,[1]startdates!$B$2:$B$10)</f>
        <v>FMr</v>
      </c>
      <c r="H1433">
        <v>7</v>
      </c>
      <c r="I1433" s="7">
        <v>635</v>
      </c>
      <c r="N1433" s="7">
        <v>184</v>
      </c>
      <c r="O1433" s="7">
        <v>144</v>
      </c>
    </row>
    <row r="1434" spans="1:16" x14ac:dyDescent="0.2">
      <c r="A1434">
        <v>1433</v>
      </c>
      <c r="B1434" s="1">
        <v>40763</v>
      </c>
      <c r="C1434" t="s">
        <v>28</v>
      </c>
      <c r="D1434" s="7">
        <v>26</v>
      </c>
      <c r="E1434" s="7">
        <v>5</v>
      </c>
      <c r="F1434" s="7">
        <f t="shared" si="22"/>
        <v>2</v>
      </c>
      <c r="G1434" s="7" t="str">
        <f>LOOKUP(H1434,[1]startdates!$A$2:$A$10,[1]startdates!$B$2:$B$10)</f>
        <v>FMr</v>
      </c>
      <c r="H1434">
        <v>7</v>
      </c>
      <c r="I1434" s="7">
        <v>691</v>
      </c>
      <c r="N1434" s="7">
        <v>227</v>
      </c>
      <c r="O1434" s="7">
        <v>158</v>
      </c>
    </row>
    <row r="1435" spans="1:16" x14ac:dyDescent="0.2">
      <c r="A1435">
        <v>1434</v>
      </c>
      <c r="B1435" s="1">
        <v>40763</v>
      </c>
      <c r="C1435" t="s">
        <v>28</v>
      </c>
      <c r="D1435" s="7">
        <v>26</v>
      </c>
      <c r="E1435" s="7">
        <v>5</v>
      </c>
      <c r="F1435" s="7">
        <f t="shared" si="22"/>
        <v>2</v>
      </c>
      <c r="G1435" s="7" t="str">
        <f>LOOKUP(H1435,[1]startdates!$A$2:$A$10,[1]startdates!$B$2:$B$10)</f>
        <v>FMr</v>
      </c>
      <c r="H1435">
        <v>7</v>
      </c>
      <c r="N1435" s="7">
        <v>175</v>
      </c>
      <c r="O1435" s="7">
        <v>151</v>
      </c>
    </row>
    <row r="1436" spans="1:16" x14ac:dyDescent="0.2">
      <c r="A1436">
        <v>1435</v>
      </c>
      <c r="B1436" s="1">
        <v>40763</v>
      </c>
      <c r="C1436" t="s">
        <v>28</v>
      </c>
      <c r="D1436" s="7">
        <v>26</v>
      </c>
      <c r="E1436" s="7">
        <v>5</v>
      </c>
      <c r="F1436" s="7">
        <f t="shared" si="22"/>
        <v>2</v>
      </c>
      <c r="G1436" s="7" t="str">
        <f>LOOKUP(H1436,[1]startdates!$A$2:$A$10,[1]startdates!$B$2:$B$10)</f>
        <v>FMr</v>
      </c>
      <c r="H1436">
        <v>7</v>
      </c>
      <c r="N1436" s="7">
        <v>184</v>
      </c>
      <c r="O1436" s="7">
        <v>145</v>
      </c>
    </row>
    <row r="1437" spans="1:16" x14ac:dyDescent="0.2">
      <c r="A1437">
        <v>1436</v>
      </c>
      <c r="B1437" s="1">
        <v>40763</v>
      </c>
      <c r="C1437" t="s">
        <v>28</v>
      </c>
      <c r="D1437" s="7">
        <v>26</v>
      </c>
      <c r="E1437" s="7">
        <v>5</v>
      </c>
      <c r="F1437" s="7">
        <f t="shared" si="22"/>
        <v>2</v>
      </c>
      <c r="G1437" s="7" t="str">
        <f>LOOKUP(H1437,[1]startdates!$A$2:$A$10,[1]startdates!$B$2:$B$10)</f>
        <v>FMr</v>
      </c>
      <c r="H1437">
        <v>7</v>
      </c>
      <c r="N1437" s="7">
        <v>180</v>
      </c>
      <c r="O1437" s="7">
        <v>188</v>
      </c>
    </row>
    <row r="1438" spans="1:16" x14ac:dyDescent="0.2">
      <c r="A1438">
        <v>1437</v>
      </c>
      <c r="B1438" s="1">
        <v>40763</v>
      </c>
      <c r="C1438" t="s">
        <v>28</v>
      </c>
      <c r="D1438" s="7">
        <v>26</v>
      </c>
      <c r="E1438" s="7">
        <v>5</v>
      </c>
      <c r="F1438" s="7">
        <f t="shared" si="22"/>
        <v>2</v>
      </c>
      <c r="G1438" s="7" t="str">
        <f>LOOKUP(H1438,[1]startdates!$A$2:$A$10,[1]startdates!$B$2:$B$10)</f>
        <v>FMr</v>
      </c>
      <c r="H1438">
        <v>7</v>
      </c>
      <c r="O1438" s="7">
        <v>172</v>
      </c>
    </row>
    <row r="1439" spans="1:16" x14ac:dyDescent="0.2">
      <c r="A1439">
        <v>1438</v>
      </c>
      <c r="B1439" s="1">
        <v>40763</v>
      </c>
      <c r="C1439" t="s">
        <v>28</v>
      </c>
      <c r="D1439" s="7">
        <v>26</v>
      </c>
      <c r="E1439" s="7">
        <v>5</v>
      </c>
      <c r="F1439" s="7">
        <f t="shared" si="22"/>
        <v>2</v>
      </c>
      <c r="G1439" s="7" t="str">
        <f>LOOKUP(H1439,[1]startdates!$A$2:$A$10,[1]startdates!$B$2:$B$10)</f>
        <v>FMr</v>
      </c>
      <c r="H1439">
        <v>7</v>
      </c>
      <c r="O1439" s="7">
        <v>180</v>
      </c>
    </row>
    <row r="1440" spans="1:16" x14ac:dyDescent="0.2">
      <c r="A1440">
        <v>1439</v>
      </c>
      <c r="B1440" s="1">
        <v>40763</v>
      </c>
      <c r="C1440" t="s">
        <v>28</v>
      </c>
      <c r="D1440" s="7">
        <v>26</v>
      </c>
      <c r="E1440" s="7">
        <v>5</v>
      </c>
      <c r="F1440" s="7">
        <f t="shared" si="22"/>
        <v>2</v>
      </c>
      <c r="G1440" s="7" t="str">
        <f>LOOKUP(H1440,[1]startdates!$A$2:$A$10,[1]startdates!$B$2:$B$10)</f>
        <v>FMr</v>
      </c>
      <c r="H1440">
        <v>7</v>
      </c>
      <c r="O1440" s="7">
        <v>178</v>
      </c>
    </row>
    <row r="1441" spans="1:16" x14ac:dyDescent="0.2">
      <c r="A1441">
        <v>1440</v>
      </c>
      <c r="B1441" s="1">
        <v>40763</v>
      </c>
      <c r="C1441" t="s">
        <v>28</v>
      </c>
      <c r="D1441" s="7">
        <v>26</v>
      </c>
      <c r="E1441" s="7">
        <v>5</v>
      </c>
      <c r="F1441" s="7">
        <f t="shared" si="22"/>
        <v>2</v>
      </c>
      <c r="G1441" s="7" t="str">
        <f>LOOKUP(H1441,[1]startdates!$A$2:$A$10,[1]startdates!$B$2:$B$10)</f>
        <v>C</v>
      </c>
      <c r="H1441">
        <v>8</v>
      </c>
      <c r="I1441" s="7">
        <v>801</v>
      </c>
      <c r="K1441" s="7">
        <v>661</v>
      </c>
      <c r="L1441" s="7">
        <v>511</v>
      </c>
      <c r="M1441" s="7">
        <v>333</v>
      </c>
      <c r="N1441" s="7">
        <v>246</v>
      </c>
      <c r="O1441" s="7">
        <v>155</v>
      </c>
      <c r="P1441" s="7">
        <v>512</v>
      </c>
    </row>
    <row r="1442" spans="1:16" x14ac:dyDescent="0.2">
      <c r="A1442">
        <v>1441</v>
      </c>
      <c r="B1442" s="1">
        <v>40763</v>
      </c>
      <c r="C1442" t="s">
        <v>28</v>
      </c>
      <c r="D1442" s="7">
        <v>26</v>
      </c>
      <c r="E1442" s="7">
        <v>5</v>
      </c>
      <c r="F1442" s="7">
        <f t="shared" si="22"/>
        <v>2</v>
      </c>
      <c r="G1442" s="7" t="str">
        <f>LOOKUP(H1442,[1]startdates!$A$2:$A$10,[1]startdates!$B$2:$B$10)</f>
        <v>C</v>
      </c>
      <c r="H1442">
        <v>8</v>
      </c>
      <c r="I1442" s="7">
        <v>799</v>
      </c>
      <c r="L1442" s="7">
        <v>495</v>
      </c>
      <c r="M1442" s="7">
        <v>405</v>
      </c>
      <c r="N1442" s="7">
        <v>212</v>
      </c>
      <c r="O1442" s="7">
        <v>179</v>
      </c>
    </row>
    <row r="1443" spans="1:16" x14ac:dyDescent="0.2">
      <c r="A1443">
        <v>1442</v>
      </c>
      <c r="B1443" s="1">
        <v>40763</v>
      </c>
      <c r="C1443" t="s">
        <v>28</v>
      </c>
      <c r="D1443" s="7">
        <v>26</v>
      </c>
      <c r="E1443" s="7">
        <v>5</v>
      </c>
      <c r="F1443" s="7">
        <f t="shared" si="22"/>
        <v>2</v>
      </c>
      <c r="G1443" s="7" t="str">
        <f>LOOKUP(H1443,[1]startdates!$A$2:$A$10,[1]startdates!$B$2:$B$10)</f>
        <v>C</v>
      </c>
      <c r="H1443">
        <v>8</v>
      </c>
      <c r="I1443" s="7">
        <v>785</v>
      </c>
      <c r="L1443" s="7">
        <v>532</v>
      </c>
      <c r="N1443" s="7">
        <v>215</v>
      </c>
      <c r="O1443" s="7">
        <v>168</v>
      </c>
    </row>
    <row r="1444" spans="1:16" x14ac:dyDescent="0.2">
      <c r="A1444">
        <v>1443</v>
      </c>
      <c r="B1444" s="1">
        <v>40763</v>
      </c>
      <c r="C1444" t="s">
        <v>28</v>
      </c>
      <c r="D1444" s="7">
        <v>26</v>
      </c>
      <c r="E1444" s="7">
        <v>5</v>
      </c>
      <c r="F1444" s="7">
        <f t="shared" si="22"/>
        <v>2</v>
      </c>
      <c r="G1444" s="7" t="str">
        <f>LOOKUP(H1444,[1]startdates!$A$2:$A$10,[1]startdates!$B$2:$B$10)</f>
        <v>C</v>
      </c>
      <c r="H1444">
        <v>8</v>
      </c>
      <c r="I1444" s="7">
        <v>756</v>
      </c>
      <c r="N1444" s="7">
        <v>229</v>
      </c>
      <c r="O1444" s="7">
        <v>178</v>
      </c>
    </row>
    <row r="1445" spans="1:16" x14ac:dyDescent="0.2">
      <c r="A1445">
        <v>1444</v>
      </c>
      <c r="B1445" s="1">
        <v>40763</v>
      </c>
      <c r="C1445" t="s">
        <v>28</v>
      </c>
      <c r="D1445" s="7">
        <v>26</v>
      </c>
      <c r="E1445" s="7">
        <v>5</v>
      </c>
      <c r="F1445" s="7">
        <f t="shared" si="22"/>
        <v>2</v>
      </c>
      <c r="G1445" s="7" t="str">
        <f>LOOKUP(H1445,[1]startdates!$A$2:$A$10,[1]startdates!$B$2:$B$10)</f>
        <v>C</v>
      </c>
      <c r="H1445">
        <v>8</v>
      </c>
      <c r="N1445" s="7">
        <v>185</v>
      </c>
      <c r="O1445" s="7">
        <v>170</v>
      </c>
    </row>
    <row r="1446" spans="1:16" x14ac:dyDescent="0.2">
      <c r="A1446">
        <v>1445</v>
      </c>
      <c r="B1446" s="1">
        <v>40763</v>
      </c>
      <c r="C1446" t="s">
        <v>28</v>
      </c>
      <c r="D1446" s="7">
        <v>26</v>
      </c>
      <c r="E1446" s="7">
        <v>5</v>
      </c>
      <c r="F1446" s="7">
        <f t="shared" si="22"/>
        <v>2</v>
      </c>
      <c r="G1446" s="7" t="str">
        <f>LOOKUP(H1446,[1]startdates!$A$2:$A$10,[1]startdates!$B$2:$B$10)</f>
        <v>C</v>
      </c>
      <c r="H1446">
        <v>8</v>
      </c>
      <c r="N1446" s="7">
        <v>182</v>
      </c>
      <c r="O1446" s="7">
        <v>161</v>
      </c>
    </row>
    <row r="1447" spans="1:16" x14ac:dyDescent="0.2">
      <c r="A1447">
        <v>1446</v>
      </c>
      <c r="B1447" s="1">
        <v>40763</v>
      </c>
      <c r="C1447" t="s">
        <v>28</v>
      </c>
      <c r="D1447" s="7">
        <v>26</v>
      </c>
      <c r="E1447" s="7">
        <v>5</v>
      </c>
      <c r="F1447" s="7">
        <f t="shared" si="22"/>
        <v>2</v>
      </c>
      <c r="G1447" s="7" t="str">
        <f>LOOKUP(H1447,[1]startdates!$A$2:$A$10,[1]startdates!$B$2:$B$10)</f>
        <v>C</v>
      </c>
      <c r="H1447">
        <v>8</v>
      </c>
      <c r="N1447" s="7">
        <v>241</v>
      </c>
      <c r="O1447" s="7">
        <v>152</v>
      </c>
    </row>
    <row r="1448" spans="1:16" x14ac:dyDescent="0.2">
      <c r="A1448">
        <v>1447</v>
      </c>
      <c r="B1448" s="1">
        <v>40763</v>
      </c>
      <c r="C1448" t="s">
        <v>28</v>
      </c>
      <c r="D1448" s="7">
        <v>26</v>
      </c>
      <c r="E1448" s="7">
        <v>5</v>
      </c>
      <c r="F1448" s="7">
        <f t="shared" si="22"/>
        <v>2</v>
      </c>
      <c r="G1448" s="7" t="str">
        <f>LOOKUP(H1448,[1]startdates!$A$2:$A$10,[1]startdates!$B$2:$B$10)</f>
        <v>C</v>
      </c>
      <c r="H1448">
        <v>8</v>
      </c>
      <c r="N1448" s="7">
        <v>224</v>
      </c>
      <c r="O1448" s="7">
        <v>178</v>
      </c>
    </row>
    <row r="1449" spans="1:16" x14ac:dyDescent="0.2">
      <c r="A1449">
        <v>1448</v>
      </c>
      <c r="B1449" s="1">
        <v>40763</v>
      </c>
      <c r="C1449" t="s">
        <v>28</v>
      </c>
      <c r="D1449" s="7">
        <v>26</v>
      </c>
      <c r="E1449" s="7">
        <v>5</v>
      </c>
      <c r="F1449" s="7">
        <f t="shared" ref="F1449:F1512" si="23">WEEKDAY(B1449)</f>
        <v>2</v>
      </c>
      <c r="G1449" s="7" t="str">
        <f>LOOKUP(H1449,[1]startdates!$A$2:$A$10,[1]startdates!$B$2:$B$10)</f>
        <v>C</v>
      </c>
      <c r="H1449">
        <v>8</v>
      </c>
      <c r="O1449" s="7">
        <v>147</v>
      </c>
    </row>
    <row r="1450" spans="1:16" x14ac:dyDescent="0.2">
      <c r="A1450">
        <v>1449</v>
      </c>
      <c r="B1450" s="1">
        <v>40763</v>
      </c>
      <c r="C1450" t="s">
        <v>28</v>
      </c>
      <c r="D1450" s="7">
        <v>26</v>
      </c>
      <c r="E1450" s="7">
        <v>5</v>
      </c>
      <c r="F1450" s="7">
        <f t="shared" si="23"/>
        <v>2</v>
      </c>
      <c r="G1450" s="7" t="str">
        <f>LOOKUP(H1450,[1]startdates!$A$2:$A$10,[1]startdates!$B$2:$B$10)</f>
        <v>C</v>
      </c>
      <c r="H1450">
        <v>8</v>
      </c>
      <c r="O1450" s="7">
        <v>133</v>
      </c>
    </row>
    <row r="1451" spans="1:16" x14ac:dyDescent="0.2">
      <c r="A1451">
        <v>1450</v>
      </c>
      <c r="B1451" s="1">
        <v>40763</v>
      </c>
      <c r="C1451" t="s">
        <v>28</v>
      </c>
      <c r="D1451" s="7">
        <v>26</v>
      </c>
      <c r="E1451" s="7">
        <v>5</v>
      </c>
      <c r="F1451" s="7">
        <f t="shared" si="23"/>
        <v>2</v>
      </c>
      <c r="G1451" s="7" t="str">
        <f>LOOKUP(H1451,[1]startdates!$A$2:$A$10,[1]startdates!$B$2:$B$10)</f>
        <v>C</v>
      </c>
      <c r="H1451">
        <v>8</v>
      </c>
      <c r="O1451" s="7">
        <v>147</v>
      </c>
    </row>
    <row r="1452" spans="1:16" x14ac:dyDescent="0.2">
      <c r="A1452">
        <v>1451</v>
      </c>
      <c r="B1452" s="1">
        <v>40763</v>
      </c>
      <c r="C1452" t="s">
        <v>28</v>
      </c>
      <c r="D1452" s="7">
        <v>26</v>
      </c>
      <c r="E1452" s="7">
        <v>5</v>
      </c>
      <c r="F1452" s="7">
        <f t="shared" si="23"/>
        <v>2</v>
      </c>
      <c r="G1452" s="7" t="str">
        <f>LOOKUP(H1452,[1]startdates!$A$2:$A$10,[1]startdates!$B$2:$B$10)</f>
        <v>C</v>
      </c>
      <c r="H1452">
        <v>8</v>
      </c>
      <c r="O1452" s="7">
        <v>152</v>
      </c>
    </row>
    <row r="1453" spans="1:16" x14ac:dyDescent="0.2">
      <c r="A1453">
        <v>1452</v>
      </c>
      <c r="B1453" s="1">
        <v>40763</v>
      </c>
      <c r="C1453" t="s">
        <v>28</v>
      </c>
      <c r="D1453" s="7">
        <v>26</v>
      </c>
      <c r="E1453" s="7">
        <v>5</v>
      </c>
      <c r="F1453" s="7">
        <f t="shared" si="23"/>
        <v>2</v>
      </c>
      <c r="G1453" s="7" t="str">
        <f>LOOKUP(H1453,[1]startdates!$A$2:$A$10,[1]startdates!$B$2:$B$10)</f>
        <v>C</v>
      </c>
      <c r="H1453">
        <v>8</v>
      </c>
      <c r="O1453" s="7">
        <v>169</v>
      </c>
    </row>
    <row r="1454" spans="1:16" x14ac:dyDescent="0.2">
      <c r="A1454">
        <v>1453</v>
      </c>
      <c r="B1454" s="1">
        <v>40763</v>
      </c>
      <c r="C1454" t="s">
        <v>28</v>
      </c>
      <c r="D1454" s="7">
        <v>26</v>
      </c>
      <c r="E1454" s="7">
        <v>5</v>
      </c>
      <c r="F1454" s="7">
        <f t="shared" si="23"/>
        <v>2</v>
      </c>
      <c r="G1454" s="7" t="str">
        <f>LOOKUP(H1454,[1]startdates!$A$2:$A$10,[1]startdates!$B$2:$B$10)</f>
        <v>C</v>
      </c>
      <c r="H1454">
        <v>8</v>
      </c>
      <c r="O1454" s="7">
        <v>146</v>
      </c>
    </row>
    <row r="1455" spans="1:16" x14ac:dyDescent="0.2">
      <c r="A1455">
        <v>1454</v>
      </c>
      <c r="B1455" s="1">
        <v>40763</v>
      </c>
      <c r="C1455" t="s">
        <v>28</v>
      </c>
      <c r="D1455" s="7">
        <v>26</v>
      </c>
      <c r="E1455" s="7">
        <v>5</v>
      </c>
      <c r="F1455" s="7">
        <f t="shared" si="23"/>
        <v>2</v>
      </c>
      <c r="G1455" s="7" t="str">
        <f>LOOKUP(H1455,[1]startdates!$A$2:$A$10,[1]startdates!$B$2:$B$10)</f>
        <v>FMr</v>
      </c>
      <c r="H1455">
        <v>9</v>
      </c>
      <c r="I1455" s="7">
        <v>781</v>
      </c>
      <c r="K1455" s="7">
        <v>587</v>
      </c>
      <c r="L1455" s="7">
        <v>524</v>
      </c>
      <c r="N1455" s="7">
        <v>198</v>
      </c>
      <c r="O1455" s="7">
        <v>173</v>
      </c>
      <c r="P1455" s="7">
        <v>596</v>
      </c>
    </row>
    <row r="1456" spans="1:16" x14ac:dyDescent="0.2">
      <c r="A1456">
        <v>1455</v>
      </c>
      <c r="B1456" s="1">
        <v>40763</v>
      </c>
      <c r="C1456" t="s">
        <v>28</v>
      </c>
      <c r="D1456" s="7">
        <v>26</v>
      </c>
      <c r="E1456" s="7">
        <v>5</v>
      </c>
      <c r="F1456" s="7">
        <f t="shared" si="23"/>
        <v>2</v>
      </c>
      <c r="G1456" s="7" t="str">
        <f>LOOKUP(H1456,[1]startdates!$A$2:$A$10,[1]startdates!$B$2:$B$10)</f>
        <v>FMr</v>
      </c>
      <c r="H1456">
        <v>9</v>
      </c>
      <c r="I1456" s="7">
        <v>777</v>
      </c>
      <c r="K1456" s="7">
        <v>627</v>
      </c>
      <c r="N1456" s="7">
        <v>246</v>
      </c>
      <c r="O1456" s="7">
        <v>177</v>
      </c>
    </row>
    <row r="1457" spans="1:17" x14ac:dyDescent="0.2">
      <c r="A1457">
        <v>1456</v>
      </c>
      <c r="B1457" s="1">
        <v>40763</v>
      </c>
      <c r="C1457" t="s">
        <v>28</v>
      </c>
      <c r="D1457" s="7">
        <v>26</v>
      </c>
      <c r="E1457" s="7">
        <v>5</v>
      </c>
      <c r="F1457" s="7">
        <f t="shared" si="23"/>
        <v>2</v>
      </c>
      <c r="G1457" s="7" t="str">
        <f>LOOKUP(H1457,[1]startdates!$A$2:$A$10,[1]startdates!$B$2:$B$10)</f>
        <v>FMr</v>
      </c>
      <c r="H1457">
        <v>9</v>
      </c>
      <c r="I1457" s="7">
        <v>827</v>
      </c>
      <c r="K1457" s="7">
        <v>550</v>
      </c>
      <c r="N1457" s="7">
        <v>178</v>
      </c>
      <c r="O1457" s="7">
        <v>158</v>
      </c>
    </row>
    <row r="1458" spans="1:17" x14ac:dyDescent="0.2">
      <c r="A1458">
        <v>1457</v>
      </c>
      <c r="B1458" s="1">
        <v>40763</v>
      </c>
      <c r="C1458" t="s">
        <v>28</v>
      </c>
      <c r="D1458" s="7">
        <v>26</v>
      </c>
      <c r="E1458" s="7">
        <v>5</v>
      </c>
      <c r="F1458" s="7">
        <f t="shared" si="23"/>
        <v>2</v>
      </c>
      <c r="G1458" s="7" t="str">
        <f>LOOKUP(H1458,[1]startdates!$A$2:$A$10,[1]startdates!$B$2:$B$10)</f>
        <v>FMr</v>
      </c>
      <c r="H1458">
        <v>9</v>
      </c>
      <c r="I1458" s="7">
        <v>700</v>
      </c>
      <c r="N1458" s="7">
        <v>261</v>
      </c>
      <c r="O1458" s="7">
        <v>193</v>
      </c>
    </row>
    <row r="1459" spans="1:17" x14ac:dyDescent="0.2">
      <c r="A1459">
        <v>1458</v>
      </c>
      <c r="B1459" s="1">
        <v>40763</v>
      </c>
      <c r="C1459" t="s">
        <v>28</v>
      </c>
      <c r="D1459" s="7">
        <v>26</v>
      </c>
      <c r="E1459" s="7">
        <v>5</v>
      </c>
      <c r="F1459" s="7">
        <f t="shared" si="23"/>
        <v>2</v>
      </c>
      <c r="G1459" s="7" t="str">
        <f>LOOKUP(H1459,[1]startdates!$A$2:$A$10,[1]startdates!$B$2:$B$10)</f>
        <v>FMr</v>
      </c>
      <c r="H1459">
        <v>9</v>
      </c>
      <c r="I1459" s="7">
        <v>819</v>
      </c>
      <c r="N1459" s="7">
        <v>188</v>
      </c>
      <c r="O1459" s="7">
        <v>163</v>
      </c>
    </row>
    <row r="1460" spans="1:17" x14ac:dyDescent="0.2">
      <c r="A1460">
        <v>1459</v>
      </c>
      <c r="B1460" s="1">
        <v>40763</v>
      </c>
      <c r="C1460" t="s">
        <v>28</v>
      </c>
      <c r="D1460" s="7">
        <v>26</v>
      </c>
      <c r="E1460" s="7">
        <v>5</v>
      </c>
      <c r="F1460" s="7">
        <f t="shared" si="23"/>
        <v>2</v>
      </c>
      <c r="G1460" s="7" t="str">
        <f>LOOKUP(H1460,[1]startdates!$A$2:$A$10,[1]startdates!$B$2:$B$10)</f>
        <v>FMr</v>
      </c>
      <c r="H1460">
        <v>9</v>
      </c>
      <c r="I1460" s="7">
        <v>843</v>
      </c>
      <c r="N1460" s="7">
        <v>229</v>
      </c>
      <c r="O1460" s="7">
        <v>158</v>
      </c>
    </row>
    <row r="1461" spans="1:17" x14ac:dyDescent="0.2">
      <c r="A1461">
        <v>1460</v>
      </c>
      <c r="B1461" s="1">
        <v>40763</v>
      </c>
      <c r="C1461" t="s">
        <v>28</v>
      </c>
      <c r="D1461" s="7">
        <v>26</v>
      </c>
      <c r="E1461" s="7">
        <v>5</v>
      </c>
      <c r="F1461" s="7">
        <f t="shared" si="23"/>
        <v>2</v>
      </c>
      <c r="G1461" s="7" t="str">
        <f>LOOKUP(H1461,[1]startdates!$A$2:$A$10,[1]startdates!$B$2:$B$10)</f>
        <v>FMr</v>
      </c>
      <c r="H1461">
        <v>9</v>
      </c>
      <c r="O1461" s="7">
        <v>205</v>
      </c>
    </row>
    <row r="1462" spans="1:17" x14ac:dyDescent="0.2">
      <c r="A1462">
        <v>1461</v>
      </c>
      <c r="B1462" s="1">
        <v>40763</v>
      </c>
      <c r="C1462" t="s">
        <v>28</v>
      </c>
      <c r="D1462" s="7">
        <v>26</v>
      </c>
      <c r="E1462" s="7">
        <v>5</v>
      </c>
      <c r="F1462" s="7">
        <f t="shared" si="23"/>
        <v>2</v>
      </c>
      <c r="G1462" s="7" t="str">
        <f>LOOKUP(H1462,[1]startdates!$A$2:$A$10,[1]startdates!$B$2:$B$10)</f>
        <v>FMr</v>
      </c>
      <c r="H1462">
        <v>9</v>
      </c>
      <c r="O1462" s="7">
        <v>192</v>
      </c>
    </row>
    <row r="1463" spans="1:17" x14ac:dyDescent="0.2">
      <c r="A1463">
        <v>1462</v>
      </c>
      <c r="B1463" s="1">
        <v>40763</v>
      </c>
      <c r="C1463" t="s">
        <v>28</v>
      </c>
      <c r="D1463" s="7">
        <v>26</v>
      </c>
      <c r="E1463" s="7">
        <v>5</v>
      </c>
      <c r="F1463" s="7">
        <f t="shared" si="23"/>
        <v>2</v>
      </c>
      <c r="G1463" s="7" t="str">
        <f>LOOKUP(H1463,[1]startdates!$A$2:$A$10,[1]startdates!$B$2:$B$10)</f>
        <v>FMr</v>
      </c>
      <c r="H1463">
        <v>9</v>
      </c>
      <c r="O1463" s="7">
        <v>189</v>
      </c>
    </row>
    <row r="1464" spans="1:17" x14ac:dyDescent="0.2">
      <c r="A1464">
        <v>1463</v>
      </c>
      <c r="B1464" s="1">
        <v>40763</v>
      </c>
      <c r="C1464" t="s">
        <v>28</v>
      </c>
      <c r="D1464" s="7">
        <v>26</v>
      </c>
      <c r="E1464" s="7">
        <v>5</v>
      </c>
      <c r="F1464" s="7">
        <f t="shared" si="23"/>
        <v>2</v>
      </c>
      <c r="G1464" s="7" t="str">
        <f>LOOKUP(H1464,[1]startdates!$A$2:$A$10,[1]startdates!$B$2:$B$10)</f>
        <v>FMr</v>
      </c>
      <c r="H1464">
        <v>9</v>
      </c>
      <c r="O1464" s="7">
        <v>178</v>
      </c>
    </row>
    <row r="1465" spans="1:17" x14ac:dyDescent="0.2">
      <c r="A1465">
        <v>1464</v>
      </c>
      <c r="B1465" s="1">
        <v>40765</v>
      </c>
      <c r="C1465" t="s">
        <v>28</v>
      </c>
      <c r="D1465" s="7">
        <v>28</v>
      </c>
      <c r="E1465" s="7">
        <v>5</v>
      </c>
      <c r="F1465" s="7">
        <f t="shared" si="23"/>
        <v>4</v>
      </c>
      <c r="G1465" s="7" t="str">
        <f>LOOKUP(H1465,[1]startdates!$A$2:$A$10,[1]startdates!$B$2:$B$10)</f>
        <v>SMr</v>
      </c>
      <c r="H1465">
        <v>1</v>
      </c>
      <c r="I1465" s="7">
        <v>736</v>
      </c>
      <c r="J1465" s="7">
        <v>556</v>
      </c>
      <c r="K1465" s="7">
        <v>661</v>
      </c>
      <c r="L1465" s="7">
        <v>402</v>
      </c>
      <c r="M1465" s="7">
        <v>361</v>
      </c>
      <c r="N1465" s="7">
        <v>183</v>
      </c>
      <c r="O1465" s="7">
        <v>159</v>
      </c>
      <c r="P1465" s="7">
        <v>509</v>
      </c>
      <c r="Q1465" s="7">
        <v>409</v>
      </c>
    </row>
    <row r="1466" spans="1:17" x14ac:dyDescent="0.2">
      <c r="A1466">
        <v>1465</v>
      </c>
      <c r="B1466" s="1">
        <v>40765</v>
      </c>
      <c r="C1466" t="s">
        <v>28</v>
      </c>
      <c r="D1466" s="7">
        <v>28</v>
      </c>
      <c r="E1466" s="7">
        <v>5</v>
      </c>
      <c r="F1466" s="7">
        <f t="shared" si="23"/>
        <v>4</v>
      </c>
      <c r="G1466" s="7" t="str">
        <f>LOOKUP(H1466,[1]startdates!$A$2:$A$10,[1]startdates!$B$2:$B$10)</f>
        <v>SMr</v>
      </c>
      <c r="H1466">
        <v>1</v>
      </c>
      <c r="I1466" s="7">
        <v>832</v>
      </c>
      <c r="J1466" s="7">
        <v>589</v>
      </c>
      <c r="K1466" s="7">
        <v>573</v>
      </c>
      <c r="L1466" s="7">
        <v>500</v>
      </c>
      <c r="M1466" s="7">
        <v>342</v>
      </c>
      <c r="N1466" s="7">
        <v>219</v>
      </c>
      <c r="O1466" s="7">
        <v>176</v>
      </c>
      <c r="P1466" s="7">
        <v>538</v>
      </c>
      <c r="Q1466" s="7">
        <v>363</v>
      </c>
    </row>
    <row r="1467" spans="1:17" x14ac:dyDescent="0.2">
      <c r="A1467">
        <v>1466</v>
      </c>
      <c r="B1467" s="1">
        <v>40765</v>
      </c>
      <c r="C1467" t="s">
        <v>28</v>
      </c>
      <c r="D1467" s="7">
        <v>28</v>
      </c>
      <c r="E1467" s="7">
        <v>5</v>
      </c>
      <c r="F1467" s="7">
        <f t="shared" si="23"/>
        <v>4</v>
      </c>
      <c r="G1467" s="7" t="str">
        <f>LOOKUP(H1467,[1]startdates!$A$2:$A$10,[1]startdates!$B$2:$B$10)</f>
        <v>SMr</v>
      </c>
      <c r="H1467">
        <v>1</v>
      </c>
      <c r="I1467" s="7">
        <v>785</v>
      </c>
      <c r="K1467" s="7">
        <v>597</v>
      </c>
      <c r="L1467" s="7">
        <v>547</v>
      </c>
      <c r="M1467" s="7">
        <v>287</v>
      </c>
      <c r="N1467" s="7">
        <v>236</v>
      </c>
      <c r="O1467" s="7">
        <v>117</v>
      </c>
      <c r="Q1467" s="7">
        <v>389</v>
      </c>
    </row>
    <row r="1468" spans="1:17" x14ac:dyDescent="0.2">
      <c r="A1468">
        <v>1467</v>
      </c>
      <c r="B1468" s="1">
        <v>40765</v>
      </c>
      <c r="C1468" t="s">
        <v>28</v>
      </c>
      <c r="D1468" s="7">
        <v>28</v>
      </c>
      <c r="E1468" s="7">
        <v>5</v>
      </c>
      <c r="F1468" s="7">
        <f t="shared" si="23"/>
        <v>4</v>
      </c>
      <c r="G1468" s="7" t="str">
        <f>LOOKUP(H1468,[1]startdates!$A$2:$A$10,[1]startdates!$B$2:$B$10)</f>
        <v>SMr</v>
      </c>
      <c r="H1468">
        <v>1</v>
      </c>
      <c r="I1468" s="7">
        <v>804</v>
      </c>
      <c r="L1468" s="7">
        <v>415</v>
      </c>
      <c r="M1468" s="7">
        <v>362</v>
      </c>
      <c r="N1468" s="7">
        <v>201</v>
      </c>
      <c r="O1468" s="7">
        <v>148</v>
      </c>
    </row>
    <row r="1469" spans="1:17" x14ac:dyDescent="0.2">
      <c r="A1469">
        <v>1468</v>
      </c>
      <c r="B1469" s="1">
        <v>40765</v>
      </c>
      <c r="C1469" t="s">
        <v>28</v>
      </c>
      <c r="D1469" s="7">
        <v>28</v>
      </c>
      <c r="E1469" s="7">
        <v>5</v>
      </c>
      <c r="F1469" s="7">
        <f t="shared" si="23"/>
        <v>4</v>
      </c>
      <c r="G1469" s="7" t="str">
        <f>LOOKUP(H1469,[1]startdates!$A$2:$A$10,[1]startdates!$B$2:$B$10)</f>
        <v>SMr</v>
      </c>
      <c r="H1469">
        <v>1</v>
      </c>
      <c r="I1469" s="7">
        <v>748</v>
      </c>
      <c r="N1469" s="7">
        <v>184</v>
      </c>
      <c r="O1469" s="7">
        <v>204</v>
      </c>
    </row>
    <row r="1470" spans="1:17" x14ac:dyDescent="0.2">
      <c r="A1470">
        <v>1469</v>
      </c>
      <c r="B1470" s="1">
        <v>40765</v>
      </c>
      <c r="C1470" t="s">
        <v>28</v>
      </c>
      <c r="D1470" s="7">
        <v>28</v>
      </c>
      <c r="E1470" s="7">
        <v>5</v>
      </c>
      <c r="F1470" s="7">
        <f t="shared" si="23"/>
        <v>4</v>
      </c>
      <c r="G1470" s="7" t="str">
        <f>LOOKUP(H1470,[1]startdates!$A$2:$A$10,[1]startdates!$B$2:$B$10)</f>
        <v>SMr</v>
      </c>
      <c r="H1470">
        <v>1</v>
      </c>
      <c r="I1470" s="7">
        <v>828</v>
      </c>
      <c r="N1470" s="7">
        <v>216</v>
      </c>
      <c r="O1470" s="7">
        <v>160</v>
      </c>
    </row>
    <row r="1471" spans="1:17" x14ac:dyDescent="0.2">
      <c r="A1471">
        <v>1470</v>
      </c>
      <c r="B1471" s="1">
        <v>40765</v>
      </c>
      <c r="C1471" t="s">
        <v>28</v>
      </c>
      <c r="D1471" s="7">
        <v>28</v>
      </c>
      <c r="E1471" s="7">
        <v>5</v>
      </c>
      <c r="F1471" s="7">
        <f t="shared" si="23"/>
        <v>4</v>
      </c>
      <c r="G1471" s="7" t="str">
        <f>LOOKUP(H1471,[1]startdates!$A$2:$A$10,[1]startdates!$B$2:$B$10)</f>
        <v>SMr</v>
      </c>
      <c r="H1471">
        <v>1</v>
      </c>
      <c r="N1471" s="7">
        <v>243</v>
      </c>
      <c r="O1471" s="7">
        <v>160</v>
      </c>
    </row>
    <row r="1472" spans="1:17" x14ac:dyDescent="0.2">
      <c r="A1472">
        <v>1471</v>
      </c>
      <c r="B1472" s="1">
        <v>40765</v>
      </c>
      <c r="C1472" t="s">
        <v>28</v>
      </c>
      <c r="D1472" s="7">
        <v>28</v>
      </c>
      <c r="E1472" s="7">
        <v>5</v>
      </c>
      <c r="F1472" s="7">
        <f t="shared" si="23"/>
        <v>4</v>
      </c>
      <c r="G1472" s="7" t="str">
        <f>LOOKUP(H1472,[1]startdates!$A$2:$A$10,[1]startdates!$B$2:$B$10)</f>
        <v>SMr</v>
      </c>
      <c r="H1472">
        <v>1</v>
      </c>
      <c r="N1472" s="7">
        <v>232</v>
      </c>
      <c r="O1472" s="7">
        <v>172</v>
      </c>
    </row>
    <row r="1473" spans="1:18" x14ac:dyDescent="0.2">
      <c r="A1473">
        <v>1472</v>
      </c>
      <c r="B1473" s="1">
        <v>40765</v>
      </c>
      <c r="C1473" t="s">
        <v>28</v>
      </c>
      <c r="D1473" s="7">
        <v>28</v>
      </c>
      <c r="E1473" s="7">
        <v>5</v>
      </c>
      <c r="F1473" s="7">
        <f t="shared" si="23"/>
        <v>4</v>
      </c>
      <c r="G1473" s="7" t="str">
        <f>LOOKUP(H1473,[1]startdates!$A$2:$A$10,[1]startdates!$B$2:$B$10)</f>
        <v>SMr</v>
      </c>
      <c r="H1473">
        <v>1</v>
      </c>
      <c r="N1473" s="7">
        <v>203</v>
      </c>
      <c r="O1473" s="7">
        <v>149</v>
      </c>
    </row>
    <row r="1474" spans="1:18" x14ac:dyDescent="0.2">
      <c r="A1474">
        <v>1473</v>
      </c>
      <c r="B1474" s="1">
        <v>40765</v>
      </c>
      <c r="C1474" t="s">
        <v>28</v>
      </c>
      <c r="D1474" s="7">
        <v>28</v>
      </c>
      <c r="E1474" s="7">
        <v>5</v>
      </c>
      <c r="F1474" s="7">
        <f t="shared" si="23"/>
        <v>4</v>
      </c>
      <c r="G1474" s="7" t="str">
        <f>LOOKUP(H1474,[1]startdates!$A$2:$A$10,[1]startdates!$B$2:$B$10)</f>
        <v>SMr</v>
      </c>
      <c r="H1474">
        <v>1</v>
      </c>
      <c r="N1474" s="7">
        <v>247</v>
      </c>
      <c r="O1474" s="7">
        <v>182</v>
      </c>
    </row>
    <row r="1475" spans="1:18" x14ac:dyDescent="0.2">
      <c r="A1475">
        <v>1474</v>
      </c>
      <c r="B1475" s="1">
        <v>40765</v>
      </c>
      <c r="C1475" t="s">
        <v>28</v>
      </c>
      <c r="D1475" s="7">
        <v>28</v>
      </c>
      <c r="E1475" s="7">
        <v>5</v>
      </c>
      <c r="F1475" s="7">
        <f t="shared" si="23"/>
        <v>4</v>
      </c>
      <c r="G1475" s="7" t="str">
        <f>LOOKUP(H1475,[1]startdates!$A$2:$A$10,[1]startdates!$B$2:$B$10)</f>
        <v>SMr</v>
      </c>
      <c r="H1475">
        <v>1</v>
      </c>
      <c r="N1475" s="7">
        <v>208</v>
      </c>
      <c r="O1475" s="7">
        <v>172</v>
      </c>
    </row>
    <row r="1476" spans="1:18" x14ac:dyDescent="0.2">
      <c r="A1476">
        <v>1475</v>
      </c>
      <c r="B1476" s="1">
        <v>40765</v>
      </c>
      <c r="C1476" t="s">
        <v>28</v>
      </c>
      <c r="D1476" s="7">
        <v>28</v>
      </c>
      <c r="E1476" s="7">
        <v>5</v>
      </c>
      <c r="F1476" s="7">
        <f t="shared" si="23"/>
        <v>4</v>
      </c>
      <c r="G1476" s="7" t="str">
        <f>LOOKUP(H1476,[1]startdates!$A$2:$A$10,[1]startdates!$B$2:$B$10)</f>
        <v>SMr</v>
      </c>
      <c r="H1476">
        <v>2</v>
      </c>
      <c r="I1476" s="7">
        <v>752</v>
      </c>
      <c r="K1476" s="7">
        <v>578</v>
      </c>
      <c r="L1476" s="7">
        <v>493</v>
      </c>
      <c r="M1476" s="7">
        <v>332</v>
      </c>
      <c r="N1476" s="7">
        <v>231</v>
      </c>
      <c r="O1476" s="7">
        <v>151</v>
      </c>
      <c r="P1476" s="7">
        <v>513</v>
      </c>
      <c r="Q1476" s="7">
        <v>372</v>
      </c>
      <c r="R1476" s="7">
        <v>261</v>
      </c>
    </row>
    <row r="1477" spans="1:18" x14ac:dyDescent="0.2">
      <c r="A1477">
        <v>1476</v>
      </c>
      <c r="B1477" s="1">
        <v>40765</v>
      </c>
      <c r="C1477" t="s">
        <v>28</v>
      </c>
      <c r="D1477" s="7">
        <v>28</v>
      </c>
      <c r="E1477" s="7">
        <v>5</v>
      </c>
      <c r="F1477" s="7">
        <f t="shared" si="23"/>
        <v>4</v>
      </c>
      <c r="G1477" s="7" t="str">
        <f>LOOKUP(H1477,[1]startdates!$A$2:$A$10,[1]startdates!$B$2:$B$10)</f>
        <v>SMr</v>
      </c>
      <c r="H1477">
        <v>2</v>
      </c>
      <c r="I1477" s="7">
        <v>697</v>
      </c>
      <c r="K1477" s="7">
        <v>600</v>
      </c>
      <c r="L1477" s="7">
        <v>596</v>
      </c>
      <c r="M1477" s="7">
        <v>373</v>
      </c>
      <c r="N1477" s="7">
        <v>214</v>
      </c>
      <c r="O1477" s="7">
        <v>155</v>
      </c>
      <c r="R1477" s="7">
        <v>278</v>
      </c>
    </row>
    <row r="1478" spans="1:18" x14ac:dyDescent="0.2">
      <c r="A1478">
        <v>1477</v>
      </c>
      <c r="B1478" s="1">
        <v>40765</v>
      </c>
      <c r="C1478" t="s">
        <v>28</v>
      </c>
      <c r="D1478" s="7">
        <v>28</v>
      </c>
      <c r="E1478" s="7">
        <v>5</v>
      </c>
      <c r="F1478" s="7">
        <f t="shared" si="23"/>
        <v>4</v>
      </c>
      <c r="G1478" s="7" t="str">
        <f>LOOKUP(H1478,[1]startdates!$A$2:$A$10,[1]startdates!$B$2:$B$10)</f>
        <v>SMr</v>
      </c>
      <c r="H1478">
        <v>2</v>
      </c>
      <c r="I1478" s="7">
        <v>783</v>
      </c>
      <c r="K1478" s="7">
        <v>654</v>
      </c>
      <c r="L1478" s="7">
        <v>508</v>
      </c>
      <c r="M1478" s="7">
        <v>319</v>
      </c>
      <c r="N1478" s="7">
        <v>254</v>
      </c>
      <c r="O1478" s="7">
        <v>188</v>
      </c>
      <c r="R1478" s="7">
        <v>283</v>
      </c>
    </row>
    <row r="1479" spans="1:18" x14ac:dyDescent="0.2">
      <c r="A1479">
        <v>1478</v>
      </c>
      <c r="B1479" s="1">
        <v>40765</v>
      </c>
      <c r="C1479" t="s">
        <v>28</v>
      </c>
      <c r="D1479" s="7">
        <v>28</v>
      </c>
      <c r="E1479" s="7">
        <v>5</v>
      </c>
      <c r="F1479" s="7">
        <f t="shared" si="23"/>
        <v>4</v>
      </c>
      <c r="G1479" s="7" t="str">
        <f>LOOKUP(H1479,[1]startdates!$A$2:$A$10,[1]startdates!$B$2:$B$10)</f>
        <v>SMr</v>
      </c>
      <c r="H1479">
        <v>2</v>
      </c>
      <c r="I1479" s="7">
        <v>730</v>
      </c>
      <c r="L1479" s="7">
        <v>504</v>
      </c>
      <c r="N1479" s="7">
        <v>254</v>
      </c>
      <c r="O1479" s="7">
        <v>182</v>
      </c>
    </row>
    <row r="1480" spans="1:18" x14ac:dyDescent="0.2">
      <c r="A1480">
        <v>1479</v>
      </c>
      <c r="B1480" s="1">
        <v>40765</v>
      </c>
      <c r="C1480" t="s">
        <v>28</v>
      </c>
      <c r="D1480" s="7">
        <v>28</v>
      </c>
      <c r="E1480" s="7">
        <v>5</v>
      </c>
      <c r="F1480" s="7">
        <f t="shared" si="23"/>
        <v>4</v>
      </c>
      <c r="G1480" s="7" t="str">
        <f>LOOKUP(H1480,[1]startdates!$A$2:$A$10,[1]startdates!$B$2:$B$10)</f>
        <v>SMr</v>
      </c>
      <c r="H1480">
        <v>2</v>
      </c>
      <c r="I1480" s="7">
        <v>717</v>
      </c>
      <c r="N1480" s="7">
        <v>231</v>
      </c>
      <c r="O1480" s="7">
        <v>168</v>
      </c>
    </row>
    <row r="1481" spans="1:18" x14ac:dyDescent="0.2">
      <c r="A1481">
        <v>1480</v>
      </c>
      <c r="B1481" s="1">
        <v>40765</v>
      </c>
      <c r="C1481" t="s">
        <v>28</v>
      </c>
      <c r="D1481" s="7">
        <v>28</v>
      </c>
      <c r="E1481" s="7">
        <v>5</v>
      </c>
      <c r="F1481" s="7">
        <f t="shared" si="23"/>
        <v>4</v>
      </c>
      <c r="G1481" s="7" t="str">
        <f>LOOKUP(H1481,[1]startdates!$A$2:$A$10,[1]startdates!$B$2:$B$10)</f>
        <v>SMr</v>
      </c>
      <c r="H1481">
        <v>2</v>
      </c>
      <c r="I1481" s="7">
        <v>753</v>
      </c>
      <c r="N1481" s="7">
        <v>256</v>
      </c>
      <c r="O1481" s="7">
        <v>165</v>
      </c>
    </row>
    <row r="1482" spans="1:18" x14ac:dyDescent="0.2">
      <c r="A1482">
        <v>1481</v>
      </c>
      <c r="B1482" s="1">
        <v>40765</v>
      </c>
      <c r="C1482" t="s">
        <v>28</v>
      </c>
      <c r="D1482" s="7">
        <v>28</v>
      </c>
      <c r="E1482" s="7">
        <v>5</v>
      </c>
      <c r="F1482" s="7">
        <f t="shared" si="23"/>
        <v>4</v>
      </c>
      <c r="G1482" s="7" t="str">
        <f>LOOKUP(H1482,[1]startdates!$A$2:$A$10,[1]startdates!$B$2:$B$10)</f>
        <v>SMr</v>
      </c>
      <c r="H1482">
        <v>2</v>
      </c>
      <c r="N1482" s="7">
        <v>222</v>
      </c>
      <c r="O1482" s="7">
        <v>165</v>
      </c>
    </row>
    <row r="1483" spans="1:18" x14ac:dyDescent="0.2">
      <c r="A1483">
        <v>1482</v>
      </c>
      <c r="B1483" s="1">
        <v>40765</v>
      </c>
      <c r="C1483" t="s">
        <v>28</v>
      </c>
      <c r="D1483" s="7">
        <v>28</v>
      </c>
      <c r="E1483" s="7">
        <v>5</v>
      </c>
      <c r="F1483" s="7">
        <f t="shared" si="23"/>
        <v>4</v>
      </c>
      <c r="G1483" s="7" t="str">
        <f>LOOKUP(H1483,[1]startdates!$A$2:$A$10,[1]startdates!$B$2:$B$10)</f>
        <v>SMr</v>
      </c>
      <c r="H1483">
        <v>2</v>
      </c>
      <c r="N1483" s="7">
        <v>209</v>
      </c>
      <c r="O1483" s="7">
        <v>175</v>
      </c>
    </row>
    <row r="1484" spans="1:18" x14ac:dyDescent="0.2">
      <c r="A1484">
        <v>1483</v>
      </c>
      <c r="B1484" s="1">
        <v>40765</v>
      </c>
      <c r="C1484" t="s">
        <v>28</v>
      </c>
      <c r="D1484" s="7">
        <v>28</v>
      </c>
      <c r="E1484" s="7">
        <v>5</v>
      </c>
      <c r="F1484" s="7">
        <f t="shared" si="23"/>
        <v>4</v>
      </c>
      <c r="G1484" s="7" t="str">
        <f>LOOKUP(H1484,[1]startdates!$A$2:$A$10,[1]startdates!$B$2:$B$10)</f>
        <v>SMr</v>
      </c>
      <c r="H1484">
        <v>2</v>
      </c>
      <c r="N1484" s="7">
        <v>219</v>
      </c>
      <c r="O1484" s="7">
        <v>201</v>
      </c>
    </row>
    <row r="1485" spans="1:18" x14ac:dyDescent="0.2">
      <c r="A1485">
        <v>1484</v>
      </c>
      <c r="B1485" s="1">
        <v>40765</v>
      </c>
      <c r="C1485" t="s">
        <v>28</v>
      </c>
      <c r="D1485" s="7">
        <v>28</v>
      </c>
      <c r="E1485" s="7">
        <v>5</v>
      </c>
      <c r="F1485" s="7">
        <f t="shared" si="23"/>
        <v>4</v>
      </c>
      <c r="G1485" s="7" t="str">
        <f>LOOKUP(H1485,[1]startdates!$A$2:$A$10,[1]startdates!$B$2:$B$10)</f>
        <v>SMr</v>
      </c>
      <c r="H1485">
        <v>2</v>
      </c>
      <c r="N1485" s="7">
        <v>206</v>
      </c>
      <c r="O1485" s="7">
        <v>153</v>
      </c>
    </row>
    <row r="1486" spans="1:18" x14ac:dyDescent="0.2">
      <c r="A1486">
        <v>1485</v>
      </c>
      <c r="B1486" s="1">
        <v>40765</v>
      </c>
      <c r="C1486" t="s">
        <v>28</v>
      </c>
      <c r="D1486" s="7">
        <v>28</v>
      </c>
      <c r="E1486" s="7">
        <v>5</v>
      </c>
      <c r="F1486" s="7">
        <f t="shared" si="23"/>
        <v>4</v>
      </c>
      <c r="G1486" s="7" t="str">
        <f>LOOKUP(H1486,[1]startdates!$A$2:$A$10,[1]startdates!$B$2:$B$10)</f>
        <v>SMr</v>
      </c>
      <c r="H1486">
        <v>2</v>
      </c>
      <c r="N1486" s="7">
        <v>242</v>
      </c>
    </row>
    <row r="1487" spans="1:18" x14ac:dyDescent="0.2">
      <c r="A1487">
        <v>1486</v>
      </c>
      <c r="B1487" s="1">
        <v>40765</v>
      </c>
      <c r="C1487" t="s">
        <v>28</v>
      </c>
      <c r="D1487" s="7">
        <v>28</v>
      </c>
      <c r="E1487" s="7">
        <v>5</v>
      </c>
      <c r="F1487" s="7">
        <f t="shared" si="23"/>
        <v>4</v>
      </c>
      <c r="G1487" s="7" t="str">
        <f>LOOKUP(H1487,[1]startdates!$A$2:$A$10,[1]startdates!$B$2:$B$10)</f>
        <v>SMr</v>
      </c>
      <c r="H1487">
        <v>2</v>
      </c>
      <c r="N1487" s="7">
        <v>263</v>
      </c>
    </row>
    <row r="1488" spans="1:18" x14ac:dyDescent="0.2">
      <c r="A1488">
        <v>1487</v>
      </c>
      <c r="B1488" s="1">
        <v>40765</v>
      </c>
      <c r="C1488" t="s">
        <v>28</v>
      </c>
      <c r="D1488" s="7">
        <v>28</v>
      </c>
      <c r="E1488" s="7">
        <v>5</v>
      </c>
      <c r="F1488" s="7">
        <f t="shared" si="23"/>
        <v>4</v>
      </c>
      <c r="G1488" s="7" t="str">
        <f>LOOKUP(H1488,[1]startdates!$A$2:$A$10,[1]startdates!$B$2:$B$10)</f>
        <v>C</v>
      </c>
      <c r="H1488">
        <v>3</v>
      </c>
      <c r="I1488" s="7">
        <v>838</v>
      </c>
      <c r="K1488" s="7">
        <v>613</v>
      </c>
      <c r="L1488" s="7">
        <v>412</v>
      </c>
      <c r="M1488" s="7">
        <v>339</v>
      </c>
      <c r="N1488" s="7">
        <v>281</v>
      </c>
      <c r="O1488" s="7">
        <v>166</v>
      </c>
      <c r="P1488" s="7">
        <v>630</v>
      </c>
      <c r="Q1488" s="7">
        <v>383</v>
      </c>
      <c r="R1488" s="7">
        <v>259</v>
      </c>
    </row>
    <row r="1489" spans="1:17" x14ac:dyDescent="0.2">
      <c r="A1489">
        <v>1488</v>
      </c>
      <c r="B1489" s="1">
        <v>40765</v>
      </c>
      <c r="C1489" t="s">
        <v>28</v>
      </c>
      <c r="D1489" s="7">
        <v>28</v>
      </c>
      <c r="E1489" s="7">
        <v>5</v>
      </c>
      <c r="F1489" s="7">
        <f t="shared" si="23"/>
        <v>4</v>
      </c>
      <c r="G1489" s="7" t="str">
        <f>LOOKUP(H1489,[1]startdates!$A$2:$A$10,[1]startdates!$B$2:$B$10)</f>
        <v>C</v>
      </c>
      <c r="H1489">
        <v>3</v>
      </c>
      <c r="I1489" s="7">
        <v>828</v>
      </c>
      <c r="K1489" s="7">
        <v>672</v>
      </c>
      <c r="L1489" s="7">
        <v>573</v>
      </c>
      <c r="M1489" s="7">
        <v>377</v>
      </c>
      <c r="N1489" s="7">
        <v>214</v>
      </c>
      <c r="O1489" s="7">
        <v>147</v>
      </c>
      <c r="P1489" s="7">
        <v>623</v>
      </c>
    </row>
    <row r="1490" spans="1:17" x14ac:dyDescent="0.2">
      <c r="A1490">
        <v>1489</v>
      </c>
      <c r="B1490" s="1">
        <v>40765</v>
      </c>
      <c r="C1490" t="s">
        <v>28</v>
      </c>
      <c r="D1490" s="7">
        <v>28</v>
      </c>
      <c r="E1490" s="7">
        <v>5</v>
      </c>
      <c r="F1490" s="7">
        <f t="shared" si="23"/>
        <v>4</v>
      </c>
      <c r="G1490" s="7" t="str">
        <f>LOOKUP(H1490,[1]startdates!$A$2:$A$10,[1]startdates!$B$2:$B$10)</f>
        <v>C</v>
      </c>
      <c r="H1490">
        <v>3</v>
      </c>
      <c r="I1490" s="7">
        <v>792</v>
      </c>
      <c r="K1490" s="7">
        <v>707</v>
      </c>
      <c r="M1490" s="7">
        <v>310</v>
      </c>
      <c r="N1490" s="7">
        <v>172</v>
      </c>
      <c r="O1490" s="7">
        <v>186</v>
      </c>
      <c r="P1490" s="7">
        <v>633</v>
      </c>
    </row>
    <row r="1491" spans="1:17" x14ac:dyDescent="0.2">
      <c r="A1491">
        <v>1490</v>
      </c>
      <c r="B1491" s="1">
        <v>40765</v>
      </c>
      <c r="C1491" t="s">
        <v>28</v>
      </c>
      <c r="D1491" s="7">
        <v>28</v>
      </c>
      <c r="E1491" s="7">
        <v>5</v>
      </c>
      <c r="F1491" s="7">
        <f t="shared" si="23"/>
        <v>4</v>
      </c>
      <c r="G1491" s="7" t="str">
        <f>LOOKUP(H1491,[1]startdates!$A$2:$A$10,[1]startdates!$B$2:$B$10)</f>
        <v>C</v>
      </c>
      <c r="H1491">
        <v>3</v>
      </c>
      <c r="I1491" s="7">
        <v>811</v>
      </c>
      <c r="K1491" s="7">
        <v>682</v>
      </c>
      <c r="N1491" s="7">
        <v>250</v>
      </c>
      <c r="O1491" s="7">
        <v>189</v>
      </c>
    </row>
    <row r="1492" spans="1:17" x14ac:dyDescent="0.2">
      <c r="A1492">
        <v>1491</v>
      </c>
      <c r="B1492" s="1">
        <v>40765</v>
      </c>
      <c r="C1492" t="s">
        <v>28</v>
      </c>
      <c r="D1492" s="7">
        <v>28</v>
      </c>
      <c r="E1492" s="7">
        <v>5</v>
      </c>
      <c r="F1492" s="7">
        <f t="shared" si="23"/>
        <v>4</v>
      </c>
      <c r="G1492" s="7" t="str">
        <f>LOOKUP(H1492,[1]startdates!$A$2:$A$10,[1]startdates!$B$2:$B$10)</f>
        <v>C</v>
      </c>
      <c r="H1492">
        <v>3</v>
      </c>
      <c r="I1492" s="7">
        <v>633</v>
      </c>
      <c r="K1492" s="7">
        <v>531</v>
      </c>
      <c r="N1492" s="7">
        <v>231</v>
      </c>
      <c r="O1492" s="7">
        <v>209</v>
      </c>
    </row>
    <row r="1493" spans="1:17" x14ac:dyDescent="0.2">
      <c r="A1493">
        <v>1492</v>
      </c>
      <c r="B1493" s="1">
        <v>40765</v>
      </c>
      <c r="C1493" t="s">
        <v>28</v>
      </c>
      <c r="D1493" s="7">
        <v>28</v>
      </c>
      <c r="E1493" s="7">
        <v>5</v>
      </c>
      <c r="F1493" s="7">
        <f t="shared" si="23"/>
        <v>4</v>
      </c>
      <c r="G1493" s="7" t="str">
        <f>LOOKUP(H1493,[1]startdates!$A$2:$A$10,[1]startdates!$B$2:$B$10)</f>
        <v>C</v>
      </c>
      <c r="H1493">
        <v>3</v>
      </c>
      <c r="N1493" s="7">
        <v>262</v>
      </c>
      <c r="O1493" s="7">
        <v>174</v>
      </c>
    </row>
    <row r="1494" spans="1:17" x14ac:dyDescent="0.2">
      <c r="A1494">
        <v>1493</v>
      </c>
      <c r="B1494" s="1">
        <v>40765</v>
      </c>
      <c r="C1494" t="s">
        <v>28</v>
      </c>
      <c r="D1494" s="7">
        <v>28</v>
      </c>
      <c r="E1494" s="7">
        <v>5</v>
      </c>
      <c r="F1494" s="7">
        <f t="shared" si="23"/>
        <v>4</v>
      </c>
      <c r="G1494" s="7" t="str">
        <f>LOOKUP(H1494,[1]startdates!$A$2:$A$10,[1]startdates!$B$2:$B$10)</f>
        <v>C</v>
      </c>
      <c r="H1494">
        <v>3</v>
      </c>
      <c r="N1494" s="7">
        <v>214</v>
      </c>
      <c r="O1494" s="7">
        <v>167</v>
      </c>
    </row>
    <row r="1495" spans="1:17" x14ac:dyDescent="0.2">
      <c r="A1495">
        <v>1494</v>
      </c>
      <c r="B1495" s="1">
        <v>40765</v>
      </c>
      <c r="C1495" t="s">
        <v>28</v>
      </c>
      <c r="D1495" s="7">
        <v>28</v>
      </c>
      <c r="E1495" s="7">
        <v>5</v>
      </c>
      <c r="F1495" s="7">
        <f t="shared" si="23"/>
        <v>4</v>
      </c>
      <c r="G1495" s="7" t="str">
        <f>LOOKUP(H1495,[1]startdates!$A$2:$A$10,[1]startdates!$B$2:$B$10)</f>
        <v>C</v>
      </c>
      <c r="H1495">
        <v>3</v>
      </c>
      <c r="N1495" s="7">
        <v>182</v>
      </c>
      <c r="O1495" s="7">
        <v>185</v>
      </c>
    </row>
    <row r="1496" spans="1:17" x14ac:dyDescent="0.2">
      <c r="A1496">
        <v>1495</v>
      </c>
      <c r="B1496" s="1">
        <v>40765</v>
      </c>
      <c r="C1496" t="s">
        <v>28</v>
      </c>
      <c r="D1496" s="7">
        <v>28</v>
      </c>
      <c r="E1496" s="7">
        <v>5</v>
      </c>
      <c r="F1496" s="7">
        <f t="shared" si="23"/>
        <v>4</v>
      </c>
      <c r="G1496" s="7" t="str">
        <f>LOOKUP(H1496,[1]startdates!$A$2:$A$10,[1]startdates!$B$2:$B$10)</f>
        <v>C</v>
      </c>
      <c r="H1496">
        <v>3</v>
      </c>
      <c r="N1496" s="7">
        <v>198</v>
      </c>
      <c r="O1496" s="7">
        <v>196</v>
      </c>
    </row>
    <row r="1497" spans="1:17" x14ac:dyDescent="0.2">
      <c r="A1497">
        <v>1496</v>
      </c>
      <c r="B1497" s="1">
        <v>40765</v>
      </c>
      <c r="C1497" t="s">
        <v>28</v>
      </c>
      <c r="D1497" s="7">
        <v>28</v>
      </c>
      <c r="E1497" s="7">
        <v>5</v>
      </c>
      <c r="F1497" s="7">
        <f t="shared" si="23"/>
        <v>4</v>
      </c>
      <c r="G1497" s="7" t="str">
        <f>LOOKUP(H1497,[1]startdates!$A$2:$A$10,[1]startdates!$B$2:$B$10)</f>
        <v>C</v>
      </c>
      <c r="H1497">
        <v>3</v>
      </c>
      <c r="N1497" s="7">
        <v>240</v>
      </c>
      <c r="O1497" s="7">
        <v>189</v>
      </c>
    </row>
    <row r="1498" spans="1:17" x14ac:dyDescent="0.2">
      <c r="A1498">
        <v>1497</v>
      </c>
      <c r="B1498" s="1">
        <v>40765</v>
      </c>
      <c r="C1498" t="s">
        <v>28</v>
      </c>
      <c r="D1498" s="7">
        <v>28</v>
      </c>
      <c r="E1498" s="7">
        <v>5</v>
      </c>
      <c r="F1498" s="7">
        <f t="shared" si="23"/>
        <v>4</v>
      </c>
      <c r="G1498" s="7" t="str">
        <f>LOOKUP(H1498,[1]startdates!$A$2:$A$10,[1]startdates!$B$2:$B$10)</f>
        <v>SMr</v>
      </c>
      <c r="H1498">
        <v>4</v>
      </c>
      <c r="I1498" s="7">
        <v>647</v>
      </c>
      <c r="K1498" s="7">
        <v>693</v>
      </c>
      <c r="L1498" s="7">
        <v>524</v>
      </c>
      <c r="M1498" s="7">
        <v>354</v>
      </c>
      <c r="N1498" s="7">
        <v>257</v>
      </c>
      <c r="O1498" s="7">
        <v>174</v>
      </c>
      <c r="P1498" s="7">
        <v>527</v>
      </c>
      <c r="Q1498" s="7">
        <v>354</v>
      </c>
    </row>
    <row r="1499" spans="1:17" x14ac:dyDescent="0.2">
      <c r="A1499">
        <v>1498</v>
      </c>
      <c r="B1499" s="1">
        <v>40765</v>
      </c>
      <c r="C1499" t="s">
        <v>28</v>
      </c>
      <c r="D1499" s="7">
        <v>28</v>
      </c>
      <c r="E1499" s="7">
        <v>5</v>
      </c>
      <c r="F1499" s="7">
        <f t="shared" si="23"/>
        <v>4</v>
      </c>
      <c r="G1499" s="7" t="str">
        <f>LOOKUP(H1499,[1]startdates!$A$2:$A$10,[1]startdates!$B$2:$B$10)</f>
        <v>SMr</v>
      </c>
      <c r="H1499">
        <v>4</v>
      </c>
      <c r="I1499" s="7">
        <v>743</v>
      </c>
      <c r="K1499" s="7">
        <v>589</v>
      </c>
      <c r="M1499" s="7">
        <v>309</v>
      </c>
      <c r="N1499" s="7">
        <v>192</v>
      </c>
      <c r="O1499" s="7">
        <v>194</v>
      </c>
      <c r="P1499" s="7">
        <v>508</v>
      </c>
      <c r="Q1499" s="7">
        <v>357</v>
      </c>
    </row>
    <row r="1500" spans="1:17" x14ac:dyDescent="0.2">
      <c r="A1500">
        <v>1499</v>
      </c>
      <c r="B1500" s="1">
        <v>40765</v>
      </c>
      <c r="C1500" t="s">
        <v>28</v>
      </c>
      <c r="D1500" s="7">
        <v>28</v>
      </c>
      <c r="E1500" s="7">
        <v>5</v>
      </c>
      <c r="F1500" s="7">
        <f t="shared" si="23"/>
        <v>4</v>
      </c>
      <c r="G1500" s="7" t="str">
        <f>LOOKUP(H1500,[1]startdates!$A$2:$A$10,[1]startdates!$B$2:$B$10)</f>
        <v>SMr</v>
      </c>
      <c r="H1500">
        <v>4</v>
      </c>
      <c r="I1500" s="7">
        <v>760</v>
      </c>
      <c r="K1500" s="7">
        <v>522</v>
      </c>
      <c r="M1500" s="7">
        <v>343</v>
      </c>
      <c r="N1500" s="7">
        <v>240</v>
      </c>
      <c r="O1500" s="7">
        <v>193</v>
      </c>
      <c r="P1500" s="7">
        <v>537</v>
      </c>
      <c r="Q1500" s="7">
        <v>373</v>
      </c>
    </row>
    <row r="1501" spans="1:17" x14ac:dyDescent="0.2">
      <c r="A1501">
        <v>1500</v>
      </c>
      <c r="B1501" s="1">
        <v>40765</v>
      </c>
      <c r="C1501" t="s">
        <v>28</v>
      </c>
      <c r="D1501" s="7">
        <v>28</v>
      </c>
      <c r="E1501" s="7">
        <v>5</v>
      </c>
      <c r="F1501" s="7">
        <f t="shared" si="23"/>
        <v>4</v>
      </c>
      <c r="G1501" s="7" t="str">
        <f>LOOKUP(H1501,[1]startdates!$A$2:$A$10,[1]startdates!$B$2:$B$10)</f>
        <v>SMr</v>
      </c>
      <c r="H1501">
        <v>4</v>
      </c>
      <c r="I1501" s="7">
        <v>807</v>
      </c>
      <c r="K1501" s="7">
        <v>547</v>
      </c>
      <c r="M1501" s="7">
        <v>308</v>
      </c>
      <c r="N1501" s="7">
        <v>207</v>
      </c>
      <c r="O1501" s="7">
        <v>186</v>
      </c>
      <c r="P1501" s="7">
        <v>524</v>
      </c>
    </row>
    <row r="1502" spans="1:17" x14ac:dyDescent="0.2">
      <c r="A1502">
        <v>1501</v>
      </c>
      <c r="B1502" s="1">
        <v>40765</v>
      </c>
      <c r="C1502" t="s">
        <v>28</v>
      </c>
      <c r="D1502" s="7">
        <v>28</v>
      </c>
      <c r="E1502" s="7">
        <v>5</v>
      </c>
      <c r="F1502" s="7">
        <f t="shared" si="23"/>
        <v>4</v>
      </c>
      <c r="G1502" s="7" t="str">
        <f>LOOKUP(H1502,[1]startdates!$A$2:$A$10,[1]startdates!$B$2:$B$10)</f>
        <v>SMr</v>
      </c>
      <c r="H1502">
        <v>4</v>
      </c>
      <c r="I1502" s="7">
        <v>682</v>
      </c>
      <c r="N1502" s="7">
        <v>267</v>
      </c>
      <c r="O1502" s="7">
        <v>171</v>
      </c>
    </row>
    <row r="1503" spans="1:17" x14ac:dyDescent="0.2">
      <c r="A1503">
        <v>1502</v>
      </c>
      <c r="B1503" s="1">
        <v>40765</v>
      </c>
      <c r="C1503" t="s">
        <v>28</v>
      </c>
      <c r="D1503" s="7">
        <v>28</v>
      </c>
      <c r="E1503" s="7">
        <v>5</v>
      </c>
      <c r="F1503" s="7">
        <f t="shared" si="23"/>
        <v>4</v>
      </c>
      <c r="G1503" s="7" t="str">
        <f>LOOKUP(H1503,[1]startdates!$A$2:$A$10,[1]startdates!$B$2:$B$10)</f>
        <v>SMr</v>
      </c>
      <c r="H1503">
        <v>4</v>
      </c>
      <c r="I1503" s="7">
        <v>740</v>
      </c>
      <c r="N1503" s="7">
        <v>187</v>
      </c>
      <c r="O1503" s="7">
        <v>192</v>
      </c>
    </row>
    <row r="1504" spans="1:17" x14ac:dyDescent="0.2">
      <c r="A1504">
        <v>1503</v>
      </c>
      <c r="B1504" s="1">
        <v>40765</v>
      </c>
      <c r="C1504" t="s">
        <v>28</v>
      </c>
      <c r="D1504" s="7">
        <v>28</v>
      </c>
      <c r="E1504" s="7">
        <v>5</v>
      </c>
      <c r="F1504" s="7">
        <f t="shared" si="23"/>
        <v>4</v>
      </c>
      <c r="G1504" s="7" t="str">
        <f>LOOKUP(H1504,[1]startdates!$A$2:$A$10,[1]startdates!$B$2:$B$10)</f>
        <v>SMr</v>
      </c>
      <c r="H1504">
        <v>4</v>
      </c>
      <c r="I1504" s="7">
        <v>641</v>
      </c>
      <c r="N1504" s="7">
        <v>194</v>
      </c>
      <c r="O1504" s="7">
        <v>189</v>
      </c>
    </row>
    <row r="1505" spans="1:17" x14ac:dyDescent="0.2">
      <c r="A1505">
        <v>1504</v>
      </c>
      <c r="B1505" s="1">
        <v>40765</v>
      </c>
      <c r="C1505" t="s">
        <v>28</v>
      </c>
      <c r="D1505" s="7">
        <v>28</v>
      </c>
      <c r="E1505" s="7">
        <v>5</v>
      </c>
      <c r="F1505" s="7">
        <f t="shared" si="23"/>
        <v>4</v>
      </c>
      <c r="G1505" s="7" t="str">
        <f>LOOKUP(H1505,[1]startdates!$A$2:$A$10,[1]startdates!$B$2:$B$10)</f>
        <v>SMr</v>
      </c>
      <c r="H1505">
        <v>4</v>
      </c>
      <c r="I1505" s="7">
        <v>745</v>
      </c>
      <c r="N1505" s="7">
        <v>191</v>
      </c>
      <c r="O1505" s="7">
        <v>185</v>
      </c>
    </row>
    <row r="1506" spans="1:17" x14ac:dyDescent="0.2">
      <c r="A1506">
        <v>1505</v>
      </c>
      <c r="B1506" s="1">
        <v>40765</v>
      </c>
      <c r="C1506" t="s">
        <v>28</v>
      </c>
      <c r="D1506" s="7">
        <v>28</v>
      </c>
      <c r="E1506" s="7">
        <v>5</v>
      </c>
      <c r="F1506" s="7">
        <f t="shared" si="23"/>
        <v>4</v>
      </c>
      <c r="G1506" s="7" t="str">
        <f>LOOKUP(H1506,[1]startdates!$A$2:$A$10,[1]startdates!$B$2:$B$10)</f>
        <v>SMr</v>
      </c>
      <c r="H1506">
        <v>4</v>
      </c>
      <c r="N1506" s="7">
        <v>191</v>
      </c>
      <c r="O1506" s="7">
        <v>174</v>
      </c>
    </row>
    <row r="1507" spans="1:17" x14ac:dyDescent="0.2">
      <c r="A1507">
        <v>1506</v>
      </c>
      <c r="B1507" s="1">
        <v>40765</v>
      </c>
      <c r="C1507" t="s">
        <v>28</v>
      </c>
      <c r="D1507" s="7">
        <v>28</v>
      </c>
      <c r="E1507" s="7">
        <v>5</v>
      </c>
      <c r="F1507" s="7">
        <f t="shared" si="23"/>
        <v>4</v>
      </c>
      <c r="G1507" s="7" t="str">
        <f>LOOKUP(H1507,[1]startdates!$A$2:$A$10,[1]startdates!$B$2:$B$10)</f>
        <v>SMr</v>
      </c>
      <c r="H1507">
        <v>4</v>
      </c>
      <c r="N1507" s="7">
        <v>222</v>
      </c>
      <c r="O1507" s="7">
        <v>146</v>
      </c>
    </row>
    <row r="1508" spans="1:17" x14ac:dyDescent="0.2">
      <c r="A1508">
        <v>1507</v>
      </c>
      <c r="B1508" s="1">
        <v>40765</v>
      </c>
      <c r="C1508" t="s">
        <v>28</v>
      </c>
      <c r="D1508" s="7">
        <v>28</v>
      </c>
      <c r="E1508" s="7">
        <v>5</v>
      </c>
      <c r="F1508" s="7">
        <f t="shared" si="23"/>
        <v>4</v>
      </c>
      <c r="G1508" s="7" t="str">
        <f>LOOKUP(H1508,[1]startdates!$A$2:$A$10,[1]startdates!$B$2:$B$10)</f>
        <v>SMr</v>
      </c>
      <c r="H1508">
        <v>4</v>
      </c>
      <c r="N1508" s="7">
        <v>196</v>
      </c>
      <c r="O1508" s="7">
        <v>185</v>
      </c>
    </row>
    <row r="1509" spans="1:17" x14ac:dyDescent="0.2">
      <c r="A1509">
        <v>1508</v>
      </c>
      <c r="B1509" s="1">
        <v>40765</v>
      </c>
      <c r="C1509" t="s">
        <v>28</v>
      </c>
      <c r="D1509" s="7">
        <v>28</v>
      </c>
      <c r="E1509" s="7">
        <v>5</v>
      </c>
      <c r="F1509" s="7">
        <f t="shared" si="23"/>
        <v>4</v>
      </c>
      <c r="G1509" s="7" t="str">
        <f>LOOKUP(H1509,[1]startdates!$A$2:$A$10,[1]startdates!$B$2:$B$10)</f>
        <v>C</v>
      </c>
      <c r="H1509">
        <v>5</v>
      </c>
      <c r="I1509" s="7">
        <v>762</v>
      </c>
      <c r="K1509" s="7">
        <v>597</v>
      </c>
      <c r="L1509" s="7">
        <v>511</v>
      </c>
      <c r="M1509" s="7">
        <v>311</v>
      </c>
      <c r="N1509" s="7">
        <v>203</v>
      </c>
      <c r="O1509" s="7">
        <v>140</v>
      </c>
      <c r="P1509" s="7">
        <v>502</v>
      </c>
      <c r="Q1509" s="7">
        <v>402</v>
      </c>
    </row>
    <row r="1510" spans="1:17" x14ac:dyDescent="0.2">
      <c r="A1510">
        <v>1509</v>
      </c>
      <c r="B1510" s="1">
        <v>40765</v>
      </c>
      <c r="C1510" t="s">
        <v>28</v>
      </c>
      <c r="D1510" s="7">
        <v>28</v>
      </c>
      <c r="E1510" s="7">
        <v>5</v>
      </c>
      <c r="F1510" s="7">
        <f t="shared" si="23"/>
        <v>4</v>
      </c>
      <c r="G1510" s="7" t="str">
        <f>LOOKUP(H1510,[1]startdates!$A$2:$A$10,[1]startdates!$B$2:$B$10)</f>
        <v>C</v>
      </c>
      <c r="H1510">
        <v>5</v>
      </c>
      <c r="I1510" s="7">
        <v>678</v>
      </c>
      <c r="K1510" s="7">
        <v>489</v>
      </c>
      <c r="L1510" s="7">
        <v>405</v>
      </c>
      <c r="M1510" s="7">
        <v>373</v>
      </c>
      <c r="N1510" s="7">
        <v>200</v>
      </c>
      <c r="O1510" s="7">
        <v>177</v>
      </c>
      <c r="P1510" s="7">
        <v>523</v>
      </c>
    </row>
    <row r="1511" spans="1:17" x14ac:dyDescent="0.2">
      <c r="A1511">
        <v>1510</v>
      </c>
      <c r="B1511" s="1">
        <v>40765</v>
      </c>
      <c r="C1511" t="s">
        <v>28</v>
      </c>
      <c r="D1511" s="7">
        <v>28</v>
      </c>
      <c r="E1511" s="7">
        <v>5</v>
      </c>
      <c r="F1511" s="7">
        <f t="shared" si="23"/>
        <v>4</v>
      </c>
      <c r="G1511" s="7" t="str">
        <f>LOOKUP(H1511,[1]startdates!$A$2:$A$10,[1]startdates!$B$2:$B$10)</f>
        <v>C</v>
      </c>
      <c r="H1511">
        <v>5</v>
      </c>
      <c r="I1511" s="7">
        <v>729</v>
      </c>
      <c r="K1511" s="7">
        <v>596</v>
      </c>
      <c r="L1511" s="7">
        <v>476</v>
      </c>
      <c r="M1511" s="7">
        <v>339</v>
      </c>
      <c r="N1511" s="7">
        <v>226</v>
      </c>
      <c r="O1511" s="7">
        <v>172</v>
      </c>
      <c r="P1511" s="7">
        <v>495</v>
      </c>
    </row>
    <row r="1512" spans="1:17" x14ac:dyDescent="0.2">
      <c r="A1512">
        <v>1511</v>
      </c>
      <c r="B1512" s="1">
        <v>40765</v>
      </c>
      <c r="C1512" t="s">
        <v>28</v>
      </c>
      <c r="D1512" s="7">
        <v>28</v>
      </c>
      <c r="E1512" s="7">
        <v>5</v>
      </c>
      <c r="F1512" s="7">
        <f t="shared" si="23"/>
        <v>4</v>
      </c>
      <c r="G1512" s="7" t="str">
        <f>LOOKUP(H1512,[1]startdates!$A$2:$A$10,[1]startdates!$B$2:$B$10)</f>
        <v>C</v>
      </c>
      <c r="H1512">
        <v>5</v>
      </c>
      <c r="I1512" s="7">
        <v>758</v>
      </c>
      <c r="M1512" s="7">
        <v>265</v>
      </c>
      <c r="N1512" s="7">
        <v>208</v>
      </c>
      <c r="O1512" s="7">
        <v>178</v>
      </c>
      <c r="P1512" s="7">
        <v>479</v>
      </c>
    </row>
    <row r="1513" spans="1:17" x14ac:dyDescent="0.2">
      <c r="A1513">
        <v>1512</v>
      </c>
      <c r="B1513" s="1">
        <v>40765</v>
      </c>
      <c r="C1513" t="s">
        <v>28</v>
      </c>
      <c r="D1513" s="7">
        <v>28</v>
      </c>
      <c r="E1513" s="7">
        <v>5</v>
      </c>
      <c r="F1513" s="7">
        <f t="shared" ref="F1513:F1576" si="24">WEEKDAY(B1513)</f>
        <v>4</v>
      </c>
      <c r="G1513" s="7" t="str">
        <f>LOOKUP(H1513,[1]startdates!$A$2:$A$10,[1]startdates!$B$2:$B$10)</f>
        <v>C</v>
      </c>
      <c r="H1513">
        <v>5</v>
      </c>
      <c r="I1513" s="7">
        <v>734</v>
      </c>
      <c r="M1513" s="7">
        <v>364</v>
      </c>
      <c r="N1513" s="7">
        <v>211</v>
      </c>
      <c r="O1513" s="7">
        <v>163</v>
      </c>
    </row>
    <row r="1514" spans="1:17" x14ac:dyDescent="0.2">
      <c r="A1514">
        <v>1513</v>
      </c>
      <c r="B1514" s="1">
        <v>40765</v>
      </c>
      <c r="C1514" t="s">
        <v>28</v>
      </c>
      <c r="D1514" s="7">
        <v>28</v>
      </c>
      <c r="E1514" s="7">
        <v>5</v>
      </c>
      <c r="F1514" s="7">
        <f t="shared" si="24"/>
        <v>4</v>
      </c>
      <c r="G1514" s="7" t="str">
        <f>LOOKUP(H1514,[1]startdates!$A$2:$A$10,[1]startdates!$B$2:$B$10)</f>
        <v>C</v>
      </c>
      <c r="H1514">
        <v>5</v>
      </c>
      <c r="I1514" s="7">
        <v>708</v>
      </c>
      <c r="M1514" s="7">
        <v>299</v>
      </c>
      <c r="N1514" s="7">
        <v>254</v>
      </c>
      <c r="O1514" s="7">
        <v>149</v>
      </c>
    </row>
    <row r="1515" spans="1:17" x14ac:dyDescent="0.2">
      <c r="A1515">
        <v>1514</v>
      </c>
      <c r="B1515" s="1">
        <v>40765</v>
      </c>
      <c r="C1515" t="s">
        <v>28</v>
      </c>
      <c r="D1515" s="7">
        <v>28</v>
      </c>
      <c r="E1515" s="7">
        <v>5</v>
      </c>
      <c r="F1515" s="7">
        <f t="shared" si="24"/>
        <v>4</v>
      </c>
      <c r="G1515" s="7" t="str">
        <f>LOOKUP(H1515,[1]startdates!$A$2:$A$10,[1]startdates!$B$2:$B$10)</f>
        <v>C</v>
      </c>
      <c r="H1515">
        <v>5</v>
      </c>
      <c r="N1515" s="7">
        <v>209</v>
      </c>
      <c r="O1515" s="7">
        <v>163</v>
      </c>
    </row>
    <row r="1516" spans="1:17" x14ac:dyDescent="0.2">
      <c r="A1516">
        <v>1515</v>
      </c>
      <c r="B1516" s="1">
        <v>40765</v>
      </c>
      <c r="C1516" t="s">
        <v>28</v>
      </c>
      <c r="D1516" s="7">
        <v>28</v>
      </c>
      <c r="E1516" s="7">
        <v>5</v>
      </c>
      <c r="F1516" s="7">
        <f t="shared" si="24"/>
        <v>4</v>
      </c>
      <c r="G1516" s="7" t="str">
        <f>LOOKUP(H1516,[1]startdates!$A$2:$A$10,[1]startdates!$B$2:$B$10)</f>
        <v>C</v>
      </c>
      <c r="H1516">
        <v>5</v>
      </c>
      <c r="N1516" s="7">
        <v>234</v>
      </c>
      <c r="O1516" s="7">
        <v>141</v>
      </c>
    </row>
    <row r="1517" spans="1:17" x14ac:dyDescent="0.2">
      <c r="A1517">
        <v>1516</v>
      </c>
      <c r="B1517" s="1">
        <v>40765</v>
      </c>
      <c r="C1517" t="s">
        <v>28</v>
      </c>
      <c r="D1517" s="7">
        <v>28</v>
      </c>
      <c r="E1517" s="7">
        <v>5</v>
      </c>
      <c r="F1517" s="7">
        <f t="shared" si="24"/>
        <v>4</v>
      </c>
      <c r="G1517" s="7" t="str">
        <f>LOOKUP(H1517,[1]startdates!$A$2:$A$10,[1]startdates!$B$2:$B$10)</f>
        <v>C</v>
      </c>
      <c r="H1517">
        <v>5</v>
      </c>
      <c r="N1517" s="7">
        <v>198</v>
      </c>
      <c r="O1517" s="7">
        <v>165</v>
      </c>
    </row>
    <row r="1518" spans="1:17" x14ac:dyDescent="0.2">
      <c r="A1518">
        <v>1517</v>
      </c>
      <c r="B1518" s="1">
        <v>40765</v>
      </c>
      <c r="C1518" t="s">
        <v>28</v>
      </c>
      <c r="D1518" s="7">
        <v>28</v>
      </c>
      <c r="E1518" s="7">
        <v>5</v>
      </c>
      <c r="F1518" s="7">
        <f t="shared" si="24"/>
        <v>4</v>
      </c>
      <c r="G1518" s="7" t="str">
        <f>LOOKUP(H1518,[1]startdates!$A$2:$A$10,[1]startdates!$B$2:$B$10)</f>
        <v>C</v>
      </c>
      <c r="H1518">
        <v>5</v>
      </c>
      <c r="N1518" s="7">
        <v>201</v>
      </c>
      <c r="O1518" s="7">
        <v>178</v>
      </c>
    </row>
    <row r="1519" spans="1:17" x14ac:dyDescent="0.2">
      <c r="A1519">
        <v>1518</v>
      </c>
      <c r="B1519" s="1">
        <v>40765</v>
      </c>
      <c r="C1519" t="s">
        <v>28</v>
      </c>
      <c r="D1519" s="7">
        <v>28</v>
      </c>
      <c r="E1519" s="7">
        <v>5</v>
      </c>
      <c r="F1519" s="7">
        <f t="shared" si="24"/>
        <v>4</v>
      </c>
      <c r="G1519" s="7" t="str">
        <f>LOOKUP(H1519,[1]startdates!$A$2:$A$10,[1]startdates!$B$2:$B$10)</f>
        <v>C</v>
      </c>
      <c r="H1519">
        <v>5</v>
      </c>
      <c r="N1519" s="7">
        <v>227</v>
      </c>
      <c r="O1519" s="7">
        <v>175</v>
      </c>
    </row>
    <row r="1520" spans="1:17" x14ac:dyDescent="0.2">
      <c r="A1520">
        <v>1519</v>
      </c>
      <c r="B1520" s="1">
        <v>40765</v>
      </c>
      <c r="C1520" t="s">
        <v>28</v>
      </c>
      <c r="D1520" s="7">
        <v>28</v>
      </c>
      <c r="E1520" s="7">
        <v>5</v>
      </c>
      <c r="F1520" s="7">
        <f t="shared" si="24"/>
        <v>4</v>
      </c>
      <c r="G1520" s="7" t="str">
        <f>LOOKUP(H1520,[1]startdates!$A$2:$A$10,[1]startdates!$B$2:$B$10)</f>
        <v>C</v>
      </c>
      <c r="H1520">
        <v>5</v>
      </c>
      <c r="N1520" s="7">
        <v>256</v>
      </c>
    </row>
    <row r="1521" spans="1:18" x14ac:dyDescent="0.2">
      <c r="A1521">
        <v>1520</v>
      </c>
      <c r="B1521" s="1">
        <v>40765</v>
      </c>
      <c r="C1521" t="s">
        <v>28</v>
      </c>
      <c r="D1521" s="7">
        <v>28</v>
      </c>
      <c r="E1521" s="7">
        <v>5</v>
      </c>
      <c r="F1521" s="7">
        <f t="shared" si="24"/>
        <v>4</v>
      </c>
      <c r="G1521" s="7" t="str">
        <f>LOOKUP(H1521,[1]startdates!$A$2:$A$10,[1]startdates!$B$2:$B$10)</f>
        <v>FMr</v>
      </c>
      <c r="H1521">
        <v>6</v>
      </c>
      <c r="I1521" s="7">
        <v>771</v>
      </c>
      <c r="K1521" s="7">
        <v>620</v>
      </c>
      <c r="L1521" s="7">
        <v>486</v>
      </c>
      <c r="M1521" s="7">
        <v>333</v>
      </c>
      <c r="N1521" s="7">
        <v>268</v>
      </c>
      <c r="O1521" s="7">
        <v>163</v>
      </c>
      <c r="P1521" s="7">
        <v>529</v>
      </c>
    </row>
    <row r="1522" spans="1:18" x14ac:dyDescent="0.2">
      <c r="A1522">
        <v>1521</v>
      </c>
      <c r="B1522" s="1">
        <v>40765</v>
      </c>
      <c r="C1522" t="s">
        <v>28</v>
      </c>
      <c r="D1522" s="7">
        <v>28</v>
      </c>
      <c r="E1522" s="7">
        <v>5</v>
      </c>
      <c r="F1522" s="7">
        <f t="shared" si="24"/>
        <v>4</v>
      </c>
      <c r="G1522" s="7" t="str">
        <f>LOOKUP(H1522,[1]startdates!$A$2:$A$10,[1]startdates!$B$2:$B$10)</f>
        <v>FMr</v>
      </c>
      <c r="H1522">
        <v>6</v>
      </c>
      <c r="I1522" s="7">
        <v>869</v>
      </c>
      <c r="K1522" s="7">
        <v>597</v>
      </c>
      <c r="L1522" s="7">
        <v>438</v>
      </c>
      <c r="M1522" s="7">
        <v>313</v>
      </c>
      <c r="N1522" s="7">
        <v>222</v>
      </c>
      <c r="O1522" s="7">
        <v>149</v>
      </c>
    </row>
    <row r="1523" spans="1:18" x14ac:dyDescent="0.2">
      <c r="A1523">
        <v>1522</v>
      </c>
      <c r="B1523" s="1">
        <v>40765</v>
      </c>
      <c r="C1523" t="s">
        <v>28</v>
      </c>
      <c r="D1523" s="7">
        <v>28</v>
      </c>
      <c r="E1523" s="7">
        <v>5</v>
      </c>
      <c r="F1523" s="7">
        <f t="shared" si="24"/>
        <v>4</v>
      </c>
      <c r="G1523" s="7" t="str">
        <f>LOOKUP(H1523,[1]startdates!$A$2:$A$10,[1]startdates!$B$2:$B$10)</f>
        <v>FMr</v>
      </c>
      <c r="H1523">
        <v>6</v>
      </c>
      <c r="I1523" s="7">
        <v>814</v>
      </c>
      <c r="L1523" s="7">
        <v>523</v>
      </c>
      <c r="M1523" s="7">
        <v>339</v>
      </c>
      <c r="N1523" s="7">
        <v>251</v>
      </c>
      <c r="O1523" s="7">
        <v>178</v>
      </c>
    </row>
    <row r="1524" spans="1:18" x14ac:dyDescent="0.2">
      <c r="A1524">
        <v>1523</v>
      </c>
      <c r="B1524" s="1">
        <v>40765</v>
      </c>
      <c r="C1524" t="s">
        <v>28</v>
      </c>
      <c r="D1524" s="7">
        <v>28</v>
      </c>
      <c r="E1524" s="7">
        <v>5</v>
      </c>
      <c r="F1524" s="7">
        <f t="shared" si="24"/>
        <v>4</v>
      </c>
      <c r="G1524" s="7" t="str">
        <f>LOOKUP(H1524,[1]startdates!$A$2:$A$10,[1]startdates!$B$2:$B$10)</f>
        <v>FMr</v>
      </c>
      <c r="H1524">
        <v>6</v>
      </c>
      <c r="I1524" s="7">
        <v>758</v>
      </c>
      <c r="L1524" s="7">
        <v>505</v>
      </c>
      <c r="N1524" s="7">
        <v>261</v>
      </c>
      <c r="O1524" s="7">
        <v>161</v>
      </c>
    </row>
    <row r="1525" spans="1:18" x14ac:dyDescent="0.2">
      <c r="A1525">
        <v>1524</v>
      </c>
      <c r="B1525" s="1">
        <v>40765</v>
      </c>
      <c r="C1525" t="s">
        <v>28</v>
      </c>
      <c r="D1525" s="7">
        <v>28</v>
      </c>
      <c r="E1525" s="7">
        <v>5</v>
      </c>
      <c r="F1525" s="7">
        <f t="shared" si="24"/>
        <v>4</v>
      </c>
      <c r="G1525" s="7" t="str">
        <f>LOOKUP(H1525,[1]startdates!$A$2:$A$10,[1]startdates!$B$2:$B$10)</f>
        <v>FMr</v>
      </c>
      <c r="H1525">
        <v>6</v>
      </c>
      <c r="I1525" s="7">
        <v>848</v>
      </c>
      <c r="N1525" s="7">
        <v>214</v>
      </c>
      <c r="O1525" s="7">
        <v>184</v>
      </c>
    </row>
    <row r="1526" spans="1:18" x14ac:dyDescent="0.2">
      <c r="A1526">
        <v>1525</v>
      </c>
      <c r="B1526" s="1">
        <v>40765</v>
      </c>
      <c r="C1526" t="s">
        <v>28</v>
      </c>
      <c r="D1526" s="7">
        <v>28</v>
      </c>
      <c r="E1526" s="7">
        <v>5</v>
      </c>
      <c r="F1526" s="7">
        <f t="shared" si="24"/>
        <v>4</v>
      </c>
      <c r="G1526" s="7" t="str">
        <f>LOOKUP(H1526,[1]startdates!$A$2:$A$10,[1]startdates!$B$2:$B$10)</f>
        <v>FMr</v>
      </c>
      <c r="H1526">
        <v>6</v>
      </c>
      <c r="N1526" s="7">
        <v>212</v>
      </c>
      <c r="O1526" s="7">
        <v>155</v>
      </c>
    </row>
    <row r="1527" spans="1:18" x14ac:dyDescent="0.2">
      <c r="A1527">
        <v>1526</v>
      </c>
      <c r="B1527" s="1">
        <v>40765</v>
      </c>
      <c r="C1527" t="s">
        <v>28</v>
      </c>
      <c r="D1527" s="7">
        <v>28</v>
      </c>
      <c r="E1527" s="7">
        <v>5</v>
      </c>
      <c r="F1527" s="7">
        <f t="shared" si="24"/>
        <v>4</v>
      </c>
      <c r="G1527" s="7" t="str">
        <f>LOOKUP(H1527,[1]startdates!$A$2:$A$10,[1]startdates!$B$2:$B$10)</f>
        <v>FMr</v>
      </c>
      <c r="H1527">
        <v>6</v>
      </c>
      <c r="N1527" s="7">
        <v>202</v>
      </c>
      <c r="O1527" s="7">
        <v>186</v>
      </c>
    </row>
    <row r="1528" spans="1:18" x14ac:dyDescent="0.2">
      <c r="A1528">
        <v>1527</v>
      </c>
      <c r="B1528" s="1">
        <v>40765</v>
      </c>
      <c r="C1528" t="s">
        <v>28</v>
      </c>
      <c r="D1528" s="7">
        <v>28</v>
      </c>
      <c r="E1528" s="7">
        <v>5</v>
      </c>
      <c r="F1528" s="7">
        <f t="shared" si="24"/>
        <v>4</v>
      </c>
      <c r="G1528" s="7" t="str">
        <f>LOOKUP(H1528,[1]startdates!$A$2:$A$10,[1]startdates!$B$2:$B$10)</f>
        <v>FMr</v>
      </c>
      <c r="H1528">
        <v>6</v>
      </c>
      <c r="N1528" s="7">
        <v>178</v>
      </c>
      <c r="O1528" s="7">
        <v>141</v>
      </c>
    </row>
    <row r="1529" spans="1:18" x14ac:dyDescent="0.2">
      <c r="A1529">
        <v>1528</v>
      </c>
      <c r="B1529" s="1">
        <v>40765</v>
      </c>
      <c r="C1529" t="s">
        <v>28</v>
      </c>
      <c r="D1529" s="7">
        <v>28</v>
      </c>
      <c r="E1529" s="7">
        <v>5</v>
      </c>
      <c r="F1529" s="7">
        <f t="shared" si="24"/>
        <v>4</v>
      </c>
      <c r="G1529" s="7" t="str">
        <f>LOOKUP(H1529,[1]startdates!$A$2:$A$10,[1]startdates!$B$2:$B$10)</f>
        <v>FMr</v>
      </c>
      <c r="H1529">
        <v>6</v>
      </c>
      <c r="N1529" s="7">
        <v>192</v>
      </c>
      <c r="O1529" s="7">
        <v>180</v>
      </c>
    </row>
    <row r="1530" spans="1:18" x14ac:dyDescent="0.2">
      <c r="A1530">
        <v>1529</v>
      </c>
      <c r="B1530" s="1">
        <v>40765</v>
      </c>
      <c r="C1530" t="s">
        <v>28</v>
      </c>
      <c r="D1530" s="7">
        <v>28</v>
      </c>
      <c r="E1530" s="7">
        <v>5</v>
      </c>
      <c r="F1530" s="7">
        <f t="shared" si="24"/>
        <v>4</v>
      </c>
      <c r="G1530" s="7" t="str">
        <f>LOOKUP(H1530,[1]startdates!$A$2:$A$10,[1]startdates!$B$2:$B$10)</f>
        <v>FMr</v>
      </c>
      <c r="H1530">
        <v>6</v>
      </c>
      <c r="N1530" s="7">
        <v>184</v>
      </c>
      <c r="O1530" s="7">
        <v>167</v>
      </c>
    </row>
    <row r="1531" spans="1:18" x14ac:dyDescent="0.2">
      <c r="A1531">
        <v>1530</v>
      </c>
      <c r="B1531" s="1">
        <v>40765</v>
      </c>
      <c r="C1531" t="s">
        <v>28</v>
      </c>
      <c r="D1531" s="7">
        <v>28</v>
      </c>
      <c r="E1531" s="7">
        <v>5</v>
      </c>
      <c r="F1531" s="7">
        <f t="shared" si="24"/>
        <v>4</v>
      </c>
      <c r="G1531" s="7" t="str">
        <f>LOOKUP(H1531,[1]startdates!$A$2:$A$10,[1]startdates!$B$2:$B$10)</f>
        <v>FMr</v>
      </c>
      <c r="H1531">
        <v>7</v>
      </c>
      <c r="I1531" s="7">
        <v>813</v>
      </c>
      <c r="K1531" s="7">
        <v>593</v>
      </c>
      <c r="L1531" s="7">
        <v>505</v>
      </c>
      <c r="M1531" s="7">
        <v>350</v>
      </c>
      <c r="N1531" s="7">
        <v>224</v>
      </c>
      <c r="O1531" s="7">
        <v>161</v>
      </c>
      <c r="R1531" s="7">
        <v>270</v>
      </c>
    </row>
    <row r="1532" spans="1:18" x14ac:dyDescent="0.2">
      <c r="A1532">
        <v>1531</v>
      </c>
      <c r="B1532" s="1">
        <v>40765</v>
      </c>
      <c r="C1532" t="s">
        <v>28</v>
      </c>
      <c r="D1532" s="7">
        <v>28</v>
      </c>
      <c r="E1532" s="7">
        <v>5</v>
      </c>
      <c r="F1532" s="7">
        <f t="shared" si="24"/>
        <v>4</v>
      </c>
      <c r="G1532" s="7" t="str">
        <f>LOOKUP(H1532,[1]startdates!$A$2:$A$10,[1]startdates!$B$2:$B$10)</f>
        <v>FMr</v>
      </c>
      <c r="H1532">
        <v>7</v>
      </c>
      <c r="I1532" s="7">
        <v>845</v>
      </c>
      <c r="K1532" s="7">
        <v>553</v>
      </c>
      <c r="M1532" s="7">
        <v>275</v>
      </c>
      <c r="N1532" s="7">
        <v>250</v>
      </c>
      <c r="O1532" s="7">
        <v>191</v>
      </c>
    </row>
    <row r="1533" spans="1:18" x14ac:dyDescent="0.2">
      <c r="A1533">
        <v>1532</v>
      </c>
      <c r="B1533" s="1">
        <v>40765</v>
      </c>
      <c r="C1533" t="s">
        <v>28</v>
      </c>
      <c r="D1533" s="7">
        <v>28</v>
      </c>
      <c r="E1533" s="7">
        <v>5</v>
      </c>
      <c r="F1533" s="7">
        <f t="shared" si="24"/>
        <v>4</v>
      </c>
      <c r="G1533" s="7" t="str">
        <f>LOOKUP(H1533,[1]startdates!$A$2:$A$10,[1]startdates!$B$2:$B$10)</f>
        <v>FMr</v>
      </c>
      <c r="H1533">
        <v>7</v>
      </c>
      <c r="I1533" s="7">
        <v>775</v>
      </c>
      <c r="K1533" s="7">
        <v>600</v>
      </c>
      <c r="M1533" s="7">
        <v>376</v>
      </c>
      <c r="N1533" s="7">
        <v>188</v>
      </c>
      <c r="O1533" s="7">
        <v>163</v>
      </c>
    </row>
    <row r="1534" spans="1:18" x14ac:dyDescent="0.2">
      <c r="A1534">
        <v>1533</v>
      </c>
      <c r="B1534" s="1">
        <v>40765</v>
      </c>
      <c r="C1534" t="s">
        <v>28</v>
      </c>
      <c r="D1534" s="7">
        <v>28</v>
      </c>
      <c r="E1534" s="7">
        <v>5</v>
      </c>
      <c r="F1534" s="7">
        <f t="shared" si="24"/>
        <v>4</v>
      </c>
      <c r="G1534" s="7" t="str">
        <f>LOOKUP(H1534,[1]startdates!$A$2:$A$10,[1]startdates!$B$2:$B$10)</f>
        <v>FMr</v>
      </c>
      <c r="H1534">
        <v>7</v>
      </c>
      <c r="I1534" s="7">
        <v>611</v>
      </c>
      <c r="K1534" s="7">
        <v>554</v>
      </c>
      <c r="N1534" s="7">
        <v>224</v>
      </c>
      <c r="O1534" s="7">
        <v>162</v>
      </c>
    </row>
    <row r="1535" spans="1:18" x14ac:dyDescent="0.2">
      <c r="A1535">
        <v>1534</v>
      </c>
      <c r="B1535" s="1">
        <v>40765</v>
      </c>
      <c r="C1535" t="s">
        <v>28</v>
      </c>
      <c r="D1535" s="7">
        <v>28</v>
      </c>
      <c r="E1535" s="7">
        <v>5</v>
      </c>
      <c r="F1535" s="7">
        <f t="shared" si="24"/>
        <v>4</v>
      </c>
      <c r="G1535" s="7" t="str">
        <f>LOOKUP(H1535,[1]startdates!$A$2:$A$10,[1]startdates!$B$2:$B$10)</f>
        <v>FMr</v>
      </c>
      <c r="H1535">
        <v>7</v>
      </c>
      <c r="I1535" s="7">
        <v>683</v>
      </c>
      <c r="K1535" s="7">
        <v>564</v>
      </c>
      <c r="N1535" s="7">
        <v>185</v>
      </c>
      <c r="O1535" s="7">
        <v>155</v>
      </c>
    </row>
    <row r="1536" spans="1:18" x14ac:dyDescent="0.2">
      <c r="A1536">
        <v>1535</v>
      </c>
      <c r="B1536" s="1">
        <v>40765</v>
      </c>
      <c r="C1536" t="s">
        <v>28</v>
      </c>
      <c r="D1536" s="7">
        <v>28</v>
      </c>
      <c r="E1536" s="7">
        <v>5</v>
      </c>
      <c r="F1536" s="7">
        <f t="shared" si="24"/>
        <v>4</v>
      </c>
      <c r="G1536" s="7" t="str">
        <f>LOOKUP(H1536,[1]startdates!$A$2:$A$10,[1]startdates!$B$2:$B$10)</f>
        <v>FMr</v>
      </c>
      <c r="H1536">
        <v>7</v>
      </c>
      <c r="I1536" s="7">
        <v>693</v>
      </c>
      <c r="N1536" s="7">
        <v>230</v>
      </c>
      <c r="O1536" s="7">
        <v>162</v>
      </c>
    </row>
    <row r="1537" spans="1:17" x14ac:dyDescent="0.2">
      <c r="A1537">
        <v>1536</v>
      </c>
      <c r="B1537" s="1">
        <v>40765</v>
      </c>
      <c r="C1537" t="s">
        <v>28</v>
      </c>
      <c r="D1537" s="7">
        <v>28</v>
      </c>
      <c r="E1537" s="7">
        <v>5</v>
      </c>
      <c r="F1537" s="7">
        <f t="shared" si="24"/>
        <v>4</v>
      </c>
      <c r="G1537" s="7" t="str">
        <f>LOOKUP(H1537,[1]startdates!$A$2:$A$10,[1]startdates!$B$2:$B$10)</f>
        <v>FMr</v>
      </c>
      <c r="H1537">
        <v>7</v>
      </c>
      <c r="N1537" s="7">
        <v>193</v>
      </c>
      <c r="O1537" s="7">
        <v>171</v>
      </c>
    </row>
    <row r="1538" spans="1:17" x14ac:dyDescent="0.2">
      <c r="A1538">
        <v>1537</v>
      </c>
      <c r="B1538" s="1">
        <v>40765</v>
      </c>
      <c r="C1538" t="s">
        <v>28</v>
      </c>
      <c r="D1538" s="7">
        <v>28</v>
      </c>
      <c r="E1538" s="7">
        <v>5</v>
      </c>
      <c r="F1538" s="7">
        <f t="shared" si="24"/>
        <v>4</v>
      </c>
      <c r="G1538" s="7" t="str">
        <f>LOOKUP(H1538,[1]startdates!$A$2:$A$10,[1]startdates!$B$2:$B$10)</f>
        <v>FMr</v>
      </c>
      <c r="H1538">
        <v>7</v>
      </c>
      <c r="N1538" s="7">
        <v>171</v>
      </c>
      <c r="O1538" s="7">
        <v>167</v>
      </c>
    </row>
    <row r="1539" spans="1:17" x14ac:dyDescent="0.2">
      <c r="A1539">
        <v>1538</v>
      </c>
      <c r="B1539" s="1">
        <v>40765</v>
      </c>
      <c r="C1539" t="s">
        <v>28</v>
      </c>
      <c r="D1539" s="7">
        <v>28</v>
      </c>
      <c r="E1539" s="7">
        <v>5</v>
      </c>
      <c r="F1539" s="7">
        <f t="shared" si="24"/>
        <v>4</v>
      </c>
      <c r="G1539" s="7" t="str">
        <f>LOOKUP(H1539,[1]startdates!$A$2:$A$10,[1]startdates!$B$2:$B$10)</f>
        <v>FMr</v>
      </c>
      <c r="H1539">
        <v>7</v>
      </c>
      <c r="N1539" s="7">
        <v>207</v>
      </c>
      <c r="O1539" s="7">
        <v>201</v>
      </c>
    </row>
    <row r="1540" spans="1:17" x14ac:dyDescent="0.2">
      <c r="A1540">
        <v>1539</v>
      </c>
      <c r="B1540" s="1">
        <v>40765</v>
      </c>
      <c r="C1540" t="s">
        <v>28</v>
      </c>
      <c r="D1540" s="7">
        <v>28</v>
      </c>
      <c r="E1540" s="7">
        <v>5</v>
      </c>
      <c r="F1540" s="7">
        <f t="shared" si="24"/>
        <v>4</v>
      </c>
      <c r="G1540" s="7" t="str">
        <f>LOOKUP(H1540,[1]startdates!$A$2:$A$10,[1]startdates!$B$2:$B$10)</f>
        <v>FMr</v>
      </c>
      <c r="H1540">
        <v>7</v>
      </c>
      <c r="N1540" s="7">
        <v>273</v>
      </c>
      <c r="O1540" s="7">
        <v>174</v>
      </c>
    </row>
    <row r="1541" spans="1:17" x14ac:dyDescent="0.2">
      <c r="A1541">
        <v>1540</v>
      </c>
      <c r="B1541" s="1">
        <v>40765</v>
      </c>
      <c r="C1541" t="s">
        <v>28</v>
      </c>
      <c r="D1541" s="7">
        <v>28</v>
      </c>
      <c r="E1541" s="7">
        <v>5</v>
      </c>
      <c r="F1541" s="7">
        <f t="shared" si="24"/>
        <v>4</v>
      </c>
      <c r="G1541" s="7" t="str">
        <f>LOOKUP(H1541,[1]startdates!$A$2:$A$10,[1]startdates!$B$2:$B$10)</f>
        <v>C</v>
      </c>
      <c r="H1541">
        <v>8</v>
      </c>
      <c r="I1541" s="7">
        <v>839</v>
      </c>
      <c r="J1541" s="7">
        <v>614</v>
      </c>
      <c r="K1541" s="7">
        <v>688</v>
      </c>
      <c r="L1541" s="7">
        <v>570</v>
      </c>
      <c r="M1541" s="7">
        <v>382</v>
      </c>
      <c r="N1541" s="7">
        <v>198</v>
      </c>
      <c r="O1541" s="7">
        <v>169</v>
      </c>
      <c r="Q1541" s="7">
        <v>408</v>
      </c>
    </row>
    <row r="1542" spans="1:17" x14ac:dyDescent="0.2">
      <c r="A1542">
        <v>1541</v>
      </c>
      <c r="B1542" s="1">
        <v>40765</v>
      </c>
      <c r="C1542" t="s">
        <v>28</v>
      </c>
      <c r="D1542" s="7">
        <v>28</v>
      </c>
      <c r="E1542" s="7">
        <v>5</v>
      </c>
      <c r="F1542" s="7">
        <f t="shared" si="24"/>
        <v>4</v>
      </c>
      <c r="G1542" s="7" t="str">
        <f>LOOKUP(H1542,[1]startdates!$A$2:$A$10,[1]startdates!$B$2:$B$10)</f>
        <v>C</v>
      </c>
      <c r="H1542">
        <v>8</v>
      </c>
      <c r="I1542" s="7">
        <v>709</v>
      </c>
      <c r="K1542" s="7">
        <v>666</v>
      </c>
      <c r="L1542" s="7">
        <v>488</v>
      </c>
      <c r="M1542" s="7">
        <v>363</v>
      </c>
      <c r="N1542" s="7">
        <v>222</v>
      </c>
      <c r="O1542" s="7">
        <v>178</v>
      </c>
    </row>
    <row r="1543" spans="1:17" x14ac:dyDescent="0.2">
      <c r="A1543">
        <v>1542</v>
      </c>
      <c r="B1543" s="1">
        <v>40765</v>
      </c>
      <c r="C1543" t="s">
        <v>28</v>
      </c>
      <c r="D1543" s="7">
        <v>28</v>
      </c>
      <c r="E1543" s="7">
        <v>5</v>
      </c>
      <c r="F1543" s="7">
        <f t="shared" si="24"/>
        <v>4</v>
      </c>
      <c r="G1543" s="7" t="str">
        <f>LOOKUP(H1543,[1]startdates!$A$2:$A$10,[1]startdates!$B$2:$B$10)</f>
        <v>C</v>
      </c>
      <c r="H1543">
        <v>8</v>
      </c>
      <c r="I1543" s="7">
        <v>773</v>
      </c>
      <c r="M1543" s="7">
        <v>327</v>
      </c>
      <c r="N1543" s="7">
        <v>200</v>
      </c>
      <c r="O1543" s="7">
        <v>170</v>
      </c>
    </row>
    <row r="1544" spans="1:17" x14ac:dyDescent="0.2">
      <c r="A1544">
        <v>1543</v>
      </c>
      <c r="B1544" s="1">
        <v>40765</v>
      </c>
      <c r="C1544" t="s">
        <v>28</v>
      </c>
      <c r="D1544" s="7">
        <v>28</v>
      </c>
      <c r="E1544" s="7">
        <v>5</v>
      </c>
      <c r="F1544" s="7">
        <f t="shared" si="24"/>
        <v>4</v>
      </c>
      <c r="G1544" s="7" t="str">
        <f>LOOKUP(H1544,[1]startdates!$A$2:$A$10,[1]startdates!$B$2:$B$10)</f>
        <v>C</v>
      </c>
      <c r="H1544">
        <v>8</v>
      </c>
      <c r="I1544" s="7">
        <v>835</v>
      </c>
      <c r="N1544" s="7">
        <v>204</v>
      </c>
      <c r="O1544" s="7">
        <v>171</v>
      </c>
    </row>
    <row r="1545" spans="1:17" x14ac:dyDescent="0.2">
      <c r="A1545">
        <v>1544</v>
      </c>
      <c r="B1545" s="1">
        <v>40765</v>
      </c>
      <c r="C1545" t="s">
        <v>28</v>
      </c>
      <c r="D1545" s="7">
        <v>28</v>
      </c>
      <c r="E1545" s="7">
        <v>5</v>
      </c>
      <c r="F1545" s="7">
        <f t="shared" si="24"/>
        <v>4</v>
      </c>
      <c r="G1545" s="7" t="str">
        <f>LOOKUP(H1545,[1]startdates!$A$2:$A$10,[1]startdates!$B$2:$B$10)</f>
        <v>C</v>
      </c>
      <c r="H1545">
        <v>8</v>
      </c>
      <c r="I1545" s="7">
        <v>784</v>
      </c>
      <c r="N1545" s="7">
        <v>267</v>
      </c>
      <c r="O1545" s="7">
        <v>177</v>
      </c>
    </row>
    <row r="1546" spans="1:17" x14ac:dyDescent="0.2">
      <c r="A1546">
        <v>1545</v>
      </c>
      <c r="B1546" s="1">
        <v>40765</v>
      </c>
      <c r="C1546" t="s">
        <v>28</v>
      </c>
      <c r="D1546" s="7">
        <v>28</v>
      </c>
      <c r="E1546" s="7">
        <v>5</v>
      </c>
      <c r="F1546" s="7">
        <f t="shared" si="24"/>
        <v>4</v>
      </c>
      <c r="G1546" s="7" t="str">
        <f>LOOKUP(H1546,[1]startdates!$A$2:$A$10,[1]startdates!$B$2:$B$10)</f>
        <v>C</v>
      </c>
      <c r="H1546">
        <v>8</v>
      </c>
      <c r="I1546" s="7">
        <v>855</v>
      </c>
      <c r="N1546" s="7">
        <v>199</v>
      </c>
      <c r="O1546" s="7">
        <v>205</v>
      </c>
    </row>
    <row r="1547" spans="1:17" x14ac:dyDescent="0.2">
      <c r="A1547">
        <v>1546</v>
      </c>
      <c r="B1547" s="1">
        <v>40765</v>
      </c>
      <c r="C1547" t="s">
        <v>28</v>
      </c>
      <c r="D1547" s="7">
        <v>28</v>
      </c>
      <c r="E1547" s="7">
        <v>5</v>
      </c>
      <c r="F1547" s="7">
        <f t="shared" si="24"/>
        <v>4</v>
      </c>
      <c r="G1547" s="7" t="str">
        <f>LOOKUP(H1547,[1]startdates!$A$2:$A$10,[1]startdates!$B$2:$B$10)</f>
        <v>C</v>
      </c>
      <c r="H1547">
        <v>8</v>
      </c>
      <c r="N1547" s="7">
        <v>157</v>
      </c>
      <c r="O1547" s="7">
        <v>174</v>
      </c>
    </row>
    <row r="1548" spans="1:17" x14ac:dyDescent="0.2">
      <c r="A1548">
        <v>1547</v>
      </c>
      <c r="B1548" s="1">
        <v>40765</v>
      </c>
      <c r="C1548" t="s">
        <v>28</v>
      </c>
      <c r="D1548" s="7">
        <v>28</v>
      </c>
      <c r="E1548" s="7">
        <v>5</v>
      </c>
      <c r="F1548" s="7">
        <f t="shared" si="24"/>
        <v>4</v>
      </c>
      <c r="G1548" s="7" t="str">
        <f>LOOKUP(H1548,[1]startdates!$A$2:$A$10,[1]startdates!$B$2:$B$10)</f>
        <v>C</v>
      </c>
      <c r="H1548">
        <v>8</v>
      </c>
      <c r="N1548" s="7">
        <v>243</v>
      </c>
      <c r="O1548" s="7">
        <v>179</v>
      </c>
    </row>
    <row r="1549" spans="1:17" x14ac:dyDescent="0.2">
      <c r="A1549">
        <v>1548</v>
      </c>
      <c r="B1549" s="1">
        <v>40765</v>
      </c>
      <c r="C1549" t="s">
        <v>28</v>
      </c>
      <c r="D1549" s="7">
        <v>28</v>
      </c>
      <c r="E1549" s="7">
        <v>5</v>
      </c>
      <c r="F1549" s="7">
        <f t="shared" si="24"/>
        <v>4</v>
      </c>
      <c r="G1549" s="7" t="str">
        <f>LOOKUP(H1549,[1]startdates!$A$2:$A$10,[1]startdates!$B$2:$B$10)</f>
        <v>C</v>
      </c>
      <c r="H1549">
        <v>8</v>
      </c>
      <c r="N1549" s="7">
        <v>214</v>
      </c>
      <c r="O1549" s="7">
        <v>148</v>
      </c>
    </row>
    <row r="1550" spans="1:17" x14ac:dyDescent="0.2">
      <c r="A1550">
        <v>1549</v>
      </c>
      <c r="B1550" s="1">
        <v>40765</v>
      </c>
      <c r="C1550" t="s">
        <v>28</v>
      </c>
      <c r="D1550" s="7">
        <v>28</v>
      </c>
      <c r="E1550" s="7">
        <v>5</v>
      </c>
      <c r="F1550" s="7">
        <f t="shared" si="24"/>
        <v>4</v>
      </c>
      <c r="G1550" s="7" t="str">
        <f>LOOKUP(H1550,[1]startdates!$A$2:$A$10,[1]startdates!$B$2:$B$10)</f>
        <v>C</v>
      </c>
      <c r="H1550">
        <v>8</v>
      </c>
      <c r="N1550" s="7">
        <v>207</v>
      </c>
      <c r="O1550" s="7">
        <v>206</v>
      </c>
    </row>
    <row r="1551" spans="1:17" x14ac:dyDescent="0.2">
      <c r="A1551">
        <v>1550</v>
      </c>
      <c r="B1551" s="1">
        <v>40765</v>
      </c>
      <c r="C1551" t="s">
        <v>28</v>
      </c>
      <c r="D1551" s="7">
        <v>28</v>
      </c>
      <c r="E1551" s="7">
        <v>5</v>
      </c>
      <c r="F1551" s="7">
        <f t="shared" si="24"/>
        <v>4</v>
      </c>
      <c r="G1551" s="7" t="str">
        <f>LOOKUP(H1551,[1]startdates!$A$2:$A$10,[1]startdates!$B$2:$B$10)</f>
        <v>C</v>
      </c>
      <c r="H1551">
        <v>8</v>
      </c>
      <c r="N1551" s="7">
        <v>245</v>
      </c>
      <c r="O1551" s="7">
        <v>176</v>
      </c>
    </row>
    <row r="1552" spans="1:17" x14ac:dyDescent="0.2">
      <c r="A1552">
        <v>1551</v>
      </c>
      <c r="B1552" s="1">
        <v>40765</v>
      </c>
      <c r="C1552" t="s">
        <v>28</v>
      </c>
      <c r="D1552" s="7">
        <v>28</v>
      </c>
      <c r="E1552" s="7">
        <v>5</v>
      </c>
      <c r="F1552" s="7">
        <f t="shared" si="24"/>
        <v>4</v>
      </c>
      <c r="G1552" s="7" t="str">
        <f>LOOKUP(H1552,[1]startdates!$A$2:$A$10,[1]startdates!$B$2:$B$10)</f>
        <v>C</v>
      </c>
      <c r="H1552">
        <v>8</v>
      </c>
      <c r="N1552" s="7">
        <v>177</v>
      </c>
      <c r="O1552" s="7">
        <v>157</v>
      </c>
    </row>
    <row r="1553" spans="1:18" x14ac:dyDescent="0.2">
      <c r="A1553">
        <v>1552</v>
      </c>
      <c r="B1553" s="1">
        <v>40765</v>
      </c>
      <c r="C1553" t="s">
        <v>28</v>
      </c>
      <c r="D1553" s="7">
        <v>28</v>
      </c>
      <c r="E1553" s="7">
        <v>5</v>
      </c>
      <c r="F1553" s="7">
        <f t="shared" si="24"/>
        <v>4</v>
      </c>
      <c r="G1553" s="7" t="str">
        <f>LOOKUP(H1553,[1]startdates!$A$2:$A$10,[1]startdates!$B$2:$B$10)</f>
        <v>C</v>
      </c>
      <c r="H1553">
        <v>8</v>
      </c>
      <c r="N1553" s="7">
        <v>280</v>
      </c>
    </row>
    <row r="1554" spans="1:18" x14ac:dyDescent="0.2">
      <c r="A1554">
        <v>1553</v>
      </c>
      <c r="B1554" s="1">
        <v>40765</v>
      </c>
      <c r="C1554" t="s">
        <v>28</v>
      </c>
      <c r="D1554" s="7">
        <v>28</v>
      </c>
      <c r="E1554" s="7">
        <v>5</v>
      </c>
      <c r="F1554" s="7">
        <f t="shared" si="24"/>
        <v>4</v>
      </c>
      <c r="G1554" s="7" t="str">
        <f>LOOKUP(H1554,[1]startdates!$A$2:$A$10,[1]startdates!$B$2:$B$10)</f>
        <v>C</v>
      </c>
      <c r="H1554">
        <v>8</v>
      </c>
      <c r="N1554" s="7">
        <v>221</v>
      </c>
    </row>
    <row r="1555" spans="1:18" x14ac:dyDescent="0.2">
      <c r="A1555">
        <v>1554</v>
      </c>
      <c r="B1555" s="1">
        <v>40765</v>
      </c>
      <c r="C1555" t="s">
        <v>28</v>
      </c>
      <c r="D1555" s="7">
        <v>28</v>
      </c>
      <c r="E1555" s="7">
        <v>5</v>
      </c>
      <c r="F1555" s="7">
        <f t="shared" si="24"/>
        <v>4</v>
      </c>
      <c r="G1555" s="7" t="str">
        <f>LOOKUP(H1555,[1]startdates!$A$2:$A$10,[1]startdates!$B$2:$B$10)</f>
        <v>C</v>
      </c>
      <c r="H1555">
        <v>8</v>
      </c>
      <c r="N1555" s="7">
        <v>266</v>
      </c>
    </row>
    <row r="1556" spans="1:18" x14ac:dyDescent="0.2">
      <c r="A1556">
        <v>1555</v>
      </c>
      <c r="B1556" s="1">
        <v>40765</v>
      </c>
      <c r="C1556" t="s">
        <v>28</v>
      </c>
      <c r="D1556" s="7">
        <v>28</v>
      </c>
      <c r="E1556" s="7">
        <v>5</v>
      </c>
      <c r="F1556" s="7">
        <f t="shared" si="24"/>
        <v>4</v>
      </c>
      <c r="G1556" s="7" t="str">
        <f>LOOKUP(H1556,[1]startdates!$A$2:$A$10,[1]startdates!$B$2:$B$10)</f>
        <v>C</v>
      </c>
      <c r="H1556">
        <v>8</v>
      </c>
      <c r="N1556" s="7">
        <v>221</v>
      </c>
    </row>
    <row r="1557" spans="1:18" x14ac:dyDescent="0.2">
      <c r="A1557">
        <v>1556</v>
      </c>
      <c r="B1557" s="1">
        <v>40765</v>
      </c>
      <c r="C1557" t="s">
        <v>28</v>
      </c>
      <c r="D1557" s="7">
        <v>28</v>
      </c>
      <c r="E1557" s="7">
        <v>5</v>
      </c>
      <c r="F1557" s="7">
        <f t="shared" si="24"/>
        <v>4</v>
      </c>
      <c r="G1557" s="7" t="str">
        <f>LOOKUP(H1557,[1]startdates!$A$2:$A$10,[1]startdates!$B$2:$B$10)</f>
        <v>FMr</v>
      </c>
      <c r="H1557">
        <v>9</v>
      </c>
      <c r="I1557" s="7">
        <v>794</v>
      </c>
      <c r="K1557" s="7">
        <v>685</v>
      </c>
      <c r="M1557" s="7">
        <v>345</v>
      </c>
      <c r="N1557" s="7">
        <v>233</v>
      </c>
      <c r="O1557" s="7">
        <v>155</v>
      </c>
      <c r="R1557" s="7">
        <v>247</v>
      </c>
    </row>
    <row r="1558" spans="1:18" x14ac:dyDescent="0.2">
      <c r="A1558">
        <v>1557</v>
      </c>
      <c r="B1558" s="1">
        <v>40765</v>
      </c>
      <c r="C1558" t="s">
        <v>28</v>
      </c>
      <c r="D1558" s="7">
        <v>28</v>
      </c>
      <c r="E1558" s="7">
        <v>5</v>
      </c>
      <c r="F1558" s="7">
        <f t="shared" si="24"/>
        <v>4</v>
      </c>
      <c r="G1558" s="7" t="str">
        <f>LOOKUP(H1558,[1]startdates!$A$2:$A$10,[1]startdates!$B$2:$B$10)</f>
        <v>FMr</v>
      </c>
      <c r="H1558">
        <v>9</v>
      </c>
      <c r="I1558" s="7">
        <v>820</v>
      </c>
      <c r="K1558" s="7">
        <v>644</v>
      </c>
      <c r="M1558" s="7">
        <v>348</v>
      </c>
      <c r="N1558" s="7">
        <v>290</v>
      </c>
      <c r="O1558" s="7">
        <v>204</v>
      </c>
      <c r="R1558" s="7">
        <v>243</v>
      </c>
    </row>
    <row r="1559" spans="1:18" x14ac:dyDescent="0.2">
      <c r="A1559">
        <v>1558</v>
      </c>
      <c r="B1559" s="1">
        <v>40765</v>
      </c>
      <c r="C1559" t="s">
        <v>28</v>
      </c>
      <c r="D1559" s="7">
        <v>28</v>
      </c>
      <c r="E1559" s="7">
        <v>5</v>
      </c>
      <c r="F1559" s="7">
        <f t="shared" si="24"/>
        <v>4</v>
      </c>
      <c r="G1559" s="7" t="str">
        <f>LOOKUP(H1559,[1]startdates!$A$2:$A$10,[1]startdates!$B$2:$B$10)</f>
        <v>FMr</v>
      </c>
      <c r="H1559">
        <v>9</v>
      </c>
      <c r="I1559" s="7">
        <v>869</v>
      </c>
      <c r="K1559" s="7">
        <v>625</v>
      </c>
      <c r="M1559" s="7">
        <v>328</v>
      </c>
      <c r="N1559" s="7">
        <v>219</v>
      </c>
      <c r="O1559" s="7">
        <v>186</v>
      </c>
    </row>
    <row r="1560" spans="1:18" x14ac:dyDescent="0.2">
      <c r="A1560">
        <v>1559</v>
      </c>
      <c r="B1560" s="1">
        <v>40765</v>
      </c>
      <c r="C1560" t="s">
        <v>28</v>
      </c>
      <c r="D1560" s="7">
        <v>28</v>
      </c>
      <c r="E1560" s="7">
        <v>5</v>
      </c>
      <c r="F1560" s="7">
        <f t="shared" si="24"/>
        <v>4</v>
      </c>
      <c r="G1560" s="7" t="str">
        <f>LOOKUP(H1560,[1]startdates!$A$2:$A$10,[1]startdates!$B$2:$B$10)</f>
        <v>FMr</v>
      </c>
      <c r="H1560">
        <v>9</v>
      </c>
      <c r="I1560" s="7">
        <v>796</v>
      </c>
      <c r="N1560" s="7">
        <v>224</v>
      </c>
      <c r="O1560" s="7">
        <v>198</v>
      </c>
    </row>
    <row r="1561" spans="1:18" x14ac:dyDescent="0.2">
      <c r="A1561">
        <v>1560</v>
      </c>
      <c r="B1561" s="1">
        <v>40765</v>
      </c>
      <c r="C1561" t="s">
        <v>28</v>
      </c>
      <c r="D1561" s="7">
        <v>28</v>
      </c>
      <c r="E1561" s="7">
        <v>5</v>
      </c>
      <c r="F1561" s="7">
        <f t="shared" si="24"/>
        <v>4</v>
      </c>
      <c r="G1561" s="7" t="str">
        <f>LOOKUP(H1561,[1]startdates!$A$2:$A$10,[1]startdates!$B$2:$B$10)</f>
        <v>FMr</v>
      </c>
      <c r="H1561">
        <v>9</v>
      </c>
      <c r="I1561" s="7">
        <v>831</v>
      </c>
      <c r="N1561" s="7">
        <v>233</v>
      </c>
      <c r="O1561" s="7">
        <v>177</v>
      </c>
    </row>
    <row r="1562" spans="1:18" x14ac:dyDescent="0.2">
      <c r="A1562">
        <v>1561</v>
      </c>
      <c r="B1562" s="1">
        <v>40765</v>
      </c>
      <c r="C1562" t="s">
        <v>28</v>
      </c>
      <c r="D1562" s="7">
        <v>28</v>
      </c>
      <c r="E1562" s="7">
        <v>5</v>
      </c>
      <c r="F1562" s="7">
        <f t="shared" si="24"/>
        <v>4</v>
      </c>
      <c r="G1562" s="7" t="str">
        <f>LOOKUP(H1562,[1]startdates!$A$2:$A$10,[1]startdates!$B$2:$B$10)</f>
        <v>FMr</v>
      </c>
      <c r="H1562">
        <v>9</v>
      </c>
      <c r="I1562" s="7">
        <v>725</v>
      </c>
      <c r="N1562" s="7">
        <v>259</v>
      </c>
      <c r="O1562" s="7">
        <v>155</v>
      </c>
    </row>
    <row r="1563" spans="1:18" x14ac:dyDescent="0.2">
      <c r="A1563">
        <v>1562</v>
      </c>
      <c r="B1563" s="1">
        <v>40765</v>
      </c>
      <c r="C1563" t="s">
        <v>28</v>
      </c>
      <c r="D1563" s="7">
        <v>28</v>
      </c>
      <c r="E1563" s="7">
        <v>5</v>
      </c>
      <c r="F1563" s="7">
        <f t="shared" si="24"/>
        <v>4</v>
      </c>
      <c r="G1563" s="7" t="str">
        <f>LOOKUP(H1563,[1]startdates!$A$2:$A$10,[1]startdates!$B$2:$B$10)</f>
        <v>FMr</v>
      </c>
      <c r="H1563">
        <v>9</v>
      </c>
      <c r="I1563" s="7">
        <v>807</v>
      </c>
      <c r="N1563" s="7">
        <v>274</v>
      </c>
      <c r="O1563" s="7">
        <v>165</v>
      </c>
    </row>
    <row r="1564" spans="1:18" x14ac:dyDescent="0.2">
      <c r="A1564">
        <v>1563</v>
      </c>
      <c r="B1564" s="1">
        <v>40765</v>
      </c>
      <c r="C1564" t="s">
        <v>28</v>
      </c>
      <c r="D1564" s="7">
        <v>28</v>
      </c>
      <c r="E1564" s="7">
        <v>5</v>
      </c>
      <c r="F1564" s="7">
        <f t="shared" si="24"/>
        <v>4</v>
      </c>
      <c r="G1564" s="7" t="str">
        <f>LOOKUP(H1564,[1]startdates!$A$2:$A$10,[1]startdates!$B$2:$B$10)</f>
        <v>FMr</v>
      </c>
      <c r="H1564">
        <v>9</v>
      </c>
      <c r="I1564" s="7">
        <v>855</v>
      </c>
      <c r="N1564" s="7">
        <v>224</v>
      </c>
      <c r="O1564" s="7">
        <v>172</v>
      </c>
    </row>
    <row r="1565" spans="1:18" x14ac:dyDescent="0.2">
      <c r="A1565">
        <v>1564</v>
      </c>
      <c r="B1565" s="1">
        <v>40765</v>
      </c>
      <c r="C1565" t="s">
        <v>28</v>
      </c>
      <c r="D1565" s="7">
        <v>28</v>
      </c>
      <c r="E1565" s="7">
        <v>5</v>
      </c>
      <c r="F1565" s="7">
        <f t="shared" si="24"/>
        <v>4</v>
      </c>
      <c r="G1565" s="7" t="str">
        <f>LOOKUP(H1565,[1]startdates!$A$2:$A$10,[1]startdates!$B$2:$B$10)</f>
        <v>FMr</v>
      </c>
      <c r="H1565">
        <v>9</v>
      </c>
      <c r="I1565" s="7">
        <v>745</v>
      </c>
      <c r="N1565" s="7">
        <v>215</v>
      </c>
      <c r="O1565" s="7">
        <v>163</v>
      </c>
    </row>
    <row r="1566" spans="1:18" x14ac:dyDescent="0.2">
      <c r="A1566">
        <v>1565</v>
      </c>
      <c r="B1566" s="1">
        <v>40765</v>
      </c>
      <c r="C1566" t="s">
        <v>28</v>
      </c>
      <c r="D1566" s="7">
        <v>28</v>
      </c>
      <c r="E1566" s="7">
        <v>5</v>
      </c>
      <c r="F1566" s="7">
        <f t="shared" si="24"/>
        <v>4</v>
      </c>
      <c r="G1566" s="7" t="str">
        <f>LOOKUP(H1566,[1]startdates!$A$2:$A$10,[1]startdates!$B$2:$B$10)</f>
        <v>FMr</v>
      </c>
      <c r="H1566">
        <v>9</v>
      </c>
      <c r="N1566" s="7">
        <v>208</v>
      </c>
      <c r="O1566" s="7">
        <v>162</v>
      </c>
    </row>
    <row r="1567" spans="1:18" x14ac:dyDescent="0.2">
      <c r="A1567">
        <v>1566</v>
      </c>
      <c r="B1567" s="1">
        <v>40765</v>
      </c>
      <c r="C1567" t="s">
        <v>28</v>
      </c>
      <c r="D1567" s="7">
        <v>28</v>
      </c>
      <c r="E1567" s="7">
        <v>5</v>
      </c>
      <c r="F1567" s="7">
        <f t="shared" si="24"/>
        <v>4</v>
      </c>
      <c r="G1567" s="7" t="str">
        <f>LOOKUP(H1567,[1]startdates!$A$2:$A$10,[1]startdates!$B$2:$B$10)</f>
        <v>FMr</v>
      </c>
      <c r="H1567">
        <v>9</v>
      </c>
      <c r="N1567" s="7">
        <v>292</v>
      </c>
    </row>
    <row r="1568" spans="1:18" x14ac:dyDescent="0.2">
      <c r="A1568">
        <v>1567</v>
      </c>
      <c r="B1568" s="1">
        <v>40767</v>
      </c>
      <c r="C1568" t="s">
        <v>28</v>
      </c>
      <c r="D1568" s="7">
        <v>30</v>
      </c>
      <c r="E1568" s="7">
        <v>5</v>
      </c>
      <c r="F1568" s="7">
        <f t="shared" si="24"/>
        <v>6</v>
      </c>
      <c r="G1568" s="7" t="str">
        <f>LOOKUP(H1568,[1]startdates!$A$2:$A$10,[1]startdates!$B$2:$B$10)</f>
        <v>SMr</v>
      </c>
      <c r="H1568">
        <v>1</v>
      </c>
      <c r="I1568" s="7">
        <v>788</v>
      </c>
      <c r="K1568" s="7">
        <v>653</v>
      </c>
      <c r="L1568" s="7">
        <v>490</v>
      </c>
      <c r="M1568" s="7">
        <v>312</v>
      </c>
      <c r="N1568" s="7">
        <v>245</v>
      </c>
      <c r="O1568" s="7">
        <v>169</v>
      </c>
      <c r="P1568" s="7">
        <v>547</v>
      </c>
      <c r="Q1568" s="7">
        <v>376</v>
      </c>
      <c r="R1568" s="7">
        <v>253</v>
      </c>
    </row>
    <row r="1569" spans="1:17" x14ac:dyDescent="0.2">
      <c r="A1569">
        <v>1568</v>
      </c>
      <c r="B1569" s="1">
        <v>40767</v>
      </c>
      <c r="C1569" t="s">
        <v>28</v>
      </c>
      <c r="D1569" s="7">
        <v>30</v>
      </c>
      <c r="E1569" s="7">
        <v>5</v>
      </c>
      <c r="F1569" s="7">
        <f t="shared" si="24"/>
        <v>6</v>
      </c>
      <c r="G1569" s="7" t="str">
        <f>LOOKUP(H1569,[1]startdates!$A$2:$A$10,[1]startdates!$B$2:$B$10)</f>
        <v>SMr</v>
      </c>
      <c r="H1569">
        <v>1</v>
      </c>
      <c r="I1569" s="7">
        <v>603</v>
      </c>
      <c r="K1569" s="7">
        <v>665</v>
      </c>
      <c r="L1569" s="7">
        <v>530</v>
      </c>
      <c r="M1569" s="7">
        <v>347</v>
      </c>
      <c r="N1569" s="7">
        <v>219</v>
      </c>
      <c r="O1569" s="7">
        <v>163</v>
      </c>
      <c r="P1569" s="7">
        <v>502</v>
      </c>
      <c r="Q1569" s="7">
        <v>374</v>
      </c>
    </row>
    <row r="1570" spans="1:17" x14ac:dyDescent="0.2">
      <c r="A1570">
        <v>1569</v>
      </c>
      <c r="B1570" s="1">
        <v>40767</v>
      </c>
      <c r="C1570" t="s">
        <v>28</v>
      </c>
      <c r="D1570" s="7">
        <v>30</v>
      </c>
      <c r="E1570" s="7">
        <v>5</v>
      </c>
      <c r="F1570" s="7">
        <f t="shared" si="24"/>
        <v>6</v>
      </c>
      <c r="G1570" s="7" t="str">
        <f>LOOKUP(H1570,[1]startdates!$A$2:$A$10,[1]startdates!$B$2:$B$10)</f>
        <v>SMr</v>
      </c>
      <c r="H1570">
        <v>1</v>
      </c>
      <c r="I1570" s="7">
        <v>659</v>
      </c>
      <c r="K1570" s="7">
        <v>607</v>
      </c>
      <c r="L1570" s="7">
        <v>480</v>
      </c>
      <c r="M1570" s="7">
        <v>398</v>
      </c>
      <c r="N1570" s="7">
        <v>224</v>
      </c>
      <c r="O1570" s="7">
        <v>201</v>
      </c>
      <c r="P1570" s="7">
        <v>518</v>
      </c>
      <c r="Q1570" s="7">
        <v>329</v>
      </c>
    </row>
    <row r="1571" spans="1:17" x14ac:dyDescent="0.2">
      <c r="A1571">
        <v>1570</v>
      </c>
      <c r="B1571" s="1">
        <v>40767</v>
      </c>
      <c r="C1571" t="s">
        <v>28</v>
      </c>
      <c r="D1571" s="7">
        <v>30</v>
      </c>
      <c r="E1571" s="7">
        <v>5</v>
      </c>
      <c r="F1571" s="7">
        <f t="shared" si="24"/>
        <v>6</v>
      </c>
      <c r="G1571" s="7" t="str">
        <f>LOOKUP(H1571,[1]startdates!$A$2:$A$10,[1]startdates!$B$2:$B$10)</f>
        <v>SMr</v>
      </c>
      <c r="H1571">
        <v>1</v>
      </c>
      <c r="I1571" s="7">
        <v>736</v>
      </c>
      <c r="K1571" s="7">
        <v>642</v>
      </c>
      <c r="M1571" s="7">
        <v>349</v>
      </c>
      <c r="N1571" s="7">
        <v>198</v>
      </c>
      <c r="O1571" s="7">
        <v>177</v>
      </c>
    </row>
    <row r="1572" spans="1:17" x14ac:dyDescent="0.2">
      <c r="A1572">
        <v>1571</v>
      </c>
      <c r="B1572" s="1">
        <v>40767</v>
      </c>
      <c r="C1572" t="s">
        <v>28</v>
      </c>
      <c r="D1572" s="7">
        <v>30</v>
      </c>
      <c r="E1572" s="7">
        <v>5</v>
      </c>
      <c r="F1572" s="7">
        <f t="shared" si="24"/>
        <v>6</v>
      </c>
      <c r="G1572" s="7" t="str">
        <f>LOOKUP(H1572,[1]startdates!$A$2:$A$10,[1]startdates!$B$2:$B$10)</f>
        <v>SMr</v>
      </c>
      <c r="H1572">
        <v>1</v>
      </c>
      <c r="I1572" s="7">
        <v>698</v>
      </c>
      <c r="K1572" s="7">
        <v>600</v>
      </c>
      <c r="M1572" s="7">
        <v>274</v>
      </c>
      <c r="N1572" s="7">
        <v>257</v>
      </c>
      <c r="O1572" s="7">
        <v>163</v>
      </c>
    </row>
    <row r="1573" spans="1:17" x14ac:dyDescent="0.2">
      <c r="A1573">
        <v>1572</v>
      </c>
      <c r="B1573" s="1">
        <v>40767</v>
      </c>
      <c r="C1573" t="s">
        <v>28</v>
      </c>
      <c r="D1573" s="7">
        <v>30</v>
      </c>
      <c r="E1573" s="7">
        <v>5</v>
      </c>
      <c r="F1573" s="7">
        <f t="shared" si="24"/>
        <v>6</v>
      </c>
      <c r="G1573" s="7" t="str">
        <f>LOOKUP(H1573,[1]startdates!$A$2:$A$10,[1]startdates!$B$2:$B$10)</f>
        <v>SMr</v>
      </c>
      <c r="H1573">
        <v>1</v>
      </c>
      <c r="I1573" s="7">
        <v>811</v>
      </c>
      <c r="M1573" s="7">
        <v>265</v>
      </c>
      <c r="N1573" s="7">
        <v>220</v>
      </c>
      <c r="O1573" s="7">
        <v>149</v>
      </c>
    </row>
    <row r="1574" spans="1:17" x14ac:dyDescent="0.2">
      <c r="A1574">
        <v>1573</v>
      </c>
      <c r="B1574" s="1">
        <v>40767</v>
      </c>
      <c r="C1574" t="s">
        <v>28</v>
      </c>
      <c r="D1574" s="7">
        <v>30</v>
      </c>
      <c r="E1574" s="7">
        <v>5</v>
      </c>
      <c r="F1574" s="7">
        <f t="shared" si="24"/>
        <v>6</v>
      </c>
      <c r="G1574" s="7" t="str">
        <f>LOOKUP(H1574,[1]startdates!$A$2:$A$10,[1]startdates!$B$2:$B$10)</f>
        <v>SMr</v>
      </c>
      <c r="H1574">
        <v>1</v>
      </c>
      <c r="I1574" s="7">
        <v>808</v>
      </c>
      <c r="M1574" s="7">
        <v>340</v>
      </c>
      <c r="N1574" s="7">
        <v>258</v>
      </c>
      <c r="O1574" s="7">
        <v>172</v>
      </c>
    </row>
    <row r="1575" spans="1:17" x14ac:dyDescent="0.2">
      <c r="A1575">
        <v>1574</v>
      </c>
      <c r="B1575" s="1">
        <v>40767</v>
      </c>
      <c r="C1575" t="s">
        <v>28</v>
      </c>
      <c r="D1575" s="7">
        <v>30</v>
      </c>
      <c r="E1575" s="7">
        <v>5</v>
      </c>
      <c r="F1575" s="7">
        <f t="shared" si="24"/>
        <v>6</v>
      </c>
      <c r="G1575" s="7" t="str">
        <f>LOOKUP(H1575,[1]startdates!$A$2:$A$10,[1]startdates!$B$2:$B$10)</f>
        <v>SMr</v>
      </c>
      <c r="H1575">
        <v>1</v>
      </c>
      <c r="I1575" s="7">
        <v>804</v>
      </c>
      <c r="M1575" s="7">
        <v>350</v>
      </c>
      <c r="N1575" s="7">
        <v>196</v>
      </c>
      <c r="O1575" s="7">
        <v>145</v>
      </c>
    </row>
    <row r="1576" spans="1:17" x14ac:dyDescent="0.2">
      <c r="A1576">
        <v>1575</v>
      </c>
      <c r="B1576" s="1">
        <v>40767</v>
      </c>
      <c r="C1576" t="s">
        <v>28</v>
      </c>
      <c r="D1576" s="7">
        <v>30</v>
      </c>
      <c r="E1576" s="7">
        <v>5</v>
      </c>
      <c r="F1576" s="7">
        <f t="shared" si="24"/>
        <v>6</v>
      </c>
      <c r="G1576" s="7" t="str">
        <f>LOOKUP(H1576,[1]startdates!$A$2:$A$10,[1]startdates!$B$2:$B$10)</f>
        <v>SMr</v>
      </c>
      <c r="H1576">
        <v>1</v>
      </c>
      <c r="I1576" s="7">
        <v>664</v>
      </c>
      <c r="M1576" s="7">
        <v>373</v>
      </c>
      <c r="N1576" s="7">
        <v>236</v>
      </c>
      <c r="O1576" s="7">
        <v>158</v>
      </c>
    </row>
    <row r="1577" spans="1:17" x14ac:dyDescent="0.2">
      <c r="A1577">
        <v>1576</v>
      </c>
      <c r="B1577" s="1">
        <v>40767</v>
      </c>
      <c r="C1577" t="s">
        <v>28</v>
      </c>
      <c r="D1577" s="7">
        <v>30</v>
      </c>
      <c r="E1577" s="7">
        <v>5</v>
      </c>
      <c r="F1577" s="7">
        <f t="shared" ref="F1577:F1640" si="25">WEEKDAY(B1577)</f>
        <v>6</v>
      </c>
      <c r="G1577" s="7" t="str">
        <f>LOOKUP(H1577,[1]startdates!$A$2:$A$10,[1]startdates!$B$2:$B$10)</f>
        <v>SMr</v>
      </c>
      <c r="H1577">
        <v>1</v>
      </c>
      <c r="M1577" s="7">
        <v>304</v>
      </c>
      <c r="N1577" s="7">
        <v>194</v>
      </c>
      <c r="O1577" s="7">
        <v>145</v>
      </c>
    </row>
    <row r="1578" spans="1:17" x14ac:dyDescent="0.2">
      <c r="A1578">
        <v>1577</v>
      </c>
      <c r="B1578" s="1">
        <v>40767</v>
      </c>
      <c r="C1578" t="s">
        <v>28</v>
      </c>
      <c r="D1578" s="7">
        <v>30</v>
      </c>
      <c r="E1578" s="7">
        <v>5</v>
      </c>
      <c r="F1578" s="7">
        <f t="shared" si="25"/>
        <v>6</v>
      </c>
      <c r="G1578" s="7" t="str">
        <f>LOOKUP(H1578,[1]startdates!$A$2:$A$10,[1]startdates!$B$2:$B$10)</f>
        <v>SMr</v>
      </c>
      <c r="H1578">
        <v>1</v>
      </c>
      <c r="N1578" s="7">
        <v>205</v>
      </c>
      <c r="O1578" s="7">
        <v>152</v>
      </c>
    </row>
    <row r="1579" spans="1:17" x14ac:dyDescent="0.2">
      <c r="A1579">
        <v>1578</v>
      </c>
      <c r="B1579" s="1">
        <v>40767</v>
      </c>
      <c r="C1579" t="s">
        <v>28</v>
      </c>
      <c r="D1579" s="7">
        <v>30</v>
      </c>
      <c r="E1579" s="7">
        <v>5</v>
      </c>
      <c r="F1579" s="7">
        <f t="shared" si="25"/>
        <v>6</v>
      </c>
      <c r="G1579" s="7" t="str">
        <f>LOOKUP(H1579,[1]startdates!$A$2:$A$10,[1]startdates!$B$2:$B$10)</f>
        <v>SMr</v>
      </c>
      <c r="H1579">
        <v>1</v>
      </c>
      <c r="O1579" s="7">
        <v>172</v>
      </c>
    </row>
    <row r="1580" spans="1:17" x14ac:dyDescent="0.2">
      <c r="A1580">
        <v>1579</v>
      </c>
      <c r="B1580" s="1">
        <v>40767</v>
      </c>
      <c r="C1580" t="s">
        <v>28</v>
      </c>
      <c r="D1580" s="7">
        <v>30</v>
      </c>
      <c r="E1580" s="7">
        <v>5</v>
      </c>
      <c r="F1580" s="7">
        <f t="shared" si="25"/>
        <v>6</v>
      </c>
      <c r="G1580" s="7" t="str">
        <f>LOOKUP(H1580,[1]startdates!$A$2:$A$10,[1]startdates!$B$2:$B$10)</f>
        <v>SMr</v>
      </c>
      <c r="H1580">
        <v>1</v>
      </c>
      <c r="O1580" s="7">
        <v>170</v>
      </c>
    </row>
    <row r="1581" spans="1:17" x14ac:dyDescent="0.2">
      <c r="A1581">
        <v>1580</v>
      </c>
      <c r="B1581" s="1">
        <v>40767</v>
      </c>
      <c r="C1581" t="s">
        <v>28</v>
      </c>
      <c r="D1581" s="7">
        <v>30</v>
      </c>
      <c r="E1581" s="7">
        <v>5</v>
      </c>
      <c r="F1581" s="7">
        <f t="shared" si="25"/>
        <v>6</v>
      </c>
      <c r="G1581" s="7" t="str">
        <f>LOOKUP(H1581,[1]startdates!$A$2:$A$10,[1]startdates!$B$2:$B$10)</f>
        <v>SMr</v>
      </c>
      <c r="H1581">
        <v>2</v>
      </c>
      <c r="I1581" s="7">
        <v>760</v>
      </c>
      <c r="K1581" s="7">
        <v>639</v>
      </c>
      <c r="M1581" s="7">
        <v>333</v>
      </c>
      <c r="N1581" s="7">
        <v>181</v>
      </c>
      <c r="O1581" s="7">
        <v>155</v>
      </c>
      <c r="P1581" s="7">
        <v>488</v>
      </c>
      <c r="Q1581" s="7">
        <v>368</v>
      </c>
    </row>
    <row r="1582" spans="1:17" x14ac:dyDescent="0.2">
      <c r="A1582">
        <v>1581</v>
      </c>
      <c r="B1582" s="1">
        <v>40767</v>
      </c>
      <c r="C1582" t="s">
        <v>28</v>
      </c>
      <c r="D1582" s="7">
        <v>30</v>
      </c>
      <c r="E1582" s="7">
        <v>5</v>
      </c>
      <c r="F1582" s="7">
        <f t="shared" si="25"/>
        <v>6</v>
      </c>
      <c r="G1582" s="7" t="str">
        <f>LOOKUP(H1582,[1]startdates!$A$2:$A$10,[1]startdates!$B$2:$B$10)</f>
        <v>SMr</v>
      </c>
      <c r="H1582">
        <v>2</v>
      </c>
      <c r="I1582" s="7">
        <v>713</v>
      </c>
      <c r="K1582" s="7">
        <v>582</v>
      </c>
      <c r="M1582" s="7">
        <v>308</v>
      </c>
      <c r="N1582" s="7">
        <v>251</v>
      </c>
      <c r="O1582" s="7">
        <v>161</v>
      </c>
      <c r="Q1582" s="7">
        <v>410</v>
      </c>
    </row>
    <row r="1583" spans="1:17" x14ac:dyDescent="0.2">
      <c r="A1583">
        <v>1582</v>
      </c>
      <c r="B1583" s="1">
        <v>40767</v>
      </c>
      <c r="C1583" t="s">
        <v>28</v>
      </c>
      <c r="D1583" s="7">
        <v>30</v>
      </c>
      <c r="E1583" s="7">
        <v>5</v>
      </c>
      <c r="F1583" s="7">
        <f t="shared" si="25"/>
        <v>6</v>
      </c>
      <c r="G1583" s="7" t="str">
        <f>LOOKUP(H1583,[1]startdates!$A$2:$A$10,[1]startdates!$B$2:$B$10)</f>
        <v>SMr</v>
      </c>
      <c r="H1583">
        <v>2</v>
      </c>
      <c r="I1583" s="7">
        <v>678</v>
      </c>
      <c r="K1583" s="7">
        <v>560</v>
      </c>
      <c r="M1583" s="7">
        <v>304</v>
      </c>
      <c r="N1583" s="7">
        <v>204</v>
      </c>
      <c r="O1583" s="7">
        <v>162</v>
      </c>
      <c r="Q1583" s="7">
        <v>417</v>
      </c>
    </row>
    <row r="1584" spans="1:17" x14ac:dyDescent="0.2">
      <c r="A1584">
        <v>1583</v>
      </c>
      <c r="B1584" s="1">
        <v>40767</v>
      </c>
      <c r="C1584" t="s">
        <v>28</v>
      </c>
      <c r="D1584" s="7">
        <v>30</v>
      </c>
      <c r="E1584" s="7">
        <v>5</v>
      </c>
      <c r="F1584" s="7">
        <f t="shared" si="25"/>
        <v>6</v>
      </c>
      <c r="G1584" s="7" t="str">
        <f>LOOKUP(H1584,[1]startdates!$A$2:$A$10,[1]startdates!$B$2:$B$10)</f>
        <v>SMr</v>
      </c>
      <c r="H1584">
        <v>2</v>
      </c>
      <c r="I1584" s="7">
        <v>743</v>
      </c>
      <c r="K1584" s="7">
        <v>585</v>
      </c>
      <c r="M1584" s="7">
        <v>314</v>
      </c>
      <c r="N1584" s="7">
        <v>184</v>
      </c>
      <c r="O1584" s="7">
        <v>168</v>
      </c>
    </row>
    <row r="1585" spans="1:17" x14ac:dyDescent="0.2">
      <c r="A1585">
        <v>1584</v>
      </c>
      <c r="B1585" s="1">
        <v>40767</v>
      </c>
      <c r="C1585" t="s">
        <v>28</v>
      </c>
      <c r="D1585" s="7">
        <v>30</v>
      </c>
      <c r="E1585" s="7">
        <v>5</v>
      </c>
      <c r="F1585" s="7">
        <f t="shared" si="25"/>
        <v>6</v>
      </c>
      <c r="G1585" s="7" t="str">
        <f>LOOKUP(H1585,[1]startdates!$A$2:$A$10,[1]startdates!$B$2:$B$10)</f>
        <v>SMr</v>
      </c>
      <c r="H1585">
        <v>2</v>
      </c>
      <c r="I1585" s="7">
        <v>568</v>
      </c>
      <c r="K1585" s="7">
        <v>554</v>
      </c>
      <c r="M1585" s="7">
        <v>311</v>
      </c>
      <c r="N1585" s="7">
        <v>225</v>
      </c>
      <c r="O1585" s="7">
        <v>165</v>
      </c>
    </row>
    <row r="1586" spans="1:17" x14ac:dyDescent="0.2">
      <c r="A1586">
        <v>1585</v>
      </c>
      <c r="B1586" s="1">
        <v>40767</v>
      </c>
      <c r="C1586" t="s">
        <v>28</v>
      </c>
      <c r="D1586" s="7">
        <v>30</v>
      </c>
      <c r="E1586" s="7">
        <v>5</v>
      </c>
      <c r="F1586" s="7">
        <f t="shared" si="25"/>
        <v>6</v>
      </c>
      <c r="G1586" s="7" t="str">
        <f>LOOKUP(H1586,[1]startdates!$A$2:$A$10,[1]startdates!$B$2:$B$10)</f>
        <v>SMr</v>
      </c>
      <c r="H1586">
        <v>2</v>
      </c>
      <c r="I1586" s="7">
        <v>636</v>
      </c>
      <c r="K1586" s="7">
        <v>569</v>
      </c>
      <c r="M1586" s="7">
        <v>315</v>
      </c>
      <c r="N1586" s="7">
        <v>288</v>
      </c>
      <c r="O1586" s="7">
        <v>184</v>
      </c>
    </row>
    <row r="1587" spans="1:17" x14ac:dyDescent="0.2">
      <c r="A1587">
        <v>1586</v>
      </c>
      <c r="B1587" s="1">
        <v>40767</v>
      </c>
      <c r="C1587" t="s">
        <v>28</v>
      </c>
      <c r="D1587" s="7">
        <v>30</v>
      </c>
      <c r="E1587" s="7">
        <v>5</v>
      </c>
      <c r="F1587" s="7">
        <f t="shared" si="25"/>
        <v>6</v>
      </c>
      <c r="G1587" s="7" t="str">
        <f>LOOKUP(H1587,[1]startdates!$A$2:$A$10,[1]startdates!$B$2:$B$10)</f>
        <v>SMr</v>
      </c>
      <c r="H1587">
        <v>2</v>
      </c>
      <c r="I1587" s="7">
        <v>689</v>
      </c>
      <c r="K1587" s="7">
        <v>649</v>
      </c>
      <c r="N1587" s="7">
        <v>246</v>
      </c>
      <c r="O1587" s="7">
        <v>182</v>
      </c>
    </row>
    <row r="1588" spans="1:17" x14ac:dyDescent="0.2">
      <c r="A1588">
        <v>1587</v>
      </c>
      <c r="B1588" s="1">
        <v>40767</v>
      </c>
      <c r="C1588" t="s">
        <v>28</v>
      </c>
      <c r="D1588" s="7">
        <v>30</v>
      </c>
      <c r="E1588" s="7">
        <v>5</v>
      </c>
      <c r="F1588" s="7">
        <f t="shared" si="25"/>
        <v>6</v>
      </c>
      <c r="G1588" s="7" t="str">
        <f>LOOKUP(H1588,[1]startdates!$A$2:$A$10,[1]startdates!$B$2:$B$10)</f>
        <v>SMr</v>
      </c>
      <c r="H1588">
        <v>2</v>
      </c>
      <c r="I1588" s="7">
        <v>764</v>
      </c>
      <c r="K1588" s="7">
        <v>599</v>
      </c>
      <c r="N1588" s="7">
        <v>270</v>
      </c>
      <c r="O1588" s="7">
        <v>163</v>
      </c>
    </row>
    <row r="1589" spans="1:17" x14ac:dyDescent="0.2">
      <c r="A1589">
        <v>1588</v>
      </c>
      <c r="B1589" s="1">
        <v>40767</v>
      </c>
      <c r="C1589" t="s">
        <v>28</v>
      </c>
      <c r="D1589" s="7">
        <v>30</v>
      </c>
      <c r="E1589" s="7">
        <v>5</v>
      </c>
      <c r="F1589" s="7">
        <f t="shared" si="25"/>
        <v>6</v>
      </c>
      <c r="G1589" s="7" t="str">
        <f>LOOKUP(H1589,[1]startdates!$A$2:$A$10,[1]startdates!$B$2:$B$10)</f>
        <v>SMr</v>
      </c>
      <c r="H1589">
        <v>2</v>
      </c>
      <c r="I1589" s="7">
        <v>760</v>
      </c>
      <c r="N1589" s="7">
        <v>229</v>
      </c>
      <c r="O1589" s="7">
        <v>152</v>
      </c>
    </row>
    <row r="1590" spans="1:17" x14ac:dyDescent="0.2">
      <c r="A1590">
        <v>1589</v>
      </c>
      <c r="B1590" s="1">
        <v>40767</v>
      </c>
      <c r="C1590" t="s">
        <v>28</v>
      </c>
      <c r="D1590" s="7">
        <v>30</v>
      </c>
      <c r="E1590" s="7">
        <v>5</v>
      </c>
      <c r="F1590" s="7">
        <f t="shared" si="25"/>
        <v>6</v>
      </c>
      <c r="G1590" s="7" t="str">
        <f>LOOKUP(H1590,[1]startdates!$A$2:$A$10,[1]startdates!$B$2:$B$10)</f>
        <v>SMr</v>
      </c>
      <c r="H1590">
        <v>2</v>
      </c>
      <c r="I1590" s="7">
        <v>626</v>
      </c>
      <c r="N1590" s="7">
        <v>202</v>
      </c>
      <c r="O1590" s="7">
        <v>141</v>
      </c>
    </row>
    <row r="1591" spans="1:17" x14ac:dyDescent="0.2">
      <c r="A1591">
        <v>1590</v>
      </c>
      <c r="B1591" s="1">
        <v>40767</v>
      </c>
      <c r="C1591" t="s">
        <v>28</v>
      </c>
      <c r="D1591" s="7">
        <v>30</v>
      </c>
      <c r="E1591" s="7">
        <v>5</v>
      </c>
      <c r="F1591" s="7">
        <f t="shared" si="25"/>
        <v>6</v>
      </c>
      <c r="G1591" s="7" t="str">
        <f>LOOKUP(H1591,[1]startdates!$A$2:$A$10,[1]startdates!$B$2:$B$10)</f>
        <v>SMr</v>
      </c>
      <c r="H1591">
        <v>2</v>
      </c>
      <c r="N1591" s="7">
        <v>203</v>
      </c>
      <c r="O1591" s="7">
        <v>149</v>
      </c>
    </row>
    <row r="1592" spans="1:17" x14ac:dyDescent="0.2">
      <c r="A1592">
        <v>1591</v>
      </c>
      <c r="B1592" s="1">
        <v>40767</v>
      </c>
      <c r="C1592" t="s">
        <v>28</v>
      </c>
      <c r="D1592" s="7">
        <v>30</v>
      </c>
      <c r="E1592" s="7">
        <v>5</v>
      </c>
      <c r="F1592" s="7">
        <f t="shared" si="25"/>
        <v>6</v>
      </c>
      <c r="G1592" s="7" t="str">
        <f>LOOKUP(H1592,[1]startdates!$A$2:$A$10,[1]startdates!$B$2:$B$10)</f>
        <v>SMr</v>
      </c>
      <c r="H1592">
        <v>2</v>
      </c>
      <c r="O1592" s="7">
        <v>172</v>
      </c>
    </row>
    <row r="1593" spans="1:17" x14ac:dyDescent="0.2">
      <c r="A1593">
        <v>1592</v>
      </c>
      <c r="B1593" s="1">
        <v>40767</v>
      </c>
      <c r="C1593" t="s">
        <v>28</v>
      </c>
      <c r="D1593" s="7">
        <v>30</v>
      </c>
      <c r="E1593" s="7">
        <v>5</v>
      </c>
      <c r="F1593" s="7">
        <f t="shared" si="25"/>
        <v>6</v>
      </c>
      <c r="G1593" s="7" t="str">
        <f>LOOKUP(H1593,[1]startdates!$A$2:$A$10,[1]startdates!$B$2:$B$10)</f>
        <v>SMr</v>
      </c>
      <c r="H1593">
        <v>2</v>
      </c>
      <c r="O1593" s="7">
        <v>155</v>
      </c>
    </row>
    <row r="1594" spans="1:17" x14ac:dyDescent="0.2">
      <c r="A1594">
        <v>1593</v>
      </c>
      <c r="B1594" s="1">
        <v>40767</v>
      </c>
      <c r="C1594" t="s">
        <v>28</v>
      </c>
      <c r="D1594" s="7">
        <v>30</v>
      </c>
      <c r="E1594" s="7">
        <v>5</v>
      </c>
      <c r="F1594" s="7">
        <f t="shared" si="25"/>
        <v>6</v>
      </c>
      <c r="G1594" s="7" t="str">
        <f>LOOKUP(H1594,[1]startdates!$A$2:$A$10,[1]startdates!$B$2:$B$10)</f>
        <v>SMr</v>
      </c>
      <c r="H1594">
        <v>2</v>
      </c>
      <c r="O1594" s="7">
        <v>152</v>
      </c>
    </row>
    <row r="1595" spans="1:17" x14ac:dyDescent="0.2">
      <c r="A1595">
        <v>1594</v>
      </c>
      <c r="B1595" s="1">
        <v>40767</v>
      </c>
      <c r="C1595" t="s">
        <v>28</v>
      </c>
      <c r="D1595" s="7">
        <v>30</v>
      </c>
      <c r="E1595" s="7">
        <v>5</v>
      </c>
      <c r="F1595" s="7">
        <f t="shared" si="25"/>
        <v>6</v>
      </c>
      <c r="G1595" s="7" t="str">
        <f>LOOKUP(H1595,[1]startdates!$A$2:$A$10,[1]startdates!$B$2:$B$10)</f>
        <v>SMr</v>
      </c>
      <c r="H1595">
        <v>2</v>
      </c>
      <c r="O1595" s="7">
        <v>158</v>
      </c>
    </row>
    <row r="1596" spans="1:17" x14ac:dyDescent="0.2">
      <c r="A1596">
        <v>1595</v>
      </c>
      <c r="B1596" s="1">
        <v>40767</v>
      </c>
      <c r="C1596" t="s">
        <v>28</v>
      </c>
      <c r="D1596" s="7">
        <v>30</v>
      </c>
      <c r="E1596" s="7">
        <v>5</v>
      </c>
      <c r="F1596" s="7">
        <f t="shared" si="25"/>
        <v>6</v>
      </c>
      <c r="G1596" s="7" t="str">
        <f>LOOKUP(H1596,[1]startdates!$A$2:$A$10,[1]startdates!$B$2:$B$10)</f>
        <v>C</v>
      </c>
      <c r="H1596">
        <v>3</v>
      </c>
      <c r="I1596" s="7">
        <v>845</v>
      </c>
      <c r="K1596" s="7">
        <v>619</v>
      </c>
      <c r="L1596" s="7">
        <v>412</v>
      </c>
      <c r="M1596" s="7">
        <v>299</v>
      </c>
      <c r="N1596" s="7">
        <v>276</v>
      </c>
      <c r="O1596" s="7">
        <v>168</v>
      </c>
      <c r="P1596" s="7">
        <v>584</v>
      </c>
      <c r="Q1596" s="7">
        <v>417</v>
      </c>
    </row>
    <row r="1597" spans="1:17" x14ac:dyDescent="0.2">
      <c r="A1597">
        <v>1596</v>
      </c>
      <c r="B1597" s="1">
        <v>40767</v>
      </c>
      <c r="C1597" t="s">
        <v>28</v>
      </c>
      <c r="D1597" s="7">
        <v>30</v>
      </c>
      <c r="E1597" s="7">
        <v>5</v>
      </c>
      <c r="F1597" s="7">
        <f t="shared" si="25"/>
        <v>6</v>
      </c>
      <c r="G1597" s="7" t="str">
        <f>LOOKUP(H1597,[1]startdates!$A$2:$A$10,[1]startdates!$B$2:$B$10)</f>
        <v>C</v>
      </c>
      <c r="H1597">
        <v>3</v>
      </c>
      <c r="I1597" s="7">
        <v>853</v>
      </c>
      <c r="K1597" s="7">
        <v>683</v>
      </c>
      <c r="L1597" s="7">
        <v>465</v>
      </c>
      <c r="M1597" s="7">
        <v>356</v>
      </c>
      <c r="N1597" s="7">
        <v>277</v>
      </c>
      <c r="O1597" s="7">
        <v>179</v>
      </c>
      <c r="P1597" s="7">
        <v>576</v>
      </c>
    </row>
    <row r="1598" spans="1:17" x14ac:dyDescent="0.2">
      <c r="A1598">
        <v>1597</v>
      </c>
      <c r="B1598" s="1">
        <v>40767</v>
      </c>
      <c r="C1598" t="s">
        <v>28</v>
      </c>
      <c r="D1598" s="7">
        <v>30</v>
      </c>
      <c r="E1598" s="7">
        <v>5</v>
      </c>
      <c r="F1598" s="7">
        <f t="shared" si="25"/>
        <v>6</v>
      </c>
      <c r="G1598" s="7" t="str">
        <f>LOOKUP(H1598,[1]startdates!$A$2:$A$10,[1]startdates!$B$2:$B$10)</f>
        <v>C</v>
      </c>
      <c r="H1598">
        <v>3</v>
      </c>
      <c r="I1598" s="7">
        <v>854</v>
      </c>
      <c r="K1598" s="7">
        <v>650</v>
      </c>
      <c r="M1598" s="7">
        <v>326</v>
      </c>
      <c r="N1598" s="7">
        <v>254</v>
      </c>
      <c r="O1598" s="7">
        <v>184</v>
      </c>
      <c r="P1598" s="7">
        <v>548</v>
      </c>
    </row>
    <row r="1599" spans="1:17" x14ac:dyDescent="0.2">
      <c r="A1599">
        <v>1598</v>
      </c>
      <c r="B1599" s="1">
        <v>40767</v>
      </c>
      <c r="C1599" t="s">
        <v>28</v>
      </c>
      <c r="D1599" s="7">
        <v>30</v>
      </c>
      <c r="E1599" s="7">
        <v>5</v>
      </c>
      <c r="F1599" s="7">
        <f t="shared" si="25"/>
        <v>6</v>
      </c>
      <c r="G1599" s="7" t="str">
        <f>LOOKUP(H1599,[1]startdates!$A$2:$A$10,[1]startdates!$B$2:$B$10)</f>
        <v>C</v>
      </c>
      <c r="H1599">
        <v>3</v>
      </c>
      <c r="I1599" s="7">
        <v>673</v>
      </c>
      <c r="K1599" s="7">
        <v>646</v>
      </c>
      <c r="M1599" s="7">
        <v>298</v>
      </c>
      <c r="N1599" s="7">
        <v>237</v>
      </c>
      <c r="O1599" s="7">
        <v>153</v>
      </c>
    </row>
    <row r="1600" spans="1:17" x14ac:dyDescent="0.2">
      <c r="A1600">
        <v>1599</v>
      </c>
      <c r="B1600" s="1">
        <v>40767</v>
      </c>
      <c r="C1600" t="s">
        <v>28</v>
      </c>
      <c r="D1600" s="7">
        <v>30</v>
      </c>
      <c r="E1600" s="7">
        <v>5</v>
      </c>
      <c r="F1600" s="7">
        <f t="shared" si="25"/>
        <v>6</v>
      </c>
      <c r="G1600" s="7" t="str">
        <f>LOOKUP(H1600,[1]startdates!$A$2:$A$10,[1]startdates!$B$2:$B$10)</f>
        <v>C</v>
      </c>
      <c r="H1600">
        <v>3</v>
      </c>
      <c r="I1600" s="7">
        <v>845</v>
      </c>
      <c r="K1600" s="7">
        <v>666</v>
      </c>
      <c r="M1600" s="7">
        <v>324</v>
      </c>
      <c r="N1600" s="7">
        <v>198</v>
      </c>
      <c r="O1600" s="7">
        <v>172</v>
      </c>
    </row>
    <row r="1601" spans="1:16" x14ac:dyDescent="0.2">
      <c r="A1601">
        <v>1600</v>
      </c>
      <c r="B1601" s="1">
        <v>40767</v>
      </c>
      <c r="C1601" t="s">
        <v>28</v>
      </c>
      <c r="D1601" s="7">
        <v>30</v>
      </c>
      <c r="E1601" s="7">
        <v>5</v>
      </c>
      <c r="F1601" s="7">
        <f t="shared" si="25"/>
        <v>6</v>
      </c>
      <c r="G1601" s="7" t="str">
        <f>LOOKUP(H1601,[1]startdates!$A$2:$A$10,[1]startdates!$B$2:$B$10)</f>
        <v>C</v>
      </c>
      <c r="H1601">
        <v>3</v>
      </c>
      <c r="I1601" s="7">
        <v>812</v>
      </c>
      <c r="K1601" s="7">
        <v>685</v>
      </c>
      <c r="M1601" s="7">
        <v>287</v>
      </c>
      <c r="N1601" s="7">
        <v>185</v>
      </c>
      <c r="O1601" s="7">
        <v>168</v>
      </c>
    </row>
    <row r="1602" spans="1:16" x14ac:dyDescent="0.2">
      <c r="A1602">
        <v>1601</v>
      </c>
      <c r="B1602" s="1">
        <v>40767</v>
      </c>
      <c r="C1602" t="s">
        <v>28</v>
      </c>
      <c r="D1602" s="7">
        <v>30</v>
      </c>
      <c r="E1602" s="7">
        <v>5</v>
      </c>
      <c r="F1602" s="7">
        <f t="shared" si="25"/>
        <v>6</v>
      </c>
      <c r="G1602" s="7" t="str">
        <f>LOOKUP(H1602,[1]startdates!$A$2:$A$10,[1]startdates!$B$2:$B$10)</f>
        <v>C</v>
      </c>
      <c r="H1602">
        <v>3</v>
      </c>
      <c r="I1602" s="7">
        <v>795</v>
      </c>
      <c r="K1602" s="7">
        <v>662</v>
      </c>
      <c r="N1602" s="7">
        <v>263</v>
      </c>
      <c r="O1602" s="7">
        <v>167</v>
      </c>
    </row>
    <row r="1603" spans="1:16" x14ac:dyDescent="0.2">
      <c r="A1603">
        <v>1602</v>
      </c>
      <c r="B1603" s="1">
        <v>40767</v>
      </c>
      <c r="C1603" t="s">
        <v>28</v>
      </c>
      <c r="D1603" s="7">
        <v>30</v>
      </c>
      <c r="E1603" s="7">
        <v>5</v>
      </c>
      <c r="F1603" s="7">
        <f t="shared" si="25"/>
        <v>6</v>
      </c>
      <c r="G1603" s="7" t="str">
        <f>LOOKUP(H1603,[1]startdates!$A$2:$A$10,[1]startdates!$B$2:$B$10)</f>
        <v>C</v>
      </c>
      <c r="H1603">
        <v>3</v>
      </c>
      <c r="I1603" s="7">
        <v>658</v>
      </c>
      <c r="N1603" s="7">
        <v>198</v>
      </c>
      <c r="O1603" s="7">
        <v>170</v>
      </c>
    </row>
    <row r="1604" spans="1:16" x14ac:dyDescent="0.2">
      <c r="A1604">
        <v>1603</v>
      </c>
      <c r="B1604" s="1">
        <v>40767</v>
      </c>
      <c r="C1604" t="s">
        <v>28</v>
      </c>
      <c r="D1604" s="7">
        <v>30</v>
      </c>
      <c r="E1604" s="7">
        <v>5</v>
      </c>
      <c r="F1604" s="7">
        <f t="shared" si="25"/>
        <v>6</v>
      </c>
      <c r="G1604" s="7" t="str">
        <f>LOOKUP(H1604,[1]startdates!$A$2:$A$10,[1]startdates!$B$2:$B$10)</f>
        <v>C</v>
      </c>
      <c r="H1604">
        <v>3</v>
      </c>
      <c r="N1604" s="7">
        <v>237</v>
      </c>
      <c r="O1604" s="7">
        <v>174</v>
      </c>
    </row>
    <row r="1605" spans="1:16" x14ac:dyDescent="0.2">
      <c r="A1605">
        <v>1604</v>
      </c>
      <c r="B1605" s="1">
        <v>40767</v>
      </c>
      <c r="C1605" t="s">
        <v>28</v>
      </c>
      <c r="D1605" s="7">
        <v>30</v>
      </c>
      <c r="E1605" s="7">
        <v>5</v>
      </c>
      <c r="F1605" s="7">
        <f t="shared" si="25"/>
        <v>6</v>
      </c>
      <c r="G1605" s="7" t="str">
        <f>LOOKUP(H1605,[1]startdates!$A$2:$A$10,[1]startdates!$B$2:$B$10)</f>
        <v>C</v>
      </c>
      <c r="H1605">
        <v>3</v>
      </c>
      <c r="N1605" s="7">
        <v>237</v>
      </c>
      <c r="O1605" s="7">
        <v>161</v>
      </c>
    </row>
    <row r="1606" spans="1:16" x14ac:dyDescent="0.2">
      <c r="A1606">
        <v>1605</v>
      </c>
      <c r="B1606" s="1">
        <v>40767</v>
      </c>
      <c r="C1606" t="s">
        <v>28</v>
      </c>
      <c r="D1606" s="7">
        <v>30</v>
      </c>
      <c r="E1606" s="7">
        <v>5</v>
      </c>
      <c r="F1606" s="7">
        <f t="shared" si="25"/>
        <v>6</v>
      </c>
      <c r="G1606" s="7" t="str">
        <f>LOOKUP(H1606,[1]startdates!$A$2:$A$10,[1]startdates!$B$2:$B$10)</f>
        <v>C</v>
      </c>
      <c r="H1606">
        <v>3</v>
      </c>
      <c r="N1606" s="7">
        <v>245</v>
      </c>
      <c r="O1606" s="7">
        <v>158</v>
      </c>
    </row>
    <row r="1607" spans="1:16" x14ac:dyDescent="0.2">
      <c r="A1607">
        <v>1606</v>
      </c>
      <c r="B1607" s="1">
        <v>40767</v>
      </c>
      <c r="C1607" t="s">
        <v>28</v>
      </c>
      <c r="D1607" s="7">
        <v>30</v>
      </c>
      <c r="E1607" s="7">
        <v>5</v>
      </c>
      <c r="F1607" s="7">
        <f t="shared" si="25"/>
        <v>6</v>
      </c>
      <c r="G1607" s="7" t="str">
        <f>LOOKUP(H1607,[1]startdates!$A$2:$A$10,[1]startdates!$B$2:$B$10)</f>
        <v>C</v>
      </c>
      <c r="H1607">
        <v>3</v>
      </c>
      <c r="N1607" s="7">
        <v>251</v>
      </c>
    </row>
    <row r="1608" spans="1:16" x14ac:dyDescent="0.2">
      <c r="A1608">
        <v>1607</v>
      </c>
      <c r="B1608" s="1">
        <v>40767</v>
      </c>
      <c r="C1608" t="s">
        <v>28</v>
      </c>
      <c r="D1608" s="7">
        <v>30</v>
      </c>
      <c r="E1608" s="7">
        <v>5</v>
      </c>
      <c r="F1608" s="7">
        <f t="shared" si="25"/>
        <v>6</v>
      </c>
      <c r="G1608" s="7" t="str">
        <f>LOOKUP(H1608,[1]startdates!$A$2:$A$10,[1]startdates!$B$2:$B$10)</f>
        <v>SMr</v>
      </c>
      <c r="H1608">
        <v>4</v>
      </c>
      <c r="I1608" s="7">
        <v>736</v>
      </c>
      <c r="J1608" s="7">
        <v>645</v>
      </c>
      <c r="K1608" s="7">
        <v>586</v>
      </c>
      <c r="L1608" s="7">
        <v>423</v>
      </c>
      <c r="M1608" s="7">
        <v>361</v>
      </c>
      <c r="N1608" s="7">
        <v>198</v>
      </c>
      <c r="O1608" s="7">
        <v>194</v>
      </c>
      <c r="P1608" s="7">
        <v>473</v>
      </c>
    </row>
    <row r="1609" spans="1:16" x14ac:dyDescent="0.2">
      <c r="A1609">
        <v>1608</v>
      </c>
      <c r="B1609" s="1">
        <v>40767</v>
      </c>
      <c r="C1609" t="s">
        <v>28</v>
      </c>
      <c r="D1609" s="7">
        <v>30</v>
      </c>
      <c r="E1609" s="7">
        <v>5</v>
      </c>
      <c r="F1609" s="7">
        <f t="shared" si="25"/>
        <v>6</v>
      </c>
      <c r="G1609" s="7" t="str">
        <f>LOOKUP(H1609,[1]startdates!$A$2:$A$10,[1]startdates!$B$2:$B$10)</f>
        <v>SMr</v>
      </c>
      <c r="H1609">
        <v>4</v>
      </c>
      <c r="I1609" s="7">
        <v>731</v>
      </c>
      <c r="K1609" s="7">
        <v>717</v>
      </c>
      <c r="L1609" s="7">
        <v>400</v>
      </c>
      <c r="M1609" s="7">
        <v>293</v>
      </c>
      <c r="N1609" s="7">
        <v>258</v>
      </c>
      <c r="O1609" s="7">
        <v>184</v>
      </c>
      <c r="P1609" s="7">
        <v>526</v>
      </c>
    </row>
    <row r="1610" spans="1:16" x14ac:dyDescent="0.2">
      <c r="A1610">
        <v>1609</v>
      </c>
      <c r="B1610" s="1">
        <v>40767</v>
      </c>
      <c r="C1610" t="s">
        <v>28</v>
      </c>
      <c r="D1610" s="7">
        <v>30</v>
      </c>
      <c r="E1610" s="7">
        <v>5</v>
      </c>
      <c r="F1610" s="7">
        <f t="shared" si="25"/>
        <v>6</v>
      </c>
      <c r="G1610" s="7" t="str">
        <f>LOOKUP(H1610,[1]startdates!$A$2:$A$10,[1]startdates!$B$2:$B$10)</f>
        <v>SMr</v>
      </c>
      <c r="H1610">
        <v>4</v>
      </c>
      <c r="I1610" s="7">
        <v>747</v>
      </c>
      <c r="K1610" s="7">
        <v>611</v>
      </c>
      <c r="L1610" s="7">
        <v>471</v>
      </c>
      <c r="M1610" s="7">
        <v>278</v>
      </c>
      <c r="N1610" s="7">
        <v>254</v>
      </c>
      <c r="O1610" s="7">
        <v>186</v>
      </c>
    </row>
    <row r="1611" spans="1:16" x14ac:dyDescent="0.2">
      <c r="A1611">
        <v>1610</v>
      </c>
      <c r="B1611" s="1">
        <v>40767</v>
      </c>
      <c r="C1611" t="s">
        <v>28</v>
      </c>
      <c r="D1611" s="7">
        <v>30</v>
      </c>
      <c r="E1611" s="7">
        <v>5</v>
      </c>
      <c r="F1611" s="7">
        <f t="shared" si="25"/>
        <v>6</v>
      </c>
      <c r="G1611" s="7" t="str">
        <f>LOOKUP(H1611,[1]startdates!$A$2:$A$10,[1]startdates!$B$2:$B$10)</f>
        <v>SMr</v>
      </c>
      <c r="H1611">
        <v>4</v>
      </c>
      <c r="I1611" s="7">
        <v>708</v>
      </c>
      <c r="K1611" s="7">
        <v>615</v>
      </c>
      <c r="N1611" s="7">
        <v>207</v>
      </c>
      <c r="O1611" s="7">
        <v>163</v>
      </c>
    </row>
    <row r="1612" spans="1:16" x14ac:dyDescent="0.2">
      <c r="A1612">
        <v>1611</v>
      </c>
      <c r="B1612" s="1">
        <v>40767</v>
      </c>
      <c r="C1612" t="s">
        <v>28</v>
      </c>
      <c r="D1612" s="7">
        <v>30</v>
      </c>
      <c r="E1612" s="7">
        <v>5</v>
      </c>
      <c r="F1612" s="7">
        <f t="shared" si="25"/>
        <v>6</v>
      </c>
      <c r="G1612" s="7" t="str">
        <f>LOOKUP(H1612,[1]startdates!$A$2:$A$10,[1]startdates!$B$2:$B$10)</f>
        <v>SMr</v>
      </c>
      <c r="H1612">
        <v>4</v>
      </c>
      <c r="I1612" s="7">
        <v>752</v>
      </c>
      <c r="K1612" s="7">
        <v>634</v>
      </c>
      <c r="N1612" s="7">
        <v>231</v>
      </c>
      <c r="O1612" s="7">
        <v>152</v>
      </c>
    </row>
    <row r="1613" spans="1:16" x14ac:dyDescent="0.2">
      <c r="A1613">
        <v>1612</v>
      </c>
      <c r="B1613" s="1">
        <v>40767</v>
      </c>
      <c r="C1613" t="s">
        <v>28</v>
      </c>
      <c r="D1613" s="7">
        <v>30</v>
      </c>
      <c r="E1613" s="7">
        <v>5</v>
      </c>
      <c r="F1613" s="7">
        <f t="shared" si="25"/>
        <v>6</v>
      </c>
      <c r="G1613" s="7" t="str">
        <f>LOOKUP(H1613,[1]startdates!$A$2:$A$10,[1]startdates!$B$2:$B$10)</f>
        <v>SMr</v>
      </c>
      <c r="H1613">
        <v>4</v>
      </c>
      <c r="I1613" s="7">
        <v>699</v>
      </c>
      <c r="K1613" s="7">
        <v>657</v>
      </c>
      <c r="N1613" s="7">
        <v>241</v>
      </c>
      <c r="O1613" s="7">
        <v>147</v>
      </c>
    </row>
    <row r="1614" spans="1:16" x14ac:dyDescent="0.2">
      <c r="A1614">
        <v>1613</v>
      </c>
      <c r="B1614" s="1">
        <v>40767</v>
      </c>
      <c r="C1614" t="s">
        <v>28</v>
      </c>
      <c r="D1614" s="7">
        <v>30</v>
      </c>
      <c r="E1614" s="7">
        <v>5</v>
      </c>
      <c r="F1614" s="7">
        <f t="shared" si="25"/>
        <v>6</v>
      </c>
      <c r="G1614" s="7" t="str">
        <f>LOOKUP(H1614,[1]startdates!$A$2:$A$10,[1]startdates!$B$2:$B$10)</f>
        <v>SMr</v>
      </c>
      <c r="H1614">
        <v>4</v>
      </c>
      <c r="I1614" s="7">
        <v>667</v>
      </c>
      <c r="K1614" s="7">
        <v>567</v>
      </c>
      <c r="N1614" s="7">
        <v>200</v>
      </c>
      <c r="O1614" s="7">
        <v>177</v>
      </c>
    </row>
    <row r="1615" spans="1:16" x14ac:dyDescent="0.2">
      <c r="A1615">
        <v>1614</v>
      </c>
      <c r="B1615" s="1">
        <v>40767</v>
      </c>
      <c r="C1615" t="s">
        <v>28</v>
      </c>
      <c r="D1615" s="7">
        <v>30</v>
      </c>
      <c r="E1615" s="7">
        <v>5</v>
      </c>
      <c r="F1615" s="7">
        <f t="shared" si="25"/>
        <v>6</v>
      </c>
      <c r="G1615" s="7" t="str">
        <f>LOOKUP(H1615,[1]startdates!$A$2:$A$10,[1]startdates!$B$2:$B$10)</f>
        <v>SMr</v>
      </c>
      <c r="H1615">
        <v>4</v>
      </c>
      <c r="N1615" s="7">
        <v>236</v>
      </c>
      <c r="O1615" s="7">
        <v>178</v>
      </c>
    </row>
    <row r="1616" spans="1:16" x14ac:dyDescent="0.2">
      <c r="A1616">
        <v>1615</v>
      </c>
      <c r="B1616" s="1">
        <v>40767</v>
      </c>
      <c r="C1616" t="s">
        <v>28</v>
      </c>
      <c r="D1616" s="7">
        <v>30</v>
      </c>
      <c r="E1616" s="7">
        <v>5</v>
      </c>
      <c r="F1616" s="7">
        <f t="shared" si="25"/>
        <v>6</v>
      </c>
      <c r="G1616" s="7" t="str">
        <f>LOOKUP(H1616,[1]startdates!$A$2:$A$10,[1]startdates!$B$2:$B$10)</f>
        <v>SMr</v>
      </c>
      <c r="H1616">
        <v>4</v>
      </c>
      <c r="N1616" s="7">
        <v>161</v>
      </c>
      <c r="O1616" s="7">
        <v>189</v>
      </c>
    </row>
    <row r="1617" spans="1:17" x14ac:dyDescent="0.2">
      <c r="A1617">
        <v>1616</v>
      </c>
      <c r="B1617" s="1">
        <v>40767</v>
      </c>
      <c r="C1617" t="s">
        <v>28</v>
      </c>
      <c r="D1617" s="7">
        <v>30</v>
      </c>
      <c r="E1617" s="7">
        <v>5</v>
      </c>
      <c r="F1617" s="7">
        <f t="shared" si="25"/>
        <v>6</v>
      </c>
      <c r="G1617" s="7" t="str">
        <f>LOOKUP(H1617,[1]startdates!$A$2:$A$10,[1]startdates!$B$2:$B$10)</f>
        <v>SMr</v>
      </c>
      <c r="H1617">
        <v>4</v>
      </c>
      <c r="N1617" s="7">
        <v>173</v>
      </c>
      <c r="O1617" s="7">
        <v>181</v>
      </c>
    </row>
    <row r="1618" spans="1:17" x14ac:dyDescent="0.2">
      <c r="A1618">
        <v>1617</v>
      </c>
      <c r="B1618" s="1">
        <v>40767</v>
      </c>
      <c r="C1618" t="s">
        <v>28</v>
      </c>
      <c r="D1618" s="7">
        <v>30</v>
      </c>
      <c r="E1618" s="7">
        <v>5</v>
      </c>
      <c r="F1618" s="7">
        <f t="shared" si="25"/>
        <v>6</v>
      </c>
      <c r="G1618" s="7" t="str">
        <f>LOOKUP(H1618,[1]startdates!$A$2:$A$10,[1]startdates!$B$2:$B$10)</f>
        <v>SMr</v>
      </c>
      <c r="H1618">
        <v>4</v>
      </c>
      <c r="O1618" s="7">
        <v>175</v>
      </c>
    </row>
    <row r="1619" spans="1:17" x14ac:dyDescent="0.2">
      <c r="A1619">
        <v>1618</v>
      </c>
      <c r="B1619" s="1">
        <v>40767</v>
      </c>
      <c r="C1619" t="s">
        <v>28</v>
      </c>
      <c r="D1619" s="7">
        <v>30</v>
      </c>
      <c r="E1619" s="7">
        <v>5</v>
      </c>
      <c r="F1619" s="7">
        <f t="shared" si="25"/>
        <v>6</v>
      </c>
      <c r="G1619" s="7" t="str">
        <f>LOOKUP(H1619,[1]startdates!$A$2:$A$10,[1]startdates!$B$2:$B$10)</f>
        <v>SMr</v>
      </c>
      <c r="H1619">
        <v>4</v>
      </c>
      <c r="O1619" s="7">
        <v>161</v>
      </c>
    </row>
    <row r="1620" spans="1:17" x14ac:dyDescent="0.2">
      <c r="A1620">
        <v>1619</v>
      </c>
      <c r="B1620" s="1">
        <v>40767</v>
      </c>
      <c r="C1620" t="s">
        <v>28</v>
      </c>
      <c r="D1620" s="7">
        <v>30</v>
      </c>
      <c r="E1620" s="7">
        <v>5</v>
      </c>
      <c r="F1620" s="7">
        <f t="shared" si="25"/>
        <v>6</v>
      </c>
      <c r="G1620" s="7" t="str">
        <f>LOOKUP(H1620,[1]startdates!$A$2:$A$10,[1]startdates!$B$2:$B$10)</f>
        <v>C</v>
      </c>
      <c r="H1620">
        <v>5</v>
      </c>
      <c r="I1620" s="7">
        <v>750</v>
      </c>
      <c r="K1620" s="7">
        <v>539</v>
      </c>
      <c r="L1620" s="7">
        <v>420</v>
      </c>
      <c r="M1620" s="7">
        <v>351</v>
      </c>
      <c r="N1620" s="7">
        <v>249</v>
      </c>
      <c r="O1620" s="7">
        <v>157</v>
      </c>
      <c r="P1620" s="7">
        <v>554</v>
      </c>
      <c r="Q1620" s="7">
        <v>352</v>
      </c>
    </row>
    <row r="1621" spans="1:17" x14ac:dyDescent="0.2">
      <c r="A1621">
        <v>1620</v>
      </c>
      <c r="B1621" s="1">
        <v>40767</v>
      </c>
      <c r="C1621" t="s">
        <v>28</v>
      </c>
      <c r="D1621" s="7">
        <v>30</v>
      </c>
      <c r="E1621" s="7">
        <v>5</v>
      </c>
      <c r="F1621" s="7">
        <f t="shared" si="25"/>
        <v>6</v>
      </c>
      <c r="G1621" s="7" t="str">
        <f>LOOKUP(H1621,[1]startdates!$A$2:$A$10,[1]startdates!$B$2:$B$10)</f>
        <v>C</v>
      </c>
      <c r="H1621">
        <v>5</v>
      </c>
      <c r="I1621" s="7">
        <v>662</v>
      </c>
      <c r="K1621" s="7">
        <v>582</v>
      </c>
      <c r="L1621" s="7">
        <v>451</v>
      </c>
      <c r="M1621" s="7">
        <v>253</v>
      </c>
      <c r="N1621" s="7">
        <v>196</v>
      </c>
      <c r="O1621" s="7">
        <v>175</v>
      </c>
      <c r="P1621" s="7">
        <v>531</v>
      </c>
    </row>
    <row r="1622" spans="1:17" x14ac:dyDescent="0.2">
      <c r="A1622">
        <v>1621</v>
      </c>
      <c r="B1622" s="1">
        <v>40767</v>
      </c>
      <c r="C1622" t="s">
        <v>28</v>
      </c>
      <c r="D1622" s="7">
        <v>30</v>
      </c>
      <c r="E1622" s="7">
        <v>5</v>
      </c>
      <c r="F1622" s="7">
        <f t="shared" si="25"/>
        <v>6</v>
      </c>
      <c r="G1622" s="7" t="str">
        <f>LOOKUP(H1622,[1]startdates!$A$2:$A$10,[1]startdates!$B$2:$B$10)</f>
        <v>C</v>
      </c>
      <c r="H1622">
        <v>5</v>
      </c>
      <c r="I1622" s="7">
        <v>665</v>
      </c>
      <c r="K1622" s="7">
        <v>630</v>
      </c>
      <c r="L1622" s="7">
        <v>479</v>
      </c>
      <c r="M1622" s="7">
        <v>354</v>
      </c>
      <c r="N1622" s="7">
        <v>250</v>
      </c>
      <c r="O1622" s="7">
        <v>173</v>
      </c>
      <c r="P1622" s="7">
        <v>489</v>
      </c>
    </row>
    <row r="1623" spans="1:17" x14ac:dyDescent="0.2">
      <c r="A1623">
        <v>1622</v>
      </c>
      <c r="B1623" s="1">
        <v>40767</v>
      </c>
      <c r="C1623" t="s">
        <v>28</v>
      </c>
      <c r="D1623" s="7">
        <v>30</v>
      </c>
      <c r="E1623" s="7">
        <v>5</v>
      </c>
      <c r="F1623" s="7">
        <f t="shared" si="25"/>
        <v>6</v>
      </c>
      <c r="G1623" s="7" t="str">
        <f>LOOKUP(H1623,[1]startdates!$A$2:$A$10,[1]startdates!$B$2:$B$10)</f>
        <v>C</v>
      </c>
      <c r="H1623">
        <v>5</v>
      </c>
      <c r="I1623" s="7">
        <v>809</v>
      </c>
      <c r="K1623" s="7">
        <v>657</v>
      </c>
      <c r="M1623" s="7">
        <v>334</v>
      </c>
      <c r="N1623" s="7">
        <v>224</v>
      </c>
      <c r="O1623" s="7">
        <v>165</v>
      </c>
    </row>
    <row r="1624" spans="1:17" x14ac:dyDescent="0.2">
      <c r="A1624">
        <v>1623</v>
      </c>
      <c r="B1624" s="1">
        <v>40767</v>
      </c>
      <c r="C1624" t="s">
        <v>28</v>
      </c>
      <c r="D1624" s="7">
        <v>30</v>
      </c>
      <c r="E1624" s="7">
        <v>5</v>
      </c>
      <c r="F1624" s="7">
        <f t="shared" si="25"/>
        <v>6</v>
      </c>
      <c r="G1624" s="7" t="str">
        <f>LOOKUP(H1624,[1]startdates!$A$2:$A$10,[1]startdates!$B$2:$B$10)</f>
        <v>C</v>
      </c>
      <c r="H1624">
        <v>5</v>
      </c>
      <c r="I1624" s="7">
        <v>783</v>
      </c>
      <c r="K1624" s="7">
        <v>620</v>
      </c>
      <c r="M1624" s="7">
        <v>325</v>
      </c>
      <c r="N1624" s="7">
        <v>169</v>
      </c>
      <c r="O1624" s="7">
        <v>155</v>
      </c>
    </row>
    <row r="1625" spans="1:17" x14ac:dyDescent="0.2">
      <c r="A1625">
        <v>1624</v>
      </c>
      <c r="B1625" s="1">
        <v>40767</v>
      </c>
      <c r="C1625" t="s">
        <v>28</v>
      </c>
      <c r="D1625" s="7">
        <v>30</v>
      </c>
      <c r="E1625" s="7">
        <v>5</v>
      </c>
      <c r="F1625" s="7">
        <f t="shared" si="25"/>
        <v>6</v>
      </c>
      <c r="G1625" s="7" t="str">
        <f>LOOKUP(H1625,[1]startdates!$A$2:$A$10,[1]startdates!$B$2:$B$10)</f>
        <v>C</v>
      </c>
      <c r="H1625">
        <v>5</v>
      </c>
      <c r="I1625" s="7">
        <v>803</v>
      </c>
      <c r="K1625" s="7">
        <v>578</v>
      </c>
      <c r="M1625" s="7">
        <v>373</v>
      </c>
      <c r="N1625" s="7">
        <v>230</v>
      </c>
      <c r="O1625" s="7">
        <v>159</v>
      </c>
    </row>
    <row r="1626" spans="1:17" x14ac:dyDescent="0.2">
      <c r="A1626">
        <v>1625</v>
      </c>
      <c r="B1626" s="1">
        <v>40767</v>
      </c>
      <c r="C1626" t="s">
        <v>28</v>
      </c>
      <c r="D1626" s="7">
        <v>30</v>
      </c>
      <c r="E1626" s="7">
        <v>5</v>
      </c>
      <c r="F1626" s="7">
        <f t="shared" si="25"/>
        <v>6</v>
      </c>
      <c r="G1626" s="7" t="str">
        <f>LOOKUP(H1626,[1]startdates!$A$2:$A$10,[1]startdates!$B$2:$B$10)</f>
        <v>C</v>
      </c>
      <c r="H1626">
        <v>5</v>
      </c>
      <c r="I1626" s="7">
        <v>729</v>
      </c>
      <c r="N1626" s="7">
        <v>256</v>
      </c>
      <c r="O1626" s="7">
        <v>165</v>
      </c>
    </row>
    <row r="1627" spans="1:17" x14ac:dyDescent="0.2">
      <c r="A1627">
        <v>1626</v>
      </c>
      <c r="B1627" s="1">
        <v>40767</v>
      </c>
      <c r="C1627" t="s">
        <v>28</v>
      </c>
      <c r="D1627" s="7">
        <v>30</v>
      </c>
      <c r="E1627" s="7">
        <v>5</v>
      </c>
      <c r="F1627" s="7">
        <f t="shared" si="25"/>
        <v>6</v>
      </c>
      <c r="G1627" s="7" t="str">
        <f>LOOKUP(H1627,[1]startdates!$A$2:$A$10,[1]startdates!$B$2:$B$10)</f>
        <v>C</v>
      </c>
      <c r="H1627">
        <v>5</v>
      </c>
      <c r="N1627" s="7">
        <v>182</v>
      </c>
      <c r="O1627" s="7">
        <v>169</v>
      </c>
    </row>
    <row r="1628" spans="1:17" x14ac:dyDescent="0.2">
      <c r="A1628">
        <v>1627</v>
      </c>
      <c r="B1628" s="1">
        <v>40767</v>
      </c>
      <c r="C1628" t="s">
        <v>28</v>
      </c>
      <c r="D1628" s="7">
        <v>30</v>
      </c>
      <c r="E1628" s="7">
        <v>5</v>
      </c>
      <c r="F1628" s="7">
        <f t="shared" si="25"/>
        <v>6</v>
      </c>
      <c r="G1628" s="7" t="str">
        <f>LOOKUP(H1628,[1]startdates!$A$2:$A$10,[1]startdates!$B$2:$B$10)</f>
        <v>C</v>
      </c>
      <c r="H1628">
        <v>5</v>
      </c>
      <c r="N1628" s="7">
        <v>205</v>
      </c>
      <c r="O1628" s="7">
        <v>156</v>
      </c>
    </row>
    <row r="1629" spans="1:17" x14ac:dyDescent="0.2">
      <c r="A1629">
        <v>1628</v>
      </c>
      <c r="B1629" s="1">
        <v>40767</v>
      </c>
      <c r="C1629" t="s">
        <v>28</v>
      </c>
      <c r="D1629" s="7">
        <v>30</v>
      </c>
      <c r="E1629" s="7">
        <v>5</v>
      </c>
      <c r="F1629" s="7">
        <f t="shared" si="25"/>
        <v>6</v>
      </c>
      <c r="G1629" s="7" t="str">
        <f>LOOKUP(H1629,[1]startdates!$A$2:$A$10,[1]startdates!$B$2:$B$10)</f>
        <v>C</v>
      </c>
      <c r="H1629">
        <v>5</v>
      </c>
      <c r="N1629" s="7">
        <v>208</v>
      </c>
      <c r="O1629" s="7">
        <v>141</v>
      </c>
    </row>
    <row r="1630" spans="1:17" x14ac:dyDescent="0.2">
      <c r="A1630">
        <v>1629</v>
      </c>
      <c r="B1630" s="1">
        <v>40767</v>
      </c>
      <c r="C1630" t="s">
        <v>28</v>
      </c>
      <c r="D1630" s="7">
        <v>30</v>
      </c>
      <c r="E1630" s="7">
        <v>5</v>
      </c>
      <c r="F1630" s="7">
        <f t="shared" si="25"/>
        <v>6</v>
      </c>
      <c r="G1630" s="7" t="str">
        <f>LOOKUP(H1630,[1]startdates!$A$2:$A$10,[1]startdates!$B$2:$B$10)</f>
        <v>C</v>
      </c>
      <c r="H1630">
        <v>5</v>
      </c>
      <c r="N1630" s="7">
        <v>231</v>
      </c>
      <c r="O1630" s="7">
        <v>169</v>
      </c>
    </row>
    <row r="1631" spans="1:17" x14ac:dyDescent="0.2">
      <c r="A1631">
        <v>1630</v>
      </c>
      <c r="B1631" s="1">
        <v>40767</v>
      </c>
      <c r="C1631" t="s">
        <v>28</v>
      </c>
      <c r="D1631" s="7">
        <v>30</v>
      </c>
      <c r="E1631" s="7">
        <v>5</v>
      </c>
      <c r="F1631" s="7">
        <f t="shared" si="25"/>
        <v>6</v>
      </c>
      <c r="G1631" s="7" t="str">
        <f>LOOKUP(H1631,[1]startdates!$A$2:$A$10,[1]startdates!$B$2:$B$10)</f>
        <v>FMr</v>
      </c>
      <c r="H1631">
        <v>6</v>
      </c>
      <c r="I1631" s="7">
        <v>778</v>
      </c>
      <c r="K1631" s="7">
        <v>507</v>
      </c>
      <c r="L1631" s="7">
        <v>476</v>
      </c>
      <c r="M1631" s="7">
        <v>391</v>
      </c>
      <c r="N1631" s="7">
        <v>254</v>
      </c>
      <c r="O1631" s="7">
        <v>165</v>
      </c>
      <c r="P1631" s="7">
        <v>530</v>
      </c>
      <c r="Q1631" s="7">
        <v>346</v>
      </c>
    </row>
    <row r="1632" spans="1:17" x14ac:dyDescent="0.2">
      <c r="A1632">
        <v>1631</v>
      </c>
      <c r="B1632" s="1">
        <v>40767</v>
      </c>
      <c r="C1632" t="s">
        <v>28</v>
      </c>
      <c r="D1632" s="7">
        <v>30</v>
      </c>
      <c r="E1632" s="7">
        <v>5</v>
      </c>
      <c r="F1632" s="7">
        <f t="shared" si="25"/>
        <v>6</v>
      </c>
      <c r="G1632" s="7" t="str">
        <f>LOOKUP(H1632,[1]startdates!$A$2:$A$10,[1]startdates!$B$2:$B$10)</f>
        <v>FMr</v>
      </c>
      <c r="H1632">
        <v>6</v>
      </c>
      <c r="I1632" s="7">
        <v>800</v>
      </c>
      <c r="K1632" s="7">
        <v>639</v>
      </c>
      <c r="L1632" s="7">
        <v>488</v>
      </c>
      <c r="M1632" s="7">
        <v>382</v>
      </c>
      <c r="N1632" s="7">
        <v>208</v>
      </c>
      <c r="O1632" s="7">
        <v>170</v>
      </c>
    </row>
    <row r="1633" spans="1:18" x14ac:dyDescent="0.2">
      <c r="A1633">
        <v>1632</v>
      </c>
      <c r="B1633" s="1">
        <v>40767</v>
      </c>
      <c r="C1633" t="s">
        <v>28</v>
      </c>
      <c r="D1633" s="7">
        <v>30</v>
      </c>
      <c r="E1633" s="7">
        <v>5</v>
      </c>
      <c r="F1633" s="7">
        <f t="shared" si="25"/>
        <v>6</v>
      </c>
      <c r="G1633" s="7" t="str">
        <f>LOOKUP(H1633,[1]startdates!$A$2:$A$10,[1]startdates!$B$2:$B$10)</f>
        <v>FMr</v>
      </c>
      <c r="H1633">
        <v>6</v>
      </c>
      <c r="I1633" s="7">
        <v>677</v>
      </c>
      <c r="K1633" s="7">
        <v>586</v>
      </c>
      <c r="M1633" s="7">
        <v>357</v>
      </c>
      <c r="N1633" s="7">
        <v>249</v>
      </c>
      <c r="O1633" s="7">
        <v>145</v>
      </c>
    </row>
    <row r="1634" spans="1:18" x14ac:dyDescent="0.2">
      <c r="A1634">
        <v>1633</v>
      </c>
      <c r="B1634" s="1">
        <v>40767</v>
      </c>
      <c r="C1634" t="s">
        <v>28</v>
      </c>
      <c r="D1634" s="7">
        <v>30</v>
      </c>
      <c r="E1634" s="7">
        <v>5</v>
      </c>
      <c r="F1634" s="7">
        <f t="shared" si="25"/>
        <v>6</v>
      </c>
      <c r="G1634" s="7" t="str">
        <f>LOOKUP(H1634,[1]startdates!$A$2:$A$10,[1]startdates!$B$2:$B$10)</f>
        <v>FMr</v>
      </c>
      <c r="H1634">
        <v>6</v>
      </c>
      <c r="I1634" s="7">
        <v>734</v>
      </c>
      <c r="K1634" s="7">
        <v>545</v>
      </c>
      <c r="M1634" s="7">
        <v>377</v>
      </c>
      <c r="N1634" s="7">
        <v>229</v>
      </c>
      <c r="O1634" s="7">
        <v>175</v>
      </c>
    </row>
    <row r="1635" spans="1:18" x14ac:dyDescent="0.2">
      <c r="A1635">
        <v>1634</v>
      </c>
      <c r="B1635" s="1">
        <v>40767</v>
      </c>
      <c r="C1635" t="s">
        <v>28</v>
      </c>
      <c r="D1635" s="7">
        <v>30</v>
      </c>
      <c r="E1635" s="7">
        <v>5</v>
      </c>
      <c r="F1635" s="7">
        <f t="shared" si="25"/>
        <v>6</v>
      </c>
      <c r="G1635" s="7" t="str">
        <f>LOOKUP(H1635,[1]startdates!$A$2:$A$10,[1]startdates!$B$2:$B$10)</f>
        <v>FMr</v>
      </c>
      <c r="H1635">
        <v>6</v>
      </c>
      <c r="I1635" s="7">
        <v>673</v>
      </c>
      <c r="K1635" s="7">
        <v>524</v>
      </c>
      <c r="M1635" s="7">
        <v>319</v>
      </c>
      <c r="N1635" s="7">
        <v>250</v>
      </c>
      <c r="O1635" s="7">
        <v>161</v>
      </c>
    </row>
    <row r="1636" spans="1:18" x14ac:dyDescent="0.2">
      <c r="A1636">
        <v>1635</v>
      </c>
      <c r="B1636" s="1">
        <v>40767</v>
      </c>
      <c r="C1636" t="s">
        <v>28</v>
      </c>
      <c r="D1636" s="7">
        <v>30</v>
      </c>
      <c r="E1636" s="7">
        <v>5</v>
      </c>
      <c r="F1636" s="7">
        <f t="shared" si="25"/>
        <v>6</v>
      </c>
      <c r="G1636" s="7" t="str">
        <f>LOOKUP(H1636,[1]startdates!$A$2:$A$10,[1]startdates!$B$2:$B$10)</f>
        <v>FMr</v>
      </c>
      <c r="H1636">
        <v>6</v>
      </c>
      <c r="I1636" s="7">
        <v>755</v>
      </c>
      <c r="K1636" s="7">
        <v>607</v>
      </c>
      <c r="M1636" s="7">
        <v>349</v>
      </c>
      <c r="N1636" s="7">
        <v>194</v>
      </c>
      <c r="O1636" s="7">
        <v>153</v>
      </c>
    </row>
    <row r="1637" spans="1:18" x14ac:dyDescent="0.2">
      <c r="A1637">
        <v>1636</v>
      </c>
      <c r="B1637" s="1">
        <v>40767</v>
      </c>
      <c r="C1637" t="s">
        <v>28</v>
      </c>
      <c r="D1637" s="7">
        <v>30</v>
      </c>
      <c r="E1637" s="7">
        <v>5</v>
      </c>
      <c r="F1637" s="7">
        <f t="shared" si="25"/>
        <v>6</v>
      </c>
      <c r="G1637" s="7" t="str">
        <f>LOOKUP(H1637,[1]startdates!$A$2:$A$10,[1]startdates!$B$2:$B$10)</f>
        <v>FMr</v>
      </c>
      <c r="H1637">
        <v>6</v>
      </c>
      <c r="I1637" s="7">
        <v>760</v>
      </c>
      <c r="N1637" s="7">
        <v>215</v>
      </c>
      <c r="O1637" s="7">
        <v>152</v>
      </c>
    </row>
    <row r="1638" spans="1:18" x14ac:dyDescent="0.2">
      <c r="A1638">
        <v>1637</v>
      </c>
      <c r="B1638" s="1">
        <v>40767</v>
      </c>
      <c r="C1638" t="s">
        <v>28</v>
      </c>
      <c r="D1638" s="7">
        <v>30</v>
      </c>
      <c r="E1638" s="7">
        <v>5</v>
      </c>
      <c r="F1638" s="7">
        <f t="shared" si="25"/>
        <v>6</v>
      </c>
      <c r="G1638" s="7" t="str">
        <f>LOOKUP(H1638,[1]startdates!$A$2:$A$10,[1]startdates!$B$2:$B$10)</f>
        <v>FMr</v>
      </c>
      <c r="H1638">
        <v>6</v>
      </c>
      <c r="I1638" s="7">
        <v>782</v>
      </c>
      <c r="N1638" s="7">
        <v>230</v>
      </c>
      <c r="O1638" s="7">
        <v>147</v>
      </c>
    </row>
    <row r="1639" spans="1:18" x14ac:dyDescent="0.2">
      <c r="A1639">
        <v>1638</v>
      </c>
      <c r="B1639" s="1">
        <v>40767</v>
      </c>
      <c r="C1639" t="s">
        <v>28</v>
      </c>
      <c r="D1639" s="7">
        <v>30</v>
      </c>
      <c r="E1639" s="7">
        <v>5</v>
      </c>
      <c r="F1639" s="7">
        <f t="shared" si="25"/>
        <v>6</v>
      </c>
      <c r="G1639" s="7" t="str">
        <f>LOOKUP(H1639,[1]startdates!$A$2:$A$10,[1]startdates!$B$2:$B$10)</f>
        <v>FMr</v>
      </c>
      <c r="H1639">
        <v>6</v>
      </c>
      <c r="N1639" s="7">
        <v>231</v>
      </c>
      <c r="O1639" s="7">
        <v>166</v>
      </c>
    </row>
    <row r="1640" spans="1:18" x14ac:dyDescent="0.2">
      <c r="A1640">
        <v>1639</v>
      </c>
      <c r="B1640" s="1">
        <v>40767</v>
      </c>
      <c r="C1640" t="s">
        <v>28</v>
      </c>
      <c r="D1640" s="7">
        <v>30</v>
      </c>
      <c r="E1640" s="7">
        <v>5</v>
      </c>
      <c r="F1640" s="7">
        <f t="shared" si="25"/>
        <v>6</v>
      </c>
      <c r="G1640" s="7" t="str">
        <f>LOOKUP(H1640,[1]startdates!$A$2:$A$10,[1]startdates!$B$2:$B$10)</f>
        <v>FMr</v>
      </c>
      <c r="H1640">
        <v>6</v>
      </c>
      <c r="N1640" s="7">
        <v>188</v>
      </c>
      <c r="O1640" s="7">
        <v>156</v>
      </c>
    </row>
    <row r="1641" spans="1:18" x14ac:dyDescent="0.2">
      <c r="A1641">
        <v>1640</v>
      </c>
      <c r="B1641" s="1">
        <v>40767</v>
      </c>
      <c r="C1641" t="s">
        <v>28</v>
      </c>
      <c r="D1641" s="7">
        <v>30</v>
      </c>
      <c r="E1641" s="7">
        <v>5</v>
      </c>
      <c r="F1641" s="7">
        <f t="shared" ref="F1641:F1704" si="26">WEEKDAY(B1641)</f>
        <v>6</v>
      </c>
      <c r="G1641" s="7" t="str">
        <f>LOOKUP(H1641,[1]startdates!$A$2:$A$10,[1]startdates!$B$2:$B$10)</f>
        <v>FMr</v>
      </c>
      <c r="H1641">
        <v>6</v>
      </c>
      <c r="N1641" s="7">
        <v>174</v>
      </c>
    </row>
    <row r="1642" spans="1:18" x14ac:dyDescent="0.2">
      <c r="A1642">
        <v>1641</v>
      </c>
      <c r="B1642" s="1">
        <v>40767</v>
      </c>
      <c r="C1642" t="s">
        <v>28</v>
      </c>
      <c r="D1642" s="7">
        <v>30</v>
      </c>
      <c r="E1642" s="7">
        <v>5</v>
      </c>
      <c r="F1642" s="7">
        <f t="shared" si="26"/>
        <v>6</v>
      </c>
      <c r="G1642" s="7" t="str">
        <f>LOOKUP(H1642,[1]startdates!$A$2:$A$10,[1]startdates!$B$2:$B$10)</f>
        <v>FMr</v>
      </c>
      <c r="H1642">
        <v>6</v>
      </c>
      <c r="N1642" s="7">
        <v>175</v>
      </c>
    </row>
    <row r="1643" spans="1:18" x14ac:dyDescent="0.2">
      <c r="A1643">
        <v>1642</v>
      </c>
      <c r="B1643" s="1">
        <v>40767</v>
      </c>
      <c r="C1643" t="s">
        <v>28</v>
      </c>
      <c r="D1643" s="7">
        <v>30</v>
      </c>
      <c r="E1643" s="7">
        <v>5</v>
      </c>
      <c r="F1643" s="7">
        <f t="shared" si="26"/>
        <v>6</v>
      </c>
      <c r="G1643" s="7" t="str">
        <f>LOOKUP(H1643,[1]startdates!$A$2:$A$10,[1]startdates!$B$2:$B$10)</f>
        <v>FMr</v>
      </c>
      <c r="H1643">
        <v>7</v>
      </c>
      <c r="I1643" s="7">
        <v>825</v>
      </c>
      <c r="K1643" s="7">
        <v>662</v>
      </c>
      <c r="L1643" s="7">
        <v>455</v>
      </c>
      <c r="M1643" s="7">
        <v>359</v>
      </c>
      <c r="N1643" s="7">
        <v>212</v>
      </c>
      <c r="O1643" s="7">
        <v>179</v>
      </c>
      <c r="P1643" s="7">
        <v>555</v>
      </c>
      <c r="Q1643" s="7">
        <v>380</v>
      </c>
      <c r="R1643" s="7">
        <v>287</v>
      </c>
    </row>
    <row r="1644" spans="1:18" x14ac:dyDescent="0.2">
      <c r="A1644">
        <v>1643</v>
      </c>
      <c r="B1644" s="1">
        <v>40767</v>
      </c>
      <c r="C1644" t="s">
        <v>28</v>
      </c>
      <c r="D1644" s="7">
        <v>30</v>
      </c>
      <c r="E1644" s="7">
        <v>5</v>
      </c>
      <c r="F1644" s="7">
        <f t="shared" si="26"/>
        <v>6</v>
      </c>
      <c r="G1644" s="7" t="str">
        <f>LOOKUP(H1644,[1]startdates!$A$2:$A$10,[1]startdates!$B$2:$B$10)</f>
        <v>FMr</v>
      </c>
      <c r="H1644">
        <v>7</v>
      </c>
      <c r="I1644" s="7">
        <v>761</v>
      </c>
      <c r="K1644" s="7">
        <v>524</v>
      </c>
      <c r="L1644" s="7">
        <v>488</v>
      </c>
      <c r="M1644" s="7">
        <v>280</v>
      </c>
      <c r="N1644" s="7">
        <v>208</v>
      </c>
      <c r="O1644" s="7">
        <v>158</v>
      </c>
      <c r="P1644" s="7">
        <v>433</v>
      </c>
    </row>
    <row r="1645" spans="1:18" x14ac:dyDescent="0.2">
      <c r="A1645">
        <v>1644</v>
      </c>
      <c r="B1645" s="1">
        <v>40767</v>
      </c>
      <c r="C1645" t="s">
        <v>28</v>
      </c>
      <c r="D1645" s="7">
        <v>30</v>
      </c>
      <c r="E1645" s="7">
        <v>5</v>
      </c>
      <c r="F1645" s="7">
        <f t="shared" si="26"/>
        <v>6</v>
      </c>
      <c r="G1645" s="7" t="str">
        <f>LOOKUP(H1645,[1]startdates!$A$2:$A$10,[1]startdates!$B$2:$B$10)</f>
        <v>FMr</v>
      </c>
      <c r="H1645">
        <v>7</v>
      </c>
      <c r="I1645" s="7">
        <v>702</v>
      </c>
      <c r="K1645" s="7">
        <v>585</v>
      </c>
      <c r="M1645" s="7">
        <v>283</v>
      </c>
      <c r="N1645" s="7">
        <v>209</v>
      </c>
      <c r="O1645" s="7">
        <v>163</v>
      </c>
      <c r="P1645" s="7">
        <v>413</v>
      </c>
    </row>
    <row r="1646" spans="1:18" x14ac:dyDescent="0.2">
      <c r="A1646">
        <v>1645</v>
      </c>
      <c r="B1646" s="1">
        <v>40767</v>
      </c>
      <c r="C1646" t="s">
        <v>28</v>
      </c>
      <c r="D1646" s="7">
        <v>30</v>
      </c>
      <c r="E1646" s="7">
        <v>5</v>
      </c>
      <c r="F1646" s="7">
        <f t="shared" si="26"/>
        <v>6</v>
      </c>
      <c r="G1646" s="7" t="str">
        <f>LOOKUP(H1646,[1]startdates!$A$2:$A$10,[1]startdates!$B$2:$B$10)</f>
        <v>FMr</v>
      </c>
      <c r="H1646">
        <v>7</v>
      </c>
      <c r="I1646" s="7">
        <v>745</v>
      </c>
      <c r="K1646" s="7">
        <v>591</v>
      </c>
      <c r="M1646" s="7">
        <v>354</v>
      </c>
      <c r="N1646" s="7">
        <v>228</v>
      </c>
      <c r="O1646" s="7">
        <v>155</v>
      </c>
    </row>
    <row r="1647" spans="1:18" x14ac:dyDescent="0.2">
      <c r="A1647">
        <v>1646</v>
      </c>
      <c r="B1647" s="1">
        <v>40767</v>
      </c>
      <c r="C1647" t="s">
        <v>28</v>
      </c>
      <c r="D1647" s="7">
        <v>30</v>
      </c>
      <c r="E1647" s="7">
        <v>5</v>
      </c>
      <c r="F1647" s="7">
        <f t="shared" si="26"/>
        <v>6</v>
      </c>
      <c r="G1647" s="7" t="str">
        <f>LOOKUP(H1647,[1]startdates!$A$2:$A$10,[1]startdates!$B$2:$B$10)</f>
        <v>FMr</v>
      </c>
      <c r="H1647">
        <v>7</v>
      </c>
      <c r="I1647" s="7">
        <v>726</v>
      </c>
      <c r="M1647" s="7">
        <v>342</v>
      </c>
      <c r="N1647" s="7">
        <v>248</v>
      </c>
      <c r="O1647" s="7">
        <v>159</v>
      </c>
    </row>
    <row r="1648" spans="1:18" x14ac:dyDescent="0.2">
      <c r="A1648">
        <v>1647</v>
      </c>
      <c r="B1648" s="1">
        <v>40767</v>
      </c>
      <c r="C1648" t="s">
        <v>28</v>
      </c>
      <c r="D1648" s="7">
        <v>30</v>
      </c>
      <c r="E1648" s="7">
        <v>5</v>
      </c>
      <c r="F1648" s="7">
        <f t="shared" si="26"/>
        <v>6</v>
      </c>
      <c r="G1648" s="7" t="str">
        <f>LOOKUP(H1648,[1]startdates!$A$2:$A$10,[1]startdates!$B$2:$B$10)</f>
        <v>FMr</v>
      </c>
      <c r="H1648">
        <v>7</v>
      </c>
      <c r="I1648" s="7">
        <v>862</v>
      </c>
      <c r="M1648" s="7">
        <v>366</v>
      </c>
      <c r="N1648" s="7">
        <v>243</v>
      </c>
      <c r="O1648" s="7">
        <v>178</v>
      </c>
    </row>
    <row r="1649" spans="1:16" x14ac:dyDescent="0.2">
      <c r="A1649">
        <v>1648</v>
      </c>
      <c r="B1649" s="1">
        <v>40767</v>
      </c>
      <c r="C1649" t="s">
        <v>28</v>
      </c>
      <c r="D1649" s="7">
        <v>30</v>
      </c>
      <c r="E1649" s="7">
        <v>5</v>
      </c>
      <c r="F1649" s="7">
        <f t="shared" si="26"/>
        <v>6</v>
      </c>
      <c r="G1649" s="7" t="str">
        <f>LOOKUP(H1649,[1]startdates!$A$2:$A$10,[1]startdates!$B$2:$B$10)</f>
        <v>FMr</v>
      </c>
      <c r="H1649">
        <v>7</v>
      </c>
      <c r="N1649" s="7">
        <v>194</v>
      </c>
      <c r="O1649" s="7">
        <v>178</v>
      </c>
    </row>
    <row r="1650" spans="1:16" x14ac:dyDescent="0.2">
      <c r="A1650">
        <v>1649</v>
      </c>
      <c r="B1650" s="1">
        <v>40767</v>
      </c>
      <c r="C1650" t="s">
        <v>28</v>
      </c>
      <c r="D1650" s="7">
        <v>30</v>
      </c>
      <c r="E1650" s="7">
        <v>5</v>
      </c>
      <c r="F1650" s="7">
        <f t="shared" si="26"/>
        <v>6</v>
      </c>
      <c r="G1650" s="7" t="str">
        <f>LOOKUP(H1650,[1]startdates!$A$2:$A$10,[1]startdates!$B$2:$B$10)</f>
        <v>FMr</v>
      </c>
      <c r="H1650">
        <v>7</v>
      </c>
      <c r="N1650" s="7">
        <v>192</v>
      </c>
      <c r="O1650" s="7">
        <v>140</v>
      </c>
    </row>
    <row r="1651" spans="1:16" x14ac:dyDescent="0.2">
      <c r="A1651">
        <v>1650</v>
      </c>
      <c r="B1651" s="1">
        <v>40767</v>
      </c>
      <c r="C1651" t="s">
        <v>28</v>
      </c>
      <c r="D1651" s="7">
        <v>30</v>
      </c>
      <c r="E1651" s="7">
        <v>5</v>
      </c>
      <c r="F1651" s="7">
        <f t="shared" si="26"/>
        <v>6</v>
      </c>
      <c r="G1651" s="7" t="str">
        <f>LOOKUP(H1651,[1]startdates!$A$2:$A$10,[1]startdates!$B$2:$B$10)</f>
        <v>FMr</v>
      </c>
      <c r="H1651">
        <v>7</v>
      </c>
      <c r="N1651" s="7">
        <v>252</v>
      </c>
      <c r="O1651" s="7">
        <v>163</v>
      </c>
    </row>
    <row r="1652" spans="1:16" x14ac:dyDescent="0.2">
      <c r="A1652">
        <v>1651</v>
      </c>
      <c r="B1652" s="1">
        <v>40767</v>
      </c>
      <c r="C1652" t="s">
        <v>28</v>
      </c>
      <c r="D1652" s="7">
        <v>30</v>
      </c>
      <c r="E1652" s="7">
        <v>5</v>
      </c>
      <c r="F1652" s="7">
        <f t="shared" si="26"/>
        <v>6</v>
      </c>
      <c r="G1652" s="7" t="str">
        <f>LOOKUP(H1652,[1]startdates!$A$2:$A$10,[1]startdates!$B$2:$B$10)</f>
        <v>FMr</v>
      </c>
      <c r="H1652">
        <v>7</v>
      </c>
      <c r="N1652" s="7">
        <v>198</v>
      </c>
      <c r="O1652" s="7">
        <v>155</v>
      </c>
    </row>
    <row r="1653" spans="1:16" x14ac:dyDescent="0.2">
      <c r="A1653">
        <v>1652</v>
      </c>
      <c r="B1653" s="1">
        <v>40767</v>
      </c>
      <c r="C1653" t="s">
        <v>28</v>
      </c>
      <c r="D1653" s="7">
        <v>30</v>
      </c>
      <c r="E1653" s="7">
        <v>5</v>
      </c>
      <c r="F1653" s="7">
        <f t="shared" si="26"/>
        <v>6</v>
      </c>
      <c r="G1653" s="7" t="str">
        <f>LOOKUP(H1653,[1]startdates!$A$2:$A$10,[1]startdates!$B$2:$B$10)</f>
        <v>FMr</v>
      </c>
      <c r="H1653">
        <v>7</v>
      </c>
      <c r="N1653" s="7">
        <v>240</v>
      </c>
    </row>
    <row r="1654" spans="1:16" x14ac:dyDescent="0.2">
      <c r="A1654">
        <v>1653</v>
      </c>
      <c r="B1654" s="1">
        <v>40767</v>
      </c>
      <c r="C1654" t="s">
        <v>28</v>
      </c>
      <c r="D1654" s="7">
        <v>30</v>
      </c>
      <c r="E1654" s="7">
        <v>5</v>
      </c>
      <c r="F1654" s="7">
        <f t="shared" si="26"/>
        <v>6</v>
      </c>
      <c r="G1654" s="7" t="str">
        <f>LOOKUP(H1654,[1]startdates!$A$2:$A$10,[1]startdates!$B$2:$B$10)</f>
        <v>FMr</v>
      </c>
      <c r="H1654">
        <v>7</v>
      </c>
      <c r="N1654" s="7">
        <v>209</v>
      </c>
    </row>
    <row r="1655" spans="1:16" x14ac:dyDescent="0.2">
      <c r="A1655">
        <v>1654</v>
      </c>
      <c r="B1655" s="1">
        <v>40767</v>
      </c>
      <c r="C1655" t="s">
        <v>28</v>
      </c>
      <c r="D1655" s="7">
        <v>30</v>
      </c>
      <c r="E1655" s="7">
        <v>5</v>
      </c>
      <c r="F1655" s="7">
        <f t="shared" si="26"/>
        <v>6</v>
      </c>
      <c r="G1655" s="7" t="str">
        <f>LOOKUP(H1655,[1]startdates!$A$2:$A$10,[1]startdates!$B$2:$B$10)</f>
        <v>C</v>
      </c>
      <c r="H1655">
        <v>8</v>
      </c>
      <c r="I1655" s="7">
        <v>777</v>
      </c>
      <c r="J1655" s="7">
        <v>619</v>
      </c>
      <c r="K1655" s="7">
        <v>599</v>
      </c>
      <c r="L1655" s="7">
        <v>494</v>
      </c>
      <c r="M1655" s="7">
        <v>383</v>
      </c>
      <c r="N1655" s="7">
        <v>195</v>
      </c>
      <c r="O1655" s="7">
        <v>185</v>
      </c>
      <c r="P1655" s="7">
        <v>547</v>
      </c>
    </row>
    <row r="1656" spans="1:16" x14ac:dyDescent="0.2">
      <c r="A1656">
        <v>1655</v>
      </c>
      <c r="B1656" s="1">
        <v>40767</v>
      </c>
      <c r="C1656" t="s">
        <v>28</v>
      </c>
      <c r="D1656" s="7">
        <v>30</v>
      </c>
      <c r="E1656" s="7">
        <v>5</v>
      </c>
      <c r="F1656" s="7">
        <f t="shared" si="26"/>
        <v>6</v>
      </c>
      <c r="G1656" s="7" t="str">
        <f>LOOKUP(H1656,[1]startdates!$A$2:$A$10,[1]startdates!$B$2:$B$10)</f>
        <v>C</v>
      </c>
      <c r="H1656">
        <v>8</v>
      </c>
      <c r="I1656" s="7">
        <v>545</v>
      </c>
      <c r="K1656" s="7">
        <v>591</v>
      </c>
      <c r="L1656" s="7">
        <v>468</v>
      </c>
      <c r="M1656" s="7">
        <v>343</v>
      </c>
      <c r="N1656" s="7">
        <v>211</v>
      </c>
      <c r="O1656" s="7">
        <v>177</v>
      </c>
    </row>
    <row r="1657" spans="1:16" x14ac:dyDescent="0.2">
      <c r="A1657">
        <v>1656</v>
      </c>
      <c r="B1657" s="1">
        <v>40767</v>
      </c>
      <c r="C1657" t="s">
        <v>28</v>
      </c>
      <c r="D1657" s="7">
        <v>30</v>
      </c>
      <c r="E1657" s="7">
        <v>5</v>
      </c>
      <c r="F1657" s="7">
        <f t="shared" si="26"/>
        <v>6</v>
      </c>
      <c r="G1657" s="7" t="str">
        <f>LOOKUP(H1657,[1]startdates!$A$2:$A$10,[1]startdates!$B$2:$B$10)</f>
        <v>C</v>
      </c>
      <c r="H1657">
        <v>8</v>
      </c>
      <c r="I1657" s="7">
        <v>804</v>
      </c>
      <c r="M1657" s="7">
        <v>319</v>
      </c>
      <c r="N1657" s="7">
        <v>227</v>
      </c>
      <c r="O1657" s="7">
        <v>161</v>
      </c>
    </row>
    <row r="1658" spans="1:16" x14ac:dyDescent="0.2">
      <c r="A1658">
        <v>1657</v>
      </c>
      <c r="B1658" s="1">
        <v>40767</v>
      </c>
      <c r="C1658" t="s">
        <v>28</v>
      </c>
      <c r="D1658" s="7">
        <v>30</v>
      </c>
      <c r="E1658" s="7">
        <v>5</v>
      </c>
      <c r="F1658" s="7">
        <f t="shared" si="26"/>
        <v>6</v>
      </c>
      <c r="G1658" s="7" t="str">
        <f>LOOKUP(H1658,[1]startdates!$A$2:$A$10,[1]startdates!$B$2:$B$10)</f>
        <v>C</v>
      </c>
      <c r="H1658">
        <v>8</v>
      </c>
      <c r="I1658" s="7">
        <v>727</v>
      </c>
      <c r="M1658" s="7">
        <v>294</v>
      </c>
      <c r="N1658" s="7">
        <v>245</v>
      </c>
      <c r="O1658" s="7">
        <v>170</v>
      </c>
    </row>
    <row r="1659" spans="1:16" x14ac:dyDescent="0.2">
      <c r="A1659">
        <v>1658</v>
      </c>
      <c r="B1659" s="1">
        <v>40767</v>
      </c>
      <c r="C1659" t="s">
        <v>28</v>
      </c>
      <c r="D1659" s="7">
        <v>30</v>
      </c>
      <c r="E1659" s="7">
        <v>5</v>
      </c>
      <c r="F1659" s="7">
        <f t="shared" si="26"/>
        <v>6</v>
      </c>
      <c r="G1659" s="7" t="str">
        <f>LOOKUP(H1659,[1]startdates!$A$2:$A$10,[1]startdates!$B$2:$B$10)</f>
        <v>C</v>
      </c>
      <c r="H1659">
        <v>8</v>
      </c>
      <c r="I1659" s="7">
        <v>705</v>
      </c>
      <c r="M1659" s="7">
        <v>339</v>
      </c>
      <c r="N1659" s="7">
        <v>259</v>
      </c>
      <c r="O1659" s="7">
        <v>163</v>
      </c>
    </row>
    <row r="1660" spans="1:16" x14ac:dyDescent="0.2">
      <c r="A1660">
        <v>1659</v>
      </c>
      <c r="B1660" s="1">
        <v>40767</v>
      </c>
      <c r="C1660" t="s">
        <v>28</v>
      </c>
      <c r="D1660" s="7">
        <v>30</v>
      </c>
      <c r="E1660" s="7">
        <v>5</v>
      </c>
      <c r="F1660" s="7">
        <f t="shared" si="26"/>
        <v>6</v>
      </c>
      <c r="G1660" s="7" t="str">
        <f>LOOKUP(H1660,[1]startdates!$A$2:$A$10,[1]startdates!$B$2:$B$10)</f>
        <v>C</v>
      </c>
      <c r="H1660">
        <v>8</v>
      </c>
      <c r="I1660" s="7">
        <v>767</v>
      </c>
      <c r="M1660" s="7">
        <v>349</v>
      </c>
      <c r="N1660" s="7">
        <v>205</v>
      </c>
      <c r="O1660" s="7">
        <v>156</v>
      </c>
    </row>
    <row r="1661" spans="1:16" x14ac:dyDescent="0.2">
      <c r="A1661">
        <v>1660</v>
      </c>
      <c r="B1661" s="1">
        <v>40767</v>
      </c>
      <c r="C1661" t="s">
        <v>28</v>
      </c>
      <c r="D1661" s="7">
        <v>30</v>
      </c>
      <c r="E1661" s="7">
        <v>5</v>
      </c>
      <c r="F1661" s="7">
        <f t="shared" si="26"/>
        <v>6</v>
      </c>
      <c r="G1661" s="7" t="str">
        <f>LOOKUP(H1661,[1]startdates!$A$2:$A$10,[1]startdates!$B$2:$B$10)</f>
        <v>C</v>
      </c>
      <c r="H1661">
        <v>8</v>
      </c>
      <c r="I1661" s="7">
        <v>773</v>
      </c>
      <c r="N1661" s="7">
        <v>246</v>
      </c>
      <c r="O1661" s="7">
        <v>149</v>
      </c>
    </row>
    <row r="1662" spans="1:16" x14ac:dyDescent="0.2">
      <c r="A1662">
        <v>1661</v>
      </c>
      <c r="B1662" s="1">
        <v>40767</v>
      </c>
      <c r="C1662" t="s">
        <v>28</v>
      </c>
      <c r="D1662" s="7">
        <v>30</v>
      </c>
      <c r="E1662" s="7">
        <v>5</v>
      </c>
      <c r="F1662" s="7">
        <f t="shared" si="26"/>
        <v>6</v>
      </c>
      <c r="G1662" s="7" t="str">
        <f>LOOKUP(H1662,[1]startdates!$A$2:$A$10,[1]startdates!$B$2:$B$10)</f>
        <v>C</v>
      </c>
      <c r="H1662">
        <v>8</v>
      </c>
      <c r="N1662" s="7">
        <v>247</v>
      </c>
      <c r="O1662" s="7">
        <v>178</v>
      </c>
    </row>
    <row r="1663" spans="1:16" x14ac:dyDescent="0.2">
      <c r="A1663">
        <v>1662</v>
      </c>
      <c r="B1663" s="1">
        <v>40767</v>
      </c>
      <c r="C1663" t="s">
        <v>28</v>
      </c>
      <c r="D1663" s="7">
        <v>30</v>
      </c>
      <c r="E1663" s="7">
        <v>5</v>
      </c>
      <c r="F1663" s="7">
        <f t="shared" si="26"/>
        <v>6</v>
      </c>
      <c r="G1663" s="7" t="str">
        <f>LOOKUP(H1663,[1]startdates!$A$2:$A$10,[1]startdates!$B$2:$B$10)</f>
        <v>C</v>
      </c>
      <c r="H1663">
        <v>8</v>
      </c>
      <c r="N1663" s="7">
        <v>222</v>
      </c>
      <c r="O1663" s="7">
        <v>182</v>
      </c>
    </row>
    <row r="1664" spans="1:16" x14ac:dyDescent="0.2">
      <c r="A1664">
        <v>1663</v>
      </c>
      <c r="B1664" s="1">
        <v>40767</v>
      </c>
      <c r="C1664" t="s">
        <v>28</v>
      </c>
      <c r="D1664" s="7">
        <v>30</v>
      </c>
      <c r="E1664" s="7">
        <v>5</v>
      </c>
      <c r="F1664" s="7">
        <f t="shared" si="26"/>
        <v>6</v>
      </c>
      <c r="G1664" s="7" t="str">
        <f>LOOKUP(H1664,[1]startdates!$A$2:$A$10,[1]startdates!$B$2:$B$10)</f>
        <v>C</v>
      </c>
      <c r="H1664">
        <v>8</v>
      </c>
      <c r="N1664" s="7">
        <v>273</v>
      </c>
      <c r="O1664" s="7">
        <v>186</v>
      </c>
    </row>
    <row r="1665" spans="1:18" x14ac:dyDescent="0.2">
      <c r="A1665">
        <v>1664</v>
      </c>
      <c r="B1665" s="1">
        <v>40767</v>
      </c>
      <c r="C1665" t="s">
        <v>28</v>
      </c>
      <c r="D1665" s="7">
        <v>30</v>
      </c>
      <c r="E1665" s="7">
        <v>5</v>
      </c>
      <c r="F1665" s="7">
        <f t="shared" si="26"/>
        <v>6</v>
      </c>
      <c r="G1665" s="7" t="str">
        <f>LOOKUP(H1665,[1]startdates!$A$2:$A$10,[1]startdates!$B$2:$B$10)</f>
        <v>FMr</v>
      </c>
      <c r="H1665">
        <v>9</v>
      </c>
      <c r="I1665" s="7">
        <v>829</v>
      </c>
      <c r="K1665" s="7">
        <v>614</v>
      </c>
      <c r="L1665" s="7">
        <v>501</v>
      </c>
      <c r="M1665" s="7">
        <v>404</v>
      </c>
      <c r="N1665" s="7">
        <v>207</v>
      </c>
      <c r="O1665" s="7">
        <v>172</v>
      </c>
      <c r="Q1665" s="7">
        <v>417</v>
      </c>
    </row>
    <row r="1666" spans="1:18" x14ac:dyDescent="0.2">
      <c r="A1666">
        <v>1665</v>
      </c>
      <c r="B1666" s="1">
        <v>40767</v>
      </c>
      <c r="C1666" t="s">
        <v>28</v>
      </c>
      <c r="D1666" s="7">
        <v>30</v>
      </c>
      <c r="E1666" s="7">
        <v>5</v>
      </c>
      <c r="F1666" s="7">
        <f t="shared" si="26"/>
        <v>6</v>
      </c>
      <c r="G1666" s="7" t="str">
        <f>LOOKUP(H1666,[1]startdates!$A$2:$A$10,[1]startdates!$B$2:$B$10)</f>
        <v>FMr</v>
      </c>
      <c r="H1666">
        <v>9</v>
      </c>
      <c r="I1666" s="7">
        <v>754</v>
      </c>
      <c r="K1666" s="7">
        <v>521</v>
      </c>
      <c r="L1666" s="7">
        <v>490</v>
      </c>
      <c r="M1666" s="7">
        <v>408</v>
      </c>
      <c r="N1666" s="7">
        <v>201</v>
      </c>
      <c r="O1666" s="7">
        <v>162</v>
      </c>
      <c r="Q1666" s="7">
        <v>422</v>
      </c>
    </row>
    <row r="1667" spans="1:18" x14ac:dyDescent="0.2">
      <c r="A1667">
        <v>1666</v>
      </c>
      <c r="B1667" s="1">
        <v>40767</v>
      </c>
      <c r="C1667" t="s">
        <v>28</v>
      </c>
      <c r="D1667" s="7">
        <v>30</v>
      </c>
      <c r="E1667" s="7">
        <v>5</v>
      </c>
      <c r="F1667" s="7">
        <f t="shared" si="26"/>
        <v>6</v>
      </c>
      <c r="G1667" s="7" t="str">
        <f>LOOKUP(H1667,[1]startdates!$A$2:$A$10,[1]startdates!$B$2:$B$10)</f>
        <v>FMr</v>
      </c>
      <c r="H1667">
        <v>9</v>
      </c>
      <c r="I1667" s="7">
        <v>869</v>
      </c>
      <c r="K1667" s="7">
        <v>636</v>
      </c>
      <c r="M1667" s="7">
        <v>379</v>
      </c>
      <c r="N1667" s="7">
        <v>193</v>
      </c>
      <c r="O1667" s="7">
        <v>173</v>
      </c>
    </row>
    <row r="1668" spans="1:18" x14ac:dyDescent="0.2">
      <c r="A1668">
        <v>1667</v>
      </c>
      <c r="B1668" s="1">
        <v>40767</v>
      </c>
      <c r="C1668" t="s">
        <v>28</v>
      </c>
      <c r="D1668" s="7">
        <v>30</v>
      </c>
      <c r="E1668" s="7">
        <v>5</v>
      </c>
      <c r="F1668" s="7">
        <f t="shared" si="26"/>
        <v>6</v>
      </c>
      <c r="G1668" s="7" t="str">
        <f>LOOKUP(H1668,[1]startdates!$A$2:$A$10,[1]startdates!$B$2:$B$10)</f>
        <v>FMr</v>
      </c>
      <c r="H1668">
        <v>9</v>
      </c>
      <c r="I1668" s="7">
        <v>812</v>
      </c>
      <c r="K1668" s="7">
        <v>563</v>
      </c>
      <c r="M1668" s="7">
        <v>303</v>
      </c>
      <c r="N1668" s="7">
        <v>204</v>
      </c>
      <c r="O1668" s="7">
        <v>158</v>
      </c>
    </row>
    <row r="1669" spans="1:18" x14ac:dyDescent="0.2">
      <c r="A1669">
        <v>1668</v>
      </c>
      <c r="B1669" s="1">
        <v>40767</v>
      </c>
      <c r="C1669" t="s">
        <v>28</v>
      </c>
      <c r="D1669" s="7">
        <v>30</v>
      </c>
      <c r="E1669" s="7">
        <v>5</v>
      </c>
      <c r="F1669" s="7">
        <f t="shared" si="26"/>
        <v>6</v>
      </c>
      <c r="G1669" s="7" t="str">
        <f>LOOKUP(H1669,[1]startdates!$A$2:$A$10,[1]startdates!$B$2:$B$10)</f>
        <v>FMr</v>
      </c>
      <c r="H1669">
        <v>9</v>
      </c>
      <c r="I1669" s="7">
        <v>884</v>
      </c>
      <c r="M1669" s="7">
        <v>371</v>
      </c>
      <c r="N1669" s="7">
        <v>273</v>
      </c>
      <c r="O1669" s="7">
        <v>143</v>
      </c>
    </row>
    <row r="1670" spans="1:18" x14ac:dyDescent="0.2">
      <c r="A1670">
        <v>1669</v>
      </c>
      <c r="B1670" s="1">
        <v>40767</v>
      </c>
      <c r="C1670" t="s">
        <v>28</v>
      </c>
      <c r="D1670" s="7">
        <v>30</v>
      </c>
      <c r="E1670" s="7">
        <v>5</v>
      </c>
      <c r="F1670" s="7">
        <f t="shared" si="26"/>
        <v>6</v>
      </c>
      <c r="G1670" s="7" t="str">
        <f>LOOKUP(H1670,[1]startdates!$A$2:$A$10,[1]startdates!$B$2:$B$10)</f>
        <v>FMr</v>
      </c>
      <c r="H1670">
        <v>9</v>
      </c>
      <c r="I1670" s="7">
        <v>775</v>
      </c>
      <c r="M1670" s="7">
        <v>380</v>
      </c>
      <c r="N1670" s="7">
        <v>222</v>
      </c>
      <c r="O1670" s="7">
        <v>191</v>
      </c>
    </row>
    <row r="1671" spans="1:18" x14ac:dyDescent="0.2">
      <c r="A1671">
        <v>1670</v>
      </c>
      <c r="B1671" s="1">
        <v>40767</v>
      </c>
      <c r="C1671" t="s">
        <v>28</v>
      </c>
      <c r="D1671" s="7">
        <v>30</v>
      </c>
      <c r="E1671" s="7">
        <v>5</v>
      </c>
      <c r="F1671" s="7">
        <f t="shared" si="26"/>
        <v>6</v>
      </c>
      <c r="G1671" s="7" t="str">
        <f>LOOKUP(H1671,[1]startdates!$A$2:$A$10,[1]startdates!$B$2:$B$10)</f>
        <v>FMr</v>
      </c>
      <c r="H1671">
        <v>9</v>
      </c>
      <c r="I1671" s="7">
        <v>748</v>
      </c>
      <c r="M1671" s="7">
        <v>323</v>
      </c>
      <c r="N1671" s="7">
        <v>218</v>
      </c>
      <c r="O1671" s="7">
        <v>149</v>
      </c>
    </row>
    <row r="1672" spans="1:18" x14ac:dyDescent="0.2">
      <c r="A1672">
        <v>1671</v>
      </c>
      <c r="B1672" s="1">
        <v>40767</v>
      </c>
      <c r="C1672" t="s">
        <v>28</v>
      </c>
      <c r="D1672" s="7">
        <v>30</v>
      </c>
      <c r="E1672" s="7">
        <v>5</v>
      </c>
      <c r="F1672" s="7">
        <f t="shared" si="26"/>
        <v>6</v>
      </c>
      <c r="G1672" s="7" t="str">
        <f>LOOKUP(H1672,[1]startdates!$A$2:$A$10,[1]startdates!$B$2:$B$10)</f>
        <v>FMr</v>
      </c>
      <c r="H1672">
        <v>9</v>
      </c>
      <c r="M1672" s="7">
        <v>366</v>
      </c>
      <c r="N1672" s="7">
        <v>266</v>
      </c>
      <c r="O1672" s="7">
        <v>162</v>
      </c>
    </row>
    <row r="1673" spans="1:18" x14ac:dyDescent="0.2">
      <c r="A1673">
        <v>1672</v>
      </c>
      <c r="B1673" s="1">
        <v>40767</v>
      </c>
      <c r="C1673" t="s">
        <v>28</v>
      </c>
      <c r="D1673" s="7">
        <v>30</v>
      </c>
      <c r="E1673" s="7">
        <v>5</v>
      </c>
      <c r="F1673" s="7">
        <f t="shared" si="26"/>
        <v>6</v>
      </c>
      <c r="G1673" s="7" t="str">
        <f>LOOKUP(H1673,[1]startdates!$A$2:$A$10,[1]startdates!$B$2:$B$10)</f>
        <v>FMr</v>
      </c>
      <c r="H1673">
        <v>9</v>
      </c>
      <c r="N1673" s="7">
        <v>224</v>
      </c>
      <c r="O1673" s="7">
        <v>163</v>
      </c>
    </row>
    <row r="1674" spans="1:18" x14ac:dyDescent="0.2">
      <c r="A1674">
        <v>1673</v>
      </c>
      <c r="B1674" s="1">
        <v>40767</v>
      </c>
      <c r="C1674" t="s">
        <v>28</v>
      </c>
      <c r="D1674" s="7">
        <v>30</v>
      </c>
      <c r="E1674" s="7">
        <v>5</v>
      </c>
      <c r="F1674" s="7">
        <f t="shared" si="26"/>
        <v>6</v>
      </c>
      <c r="G1674" s="7" t="str">
        <f>LOOKUP(H1674,[1]startdates!$A$2:$A$10,[1]startdates!$B$2:$B$10)</f>
        <v>FMr</v>
      </c>
      <c r="H1674">
        <v>9</v>
      </c>
      <c r="O1674" s="7">
        <v>168</v>
      </c>
    </row>
    <row r="1675" spans="1:18" x14ac:dyDescent="0.2">
      <c r="A1675">
        <v>1674</v>
      </c>
      <c r="B1675" s="1">
        <v>40767</v>
      </c>
      <c r="C1675" t="s">
        <v>28</v>
      </c>
      <c r="D1675" s="7">
        <v>30</v>
      </c>
      <c r="E1675" s="7">
        <v>5</v>
      </c>
      <c r="F1675" s="7">
        <f t="shared" si="26"/>
        <v>6</v>
      </c>
      <c r="G1675" s="7" t="str">
        <f>LOOKUP(H1675,[1]startdates!$A$2:$A$10,[1]startdates!$B$2:$B$10)</f>
        <v>FMr</v>
      </c>
      <c r="H1675">
        <v>9</v>
      </c>
      <c r="O1675" s="7">
        <v>170</v>
      </c>
    </row>
    <row r="1676" spans="1:18" x14ac:dyDescent="0.2">
      <c r="A1676">
        <v>1675</v>
      </c>
      <c r="B1676" s="1">
        <v>40770</v>
      </c>
      <c r="C1676" t="s">
        <v>28</v>
      </c>
      <c r="D1676" s="7">
        <v>33</v>
      </c>
      <c r="E1676" s="7">
        <v>6</v>
      </c>
      <c r="F1676" s="7">
        <f t="shared" si="26"/>
        <v>2</v>
      </c>
      <c r="G1676" s="7" t="str">
        <f>LOOKUP(H1676,[1]startdates!$A$2:$A$10,[1]startdates!$B$2:$B$10)</f>
        <v>SMr</v>
      </c>
      <c r="H1676">
        <v>1</v>
      </c>
      <c r="I1676" s="7">
        <v>785</v>
      </c>
      <c r="K1676" s="7">
        <v>537</v>
      </c>
      <c r="L1676" s="7">
        <v>431</v>
      </c>
      <c r="M1676" s="7">
        <v>370</v>
      </c>
      <c r="N1676" s="7">
        <v>240</v>
      </c>
      <c r="O1676" s="7">
        <v>161</v>
      </c>
      <c r="P1676" s="7">
        <v>499</v>
      </c>
      <c r="Q1676" s="7">
        <v>338</v>
      </c>
      <c r="R1676" s="7">
        <v>247</v>
      </c>
    </row>
    <row r="1677" spans="1:18" x14ac:dyDescent="0.2">
      <c r="A1677">
        <v>1676</v>
      </c>
      <c r="B1677" s="1">
        <v>40770</v>
      </c>
      <c r="C1677" t="s">
        <v>28</v>
      </c>
      <c r="D1677" s="7">
        <v>33</v>
      </c>
      <c r="E1677" s="7">
        <v>6</v>
      </c>
      <c r="F1677" s="7">
        <f t="shared" si="26"/>
        <v>2</v>
      </c>
      <c r="G1677" s="7" t="str">
        <f>LOOKUP(H1677,[1]startdates!$A$2:$A$10,[1]startdates!$B$2:$B$10)</f>
        <v>SMr</v>
      </c>
      <c r="H1677">
        <v>1</v>
      </c>
      <c r="I1677" s="7">
        <v>809</v>
      </c>
      <c r="K1677" s="7">
        <v>500</v>
      </c>
      <c r="L1677" s="7">
        <v>412</v>
      </c>
      <c r="M1677" s="7">
        <v>346</v>
      </c>
      <c r="N1677" s="7">
        <v>198</v>
      </c>
      <c r="O1677" s="7">
        <v>178</v>
      </c>
      <c r="P1677" s="7">
        <v>541</v>
      </c>
      <c r="Q1677" s="7">
        <v>428</v>
      </c>
      <c r="R1677" s="7">
        <v>277</v>
      </c>
    </row>
    <row r="1678" spans="1:18" x14ac:dyDescent="0.2">
      <c r="A1678">
        <v>1677</v>
      </c>
      <c r="B1678" s="1">
        <v>40770</v>
      </c>
      <c r="C1678" t="s">
        <v>28</v>
      </c>
      <c r="D1678" s="7">
        <v>33</v>
      </c>
      <c r="E1678" s="7">
        <v>6</v>
      </c>
      <c r="F1678" s="7">
        <f t="shared" si="26"/>
        <v>2</v>
      </c>
      <c r="G1678" s="7" t="str">
        <f>LOOKUP(H1678,[1]startdates!$A$2:$A$10,[1]startdates!$B$2:$B$10)</f>
        <v>SMr</v>
      </c>
      <c r="H1678">
        <v>1</v>
      </c>
      <c r="I1678" s="7">
        <v>655</v>
      </c>
      <c r="K1678" s="7">
        <v>537</v>
      </c>
      <c r="M1678" s="7">
        <v>313</v>
      </c>
      <c r="N1678" s="7">
        <v>186</v>
      </c>
      <c r="O1678" s="7">
        <v>168</v>
      </c>
    </row>
    <row r="1679" spans="1:18" x14ac:dyDescent="0.2">
      <c r="A1679">
        <v>1678</v>
      </c>
      <c r="B1679" s="1">
        <v>40770</v>
      </c>
      <c r="C1679" t="s">
        <v>28</v>
      </c>
      <c r="D1679" s="7">
        <v>33</v>
      </c>
      <c r="E1679" s="7">
        <v>6</v>
      </c>
      <c r="F1679" s="7">
        <f t="shared" si="26"/>
        <v>2</v>
      </c>
      <c r="G1679" s="7" t="str">
        <f>LOOKUP(H1679,[1]startdates!$A$2:$A$10,[1]startdates!$B$2:$B$10)</f>
        <v>SMr</v>
      </c>
      <c r="H1679">
        <v>1</v>
      </c>
      <c r="I1679" s="7">
        <v>656</v>
      </c>
      <c r="K1679" s="7">
        <v>527</v>
      </c>
      <c r="M1679" s="7">
        <v>300</v>
      </c>
      <c r="N1679" s="7">
        <v>265</v>
      </c>
      <c r="O1679" s="7">
        <v>158</v>
      </c>
    </row>
    <row r="1680" spans="1:18" x14ac:dyDescent="0.2">
      <c r="A1680">
        <v>1679</v>
      </c>
      <c r="B1680" s="1">
        <v>40770</v>
      </c>
      <c r="C1680" t="s">
        <v>28</v>
      </c>
      <c r="D1680" s="7">
        <v>33</v>
      </c>
      <c r="E1680" s="7">
        <v>6</v>
      </c>
      <c r="F1680" s="7">
        <f t="shared" si="26"/>
        <v>2</v>
      </c>
      <c r="G1680" s="7" t="str">
        <f>LOOKUP(H1680,[1]startdates!$A$2:$A$10,[1]startdates!$B$2:$B$10)</f>
        <v>SMr</v>
      </c>
      <c r="H1680">
        <v>1</v>
      </c>
      <c r="I1680" s="7">
        <v>784</v>
      </c>
      <c r="K1680" s="7">
        <v>590</v>
      </c>
      <c r="M1680" s="7">
        <v>364</v>
      </c>
      <c r="N1680" s="7">
        <v>243</v>
      </c>
      <c r="O1680" s="7">
        <v>177</v>
      </c>
    </row>
    <row r="1681" spans="1:17" x14ac:dyDescent="0.2">
      <c r="A1681">
        <v>1680</v>
      </c>
      <c r="B1681" s="1">
        <v>40770</v>
      </c>
      <c r="C1681" t="s">
        <v>28</v>
      </c>
      <c r="D1681" s="7">
        <v>33</v>
      </c>
      <c r="E1681" s="7">
        <v>6</v>
      </c>
      <c r="F1681" s="7">
        <f t="shared" si="26"/>
        <v>2</v>
      </c>
      <c r="G1681" s="7" t="str">
        <f>LOOKUP(H1681,[1]startdates!$A$2:$A$10,[1]startdates!$B$2:$B$10)</f>
        <v>SMr</v>
      </c>
      <c r="H1681">
        <v>1</v>
      </c>
      <c r="I1681" s="7">
        <v>687</v>
      </c>
      <c r="M1681" s="7">
        <v>308</v>
      </c>
      <c r="N1681" s="7">
        <v>195</v>
      </c>
      <c r="O1681" s="7">
        <v>195</v>
      </c>
    </row>
    <row r="1682" spans="1:17" x14ac:dyDescent="0.2">
      <c r="A1682">
        <v>1681</v>
      </c>
      <c r="B1682" s="1">
        <v>40770</v>
      </c>
      <c r="C1682" t="s">
        <v>28</v>
      </c>
      <c r="D1682" s="7">
        <v>33</v>
      </c>
      <c r="E1682" s="7">
        <v>6</v>
      </c>
      <c r="F1682" s="7">
        <f t="shared" si="26"/>
        <v>2</v>
      </c>
      <c r="G1682" s="7" t="str">
        <f>LOOKUP(H1682,[1]startdates!$A$2:$A$10,[1]startdates!$B$2:$B$10)</f>
        <v>SMr</v>
      </c>
      <c r="H1682">
        <v>1</v>
      </c>
      <c r="I1682" s="7">
        <v>573</v>
      </c>
      <c r="M1682" s="7">
        <v>364</v>
      </c>
      <c r="N1682" s="7">
        <v>191</v>
      </c>
      <c r="O1682" s="7">
        <v>170</v>
      </c>
    </row>
    <row r="1683" spans="1:17" x14ac:dyDescent="0.2">
      <c r="A1683">
        <v>1682</v>
      </c>
      <c r="B1683" s="1">
        <v>40770</v>
      </c>
      <c r="C1683" t="s">
        <v>28</v>
      </c>
      <c r="D1683" s="7">
        <v>33</v>
      </c>
      <c r="E1683" s="7">
        <v>6</v>
      </c>
      <c r="F1683" s="7">
        <f t="shared" si="26"/>
        <v>2</v>
      </c>
      <c r="G1683" s="7" t="str">
        <f>LOOKUP(H1683,[1]startdates!$A$2:$A$10,[1]startdates!$B$2:$B$10)</f>
        <v>SMr</v>
      </c>
      <c r="H1683">
        <v>1</v>
      </c>
      <c r="I1683" s="7">
        <v>646</v>
      </c>
      <c r="M1683" s="7">
        <v>392</v>
      </c>
      <c r="N1683" s="7">
        <v>234</v>
      </c>
      <c r="O1683" s="7">
        <v>170</v>
      </c>
    </row>
    <row r="1684" spans="1:17" x14ac:dyDescent="0.2">
      <c r="A1684">
        <v>1683</v>
      </c>
      <c r="B1684" s="1">
        <v>40770</v>
      </c>
      <c r="C1684" t="s">
        <v>28</v>
      </c>
      <c r="D1684" s="7">
        <v>33</v>
      </c>
      <c r="E1684" s="7">
        <v>6</v>
      </c>
      <c r="F1684" s="7">
        <f t="shared" si="26"/>
        <v>2</v>
      </c>
      <c r="G1684" s="7" t="str">
        <f>LOOKUP(H1684,[1]startdates!$A$2:$A$10,[1]startdates!$B$2:$B$10)</f>
        <v>SMr</v>
      </c>
      <c r="H1684">
        <v>1</v>
      </c>
      <c r="N1684" s="7">
        <v>228</v>
      </c>
      <c r="O1684" s="7">
        <v>174</v>
      </c>
    </row>
    <row r="1685" spans="1:17" x14ac:dyDescent="0.2">
      <c r="A1685">
        <v>1684</v>
      </c>
      <c r="B1685" s="1">
        <v>40770</v>
      </c>
      <c r="C1685" t="s">
        <v>28</v>
      </c>
      <c r="D1685" s="7">
        <v>33</v>
      </c>
      <c r="E1685" s="7">
        <v>6</v>
      </c>
      <c r="F1685" s="7">
        <f t="shared" si="26"/>
        <v>2</v>
      </c>
      <c r="G1685" s="7" t="str">
        <f>LOOKUP(H1685,[1]startdates!$A$2:$A$10,[1]startdates!$B$2:$B$10)</f>
        <v>SMr</v>
      </c>
      <c r="H1685">
        <v>1</v>
      </c>
      <c r="N1685" s="7">
        <v>250</v>
      </c>
      <c r="O1685" s="7">
        <v>174</v>
      </c>
    </row>
    <row r="1686" spans="1:17" x14ac:dyDescent="0.2">
      <c r="A1686">
        <v>1685</v>
      </c>
      <c r="B1686" s="1">
        <v>40770</v>
      </c>
      <c r="C1686" t="s">
        <v>28</v>
      </c>
      <c r="D1686" s="7">
        <v>33</v>
      </c>
      <c r="E1686" s="7">
        <v>6</v>
      </c>
      <c r="F1686" s="7">
        <f t="shared" si="26"/>
        <v>2</v>
      </c>
      <c r="G1686" s="7" t="str">
        <f>LOOKUP(H1686,[1]startdates!$A$2:$A$10,[1]startdates!$B$2:$B$10)</f>
        <v>SMr</v>
      </c>
      <c r="H1686">
        <v>2</v>
      </c>
      <c r="I1686" s="7">
        <v>717</v>
      </c>
      <c r="J1686" s="7">
        <v>635</v>
      </c>
      <c r="K1686" s="7">
        <v>604</v>
      </c>
      <c r="L1686" s="7">
        <v>405</v>
      </c>
      <c r="M1686" s="7">
        <v>349</v>
      </c>
      <c r="N1686" s="7">
        <v>201</v>
      </c>
      <c r="O1686" s="7">
        <v>186</v>
      </c>
      <c r="P1686" s="7">
        <v>468</v>
      </c>
      <c r="Q1686" s="7">
        <v>418</v>
      </c>
    </row>
    <row r="1687" spans="1:17" x14ac:dyDescent="0.2">
      <c r="A1687">
        <v>1686</v>
      </c>
      <c r="B1687" s="1">
        <v>40770</v>
      </c>
      <c r="C1687" t="s">
        <v>28</v>
      </c>
      <c r="D1687" s="7">
        <v>33</v>
      </c>
      <c r="E1687" s="7">
        <v>6</v>
      </c>
      <c r="F1687" s="7">
        <f t="shared" si="26"/>
        <v>2</v>
      </c>
      <c r="G1687" s="7" t="str">
        <f>LOOKUP(H1687,[1]startdates!$A$2:$A$10,[1]startdates!$B$2:$B$10)</f>
        <v>SMr</v>
      </c>
      <c r="H1687">
        <v>2</v>
      </c>
      <c r="I1687" s="7">
        <v>817</v>
      </c>
      <c r="K1687" s="7">
        <v>644</v>
      </c>
      <c r="M1687" s="7">
        <v>295</v>
      </c>
      <c r="N1687" s="7">
        <v>195</v>
      </c>
      <c r="O1687" s="7">
        <v>142</v>
      </c>
      <c r="P1687" s="7">
        <v>548</v>
      </c>
    </row>
    <row r="1688" spans="1:17" x14ac:dyDescent="0.2">
      <c r="A1688">
        <v>1687</v>
      </c>
      <c r="B1688" s="1">
        <v>40770</v>
      </c>
      <c r="C1688" t="s">
        <v>28</v>
      </c>
      <c r="D1688" s="7">
        <v>33</v>
      </c>
      <c r="E1688" s="7">
        <v>6</v>
      </c>
      <c r="F1688" s="7">
        <f t="shared" si="26"/>
        <v>2</v>
      </c>
      <c r="G1688" s="7" t="str">
        <f>LOOKUP(H1688,[1]startdates!$A$2:$A$10,[1]startdates!$B$2:$B$10)</f>
        <v>SMr</v>
      </c>
      <c r="H1688">
        <v>2</v>
      </c>
      <c r="I1688" s="7">
        <v>771</v>
      </c>
      <c r="K1688" s="7">
        <v>580</v>
      </c>
      <c r="M1688" s="7">
        <v>295</v>
      </c>
      <c r="N1688" s="7">
        <v>224</v>
      </c>
      <c r="O1688" s="7">
        <v>163</v>
      </c>
      <c r="P1688" s="7">
        <v>552</v>
      </c>
    </row>
    <row r="1689" spans="1:17" x14ac:dyDescent="0.2">
      <c r="A1689">
        <v>1688</v>
      </c>
      <c r="B1689" s="1">
        <v>40770</v>
      </c>
      <c r="C1689" t="s">
        <v>28</v>
      </c>
      <c r="D1689" s="7">
        <v>33</v>
      </c>
      <c r="E1689" s="7">
        <v>6</v>
      </c>
      <c r="F1689" s="7">
        <f t="shared" si="26"/>
        <v>2</v>
      </c>
      <c r="G1689" s="7" t="str">
        <f>LOOKUP(H1689,[1]startdates!$A$2:$A$10,[1]startdates!$B$2:$B$10)</f>
        <v>SMr</v>
      </c>
      <c r="H1689">
        <v>2</v>
      </c>
      <c r="I1689" s="7">
        <v>778</v>
      </c>
      <c r="K1689" s="7">
        <v>614</v>
      </c>
      <c r="M1689" s="7">
        <v>295</v>
      </c>
      <c r="N1689" s="7">
        <v>224</v>
      </c>
      <c r="O1689" s="7">
        <v>165</v>
      </c>
    </row>
    <row r="1690" spans="1:17" x14ac:dyDescent="0.2">
      <c r="A1690">
        <v>1689</v>
      </c>
      <c r="B1690" s="1">
        <v>40770</v>
      </c>
      <c r="C1690" t="s">
        <v>28</v>
      </c>
      <c r="D1690" s="7">
        <v>33</v>
      </c>
      <c r="E1690" s="7">
        <v>6</v>
      </c>
      <c r="F1690" s="7">
        <f t="shared" si="26"/>
        <v>2</v>
      </c>
      <c r="G1690" s="7" t="str">
        <f>LOOKUP(H1690,[1]startdates!$A$2:$A$10,[1]startdates!$B$2:$B$10)</f>
        <v>SMr</v>
      </c>
      <c r="H1690">
        <v>2</v>
      </c>
      <c r="I1690" s="7">
        <v>598</v>
      </c>
      <c r="K1690" s="7">
        <v>570</v>
      </c>
      <c r="M1690" s="7">
        <v>298</v>
      </c>
      <c r="N1690" s="7">
        <v>263</v>
      </c>
      <c r="O1690" s="7">
        <v>161</v>
      </c>
    </row>
    <row r="1691" spans="1:17" x14ac:dyDescent="0.2">
      <c r="A1691">
        <v>1690</v>
      </c>
      <c r="B1691" s="1">
        <v>40770</v>
      </c>
      <c r="C1691" t="s">
        <v>28</v>
      </c>
      <c r="D1691" s="7">
        <v>33</v>
      </c>
      <c r="E1691" s="7">
        <v>6</v>
      </c>
      <c r="F1691" s="7">
        <f t="shared" si="26"/>
        <v>2</v>
      </c>
      <c r="G1691" s="7" t="str">
        <f>LOOKUP(H1691,[1]startdates!$A$2:$A$10,[1]startdates!$B$2:$B$10)</f>
        <v>SMr</v>
      </c>
      <c r="H1691">
        <v>2</v>
      </c>
      <c r="I1691" s="7">
        <v>594</v>
      </c>
      <c r="M1691" s="7">
        <v>302</v>
      </c>
      <c r="N1691" s="7">
        <v>273</v>
      </c>
      <c r="O1691" s="7">
        <v>172</v>
      </c>
    </row>
    <row r="1692" spans="1:17" x14ac:dyDescent="0.2">
      <c r="A1692">
        <v>1691</v>
      </c>
      <c r="B1692" s="1">
        <v>40770</v>
      </c>
      <c r="C1692" t="s">
        <v>28</v>
      </c>
      <c r="D1692" s="7">
        <v>33</v>
      </c>
      <c r="E1692" s="7">
        <v>6</v>
      </c>
      <c r="F1692" s="7">
        <f t="shared" si="26"/>
        <v>2</v>
      </c>
      <c r="G1692" s="7" t="str">
        <f>LOOKUP(H1692,[1]startdates!$A$2:$A$10,[1]startdates!$B$2:$B$10)</f>
        <v>SMr</v>
      </c>
      <c r="H1692">
        <v>2</v>
      </c>
      <c r="I1692" s="7">
        <v>736</v>
      </c>
      <c r="M1692" s="7">
        <v>368</v>
      </c>
      <c r="N1692" s="7">
        <v>219</v>
      </c>
      <c r="O1692" s="7">
        <v>178</v>
      </c>
    </row>
    <row r="1693" spans="1:17" x14ac:dyDescent="0.2">
      <c r="A1693">
        <v>1692</v>
      </c>
      <c r="B1693" s="1">
        <v>40770</v>
      </c>
      <c r="C1693" t="s">
        <v>28</v>
      </c>
      <c r="D1693" s="7">
        <v>33</v>
      </c>
      <c r="E1693" s="7">
        <v>6</v>
      </c>
      <c r="F1693" s="7">
        <f t="shared" si="26"/>
        <v>2</v>
      </c>
      <c r="G1693" s="7" t="str">
        <f>LOOKUP(H1693,[1]startdates!$A$2:$A$10,[1]startdates!$B$2:$B$10)</f>
        <v>SMr</v>
      </c>
      <c r="H1693">
        <v>2</v>
      </c>
      <c r="N1693" s="7">
        <v>202</v>
      </c>
      <c r="O1693" s="7">
        <v>171</v>
      </c>
    </row>
    <row r="1694" spans="1:17" x14ac:dyDescent="0.2">
      <c r="A1694">
        <v>1693</v>
      </c>
      <c r="B1694" s="1">
        <v>40770</v>
      </c>
      <c r="C1694" t="s">
        <v>28</v>
      </c>
      <c r="D1694" s="7">
        <v>33</v>
      </c>
      <c r="E1694" s="7">
        <v>6</v>
      </c>
      <c r="F1694" s="7">
        <f t="shared" si="26"/>
        <v>2</v>
      </c>
      <c r="G1694" s="7" t="str">
        <f>LOOKUP(H1694,[1]startdates!$A$2:$A$10,[1]startdates!$B$2:$B$10)</f>
        <v>SMr</v>
      </c>
      <c r="H1694">
        <v>2</v>
      </c>
      <c r="N1694" s="7">
        <v>246</v>
      </c>
      <c r="O1694" s="7">
        <v>175</v>
      </c>
    </row>
    <row r="1695" spans="1:17" x14ac:dyDescent="0.2">
      <c r="A1695">
        <v>1694</v>
      </c>
      <c r="B1695" s="1">
        <v>40770</v>
      </c>
      <c r="C1695" t="s">
        <v>28</v>
      </c>
      <c r="D1695" s="7">
        <v>33</v>
      </c>
      <c r="E1695" s="7">
        <v>6</v>
      </c>
      <c r="F1695" s="7">
        <f t="shared" si="26"/>
        <v>2</v>
      </c>
      <c r="G1695" s="7" t="str">
        <f>LOOKUP(H1695,[1]startdates!$A$2:$A$10,[1]startdates!$B$2:$B$10)</f>
        <v>SMr</v>
      </c>
      <c r="H1695">
        <v>2</v>
      </c>
      <c r="N1695" s="7">
        <v>248</v>
      </c>
      <c r="O1695" s="7">
        <v>162</v>
      </c>
    </row>
    <row r="1696" spans="1:17" x14ac:dyDescent="0.2">
      <c r="A1696">
        <v>1695</v>
      </c>
      <c r="B1696" s="1">
        <v>40770</v>
      </c>
      <c r="C1696" t="s">
        <v>28</v>
      </c>
      <c r="D1696" s="7">
        <v>33</v>
      </c>
      <c r="E1696" s="7">
        <v>6</v>
      </c>
      <c r="F1696" s="7">
        <f t="shared" si="26"/>
        <v>2</v>
      </c>
      <c r="G1696" s="7" t="str">
        <f>LOOKUP(H1696,[1]startdates!$A$2:$A$10,[1]startdates!$B$2:$B$10)</f>
        <v>SMr</v>
      </c>
      <c r="H1696">
        <v>2</v>
      </c>
      <c r="N1696" s="7">
        <v>251</v>
      </c>
    </row>
    <row r="1697" spans="1:18" x14ac:dyDescent="0.2">
      <c r="A1697">
        <v>1696</v>
      </c>
      <c r="B1697" s="1">
        <v>40770</v>
      </c>
      <c r="C1697" t="s">
        <v>28</v>
      </c>
      <c r="D1697" s="7">
        <v>33</v>
      </c>
      <c r="E1697" s="7">
        <v>6</v>
      </c>
      <c r="F1697" s="7">
        <f t="shared" si="26"/>
        <v>2</v>
      </c>
      <c r="G1697" s="7" t="str">
        <f>LOOKUP(H1697,[1]startdates!$A$2:$A$10,[1]startdates!$B$2:$B$10)</f>
        <v>C</v>
      </c>
      <c r="H1697">
        <v>3</v>
      </c>
      <c r="I1697" s="7">
        <v>857</v>
      </c>
      <c r="J1697" s="7">
        <v>623</v>
      </c>
      <c r="K1697" s="7">
        <v>580</v>
      </c>
      <c r="L1697" s="7">
        <v>391</v>
      </c>
      <c r="M1697" s="7">
        <v>373</v>
      </c>
      <c r="N1697" s="7">
        <v>208</v>
      </c>
      <c r="O1697" s="7">
        <v>149</v>
      </c>
      <c r="Q1697" s="7">
        <v>368</v>
      </c>
      <c r="R1697" s="7">
        <v>236</v>
      </c>
    </row>
    <row r="1698" spans="1:18" x14ac:dyDescent="0.2">
      <c r="A1698">
        <v>1697</v>
      </c>
      <c r="B1698" s="1">
        <v>40770</v>
      </c>
      <c r="C1698" t="s">
        <v>28</v>
      </c>
      <c r="D1698" s="7">
        <v>33</v>
      </c>
      <c r="E1698" s="7">
        <v>6</v>
      </c>
      <c r="F1698" s="7">
        <f t="shared" si="26"/>
        <v>2</v>
      </c>
      <c r="G1698" s="7" t="str">
        <f>LOOKUP(H1698,[1]startdates!$A$2:$A$10,[1]startdates!$B$2:$B$10)</f>
        <v>C</v>
      </c>
      <c r="H1698">
        <v>3</v>
      </c>
      <c r="I1698" s="7">
        <v>742</v>
      </c>
      <c r="K1698" s="7">
        <v>552</v>
      </c>
      <c r="M1698" s="7">
        <v>387</v>
      </c>
      <c r="N1698" s="7">
        <v>224</v>
      </c>
      <c r="O1698" s="7">
        <v>156</v>
      </c>
      <c r="R1698" s="7">
        <v>265</v>
      </c>
    </row>
    <row r="1699" spans="1:18" x14ac:dyDescent="0.2">
      <c r="A1699">
        <v>1698</v>
      </c>
      <c r="B1699" s="1">
        <v>40770</v>
      </c>
      <c r="C1699" t="s">
        <v>28</v>
      </c>
      <c r="D1699" s="7">
        <v>33</v>
      </c>
      <c r="E1699" s="7">
        <v>6</v>
      </c>
      <c r="F1699" s="7">
        <f t="shared" si="26"/>
        <v>2</v>
      </c>
      <c r="G1699" s="7" t="str">
        <f>LOOKUP(H1699,[1]startdates!$A$2:$A$10,[1]startdates!$B$2:$B$10)</f>
        <v>C</v>
      </c>
      <c r="H1699">
        <v>3</v>
      </c>
      <c r="I1699" s="7">
        <v>814</v>
      </c>
      <c r="K1699" s="7">
        <v>596</v>
      </c>
      <c r="M1699" s="7">
        <v>309</v>
      </c>
      <c r="N1699" s="7">
        <v>268</v>
      </c>
      <c r="O1699" s="7">
        <v>167</v>
      </c>
    </row>
    <row r="1700" spans="1:18" x14ac:dyDescent="0.2">
      <c r="A1700">
        <v>1699</v>
      </c>
      <c r="B1700" s="1">
        <v>40770</v>
      </c>
      <c r="C1700" t="s">
        <v>28</v>
      </c>
      <c r="D1700" s="7">
        <v>33</v>
      </c>
      <c r="E1700" s="7">
        <v>6</v>
      </c>
      <c r="F1700" s="7">
        <f t="shared" si="26"/>
        <v>2</v>
      </c>
      <c r="G1700" s="7" t="str">
        <f>LOOKUP(H1700,[1]startdates!$A$2:$A$10,[1]startdates!$B$2:$B$10)</f>
        <v>C</v>
      </c>
      <c r="H1700">
        <v>3</v>
      </c>
      <c r="I1700" s="7">
        <v>773</v>
      </c>
      <c r="K1700" s="7">
        <v>605</v>
      </c>
      <c r="M1700" s="7">
        <v>326</v>
      </c>
      <c r="N1700" s="7">
        <v>221</v>
      </c>
      <c r="O1700" s="7">
        <v>172</v>
      </c>
    </row>
    <row r="1701" spans="1:18" x14ac:dyDescent="0.2">
      <c r="A1701">
        <v>1700</v>
      </c>
      <c r="B1701" s="1">
        <v>40770</v>
      </c>
      <c r="C1701" t="s">
        <v>28</v>
      </c>
      <c r="D1701" s="7">
        <v>33</v>
      </c>
      <c r="E1701" s="7">
        <v>6</v>
      </c>
      <c r="F1701" s="7">
        <f t="shared" si="26"/>
        <v>2</v>
      </c>
      <c r="G1701" s="7" t="str">
        <f>LOOKUP(H1701,[1]startdates!$A$2:$A$10,[1]startdates!$B$2:$B$10)</f>
        <v>C</v>
      </c>
      <c r="H1701">
        <v>3</v>
      </c>
      <c r="I1701" s="7">
        <v>801</v>
      </c>
      <c r="K1701" s="7">
        <v>641</v>
      </c>
      <c r="M1701" s="7">
        <v>370</v>
      </c>
      <c r="N1701" s="7">
        <v>215</v>
      </c>
      <c r="O1701" s="7">
        <v>142</v>
      </c>
    </row>
    <row r="1702" spans="1:18" x14ac:dyDescent="0.2">
      <c r="A1702">
        <v>1701</v>
      </c>
      <c r="B1702" s="1">
        <v>40770</v>
      </c>
      <c r="C1702" t="s">
        <v>28</v>
      </c>
      <c r="D1702" s="7">
        <v>33</v>
      </c>
      <c r="E1702" s="7">
        <v>6</v>
      </c>
      <c r="F1702" s="7">
        <f t="shared" si="26"/>
        <v>2</v>
      </c>
      <c r="G1702" s="7" t="str">
        <f>LOOKUP(H1702,[1]startdates!$A$2:$A$10,[1]startdates!$B$2:$B$10)</f>
        <v>C</v>
      </c>
      <c r="H1702">
        <v>3</v>
      </c>
      <c r="I1702" s="7">
        <v>855</v>
      </c>
      <c r="M1702" s="7">
        <v>348</v>
      </c>
      <c r="N1702" s="7">
        <v>199</v>
      </c>
      <c r="O1702" s="7">
        <v>145</v>
      </c>
    </row>
    <row r="1703" spans="1:18" x14ac:dyDescent="0.2">
      <c r="A1703">
        <v>1702</v>
      </c>
      <c r="B1703" s="1">
        <v>40770</v>
      </c>
      <c r="C1703" t="s">
        <v>28</v>
      </c>
      <c r="D1703" s="7">
        <v>33</v>
      </c>
      <c r="E1703" s="7">
        <v>6</v>
      </c>
      <c r="F1703" s="7">
        <f t="shared" si="26"/>
        <v>2</v>
      </c>
      <c r="G1703" s="7" t="str">
        <f>LOOKUP(H1703,[1]startdates!$A$2:$A$10,[1]startdates!$B$2:$B$10)</f>
        <v>C</v>
      </c>
      <c r="H1703">
        <v>3</v>
      </c>
      <c r="M1703" s="7">
        <v>368</v>
      </c>
      <c r="N1703" s="7">
        <v>177</v>
      </c>
      <c r="O1703" s="7">
        <v>177</v>
      </c>
    </row>
    <row r="1704" spans="1:18" x14ac:dyDescent="0.2">
      <c r="A1704">
        <v>1703</v>
      </c>
      <c r="B1704" s="1">
        <v>40770</v>
      </c>
      <c r="C1704" t="s">
        <v>28</v>
      </c>
      <c r="D1704" s="7">
        <v>33</v>
      </c>
      <c r="E1704" s="7">
        <v>6</v>
      </c>
      <c r="F1704" s="7">
        <f t="shared" si="26"/>
        <v>2</v>
      </c>
      <c r="G1704" s="7" t="str">
        <f>LOOKUP(H1704,[1]startdates!$A$2:$A$10,[1]startdates!$B$2:$B$10)</f>
        <v>C</v>
      </c>
      <c r="H1704">
        <v>3</v>
      </c>
      <c r="M1704" s="7">
        <v>310</v>
      </c>
      <c r="N1704" s="7">
        <v>224</v>
      </c>
      <c r="O1704" s="7">
        <v>188</v>
      </c>
    </row>
    <row r="1705" spans="1:18" x14ac:dyDescent="0.2">
      <c r="A1705">
        <v>1704</v>
      </c>
      <c r="B1705" s="1">
        <v>40770</v>
      </c>
      <c r="C1705" t="s">
        <v>28</v>
      </c>
      <c r="D1705" s="7">
        <v>33</v>
      </c>
      <c r="E1705" s="7">
        <v>6</v>
      </c>
      <c r="F1705" s="7">
        <f t="shared" ref="F1705:F1768" si="27">WEEKDAY(B1705)</f>
        <v>2</v>
      </c>
      <c r="G1705" s="7" t="str">
        <f>LOOKUP(H1705,[1]startdates!$A$2:$A$10,[1]startdates!$B$2:$B$10)</f>
        <v>C</v>
      </c>
      <c r="H1705">
        <v>3</v>
      </c>
      <c r="M1705" s="7">
        <v>376</v>
      </c>
      <c r="N1705" s="7">
        <v>204</v>
      </c>
      <c r="O1705" s="7">
        <v>168</v>
      </c>
    </row>
    <row r="1706" spans="1:18" x14ac:dyDescent="0.2">
      <c r="A1706">
        <v>1705</v>
      </c>
      <c r="B1706" s="1">
        <v>40770</v>
      </c>
      <c r="C1706" t="s">
        <v>28</v>
      </c>
      <c r="D1706" s="7">
        <v>33</v>
      </c>
      <c r="E1706" s="7">
        <v>6</v>
      </c>
      <c r="F1706" s="7">
        <f t="shared" si="27"/>
        <v>2</v>
      </c>
      <c r="G1706" s="7" t="str">
        <f>LOOKUP(H1706,[1]startdates!$A$2:$A$10,[1]startdates!$B$2:$B$10)</f>
        <v>C</v>
      </c>
      <c r="H1706">
        <v>3</v>
      </c>
      <c r="N1706" s="7">
        <v>268</v>
      </c>
      <c r="O1706" s="7">
        <v>168</v>
      </c>
    </row>
    <row r="1707" spans="1:18" x14ac:dyDescent="0.2">
      <c r="A1707">
        <v>1706</v>
      </c>
      <c r="B1707" s="1">
        <v>40770</v>
      </c>
      <c r="C1707" t="s">
        <v>28</v>
      </c>
      <c r="D1707" s="7">
        <v>33</v>
      </c>
      <c r="E1707" s="7">
        <v>6</v>
      </c>
      <c r="F1707" s="7">
        <f t="shared" si="27"/>
        <v>2</v>
      </c>
      <c r="G1707" s="7" t="str">
        <f>LOOKUP(H1707,[1]startdates!$A$2:$A$10,[1]startdates!$B$2:$B$10)</f>
        <v>SMr</v>
      </c>
      <c r="H1707">
        <v>4</v>
      </c>
      <c r="I1707" s="7">
        <v>829</v>
      </c>
      <c r="K1707" s="7">
        <v>574</v>
      </c>
      <c r="L1707" s="7">
        <v>454</v>
      </c>
      <c r="M1707" s="7">
        <v>304</v>
      </c>
      <c r="N1707" s="7">
        <v>276</v>
      </c>
      <c r="O1707" s="7">
        <v>154</v>
      </c>
      <c r="P1707" s="7">
        <v>486</v>
      </c>
      <c r="Q1707" s="7">
        <v>368</v>
      </c>
      <c r="R1707" s="7">
        <v>293</v>
      </c>
    </row>
    <row r="1708" spans="1:18" x14ac:dyDescent="0.2">
      <c r="A1708">
        <v>1707</v>
      </c>
      <c r="B1708" s="1">
        <v>40770</v>
      </c>
      <c r="C1708" t="s">
        <v>28</v>
      </c>
      <c r="D1708" s="7">
        <v>33</v>
      </c>
      <c r="E1708" s="7">
        <v>6</v>
      </c>
      <c r="F1708" s="7">
        <f t="shared" si="27"/>
        <v>2</v>
      </c>
      <c r="G1708" s="7" t="str">
        <f>LOOKUP(H1708,[1]startdates!$A$2:$A$10,[1]startdates!$B$2:$B$10)</f>
        <v>SMr</v>
      </c>
      <c r="H1708">
        <v>4</v>
      </c>
      <c r="I1708" s="7">
        <v>739</v>
      </c>
      <c r="K1708" s="7">
        <v>604</v>
      </c>
      <c r="L1708" s="7">
        <v>517</v>
      </c>
      <c r="M1708" s="7">
        <v>315</v>
      </c>
      <c r="N1708" s="7">
        <v>268</v>
      </c>
      <c r="O1708" s="7">
        <v>191</v>
      </c>
      <c r="Q1708" s="7">
        <v>340</v>
      </c>
      <c r="R1708" s="7">
        <v>248</v>
      </c>
    </row>
    <row r="1709" spans="1:18" x14ac:dyDescent="0.2">
      <c r="A1709">
        <v>1708</v>
      </c>
      <c r="B1709" s="1">
        <v>40770</v>
      </c>
      <c r="C1709" t="s">
        <v>28</v>
      </c>
      <c r="D1709" s="7">
        <v>33</v>
      </c>
      <c r="E1709" s="7">
        <v>6</v>
      </c>
      <c r="F1709" s="7">
        <f t="shared" si="27"/>
        <v>2</v>
      </c>
      <c r="G1709" s="7" t="str">
        <f>LOOKUP(H1709,[1]startdates!$A$2:$A$10,[1]startdates!$B$2:$B$10)</f>
        <v>SMr</v>
      </c>
      <c r="H1709">
        <v>4</v>
      </c>
      <c r="I1709" s="7">
        <v>739</v>
      </c>
      <c r="K1709" s="7">
        <v>582</v>
      </c>
      <c r="M1709" s="7">
        <v>296</v>
      </c>
      <c r="N1709" s="7">
        <v>214</v>
      </c>
      <c r="O1709" s="7">
        <v>162</v>
      </c>
      <c r="R1709" s="7">
        <v>240</v>
      </c>
    </row>
    <row r="1710" spans="1:18" x14ac:dyDescent="0.2">
      <c r="A1710">
        <v>1709</v>
      </c>
      <c r="B1710" s="1">
        <v>40770</v>
      </c>
      <c r="C1710" t="s">
        <v>28</v>
      </c>
      <c r="D1710" s="7">
        <v>33</v>
      </c>
      <c r="E1710" s="7">
        <v>6</v>
      </c>
      <c r="F1710" s="7">
        <f t="shared" si="27"/>
        <v>2</v>
      </c>
      <c r="G1710" s="7" t="str">
        <f>LOOKUP(H1710,[1]startdates!$A$2:$A$10,[1]startdates!$B$2:$B$10)</f>
        <v>SMr</v>
      </c>
      <c r="H1710">
        <v>4</v>
      </c>
      <c r="I1710" s="7">
        <v>693</v>
      </c>
      <c r="K1710" s="7">
        <v>530</v>
      </c>
      <c r="M1710" s="7">
        <v>352</v>
      </c>
      <c r="N1710" s="7">
        <v>215</v>
      </c>
      <c r="O1710" s="7">
        <v>188</v>
      </c>
    </row>
    <row r="1711" spans="1:18" x14ac:dyDescent="0.2">
      <c r="A1711">
        <v>1710</v>
      </c>
      <c r="B1711" s="1">
        <v>40770</v>
      </c>
      <c r="C1711" t="s">
        <v>28</v>
      </c>
      <c r="D1711" s="7">
        <v>33</v>
      </c>
      <c r="E1711" s="7">
        <v>6</v>
      </c>
      <c r="F1711" s="7">
        <f t="shared" si="27"/>
        <v>2</v>
      </c>
      <c r="G1711" s="7" t="str">
        <f>LOOKUP(H1711,[1]startdates!$A$2:$A$10,[1]startdates!$B$2:$B$10)</f>
        <v>SMr</v>
      </c>
      <c r="H1711">
        <v>4</v>
      </c>
      <c r="I1711" s="7">
        <v>817</v>
      </c>
      <c r="K1711" s="7">
        <v>629</v>
      </c>
      <c r="M1711" s="7">
        <v>323</v>
      </c>
      <c r="N1711" s="7">
        <v>214</v>
      </c>
      <c r="O1711" s="7">
        <v>170</v>
      </c>
    </row>
    <row r="1712" spans="1:18" x14ac:dyDescent="0.2">
      <c r="A1712">
        <v>1711</v>
      </c>
      <c r="B1712" s="1">
        <v>40770</v>
      </c>
      <c r="C1712" t="s">
        <v>28</v>
      </c>
      <c r="D1712" s="7">
        <v>33</v>
      </c>
      <c r="E1712" s="7">
        <v>6</v>
      </c>
      <c r="F1712" s="7">
        <f t="shared" si="27"/>
        <v>2</v>
      </c>
      <c r="G1712" s="7" t="str">
        <f>LOOKUP(H1712,[1]startdates!$A$2:$A$10,[1]startdates!$B$2:$B$10)</f>
        <v>SMr</v>
      </c>
      <c r="H1712">
        <v>4</v>
      </c>
      <c r="I1712" s="7">
        <v>793</v>
      </c>
      <c r="K1712" s="7">
        <v>589</v>
      </c>
      <c r="N1712" s="7">
        <v>238</v>
      </c>
      <c r="O1712" s="7">
        <v>172</v>
      </c>
    </row>
    <row r="1713" spans="1:18" x14ac:dyDescent="0.2">
      <c r="A1713">
        <v>1712</v>
      </c>
      <c r="B1713" s="1">
        <v>40770</v>
      </c>
      <c r="C1713" t="s">
        <v>28</v>
      </c>
      <c r="D1713" s="7">
        <v>33</v>
      </c>
      <c r="E1713" s="7">
        <v>6</v>
      </c>
      <c r="F1713" s="7">
        <f t="shared" si="27"/>
        <v>2</v>
      </c>
      <c r="G1713" s="7" t="str">
        <f>LOOKUP(H1713,[1]startdates!$A$2:$A$10,[1]startdates!$B$2:$B$10)</f>
        <v>SMr</v>
      </c>
      <c r="H1713">
        <v>4</v>
      </c>
      <c r="I1713" s="7">
        <v>736</v>
      </c>
      <c r="N1713" s="7">
        <v>214</v>
      </c>
      <c r="O1713" s="7">
        <v>172</v>
      </c>
    </row>
    <row r="1714" spans="1:18" x14ac:dyDescent="0.2">
      <c r="A1714">
        <v>1713</v>
      </c>
      <c r="B1714" s="1">
        <v>40770</v>
      </c>
      <c r="C1714" t="s">
        <v>28</v>
      </c>
      <c r="D1714" s="7">
        <v>33</v>
      </c>
      <c r="E1714" s="7">
        <v>6</v>
      </c>
      <c r="F1714" s="7">
        <f t="shared" si="27"/>
        <v>2</v>
      </c>
      <c r="G1714" s="7" t="str">
        <f>LOOKUP(H1714,[1]startdates!$A$2:$A$10,[1]startdates!$B$2:$B$10)</f>
        <v>SMr</v>
      </c>
      <c r="H1714">
        <v>4</v>
      </c>
      <c r="I1714" s="7">
        <v>809</v>
      </c>
      <c r="N1714" s="7">
        <v>231</v>
      </c>
      <c r="O1714" s="7">
        <v>155</v>
      </c>
    </row>
    <row r="1715" spans="1:18" x14ac:dyDescent="0.2">
      <c r="A1715">
        <v>1714</v>
      </c>
      <c r="B1715" s="1">
        <v>40770</v>
      </c>
      <c r="C1715" t="s">
        <v>28</v>
      </c>
      <c r="D1715" s="7">
        <v>33</v>
      </c>
      <c r="E1715" s="7">
        <v>6</v>
      </c>
      <c r="F1715" s="7">
        <f t="shared" si="27"/>
        <v>2</v>
      </c>
      <c r="G1715" s="7" t="str">
        <f>LOOKUP(H1715,[1]startdates!$A$2:$A$10,[1]startdates!$B$2:$B$10)</f>
        <v>SMr</v>
      </c>
      <c r="H1715">
        <v>4</v>
      </c>
      <c r="N1715" s="7">
        <v>235</v>
      </c>
      <c r="O1715" s="7">
        <v>165</v>
      </c>
    </row>
    <row r="1716" spans="1:18" x14ac:dyDescent="0.2">
      <c r="A1716">
        <v>1715</v>
      </c>
      <c r="B1716" s="1">
        <v>40770</v>
      </c>
      <c r="C1716" t="s">
        <v>28</v>
      </c>
      <c r="D1716" s="7">
        <v>33</v>
      </c>
      <c r="E1716" s="7">
        <v>6</v>
      </c>
      <c r="F1716" s="7">
        <f t="shared" si="27"/>
        <v>2</v>
      </c>
      <c r="G1716" s="7" t="str">
        <f>LOOKUP(H1716,[1]startdates!$A$2:$A$10,[1]startdates!$B$2:$B$10)</f>
        <v>SMr</v>
      </c>
      <c r="H1716">
        <v>4</v>
      </c>
      <c r="N1716" s="7">
        <v>240</v>
      </c>
      <c r="O1716" s="7">
        <v>159</v>
      </c>
    </row>
    <row r="1717" spans="1:18" x14ac:dyDescent="0.2">
      <c r="A1717">
        <v>1716</v>
      </c>
      <c r="B1717" s="1">
        <v>40770</v>
      </c>
      <c r="C1717" t="s">
        <v>28</v>
      </c>
      <c r="D1717" s="7">
        <v>33</v>
      </c>
      <c r="E1717" s="7">
        <v>6</v>
      </c>
      <c r="F1717" s="7">
        <f t="shared" si="27"/>
        <v>2</v>
      </c>
      <c r="G1717" s="7" t="str">
        <f>LOOKUP(H1717,[1]startdates!$A$2:$A$10,[1]startdates!$B$2:$B$10)</f>
        <v>C</v>
      </c>
      <c r="H1717">
        <v>5</v>
      </c>
      <c r="I1717" s="7">
        <v>788</v>
      </c>
      <c r="K1717" s="7">
        <v>577</v>
      </c>
      <c r="L1717" s="7">
        <v>514</v>
      </c>
      <c r="M1717" s="7">
        <v>320</v>
      </c>
      <c r="N1717" s="7">
        <v>199</v>
      </c>
      <c r="O1717" s="7">
        <v>148</v>
      </c>
      <c r="Q1717" s="7">
        <v>344</v>
      </c>
      <c r="R1717" s="7">
        <v>224</v>
      </c>
    </row>
    <row r="1718" spans="1:18" x14ac:dyDescent="0.2">
      <c r="A1718">
        <v>1717</v>
      </c>
      <c r="B1718" s="1">
        <v>40770</v>
      </c>
      <c r="C1718" t="s">
        <v>28</v>
      </c>
      <c r="D1718" s="7">
        <v>33</v>
      </c>
      <c r="E1718" s="7">
        <v>6</v>
      </c>
      <c r="F1718" s="7">
        <f t="shared" si="27"/>
        <v>2</v>
      </c>
      <c r="G1718" s="7" t="str">
        <f>LOOKUP(H1718,[1]startdates!$A$2:$A$10,[1]startdates!$B$2:$B$10)</f>
        <v>C</v>
      </c>
      <c r="H1718">
        <v>5</v>
      </c>
      <c r="I1718" s="7">
        <v>734</v>
      </c>
      <c r="K1718" s="7">
        <v>558</v>
      </c>
      <c r="L1718" s="7">
        <v>481</v>
      </c>
      <c r="M1718" s="7">
        <v>304</v>
      </c>
      <c r="N1718" s="7">
        <v>194</v>
      </c>
      <c r="O1718" s="7">
        <v>185</v>
      </c>
      <c r="Q1718" s="7">
        <v>364</v>
      </c>
      <c r="R1718" s="7">
        <v>252</v>
      </c>
    </row>
    <row r="1719" spans="1:18" x14ac:dyDescent="0.2">
      <c r="A1719">
        <v>1718</v>
      </c>
      <c r="B1719" s="1">
        <v>40770</v>
      </c>
      <c r="C1719" t="s">
        <v>28</v>
      </c>
      <c r="D1719" s="7">
        <v>33</v>
      </c>
      <c r="E1719" s="7">
        <v>6</v>
      </c>
      <c r="F1719" s="7">
        <f t="shared" si="27"/>
        <v>2</v>
      </c>
      <c r="G1719" s="7" t="str">
        <f>LOOKUP(H1719,[1]startdates!$A$2:$A$10,[1]startdates!$B$2:$B$10)</f>
        <v>C</v>
      </c>
      <c r="H1719">
        <v>5</v>
      </c>
      <c r="I1719" s="7">
        <v>742</v>
      </c>
      <c r="K1719" s="7">
        <v>545</v>
      </c>
      <c r="M1719" s="7">
        <v>287</v>
      </c>
      <c r="N1719" s="7">
        <v>224</v>
      </c>
      <c r="O1719" s="7">
        <v>202</v>
      </c>
      <c r="R1719" s="7">
        <v>247</v>
      </c>
    </row>
    <row r="1720" spans="1:18" x14ac:dyDescent="0.2">
      <c r="A1720">
        <v>1719</v>
      </c>
      <c r="B1720" s="1">
        <v>40770</v>
      </c>
      <c r="C1720" t="s">
        <v>28</v>
      </c>
      <c r="D1720" s="7">
        <v>33</v>
      </c>
      <c r="E1720" s="7">
        <v>6</v>
      </c>
      <c r="F1720" s="7">
        <f t="shared" si="27"/>
        <v>2</v>
      </c>
      <c r="G1720" s="7" t="str">
        <f>LOOKUP(H1720,[1]startdates!$A$2:$A$10,[1]startdates!$B$2:$B$10)</f>
        <v>C</v>
      </c>
      <c r="H1720">
        <v>5</v>
      </c>
      <c r="I1720" s="7">
        <v>561</v>
      </c>
      <c r="K1720" s="7">
        <v>517</v>
      </c>
      <c r="N1720" s="7">
        <v>169</v>
      </c>
      <c r="O1720" s="7">
        <v>177</v>
      </c>
      <c r="R1720" s="7">
        <v>252</v>
      </c>
    </row>
    <row r="1721" spans="1:18" x14ac:dyDescent="0.2">
      <c r="A1721">
        <v>1720</v>
      </c>
      <c r="B1721" s="1">
        <v>40770</v>
      </c>
      <c r="C1721" t="s">
        <v>28</v>
      </c>
      <c r="D1721" s="7">
        <v>33</v>
      </c>
      <c r="E1721" s="7">
        <v>6</v>
      </c>
      <c r="F1721" s="7">
        <f t="shared" si="27"/>
        <v>2</v>
      </c>
      <c r="G1721" s="7" t="str">
        <f>LOOKUP(H1721,[1]startdates!$A$2:$A$10,[1]startdates!$B$2:$B$10)</f>
        <v>C</v>
      </c>
      <c r="H1721">
        <v>5</v>
      </c>
      <c r="I1721" s="7">
        <v>730</v>
      </c>
      <c r="K1721" s="7">
        <v>527</v>
      </c>
      <c r="N1721" s="7">
        <v>245</v>
      </c>
      <c r="O1721" s="7">
        <v>162</v>
      </c>
    </row>
    <row r="1722" spans="1:18" x14ac:dyDescent="0.2">
      <c r="A1722">
        <v>1721</v>
      </c>
      <c r="B1722" s="1">
        <v>40770</v>
      </c>
      <c r="C1722" t="s">
        <v>28</v>
      </c>
      <c r="D1722" s="7">
        <v>33</v>
      </c>
      <c r="E1722" s="7">
        <v>6</v>
      </c>
      <c r="F1722" s="7">
        <f t="shared" si="27"/>
        <v>2</v>
      </c>
      <c r="G1722" s="7" t="str">
        <f>LOOKUP(H1722,[1]startdates!$A$2:$A$10,[1]startdates!$B$2:$B$10)</f>
        <v>C</v>
      </c>
      <c r="H1722">
        <v>5</v>
      </c>
      <c r="I1722" s="7">
        <v>786</v>
      </c>
      <c r="K1722" s="7">
        <v>691</v>
      </c>
      <c r="N1722" s="7">
        <v>267</v>
      </c>
      <c r="O1722" s="7">
        <v>192</v>
      </c>
    </row>
    <row r="1723" spans="1:18" x14ac:dyDescent="0.2">
      <c r="A1723">
        <v>1722</v>
      </c>
      <c r="B1723" s="1">
        <v>40770</v>
      </c>
      <c r="C1723" t="s">
        <v>28</v>
      </c>
      <c r="D1723" s="7">
        <v>33</v>
      </c>
      <c r="E1723" s="7">
        <v>6</v>
      </c>
      <c r="F1723" s="7">
        <f t="shared" si="27"/>
        <v>2</v>
      </c>
      <c r="G1723" s="7" t="str">
        <f>LOOKUP(H1723,[1]startdates!$A$2:$A$10,[1]startdates!$B$2:$B$10)</f>
        <v>C</v>
      </c>
      <c r="H1723">
        <v>5</v>
      </c>
      <c r="I1723" s="7">
        <v>826</v>
      </c>
      <c r="N1723" s="7">
        <v>230</v>
      </c>
      <c r="O1723" s="7">
        <v>155</v>
      </c>
    </row>
    <row r="1724" spans="1:18" x14ac:dyDescent="0.2">
      <c r="A1724">
        <v>1723</v>
      </c>
      <c r="B1724" s="1">
        <v>40770</v>
      </c>
      <c r="C1724" t="s">
        <v>28</v>
      </c>
      <c r="D1724" s="7">
        <v>33</v>
      </c>
      <c r="E1724" s="7">
        <v>6</v>
      </c>
      <c r="F1724" s="7">
        <f t="shared" si="27"/>
        <v>2</v>
      </c>
      <c r="G1724" s="7" t="str">
        <f>LOOKUP(H1724,[1]startdates!$A$2:$A$10,[1]startdates!$B$2:$B$10)</f>
        <v>C</v>
      </c>
      <c r="H1724">
        <v>5</v>
      </c>
      <c r="I1724" s="7">
        <v>805</v>
      </c>
      <c r="N1724" s="7">
        <v>259</v>
      </c>
      <c r="O1724" s="7">
        <v>175</v>
      </c>
    </row>
    <row r="1725" spans="1:18" x14ac:dyDescent="0.2">
      <c r="A1725">
        <v>1724</v>
      </c>
      <c r="B1725" s="1">
        <v>40770</v>
      </c>
      <c r="C1725" t="s">
        <v>28</v>
      </c>
      <c r="D1725" s="7">
        <v>33</v>
      </c>
      <c r="E1725" s="7">
        <v>6</v>
      </c>
      <c r="F1725" s="7">
        <f t="shared" si="27"/>
        <v>2</v>
      </c>
      <c r="G1725" s="7" t="str">
        <f>LOOKUP(H1725,[1]startdates!$A$2:$A$10,[1]startdates!$B$2:$B$10)</f>
        <v>C</v>
      </c>
      <c r="H1725">
        <v>5</v>
      </c>
      <c r="N1725" s="7">
        <v>250</v>
      </c>
      <c r="O1725" s="7">
        <v>159</v>
      </c>
    </row>
    <row r="1726" spans="1:18" x14ac:dyDescent="0.2">
      <c r="A1726">
        <v>1725</v>
      </c>
      <c r="B1726" s="1">
        <v>40770</v>
      </c>
      <c r="C1726" t="s">
        <v>28</v>
      </c>
      <c r="D1726" s="7">
        <v>33</v>
      </c>
      <c r="E1726" s="7">
        <v>6</v>
      </c>
      <c r="F1726" s="7">
        <f t="shared" si="27"/>
        <v>2</v>
      </c>
      <c r="G1726" s="7" t="str">
        <f>LOOKUP(H1726,[1]startdates!$A$2:$A$10,[1]startdates!$B$2:$B$10)</f>
        <v>C</v>
      </c>
      <c r="H1726">
        <v>5</v>
      </c>
      <c r="N1726" s="7">
        <v>221</v>
      </c>
      <c r="O1726" s="7">
        <v>177</v>
      </c>
    </row>
    <row r="1727" spans="1:18" x14ac:dyDescent="0.2">
      <c r="A1727">
        <v>1726</v>
      </c>
      <c r="B1727" s="1">
        <v>40770</v>
      </c>
      <c r="C1727" t="s">
        <v>28</v>
      </c>
      <c r="D1727" s="7">
        <v>33</v>
      </c>
      <c r="E1727" s="7">
        <v>6</v>
      </c>
      <c r="F1727" s="7">
        <f t="shared" si="27"/>
        <v>2</v>
      </c>
      <c r="G1727" s="7" t="str">
        <f>LOOKUP(H1727,[1]startdates!$A$2:$A$10,[1]startdates!$B$2:$B$10)</f>
        <v>FMr</v>
      </c>
      <c r="H1727">
        <v>6</v>
      </c>
      <c r="I1727" s="7">
        <v>745</v>
      </c>
      <c r="J1727" s="7">
        <v>632</v>
      </c>
      <c r="K1727" s="7">
        <v>609</v>
      </c>
      <c r="L1727" s="7">
        <v>464</v>
      </c>
      <c r="M1727" s="7">
        <v>315</v>
      </c>
      <c r="N1727" s="7">
        <v>211</v>
      </c>
      <c r="O1727" s="7">
        <v>172</v>
      </c>
      <c r="P1727" s="7">
        <v>470</v>
      </c>
      <c r="Q1727" s="7">
        <v>393</v>
      </c>
    </row>
    <row r="1728" spans="1:18" x14ac:dyDescent="0.2">
      <c r="A1728">
        <v>1727</v>
      </c>
      <c r="B1728" s="1">
        <v>40770</v>
      </c>
      <c r="C1728" t="s">
        <v>28</v>
      </c>
      <c r="D1728" s="7">
        <v>33</v>
      </c>
      <c r="E1728" s="7">
        <v>6</v>
      </c>
      <c r="F1728" s="7">
        <f t="shared" si="27"/>
        <v>2</v>
      </c>
      <c r="G1728" s="7" t="str">
        <f>LOOKUP(H1728,[1]startdates!$A$2:$A$10,[1]startdates!$B$2:$B$10)</f>
        <v>FMr</v>
      </c>
      <c r="H1728">
        <v>6</v>
      </c>
      <c r="I1728" s="7">
        <v>754</v>
      </c>
      <c r="K1728" s="7">
        <v>536</v>
      </c>
      <c r="L1728" s="7">
        <v>442</v>
      </c>
      <c r="M1728" s="7">
        <v>375</v>
      </c>
      <c r="N1728" s="7">
        <v>189</v>
      </c>
      <c r="O1728" s="7">
        <v>163</v>
      </c>
      <c r="P1728" s="7">
        <v>494</v>
      </c>
      <c r="Q1728" s="7">
        <v>323</v>
      </c>
    </row>
    <row r="1729" spans="1:17" x14ac:dyDescent="0.2">
      <c r="A1729">
        <v>1728</v>
      </c>
      <c r="B1729" s="1">
        <v>40770</v>
      </c>
      <c r="C1729" t="s">
        <v>28</v>
      </c>
      <c r="D1729" s="7">
        <v>33</v>
      </c>
      <c r="E1729" s="7">
        <v>6</v>
      </c>
      <c r="F1729" s="7">
        <f t="shared" si="27"/>
        <v>2</v>
      </c>
      <c r="G1729" s="7" t="str">
        <f>LOOKUP(H1729,[1]startdates!$A$2:$A$10,[1]startdates!$B$2:$B$10)</f>
        <v>FMr</v>
      </c>
      <c r="H1729">
        <v>6</v>
      </c>
      <c r="I1729" s="7">
        <v>818</v>
      </c>
      <c r="K1729" s="7">
        <v>575</v>
      </c>
      <c r="L1729" s="7">
        <v>418</v>
      </c>
      <c r="N1729" s="7">
        <v>201</v>
      </c>
      <c r="O1729" s="7">
        <v>171</v>
      </c>
      <c r="P1729" s="7">
        <v>544</v>
      </c>
    </row>
    <row r="1730" spans="1:17" x14ac:dyDescent="0.2">
      <c r="A1730">
        <v>1729</v>
      </c>
      <c r="B1730" s="1">
        <v>40770</v>
      </c>
      <c r="C1730" t="s">
        <v>28</v>
      </c>
      <c r="D1730" s="7">
        <v>33</v>
      </c>
      <c r="E1730" s="7">
        <v>6</v>
      </c>
      <c r="F1730" s="7">
        <f t="shared" si="27"/>
        <v>2</v>
      </c>
      <c r="G1730" s="7" t="str">
        <f>LOOKUP(H1730,[1]startdates!$A$2:$A$10,[1]startdates!$B$2:$B$10)</f>
        <v>FMr</v>
      </c>
      <c r="H1730">
        <v>6</v>
      </c>
      <c r="I1730" s="7">
        <v>623</v>
      </c>
      <c r="K1730" s="7">
        <v>574</v>
      </c>
      <c r="N1730" s="7">
        <v>195</v>
      </c>
      <c r="O1730" s="7">
        <v>184</v>
      </c>
    </row>
    <row r="1731" spans="1:17" x14ac:dyDescent="0.2">
      <c r="A1731">
        <v>1730</v>
      </c>
      <c r="B1731" s="1">
        <v>40770</v>
      </c>
      <c r="C1731" t="s">
        <v>28</v>
      </c>
      <c r="D1731" s="7">
        <v>33</v>
      </c>
      <c r="E1731" s="7">
        <v>6</v>
      </c>
      <c r="F1731" s="7">
        <f t="shared" si="27"/>
        <v>2</v>
      </c>
      <c r="G1731" s="7" t="str">
        <f>LOOKUP(H1731,[1]startdates!$A$2:$A$10,[1]startdates!$B$2:$B$10)</f>
        <v>FMr</v>
      </c>
      <c r="H1731">
        <v>6</v>
      </c>
      <c r="I1731" s="7">
        <v>722</v>
      </c>
      <c r="K1731" s="7">
        <v>579</v>
      </c>
      <c r="N1731" s="7">
        <v>240</v>
      </c>
      <c r="O1731" s="7">
        <v>165</v>
      </c>
    </row>
    <row r="1732" spans="1:17" x14ac:dyDescent="0.2">
      <c r="A1732">
        <v>1731</v>
      </c>
      <c r="B1732" s="1">
        <v>40770</v>
      </c>
      <c r="C1732" t="s">
        <v>28</v>
      </c>
      <c r="D1732" s="7">
        <v>33</v>
      </c>
      <c r="E1732" s="7">
        <v>6</v>
      </c>
      <c r="F1732" s="7">
        <f t="shared" si="27"/>
        <v>2</v>
      </c>
      <c r="G1732" s="7" t="str">
        <f>LOOKUP(H1732,[1]startdates!$A$2:$A$10,[1]startdates!$B$2:$B$10)</f>
        <v>FMr</v>
      </c>
      <c r="H1732">
        <v>6</v>
      </c>
      <c r="I1732" s="7">
        <v>770</v>
      </c>
      <c r="N1732" s="7">
        <v>236</v>
      </c>
      <c r="O1732" s="7">
        <v>177</v>
      </c>
    </row>
    <row r="1733" spans="1:17" x14ac:dyDescent="0.2">
      <c r="A1733">
        <v>1732</v>
      </c>
      <c r="B1733" s="1">
        <v>40770</v>
      </c>
      <c r="C1733" t="s">
        <v>28</v>
      </c>
      <c r="D1733" s="7">
        <v>33</v>
      </c>
      <c r="E1733" s="7">
        <v>6</v>
      </c>
      <c r="F1733" s="7">
        <f t="shared" si="27"/>
        <v>2</v>
      </c>
      <c r="G1733" s="7" t="str">
        <f>LOOKUP(H1733,[1]startdates!$A$2:$A$10,[1]startdates!$B$2:$B$10)</f>
        <v>FMr</v>
      </c>
      <c r="H1733">
        <v>6</v>
      </c>
      <c r="I1733" s="7">
        <v>848</v>
      </c>
      <c r="N1733" s="7">
        <v>222</v>
      </c>
      <c r="O1733" s="7">
        <v>182</v>
      </c>
    </row>
    <row r="1734" spans="1:17" x14ac:dyDescent="0.2">
      <c r="A1734">
        <v>1733</v>
      </c>
      <c r="B1734" s="1">
        <v>40770</v>
      </c>
      <c r="C1734" t="s">
        <v>28</v>
      </c>
      <c r="D1734" s="7">
        <v>33</v>
      </c>
      <c r="E1734" s="7">
        <v>6</v>
      </c>
      <c r="F1734" s="7">
        <f t="shared" si="27"/>
        <v>2</v>
      </c>
      <c r="G1734" s="7" t="str">
        <f>LOOKUP(H1734,[1]startdates!$A$2:$A$10,[1]startdates!$B$2:$B$10)</f>
        <v>FMr</v>
      </c>
      <c r="H1734">
        <v>6</v>
      </c>
      <c r="I1734" s="7">
        <v>713</v>
      </c>
      <c r="N1734" s="7">
        <v>221</v>
      </c>
      <c r="O1734" s="7">
        <v>184</v>
      </c>
    </row>
    <row r="1735" spans="1:17" x14ac:dyDescent="0.2">
      <c r="A1735">
        <v>1734</v>
      </c>
      <c r="B1735" s="1">
        <v>40770</v>
      </c>
      <c r="C1735" t="s">
        <v>28</v>
      </c>
      <c r="D1735" s="7">
        <v>33</v>
      </c>
      <c r="E1735" s="7">
        <v>6</v>
      </c>
      <c r="F1735" s="7">
        <f t="shared" si="27"/>
        <v>2</v>
      </c>
      <c r="G1735" s="7" t="str">
        <f>LOOKUP(H1735,[1]startdates!$A$2:$A$10,[1]startdates!$B$2:$B$10)</f>
        <v>FMr</v>
      </c>
      <c r="H1735">
        <v>6</v>
      </c>
      <c r="N1735" s="7">
        <v>213</v>
      </c>
      <c r="O1735" s="7">
        <v>185</v>
      </c>
    </row>
    <row r="1736" spans="1:17" x14ac:dyDescent="0.2">
      <c r="A1736">
        <v>1735</v>
      </c>
      <c r="B1736" s="1">
        <v>40770</v>
      </c>
      <c r="C1736" t="s">
        <v>28</v>
      </c>
      <c r="D1736" s="7">
        <v>33</v>
      </c>
      <c r="E1736" s="7">
        <v>6</v>
      </c>
      <c r="F1736" s="7">
        <f t="shared" si="27"/>
        <v>2</v>
      </c>
      <c r="G1736" s="7" t="str">
        <f>LOOKUP(H1736,[1]startdates!$A$2:$A$10,[1]startdates!$B$2:$B$10)</f>
        <v>FMr</v>
      </c>
      <c r="H1736">
        <v>6</v>
      </c>
      <c r="N1736" s="7">
        <v>289</v>
      </c>
      <c r="O1736" s="7">
        <v>192</v>
      </c>
    </row>
    <row r="1737" spans="1:17" x14ac:dyDescent="0.2">
      <c r="A1737">
        <v>1736</v>
      </c>
      <c r="B1737" s="1">
        <v>40770</v>
      </c>
      <c r="C1737" t="s">
        <v>28</v>
      </c>
      <c r="D1737" s="7">
        <v>33</v>
      </c>
      <c r="E1737" s="7">
        <v>6</v>
      </c>
      <c r="F1737" s="7">
        <f t="shared" si="27"/>
        <v>2</v>
      </c>
      <c r="G1737" s="7" t="str">
        <f>LOOKUP(H1737,[1]startdates!$A$2:$A$10,[1]startdates!$B$2:$B$10)</f>
        <v>FMr</v>
      </c>
      <c r="H1737">
        <v>6</v>
      </c>
      <c r="N1737" s="7">
        <v>278</v>
      </c>
    </row>
    <row r="1738" spans="1:17" x14ac:dyDescent="0.2">
      <c r="A1738">
        <v>1737</v>
      </c>
      <c r="B1738" s="1">
        <v>40770</v>
      </c>
      <c r="C1738" t="s">
        <v>28</v>
      </c>
      <c r="D1738" s="7">
        <v>33</v>
      </c>
      <c r="E1738" s="7">
        <v>6</v>
      </c>
      <c r="F1738" s="7">
        <f t="shared" si="27"/>
        <v>2</v>
      </c>
      <c r="G1738" s="7" t="str">
        <f>LOOKUP(H1738,[1]startdates!$A$2:$A$10,[1]startdates!$B$2:$B$10)</f>
        <v>FMr</v>
      </c>
      <c r="H1738">
        <v>7</v>
      </c>
      <c r="I1738" s="7">
        <v>826</v>
      </c>
      <c r="K1738" s="7">
        <v>589</v>
      </c>
      <c r="L1738" s="7">
        <v>456</v>
      </c>
      <c r="M1738" s="7">
        <v>373</v>
      </c>
      <c r="N1738" s="7">
        <v>229</v>
      </c>
      <c r="O1738" s="7">
        <v>165</v>
      </c>
      <c r="P1738" s="7">
        <v>458</v>
      </c>
      <c r="Q1738" s="7">
        <v>360</v>
      </c>
    </row>
    <row r="1739" spans="1:17" x14ac:dyDescent="0.2">
      <c r="A1739">
        <v>1738</v>
      </c>
      <c r="B1739" s="1">
        <v>40770</v>
      </c>
      <c r="C1739" t="s">
        <v>28</v>
      </c>
      <c r="D1739" s="7">
        <v>33</v>
      </c>
      <c r="E1739" s="7">
        <v>6</v>
      </c>
      <c r="F1739" s="7">
        <f t="shared" si="27"/>
        <v>2</v>
      </c>
      <c r="G1739" s="7" t="str">
        <f>LOOKUP(H1739,[1]startdates!$A$2:$A$10,[1]startdates!$B$2:$B$10)</f>
        <v>FMr</v>
      </c>
      <c r="H1739">
        <v>7</v>
      </c>
      <c r="I1739" s="7">
        <v>760</v>
      </c>
      <c r="K1739" s="7">
        <v>602</v>
      </c>
      <c r="L1739" s="7">
        <v>426</v>
      </c>
      <c r="M1739" s="7">
        <v>388</v>
      </c>
      <c r="N1739" s="7">
        <v>264</v>
      </c>
      <c r="O1739" s="7">
        <v>168</v>
      </c>
      <c r="P1739" s="7">
        <v>347</v>
      </c>
    </row>
    <row r="1740" spans="1:17" x14ac:dyDescent="0.2">
      <c r="A1740">
        <v>1739</v>
      </c>
      <c r="B1740" s="1">
        <v>40770</v>
      </c>
      <c r="C1740" t="s">
        <v>28</v>
      </c>
      <c r="D1740" s="7">
        <v>33</v>
      </c>
      <c r="E1740" s="7">
        <v>6</v>
      </c>
      <c r="F1740" s="7">
        <f t="shared" si="27"/>
        <v>2</v>
      </c>
      <c r="G1740" s="7" t="str">
        <f>LOOKUP(H1740,[1]startdates!$A$2:$A$10,[1]startdates!$B$2:$B$10)</f>
        <v>FMr</v>
      </c>
      <c r="H1740">
        <v>7</v>
      </c>
      <c r="I1740" s="7">
        <v>835</v>
      </c>
      <c r="K1740" s="7">
        <v>559</v>
      </c>
      <c r="M1740" s="7">
        <v>387</v>
      </c>
      <c r="N1740" s="7">
        <v>227</v>
      </c>
      <c r="O1740" s="7">
        <v>177</v>
      </c>
    </row>
    <row r="1741" spans="1:17" x14ac:dyDescent="0.2">
      <c r="A1741">
        <v>1740</v>
      </c>
      <c r="B1741" s="1">
        <v>40770</v>
      </c>
      <c r="C1741" t="s">
        <v>28</v>
      </c>
      <c r="D1741" s="7">
        <v>33</v>
      </c>
      <c r="E1741" s="7">
        <v>6</v>
      </c>
      <c r="F1741" s="7">
        <f t="shared" si="27"/>
        <v>2</v>
      </c>
      <c r="G1741" s="7" t="str">
        <f>LOOKUP(H1741,[1]startdates!$A$2:$A$10,[1]startdates!$B$2:$B$10)</f>
        <v>FMr</v>
      </c>
      <c r="H1741">
        <v>7</v>
      </c>
      <c r="I1741" s="7">
        <v>678</v>
      </c>
      <c r="K1741" s="7">
        <v>636</v>
      </c>
      <c r="M1741" s="7">
        <v>302</v>
      </c>
      <c r="N1741" s="7">
        <v>237</v>
      </c>
      <c r="O1741" s="7">
        <v>163</v>
      </c>
    </row>
    <row r="1742" spans="1:17" x14ac:dyDescent="0.2">
      <c r="A1742">
        <v>1741</v>
      </c>
      <c r="B1742" s="1">
        <v>40770</v>
      </c>
      <c r="C1742" t="s">
        <v>28</v>
      </c>
      <c r="D1742" s="7">
        <v>33</v>
      </c>
      <c r="E1742" s="7">
        <v>6</v>
      </c>
      <c r="F1742" s="7">
        <f t="shared" si="27"/>
        <v>2</v>
      </c>
      <c r="G1742" s="7" t="str">
        <f>LOOKUP(H1742,[1]startdates!$A$2:$A$10,[1]startdates!$B$2:$B$10)</f>
        <v>FMr</v>
      </c>
      <c r="H1742">
        <v>7</v>
      </c>
      <c r="I1742" s="7">
        <v>722</v>
      </c>
      <c r="K1742" s="7">
        <v>626</v>
      </c>
      <c r="M1742" s="7">
        <v>320</v>
      </c>
      <c r="N1742" s="7">
        <v>261</v>
      </c>
      <c r="O1742" s="7">
        <v>156</v>
      </c>
    </row>
    <row r="1743" spans="1:17" x14ac:dyDescent="0.2">
      <c r="A1743">
        <v>1742</v>
      </c>
      <c r="B1743" s="1">
        <v>40770</v>
      </c>
      <c r="C1743" t="s">
        <v>28</v>
      </c>
      <c r="D1743" s="7">
        <v>33</v>
      </c>
      <c r="E1743" s="7">
        <v>6</v>
      </c>
      <c r="F1743" s="7">
        <f t="shared" si="27"/>
        <v>2</v>
      </c>
      <c r="G1743" s="7" t="str">
        <f>LOOKUP(H1743,[1]startdates!$A$2:$A$10,[1]startdates!$B$2:$B$10)</f>
        <v>FMr</v>
      </c>
      <c r="H1743">
        <v>7</v>
      </c>
      <c r="I1743" s="7">
        <v>706</v>
      </c>
      <c r="K1743" s="7">
        <v>556</v>
      </c>
      <c r="M1743" s="7">
        <v>298</v>
      </c>
      <c r="N1743" s="7">
        <v>252</v>
      </c>
      <c r="O1743" s="7">
        <v>187</v>
      </c>
    </row>
    <row r="1744" spans="1:17" x14ac:dyDescent="0.2">
      <c r="A1744">
        <v>1743</v>
      </c>
      <c r="B1744" s="1">
        <v>40770</v>
      </c>
      <c r="C1744" t="s">
        <v>28</v>
      </c>
      <c r="D1744" s="7">
        <v>33</v>
      </c>
      <c r="E1744" s="7">
        <v>6</v>
      </c>
      <c r="F1744" s="7">
        <f t="shared" si="27"/>
        <v>2</v>
      </c>
      <c r="G1744" s="7" t="str">
        <f>LOOKUP(H1744,[1]startdates!$A$2:$A$10,[1]startdates!$B$2:$B$10)</f>
        <v>FMr</v>
      </c>
      <c r="H1744">
        <v>7</v>
      </c>
      <c r="I1744" s="7">
        <v>626</v>
      </c>
      <c r="K1744" s="7">
        <v>692</v>
      </c>
      <c r="M1744" s="7">
        <v>366</v>
      </c>
      <c r="N1744" s="7">
        <v>229</v>
      </c>
      <c r="O1744" s="7">
        <v>147</v>
      </c>
    </row>
    <row r="1745" spans="1:18" x14ac:dyDescent="0.2">
      <c r="A1745">
        <v>1744</v>
      </c>
      <c r="B1745" s="1">
        <v>40770</v>
      </c>
      <c r="C1745" t="s">
        <v>28</v>
      </c>
      <c r="D1745" s="7">
        <v>33</v>
      </c>
      <c r="E1745" s="7">
        <v>6</v>
      </c>
      <c r="F1745" s="7">
        <f t="shared" si="27"/>
        <v>2</v>
      </c>
      <c r="G1745" s="7" t="str">
        <f>LOOKUP(H1745,[1]startdates!$A$2:$A$10,[1]startdates!$B$2:$B$10)</f>
        <v>FMr</v>
      </c>
      <c r="H1745">
        <v>7</v>
      </c>
      <c r="I1745" s="7">
        <v>739</v>
      </c>
      <c r="M1745" s="7">
        <v>310</v>
      </c>
      <c r="N1745" s="7">
        <v>244</v>
      </c>
      <c r="O1745" s="7">
        <v>162</v>
      </c>
    </row>
    <row r="1746" spans="1:18" x14ac:dyDescent="0.2">
      <c r="A1746">
        <v>1745</v>
      </c>
      <c r="B1746" s="1">
        <v>40770</v>
      </c>
      <c r="C1746" t="s">
        <v>28</v>
      </c>
      <c r="D1746" s="7">
        <v>33</v>
      </c>
      <c r="E1746" s="7">
        <v>6</v>
      </c>
      <c r="F1746" s="7">
        <f t="shared" si="27"/>
        <v>2</v>
      </c>
      <c r="G1746" s="7" t="str">
        <f>LOOKUP(H1746,[1]startdates!$A$2:$A$10,[1]startdates!$B$2:$B$10)</f>
        <v>FMr</v>
      </c>
      <c r="H1746">
        <v>7</v>
      </c>
      <c r="I1746" s="7">
        <v>525</v>
      </c>
      <c r="M1746" s="7">
        <v>383</v>
      </c>
      <c r="N1746" s="7">
        <v>245</v>
      </c>
      <c r="O1746" s="7">
        <v>165</v>
      </c>
    </row>
    <row r="1747" spans="1:18" x14ac:dyDescent="0.2">
      <c r="A1747">
        <v>1746</v>
      </c>
      <c r="B1747" s="1">
        <v>40770</v>
      </c>
      <c r="C1747" t="s">
        <v>28</v>
      </c>
      <c r="D1747" s="7">
        <v>33</v>
      </c>
      <c r="E1747" s="7">
        <v>6</v>
      </c>
      <c r="F1747" s="7">
        <f t="shared" si="27"/>
        <v>2</v>
      </c>
      <c r="G1747" s="7" t="str">
        <f>LOOKUP(H1747,[1]startdates!$A$2:$A$10,[1]startdates!$B$2:$B$10)</f>
        <v>FMr</v>
      </c>
      <c r="H1747">
        <v>7</v>
      </c>
      <c r="N1747" s="7">
        <v>225</v>
      </c>
      <c r="O1747" s="7">
        <v>172</v>
      </c>
    </row>
    <row r="1748" spans="1:18" x14ac:dyDescent="0.2">
      <c r="A1748">
        <v>1747</v>
      </c>
      <c r="B1748" s="1">
        <v>40770</v>
      </c>
      <c r="C1748" t="s">
        <v>28</v>
      </c>
      <c r="D1748" s="7">
        <v>33</v>
      </c>
      <c r="E1748" s="7">
        <v>6</v>
      </c>
      <c r="F1748" s="7">
        <f t="shared" si="27"/>
        <v>2</v>
      </c>
      <c r="G1748" s="7" t="str">
        <f>LOOKUP(H1748,[1]startdates!$A$2:$A$10,[1]startdates!$B$2:$B$10)</f>
        <v>FMr</v>
      </c>
      <c r="H1748">
        <v>7</v>
      </c>
      <c r="N1748" s="7">
        <v>188</v>
      </c>
      <c r="O1748" s="7">
        <v>156</v>
      </c>
    </row>
    <row r="1749" spans="1:18" x14ac:dyDescent="0.2">
      <c r="A1749">
        <v>1748</v>
      </c>
      <c r="B1749" s="1">
        <v>40770</v>
      </c>
      <c r="C1749" t="s">
        <v>28</v>
      </c>
      <c r="D1749" s="7">
        <v>33</v>
      </c>
      <c r="E1749" s="7">
        <v>6</v>
      </c>
      <c r="F1749" s="7">
        <f t="shared" si="27"/>
        <v>2</v>
      </c>
      <c r="G1749" s="7" t="str">
        <f>LOOKUP(H1749,[1]startdates!$A$2:$A$10,[1]startdates!$B$2:$B$10)</f>
        <v>FMr</v>
      </c>
      <c r="H1749">
        <v>7</v>
      </c>
      <c r="N1749" s="7">
        <v>261</v>
      </c>
      <c r="O1749" s="7">
        <v>171</v>
      </c>
    </row>
    <row r="1750" spans="1:18" x14ac:dyDescent="0.2">
      <c r="A1750">
        <v>1749</v>
      </c>
      <c r="B1750" s="1">
        <v>40770</v>
      </c>
      <c r="C1750" t="s">
        <v>28</v>
      </c>
      <c r="D1750" s="7">
        <v>33</v>
      </c>
      <c r="E1750" s="7">
        <v>6</v>
      </c>
      <c r="F1750" s="7">
        <f t="shared" si="27"/>
        <v>2</v>
      </c>
      <c r="G1750" s="7" t="str">
        <f>LOOKUP(H1750,[1]startdates!$A$2:$A$10,[1]startdates!$B$2:$B$10)</f>
        <v>FMr</v>
      </c>
      <c r="H1750">
        <v>7</v>
      </c>
      <c r="N1750" s="7">
        <v>221</v>
      </c>
      <c r="O1750" s="7">
        <v>165</v>
      </c>
    </row>
    <row r="1751" spans="1:18" x14ac:dyDescent="0.2">
      <c r="A1751">
        <v>1750</v>
      </c>
      <c r="B1751" s="1">
        <v>40770</v>
      </c>
      <c r="C1751" t="s">
        <v>28</v>
      </c>
      <c r="D1751" s="7">
        <v>33</v>
      </c>
      <c r="E1751" s="7">
        <v>6</v>
      </c>
      <c r="F1751" s="7">
        <f t="shared" si="27"/>
        <v>2</v>
      </c>
      <c r="G1751" s="7" t="str">
        <f>LOOKUP(H1751,[1]startdates!$A$2:$A$10,[1]startdates!$B$2:$B$10)</f>
        <v>FMr</v>
      </c>
      <c r="H1751">
        <v>7</v>
      </c>
      <c r="N1751" s="7">
        <v>183</v>
      </c>
      <c r="O1751" s="7">
        <v>157</v>
      </c>
    </row>
    <row r="1752" spans="1:18" x14ac:dyDescent="0.2">
      <c r="A1752">
        <v>1751</v>
      </c>
      <c r="B1752" s="1">
        <v>40770</v>
      </c>
      <c r="C1752" t="s">
        <v>28</v>
      </c>
      <c r="D1752" s="7">
        <v>33</v>
      </c>
      <c r="E1752" s="7">
        <v>6</v>
      </c>
      <c r="F1752" s="7">
        <f t="shared" si="27"/>
        <v>2</v>
      </c>
      <c r="G1752" s="7" t="str">
        <f>LOOKUP(H1752,[1]startdates!$A$2:$A$10,[1]startdates!$B$2:$B$10)</f>
        <v>FMr</v>
      </c>
      <c r="H1752">
        <v>7</v>
      </c>
      <c r="N1752" s="7">
        <v>255</v>
      </c>
    </row>
    <row r="1753" spans="1:18" x14ac:dyDescent="0.2">
      <c r="A1753">
        <v>1752</v>
      </c>
      <c r="B1753" s="1">
        <v>40770</v>
      </c>
      <c r="C1753" t="s">
        <v>28</v>
      </c>
      <c r="D1753" s="7">
        <v>33</v>
      </c>
      <c r="E1753" s="7">
        <v>6</v>
      </c>
      <c r="F1753" s="7">
        <f t="shared" si="27"/>
        <v>2</v>
      </c>
      <c r="G1753" s="7" t="str">
        <f>LOOKUP(H1753,[1]startdates!$A$2:$A$10,[1]startdates!$B$2:$B$10)</f>
        <v>FMr</v>
      </c>
      <c r="H1753">
        <v>7</v>
      </c>
      <c r="N1753" s="7">
        <v>276</v>
      </c>
    </row>
    <row r="1754" spans="1:18" x14ac:dyDescent="0.2">
      <c r="A1754">
        <v>1753</v>
      </c>
      <c r="B1754" s="1">
        <v>40770</v>
      </c>
      <c r="C1754" t="s">
        <v>28</v>
      </c>
      <c r="D1754" s="7">
        <v>33</v>
      </c>
      <c r="E1754" s="7">
        <v>6</v>
      </c>
      <c r="F1754" s="7">
        <f t="shared" si="27"/>
        <v>2</v>
      </c>
      <c r="G1754" s="7" t="str">
        <f>LOOKUP(H1754,[1]startdates!$A$2:$A$10,[1]startdates!$B$2:$B$10)</f>
        <v>FMr</v>
      </c>
      <c r="H1754">
        <v>7</v>
      </c>
      <c r="N1754" s="7">
        <v>204</v>
      </c>
    </row>
    <row r="1755" spans="1:18" x14ac:dyDescent="0.2">
      <c r="A1755">
        <v>1754</v>
      </c>
      <c r="B1755" s="1">
        <v>40770</v>
      </c>
      <c r="C1755" t="s">
        <v>28</v>
      </c>
      <c r="D1755" s="7">
        <v>33</v>
      </c>
      <c r="E1755" s="7">
        <v>6</v>
      </c>
      <c r="F1755" s="7">
        <f t="shared" si="27"/>
        <v>2</v>
      </c>
      <c r="G1755" s="7" t="str">
        <f>LOOKUP(H1755,[1]startdates!$A$2:$A$10,[1]startdates!$B$2:$B$10)</f>
        <v>FMr</v>
      </c>
      <c r="H1755">
        <v>7</v>
      </c>
      <c r="N1755" s="7">
        <v>231</v>
      </c>
    </row>
    <row r="1756" spans="1:18" x14ac:dyDescent="0.2">
      <c r="A1756">
        <v>1755</v>
      </c>
      <c r="B1756" s="1">
        <v>40770</v>
      </c>
      <c r="C1756" t="s">
        <v>28</v>
      </c>
      <c r="D1756" s="7">
        <v>33</v>
      </c>
      <c r="E1756" s="7">
        <v>6</v>
      </c>
      <c r="F1756" s="7">
        <f t="shared" si="27"/>
        <v>2</v>
      </c>
      <c r="G1756" s="7" t="str">
        <f>LOOKUP(H1756,[1]startdates!$A$2:$A$10,[1]startdates!$B$2:$B$10)</f>
        <v>FMr</v>
      </c>
      <c r="H1756">
        <v>7</v>
      </c>
      <c r="N1756" s="7">
        <v>260</v>
      </c>
    </row>
    <row r="1757" spans="1:18" x14ac:dyDescent="0.2">
      <c r="A1757">
        <v>1756</v>
      </c>
      <c r="B1757" s="1">
        <v>40770</v>
      </c>
      <c r="C1757" t="s">
        <v>28</v>
      </c>
      <c r="D1757" s="7">
        <v>33</v>
      </c>
      <c r="E1757" s="7">
        <v>6</v>
      </c>
      <c r="F1757" s="7">
        <f t="shared" si="27"/>
        <v>2</v>
      </c>
      <c r="G1757" s="7" t="str">
        <f>LOOKUP(H1757,[1]startdates!$A$2:$A$10,[1]startdates!$B$2:$B$10)</f>
        <v>FMr</v>
      </c>
      <c r="H1757">
        <v>7</v>
      </c>
      <c r="N1757" s="7">
        <v>274</v>
      </c>
    </row>
    <row r="1758" spans="1:18" x14ac:dyDescent="0.2">
      <c r="A1758">
        <v>1757</v>
      </c>
      <c r="B1758" s="1">
        <v>40770</v>
      </c>
      <c r="C1758" t="s">
        <v>28</v>
      </c>
      <c r="D1758" s="7">
        <v>33</v>
      </c>
      <c r="E1758" s="7">
        <v>6</v>
      </c>
      <c r="F1758" s="7">
        <f t="shared" si="27"/>
        <v>2</v>
      </c>
      <c r="G1758" s="7" t="str">
        <f>LOOKUP(H1758,[1]startdates!$A$2:$A$10,[1]startdates!$B$2:$B$10)</f>
        <v>C</v>
      </c>
      <c r="H1758">
        <v>8</v>
      </c>
      <c r="I1758" s="7">
        <v>797</v>
      </c>
      <c r="J1758" s="7">
        <v>636</v>
      </c>
      <c r="K1758" s="7">
        <v>689</v>
      </c>
      <c r="L1758" s="7">
        <v>476</v>
      </c>
      <c r="M1758" s="7">
        <v>319</v>
      </c>
      <c r="N1758" s="7">
        <v>168</v>
      </c>
      <c r="O1758" s="7">
        <v>142</v>
      </c>
      <c r="P1758" s="7">
        <v>534</v>
      </c>
      <c r="R1758" s="7">
        <v>253</v>
      </c>
    </row>
    <row r="1759" spans="1:18" x14ac:dyDescent="0.2">
      <c r="A1759">
        <v>1758</v>
      </c>
      <c r="B1759" s="1">
        <v>40770</v>
      </c>
      <c r="C1759" t="s">
        <v>28</v>
      </c>
      <c r="D1759" s="7">
        <v>33</v>
      </c>
      <c r="E1759" s="7">
        <v>6</v>
      </c>
      <c r="F1759" s="7">
        <f t="shared" si="27"/>
        <v>2</v>
      </c>
      <c r="G1759" s="7" t="str">
        <f>LOOKUP(H1759,[1]startdates!$A$2:$A$10,[1]startdates!$B$2:$B$10)</f>
        <v>C</v>
      </c>
      <c r="H1759">
        <v>8</v>
      </c>
      <c r="I1759" s="7">
        <v>893</v>
      </c>
      <c r="K1759" s="7">
        <v>660</v>
      </c>
      <c r="M1759" s="7">
        <v>300</v>
      </c>
      <c r="N1759" s="7">
        <v>214</v>
      </c>
      <c r="O1759" s="7">
        <v>177</v>
      </c>
      <c r="R1759" s="7">
        <v>286</v>
      </c>
    </row>
    <row r="1760" spans="1:18" x14ac:dyDescent="0.2">
      <c r="A1760">
        <v>1759</v>
      </c>
      <c r="B1760" s="1">
        <v>40770</v>
      </c>
      <c r="C1760" t="s">
        <v>28</v>
      </c>
      <c r="D1760" s="7">
        <v>33</v>
      </c>
      <c r="E1760" s="7">
        <v>6</v>
      </c>
      <c r="F1760" s="7">
        <f t="shared" si="27"/>
        <v>2</v>
      </c>
      <c r="G1760" s="7" t="str">
        <f>LOOKUP(H1760,[1]startdates!$A$2:$A$10,[1]startdates!$B$2:$B$10)</f>
        <v>C</v>
      </c>
      <c r="H1760">
        <v>8</v>
      </c>
      <c r="I1760" s="7">
        <v>801</v>
      </c>
      <c r="K1760" s="7">
        <v>641</v>
      </c>
      <c r="M1760" s="7">
        <v>379</v>
      </c>
      <c r="N1760" s="7">
        <v>200</v>
      </c>
      <c r="O1760" s="7">
        <v>184</v>
      </c>
    </row>
    <row r="1761" spans="1:18" x14ac:dyDescent="0.2">
      <c r="A1761">
        <v>1760</v>
      </c>
      <c r="B1761" s="1">
        <v>40770</v>
      </c>
      <c r="C1761" t="s">
        <v>28</v>
      </c>
      <c r="D1761" s="7">
        <v>33</v>
      </c>
      <c r="E1761" s="7">
        <v>6</v>
      </c>
      <c r="F1761" s="7">
        <f t="shared" si="27"/>
        <v>2</v>
      </c>
      <c r="G1761" s="7" t="str">
        <f>LOOKUP(H1761,[1]startdates!$A$2:$A$10,[1]startdates!$B$2:$B$10)</f>
        <v>C</v>
      </c>
      <c r="H1761">
        <v>8</v>
      </c>
      <c r="I1761" s="7">
        <v>637</v>
      </c>
      <c r="M1761" s="7">
        <v>368</v>
      </c>
      <c r="N1761" s="7">
        <v>211</v>
      </c>
      <c r="O1761" s="7">
        <v>153</v>
      </c>
    </row>
    <row r="1762" spans="1:18" x14ac:dyDescent="0.2">
      <c r="A1762">
        <v>1761</v>
      </c>
      <c r="B1762" s="1">
        <v>40770</v>
      </c>
      <c r="C1762" t="s">
        <v>28</v>
      </c>
      <c r="D1762" s="7">
        <v>33</v>
      </c>
      <c r="E1762" s="7">
        <v>6</v>
      </c>
      <c r="F1762" s="7">
        <f t="shared" si="27"/>
        <v>2</v>
      </c>
      <c r="G1762" s="7" t="str">
        <f>LOOKUP(H1762,[1]startdates!$A$2:$A$10,[1]startdates!$B$2:$B$10)</f>
        <v>C</v>
      </c>
      <c r="H1762">
        <v>8</v>
      </c>
      <c r="I1762" s="7">
        <v>514</v>
      </c>
      <c r="M1762" s="7">
        <v>376</v>
      </c>
      <c r="N1762" s="7">
        <v>283</v>
      </c>
      <c r="O1762" s="7">
        <v>157</v>
      </c>
    </row>
    <row r="1763" spans="1:18" x14ac:dyDescent="0.2">
      <c r="A1763">
        <v>1762</v>
      </c>
      <c r="B1763" s="1">
        <v>40770</v>
      </c>
      <c r="C1763" t="s">
        <v>28</v>
      </c>
      <c r="D1763" s="7">
        <v>33</v>
      </c>
      <c r="E1763" s="7">
        <v>6</v>
      </c>
      <c r="F1763" s="7">
        <f t="shared" si="27"/>
        <v>2</v>
      </c>
      <c r="G1763" s="7" t="str">
        <f>LOOKUP(H1763,[1]startdates!$A$2:$A$10,[1]startdates!$B$2:$B$10)</f>
        <v>C</v>
      </c>
      <c r="H1763">
        <v>8</v>
      </c>
      <c r="I1763" s="7">
        <v>774</v>
      </c>
      <c r="M1763" s="7">
        <v>361</v>
      </c>
      <c r="N1763" s="7">
        <v>238</v>
      </c>
      <c r="O1763" s="7">
        <v>168</v>
      </c>
    </row>
    <row r="1764" spans="1:18" x14ac:dyDescent="0.2">
      <c r="A1764">
        <v>1763</v>
      </c>
      <c r="B1764" s="1">
        <v>40770</v>
      </c>
      <c r="C1764" t="s">
        <v>28</v>
      </c>
      <c r="D1764" s="7">
        <v>33</v>
      </c>
      <c r="E1764" s="7">
        <v>6</v>
      </c>
      <c r="F1764" s="7">
        <f t="shared" si="27"/>
        <v>2</v>
      </c>
      <c r="G1764" s="7" t="str">
        <f>LOOKUP(H1764,[1]startdates!$A$2:$A$10,[1]startdates!$B$2:$B$10)</f>
        <v>C</v>
      </c>
      <c r="H1764">
        <v>8</v>
      </c>
      <c r="I1764" s="7">
        <v>840</v>
      </c>
      <c r="N1764" s="7">
        <v>247</v>
      </c>
      <c r="O1764" s="7">
        <v>157</v>
      </c>
    </row>
    <row r="1765" spans="1:18" x14ac:dyDescent="0.2">
      <c r="A1765">
        <v>1764</v>
      </c>
      <c r="B1765" s="1">
        <v>40770</v>
      </c>
      <c r="C1765" t="s">
        <v>28</v>
      </c>
      <c r="D1765" s="7">
        <v>33</v>
      </c>
      <c r="E1765" s="7">
        <v>6</v>
      </c>
      <c r="F1765" s="7">
        <f t="shared" si="27"/>
        <v>2</v>
      </c>
      <c r="G1765" s="7" t="str">
        <f>LOOKUP(H1765,[1]startdates!$A$2:$A$10,[1]startdates!$B$2:$B$10)</f>
        <v>C</v>
      </c>
      <c r="H1765">
        <v>8</v>
      </c>
      <c r="N1765" s="7">
        <v>249</v>
      </c>
      <c r="O1765" s="7">
        <v>165</v>
      </c>
    </row>
    <row r="1766" spans="1:18" x14ac:dyDescent="0.2">
      <c r="A1766">
        <v>1765</v>
      </c>
      <c r="B1766" s="1">
        <v>40770</v>
      </c>
      <c r="C1766" t="s">
        <v>28</v>
      </c>
      <c r="D1766" s="7">
        <v>33</v>
      </c>
      <c r="E1766" s="7">
        <v>6</v>
      </c>
      <c r="F1766" s="7">
        <f t="shared" si="27"/>
        <v>2</v>
      </c>
      <c r="G1766" s="7" t="str">
        <f>LOOKUP(H1766,[1]startdates!$A$2:$A$10,[1]startdates!$B$2:$B$10)</f>
        <v>C</v>
      </c>
      <c r="H1766">
        <v>8</v>
      </c>
      <c r="N1766" s="7">
        <v>219</v>
      </c>
      <c r="O1766" s="7">
        <v>175</v>
      </c>
    </row>
    <row r="1767" spans="1:18" x14ac:dyDescent="0.2">
      <c r="A1767">
        <v>1766</v>
      </c>
      <c r="B1767" s="1">
        <v>40770</v>
      </c>
      <c r="C1767" t="s">
        <v>28</v>
      </c>
      <c r="D1767" s="7">
        <v>33</v>
      </c>
      <c r="E1767" s="7">
        <v>6</v>
      </c>
      <c r="F1767" s="7">
        <f t="shared" si="27"/>
        <v>2</v>
      </c>
      <c r="G1767" s="7" t="str">
        <f>LOOKUP(H1767,[1]startdates!$A$2:$A$10,[1]startdates!$B$2:$B$10)</f>
        <v>C</v>
      </c>
      <c r="H1767">
        <v>8</v>
      </c>
      <c r="N1767" s="7">
        <v>261</v>
      </c>
      <c r="O1767" s="7">
        <v>177</v>
      </c>
    </row>
    <row r="1768" spans="1:18" x14ac:dyDescent="0.2">
      <c r="A1768">
        <v>1767</v>
      </c>
      <c r="B1768" s="1">
        <v>40770</v>
      </c>
      <c r="C1768" t="s">
        <v>28</v>
      </c>
      <c r="D1768" s="7">
        <v>33</v>
      </c>
      <c r="E1768" s="7">
        <v>6</v>
      </c>
      <c r="F1768" s="7">
        <f t="shared" si="27"/>
        <v>2</v>
      </c>
      <c r="G1768" s="7" t="str">
        <f>LOOKUP(H1768,[1]startdates!$A$2:$A$10,[1]startdates!$B$2:$B$10)</f>
        <v>C</v>
      </c>
      <c r="H1768">
        <v>8</v>
      </c>
      <c r="O1768" s="7">
        <v>129</v>
      </c>
    </row>
    <row r="1769" spans="1:18" x14ac:dyDescent="0.2">
      <c r="A1769">
        <v>1768</v>
      </c>
      <c r="B1769" s="1">
        <v>40770</v>
      </c>
      <c r="C1769" t="s">
        <v>28</v>
      </c>
      <c r="D1769" s="7">
        <v>33</v>
      </c>
      <c r="E1769" s="7">
        <v>6</v>
      </c>
      <c r="F1769" s="7">
        <f t="shared" ref="F1769:F1832" si="28">WEEKDAY(B1769)</f>
        <v>2</v>
      </c>
      <c r="G1769" s="7" t="str">
        <f>LOOKUP(H1769,[1]startdates!$A$2:$A$10,[1]startdates!$B$2:$B$10)</f>
        <v>C</v>
      </c>
      <c r="H1769">
        <v>8</v>
      </c>
      <c r="O1769" s="7">
        <v>165</v>
      </c>
    </row>
    <row r="1770" spans="1:18" x14ac:dyDescent="0.2">
      <c r="A1770">
        <v>1769</v>
      </c>
      <c r="B1770" s="1">
        <v>40770</v>
      </c>
      <c r="C1770" t="s">
        <v>28</v>
      </c>
      <c r="D1770" s="7">
        <v>33</v>
      </c>
      <c r="E1770" s="7">
        <v>6</v>
      </c>
      <c r="F1770" s="7">
        <f t="shared" si="28"/>
        <v>2</v>
      </c>
      <c r="G1770" s="7" t="str">
        <f>LOOKUP(H1770,[1]startdates!$A$2:$A$10,[1]startdates!$B$2:$B$10)</f>
        <v>FMr</v>
      </c>
      <c r="H1770">
        <v>9</v>
      </c>
      <c r="I1770" s="7">
        <v>826</v>
      </c>
      <c r="K1770" s="7">
        <v>505</v>
      </c>
      <c r="L1770" s="7">
        <v>485</v>
      </c>
      <c r="M1770" s="7">
        <v>398</v>
      </c>
      <c r="N1770" s="7">
        <v>264</v>
      </c>
      <c r="O1770" s="7">
        <v>172</v>
      </c>
      <c r="P1770" s="7">
        <v>516</v>
      </c>
      <c r="Q1770" s="7">
        <v>355</v>
      </c>
      <c r="R1770" s="7">
        <v>278</v>
      </c>
    </row>
    <row r="1771" spans="1:18" x14ac:dyDescent="0.2">
      <c r="A1771">
        <v>1770</v>
      </c>
      <c r="B1771" s="1">
        <v>40770</v>
      </c>
      <c r="C1771" t="s">
        <v>28</v>
      </c>
      <c r="D1771" s="7">
        <v>33</v>
      </c>
      <c r="E1771" s="7">
        <v>6</v>
      </c>
      <c r="F1771" s="7">
        <f t="shared" si="28"/>
        <v>2</v>
      </c>
      <c r="G1771" s="7" t="str">
        <f>LOOKUP(H1771,[1]startdates!$A$2:$A$10,[1]startdates!$B$2:$B$10)</f>
        <v>FMr</v>
      </c>
      <c r="H1771">
        <v>9</v>
      </c>
      <c r="I1771" s="7">
        <v>722</v>
      </c>
      <c r="K1771" s="7">
        <v>583</v>
      </c>
      <c r="L1771" s="7">
        <v>437</v>
      </c>
      <c r="M1771" s="7">
        <v>360</v>
      </c>
      <c r="N1771" s="7">
        <v>257</v>
      </c>
      <c r="O1771" s="7">
        <v>150</v>
      </c>
      <c r="P1771" s="7">
        <v>515</v>
      </c>
      <c r="Q1771" s="7">
        <v>330</v>
      </c>
    </row>
    <row r="1772" spans="1:18" x14ac:dyDescent="0.2">
      <c r="A1772">
        <v>1771</v>
      </c>
      <c r="B1772" s="1">
        <v>40770</v>
      </c>
      <c r="C1772" t="s">
        <v>28</v>
      </c>
      <c r="D1772" s="7">
        <v>33</v>
      </c>
      <c r="E1772" s="7">
        <v>6</v>
      </c>
      <c r="F1772" s="7">
        <f t="shared" si="28"/>
        <v>2</v>
      </c>
      <c r="G1772" s="7" t="str">
        <f>LOOKUP(H1772,[1]startdates!$A$2:$A$10,[1]startdates!$B$2:$B$10)</f>
        <v>FMr</v>
      </c>
      <c r="H1772">
        <v>9</v>
      </c>
      <c r="I1772" s="7">
        <v>700</v>
      </c>
      <c r="K1772" s="7">
        <v>565</v>
      </c>
      <c r="L1772" s="7">
        <v>537</v>
      </c>
      <c r="M1772" s="7">
        <v>395</v>
      </c>
      <c r="N1772" s="7">
        <v>236</v>
      </c>
      <c r="O1772" s="7">
        <v>172</v>
      </c>
      <c r="P1772" s="7">
        <v>510</v>
      </c>
      <c r="Q1772" s="7">
        <v>415</v>
      </c>
    </row>
    <row r="1773" spans="1:18" x14ac:dyDescent="0.2">
      <c r="A1773">
        <v>1772</v>
      </c>
      <c r="B1773" s="1">
        <v>40770</v>
      </c>
      <c r="C1773" t="s">
        <v>28</v>
      </c>
      <c r="D1773" s="7">
        <v>33</v>
      </c>
      <c r="E1773" s="7">
        <v>6</v>
      </c>
      <c r="F1773" s="7">
        <f t="shared" si="28"/>
        <v>2</v>
      </c>
      <c r="G1773" s="7" t="str">
        <f>LOOKUP(H1773,[1]startdates!$A$2:$A$10,[1]startdates!$B$2:$B$10)</f>
        <v>FMr</v>
      </c>
      <c r="H1773">
        <v>9</v>
      </c>
      <c r="I1773" s="7">
        <v>801</v>
      </c>
      <c r="K1773" s="7">
        <v>534</v>
      </c>
      <c r="L1773" s="7">
        <v>441</v>
      </c>
      <c r="M1773" s="7">
        <v>334</v>
      </c>
      <c r="N1773" s="7">
        <v>191</v>
      </c>
      <c r="O1773" s="7">
        <v>184</v>
      </c>
    </row>
    <row r="1774" spans="1:18" x14ac:dyDescent="0.2">
      <c r="A1774">
        <v>1773</v>
      </c>
      <c r="B1774" s="1">
        <v>40770</v>
      </c>
      <c r="C1774" t="s">
        <v>28</v>
      </c>
      <c r="D1774" s="7">
        <v>33</v>
      </c>
      <c r="E1774" s="7">
        <v>6</v>
      </c>
      <c r="F1774" s="7">
        <f t="shared" si="28"/>
        <v>2</v>
      </c>
      <c r="G1774" s="7" t="str">
        <f>LOOKUP(H1774,[1]startdates!$A$2:$A$10,[1]startdates!$B$2:$B$10)</f>
        <v>FMr</v>
      </c>
      <c r="H1774">
        <v>9</v>
      </c>
      <c r="I1774" s="7">
        <v>900</v>
      </c>
      <c r="M1774" s="7">
        <v>362</v>
      </c>
      <c r="N1774" s="7">
        <v>233</v>
      </c>
      <c r="O1774" s="7">
        <v>183</v>
      </c>
    </row>
    <row r="1775" spans="1:18" x14ac:dyDescent="0.2">
      <c r="A1775">
        <v>1774</v>
      </c>
      <c r="B1775" s="1">
        <v>40770</v>
      </c>
      <c r="C1775" t="s">
        <v>28</v>
      </c>
      <c r="D1775" s="7">
        <v>33</v>
      </c>
      <c r="E1775" s="7">
        <v>6</v>
      </c>
      <c r="F1775" s="7">
        <f t="shared" si="28"/>
        <v>2</v>
      </c>
      <c r="G1775" s="7" t="str">
        <f>LOOKUP(H1775,[1]startdates!$A$2:$A$10,[1]startdates!$B$2:$B$10)</f>
        <v>FMr</v>
      </c>
      <c r="H1775">
        <v>9</v>
      </c>
      <c r="I1775" s="7">
        <v>748</v>
      </c>
      <c r="M1775" s="7">
        <v>362</v>
      </c>
      <c r="N1775" s="7">
        <v>199</v>
      </c>
      <c r="O1775" s="7">
        <v>175</v>
      </c>
    </row>
    <row r="1776" spans="1:18" x14ac:dyDescent="0.2">
      <c r="A1776">
        <v>1775</v>
      </c>
      <c r="B1776" s="1">
        <v>40770</v>
      </c>
      <c r="C1776" t="s">
        <v>28</v>
      </c>
      <c r="D1776" s="7">
        <v>33</v>
      </c>
      <c r="E1776" s="7">
        <v>6</v>
      </c>
      <c r="F1776" s="7">
        <f t="shared" si="28"/>
        <v>2</v>
      </c>
      <c r="G1776" s="7" t="str">
        <f>LOOKUP(H1776,[1]startdates!$A$2:$A$10,[1]startdates!$B$2:$B$10)</f>
        <v>FMr</v>
      </c>
      <c r="H1776">
        <v>9</v>
      </c>
      <c r="I1776" s="7">
        <v>668</v>
      </c>
      <c r="M1776" s="7">
        <v>397</v>
      </c>
      <c r="N1776" s="7">
        <v>206</v>
      </c>
      <c r="O1776" s="7">
        <v>168</v>
      </c>
    </row>
    <row r="1777" spans="1:18" x14ac:dyDescent="0.2">
      <c r="A1777">
        <v>1776</v>
      </c>
      <c r="B1777" s="1">
        <v>40770</v>
      </c>
      <c r="C1777" t="s">
        <v>28</v>
      </c>
      <c r="D1777" s="7">
        <v>33</v>
      </c>
      <c r="E1777" s="7">
        <v>6</v>
      </c>
      <c r="F1777" s="7">
        <f t="shared" si="28"/>
        <v>2</v>
      </c>
      <c r="G1777" s="7" t="str">
        <f>LOOKUP(H1777,[1]startdates!$A$2:$A$10,[1]startdates!$B$2:$B$10)</f>
        <v>FMr</v>
      </c>
      <c r="H1777">
        <v>9</v>
      </c>
      <c r="N1777" s="7">
        <v>211</v>
      </c>
      <c r="O1777" s="7">
        <v>167</v>
      </c>
    </row>
    <row r="1778" spans="1:18" x14ac:dyDescent="0.2">
      <c r="A1778">
        <v>1777</v>
      </c>
      <c r="B1778" s="1">
        <v>40770</v>
      </c>
      <c r="C1778" t="s">
        <v>28</v>
      </c>
      <c r="D1778" s="7">
        <v>33</v>
      </c>
      <c r="E1778" s="7">
        <v>6</v>
      </c>
      <c r="F1778" s="7">
        <f t="shared" si="28"/>
        <v>2</v>
      </c>
      <c r="G1778" s="7" t="str">
        <f>LOOKUP(H1778,[1]startdates!$A$2:$A$10,[1]startdates!$B$2:$B$10)</f>
        <v>FMr</v>
      </c>
      <c r="H1778">
        <v>9</v>
      </c>
      <c r="N1778" s="7">
        <v>211</v>
      </c>
      <c r="O1778" s="7">
        <v>173</v>
      </c>
    </row>
    <row r="1779" spans="1:18" x14ac:dyDescent="0.2">
      <c r="A1779">
        <v>1778</v>
      </c>
      <c r="B1779" s="1">
        <v>40770</v>
      </c>
      <c r="C1779" t="s">
        <v>28</v>
      </c>
      <c r="D1779" s="7">
        <v>33</v>
      </c>
      <c r="E1779" s="7">
        <v>6</v>
      </c>
      <c r="F1779" s="7">
        <f t="shared" si="28"/>
        <v>2</v>
      </c>
      <c r="G1779" s="7" t="str">
        <f>LOOKUP(H1779,[1]startdates!$A$2:$A$10,[1]startdates!$B$2:$B$10)</f>
        <v>FMr</v>
      </c>
      <c r="H1779">
        <v>9</v>
      </c>
      <c r="N1779" s="7">
        <v>257</v>
      </c>
      <c r="O1779" s="7">
        <v>152</v>
      </c>
    </row>
    <row r="1780" spans="1:18" x14ac:dyDescent="0.2">
      <c r="A1780">
        <v>1779</v>
      </c>
      <c r="B1780" s="1">
        <v>40772</v>
      </c>
      <c r="C1780" t="s">
        <v>28</v>
      </c>
      <c r="D1780" s="7">
        <v>35</v>
      </c>
      <c r="E1780" s="7">
        <v>6</v>
      </c>
      <c r="F1780" s="7">
        <f t="shared" si="28"/>
        <v>4</v>
      </c>
      <c r="G1780" s="7" t="str">
        <f>LOOKUP(H1780,[1]startdates!$A$2:$A$10,[1]startdates!$B$2:$B$10)</f>
        <v>SMr</v>
      </c>
      <c r="H1780">
        <v>1</v>
      </c>
      <c r="I1780" s="7">
        <v>712</v>
      </c>
      <c r="K1780" s="7">
        <v>625</v>
      </c>
      <c r="L1780" s="7">
        <v>480</v>
      </c>
      <c r="M1780" s="7">
        <v>310</v>
      </c>
      <c r="N1780" s="7">
        <v>250</v>
      </c>
      <c r="O1780" s="7">
        <v>165</v>
      </c>
      <c r="P1780" s="7">
        <v>488</v>
      </c>
      <c r="Q1780" s="7">
        <v>325</v>
      </c>
      <c r="R1780" s="7">
        <v>261</v>
      </c>
    </row>
    <row r="1781" spans="1:18" x14ac:dyDescent="0.2">
      <c r="A1781">
        <v>1780</v>
      </c>
      <c r="B1781" s="1">
        <v>40772</v>
      </c>
      <c r="C1781" t="s">
        <v>28</v>
      </c>
      <c r="D1781" s="7">
        <v>35</v>
      </c>
      <c r="E1781" s="7">
        <v>6</v>
      </c>
      <c r="F1781" s="7">
        <f t="shared" si="28"/>
        <v>4</v>
      </c>
      <c r="G1781" s="7" t="str">
        <f>LOOKUP(H1781,[1]startdates!$A$2:$A$10,[1]startdates!$B$2:$B$10)</f>
        <v>SMr</v>
      </c>
      <c r="H1781">
        <v>1</v>
      </c>
      <c r="I1781" s="7">
        <v>695</v>
      </c>
      <c r="K1781" s="7">
        <v>650</v>
      </c>
      <c r="L1781" s="7">
        <v>432</v>
      </c>
      <c r="M1781" s="7">
        <v>283</v>
      </c>
      <c r="N1781" s="7">
        <v>220</v>
      </c>
      <c r="O1781" s="7">
        <v>157</v>
      </c>
      <c r="Q1781" s="7">
        <v>346</v>
      </c>
    </row>
    <row r="1782" spans="1:18" x14ac:dyDescent="0.2">
      <c r="A1782">
        <v>1781</v>
      </c>
      <c r="B1782" s="1">
        <v>40772</v>
      </c>
      <c r="C1782" t="s">
        <v>28</v>
      </c>
      <c r="D1782" s="7">
        <v>35</v>
      </c>
      <c r="E1782" s="7">
        <v>6</v>
      </c>
      <c r="F1782" s="7">
        <f t="shared" si="28"/>
        <v>4</v>
      </c>
      <c r="G1782" s="7" t="str">
        <f>LOOKUP(H1782,[1]startdates!$A$2:$A$10,[1]startdates!$B$2:$B$10)</f>
        <v>SMr</v>
      </c>
      <c r="H1782">
        <v>1</v>
      </c>
      <c r="I1782" s="7">
        <v>535</v>
      </c>
      <c r="K1782" s="7">
        <v>615</v>
      </c>
      <c r="M1782" s="7">
        <v>300</v>
      </c>
      <c r="N1782" s="7">
        <v>200</v>
      </c>
      <c r="O1782" s="7">
        <v>159</v>
      </c>
      <c r="Q1782" s="7">
        <v>326</v>
      </c>
    </row>
    <row r="1783" spans="1:18" x14ac:dyDescent="0.2">
      <c r="A1783">
        <v>1782</v>
      </c>
      <c r="B1783" s="1">
        <v>40772</v>
      </c>
      <c r="C1783" t="s">
        <v>28</v>
      </c>
      <c r="D1783" s="7">
        <v>35</v>
      </c>
      <c r="E1783" s="7">
        <v>6</v>
      </c>
      <c r="F1783" s="7">
        <f t="shared" si="28"/>
        <v>4</v>
      </c>
      <c r="G1783" s="7" t="str">
        <f>LOOKUP(H1783,[1]startdates!$A$2:$A$10,[1]startdates!$B$2:$B$10)</f>
        <v>SMr</v>
      </c>
      <c r="H1783">
        <v>1</v>
      </c>
      <c r="I1783" s="7">
        <v>754</v>
      </c>
      <c r="K1783" s="7">
        <v>548</v>
      </c>
      <c r="M1783" s="7">
        <v>306</v>
      </c>
      <c r="N1783" s="7">
        <v>186</v>
      </c>
      <c r="O1783" s="7">
        <v>163</v>
      </c>
    </row>
    <row r="1784" spans="1:18" x14ac:dyDescent="0.2">
      <c r="A1784">
        <v>1783</v>
      </c>
      <c r="B1784" s="1">
        <v>40772</v>
      </c>
      <c r="C1784" t="s">
        <v>28</v>
      </c>
      <c r="D1784" s="7">
        <v>35</v>
      </c>
      <c r="E1784" s="7">
        <v>6</v>
      </c>
      <c r="F1784" s="7">
        <f t="shared" si="28"/>
        <v>4</v>
      </c>
      <c r="G1784" s="7" t="str">
        <f>LOOKUP(H1784,[1]startdates!$A$2:$A$10,[1]startdates!$B$2:$B$10)</f>
        <v>SMr</v>
      </c>
      <c r="H1784">
        <v>1</v>
      </c>
      <c r="I1784" s="7">
        <v>804</v>
      </c>
      <c r="K1784" s="7">
        <v>605</v>
      </c>
      <c r="M1784" s="7">
        <v>323</v>
      </c>
      <c r="N1784" s="7">
        <v>177</v>
      </c>
      <c r="O1784" s="7">
        <v>181</v>
      </c>
    </row>
    <row r="1785" spans="1:18" x14ac:dyDescent="0.2">
      <c r="A1785">
        <v>1784</v>
      </c>
      <c r="B1785" s="1">
        <v>40772</v>
      </c>
      <c r="C1785" t="s">
        <v>28</v>
      </c>
      <c r="D1785" s="7">
        <v>35</v>
      </c>
      <c r="E1785" s="7">
        <v>6</v>
      </c>
      <c r="F1785" s="7">
        <f t="shared" si="28"/>
        <v>4</v>
      </c>
      <c r="G1785" s="7" t="str">
        <f>LOOKUP(H1785,[1]startdates!$A$2:$A$10,[1]startdates!$B$2:$B$10)</f>
        <v>SMr</v>
      </c>
      <c r="H1785">
        <v>1</v>
      </c>
      <c r="I1785" s="7">
        <v>737</v>
      </c>
      <c r="K1785" s="7">
        <v>647</v>
      </c>
      <c r="M1785" s="7">
        <v>286</v>
      </c>
      <c r="N1785" s="7">
        <v>221</v>
      </c>
      <c r="O1785" s="7">
        <v>162</v>
      </c>
    </row>
    <row r="1786" spans="1:18" x14ac:dyDescent="0.2">
      <c r="A1786">
        <v>1785</v>
      </c>
      <c r="B1786" s="1">
        <v>40772</v>
      </c>
      <c r="C1786" t="s">
        <v>28</v>
      </c>
      <c r="D1786" s="7">
        <v>35</v>
      </c>
      <c r="E1786" s="7">
        <v>6</v>
      </c>
      <c r="F1786" s="7">
        <f t="shared" si="28"/>
        <v>4</v>
      </c>
      <c r="G1786" s="7" t="str">
        <f>LOOKUP(H1786,[1]startdates!$A$2:$A$10,[1]startdates!$B$2:$B$10)</f>
        <v>SMr</v>
      </c>
      <c r="H1786">
        <v>1</v>
      </c>
      <c r="I1786" s="7">
        <v>674</v>
      </c>
      <c r="N1786" s="7">
        <v>250</v>
      </c>
      <c r="O1786" s="7">
        <v>162</v>
      </c>
    </row>
    <row r="1787" spans="1:18" x14ac:dyDescent="0.2">
      <c r="A1787">
        <v>1786</v>
      </c>
      <c r="B1787" s="1">
        <v>40772</v>
      </c>
      <c r="C1787" t="s">
        <v>28</v>
      </c>
      <c r="D1787" s="7">
        <v>35</v>
      </c>
      <c r="E1787" s="7">
        <v>6</v>
      </c>
      <c r="F1787" s="7">
        <f t="shared" si="28"/>
        <v>4</v>
      </c>
      <c r="G1787" s="7" t="str">
        <f>LOOKUP(H1787,[1]startdates!$A$2:$A$10,[1]startdates!$B$2:$B$10)</f>
        <v>SMr</v>
      </c>
      <c r="H1787">
        <v>1</v>
      </c>
      <c r="N1787" s="7">
        <v>225</v>
      </c>
      <c r="O1787" s="7">
        <v>156</v>
      </c>
    </row>
    <row r="1788" spans="1:18" x14ac:dyDescent="0.2">
      <c r="A1788">
        <v>1787</v>
      </c>
      <c r="B1788" s="1">
        <v>40772</v>
      </c>
      <c r="C1788" t="s">
        <v>28</v>
      </c>
      <c r="D1788" s="7">
        <v>35</v>
      </c>
      <c r="E1788" s="7">
        <v>6</v>
      </c>
      <c r="F1788" s="7">
        <f t="shared" si="28"/>
        <v>4</v>
      </c>
      <c r="G1788" s="7" t="str">
        <f>LOOKUP(H1788,[1]startdates!$A$2:$A$10,[1]startdates!$B$2:$B$10)</f>
        <v>SMr</v>
      </c>
      <c r="H1788">
        <v>1</v>
      </c>
      <c r="N1788" s="7">
        <v>226</v>
      </c>
      <c r="O1788" s="7">
        <v>157</v>
      </c>
    </row>
    <row r="1789" spans="1:18" x14ac:dyDescent="0.2">
      <c r="A1789">
        <v>1788</v>
      </c>
      <c r="B1789" s="1">
        <v>40772</v>
      </c>
      <c r="C1789" t="s">
        <v>28</v>
      </c>
      <c r="D1789" s="7">
        <v>35</v>
      </c>
      <c r="E1789" s="7">
        <v>6</v>
      </c>
      <c r="F1789" s="7">
        <f t="shared" si="28"/>
        <v>4</v>
      </c>
      <c r="G1789" s="7" t="str">
        <f>LOOKUP(H1789,[1]startdates!$A$2:$A$10,[1]startdates!$B$2:$B$10)</f>
        <v>SMr</v>
      </c>
      <c r="H1789">
        <v>1</v>
      </c>
      <c r="N1789" s="7">
        <v>248</v>
      </c>
      <c r="O1789" s="7">
        <v>158</v>
      </c>
    </row>
    <row r="1790" spans="1:18" x14ac:dyDescent="0.2">
      <c r="A1790">
        <v>1789</v>
      </c>
      <c r="B1790" s="1">
        <v>40772</v>
      </c>
      <c r="C1790" t="s">
        <v>28</v>
      </c>
      <c r="D1790" s="7">
        <v>35</v>
      </c>
      <c r="E1790" s="7">
        <v>6</v>
      </c>
      <c r="F1790" s="7">
        <f t="shared" si="28"/>
        <v>4</v>
      </c>
      <c r="G1790" s="7" t="str">
        <f>LOOKUP(H1790,[1]startdates!$A$2:$A$10,[1]startdates!$B$2:$B$10)</f>
        <v>SMr</v>
      </c>
      <c r="H1790">
        <v>1</v>
      </c>
      <c r="N1790" s="7">
        <v>190</v>
      </c>
    </row>
    <row r="1791" spans="1:18" x14ac:dyDescent="0.2">
      <c r="A1791">
        <v>1790</v>
      </c>
      <c r="B1791" s="1">
        <v>40772</v>
      </c>
      <c r="C1791" t="s">
        <v>28</v>
      </c>
      <c r="D1791" s="7">
        <v>35</v>
      </c>
      <c r="E1791" s="7">
        <v>6</v>
      </c>
      <c r="F1791" s="7">
        <f t="shared" si="28"/>
        <v>4</v>
      </c>
      <c r="G1791" s="7" t="str">
        <f>LOOKUP(H1791,[1]startdates!$A$2:$A$10,[1]startdates!$B$2:$B$10)</f>
        <v>SMr</v>
      </c>
      <c r="H1791">
        <v>1</v>
      </c>
      <c r="N1791" s="7">
        <v>261</v>
      </c>
    </row>
    <row r="1792" spans="1:18" x14ac:dyDescent="0.2">
      <c r="A1792">
        <v>1791</v>
      </c>
      <c r="B1792" s="1">
        <v>40772</v>
      </c>
      <c r="C1792" t="s">
        <v>28</v>
      </c>
      <c r="D1792" s="7">
        <v>35</v>
      </c>
      <c r="E1792" s="7">
        <v>6</v>
      </c>
      <c r="F1792" s="7">
        <f t="shared" si="28"/>
        <v>4</v>
      </c>
      <c r="G1792" s="7" t="str">
        <f>LOOKUP(H1792,[1]startdates!$A$2:$A$10,[1]startdates!$B$2:$B$10)</f>
        <v>SMr</v>
      </c>
      <c r="H1792">
        <v>1</v>
      </c>
      <c r="N1792" s="7">
        <v>186</v>
      </c>
    </row>
    <row r="1793" spans="1:19" x14ac:dyDescent="0.2">
      <c r="A1793">
        <v>1792</v>
      </c>
      <c r="B1793" s="1">
        <v>40772</v>
      </c>
      <c r="C1793" t="s">
        <v>24</v>
      </c>
      <c r="D1793" s="7">
        <v>35</v>
      </c>
      <c r="E1793" s="7">
        <v>6</v>
      </c>
      <c r="F1793" s="7">
        <f t="shared" si="28"/>
        <v>4</v>
      </c>
      <c r="G1793" s="7" t="str">
        <f>LOOKUP(H1793,[1]startdates!$A$2:$A$10,[1]startdates!$B$2:$B$10)</f>
        <v>SMr</v>
      </c>
      <c r="H1793">
        <v>2</v>
      </c>
      <c r="I1793" s="7">
        <v>772</v>
      </c>
      <c r="J1793" s="7">
        <v>545</v>
      </c>
      <c r="K1793" s="7">
        <v>570</v>
      </c>
      <c r="L1793" s="7">
        <v>564</v>
      </c>
      <c r="M1793" s="7">
        <v>303</v>
      </c>
      <c r="N1793" s="7">
        <v>239</v>
      </c>
      <c r="O1793" s="7">
        <v>175</v>
      </c>
      <c r="P1793" s="7">
        <v>514</v>
      </c>
    </row>
    <row r="1794" spans="1:19" x14ac:dyDescent="0.2">
      <c r="A1794">
        <v>1793</v>
      </c>
      <c r="B1794" s="1">
        <v>40772</v>
      </c>
      <c r="C1794" t="s">
        <v>24</v>
      </c>
      <c r="D1794" s="7">
        <v>35</v>
      </c>
      <c r="E1794" s="7">
        <v>6</v>
      </c>
      <c r="F1794" s="7">
        <f t="shared" si="28"/>
        <v>4</v>
      </c>
      <c r="G1794" s="7" t="str">
        <f>LOOKUP(H1794,[1]startdates!$A$2:$A$10,[1]startdates!$B$2:$B$10)</f>
        <v>SMr</v>
      </c>
      <c r="H1794">
        <v>2</v>
      </c>
      <c r="I1794" s="7">
        <v>657</v>
      </c>
      <c r="J1794" s="7">
        <v>624</v>
      </c>
      <c r="K1794" s="7">
        <v>590</v>
      </c>
      <c r="L1794" s="7">
        <v>387</v>
      </c>
      <c r="M1794" s="7">
        <v>293</v>
      </c>
      <c r="N1794" s="7">
        <v>227</v>
      </c>
      <c r="O1794" s="7">
        <v>168</v>
      </c>
      <c r="P1794" s="7">
        <v>515</v>
      </c>
    </row>
    <row r="1795" spans="1:19" x14ac:dyDescent="0.2">
      <c r="A1795">
        <v>1794</v>
      </c>
      <c r="B1795" s="1">
        <v>40772</v>
      </c>
      <c r="C1795" t="s">
        <v>24</v>
      </c>
      <c r="D1795" s="7">
        <v>35</v>
      </c>
      <c r="E1795" s="7">
        <v>6</v>
      </c>
      <c r="F1795" s="7">
        <f t="shared" si="28"/>
        <v>4</v>
      </c>
      <c r="G1795" s="7" t="str">
        <f>LOOKUP(H1795,[1]startdates!$A$2:$A$10,[1]startdates!$B$2:$B$10)</f>
        <v>SMr</v>
      </c>
      <c r="H1795">
        <v>2</v>
      </c>
      <c r="I1795" s="7">
        <v>787</v>
      </c>
      <c r="J1795" s="7">
        <v>623</v>
      </c>
      <c r="K1795" s="7">
        <v>610</v>
      </c>
      <c r="L1795" s="7">
        <v>511</v>
      </c>
      <c r="M1795" s="7">
        <v>340</v>
      </c>
      <c r="N1795" s="7">
        <v>202</v>
      </c>
      <c r="O1795" s="7">
        <v>176</v>
      </c>
    </row>
    <row r="1796" spans="1:19" x14ac:dyDescent="0.2">
      <c r="A1796">
        <v>1795</v>
      </c>
      <c r="B1796" s="1">
        <v>40772</v>
      </c>
      <c r="C1796" t="s">
        <v>24</v>
      </c>
      <c r="D1796" s="7">
        <v>35</v>
      </c>
      <c r="E1796" s="7">
        <v>6</v>
      </c>
      <c r="F1796" s="7">
        <f t="shared" si="28"/>
        <v>4</v>
      </c>
      <c r="G1796" s="7" t="str">
        <f>LOOKUP(H1796,[1]startdates!$A$2:$A$10,[1]startdates!$B$2:$B$10)</f>
        <v>SMr</v>
      </c>
      <c r="H1796">
        <v>2</v>
      </c>
      <c r="I1796" s="7">
        <v>746</v>
      </c>
      <c r="K1796" s="7">
        <v>605</v>
      </c>
      <c r="L1796" s="7">
        <v>547</v>
      </c>
      <c r="M1796" s="7">
        <v>341</v>
      </c>
      <c r="N1796" s="7">
        <v>171</v>
      </c>
      <c r="O1796" s="7">
        <v>176</v>
      </c>
    </row>
    <row r="1797" spans="1:19" x14ac:dyDescent="0.2">
      <c r="A1797">
        <v>1796</v>
      </c>
      <c r="B1797" s="1">
        <v>40772</v>
      </c>
      <c r="C1797" t="s">
        <v>24</v>
      </c>
      <c r="D1797" s="7">
        <v>35</v>
      </c>
      <c r="E1797" s="7">
        <v>6</v>
      </c>
      <c r="F1797" s="7">
        <f t="shared" si="28"/>
        <v>4</v>
      </c>
      <c r="G1797" s="7" t="str">
        <f>LOOKUP(H1797,[1]startdates!$A$2:$A$10,[1]startdates!$B$2:$B$10)</f>
        <v>SMr</v>
      </c>
      <c r="H1797">
        <v>2</v>
      </c>
      <c r="I1797" s="7">
        <v>756</v>
      </c>
      <c r="M1797" s="7">
        <v>326</v>
      </c>
      <c r="N1797" s="7">
        <v>220</v>
      </c>
      <c r="O1797" s="7">
        <v>171</v>
      </c>
    </row>
    <row r="1798" spans="1:19" x14ac:dyDescent="0.2">
      <c r="A1798">
        <v>1797</v>
      </c>
      <c r="B1798" s="1">
        <v>40772</v>
      </c>
      <c r="C1798" t="s">
        <v>24</v>
      </c>
      <c r="D1798" s="7">
        <v>35</v>
      </c>
      <c r="E1798" s="7">
        <v>6</v>
      </c>
      <c r="F1798" s="7">
        <f t="shared" si="28"/>
        <v>4</v>
      </c>
      <c r="G1798" s="7" t="str">
        <f>LOOKUP(H1798,[1]startdates!$A$2:$A$10,[1]startdates!$B$2:$B$10)</f>
        <v>SMr</v>
      </c>
      <c r="H1798">
        <v>2</v>
      </c>
      <c r="I1798" s="7">
        <v>661</v>
      </c>
      <c r="M1798" s="7">
        <v>273</v>
      </c>
      <c r="N1798" s="7">
        <v>213</v>
      </c>
      <c r="O1798" s="7">
        <v>164</v>
      </c>
    </row>
    <row r="1799" spans="1:19" x14ac:dyDescent="0.2">
      <c r="A1799">
        <v>1798</v>
      </c>
      <c r="B1799" s="1">
        <v>40772</v>
      </c>
      <c r="C1799" t="s">
        <v>24</v>
      </c>
      <c r="D1799" s="7">
        <v>35</v>
      </c>
      <c r="E1799" s="7">
        <v>6</v>
      </c>
      <c r="F1799" s="7">
        <f t="shared" si="28"/>
        <v>4</v>
      </c>
      <c r="G1799" s="7" t="str">
        <f>LOOKUP(H1799,[1]startdates!$A$2:$A$10,[1]startdates!$B$2:$B$10)</f>
        <v>SMr</v>
      </c>
      <c r="H1799">
        <v>2</v>
      </c>
      <c r="I1799" s="7">
        <v>745</v>
      </c>
      <c r="M1799" s="7">
        <v>355</v>
      </c>
      <c r="N1799" s="7">
        <v>242</v>
      </c>
      <c r="O1799" s="7">
        <v>167</v>
      </c>
    </row>
    <row r="1800" spans="1:19" x14ac:dyDescent="0.2">
      <c r="A1800">
        <v>1799</v>
      </c>
      <c r="B1800" s="1">
        <v>40772</v>
      </c>
      <c r="C1800" t="s">
        <v>24</v>
      </c>
      <c r="D1800" s="7">
        <v>35</v>
      </c>
      <c r="E1800" s="7">
        <v>6</v>
      </c>
      <c r="F1800" s="7">
        <f t="shared" si="28"/>
        <v>4</v>
      </c>
      <c r="G1800" s="7" t="str">
        <f>LOOKUP(H1800,[1]startdates!$A$2:$A$10,[1]startdates!$B$2:$B$10)</f>
        <v>SMr</v>
      </c>
      <c r="H1800">
        <v>2</v>
      </c>
      <c r="I1800" s="7">
        <v>772</v>
      </c>
      <c r="N1800" s="7">
        <v>181</v>
      </c>
      <c r="O1800" s="7">
        <v>155</v>
      </c>
    </row>
    <row r="1801" spans="1:19" x14ac:dyDescent="0.2">
      <c r="A1801">
        <v>1800</v>
      </c>
      <c r="B1801" s="1">
        <v>40772</v>
      </c>
      <c r="C1801" t="s">
        <v>24</v>
      </c>
      <c r="D1801" s="7">
        <v>35</v>
      </c>
      <c r="E1801" s="7">
        <v>6</v>
      </c>
      <c r="F1801" s="7">
        <f t="shared" si="28"/>
        <v>4</v>
      </c>
      <c r="G1801" s="7" t="str">
        <f>LOOKUP(H1801,[1]startdates!$A$2:$A$10,[1]startdates!$B$2:$B$10)</f>
        <v>SMr</v>
      </c>
      <c r="H1801">
        <v>2</v>
      </c>
      <c r="N1801" s="7">
        <v>221</v>
      </c>
      <c r="O1801" s="7">
        <v>155</v>
      </c>
    </row>
    <row r="1802" spans="1:19" x14ac:dyDescent="0.2">
      <c r="A1802">
        <v>1801</v>
      </c>
      <c r="B1802" s="1">
        <v>40772</v>
      </c>
      <c r="C1802" t="s">
        <v>24</v>
      </c>
      <c r="D1802" s="7">
        <v>35</v>
      </c>
      <c r="E1802" s="7">
        <v>6</v>
      </c>
      <c r="F1802" s="7">
        <f t="shared" si="28"/>
        <v>4</v>
      </c>
      <c r="G1802" s="7" t="str">
        <f>LOOKUP(H1802,[1]startdates!$A$2:$A$10,[1]startdates!$B$2:$B$10)</f>
        <v>SMr</v>
      </c>
      <c r="H1802">
        <v>2</v>
      </c>
      <c r="N1802" s="7">
        <v>229</v>
      </c>
      <c r="O1802" s="7">
        <v>179</v>
      </c>
    </row>
    <row r="1803" spans="1:19" x14ac:dyDescent="0.2">
      <c r="A1803">
        <v>1802</v>
      </c>
      <c r="B1803" s="1">
        <v>40772</v>
      </c>
      <c r="C1803" t="s">
        <v>24</v>
      </c>
      <c r="D1803" s="7">
        <v>35</v>
      </c>
      <c r="E1803" s="7">
        <v>6</v>
      </c>
      <c r="F1803" s="7">
        <f t="shared" si="28"/>
        <v>4</v>
      </c>
      <c r="G1803" s="7" t="str">
        <f>LOOKUP(H1803,[1]startdates!$A$2:$A$10,[1]startdates!$B$2:$B$10)</f>
        <v>SMr</v>
      </c>
      <c r="H1803">
        <v>2</v>
      </c>
      <c r="N1803" s="7">
        <v>186</v>
      </c>
      <c r="O1803" s="7">
        <v>177</v>
      </c>
    </row>
    <row r="1804" spans="1:19" x14ac:dyDescent="0.2">
      <c r="A1804">
        <v>1803</v>
      </c>
      <c r="B1804" s="1">
        <v>40772</v>
      </c>
      <c r="C1804" t="s">
        <v>24</v>
      </c>
      <c r="D1804" s="7">
        <v>35</v>
      </c>
      <c r="E1804" s="7">
        <v>6</v>
      </c>
      <c r="F1804" s="7">
        <f t="shared" si="28"/>
        <v>4</v>
      </c>
      <c r="G1804" s="7" t="str">
        <f>LOOKUP(H1804,[1]startdates!$A$2:$A$10,[1]startdates!$B$2:$B$10)</f>
        <v>SMr</v>
      </c>
      <c r="H1804">
        <v>2</v>
      </c>
      <c r="O1804" s="7">
        <v>185</v>
      </c>
    </row>
    <row r="1805" spans="1:19" x14ac:dyDescent="0.2">
      <c r="A1805">
        <v>1804</v>
      </c>
      <c r="B1805" s="1">
        <v>40772</v>
      </c>
      <c r="C1805" t="s">
        <v>24</v>
      </c>
      <c r="D1805" s="7">
        <v>35</v>
      </c>
      <c r="E1805" s="7">
        <v>6</v>
      </c>
      <c r="F1805" s="7">
        <f t="shared" si="28"/>
        <v>4</v>
      </c>
      <c r="G1805" s="7" t="str">
        <f>LOOKUP(H1805,[1]startdates!$A$2:$A$10,[1]startdates!$B$2:$B$10)</f>
        <v>SMr</v>
      </c>
      <c r="H1805">
        <v>2</v>
      </c>
      <c r="O1805" s="7">
        <v>183</v>
      </c>
    </row>
    <row r="1806" spans="1:19" x14ac:dyDescent="0.2">
      <c r="A1806">
        <v>1805</v>
      </c>
      <c r="B1806" s="1">
        <v>40772</v>
      </c>
      <c r="C1806" t="s">
        <v>24</v>
      </c>
      <c r="D1806" s="7">
        <v>35</v>
      </c>
      <c r="E1806" s="7">
        <v>6</v>
      </c>
      <c r="F1806" s="7">
        <f t="shared" si="28"/>
        <v>4</v>
      </c>
      <c r="G1806" s="7" t="str">
        <f>LOOKUP(H1806,[1]startdates!$A$2:$A$10,[1]startdates!$B$2:$B$10)</f>
        <v>SMr</v>
      </c>
      <c r="H1806">
        <v>2</v>
      </c>
      <c r="O1806" s="7">
        <v>186</v>
      </c>
    </row>
    <row r="1807" spans="1:19" x14ac:dyDescent="0.2">
      <c r="A1807">
        <v>1806</v>
      </c>
      <c r="B1807" s="1">
        <v>40772</v>
      </c>
      <c r="C1807" t="s">
        <v>24</v>
      </c>
      <c r="D1807" s="7">
        <v>35</v>
      </c>
      <c r="E1807" s="7">
        <v>6</v>
      </c>
      <c r="F1807" s="7">
        <f t="shared" si="28"/>
        <v>4</v>
      </c>
      <c r="G1807" s="7" t="str">
        <f>LOOKUP(H1807,[1]startdates!$A$2:$A$10,[1]startdates!$B$2:$B$10)</f>
        <v>SMr</v>
      </c>
      <c r="H1807">
        <v>2</v>
      </c>
      <c r="O1807" s="7">
        <v>192</v>
      </c>
    </row>
    <row r="1808" spans="1:19" x14ac:dyDescent="0.2">
      <c r="A1808">
        <v>1807</v>
      </c>
      <c r="B1808" s="1">
        <v>40772</v>
      </c>
      <c r="C1808" t="s">
        <v>28</v>
      </c>
      <c r="D1808" s="7">
        <v>35</v>
      </c>
      <c r="E1808" s="7">
        <v>6</v>
      </c>
      <c r="F1808" s="7">
        <f t="shared" si="28"/>
        <v>4</v>
      </c>
      <c r="G1808" s="7" t="str">
        <f>LOOKUP(H1808,[1]startdates!$A$2:$A$10,[1]startdates!$B$2:$B$10)</f>
        <v>C</v>
      </c>
      <c r="H1808">
        <v>3</v>
      </c>
      <c r="I1808" s="7">
        <v>781</v>
      </c>
      <c r="K1808" s="7">
        <v>542</v>
      </c>
      <c r="L1808" s="7">
        <v>522</v>
      </c>
      <c r="M1808" s="7">
        <v>309</v>
      </c>
      <c r="N1808" s="7">
        <v>193</v>
      </c>
      <c r="O1808" s="7">
        <v>177</v>
      </c>
      <c r="P1808" s="7">
        <v>488</v>
      </c>
      <c r="Q1808" s="7">
        <v>382</v>
      </c>
      <c r="S1808" s="7">
        <v>325</v>
      </c>
    </row>
    <row r="1809" spans="1:17" x14ac:dyDescent="0.2">
      <c r="A1809">
        <v>1808</v>
      </c>
      <c r="B1809" s="1">
        <v>40772</v>
      </c>
      <c r="C1809" t="s">
        <v>28</v>
      </c>
      <c r="D1809" s="7">
        <v>35</v>
      </c>
      <c r="E1809" s="7">
        <v>6</v>
      </c>
      <c r="F1809" s="7">
        <f t="shared" si="28"/>
        <v>4</v>
      </c>
      <c r="G1809" s="7" t="str">
        <f>LOOKUP(H1809,[1]startdates!$A$2:$A$10,[1]startdates!$B$2:$B$10)</f>
        <v>C</v>
      </c>
      <c r="H1809">
        <v>3</v>
      </c>
      <c r="I1809" s="7">
        <v>641</v>
      </c>
      <c r="K1809" s="7">
        <v>641</v>
      </c>
      <c r="M1809" s="7">
        <v>309</v>
      </c>
      <c r="N1809" s="7">
        <v>208</v>
      </c>
      <c r="O1809" s="7">
        <v>162</v>
      </c>
      <c r="P1809" s="7">
        <v>516</v>
      </c>
      <c r="Q1809" s="7">
        <v>383</v>
      </c>
    </row>
    <row r="1810" spans="1:17" x14ac:dyDescent="0.2">
      <c r="A1810">
        <v>1809</v>
      </c>
      <c r="B1810" s="1">
        <v>40772</v>
      </c>
      <c r="C1810" t="s">
        <v>28</v>
      </c>
      <c r="D1810" s="7">
        <v>35</v>
      </c>
      <c r="E1810" s="7">
        <v>6</v>
      </c>
      <c r="F1810" s="7">
        <f t="shared" si="28"/>
        <v>4</v>
      </c>
      <c r="G1810" s="7" t="str">
        <f>LOOKUP(H1810,[1]startdates!$A$2:$A$10,[1]startdates!$B$2:$B$10)</f>
        <v>C</v>
      </c>
      <c r="H1810">
        <v>3</v>
      </c>
      <c r="I1810" s="7">
        <v>848</v>
      </c>
      <c r="K1810" s="7">
        <v>581</v>
      </c>
      <c r="M1810" s="7">
        <v>295</v>
      </c>
      <c r="N1810" s="7">
        <v>220</v>
      </c>
      <c r="O1810" s="7">
        <v>189</v>
      </c>
      <c r="P1810" s="7">
        <v>531</v>
      </c>
    </row>
    <row r="1811" spans="1:17" x14ac:dyDescent="0.2">
      <c r="A1811">
        <v>1810</v>
      </c>
      <c r="B1811" s="1">
        <v>40772</v>
      </c>
      <c r="C1811" t="s">
        <v>28</v>
      </c>
      <c r="D1811" s="7">
        <v>35</v>
      </c>
      <c r="E1811" s="7">
        <v>6</v>
      </c>
      <c r="F1811" s="7">
        <f t="shared" si="28"/>
        <v>4</v>
      </c>
      <c r="G1811" s="7" t="str">
        <f>LOOKUP(H1811,[1]startdates!$A$2:$A$10,[1]startdates!$B$2:$B$10)</f>
        <v>C</v>
      </c>
      <c r="H1811">
        <v>3</v>
      </c>
      <c r="I1811" s="7">
        <v>802</v>
      </c>
      <c r="K1811" s="7">
        <v>569</v>
      </c>
      <c r="M1811" s="7">
        <v>278</v>
      </c>
      <c r="N1811" s="7">
        <v>226</v>
      </c>
      <c r="O1811" s="7">
        <v>172</v>
      </c>
      <c r="P1811" s="7">
        <v>490</v>
      </c>
    </row>
    <row r="1812" spans="1:17" x14ac:dyDescent="0.2">
      <c r="A1812">
        <v>1811</v>
      </c>
      <c r="B1812" s="1">
        <v>40772</v>
      </c>
      <c r="C1812" t="s">
        <v>28</v>
      </c>
      <c r="D1812" s="7">
        <v>35</v>
      </c>
      <c r="E1812" s="7">
        <v>6</v>
      </c>
      <c r="F1812" s="7">
        <f t="shared" si="28"/>
        <v>4</v>
      </c>
      <c r="G1812" s="7" t="str">
        <f>LOOKUP(H1812,[1]startdates!$A$2:$A$10,[1]startdates!$B$2:$B$10)</f>
        <v>C</v>
      </c>
      <c r="H1812">
        <v>3</v>
      </c>
      <c r="I1812" s="7">
        <v>823</v>
      </c>
      <c r="K1812" s="7">
        <v>616</v>
      </c>
      <c r="M1812" s="7">
        <v>277</v>
      </c>
      <c r="N1812" s="7">
        <v>246</v>
      </c>
      <c r="O1812" s="7">
        <v>172</v>
      </c>
      <c r="P1812" s="7">
        <v>526</v>
      </c>
    </row>
    <row r="1813" spans="1:17" x14ac:dyDescent="0.2">
      <c r="A1813">
        <v>1812</v>
      </c>
      <c r="B1813" s="1">
        <v>40772</v>
      </c>
      <c r="C1813" t="s">
        <v>28</v>
      </c>
      <c r="D1813" s="7">
        <v>35</v>
      </c>
      <c r="E1813" s="7">
        <v>6</v>
      </c>
      <c r="F1813" s="7">
        <f t="shared" si="28"/>
        <v>4</v>
      </c>
      <c r="G1813" s="7" t="str">
        <f>LOOKUP(H1813,[1]startdates!$A$2:$A$10,[1]startdates!$B$2:$B$10)</f>
        <v>C</v>
      </c>
      <c r="H1813">
        <v>3</v>
      </c>
      <c r="N1813" s="7">
        <v>193</v>
      </c>
      <c r="O1813" s="7">
        <v>175</v>
      </c>
    </row>
    <row r="1814" spans="1:17" x14ac:dyDescent="0.2">
      <c r="A1814">
        <v>1813</v>
      </c>
      <c r="B1814" s="1">
        <v>40772</v>
      </c>
      <c r="C1814" t="s">
        <v>28</v>
      </c>
      <c r="D1814" s="7">
        <v>35</v>
      </c>
      <c r="E1814" s="7">
        <v>6</v>
      </c>
      <c r="F1814" s="7">
        <f t="shared" si="28"/>
        <v>4</v>
      </c>
      <c r="G1814" s="7" t="str">
        <f>LOOKUP(H1814,[1]startdates!$A$2:$A$10,[1]startdates!$B$2:$B$10)</f>
        <v>C</v>
      </c>
      <c r="H1814">
        <v>3</v>
      </c>
      <c r="N1814" s="7">
        <v>211</v>
      </c>
      <c r="O1814" s="7">
        <v>183</v>
      </c>
    </row>
    <row r="1815" spans="1:17" x14ac:dyDescent="0.2">
      <c r="A1815">
        <v>1814</v>
      </c>
      <c r="B1815" s="1">
        <v>40772</v>
      </c>
      <c r="C1815" t="s">
        <v>28</v>
      </c>
      <c r="D1815" s="7">
        <v>35</v>
      </c>
      <c r="E1815" s="7">
        <v>6</v>
      </c>
      <c r="F1815" s="7">
        <f t="shared" si="28"/>
        <v>4</v>
      </c>
      <c r="G1815" s="7" t="str">
        <f>LOOKUP(H1815,[1]startdates!$A$2:$A$10,[1]startdates!$B$2:$B$10)</f>
        <v>C</v>
      </c>
      <c r="H1815">
        <v>3</v>
      </c>
      <c r="N1815" s="7">
        <v>204</v>
      </c>
      <c r="O1815" s="7">
        <v>159</v>
      </c>
    </row>
    <row r="1816" spans="1:17" x14ac:dyDescent="0.2">
      <c r="A1816">
        <v>1815</v>
      </c>
      <c r="B1816" s="1">
        <v>40772</v>
      </c>
      <c r="C1816" t="s">
        <v>28</v>
      </c>
      <c r="D1816" s="7">
        <v>35</v>
      </c>
      <c r="E1816" s="7">
        <v>6</v>
      </c>
      <c r="F1816" s="7">
        <f t="shared" si="28"/>
        <v>4</v>
      </c>
      <c r="G1816" s="7" t="str">
        <f>LOOKUP(H1816,[1]startdates!$A$2:$A$10,[1]startdates!$B$2:$B$10)</f>
        <v>C</v>
      </c>
      <c r="H1816">
        <v>3</v>
      </c>
      <c r="N1816" s="7">
        <v>249</v>
      </c>
      <c r="O1816" s="7">
        <v>170</v>
      </c>
    </row>
    <row r="1817" spans="1:17" x14ac:dyDescent="0.2">
      <c r="A1817">
        <v>1816</v>
      </c>
      <c r="B1817" s="1">
        <v>40772</v>
      </c>
      <c r="C1817" t="s">
        <v>28</v>
      </c>
      <c r="D1817" s="7">
        <v>35</v>
      </c>
      <c r="E1817" s="7">
        <v>6</v>
      </c>
      <c r="F1817" s="7">
        <f t="shared" si="28"/>
        <v>4</v>
      </c>
      <c r="G1817" s="7" t="str">
        <f>LOOKUP(H1817,[1]startdates!$A$2:$A$10,[1]startdates!$B$2:$B$10)</f>
        <v>C</v>
      </c>
      <c r="H1817">
        <v>3</v>
      </c>
      <c r="O1817" s="7">
        <v>177</v>
      </c>
    </row>
    <row r="1818" spans="1:17" x14ac:dyDescent="0.2">
      <c r="A1818">
        <v>1817</v>
      </c>
      <c r="B1818" s="1">
        <v>40772</v>
      </c>
      <c r="C1818" t="s">
        <v>24</v>
      </c>
      <c r="D1818" s="7">
        <v>35</v>
      </c>
      <c r="E1818" s="7">
        <v>6</v>
      </c>
      <c r="F1818" s="7">
        <f t="shared" si="28"/>
        <v>4</v>
      </c>
      <c r="G1818" s="7" t="str">
        <f>LOOKUP(H1818,[1]startdates!$A$2:$A$10,[1]startdates!$B$2:$B$10)</f>
        <v>SMr</v>
      </c>
      <c r="H1818">
        <v>4</v>
      </c>
      <c r="I1818" s="7">
        <v>733</v>
      </c>
      <c r="J1818" s="7">
        <v>545</v>
      </c>
      <c r="K1818" s="7">
        <v>618</v>
      </c>
      <c r="L1818" s="7">
        <v>417</v>
      </c>
      <c r="M1818" s="7">
        <v>341</v>
      </c>
      <c r="N1818" s="7">
        <v>184</v>
      </c>
      <c r="O1818" s="7">
        <v>195</v>
      </c>
      <c r="P1818" s="7">
        <v>539</v>
      </c>
    </row>
    <row r="1819" spans="1:17" x14ac:dyDescent="0.2">
      <c r="A1819">
        <v>1818</v>
      </c>
      <c r="B1819" s="1">
        <v>40772</v>
      </c>
      <c r="C1819" t="s">
        <v>24</v>
      </c>
      <c r="D1819" s="7">
        <v>35</v>
      </c>
      <c r="E1819" s="7">
        <v>6</v>
      </c>
      <c r="F1819" s="7">
        <f t="shared" si="28"/>
        <v>4</v>
      </c>
      <c r="G1819" s="7" t="str">
        <f>LOOKUP(H1819,[1]startdates!$A$2:$A$10,[1]startdates!$B$2:$B$10)</f>
        <v>SMr</v>
      </c>
      <c r="H1819">
        <v>4</v>
      </c>
      <c r="I1819" s="7">
        <v>756</v>
      </c>
      <c r="K1819" s="7">
        <v>626</v>
      </c>
      <c r="L1819" s="7">
        <v>394</v>
      </c>
      <c r="M1819" s="7">
        <v>321</v>
      </c>
      <c r="N1819" s="7">
        <v>205</v>
      </c>
      <c r="O1819" s="7">
        <v>149</v>
      </c>
      <c r="P1819" s="7">
        <v>520</v>
      </c>
    </row>
    <row r="1820" spans="1:17" x14ac:dyDescent="0.2">
      <c r="A1820">
        <v>1819</v>
      </c>
      <c r="B1820" s="1">
        <v>40772</v>
      </c>
      <c r="C1820" t="s">
        <v>24</v>
      </c>
      <c r="D1820" s="7">
        <v>35</v>
      </c>
      <c r="E1820" s="7">
        <v>6</v>
      </c>
      <c r="F1820" s="7">
        <f t="shared" si="28"/>
        <v>4</v>
      </c>
      <c r="G1820" s="7" t="str">
        <f>LOOKUP(H1820,[1]startdates!$A$2:$A$10,[1]startdates!$B$2:$B$10)</f>
        <v>SMr</v>
      </c>
      <c r="H1820">
        <v>4</v>
      </c>
      <c r="I1820" s="7">
        <v>748</v>
      </c>
      <c r="K1820" s="7">
        <v>556</v>
      </c>
      <c r="L1820" s="7">
        <v>377</v>
      </c>
      <c r="M1820" s="7">
        <v>261</v>
      </c>
      <c r="N1820" s="7">
        <v>211</v>
      </c>
      <c r="O1820" s="7">
        <v>149</v>
      </c>
    </row>
    <row r="1821" spans="1:17" x14ac:dyDescent="0.2">
      <c r="A1821">
        <v>1820</v>
      </c>
      <c r="B1821" s="1">
        <v>40772</v>
      </c>
      <c r="C1821" t="s">
        <v>24</v>
      </c>
      <c r="D1821" s="7">
        <v>35</v>
      </c>
      <c r="E1821" s="7">
        <v>6</v>
      </c>
      <c r="F1821" s="7">
        <f t="shared" si="28"/>
        <v>4</v>
      </c>
      <c r="G1821" s="7" t="str">
        <f>LOOKUP(H1821,[1]startdates!$A$2:$A$10,[1]startdates!$B$2:$B$10)</f>
        <v>SMr</v>
      </c>
      <c r="H1821">
        <v>4</v>
      </c>
      <c r="I1821" s="7">
        <v>677</v>
      </c>
      <c r="K1821" s="7">
        <v>611</v>
      </c>
      <c r="L1821" s="7">
        <v>399</v>
      </c>
      <c r="M1821" s="7">
        <v>243</v>
      </c>
      <c r="N1821" s="7">
        <v>239</v>
      </c>
      <c r="O1821" s="7">
        <v>181</v>
      </c>
    </row>
    <row r="1822" spans="1:17" x14ac:dyDescent="0.2">
      <c r="A1822">
        <v>1821</v>
      </c>
      <c r="B1822" s="1">
        <v>40772</v>
      </c>
      <c r="C1822" t="s">
        <v>24</v>
      </c>
      <c r="D1822" s="7">
        <v>35</v>
      </c>
      <c r="E1822" s="7">
        <v>6</v>
      </c>
      <c r="F1822" s="7">
        <f t="shared" si="28"/>
        <v>4</v>
      </c>
      <c r="G1822" s="7" t="str">
        <f>LOOKUP(H1822,[1]startdates!$A$2:$A$10,[1]startdates!$B$2:$B$10)</f>
        <v>SMr</v>
      </c>
      <c r="H1822">
        <v>4</v>
      </c>
      <c r="I1822" s="7">
        <v>772</v>
      </c>
      <c r="M1822" s="7">
        <v>338</v>
      </c>
      <c r="N1822" s="7">
        <v>254</v>
      </c>
      <c r="O1822" s="7">
        <v>178</v>
      </c>
    </row>
    <row r="1823" spans="1:17" x14ac:dyDescent="0.2">
      <c r="A1823">
        <v>1822</v>
      </c>
      <c r="B1823" s="1">
        <v>40772</v>
      </c>
      <c r="C1823" t="s">
        <v>24</v>
      </c>
      <c r="D1823" s="7">
        <v>35</v>
      </c>
      <c r="E1823" s="7">
        <v>6</v>
      </c>
      <c r="F1823" s="7">
        <f t="shared" si="28"/>
        <v>4</v>
      </c>
      <c r="G1823" s="7" t="str">
        <f>LOOKUP(H1823,[1]startdates!$A$2:$A$10,[1]startdates!$B$2:$B$10)</f>
        <v>SMr</v>
      </c>
      <c r="H1823">
        <v>4</v>
      </c>
      <c r="I1823" s="7">
        <v>644</v>
      </c>
      <c r="M1823" s="7">
        <v>319</v>
      </c>
      <c r="N1823" s="7">
        <v>182</v>
      </c>
      <c r="O1823" s="7">
        <v>192</v>
      </c>
    </row>
    <row r="1824" spans="1:17" x14ac:dyDescent="0.2">
      <c r="A1824">
        <v>1823</v>
      </c>
      <c r="B1824" s="1">
        <v>40772</v>
      </c>
      <c r="C1824" t="s">
        <v>24</v>
      </c>
      <c r="D1824" s="7">
        <v>35</v>
      </c>
      <c r="E1824" s="7">
        <v>6</v>
      </c>
      <c r="F1824" s="7">
        <f t="shared" si="28"/>
        <v>4</v>
      </c>
      <c r="G1824" s="7" t="str">
        <f>LOOKUP(H1824,[1]startdates!$A$2:$A$10,[1]startdates!$B$2:$B$10)</f>
        <v>SMr</v>
      </c>
      <c r="H1824">
        <v>4</v>
      </c>
      <c r="I1824" s="7">
        <v>651</v>
      </c>
      <c r="M1824" s="7">
        <v>267</v>
      </c>
      <c r="N1824" s="7">
        <v>187</v>
      </c>
      <c r="O1824" s="7">
        <v>182</v>
      </c>
    </row>
    <row r="1825" spans="1:18" x14ac:dyDescent="0.2">
      <c r="A1825">
        <v>1824</v>
      </c>
      <c r="B1825" s="1">
        <v>40772</v>
      </c>
      <c r="C1825" t="s">
        <v>24</v>
      </c>
      <c r="D1825" s="7">
        <v>35</v>
      </c>
      <c r="E1825" s="7">
        <v>6</v>
      </c>
      <c r="F1825" s="7">
        <f t="shared" si="28"/>
        <v>4</v>
      </c>
      <c r="G1825" s="7" t="str">
        <f>LOOKUP(H1825,[1]startdates!$A$2:$A$10,[1]startdates!$B$2:$B$10)</f>
        <v>SMr</v>
      </c>
      <c r="H1825">
        <v>4</v>
      </c>
      <c r="I1825" s="7">
        <v>712</v>
      </c>
      <c r="M1825" s="7">
        <v>332</v>
      </c>
      <c r="N1825" s="7">
        <v>201</v>
      </c>
      <c r="O1825" s="7">
        <v>152</v>
      </c>
    </row>
    <row r="1826" spans="1:18" x14ac:dyDescent="0.2">
      <c r="A1826">
        <v>1825</v>
      </c>
      <c r="B1826" s="1">
        <v>40772</v>
      </c>
      <c r="C1826" t="s">
        <v>24</v>
      </c>
      <c r="D1826" s="7">
        <v>35</v>
      </c>
      <c r="E1826" s="7">
        <v>6</v>
      </c>
      <c r="F1826" s="7">
        <f t="shared" si="28"/>
        <v>4</v>
      </c>
      <c r="G1826" s="7" t="str">
        <f>LOOKUP(H1826,[1]startdates!$A$2:$A$10,[1]startdates!$B$2:$B$10)</f>
        <v>SMr</v>
      </c>
      <c r="H1826">
        <v>4</v>
      </c>
      <c r="I1826" s="7">
        <v>659</v>
      </c>
      <c r="N1826" s="7">
        <v>177</v>
      </c>
      <c r="O1826" s="7">
        <v>157</v>
      </c>
    </row>
    <row r="1827" spans="1:18" x14ac:dyDescent="0.2">
      <c r="A1827">
        <v>1826</v>
      </c>
      <c r="B1827" s="1">
        <v>40772</v>
      </c>
      <c r="C1827" t="s">
        <v>24</v>
      </c>
      <c r="D1827" s="7">
        <v>35</v>
      </c>
      <c r="E1827" s="7">
        <v>6</v>
      </c>
      <c r="F1827" s="7">
        <f t="shared" si="28"/>
        <v>4</v>
      </c>
      <c r="G1827" s="7" t="str">
        <f>LOOKUP(H1827,[1]startdates!$A$2:$A$10,[1]startdates!$B$2:$B$10)</f>
        <v>SMr</v>
      </c>
      <c r="H1827">
        <v>4</v>
      </c>
      <c r="N1827" s="7">
        <v>214</v>
      </c>
      <c r="O1827" s="7">
        <v>154</v>
      </c>
    </row>
    <row r="1828" spans="1:18" x14ac:dyDescent="0.2">
      <c r="A1828">
        <v>1827</v>
      </c>
      <c r="B1828" s="1">
        <v>40772</v>
      </c>
      <c r="C1828" t="s">
        <v>24</v>
      </c>
      <c r="D1828" s="7">
        <v>35</v>
      </c>
      <c r="E1828" s="7">
        <v>6</v>
      </c>
      <c r="F1828" s="7">
        <f t="shared" si="28"/>
        <v>4</v>
      </c>
      <c r="G1828" s="7" t="str">
        <f>LOOKUP(H1828,[1]startdates!$A$2:$A$10,[1]startdates!$B$2:$B$10)</f>
        <v>SMr</v>
      </c>
      <c r="H1828">
        <v>4</v>
      </c>
      <c r="N1828" s="7">
        <v>216</v>
      </c>
      <c r="O1828" s="7">
        <v>171</v>
      </c>
    </row>
    <row r="1829" spans="1:18" x14ac:dyDescent="0.2">
      <c r="A1829">
        <v>1828</v>
      </c>
      <c r="B1829" s="1">
        <v>40772</v>
      </c>
      <c r="C1829" t="s">
        <v>24</v>
      </c>
      <c r="D1829" s="7">
        <v>35</v>
      </c>
      <c r="E1829" s="7">
        <v>6</v>
      </c>
      <c r="F1829" s="7">
        <f t="shared" si="28"/>
        <v>4</v>
      </c>
      <c r="G1829" s="7" t="str">
        <f>LOOKUP(H1829,[1]startdates!$A$2:$A$10,[1]startdates!$B$2:$B$10)</f>
        <v>SMr</v>
      </c>
      <c r="H1829">
        <v>4</v>
      </c>
      <c r="N1829" s="7">
        <v>223</v>
      </c>
      <c r="O1829" s="7">
        <v>160</v>
      </c>
    </row>
    <row r="1830" spans="1:18" x14ac:dyDescent="0.2">
      <c r="A1830">
        <v>1829</v>
      </c>
      <c r="B1830" s="1">
        <v>40772</v>
      </c>
      <c r="C1830" t="s">
        <v>24</v>
      </c>
      <c r="D1830" s="7">
        <v>35</v>
      </c>
      <c r="E1830" s="7">
        <v>6</v>
      </c>
      <c r="F1830" s="7">
        <f t="shared" si="28"/>
        <v>4</v>
      </c>
      <c r="G1830" s="7" t="str">
        <f>LOOKUP(H1830,[1]startdates!$A$2:$A$10,[1]startdates!$B$2:$B$10)</f>
        <v>SMr</v>
      </c>
      <c r="H1830">
        <v>4</v>
      </c>
      <c r="N1830" s="7">
        <v>199</v>
      </c>
      <c r="O1830" s="7">
        <v>170</v>
      </c>
    </row>
    <row r="1831" spans="1:18" x14ac:dyDescent="0.2">
      <c r="A1831">
        <v>1830</v>
      </c>
      <c r="B1831" s="1">
        <v>40772</v>
      </c>
      <c r="C1831" t="s">
        <v>24</v>
      </c>
      <c r="D1831" s="7">
        <v>35</v>
      </c>
      <c r="E1831" s="7">
        <v>6</v>
      </c>
      <c r="F1831" s="7">
        <f t="shared" si="28"/>
        <v>4</v>
      </c>
      <c r="G1831" s="7" t="str">
        <f>LOOKUP(H1831,[1]startdates!$A$2:$A$10,[1]startdates!$B$2:$B$10)</f>
        <v>SMr</v>
      </c>
      <c r="H1831">
        <v>4</v>
      </c>
      <c r="N1831" s="7">
        <v>175</v>
      </c>
      <c r="O1831" s="7">
        <v>155</v>
      </c>
    </row>
    <row r="1832" spans="1:18" x14ac:dyDescent="0.2">
      <c r="A1832">
        <v>1831</v>
      </c>
      <c r="B1832" s="1">
        <v>40772</v>
      </c>
      <c r="C1832" t="s">
        <v>24</v>
      </c>
      <c r="D1832" s="7">
        <v>35</v>
      </c>
      <c r="E1832" s="7">
        <v>6</v>
      </c>
      <c r="F1832" s="7">
        <f t="shared" si="28"/>
        <v>4</v>
      </c>
      <c r="G1832" s="7" t="str">
        <f>LOOKUP(H1832,[1]startdates!$A$2:$A$10,[1]startdates!$B$2:$B$10)</f>
        <v>SMr</v>
      </c>
      <c r="H1832">
        <v>4</v>
      </c>
      <c r="N1832" s="7">
        <v>210</v>
      </c>
      <c r="O1832" s="7">
        <v>165</v>
      </c>
    </row>
    <row r="1833" spans="1:18" x14ac:dyDescent="0.2">
      <c r="A1833">
        <v>1832</v>
      </c>
      <c r="B1833" s="1">
        <v>40772</v>
      </c>
      <c r="C1833" t="s">
        <v>24</v>
      </c>
      <c r="D1833" s="7">
        <v>35</v>
      </c>
      <c r="E1833" s="7">
        <v>6</v>
      </c>
      <c r="F1833" s="7">
        <f t="shared" ref="F1833:F1896" si="29">WEEKDAY(B1833)</f>
        <v>4</v>
      </c>
      <c r="G1833" s="7" t="str">
        <f>LOOKUP(H1833,[1]startdates!$A$2:$A$10,[1]startdates!$B$2:$B$10)</f>
        <v>SMr</v>
      </c>
      <c r="H1833">
        <v>4</v>
      </c>
      <c r="N1833" s="7">
        <v>179</v>
      </c>
    </row>
    <row r="1834" spans="1:18" x14ac:dyDescent="0.2">
      <c r="A1834">
        <v>1833</v>
      </c>
      <c r="B1834" s="1">
        <v>40772</v>
      </c>
      <c r="C1834" t="s">
        <v>24</v>
      </c>
      <c r="D1834" s="7">
        <v>35</v>
      </c>
      <c r="E1834" s="7">
        <v>6</v>
      </c>
      <c r="F1834" s="7">
        <f t="shared" si="29"/>
        <v>4</v>
      </c>
      <c r="G1834" s="7" t="str">
        <f>LOOKUP(H1834,[1]startdates!$A$2:$A$10,[1]startdates!$B$2:$B$10)</f>
        <v>C</v>
      </c>
      <c r="H1834">
        <v>5</v>
      </c>
      <c r="I1834" s="7">
        <v>754</v>
      </c>
      <c r="K1834" s="7">
        <v>577</v>
      </c>
      <c r="L1834" s="7">
        <v>487</v>
      </c>
      <c r="M1834" s="7">
        <v>332</v>
      </c>
      <c r="N1834" s="7">
        <v>213</v>
      </c>
      <c r="O1834" s="7">
        <v>183</v>
      </c>
      <c r="P1834" s="7">
        <v>515</v>
      </c>
      <c r="R1834" s="7">
        <v>267</v>
      </c>
    </row>
    <row r="1835" spans="1:18" x14ac:dyDescent="0.2">
      <c r="A1835">
        <v>1834</v>
      </c>
      <c r="B1835" s="1">
        <v>40772</v>
      </c>
      <c r="C1835" t="s">
        <v>24</v>
      </c>
      <c r="D1835" s="7">
        <v>35</v>
      </c>
      <c r="E1835" s="7">
        <v>6</v>
      </c>
      <c r="F1835" s="7">
        <f t="shared" si="29"/>
        <v>4</v>
      </c>
      <c r="G1835" s="7" t="str">
        <f>LOOKUP(H1835,[1]startdates!$A$2:$A$10,[1]startdates!$B$2:$B$10)</f>
        <v>C</v>
      </c>
      <c r="H1835">
        <v>5</v>
      </c>
      <c r="I1835" s="7">
        <v>561</v>
      </c>
      <c r="K1835" s="7">
        <v>507</v>
      </c>
      <c r="L1835" s="7">
        <v>413</v>
      </c>
      <c r="M1835" s="7">
        <v>348</v>
      </c>
      <c r="N1835" s="7">
        <v>213</v>
      </c>
      <c r="O1835" s="7">
        <v>167</v>
      </c>
      <c r="R1835" s="7">
        <v>245</v>
      </c>
    </row>
    <row r="1836" spans="1:18" x14ac:dyDescent="0.2">
      <c r="A1836">
        <v>1835</v>
      </c>
      <c r="B1836" s="1">
        <v>40772</v>
      </c>
      <c r="C1836" t="s">
        <v>24</v>
      </c>
      <c r="D1836" s="7">
        <v>35</v>
      </c>
      <c r="E1836" s="7">
        <v>6</v>
      </c>
      <c r="F1836" s="7">
        <f t="shared" si="29"/>
        <v>4</v>
      </c>
      <c r="G1836" s="7" t="str">
        <f>LOOKUP(H1836,[1]startdates!$A$2:$A$10,[1]startdates!$B$2:$B$10)</f>
        <v>C</v>
      </c>
      <c r="H1836">
        <v>5</v>
      </c>
      <c r="I1836" s="7">
        <v>742</v>
      </c>
      <c r="K1836" s="7">
        <v>502</v>
      </c>
      <c r="L1836" s="7">
        <v>514</v>
      </c>
      <c r="M1836" s="7">
        <v>291</v>
      </c>
      <c r="N1836" s="7">
        <v>194</v>
      </c>
      <c r="O1836" s="7">
        <v>146</v>
      </c>
    </row>
    <row r="1837" spans="1:18" x14ac:dyDescent="0.2">
      <c r="A1837">
        <v>1836</v>
      </c>
      <c r="B1837" s="1">
        <v>40772</v>
      </c>
      <c r="C1837" t="s">
        <v>24</v>
      </c>
      <c r="D1837" s="7">
        <v>35</v>
      </c>
      <c r="E1837" s="7">
        <v>6</v>
      </c>
      <c r="F1837" s="7">
        <f t="shared" si="29"/>
        <v>4</v>
      </c>
      <c r="G1837" s="7" t="str">
        <f>LOOKUP(H1837,[1]startdates!$A$2:$A$10,[1]startdates!$B$2:$B$10)</f>
        <v>C</v>
      </c>
      <c r="H1837">
        <v>5</v>
      </c>
      <c r="I1837" s="7">
        <v>620</v>
      </c>
      <c r="K1837" s="7">
        <v>592</v>
      </c>
      <c r="L1837" s="7">
        <v>477</v>
      </c>
      <c r="M1837" s="7">
        <v>305</v>
      </c>
      <c r="N1837" s="7">
        <v>238</v>
      </c>
      <c r="O1837" s="7">
        <v>145</v>
      </c>
    </row>
    <row r="1838" spans="1:18" x14ac:dyDescent="0.2">
      <c r="A1838">
        <v>1837</v>
      </c>
      <c r="B1838" s="1">
        <v>40772</v>
      </c>
      <c r="C1838" t="s">
        <v>24</v>
      </c>
      <c r="D1838" s="7">
        <v>35</v>
      </c>
      <c r="E1838" s="7">
        <v>6</v>
      </c>
      <c r="F1838" s="7">
        <f t="shared" si="29"/>
        <v>4</v>
      </c>
      <c r="G1838" s="7" t="str">
        <f>LOOKUP(H1838,[1]startdates!$A$2:$A$10,[1]startdates!$B$2:$B$10)</f>
        <v>C</v>
      </c>
      <c r="H1838">
        <v>5</v>
      </c>
      <c r="I1838" s="7">
        <v>679</v>
      </c>
      <c r="K1838" s="7">
        <v>571</v>
      </c>
      <c r="L1838" s="7">
        <v>464</v>
      </c>
      <c r="M1838" s="7">
        <v>321</v>
      </c>
      <c r="N1838" s="7">
        <v>230</v>
      </c>
      <c r="O1838" s="7">
        <v>150</v>
      </c>
    </row>
    <row r="1839" spans="1:18" x14ac:dyDescent="0.2">
      <c r="A1839">
        <v>1838</v>
      </c>
      <c r="B1839" s="1">
        <v>40772</v>
      </c>
      <c r="C1839" t="s">
        <v>24</v>
      </c>
      <c r="D1839" s="7">
        <v>35</v>
      </c>
      <c r="E1839" s="7">
        <v>6</v>
      </c>
      <c r="F1839" s="7">
        <f t="shared" si="29"/>
        <v>4</v>
      </c>
      <c r="G1839" s="7" t="str">
        <f>LOOKUP(H1839,[1]startdates!$A$2:$A$10,[1]startdates!$B$2:$B$10)</f>
        <v>C</v>
      </c>
      <c r="H1839">
        <v>5</v>
      </c>
      <c r="I1839" s="7">
        <v>710</v>
      </c>
      <c r="K1839" s="7">
        <v>502</v>
      </c>
      <c r="M1839" s="7">
        <v>264</v>
      </c>
      <c r="N1839" s="7">
        <v>216</v>
      </c>
      <c r="O1839" s="7">
        <v>158</v>
      </c>
    </row>
    <row r="1840" spans="1:18" x14ac:dyDescent="0.2">
      <c r="A1840">
        <v>1839</v>
      </c>
      <c r="B1840" s="1">
        <v>40772</v>
      </c>
      <c r="C1840" t="s">
        <v>24</v>
      </c>
      <c r="D1840" s="7">
        <v>35</v>
      </c>
      <c r="E1840" s="7">
        <v>6</v>
      </c>
      <c r="F1840" s="7">
        <f t="shared" si="29"/>
        <v>4</v>
      </c>
      <c r="G1840" s="7" t="str">
        <f>LOOKUP(H1840,[1]startdates!$A$2:$A$10,[1]startdates!$B$2:$B$10)</f>
        <v>C</v>
      </c>
      <c r="H1840">
        <v>5</v>
      </c>
      <c r="I1840" s="7">
        <v>665</v>
      </c>
      <c r="N1840" s="7">
        <v>261</v>
      </c>
      <c r="O1840" s="7">
        <v>178</v>
      </c>
    </row>
    <row r="1841" spans="1:19" x14ac:dyDescent="0.2">
      <c r="A1841">
        <v>1840</v>
      </c>
      <c r="B1841" s="1">
        <v>40772</v>
      </c>
      <c r="C1841" t="s">
        <v>24</v>
      </c>
      <c r="D1841" s="7">
        <v>35</v>
      </c>
      <c r="E1841" s="7">
        <v>6</v>
      </c>
      <c r="F1841" s="7">
        <f t="shared" si="29"/>
        <v>4</v>
      </c>
      <c r="G1841" s="7" t="str">
        <f>LOOKUP(H1841,[1]startdates!$A$2:$A$10,[1]startdates!$B$2:$B$10)</f>
        <v>C</v>
      </c>
      <c r="H1841">
        <v>5</v>
      </c>
      <c r="I1841" s="7">
        <v>757</v>
      </c>
      <c r="N1841" s="7">
        <v>227</v>
      </c>
      <c r="O1841" s="7">
        <v>165</v>
      </c>
    </row>
    <row r="1842" spans="1:19" x14ac:dyDescent="0.2">
      <c r="A1842">
        <v>1841</v>
      </c>
      <c r="B1842" s="1">
        <v>40772</v>
      </c>
      <c r="C1842" t="s">
        <v>24</v>
      </c>
      <c r="D1842" s="7">
        <v>35</v>
      </c>
      <c r="E1842" s="7">
        <v>6</v>
      </c>
      <c r="F1842" s="7">
        <f t="shared" si="29"/>
        <v>4</v>
      </c>
      <c r="G1842" s="7" t="str">
        <f>LOOKUP(H1842,[1]startdates!$A$2:$A$10,[1]startdates!$B$2:$B$10)</f>
        <v>C</v>
      </c>
      <c r="H1842">
        <v>5</v>
      </c>
      <c r="N1842" s="7">
        <v>230</v>
      </c>
      <c r="O1842" s="7">
        <v>157</v>
      </c>
    </row>
    <row r="1843" spans="1:19" x14ac:dyDescent="0.2">
      <c r="A1843">
        <v>1842</v>
      </c>
      <c r="B1843" s="1">
        <v>40772</v>
      </c>
      <c r="C1843" t="s">
        <v>24</v>
      </c>
      <c r="D1843" s="7">
        <v>35</v>
      </c>
      <c r="E1843" s="7">
        <v>6</v>
      </c>
      <c r="F1843" s="7">
        <f t="shared" si="29"/>
        <v>4</v>
      </c>
      <c r="G1843" s="7" t="str">
        <f>LOOKUP(H1843,[1]startdates!$A$2:$A$10,[1]startdates!$B$2:$B$10)</f>
        <v>C</v>
      </c>
      <c r="H1843">
        <v>5</v>
      </c>
      <c r="N1843" s="7">
        <v>241</v>
      </c>
      <c r="O1843" s="7">
        <v>141</v>
      </c>
    </row>
    <row r="1844" spans="1:19" x14ac:dyDescent="0.2">
      <c r="A1844">
        <v>1843</v>
      </c>
      <c r="B1844" s="1">
        <v>40772</v>
      </c>
      <c r="C1844" t="s">
        <v>24</v>
      </c>
      <c r="D1844" s="7">
        <v>35</v>
      </c>
      <c r="E1844" s="7">
        <v>6</v>
      </c>
      <c r="F1844" s="7">
        <f t="shared" si="29"/>
        <v>4</v>
      </c>
      <c r="G1844" s="7" t="str">
        <f>LOOKUP(H1844,[1]startdates!$A$2:$A$10,[1]startdates!$B$2:$B$10)</f>
        <v>C</v>
      </c>
      <c r="H1844">
        <v>5</v>
      </c>
      <c r="N1844" s="7">
        <v>249</v>
      </c>
      <c r="O1844" s="7">
        <v>171</v>
      </c>
    </row>
    <row r="1845" spans="1:19" x14ac:dyDescent="0.2">
      <c r="A1845">
        <v>1844</v>
      </c>
      <c r="B1845" s="1">
        <v>40772</v>
      </c>
      <c r="C1845" t="s">
        <v>24</v>
      </c>
      <c r="D1845" s="7">
        <v>35</v>
      </c>
      <c r="E1845" s="7">
        <v>6</v>
      </c>
      <c r="F1845" s="7">
        <f t="shared" si="29"/>
        <v>4</v>
      </c>
      <c r="G1845" s="7" t="str">
        <f>LOOKUP(H1845,[1]startdates!$A$2:$A$10,[1]startdates!$B$2:$B$10)</f>
        <v>C</v>
      </c>
      <c r="H1845">
        <v>5</v>
      </c>
      <c r="N1845" s="7">
        <v>192</v>
      </c>
      <c r="O1845" s="7">
        <v>173</v>
      </c>
    </row>
    <row r="1846" spans="1:19" x14ac:dyDescent="0.2">
      <c r="A1846">
        <v>1845</v>
      </c>
      <c r="B1846" s="1">
        <v>40772</v>
      </c>
      <c r="C1846" t="s">
        <v>24</v>
      </c>
      <c r="D1846" s="7">
        <v>35</v>
      </c>
      <c r="E1846" s="7">
        <v>6</v>
      </c>
      <c r="F1846" s="7">
        <f t="shared" si="29"/>
        <v>4</v>
      </c>
      <c r="G1846" s="7" t="str">
        <f>LOOKUP(H1846,[1]startdates!$A$2:$A$10,[1]startdates!$B$2:$B$10)</f>
        <v>C</v>
      </c>
      <c r="H1846">
        <v>5</v>
      </c>
      <c r="N1846" s="7">
        <v>232</v>
      </c>
    </row>
    <row r="1847" spans="1:19" x14ac:dyDescent="0.2">
      <c r="A1847">
        <v>1846</v>
      </c>
      <c r="B1847" s="1">
        <v>40772</v>
      </c>
      <c r="C1847" t="s">
        <v>24</v>
      </c>
      <c r="D1847" s="7">
        <v>35</v>
      </c>
      <c r="E1847" s="7">
        <v>6</v>
      </c>
      <c r="F1847" s="7">
        <f t="shared" si="29"/>
        <v>4</v>
      </c>
      <c r="G1847" s="7" t="str">
        <f>LOOKUP(H1847,[1]startdates!$A$2:$A$10,[1]startdates!$B$2:$B$10)</f>
        <v>C</v>
      </c>
      <c r="H1847">
        <v>5</v>
      </c>
      <c r="N1847" s="7">
        <v>260</v>
      </c>
    </row>
    <row r="1848" spans="1:19" x14ac:dyDescent="0.2">
      <c r="A1848">
        <v>1847</v>
      </c>
      <c r="B1848" s="1">
        <v>40772</v>
      </c>
      <c r="C1848" t="s">
        <v>24</v>
      </c>
      <c r="D1848" s="7">
        <v>35</v>
      </c>
      <c r="E1848" s="7">
        <v>6</v>
      </c>
      <c r="F1848" s="7">
        <f t="shared" si="29"/>
        <v>4</v>
      </c>
      <c r="G1848" s="7" t="str">
        <f>LOOKUP(H1848,[1]startdates!$A$2:$A$10,[1]startdates!$B$2:$B$10)</f>
        <v>C</v>
      </c>
      <c r="H1848">
        <v>5</v>
      </c>
      <c r="N1848" s="7">
        <v>261</v>
      </c>
    </row>
    <row r="1849" spans="1:19" x14ac:dyDescent="0.2">
      <c r="A1849">
        <v>1848</v>
      </c>
      <c r="B1849" s="1">
        <v>40772</v>
      </c>
      <c r="C1849" t="s">
        <v>24</v>
      </c>
      <c r="D1849" s="7">
        <v>35</v>
      </c>
      <c r="E1849" s="7">
        <v>6</v>
      </c>
      <c r="F1849" s="7">
        <f t="shared" si="29"/>
        <v>4</v>
      </c>
      <c r="G1849" s="7" t="str">
        <f>LOOKUP(H1849,[1]startdates!$A$2:$A$10,[1]startdates!$B$2:$B$10)</f>
        <v>C</v>
      </c>
      <c r="H1849">
        <v>5</v>
      </c>
      <c r="N1849" s="7">
        <v>259</v>
      </c>
    </row>
    <row r="1850" spans="1:19" x14ac:dyDescent="0.2">
      <c r="A1850">
        <v>1849</v>
      </c>
      <c r="B1850" s="1">
        <v>40772</v>
      </c>
      <c r="C1850" t="s">
        <v>28</v>
      </c>
      <c r="D1850" s="7">
        <v>35</v>
      </c>
      <c r="E1850" s="7">
        <v>6</v>
      </c>
      <c r="F1850" s="7">
        <f t="shared" si="29"/>
        <v>4</v>
      </c>
      <c r="G1850" s="7" t="str">
        <f>LOOKUP(H1850,[1]startdates!$A$2:$A$10,[1]startdates!$B$2:$B$10)</f>
        <v>FMr</v>
      </c>
      <c r="H1850">
        <v>6</v>
      </c>
      <c r="I1850" s="7">
        <v>907</v>
      </c>
      <c r="K1850" s="7">
        <v>629</v>
      </c>
      <c r="L1850" s="7">
        <v>456</v>
      </c>
      <c r="M1850" s="7">
        <v>275</v>
      </c>
      <c r="N1850" s="7">
        <v>177</v>
      </c>
      <c r="O1850" s="7">
        <v>172</v>
      </c>
      <c r="P1850" s="7">
        <v>481</v>
      </c>
      <c r="Q1850" s="7">
        <v>377</v>
      </c>
      <c r="R1850" s="7">
        <v>270</v>
      </c>
      <c r="S1850" s="7">
        <v>294</v>
      </c>
    </row>
    <row r="1851" spans="1:19" x14ac:dyDescent="0.2">
      <c r="A1851">
        <v>1850</v>
      </c>
      <c r="B1851" s="1">
        <v>40772</v>
      </c>
      <c r="C1851" t="s">
        <v>28</v>
      </c>
      <c r="D1851" s="7">
        <v>35</v>
      </c>
      <c r="E1851" s="7">
        <v>6</v>
      </c>
      <c r="F1851" s="7">
        <f t="shared" si="29"/>
        <v>4</v>
      </c>
      <c r="G1851" s="7" t="str">
        <f>LOOKUP(H1851,[1]startdates!$A$2:$A$10,[1]startdates!$B$2:$B$10)</f>
        <v>FMr</v>
      </c>
      <c r="H1851">
        <v>6</v>
      </c>
      <c r="I1851" s="7">
        <v>572</v>
      </c>
      <c r="K1851" s="7">
        <v>639</v>
      </c>
      <c r="L1851" s="7">
        <v>443</v>
      </c>
      <c r="M1851" s="7">
        <v>279</v>
      </c>
      <c r="N1851" s="7">
        <v>251</v>
      </c>
      <c r="O1851" s="7">
        <v>142</v>
      </c>
      <c r="Q1851" s="7">
        <v>367</v>
      </c>
      <c r="R1851" s="7">
        <v>274</v>
      </c>
    </row>
    <row r="1852" spans="1:19" x14ac:dyDescent="0.2">
      <c r="A1852">
        <v>1851</v>
      </c>
      <c r="B1852" s="1">
        <v>40772</v>
      </c>
      <c r="C1852" t="s">
        <v>28</v>
      </c>
      <c r="D1852" s="7">
        <v>35</v>
      </c>
      <c r="E1852" s="7">
        <v>6</v>
      </c>
      <c r="F1852" s="7">
        <f t="shared" si="29"/>
        <v>4</v>
      </c>
      <c r="G1852" s="7" t="str">
        <f>LOOKUP(H1852,[1]startdates!$A$2:$A$10,[1]startdates!$B$2:$B$10)</f>
        <v>FMr</v>
      </c>
      <c r="H1852">
        <v>6</v>
      </c>
      <c r="I1852" s="7">
        <v>653</v>
      </c>
      <c r="K1852" s="7">
        <v>600</v>
      </c>
      <c r="L1852" s="7">
        <v>438</v>
      </c>
      <c r="M1852" s="7">
        <v>280</v>
      </c>
      <c r="N1852" s="7">
        <v>214</v>
      </c>
      <c r="O1852" s="7">
        <v>180</v>
      </c>
      <c r="R1852" s="7">
        <v>287</v>
      </c>
    </row>
    <row r="1853" spans="1:19" x14ac:dyDescent="0.2">
      <c r="A1853">
        <v>1852</v>
      </c>
      <c r="B1853" s="1">
        <v>40772</v>
      </c>
      <c r="C1853" t="s">
        <v>28</v>
      </c>
      <c r="D1853" s="7">
        <v>35</v>
      </c>
      <c r="E1853" s="7">
        <v>6</v>
      </c>
      <c r="F1853" s="7">
        <f t="shared" si="29"/>
        <v>4</v>
      </c>
      <c r="G1853" s="7" t="str">
        <f>LOOKUP(H1853,[1]startdates!$A$2:$A$10,[1]startdates!$B$2:$B$10)</f>
        <v>FMr</v>
      </c>
      <c r="H1853">
        <v>6</v>
      </c>
      <c r="I1853" s="7">
        <v>684</v>
      </c>
      <c r="K1853" s="7">
        <v>550</v>
      </c>
      <c r="M1853" s="7">
        <v>288</v>
      </c>
      <c r="N1853" s="7">
        <v>203</v>
      </c>
      <c r="O1853" s="7">
        <v>182</v>
      </c>
    </row>
    <row r="1854" spans="1:19" x14ac:dyDescent="0.2">
      <c r="A1854">
        <v>1853</v>
      </c>
      <c r="B1854" s="1">
        <v>40772</v>
      </c>
      <c r="C1854" t="s">
        <v>28</v>
      </c>
      <c r="D1854" s="7">
        <v>35</v>
      </c>
      <c r="E1854" s="7">
        <v>6</v>
      </c>
      <c r="F1854" s="7">
        <f t="shared" si="29"/>
        <v>4</v>
      </c>
      <c r="G1854" s="7" t="str">
        <f>LOOKUP(H1854,[1]startdates!$A$2:$A$10,[1]startdates!$B$2:$B$10)</f>
        <v>FMr</v>
      </c>
      <c r="H1854">
        <v>6</v>
      </c>
      <c r="I1854" s="7">
        <v>834</v>
      </c>
      <c r="M1854" s="7">
        <v>309</v>
      </c>
      <c r="N1854" s="7">
        <v>194</v>
      </c>
      <c r="O1854" s="7">
        <v>155</v>
      </c>
    </row>
    <row r="1855" spans="1:19" x14ac:dyDescent="0.2">
      <c r="A1855">
        <v>1854</v>
      </c>
      <c r="B1855" s="1">
        <v>40772</v>
      </c>
      <c r="C1855" t="s">
        <v>28</v>
      </c>
      <c r="D1855" s="7">
        <v>35</v>
      </c>
      <c r="E1855" s="7">
        <v>6</v>
      </c>
      <c r="F1855" s="7">
        <f t="shared" si="29"/>
        <v>4</v>
      </c>
      <c r="G1855" s="7" t="str">
        <f>LOOKUP(H1855,[1]startdates!$A$2:$A$10,[1]startdates!$B$2:$B$10)</f>
        <v>FMr</v>
      </c>
      <c r="H1855">
        <v>6</v>
      </c>
      <c r="I1855" s="7">
        <v>672</v>
      </c>
      <c r="M1855" s="7">
        <v>315</v>
      </c>
      <c r="N1855" s="7">
        <v>205</v>
      </c>
      <c r="O1855" s="7">
        <v>147</v>
      </c>
    </row>
    <row r="1856" spans="1:19" x14ac:dyDescent="0.2">
      <c r="A1856">
        <v>1855</v>
      </c>
      <c r="B1856" s="1">
        <v>40772</v>
      </c>
      <c r="C1856" t="s">
        <v>28</v>
      </c>
      <c r="D1856" s="7">
        <v>35</v>
      </c>
      <c r="E1856" s="7">
        <v>6</v>
      </c>
      <c r="F1856" s="7">
        <f t="shared" si="29"/>
        <v>4</v>
      </c>
      <c r="G1856" s="7" t="str">
        <f>LOOKUP(H1856,[1]startdates!$A$2:$A$10,[1]startdates!$B$2:$B$10)</f>
        <v>FMr</v>
      </c>
      <c r="H1856">
        <v>6</v>
      </c>
      <c r="I1856" s="7">
        <v>617</v>
      </c>
      <c r="M1856" s="7">
        <v>273</v>
      </c>
      <c r="N1856" s="7">
        <v>229</v>
      </c>
      <c r="O1856" s="7">
        <v>163</v>
      </c>
    </row>
    <row r="1857" spans="1:18" x14ac:dyDescent="0.2">
      <c r="A1857">
        <v>1856</v>
      </c>
      <c r="B1857" s="1">
        <v>40772</v>
      </c>
      <c r="C1857" t="s">
        <v>28</v>
      </c>
      <c r="D1857" s="7">
        <v>35</v>
      </c>
      <c r="E1857" s="7">
        <v>6</v>
      </c>
      <c r="F1857" s="7">
        <f t="shared" si="29"/>
        <v>4</v>
      </c>
      <c r="G1857" s="7" t="str">
        <f>LOOKUP(H1857,[1]startdates!$A$2:$A$10,[1]startdates!$B$2:$B$10)</f>
        <v>FMr</v>
      </c>
      <c r="H1857">
        <v>6</v>
      </c>
      <c r="I1857" s="7">
        <v>807</v>
      </c>
      <c r="M1857" s="7">
        <v>277</v>
      </c>
      <c r="N1857" s="7">
        <v>227</v>
      </c>
      <c r="O1857" s="7">
        <v>177</v>
      </c>
    </row>
    <row r="1858" spans="1:18" x14ac:dyDescent="0.2">
      <c r="A1858">
        <v>1857</v>
      </c>
      <c r="B1858" s="1">
        <v>40772</v>
      </c>
      <c r="C1858" t="s">
        <v>28</v>
      </c>
      <c r="D1858" s="7">
        <v>35</v>
      </c>
      <c r="E1858" s="7">
        <v>6</v>
      </c>
      <c r="F1858" s="7">
        <f t="shared" si="29"/>
        <v>4</v>
      </c>
      <c r="G1858" s="7" t="str">
        <f>LOOKUP(H1858,[1]startdates!$A$2:$A$10,[1]startdates!$B$2:$B$10)</f>
        <v>FMr</v>
      </c>
      <c r="H1858">
        <v>6</v>
      </c>
      <c r="N1858" s="7">
        <v>233</v>
      </c>
      <c r="O1858" s="7">
        <v>165</v>
      </c>
    </row>
    <row r="1859" spans="1:18" x14ac:dyDescent="0.2">
      <c r="A1859">
        <v>1858</v>
      </c>
      <c r="B1859" s="1">
        <v>40772</v>
      </c>
      <c r="C1859" t="s">
        <v>28</v>
      </c>
      <c r="D1859" s="7">
        <v>35</v>
      </c>
      <c r="E1859" s="7">
        <v>6</v>
      </c>
      <c r="F1859" s="7">
        <f t="shared" si="29"/>
        <v>4</v>
      </c>
      <c r="G1859" s="7" t="str">
        <f>LOOKUP(H1859,[1]startdates!$A$2:$A$10,[1]startdates!$B$2:$B$10)</f>
        <v>FMr</v>
      </c>
      <c r="H1859">
        <v>6</v>
      </c>
      <c r="N1859" s="7">
        <v>221</v>
      </c>
      <c r="O1859" s="7">
        <v>165</v>
      </c>
    </row>
    <row r="1860" spans="1:18" x14ac:dyDescent="0.2">
      <c r="A1860">
        <v>1859</v>
      </c>
      <c r="B1860" s="1">
        <v>40772</v>
      </c>
      <c r="C1860" t="s">
        <v>28</v>
      </c>
      <c r="D1860" s="7">
        <v>35</v>
      </c>
      <c r="E1860" s="7">
        <v>6</v>
      </c>
      <c r="F1860" s="7">
        <f t="shared" si="29"/>
        <v>4</v>
      </c>
      <c r="G1860" s="7" t="str">
        <f>LOOKUP(H1860,[1]startdates!$A$2:$A$10,[1]startdates!$B$2:$B$10)</f>
        <v>FMr</v>
      </c>
      <c r="H1860">
        <v>7</v>
      </c>
      <c r="I1860" s="7">
        <v>728</v>
      </c>
      <c r="K1860" s="7">
        <v>613</v>
      </c>
      <c r="M1860" s="7">
        <v>369</v>
      </c>
      <c r="N1860" s="7">
        <v>214</v>
      </c>
      <c r="O1860" s="7">
        <v>176</v>
      </c>
      <c r="P1860" s="7">
        <v>521</v>
      </c>
      <c r="Q1860" s="7">
        <v>354</v>
      </c>
      <c r="R1860" s="7">
        <v>240</v>
      </c>
    </row>
    <row r="1861" spans="1:18" x14ac:dyDescent="0.2">
      <c r="A1861">
        <v>1860</v>
      </c>
      <c r="B1861" s="1">
        <v>40772</v>
      </c>
      <c r="C1861" t="s">
        <v>28</v>
      </c>
      <c r="D1861" s="7">
        <v>35</v>
      </c>
      <c r="E1861" s="7">
        <v>6</v>
      </c>
      <c r="F1861" s="7">
        <f t="shared" si="29"/>
        <v>4</v>
      </c>
      <c r="G1861" s="7" t="str">
        <f>LOOKUP(H1861,[1]startdates!$A$2:$A$10,[1]startdates!$B$2:$B$10)</f>
        <v>FMr</v>
      </c>
      <c r="H1861">
        <v>7</v>
      </c>
      <c r="I1861" s="7">
        <v>756</v>
      </c>
      <c r="K1861" s="7">
        <v>550</v>
      </c>
      <c r="M1861" s="7">
        <v>323</v>
      </c>
      <c r="N1861" s="7">
        <v>192</v>
      </c>
      <c r="O1861" s="7">
        <v>152</v>
      </c>
      <c r="P1861" s="7">
        <v>524</v>
      </c>
      <c r="Q1861" s="7">
        <v>359</v>
      </c>
      <c r="R1861" s="7">
        <v>239</v>
      </c>
    </row>
    <row r="1862" spans="1:18" x14ac:dyDescent="0.2">
      <c r="A1862">
        <v>1861</v>
      </c>
      <c r="B1862" s="1">
        <v>40772</v>
      </c>
      <c r="C1862" t="s">
        <v>28</v>
      </c>
      <c r="D1862" s="7">
        <v>35</v>
      </c>
      <c r="E1862" s="7">
        <v>6</v>
      </c>
      <c r="F1862" s="7">
        <f t="shared" si="29"/>
        <v>4</v>
      </c>
      <c r="G1862" s="7" t="str">
        <f>LOOKUP(H1862,[1]startdates!$A$2:$A$10,[1]startdates!$B$2:$B$10)</f>
        <v>FMr</v>
      </c>
      <c r="H1862">
        <v>7</v>
      </c>
      <c r="I1862" s="7">
        <v>813</v>
      </c>
      <c r="K1862" s="7">
        <v>628</v>
      </c>
      <c r="M1862" s="7">
        <v>320</v>
      </c>
      <c r="N1862" s="7">
        <v>229</v>
      </c>
      <c r="O1862" s="7">
        <v>140</v>
      </c>
      <c r="P1862" s="7">
        <v>490</v>
      </c>
      <c r="Q1862" s="7">
        <v>354</v>
      </c>
    </row>
    <row r="1863" spans="1:18" x14ac:dyDescent="0.2">
      <c r="A1863">
        <v>1862</v>
      </c>
      <c r="B1863" s="1">
        <v>40772</v>
      </c>
      <c r="C1863" t="s">
        <v>28</v>
      </c>
      <c r="D1863" s="7">
        <v>35</v>
      </c>
      <c r="E1863" s="7">
        <v>6</v>
      </c>
      <c r="F1863" s="7">
        <f t="shared" si="29"/>
        <v>4</v>
      </c>
      <c r="G1863" s="7" t="str">
        <f>LOOKUP(H1863,[1]startdates!$A$2:$A$10,[1]startdates!$B$2:$B$10)</f>
        <v>FMr</v>
      </c>
      <c r="H1863">
        <v>7</v>
      </c>
      <c r="I1863" s="7">
        <v>811</v>
      </c>
      <c r="K1863" s="7">
        <v>601</v>
      </c>
      <c r="M1863" s="7">
        <v>333</v>
      </c>
      <c r="N1863" s="7">
        <v>229</v>
      </c>
      <c r="P1863" s="7">
        <v>498</v>
      </c>
      <c r="Q1863" s="7">
        <v>408</v>
      </c>
    </row>
    <row r="1864" spans="1:18" x14ac:dyDescent="0.2">
      <c r="A1864">
        <v>1863</v>
      </c>
      <c r="B1864" s="1">
        <v>40772</v>
      </c>
      <c r="C1864" t="s">
        <v>28</v>
      </c>
      <c r="D1864" s="7">
        <v>35</v>
      </c>
      <c r="E1864" s="7">
        <v>6</v>
      </c>
      <c r="F1864" s="7">
        <f t="shared" si="29"/>
        <v>4</v>
      </c>
      <c r="G1864" s="7" t="str">
        <f>LOOKUP(H1864,[1]startdates!$A$2:$A$10,[1]startdates!$B$2:$B$10)</f>
        <v>FMr</v>
      </c>
      <c r="H1864">
        <v>7</v>
      </c>
      <c r="I1864" s="7">
        <v>680</v>
      </c>
      <c r="M1864" s="7">
        <v>393</v>
      </c>
      <c r="N1864" s="7">
        <v>229</v>
      </c>
    </row>
    <row r="1865" spans="1:18" x14ac:dyDescent="0.2">
      <c r="A1865">
        <v>1864</v>
      </c>
      <c r="B1865" s="1">
        <v>40772</v>
      </c>
      <c r="C1865" t="s">
        <v>28</v>
      </c>
      <c r="D1865" s="7">
        <v>35</v>
      </c>
      <c r="E1865" s="7">
        <v>6</v>
      </c>
      <c r="F1865" s="7">
        <f t="shared" si="29"/>
        <v>4</v>
      </c>
      <c r="G1865" s="7" t="str">
        <f>LOOKUP(H1865,[1]startdates!$A$2:$A$10,[1]startdates!$B$2:$B$10)</f>
        <v>FMr</v>
      </c>
      <c r="H1865">
        <v>7</v>
      </c>
      <c r="I1865" s="7">
        <v>799</v>
      </c>
      <c r="M1865" s="7">
        <v>287</v>
      </c>
      <c r="N1865" s="7">
        <v>186</v>
      </c>
    </row>
    <row r="1866" spans="1:18" x14ac:dyDescent="0.2">
      <c r="A1866">
        <v>1865</v>
      </c>
      <c r="B1866" s="1">
        <v>40772</v>
      </c>
      <c r="C1866" t="s">
        <v>28</v>
      </c>
      <c r="D1866" s="7">
        <v>35</v>
      </c>
      <c r="E1866" s="7">
        <v>6</v>
      </c>
      <c r="F1866" s="7">
        <f t="shared" si="29"/>
        <v>4</v>
      </c>
      <c r="G1866" s="7" t="str">
        <f>LOOKUP(H1866,[1]startdates!$A$2:$A$10,[1]startdates!$B$2:$B$10)</f>
        <v>FMr</v>
      </c>
      <c r="H1866">
        <v>7</v>
      </c>
      <c r="I1866" s="7">
        <v>778</v>
      </c>
      <c r="N1866" s="7">
        <v>196</v>
      </c>
    </row>
    <row r="1867" spans="1:18" x14ac:dyDescent="0.2">
      <c r="A1867">
        <v>1866</v>
      </c>
      <c r="B1867" s="1">
        <v>40772</v>
      </c>
      <c r="C1867" t="s">
        <v>28</v>
      </c>
      <c r="D1867" s="7">
        <v>35</v>
      </c>
      <c r="E1867" s="7">
        <v>6</v>
      </c>
      <c r="F1867" s="7">
        <f t="shared" si="29"/>
        <v>4</v>
      </c>
      <c r="G1867" s="7" t="str">
        <f>LOOKUP(H1867,[1]startdates!$A$2:$A$10,[1]startdates!$B$2:$B$10)</f>
        <v>FMr</v>
      </c>
      <c r="H1867">
        <v>7</v>
      </c>
      <c r="N1867" s="7">
        <v>219</v>
      </c>
    </row>
    <row r="1868" spans="1:18" x14ac:dyDescent="0.2">
      <c r="A1868">
        <v>1867</v>
      </c>
      <c r="B1868" s="1">
        <v>40772</v>
      </c>
      <c r="C1868" t="s">
        <v>28</v>
      </c>
      <c r="D1868" s="7">
        <v>35</v>
      </c>
      <c r="E1868" s="7">
        <v>6</v>
      </c>
      <c r="F1868" s="7">
        <f t="shared" si="29"/>
        <v>4</v>
      </c>
      <c r="G1868" s="7" t="str">
        <f>LOOKUP(H1868,[1]startdates!$A$2:$A$10,[1]startdates!$B$2:$B$10)</f>
        <v>FMr</v>
      </c>
      <c r="H1868">
        <v>7</v>
      </c>
      <c r="N1868" s="7">
        <v>190</v>
      </c>
    </row>
    <row r="1869" spans="1:18" x14ac:dyDescent="0.2">
      <c r="A1869">
        <v>1868</v>
      </c>
      <c r="B1869" s="1">
        <v>40772</v>
      </c>
      <c r="C1869" t="s">
        <v>28</v>
      </c>
      <c r="D1869" s="7">
        <v>35</v>
      </c>
      <c r="E1869" s="7">
        <v>6</v>
      </c>
      <c r="F1869" s="7">
        <f t="shared" si="29"/>
        <v>4</v>
      </c>
      <c r="G1869" s="7" t="str">
        <f>LOOKUP(H1869,[1]startdates!$A$2:$A$10,[1]startdates!$B$2:$B$10)</f>
        <v>FMr</v>
      </c>
      <c r="H1869">
        <v>7</v>
      </c>
      <c r="N1869" s="7">
        <v>220</v>
      </c>
    </row>
    <row r="1870" spans="1:18" x14ac:dyDescent="0.2">
      <c r="A1870">
        <v>1869</v>
      </c>
      <c r="B1870" s="1">
        <v>40772</v>
      </c>
      <c r="C1870" t="s">
        <v>28</v>
      </c>
      <c r="D1870" s="7">
        <v>35</v>
      </c>
      <c r="E1870" s="7">
        <v>6</v>
      </c>
      <c r="F1870" s="7">
        <f t="shared" si="29"/>
        <v>4</v>
      </c>
      <c r="G1870" s="7" t="str">
        <f>LOOKUP(H1870,[1]startdates!$A$2:$A$10,[1]startdates!$B$2:$B$10)</f>
        <v>FMr</v>
      </c>
      <c r="H1870">
        <v>7</v>
      </c>
      <c r="N1870" s="7">
        <v>162</v>
      </c>
    </row>
    <row r="1871" spans="1:18" x14ac:dyDescent="0.2">
      <c r="A1871">
        <v>1870</v>
      </c>
      <c r="B1871" s="1">
        <v>40772</v>
      </c>
      <c r="C1871" t="s">
        <v>28</v>
      </c>
      <c r="D1871" s="7">
        <v>35</v>
      </c>
      <c r="E1871" s="7">
        <v>6</v>
      </c>
      <c r="F1871" s="7">
        <f t="shared" si="29"/>
        <v>4</v>
      </c>
      <c r="G1871" s="7" t="str">
        <f>LOOKUP(H1871,[1]startdates!$A$2:$A$10,[1]startdates!$B$2:$B$10)</f>
        <v>FMr</v>
      </c>
      <c r="H1871">
        <v>7</v>
      </c>
      <c r="N1871" s="7">
        <v>162</v>
      </c>
    </row>
    <row r="1872" spans="1:18" x14ac:dyDescent="0.2">
      <c r="A1872">
        <v>1871</v>
      </c>
      <c r="B1872" s="1">
        <v>40772</v>
      </c>
      <c r="C1872" t="s">
        <v>28</v>
      </c>
      <c r="D1872" s="7">
        <v>35</v>
      </c>
      <c r="E1872" s="7">
        <v>6</v>
      </c>
      <c r="F1872" s="7">
        <f t="shared" si="29"/>
        <v>4</v>
      </c>
      <c r="G1872" s="7" t="str">
        <f>LOOKUP(H1872,[1]startdates!$A$2:$A$10,[1]startdates!$B$2:$B$10)</f>
        <v>FMr</v>
      </c>
      <c r="H1872">
        <v>7</v>
      </c>
      <c r="N1872" s="7">
        <v>168</v>
      </c>
    </row>
    <row r="1873" spans="1:15" x14ac:dyDescent="0.2">
      <c r="A1873">
        <v>1872</v>
      </c>
      <c r="B1873" s="1">
        <v>40772</v>
      </c>
      <c r="C1873" t="s">
        <v>28</v>
      </c>
      <c r="D1873" s="7">
        <v>35</v>
      </c>
      <c r="E1873" s="7">
        <v>6</v>
      </c>
      <c r="F1873" s="7">
        <f t="shared" si="29"/>
        <v>4</v>
      </c>
      <c r="G1873" s="7" t="str">
        <f>LOOKUP(H1873,[1]startdates!$A$2:$A$10,[1]startdates!$B$2:$B$10)</f>
        <v>FMr</v>
      </c>
      <c r="H1873">
        <v>7</v>
      </c>
      <c r="N1873" s="7">
        <v>177</v>
      </c>
    </row>
    <row r="1874" spans="1:15" x14ac:dyDescent="0.2">
      <c r="A1874">
        <v>1873</v>
      </c>
      <c r="B1874" s="1">
        <v>40772</v>
      </c>
      <c r="C1874" t="s">
        <v>28</v>
      </c>
      <c r="D1874" s="7">
        <v>35</v>
      </c>
      <c r="E1874" s="7">
        <v>6</v>
      </c>
      <c r="F1874" s="7">
        <f t="shared" si="29"/>
        <v>4</v>
      </c>
      <c r="G1874" s="7" t="str">
        <f>LOOKUP(H1874,[1]startdates!$A$2:$A$10,[1]startdates!$B$2:$B$10)</f>
        <v>FMr</v>
      </c>
      <c r="H1874">
        <v>7</v>
      </c>
      <c r="N1874" s="7">
        <v>178</v>
      </c>
    </row>
    <row r="1875" spans="1:15" x14ac:dyDescent="0.2">
      <c r="A1875">
        <v>1874</v>
      </c>
      <c r="B1875" s="1">
        <v>40772</v>
      </c>
      <c r="C1875" t="s">
        <v>28</v>
      </c>
      <c r="D1875" s="7">
        <v>35</v>
      </c>
      <c r="E1875" s="7">
        <v>6</v>
      </c>
      <c r="F1875" s="7">
        <f t="shared" si="29"/>
        <v>4</v>
      </c>
      <c r="G1875" s="7" t="str">
        <f>LOOKUP(H1875,[1]startdates!$A$2:$A$10,[1]startdates!$B$2:$B$10)</f>
        <v>FMr</v>
      </c>
      <c r="H1875">
        <v>7</v>
      </c>
      <c r="N1875" s="7">
        <v>173</v>
      </c>
    </row>
    <row r="1876" spans="1:15" x14ac:dyDescent="0.2">
      <c r="A1876">
        <v>1875</v>
      </c>
      <c r="B1876" s="1">
        <v>40772</v>
      </c>
      <c r="C1876" t="s">
        <v>28</v>
      </c>
      <c r="D1876" s="7">
        <v>35</v>
      </c>
      <c r="E1876" s="7">
        <v>6</v>
      </c>
      <c r="F1876" s="7">
        <f t="shared" si="29"/>
        <v>4</v>
      </c>
      <c r="G1876" s="7" t="str">
        <f>LOOKUP(H1876,[1]startdates!$A$2:$A$10,[1]startdates!$B$2:$B$10)</f>
        <v>FMr</v>
      </c>
      <c r="H1876">
        <v>7</v>
      </c>
      <c r="N1876" s="7">
        <v>148</v>
      </c>
    </row>
    <row r="1877" spans="1:15" x14ac:dyDescent="0.2">
      <c r="A1877">
        <v>1876</v>
      </c>
      <c r="B1877" s="1">
        <v>40772</v>
      </c>
      <c r="C1877" t="s">
        <v>28</v>
      </c>
      <c r="D1877" s="7">
        <v>35</v>
      </c>
      <c r="E1877" s="7">
        <v>6</v>
      </c>
      <c r="F1877" s="7">
        <f t="shared" si="29"/>
        <v>4</v>
      </c>
      <c r="G1877" s="7" t="str">
        <f>LOOKUP(H1877,[1]startdates!$A$2:$A$10,[1]startdates!$B$2:$B$10)</f>
        <v>FMr</v>
      </c>
      <c r="H1877">
        <v>7</v>
      </c>
      <c r="N1877" s="7">
        <v>162</v>
      </c>
    </row>
    <row r="1878" spans="1:15" x14ac:dyDescent="0.2">
      <c r="A1878">
        <v>1877</v>
      </c>
      <c r="B1878" s="1">
        <v>40772</v>
      </c>
      <c r="C1878" t="s">
        <v>24</v>
      </c>
      <c r="D1878" s="7">
        <v>35</v>
      </c>
      <c r="E1878" s="7">
        <v>6</v>
      </c>
      <c r="F1878" s="7">
        <f t="shared" si="29"/>
        <v>4</v>
      </c>
      <c r="G1878" s="7" t="str">
        <f>LOOKUP(H1878,[1]startdates!$A$2:$A$10,[1]startdates!$B$2:$B$10)</f>
        <v>C</v>
      </c>
      <c r="H1878">
        <v>8</v>
      </c>
      <c r="I1878" s="7">
        <v>821</v>
      </c>
      <c r="K1878" s="7">
        <v>657</v>
      </c>
      <c r="L1878" s="7">
        <v>350</v>
      </c>
      <c r="M1878" s="7">
        <v>259</v>
      </c>
      <c r="N1878" s="7">
        <v>198</v>
      </c>
      <c r="O1878" s="7">
        <v>175</v>
      </c>
    </row>
    <row r="1879" spans="1:15" x14ac:dyDescent="0.2">
      <c r="A1879">
        <v>1878</v>
      </c>
      <c r="B1879" s="1">
        <v>40772</v>
      </c>
      <c r="C1879" t="s">
        <v>24</v>
      </c>
      <c r="D1879" s="7">
        <v>35</v>
      </c>
      <c r="E1879" s="7">
        <v>6</v>
      </c>
      <c r="F1879" s="7">
        <f t="shared" si="29"/>
        <v>4</v>
      </c>
      <c r="G1879" s="7" t="str">
        <f>LOOKUP(H1879,[1]startdates!$A$2:$A$10,[1]startdates!$B$2:$B$10)</f>
        <v>C</v>
      </c>
      <c r="H1879">
        <v>8</v>
      </c>
      <c r="I1879" s="7">
        <v>726</v>
      </c>
      <c r="K1879" s="7">
        <v>613</v>
      </c>
      <c r="L1879" s="7">
        <v>397</v>
      </c>
      <c r="M1879" s="7">
        <v>278</v>
      </c>
      <c r="N1879" s="7">
        <v>206</v>
      </c>
      <c r="O1879" s="7">
        <v>180</v>
      </c>
    </row>
    <row r="1880" spans="1:15" x14ac:dyDescent="0.2">
      <c r="A1880">
        <v>1879</v>
      </c>
      <c r="B1880" s="1">
        <v>40772</v>
      </c>
      <c r="C1880" t="s">
        <v>24</v>
      </c>
      <c r="D1880" s="7">
        <v>35</v>
      </c>
      <c r="E1880" s="7">
        <v>6</v>
      </c>
      <c r="F1880" s="7">
        <f t="shared" si="29"/>
        <v>4</v>
      </c>
      <c r="G1880" s="7" t="str">
        <f>LOOKUP(H1880,[1]startdates!$A$2:$A$10,[1]startdates!$B$2:$B$10)</f>
        <v>C</v>
      </c>
      <c r="H1880">
        <v>8</v>
      </c>
      <c r="I1880" s="7">
        <v>735</v>
      </c>
      <c r="K1880" s="7">
        <v>628</v>
      </c>
      <c r="L1880" s="7">
        <v>439</v>
      </c>
      <c r="M1880" s="7">
        <v>281</v>
      </c>
      <c r="N1880" s="7">
        <v>225</v>
      </c>
      <c r="O1880" s="7">
        <v>154</v>
      </c>
    </row>
    <row r="1881" spans="1:15" x14ac:dyDescent="0.2">
      <c r="A1881">
        <v>1880</v>
      </c>
      <c r="B1881" s="1">
        <v>40772</v>
      </c>
      <c r="C1881" t="s">
        <v>24</v>
      </c>
      <c r="D1881" s="7">
        <v>35</v>
      </c>
      <c r="E1881" s="7">
        <v>6</v>
      </c>
      <c r="F1881" s="7">
        <f t="shared" si="29"/>
        <v>4</v>
      </c>
      <c r="G1881" s="7" t="str">
        <f>LOOKUP(H1881,[1]startdates!$A$2:$A$10,[1]startdates!$B$2:$B$10)</f>
        <v>C</v>
      </c>
      <c r="H1881">
        <v>8</v>
      </c>
      <c r="I1881" s="7">
        <v>797</v>
      </c>
      <c r="K1881" s="7">
        <v>630</v>
      </c>
      <c r="L1881" s="7">
        <v>434</v>
      </c>
      <c r="M1881" s="7">
        <v>318</v>
      </c>
      <c r="N1881" s="7">
        <v>249</v>
      </c>
      <c r="O1881" s="7">
        <v>163</v>
      </c>
    </row>
    <row r="1882" spans="1:15" x14ac:dyDescent="0.2">
      <c r="A1882">
        <v>1881</v>
      </c>
      <c r="B1882" s="1">
        <v>40772</v>
      </c>
      <c r="C1882" t="s">
        <v>24</v>
      </c>
      <c r="D1882" s="7">
        <v>35</v>
      </c>
      <c r="E1882" s="7">
        <v>6</v>
      </c>
      <c r="F1882" s="7">
        <f t="shared" si="29"/>
        <v>4</v>
      </c>
      <c r="G1882" s="7" t="str">
        <f>LOOKUP(H1882,[1]startdates!$A$2:$A$10,[1]startdates!$B$2:$B$10)</f>
        <v>C</v>
      </c>
      <c r="H1882">
        <v>8</v>
      </c>
      <c r="I1882" s="7">
        <v>820</v>
      </c>
      <c r="K1882" s="7">
        <v>623</v>
      </c>
      <c r="L1882" s="7">
        <v>535</v>
      </c>
      <c r="M1882" s="7">
        <v>342</v>
      </c>
      <c r="N1882" s="7">
        <v>213</v>
      </c>
      <c r="O1882" s="7">
        <v>197</v>
      </c>
    </row>
    <row r="1883" spans="1:15" x14ac:dyDescent="0.2">
      <c r="A1883">
        <v>1882</v>
      </c>
      <c r="B1883" s="1">
        <v>40772</v>
      </c>
      <c r="C1883" t="s">
        <v>24</v>
      </c>
      <c r="D1883" s="7">
        <v>35</v>
      </c>
      <c r="E1883" s="7">
        <v>6</v>
      </c>
      <c r="F1883" s="7">
        <f t="shared" si="29"/>
        <v>4</v>
      </c>
      <c r="G1883" s="7" t="str">
        <f>LOOKUP(H1883,[1]startdates!$A$2:$A$10,[1]startdates!$B$2:$B$10)</f>
        <v>C</v>
      </c>
      <c r="H1883">
        <v>8</v>
      </c>
      <c r="I1883" s="7">
        <v>723</v>
      </c>
      <c r="L1883" s="7">
        <v>384</v>
      </c>
      <c r="M1883" s="7">
        <v>326</v>
      </c>
      <c r="N1883" s="7">
        <v>214</v>
      </c>
      <c r="O1883" s="7">
        <v>183</v>
      </c>
    </row>
    <row r="1884" spans="1:15" x14ac:dyDescent="0.2">
      <c r="A1884">
        <v>1883</v>
      </c>
      <c r="B1884" s="1">
        <v>40772</v>
      </c>
      <c r="C1884" t="s">
        <v>24</v>
      </c>
      <c r="D1884" s="7">
        <v>35</v>
      </c>
      <c r="E1884" s="7">
        <v>6</v>
      </c>
      <c r="F1884" s="7">
        <f t="shared" si="29"/>
        <v>4</v>
      </c>
      <c r="G1884" s="7" t="str">
        <f>LOOKUP(H1884,[1]startdates!$A$2:$A$10,[1]startdates!$B$2:$B$10)</f>
        <v>C</v>
      </c>
      <c r="H1884">
        <v>8</v>
      </c>
      <c r="L1884" s="7">
        <v>530</v>
      </c>
      <c r="M1884" s="7">
        <v>330</v>
      </c>
      <c r="N1884" s="7">
        <v>232</v>
      </c>
      <c r="O1884" s="7">
        <v>174</v>
      </c>
    </row>
    <row r="1885" spans="1:15" x14ac:dyDescent="0.2">
      <c r="A1885">
        <v>1884</v>
      </c>
      <c r="B1885" s="1">
        <v>40772</v>
      </c>
      <c r="C1885" t="s">
        <v>24</v>
      </c>
      <c r="D1885" s="7">
        <v>35</v>
      </c>
      <c r="E1885" s="7">
        <v>6</v>
      </c>
      <c r="F1885" s="7">
        <f t="shared" si="29"/>
        <v>4</v>
      </c>
      <c r="G1885" s="7" t="str">
        <f>LOOKUP(H1885,[1]startdates!$A$2:$A$10,[1]startdates!$B$2:$B$10)</f>
        <v>C</v>
      </c>
      <c r="H1885">
        <v>8</v>
      </c>
      <c r="L1885" s="7">
        <v>499</v>
      </c>
      <c r="M1885" s="7">
        <v>322</v>
      </c>
      <c r="N1885" s="7">
        <v>230</v>
      </c>
      <c r="O1885" s="7">
        <v>146</v>
      </c>
    </row>
    <row r="1886" spans="1:15" x14ac:dyDescent="0.2">
      <c r="A1886">
        <v>1885</v>
      </c>
      <c r="B1886" s="1">
        <v>40772</v>
      </c>
      <c r="C1886" t="s">
        <v>24</v>
      </c>
      <c r="D1886" s="7">
        <v>35</v>
      </c>
      <c r="E1886" s="7">
        <v>6</v>
      </c>
      <c r="F1886" s="7">
        <f t="shared" si="29"/>
        <v>4</v>
      </c>
      <c r="G1886" s="7" t="str">
        <f>LOOKUP(H1886,[1]startdates!$A$2:$A$10,[1]startdates!$B$2:$B$10)</f>
        <v>C</v>
      </c>
      <c r="H1886">
        <v>8</v>
      </c>
      <c r="L1886" s="7">
        <v>406</v>
      </c>
      <c r="M1886" s="7">
        <v>330</v>
      </c>
      <c r="N1886" s="7">
        <v>216</v>
      </c>
      <c r="O1886" s="7">
        <v>169</v>
      </c>
    </row>
    <row r="1887" spans="1:15" x14ac:dyDescent="0.2">
      <c r="A1887">
        <v>1886</v>
      </c>
      <c r="B1887" s="1">
        <v>40772</v>
      </c>
      <c r="C1887" t="s">
        <v>24</v>
      </c>
      <c r="D1887" s="7">
        <v>35</v>
      </c>
      <c r="E1887" s="7">
        <v>6</v>
      </c>
      <c r="F1887" s="7">
        <f t="shared" si="29"/>
        <v>4</v>
      </c>
      <c r="G1887" s="7" t="str">
        <f>LOOKUP(H1887,[1]startdates!$A$2:$A$10,[1]startdates!$B$2:$B$10)</f>
        <v>C</v>
      </c>
      <c r="H1887">
        <v>8</v>
      </c>
      <c r="M1887" s="7">
        <v>289</v>
      </c>
      <c r="N1887" s="7">
        <v>191</v>
      </c>
      <c r="O1887" s="7">
        <v>187</v>
      </c>
    </row>
    <row r="1888" spans="1:15" x14ac:dyDescent="0.2">
      <c r="A1888">
        <v>1887</v>
      </c>
      <c r="B1888" s="1">
        <v>40772</v>
      </c>
      <c r="C1888" t="s">
        <v>24</v>
      </c>
      <c r="D1888" s="7">
        <v>35</v>
      </c>
      <c r="E1888" s="7">
        <v>6</v>
      </c>
      <c r="F1888" s="7">
        <f t="shared" si="29"/>
        <v>4</v>
      </c>
      <c r="G1888" s="7" t="str">
        <f>LOOKUP(H1888,[1]startdates!$A$2:$A$10,[1]startdates!$B$2:$B$10)</f>
        <v>C</v>
      </c>
      <c r="H1888">
        <v>8</v>
      </c>
      <c r="M1888" s="7">
        <v>282</v>
      </c>
      <c r="N1888" s="7">
        <v>218</v>
      </c>
      <c r="O1888" s="7">
        <v>179</v>
      </c>
    </row>
    <row r="1889" spans="1:16" x14ac:dyDescent="0.2">
      <c r="A1889">
        <v>1888</v>
      </c>
      <c r="B1889" s="1">
        <v>40772</v>
      </c>
      <c r="C1889" t="s">
        <v>24</v>
      </c>
      <c r="D1889" s="7">
        <v>35</v>
      </c>
      <c r="E1889" s="7">
        <v>6</v>
      </c>
      <c r="F1889" s="7">
        <f t="shared" si="29"/>
        <v>4</v>
      </c>
      <c r="G1889" s="7" t="str">
        <f>LOOKUP(H1889,[1]startdates!$A$2:$A$10,[1]startdates!$B$2:$B$10)</f>
        <v>C</v>
      </c>
      <c r="H1889">
        <v>8</v>
      </c>
      <c r="M1889" s="7">
        <v>350</v>
      </c>
      <c r="N1889" s="7">
        <v>209</v>
      </c>
      <c r="O1889" s="7">
        <v>169</v>
      </c>
    </row>
    <row r="1890" spans="1:16" x14ac:dyDescent="0.2">
      <c r="A1890">
        <v>1889</v>
      </c>
      <c r="B1890" s="1">
        <v>40772</v>
      </c>
      <c r="C1890" t="s">
        <v>24</v>
      </c>
      <c r="D1890" s="7">
        <v>35</v>
      </c>
      <c r="E1890" s="7">
        <v>6</v>
      </c>
      <c r="F1890" s="7">
        <f t="shared" si="29"/>
        <v>4</v>
      </c>
      <c r="G1890" s="7" t="str">
        <f>LOOKUP(H1890,[1]startdates!$A$2:$A$10,[1]startdates!$B$2:$B$10)</f>
        <v>C</v>
      </c>
      <c r="H1890">
        <v>8</v>
      </c>
      <c r="M1890" s="7">
        <v>354</v>
      </c>
      <c r="N1890" s="7">
        <v>220</v>
      </c>
      <c r="O1890" s="7">
        <v>176</v>
      </c>
    </row>
    <row r="1891" spans="1:16" x14ac:dyDescent="0.2">
      <c r="A1891">
        <v>1890</v>
      </c>
      <c r="B1891" s="1">
        <v>40772</v>
      </c>
      <c r="C1891" t="s">
        <v>24</v>
      </c>
      <c r="D1891" s="7">
        <v>35</v>
      </c>
      <c r="E1891" s="7">
        <v>6</v>
      </c>
      <c r="F1891" s="7">
        <f t="shared" si="29"/>
        <v>4</v>
      </c>
      <c r="G1891" s="7" t="str">
        <f>LOOKUP(H1891,[1]startdates!$A$2:$A$10,[1]startdates!$B$2:$B$10)</f>
        <v>C</v>
      </c>
      <c r="H1891">
        <v>8</v>
      </c>
      <c r="N1891" s="7">
        <v>192</v>
      </c>
      <c r="O1891" s="7">
        <v>173</v>
      </c>
    </row>
    <row r="1892" spans="1:16" x14ac:dyDescent="0.2">
      <c r="A1892">
        <v>1891</v>
      </c>
      <c r="B1892" s="1">
        <v>40772</v>
      </c>
      <c r="C1892" t="s">
        <v>24</v>
      </c>
      <c r="D1892" s="7">
        <v>35</v>
      </c>
      <c r="E1892" s="7">
        <v>6</v>
      </c>
      <c r="F1892" s="7">
        <f t="shared" si="29"/>
        <v>4</v>
      </c>
      <c r="G1892" s="7" t="str">
        <f>LOOKUP(H1892,[1]startdates!$A$2:$A$10,[1]startdates!$B$2:$B$10)</f>
        <v>C</v>
      </c>
      <c r="H1892">
        <v>8</v>
      </c>
      <c r="N1892" s="7">
        <v>241</v>
      </c>
    </row>
    <row r="1893" spans="1:16" x14ac:dyDescent="0.2">
      <c r="A1893">
        <v>1892</v>
      </c>
      <c r="B1893" s="1">
        <v>40772</v>
      </c>
      <c r="C1893" t="s">
        <v>24</v>
      </c>
      <c r="D1893" s="7">
        <v>35</v>
      </c>
      <c r="E1893" s="7">
        <v>6</v>
      </c>
      <c r="F1893" s="7">
        <f t="shared" si="29"/>
        <v>4</v>
      </c>
      <c r="G1893" s="7" t="str">
        <f>LOOKUP(H1893,[1]startdates!$A$2:$A$10,[1]startdates!$B$2:$B$10)</f>
        <v>C</v>
      </c>
      <c r="H1893">
        <v>8</v>
      </c>
      <c r="N1893" s="7">
        <v>203</v>
      </c>
    </row>
    <row r="1894" spans="1:16" x14ac:dyDescent="0.2">
      <c r="A1894">
        <v>1893</v>
      </c>
      <c r="B1894" s="1">
        <v>40772</v>
      </c>
      <c r="C1894" t="s">
        <v>24</v>
      </c>
      <c r="D1894" s="7">
        <v>35</v>
      </c>
      <c r="E1894" s="7">
        <v>6</v>
      </c>
      <c r="F1894" s="7">
        <f t="shared" si="29"/>
        <v>4</v>
      </c>
      <c r="G1894" s="7" t="str">
        <f>LOOKUP(H1894,[1]startdates!$A$2:$A$10,[1]startdates!$B$2:$B$10)</f>
        <v>C</v>
      </c>
      <c r="H1894">
        <v>8</v>
      </c>
      <c r="N1894" s="7">
        <v>238</v>
      </c>
    </row>
    <row r="1895" spans="1:16" x14ac:dyDescent="0.2">
      <c r="A1895">
        <v>1894</v>
      </c>
      <c r="B1895" s="1">
        <v>40772</v>
      </c>
      <c r="C1895" t="s">
        <v>24</v>
      </c>
      <c r="D1895" s="7">
        <v>35</v>
      </c>
      <c r="E1895" s="7">
        <v>6</v>
      </c>
      <c r="F1895" s="7">
        <f t="shared" si="29"/>
        <v>4</v>
      </c>
      <c r="G1895" s="7" t="str">
        <f>LOOKUP(H1895,[1]startdates!$A$2:$A$10,[1]startdates!$B$2:$B$10)</f>
        <v>FMr</v>
      </c>
      <c r="H1895">
        <v>9</v>
      </c>
      <c r="I1895" s="7">
        <v>640</v>
      </c>
      <c r="K1895" s="7">
        <v>502</v>
      </c>
      <c r="L1895" s="7">
        <v>419</v>
      </c>
      <c r="M1895" s="7">
        <v>362</v>
      </c>
      <c r="N1895" s="7">
        <v>246</v>
      </c>
      <c r="O1895" s="7">
        <v>162</v>
      </c>
      <c r="P1895" s="7">
        <v>563</v>
      </c>
    </row>
    <row r="1896" spans="1:16" x14ac:dyDescent="0.2">
      <c r="A1896">
        <v>1895</v>
      </c>
      <c r="B1896" s="1">
        <v>40772</v>
      </c>
      <c r="C1896" t="s">
        <v>24</v>
      </c>
      <c r="D1896" s="7">
        <v>35</v>
      </c>
      <c r="E1896" s="7">
        <v>6</v>
      </c>
      <c r="F1896" s="7">
        <f t="shared" si="29"/>
        <v>4</v>
      </c>
      <c r="G1896" s="7" t="str">
        <f>LOOKUP(H1896,[1]startdates!$A$2:$A$10,[1]startdates!$B$2:$B$10)</f>
        <v>FMr</v>
      </c>
      <c r="H1896">
        <v>9</v>
      </c>
      <c r="I1896" s="7">
        <v>619</v>
      </c>
      <c r="K1896" s="7">
        <v>570</v>
      </c>
      <c r="L1896" s="7">
        <v>483</v>
      </c>
      <c r="M1896" s="7">
        <v>321</v>
      </c>
      <c r="N1896" s="7">
        <v>191</v>
      </c>
      <c r="O1896" s="7">
        <v>157</v>
      </c>
    </row>
    <row r="1897" spans="1:16" x14ac:dyDescent="0.2">
      <c r="A1897">
        <v>1896</v>
      </c>
      <c r="B1897" s="1">
        <v>40772</v>
      </c>
      <c r="C1897" t="s">
        <v>24</v>
      </c>
      <c r="D1897" s="7">
        <v>35</v>
      </c>
      <c r="E1897" s="7">
        <v>6</v>
      </c>
      <c r="F1897" s="7">
        <f t="shared" ref="F1897:F1960" si="30">WEEKDAY(B1897)</f>
        <v>4</v>
      </c>
      <c r="G1897" s="7" t="str">
        <f>LOOKUP(H1897,[1]startdates!$A$2:$A$10,[1]startdates!$B$2:$B$10)</f>
        <v>FMr</v>
      </c>
      <c r="H1897">
        <v>9</v>
      </c>
      <c r="I1897" s="7">
        <v>752</v>
      </c>
      <c r="K1897" s="7">
        <v>580</v>
      </c>
      <c r="L1897" s="7">
        <v>459</v>
      </c>
      <c r="M1897" s="7">
        <v>355</v>
      </c>
      <c r="N1897" s="7">
        <v>243</v>
      </c>
      <c r="O1897" s="7">
        <v>177</v>
      </c>
    </row>
    <row r="1898" spans="1:16" x14ac:dyDescent="0.2">
      <c r="A1898">
        <v>1897</v>
      </c>
      <c r="B1898" s="1">
        <v>40772</v>
      </c>
      <c r="C1898" t="s">
        <v>24</v>
      </c>
      <c r="D1898" s="7">
        <v>35</v>
      </c>
      <c r="E1898" s="7">
        <v>6</v>
      </c>
      <c r="F1898" s="7">
        <f t="shared" si="30"/>
        <v>4</v>
      </c>
      <c r="G1898" s="7" t="str">
        <f>LOOKUP(H1898,[1]startdates!$A$2:$A$10,[1]startdates!$B$2:$B$10)</f>
        <v>FMr</v>
      </c>
      <c r="H1898">
        <v>9</v>
      </c>
      <c r="I1898" s="7">
        <v>672</v>
      </c>
      <c r="K1898" s="7">
        <v>531</v>
      </c>
      <c r="L1898" s="7">
        <v>483</v>
      </c>
      <c r="M1898" s="7">
        <v>314</v>
      </c>
      <c r="N1898" s="7">
        <v>229</v>
      </c>
      <c r="O1898" s="7">
        <v>169</v>
      </c>
    </row>
    <row r="1899" spans="1:16" x14ac:dyDescent="0.2">
      <c r="A1899">
        <v>1898</v>
      </c>
      <c r="B1899" s="1">
        <v>40772</v>
      </c>
      <c r="C1899" t="s">
        <v>24</v>
      </c>
      <c r="D1899" s="7">
        <v>35</v>
      </c>
      <c r="E1899" s="7">
        <v>6</v>
      </c>
      <c r="F1899" s="7">
        <f t="shared" si="30"/>
        <v>4</v>
      </c>
      <c r="G1899" s="7" t="str">
        <f>LOOKUP(H1899,[1]startdates!$A$2:$A$10,[1]startdates!$B$2:$B$10)</f>
        <v>FMr</v>
      </c>
      <c r="H1899">
        <v>9</v>
      </c>
      <c r="I1899" s="7">
        <v>661</v>
      </c>
      <c r="K1899" s="7">
        <v>636</v>
      </c>
      <c r="L1899" s="7">
        <v>406</v>
      </c>
      <c r="M1899" s="7">
        <v>355</v>
      </c>
      <c r="N1899" s="7">
        <v>292</v>
      </c>
      <c r="O1899" s="7">
        <v>181</v>
      </c>
    </row>
    <row r="1900" spans="1:16" x14ac:dyDescent="0.2">
      <c r="A1900">
        <v>1899</v>
      </c>
      <c r="B1900" s="1">
        <v>40772</v>
      </c>
      <c r="C1900" t="s">
        <v>24</v>
      </c>
      <c r="D1900" s="7">
        <v>35</v>
      </c>
      <c r="E1900" s="7">
        <v>6</v>
      </c>
      <c r="F1900" s="7">
        <f t="shared" si="30"/>
        <v>4</v>
      </c>
      <c r="G1900" s="7" t="str">
        <f>LOOKUP(H1900,[1]startdates!$A$2:$A$10,[1]startdates!$B$2:$B$10)</f>
        <v>FMr</v>
      </c>
      <c r="H1900">
        <v>9</v>
      </c>
      <c r="I1900" s="7">
        <v>631</v>
      </c>
      <c r="L1900" s="7">
        <v>478</v>
      </c>
      <c r="M1900" s="7">
        <v>378</v>
      </c>
      <c r="N1900" s="7">
        <v>222</v>
      </c>
      <c r="O1900" s="7">
        <v>181</v>
      </c>
    </row>
    <row r="1901" spans="1:16" x14ac:dyDescent="0.2">
      <c r="A1901">
        <v>1900</v>
      </c>
      <c r="B1901" s="1">
        <v>40772</v>
      </c>
      <c r="C1901" t="s">
        <v>24</v>
      </c>
      <c r="D1901" s="7">
        <v>35</v>
      </c>
      <c r="E1901" s="7">
        <v>6</v>
      </c>
      <c r="F1901" s="7">
        <f t="shared" si="30"/>
        <v>4</v>
      </c>
      <c r="G1901" s="7" t="str">
        <f>LOOKUP(H1901,[1]startdates!$A$2:$A$10,[1]startdates!$B$2:$B$10)</f>
        <v>FMr</v>
      </c>
      <c r="H1901">
        <v>9</v>
      </c>
      <c r="I1901" s="7">
        <v>793</v>
      </c>
      <c r="L1901" s="7">
        <v>377</v>
      </c>
      <c r="M1901" s="7">
        <v>359</v>
      </c>
      <c r="N1901" s="7">
        <v>216</v>
      </c>
      <c r="O1901" s="7">
        <v>162</v>
      </c>
    </row>
    <row r="1902" spans="1:16" x14ac:dyDescent="0.2">
      <c r="A1902">
        <v>1901</v>
      </c>
      <c r="B1902" s="1">
        <v>40772</v>
      </c>
      <c r="C1902" t="s">
        <v>24</v>
      </c>
      <c r="D1902" s="7">
        <v>35</v>
      </c>
      <c r="E1902" s="7">
        <v>6</v>
      </c>
      <c r="F1902" s="7">
        <f t="shared" si="30"/>
        <v>4</v>
      </c>
      <c r="G1902" s="7" t="str">
        <f>LOOKUP(H1902,[1]startdates!$A$2:$A$10,[1]startdates!$B$2:$B$10)</f>
        <v>FMr</v>
      </c>
      <c r="H1902">
        <v>9</v>
      </c>
      <c r="I1902" s="7">
        <v>724</v>
      </c>
      <c r="L1902" s="7">
        <v>383</v>
      </c>
      <c r="M1902" s="7">
        <v>359</v>
      </c>
      <c r="N1902" s="7">
        <v>186</v>
      </c>
      <c r="O1902" s="7">
        <v>171</v>
      </c>
    </row>
    <row r="1903" spans="1:16" x14ac:dyDescent="0.2">
      <c r="A1903">
        <v>1902</v>
      </c>
      <c r="B1903" s="1">
        <v>40772</v>
      </c>
      <c r="C1903" t="s">
        <v>24</v>
      </c>
      <c r="D1903" s="7">
        <v>35</v>
      </c>
      <c r="E1903" s="7">
        <v>6</v>
      </c>
      <c r="F1903" s="7">
        <f t="shared" si="30"/>
        <v>4</v>
      </c>
      <c r="G1903" s="7" t="str">
        <f>LOOKUP(H1903,[1]startdates!$A$2:$A$10,[1]startdates!$B$2:$B$10)</f>
        <v>FMr</v>
      </c>
      <c r="H1903">
        <v>9</v>
      </c>
      <c r="M1903" s="7">
        <v>334</v>
      </c>
      <c r="N1903" s="7">
        <v>209</v>
      </c>
      <c r="O1903" s="7">
        <v>171</v>
      </c>
    </row>
    <row r="1904" spans="1:16" x14ac:dyDescent="0.2">
      <c r="A1904">
        <v>1903</v>
      </c>
      <c r="B1904" s="1">
        <v>40772</v>
      </c>
      <c r="C1904" t="s">
        <v>24</v>
      </c>
      <c r="D1904" s="7">
        <v>35</v>
      </c>
      <c r="E1904" s="7">
        <v>6</v>
      </c>
      <c r="F1904" s="7">
        <f t="shared" si="30"/>
        <v>4</v>
      </c>
      <c r="G1904" s="7" t="str">
        <f>LOOKUP(H1904,[1]startdates!$A$2:$A$10,[1]startdates!$B$2:$B$10)</f>
        <v>FMr</v>
      </c>
      <c r="H1904">
        <v>9</v>
      </c>
      <c r="M1904" s="7">
        <v>350</v>
      </c>
      <c r="N1904" s="7">
        <v>218</v>
      </c>
      <c r="O1904" s="7">
        <v>143</v>
      </c>
    </row>
    <row r="1905" spans="1:18" x14ac:dyDescent="0.2">
      <c r="A1905">
        <v>1904</v>
      </c>
      <c r="B1905" s="1">
        <v>40772</v>
      </c>
      <c r="C1905" t="s">
        <v>24</v>
      </c>
      <c r="D1905" s="7">
        <v>35</v>
      </c>
      <c r="E1905" s="7">
        <v>6</v>
      </c>
      <c r="F1905" s="7">
        <f t="shared" si="30"/>
        <v>4</v>
      </c>
      <c r="G1905" s="7" t="str">
        <f>LOOKUP(H1905,[1]startdates!$A$2:$A$10,[1]startdates!$B$2:$B$10)</f>
        <v>FMr</v>
      </c>
      <c r="H1905">
        <v>9</v>
      </c>
      <c r="N1905" s="7">
        <v>212</v>
      </c>
      <c r="O1905" s="7">
        <v>155</v>
      </c>
    </row>
    <row r="1906" spans="1:18" x14ac:dyDescent="0.2">
      <c r="A1906">
        <v>1905</v>
      </c>
      <c r="B1906" s="1">
        <v>40772</v>
      </c>
      <c r="C1906" t="s">
        <v>24</v>
      </c>
      <c r="D1906" s="7">
        <v>35</v>
      </c>
      <c r="E1906" s="7">
        <v>6</v>
      </c>
      <c r="F1906" s="7">
        <f t="shared" si="30"/>
        <v>4</v>
      </c>
      <c r="G1906" s="7" t="str">
        <f>LOOKUP(H1906,[1]startdates!$A$2:$A$10,[1]startdates!$B$2:$B$10)</f>
        <v>FMr</v>
      </c>
      <c r="H1906">
        <v>9</v>
      </c>
      <c r="N1906" s="7">
        <v>220</v>
      </c>
      <c r="O1906" s="7">
        <v>167</v>
      </c>
    </row>
    <row r="1907" spans="1:18" x14ac:dyDescent="0.2">
      <c r="A1907">
        <v>1906</v>
      </c>
      <c r="B1907" s="1">
        <v>40772</v>
      </c>
      <c r="C1907" t="s">
        <v>24</v>
      </c>
      <c r="D1907" s="7">
        <v>35</v>
      </c>
      <c r="E1907" s="7">
        <v>6</v>
      </c>
      <c r="F1907" s="7">
        <f t="shared" si="30"/>
        <v>4</v>
      </c>
      <c r="G1907" s="7" t="str">
        <f>LOOKUP(H1907,[1]startdates!$A$2:$A$10,[1]startdates!$B$2:$B$10)</f>
        <v>FMr</v>
      </c>
      <c r="H1907">
        <v>9</v>
      </c>
      <c r="N1907" s="7">
        <v>194</v>
      </c>
      <c r="O1907" s="7">
        <v>168</v>
      </c>
    </row>
    <row r="1908" spans="1:18" x14ac:dyDescent="0.2">
      <c r="A1908">
        <v>1907</v>
      </c>
      <c r="B1908" s="1">
        <v>40772</v>
      </c>
      <c r="C1908" t="s">
        <v>24</v>
      </c>
      <c r="D1908" s="7">
        <v>35</v>
      </c>
      <c r="E1908" s="7">
        <v>6</v>
      </c>
      <c r="F1908" s="7">
        <f t="shared" si="30"/>
        <v>4</v>
      </c>
      <c r="G1908" s="7" t="str">
        <f>LOOKUP(H1908,[1]startdates!$A$2:$A$10,[1]startdates!$B$2:$B$10)</f>
        <v>FMr</v>
      </c>
      <c r="H1908">
        <v>9</v>
      </c>
      <c r="O1908" s="7">
        <v>161</v>
      </c>
    </row>
    <row r="1909" spans="1:18" x14ac:dyDescent="0.2">
      <c r="A1909">
        <v>1908</v>
      </c>
      <c r="B1909" s="1">
        <v>40772</v>
      </c>
      <c r="C1909" t="s">
        <v>24</v>
      </c>
      <c r="D1909" s="7">
        <v>35</v>
      </c>
      <c r="E1909" s="7">
        <v>6</v>
      </c>
      <c r="F1909" s="7">
        <f t="shared" si="30"/>
        <v>4</v>
      </c>
      <c r="G1909" s="7" t="str">
        <f>LOOKUP(H1909,[1]startdates!$A$2:$A$10,[1]startdates!$B$2:$B$10)</f>
        <v>FMr</v>
      </c>
      <c r="H1909">
        <v>9</v>
      </c>
      <c r="O1909" s="7">
        <v>167</v>
      </c>
    </row>
    <row r="1910" spans="1:18" x14ac:dyDescent="0.2">
      <c r="A1910">
        <v>1909</v>
      </c>
      <c r="B1910" s="1">
        <v>40772</v>
      </c>
      <c r="C1910" t="s">
        <v>24</v>
      </c>
      <c r="D1910" s="7">
        <v>35</v>
      </c>
      <c r="E1910" s="7">
        <v>6</v>
      </c>
      <c r="F1910" s="7">
        <f t="shared" si="30"/>
        <v>4</v>
      </c>
      <c r="G1910" s="7" t="str">
        <f>LOOKUP(H1910,[1]startdates!$A$2:$A$10,[1]startdates!$B$2:$B$10)</f>
        <v>FMr</v>
      </c>
      <c r="H1910">
        <v>9</v>
      </c>
      <c r="O1910" s="7">
        <v>161</v>
      </c>
    </row>
    <row r="1911" spans="1:18" x14ac:dyDescent="0.2">
      <c r="A1911">
        <v>1910</v>
      </c>
      <c r="B1911" s="1">
        <v>40772</v>
      </c>
      <c r="C1911" t="s">
        <v>24</v>
      </c>
      <c r="D1911" s="7">
        <v>35</v>
      </c>
      <c r="E1911" s="7">
        <v>6</v>
      </c>
      <c r="F1911" s="7">
        <f t="shared" si="30"/>
        <v>4</v>
      </c>
      <c r="G1911" s="7" t="str">
        <f>LOOKUP(H1911,[1]startdates!$A$2:$A$10,[1]startdates!$B$2:$B$10)</f>
        <v>FMr</v>
      </c>
      <c r="H1911">
        <v>9</v>
      </c>
      <c r="O1911" s="7">
        <v>187</v>
      </c>
    </row>
    <row r="1912" spans="1:18" x14ac:dyDescent="0.2">
      <c r="A1912">
        <v>1911</v>
      </c>
      <c r="B1912" s="1">
        <v>40772</v>
      </c>
      <c r="C1912" t="s">
        <v>24</v>
      </c>
      <c r="D1912" s="7">
        <v>35</v>
      </c>
      <c r="E1912" s="7">
        <v>6</v>
      </c>
      <c r="F1912" s="7">
        <f t="shared" si="30"/>
        <v>4</v>
      </c>
      <c r="G1912" s="7" t="str">
        <f>LOOKUP(H1912,[1]startdates!$A$2:$A$10,[1]startdates!$B$2:$B$10)</f>
        <v>FMr</v>
      </c>
      <c r="H1912">
        <v>9</v>
      </c>
      <c r="O1912" s="7">
        <v>162</v>
      </c>
    </row>
    <row r="1913" spans="1:18" x14ac:dyDescent="0.2">
      <c r="A1913">
        <v>1912</v>
      </c>
      <c r="B1913" s="1">
        <v>40772</v>
      </c>
      <c r="C1913" t="s">
        <v>24</v>
      </c>
      <c r="D1913" s="7">
        <v>35</v>
      </c>
      <c r="E1913" s="7">
        <v>6</v>
      </c>
      <c r="F1913" s="7">
        <f t="shared" si="30"/>
        <v>4</v>
      </c>
      <c r="G1913" s="7" t="str">
        <f>LOOKUP(H1913,[1]startdates!$A$2:$A$10,[1]startdates!$B$2:$B$10)</f>
        <v>FMr</v>
      </c>
      <c r="H1913">
        <v>9</v>
      </c>
      <c r="O1913" s="7">
        <v>163</v>
      </c>
    </row>
    <row r="1914" spans="1:18" x14ac:dyDescent="0.2">
      <c r="A1914">
        <v>1913</v>
      </c>
      <c r="B1914" s="1">
        <v>40774</v>
      </c>
      <c r="C1914" t="s">
        <v>24</v>
      </c>
      <c r="D1914" s="7">
        <v>37</v>
      </c>
      <c r="E1914" s="7">
        <v>6</v>
      </c>
      <c r="F1914" s="7">
        <f t="shared" si="30"/>
        <v>6</v>
      </c>
      <c r="G1914" s="7" t="str">
        <f>LOOKUP(H1914,[1]startdates!$A$2:$A$10,[1]startdates!$B$2:$B$10)</f>
        <v>SMr</v>
      </c>
      <c r="H1914">
        <v>1</v>
      </c>
      <c r="I1914" s="7">
        <v>722.1</v>
      </c>
      <c r="J1914" s="7">
        <v>542.6</v>
      </c>
      <c r="K1914" s="7">
        <v>735.8</v>
      </c>
      <c r="L1914" s="7">
        <v>521.6</v>
      </c>
      <c r="M1914" s="7">
        <v>276.8</v>
      </c>
      <c r="N1914" s="7">
        <v>195</v>
      </c>
      <c r="O1914" s="7">
        <v>156</v>
      </c>
      <c r="Q1914" s="7">
        <v>364.6</v>
      </c>
      <c r="R1914" s="7">
        <v>263.60000000000002</v>
      </c>
    </row>
    <row r="1915" spans="1:18" x14ac:dyDescent="0.2">
      <c r="A1915">
        <v>1914</v>
      </c>
      <c r="B1915" s="1">
        <v>40774</v>
      </c>
      <c r="C1915" t="s">
        <v>24</v>
      </c>
      <c r="D1915" s="7">
        <v>37</v>
      </c>
      <c r="E1915" s="7">
        <v>6</v>
      </c>
      <c r="F1915" s="7">
        <f t="shared" si="30"/>
        <v>6</v>
      </c>
      <c r="G1915" s="7" t="str">
        <f>LOOKUP(H1915,[1]startdates!$A$2:$A$10,[1]startdates!$B$2:$B$10)</f>
        <v>SMr</v>
      </c>
      <c r="H1915">
        <v>1</v>
      </c>
      <c r="I1915" s="7">
        <v>873.3</v>
      </c>
      <c r="K1915" s="7">
        <v>555.70000000000005</v>
      </c>
      <c r="L1915" s="7">
        <v>496.6</v>
      </c>
      <c r="M1915" s="7">
        <v>371.5</v>
      </c>
      <c r="N1915" s="7">
        <v>195</v>
      </c>
      <c r="O1915" s="7">
        <v>140.69999999999999</v>
      </c>
      <c r="Q1915" s="7">
        <v>390.5</v>
      </c>
      <c r="R1915" s="7">
        <v>258.60000000000002</v>
      </c>
    </row>
    <row r="1916" spans="1:18" x14ac:dyDescent="0.2">
      <c r="A1916">
        <v>1915</v>
      </c>
      <c r="B1916" s="1">
        <v>40774</v>
      </c>
      <c r="C1916" t="s">
        <v>24</v>
      </c>
      <c r="D1916" s="7">
        <v>37</v>
      </c>
      <c r="E1916" s="7">
        <v>6</v>
      </c>
      <c r="F1916" s="7">
        <f t="shared" si="30"/>
        <v>6</v>
      </c>
      <c r="G1916" s="7" t="str">
        <f>LOOKUP(H1916,[1]startdates!$A$2:$A$10,[1]startdates!$B$2:$B$10)</f>
        <v>SMr</v>
      </c>
      <c r="H1916">
        <v>1</v>
      </c>
      <c r="I1916" s="7">
        <v>757.3</v>
      </c>
      <c r="K1916" s="7">
        <v>646</v>
      </c>
      <c r="L1916" s="7">
        <v>576.5</v>
      </c>
      <c r="M1916" s="7">
        <v>401.8</v>
      </c>
      <c r="N1916" s="7">
        <v>207</v>
      </c>
      <c r="O1916" s="7">
        <v>184.1</v>
      </c>
    </row>
    <row r="1917" spans="1:18" x14ac:dyDescent="0.2">
      <c r="A1917">
        <v>1916</v>
      </c>
      <c r="B1917" s="1">
        <v>40774</v>
      </c>
      <c r="C1917" t="s">
        <v>24</v>
      </c>
      <c r="D1917" s="7">
        <v>37</v>
      </c>
      <c r="E1917" s="7">
        <v>6</v>
      </c>
      <c r="F1917" s="7">
        <f t="shared" si="30"/>
        <v>6</v>
      </c>
      <c r="G1917" s="7" t="str">
        <f>LOOKUP(H1917,[1]startdates!$A$2:$A$10,[1]startdates!$B$2:$B$10)</f>
        <v>SMr</v>
      </c>
      <c r="H1917">
        <v>1</v>
      </c>
      <c r="I1917" s="7">
        <v>938.6</v>
      </c>
      <c r="K1917" s="7">
        <v>600.79999999999995</v>
      </c>
      <c r="L1917" s="7">
        <v>457.8</v>
      </c>
      <c r="M1917" s="7">
        <v>315.7</v>
      </c>
      <c r="N1917" s="7">
        <v>176</v>
      </c>
      <c r="O1917" s="7">
        <v>184.2</v>
      </c>
    </row>
    <row r="1918" spans="1:18" x14ac:dyDescent="0.2">
      <c r="A1918">
        <v>1917</v>
      </c>
      <c r="B1918" s="1">
        <v>40774</v>
      </c>
      <c r="C1918" t="s">
        <v>24</v>
      </c>
      <c r="D1918" s="7">
        <v>37</v>
      </c>
      <c r="E1918" s="7">
        <v>6</v>
      </c>
      <c r="F1918" s="7">
        <f t="shared" si="30"/>
        <v>6</v>
      </c>
      <c r="G1918" s="7" t="str">
        <f>LOOKUP(H1918,[1]startdates!$A$2:$A$10,[1]startdates!$B$2:$B$10)</f>
        <v>SMr</v>
      </c>
      <c r="H1918">
        <v>1</v>
      </c>
      <c r="I1918" s="7">
        <v>556</v>
      </c>
      <c r="K1918" s="7">
        <v>606</v>
      </c>
      <c r="L1918" s="7">
        <v>548</v>
      </c>
      <c r="M1918" s="7">
        <v>276.3</v>
      </c>
      <c r="N1918" s="7">
        <v>204</v>
      </c>
      <c r="O1918" s="7">
        <v>173.3</v>
      </c>
    </row>
    <row r="1919" spans="1:18" x14ac:dyDescent="0.2">
      <c r="A1919">
        <v>1918</v>
      </c>
      <c r="B1919" s="1">
        <v>40774</v>
      </c>
      <c r="C1919" t="s">
        <v>24</v>
      </c>
      <c r="D1919" s="7">
        <v>37</v>
      </c>
      <c r="E1919" s="7">
        <v>6</v>
      </c>
      <c r="F1919" s="7">
        <f t="shared" si="30"/>
        <v>6</v>
      </c>
      <c r="G1919" s="7" t="str">
        <f>LOOKUP(H1919,[1]startdates!$A$2:$A$10,[1]startdates!$B$2:$B$10)</f>
        <v>SMr</v>
      </c>
      <c r="H1919">
        <v>1</v>
      </c>
      <c r="I1919" s="7">
        <v>751.4</v>
      </c>
      <c r="K1919" s="7">
        <v>572.79999999999995</v>
      </c>
      <c r="L1919" s="7">
        <v>519.9</v>
      </c>
      <c r="M1919" s="7">
        <v>349.9</v>
      </c>
      <c r="N1919" s="7">
        <v>221</v>
      </c>
      <c r="O1919" s="7">
        <v>179.2</v>
      </c>
    </row>
    <row r="1920" spans="1:18" x14ac:dyDescent="0.2">
      <c r="A1920">
        <v>1919</v>
      </c>
      <c r="B1920" s="1">
        <v>40774</v>
      </c>
      <c r="C1920" t="s">
        <v>24</v>
      </c>
      <c r="D1920" s="7">
        <v>37</v>
      </c>
      <c r="E1920" s="7">
        <v>6</v>
      </c>
      <c r="F1920" s="7">
        <f t="shared" si="30"/>
        <v>6</v>
      </c>
      <c r="G1920" s="7" t="str">
        <f>LOOKUP(H1920,[1]startdates!$A$2:$A$10,[1]startdates!$B$2:$B$10)</f>
        <v>SMr</v>
      </c>
      <c r="H1920">
        <v>1</v>
      </c>
      <c r="I1920" s="7">
        <v>714.6</v>
      </c>
      <c r="K1920" s="7">
        <v>653.6</v>
      </c>
      <c r="L1920" s="7">
        <v>434.5</v>
      </c>
      <c r="M1920" s="7">
        <v>335.9</v>
      </c>
      <c r="N1920" s="7">
        <v>230.4</v>
      </c>
      <c r="O1920" s="7">
        <v>157.4</v>
      </c>
    </row>
    <row r="1921" spans="1:18" x14ac:dyDescent="0.2">
      <c r="A1921">
        <v>1920</v>
      </c>
      <c r="B1921" s="1">
        <v>40774</v>
      </c>
      <c r="C1921" t="s">
        <v>24</v>
      </c>
      <c r="D1921" s="7">
        <v>37</v>
      </c>
      <c r="E1921" s="7">
        <v>6</v>
      </c>
      <c r="F1921" s="7">
        <f t="shared" si="30"/>
        <v>6</v>
      </c>
      <c r="G1921" s="7" t="str">
        <f>LOOKUP(H1921,[1]startdates!$A$2:$A$10,[1]startdates!$B$2:$B$10)</f>
        <v>SMr</v>
      </c>
      <c r="H1921">
        <v>1</v>
      </c>
      <c r="I1921" s="7">
        <v>655.8</v>
      </c>
      <c r="K1921" s="7">
        <v>622.4</v>
      </c>
      <c r="M1921" s="7">
        <v>361.1</v>
      </c>
      <c r="N1921" s="7">
        <v>271.8</v>
      </c>
      <c r="O1921" s="7">
        <v>151.6</v>
      </c>
    </row>
    <row r="1922" spans="1:18" x14ac:dyDescent="0.2">
      <c r="A1922">
        <v>1921</v>
      </c>
      <c r="B1922" s="1">
        <v>40774</v>
      </c>
      <c r="C1922" t="s">
        <v>24</v>
      </c>
      <c r="D1922" s="7">
        <v>37</v>
      </c>
      <c r="E1922" s="7">
        <v>6</v>
      </c>
      <c r="F1922" s="7">
        <f t="shared" si="30"/>
        <v>6</v>
      </c>
      <c r="G1922" s="7" t="str">
        <f>LOOKUP(H1922,[1]startdates!$A$2:$A$10,[1]startdates!$B$2:$B$10)</f>
        <v>SMr</v>
      </c>
      <c r="H1922">
        <v>1</v>
      </c>
      <c r="I1922" s="7">
        <v>721.2</v>
      </c>
      <c r="K1922" s="7">
        <v>586.9</v>
      </c>
      <c r="M1922" s="7">
        <v>352.9</v>
      </c>
      <c r="N1922" s="7">
        <v>295.39999999999998</v>
      </c>
      <c r="O1922" s="7">
        <v>154.80000000000001</v>
      </c>
    </row>
    <row r="1923" spans="1:18" x14ac:dyDescent="0.2">
      <c r="A1923">
        <v>1922</v>
      </c>
      <c r="B1923" s="1">
        <v>40774</v>
      </c>
      <c r="C1923" t="s">
        <v>24</v>
      </c>
      <c r="D1923" s="7">
        <v>37</v>
      </c>
      <c r="E1923" s="7">
        <v>6</v>
      </c>
      <c r="F1923" s="7">
        <f t="shared" si="30"/>
        <v>6</v>
      </c>
      <c r="G1923" s="7" t="str">
        <f>LOOKUP(H1923,[1]startdates!$A$2:$A$10,[1]startdates!$B$2:$B$10)</f>
        <v>SMr</v>
      </c>
      <c r="H1923">
        <v>1</v>
      </c>
      <c r="I1923" s="7">
        <v>761.7</v>
      </c>
      <c r="M1923" s="7">
        <v>363.5</v>
      </c>
      <c r="N1923" s="7">
        <v>235.6</v>
      </c>
      <c r="O1923" s="7">
        <v>147.30000000000001</v>
      </c>
    </row>
    <row r="1924" spans="1:18" x14ac:dyDescent="0.2">
      <c r="A1924">
        <v>1923</v>
      </c>
      <c r="B1924" s="1">
        <v>40774</v>
      </c>
      <c r="C1924" t="s">
        <v>24</v>
      </c>
      <c r="D1924" s="7">
        <v>37</v>
      </c>
      <c r="E1924" s="7">
        <v>6</v>
      </c>
      <c r="F1924" s="7">
        <f t="shared" si="30"/>
        <v>6</v>
      </c>
      <c r="G1924" s="7" t="str">
        <f>LOOKUP(H1924,[1]startdates!$A$2:$A$10,[1]startdates!$B$2:$B$10)</f>
        <v>SMr</v>
      </c>
      <c r="H1924">
        <v>1</v>
      </c>
      <c r="I1924" s="7">
        <v>713.5</v>
      </c>
      <c r="M1924" s="7">
        <v>300.8</v>
      </c>
      <c r="N1924" s="7">
        <v>200.3</v>
      </c>
      <c r="O1924" s="7">
        <v>154.6</v>
      </c>
    </row>
    <row r="1925" spans="1:18" x14ac:dyDescent="0.2">
      <c r="A1925">
        <v>1924</v>
      </c>
      <c r="B1925" s="1">
        <v>40774</v>
      </c>
      <c r="C1925" t="s">
        <v>24</v>
      </c>
      <c r="D1925" s="7">
        <v>37</v>
      </c>
      <c r="E1925" s="7">
        <v>6</v>
      </c>
      <c r="F1925" s="7">
        <f t="shared" si="30"/>
        <v>6</v>
      </c>
      <c r="G1925" s="7" t="str">
        <f>LOOKUP(H1925,[1]startdates!$A$2:$A$10,[1]startdates!$B$2:$B$10)</f>
        <v>SMr</v>
      </c>
      <c r="H1925">
        <v>1</v>
      </c>
      <c r="N1925" s="7">
        <v>244</v>
      </c>
      <c r="O1925" s="7">
        <v>175.5</v>
      </c>
    </row>
    <row r="1926" spans="1:18" x14ac:dyDescent="0.2">
      <c r="A1926">
        <v>1925</v>
      </c>
      <c r="B1926" s="1">
        <v>40774</v>
      </c>
      <c r="C1926" t="s">
        <v>24</v>
      </c>
      <c r="D1926" s="7">
        <v>37</v>
      </c>
      <c r="E1926" s="7">
        <v>6</v>
      </c>
      <c r="F1926" s="7">
        <f t="shared" si="30"/>
        <v>6</v>
      </c>
      <c r="G1926" s="7" t="str">
        <f>LOOKUP(H1926,[1]startdates!$A$2:$A$10,[1]startdates!$B$2:$B$10)</f>
        <v>SMr</v>
      </c>
      <c r="H1926">
        <v>1</v>
      </c>
      <c r="N1926" s="7">
        <v>192.7</v>
      </c>
      <c r="O1926" s="7">
        <v>158.69999999999999</v>
      </c>
    </row>
    <row r="1927" spans="1:18" x14ac:dyDescent="0.2">
      <c r="A1927">
        <v>1926</v>
      </c>
      <c r="B1927" s="1">
        <v>40774</v>
      </c>
      <c r="C1927" t="s">
        <v>24</v>
      </c>
      <c r="D1927" s="7">
        <v>37</v>
      </c>
      <c r="E1927" s="7">
        <v>6</v>
      </c>
      <c r="F1927" s="7">
        <f t="shared" si="30"/>
        <v>6</v>
      </c>
      <c r="G1927" s="7" t="str">
        <f>LOOKUP(H1927,[1]startdates!$A$2:$A$10,[1]startdates!$B$2:$B$10)</f>
        <v>SMr</v>
      </c>
      <c r="H1927">
        <v>1</v>
      </c>
      <c r="N1927" s="7">
        <v>221</v>
      </c>
      <c r="O1927" s="7">
        <v>138</v>
      </c>
    </row>
    <row r="1928" spans="1:18" x14ac:dyDescent="0.2">
      <c r="A1928">
        <v>1927</v>
      </c>
      <c r="B1928" s="1">
        <v>40774</v>
      </c>
      <c r="C1928" t="s">
        <v>24</v>
      </c>
      <c r="D1928" s="7">
        <v>37</v>
      </c>
      <c r="E1928" s="7">
        <v>6</v>
      </c>
      <c r="F1928" s="7">
        <f t="shared" si="30"/>
        <v>6</v>
      </c>
      <c r="G1928" s="7" t="str">
        <f>LOOKUP(H1928,[1]startdates!$A$2:$A$10,[1]startdates!$B$2:$B$10)</f>
        <v>SMr</v>
      </c>
      <c r="H1928">
        <v>1</v>
      </c>
      <c r="N1928" s="7">
        <v>172.4</v>
      </c>
      <c r="O1928" s="7">
        <v>165</v>
      </c>
    </row>
    <row r="1929" spans="1:18" x14ac:dyDescent="0.2">
      <c r="A1929">
        <v>1928</v>
      </c>
      <c r="B1929" s="1">
        <v>40774</v>
      </c>
      <c r="C1929" t="s">
        <v>24</v>
      </c>
      <c r="D1929" s="7">
        <v>37</v>
      </c>
      <c r="E1929" s="7">
        <v>6</v>
      </c>
      <c r="F1929" s="7">
        <f t="shared" si="30"/>
        <v>6</v>
      </c>
      <c r="G1929" s="7" t="str">
        <f>LOOKUP(H1929,[1]startdates!$A$2:$A$10,[1]startdates!$B$2:$B$10)</f>
        <v>SMr</v>
      </c>
      <c r="H1929">
        <v>1</v>
      </c>
      <c r="N1929" s="7">
        <v>220.7</v>
      </c>
    </row>
    <row r="1930" spans="1:18" x14ac:dyDescent="0.2">
      <c r="A1930">
        <v>1929</v>
      </c>
      <c r="B1930" s="1">
        <v>40774</v>
      </c>
      <c r="C1930" t="s">
        <v>24</v>
      </c>
      <c r="D1930" s="7">
        <v>37</v>
      </c>
      <c r="E1930" s="7">
        <v>6</v>
      </c>
      <c r="F1930" s="7">
        <f t="shared" si="30"/>
        <v>6</v>
      </c>
      <c r="G1930" s="7" t="str">
        <f>LOOKUP(H1930,[1]startdates!$A$2:$A$10,[1]startdates!$B$2:$B$10)</f>
        <v>SMr</v>
      </c>
      <c r="H1930">
        <v>1</v>
      </c>
      <c r="N1930" s="7">
        <v>250.4</v>
      </c>
    </row>
    <row r="1931" spans="1:18" x14ac:dyDescent="0.2">
      <c r="A1931">
        <v>1930</v>
      </c>
      <c r="B1931" s="1">
        <v>40774</v>
      </c>
      <c r="C1931" t="s">
        <v>24</v>
      </c>
      <c r="D1931" s="7">
        <v>37</v>
      </c>
      <c r="E1931" s="7">
        <v>6</v>
      </c>
      <c r="F1931" s="7">
        <f t="shared" si="30"/>
        <v>6</v>
      </c>
      <c r="G1931" s="7" t="str">
        <f>LOOKUP(H1931,[1]startdates!$A$2:$A$10,[1]startdates!$B$2:$B$10)</f>
        <v>SMr</v>
      </c>
      <c r="H1931">
        <v>1</v>
      </c>
      <c r="N1931" s="7">
        <v>283.3</v>
      </c>
    </row>
    <row r="1932" spans="1:18" x14ac:dyDescent="0.2">
      <c r="A1932">
        <v>1931</v>
      </c>
      <c r="B1932" s="1">
        <v>40774</v>
      </c>
      <c r="C1932" t="s">
        <v>24</v>
      </c>
      <c r="D1932" s="7">
        <v>37</v>
      </c>
      <c r="E1932" s="7">
        <v>6</v>
      </c>
      <c r="F1932" s="7">
        <f t="shared" si="30"/>
        <v>6</v>
      </c>
      <c r="G1932" s="7" t="str">
        <f>LOOKUP(H1932,[1]startdates!$A$2:$A$10,[1]startdates!$B$2:$B$10)</f>
        <v>SMr</v>
      </c>
      <c r="H1932">
        <v>1</v>
      </c>
      <c r="N1932" s="7">
        <v>273.3</v>
      </c>
    </row>
    <row r="1933" spans="1:18" x14ac:dyDescent="0.2">
      <c r="A1933">
        <v>1932</v>
      </c>
      <c r="B1933" s="1">
        <v>40774</v>
      </c>
      <c r="C1933" t="s">
        <v>24</v>
      </c>
      <c r="D1933" s="7">
        <v>37</v>
      </c>
      <c r="E1933" s="7">
        <v>6</v>
      </c>
      <c r="F1933" s="7">
        <f t="shared" si="30"/>
        <v>6</v>
      </c>
      <c r="G1933" s="7" t="str">
        <f>LOOKUP(H1933,[1]startdates!$A$2:$A$10,[1]startdates!$B$2:$B$10)</f>
        <v>SMr</v>
      </c>
      <c r="H1933">
        <v>2</v>
      </c>
      <c r="I1933" s="7">
        <v>766.7</v>
      </c>
      <c r="J1933" s="7">
        <v>670.2</v>
      </c>
      <c r="K1933" s="7">
        <v>573.6</v>
      </c>
      <c r="L1933" s="7">
        <v>422.9</v>
      </c>
      <c r="M1933" s="7">
        <v>398.5</v>
      </c>
      <c r="N1933" s="7">
        <v>198.3</v>
      </c>
      <c r="O1933" s="7">
        <v>167.9</v>
      </c>
      <c r="R1933" s="7">
        <v>246.1</v>
      </c>
    </row>
    <row r="1934" spans="1:18" x14ac:dyDescent="0.2">
      <c r="A1934">
        <v>1933</v>
      </c>
      <c r="B1934" s="1">
        <v>40774</v>
      </c>
      <c r="C1934" t="s">
        <v>24</v>
      </c>
      <c r="D1934" s="7">
        <v>37</v>
      </c>
      <c r="E1934" s="7">
        <v>6</v>
      </c>
      <c r="F1934" s="7">
        <f t="shared" si="30"/>
        <v>6</v>
      </c>
      <c r="G1934" s="7" t="str">
        <f>LOOKUP(H1934,[1]startdates!$A$2:$A$10,[1]startdates!$B$2:$B$10)</f>
        <v>SMr</v>
      </c>
      <c r="H1934">
        <v>2</v>
      </c>
      <c r="I1934" s="7">
        <v>748.5</v>
      </c>
      <c r="K1934" s="7">
        <v>592.4</v>
      </c>
      <c r="L1934" s="7">
        <v>452.6</v>
      </c>
      <c r="M1934" s="7">
        <v>414.7</v>
      </c>
      <c r="N1934" s="7">
        <v>224</v>
      </c>
      <c r="O1934" s="7">
        <v>178.1</v>
      </c>
    </row>
    <row r="1935" spans="1:18" x14ac:dyDescent="0.2">
      <c r="A1935">
        <v>1934</v>
      </c>
      <c r="B1935" s="1">
        <v>40774</v>
      </c>
      <c r="C1935" t="s">
        <v>24</v>
      </c>
      <c r="D1935" s="7">
        <v>37</v>
      </c>
      <c r="E1935" s="7">
        <v>6</v>
      </c>
      <c r="F1935" s="7">
        <f t="shared" si="30"/>
        <v>6</v>
      </c>
      <c r="G1935" s="7" t="str">
        <f>LOOKUP(H1935,[1]startdates!$A$2:$A$10,[1]startdates!$B$2:$B$10)</f>
        <v>SMr</v>
      </c>
      <c r="H1935">
        <v>2</v>
      </c>
      <c r="I1935" s="7">
        <v>640.4</v>
      </c>
      <c r="K1935" s="7">
        <v>590.6</v>
      </c>
      <c r="L1935" s="7">
        <v>448</v>
      </c>
      <c r="M1935" s="7">
        <v>294.3</v>
      </c>
      <c r="N1935" s="7">
        <v>198.1</v>
      </c>
      <c r="O1935" s="7">
        <v>161.5</v>
      </c>
    </row>
    <row r="1936" spans="1:18" x14ac:dyDescent="0.2">
      <c r="A1936">
        <v>1935</v>
      </c>
      <c r="B1936" s="1">
        <v>40774</v>
      </c>
      <c r="C1936" t="s">
        <v>24</v>
      </c>
      <c r="D1936" s="7">
        <v>37</v>
      </c>
      <c r="E1936" s="7">
        <v>6</v>
      </c>
      <c r="F1936" s="7">
        <f t="shared" si="30"/>
        <v>6</v>
      </c>
      <c r="G1936" s="7" t="str">
        <f>LOOKUP(H1936,[1]startdates!$A$2:$A$10,[1]startdates!$B$2:$B$10)</f>
        <v>SMr</v>
      </c>
      <c r="H1936">
        <v>2</v>
      </c>
      <c r="I1936" s="7">
        <v>605.4</v>
      </c>
      <c r="L1936" s="7">
        <v>465.1</v>
      </c>
      <c r="M1936" s="7">
        <v>317.39999999999998</v>
      </c>
      <c r="N1936" s="7">
        <v>206.3</v>
      </c>
      <c r="O1936" s="7">
        <v>186.3</v>
      </c>
    </row>
    <row r="1937" spans="1:19" x14ac:dyDescent="0.2">
      <c r="A1937">
        <v>1936</v>
      </c>
      <c r="B1937" s="1">
        <v>40774</v>
      </c>
      <c r="C1937" t="s">
        <v>24</v>
      </c>
      <c r="D1937" s="7">
        <v>37</v>
      </c>
      <c r="E1937" s="7">
        <v>6</v>
      </c>
      <c r="F1937" s="7">
        <f t="shared" si="30"/>
        <v>6</v>
      </c>
      <c r="G1937" s="7" t="str">
        <f>LOOKUP(H1937,[1]startdates!$A$2:$A$10,[1]startdates!$B$2:$B$10)</f>
        <v>SMr</v>
      </c>
      <c r="H1937">
        <v>2</v>
      </c>
      <c r="I1937" s="7">
        <v>907.4</v>
      </c>
      <c r="L1937" s="7">
        <v>494.7</v>
      </c>
      <c r="M1937" s="7">
        <v>294.60000000000002</v>
      </c>
      <c r="N1937" s="7">
        <v>237.9</v>
      </c>
      <c r="O1937" s="7">
        <v>156.19999999999999</v>
      </c>
    </row>
    <row r="1938" spans="1:19" x14ac:dyDescent="0.2">
      <c r="A1938">
        <v>1937</v>
      </c>
      <c r="B1938" s="1">
        <v>40774</v>
      </c>
      <c r="C1938" t="s">
        <v>24</v>
      </c>
      <c r="D1938" s="7">
        <v>37</v>
      </c>
      <c r="E1938" s="7">
        <v>6</v>
      </c>
      <c r="F1938" s="7">
        <f t="shared" si="30"/>
        <v>6</v>
      </c>
      <c r="G1938" s="7" t="str">
        <f>LOOKUP(H1938,[1]startdates!$A$2:$A$10,[1]startdates!$B$2:$B$10)</f>
        <v>SMr</v>
      </c>
      <c r="H1938">
        <v>2</v>
      </c>
      <c r="I1938" s="7">
        <v>712.5</v>
      </c>
      <c r="L1938" s="7">
        <v>523.6</v>
      </c>
      <c r="M1938" s="7">
        <v>261.5</v>
      </c>
      <c r="N1938" s="7">
        <v>202.6</v>
      </c>
      <c r="O1938" s="7">
        <v>173.3</v>
      </c>
    </row>
    <row r="1939" spans="1:19" x14ac:dyDescent="0.2">
      <c r="A1939">
        <v>1938</v>
      </c>
      <c r="B1939" s="1">
        <v>40774</v>
      </c>
      <c r="C1939" t="s">
        <v>24</v>
      </c>
      <c r="D1939" s="7">
        <v>37</v>
      </c>
      <c r="E1939" s="7">
        <v>6</v>
      </c>
      <c r="F1939" s="7">
        <f t="shared" si="30"/>
        <v>6</v>
      </c>
      <c r="G1939" s="7" t="str">
        <f>LOOKUP(H1939,[1]startdates!$A$2:$A$10,[1]startdates!$B$2:$B$10)</f>
        <v>SMr</v>
      </c>
      <c r="H1939">
        <v>2</v>
      </c>
      <c r="I1939" s="7">
        <v>704.7</v>
      </c>
      <c r="L1939" s="7">
        <v>477.5</v>
      </c>
      <c r="M1939" s="7">
        <v>299</v>
      </c>
      <c r="N1939" s="7">
        <v>238.9</v>
      </c>
      <c r="O1939" s="7">
        <v>179.3</v>
      </c>
    </row>
    <row r="1940" spans="1:19" x14ac:dyDescent="0.2">
      <c r="A1940">
        <v>1939</v>
      </c>
      <c r="B1940" s="1">
        <v>40774</v>
      </c>
      <c r="C1940" t="s">
        <v>24</v>
      </c>
      <c r="D1940" s="7">
        <v>37</v>
      </c>
      <c r="E1940" s="7">
        <v>6</v>
      </c>
      <c r="F1940" s="7">
        <f t="shared" si="30"/>
        <v>6</v>
      </c>
      <c r="G1940" s="7" t="str">
        <f>LOOKUP(H1940,[1]startdates!$A$2:$A$10,[1]startdates!$B$2:$B$10)</f>
        <v>SMr</v>
      </c>
      <c r="H1940">
        <v>2</v>
      </c>
      <c r="I1940" s="7">
        <v>733.7</v>
      </c>
      <c r="L1940" s="7">
        <v>461.3</v>
      </c>
      <c r="M1940" s="7">
        <v>353.5</v>
      </c>
      <c r="N1940" s="7">
        <v>260.3</v>
      </c>
      <c r="O1940" s="7">
        <v>180.5</v>
      </c>
    </row>
    <row r="1941" spans="1:19" x14ac:dyDescent="0.2">
      <c r="A1941">
        <v>1940</v>
      </c>
      <c r="B1941" s="1">
        <v>40774</v>
      </c>
      <c r="C1941" t="s">
        <v>24</v>
      </c>
      <c r="D1941" s="7">
        <v>37</v>
      </c>
      <c r="E1941" s="7">
        <v>6</v>
      </c>
      <c r="F1941" s="7">
        <f t="shared" si="30"/>
        <v>6</v>
      </c>
      <c r="G1941" s="7" t="str">
        <f>LOOKUP(H1941,[1]startdates!$A$2:$A$10,[1]startdates!$B$2:$B$10)</f>
        <v>SMr</v>
      </c>
      <c r="H1941">
        <v>2</v>
      </c>
      <c r="I1941" s="7">
        <v>651</v>
      </c>
      <c r="L1941" s="7">
        <v>447.9</v>
      </c>
      <c r="M1941" s="7">
        <v>360.8</v>
      </c>
      <c r="N1941" s="7">
        <v>210.9</v>
      </c>
      <c r="O1941" s="7">
        <v>164.7</v>
      </c>
    </row>
    <row r="1942" spans="1:19" x14ac:dyDescent="0.2">
      <c r="A1942">
        <v>1941</v>
      </c>
      <c r="B1942" s="1">
        <v>40774</v>
      </c>
      <c r="C1942" t="s">
        <v>24</v>
      </c>
      <c r="D1942" s="7">
        <v>37</v>
      </c>
      <c r="E1942" s="7">
        <v>6</v>
      </c>
      <c r="F1942" s="7">
        <f t="shared" si="30"/>
        <v>6</v>
      </c>
      <c r="G1942" s="7" t="str">
        <f>LOOKUP(H1942,[1]startdates!$A$2:$A$10,[1]startdates!$B$2:$B$10)</f>
        <v>SMr</v>
      </c>
      <c r="H1942">
        <v>2</v>
      </c>
      <c r="I1942" s="7">
        <v>758.6</v>
      </c>
      <c r="L1942" s="7">
        <v>347.3</v>
      </c>
      <c r="M1942" s="7">
        <v>356.2</v>
      </c>
      <c r="N1942" s="7">
        <v>243</v>
      </c>
      <c r="O1942" s="7">
        <v>164.7</v>
      </c>
    </row>
    <row r="1943" spans="1:19" x14ac:dyDescent="0.2">
      <c r="A1943">
        <v>1942</v>
      </c>
      <c r="B1943" s="1">
        <v>40774</v>
      </c>
      <c r="C1943" t="s">
        <v>24</v>
      </c>
      <c r="D1943" s="7">
        <v>37</v>
      </c>
      <c r="E1943" s="7">
        <v>6</v>
      </c>
      <c r="F1943" s="7">
        <f t="shared" si="30"/>
        <v>6</v>
      </c>
      <c r="G1943" s="7" t="str">
        <f>LOOKUP(H1943,[1]startdates!$A$2:$A$10,[1]startdates!$B$2:$B$10)</f>
        <v>SMr</v>
      </c>
      <c r="H1943">
        <v>2</v>
      </c>
      <c r="M1943" s="7">
        <v>324.3</v>
      </c>
      <c r="O1943" s="7">
        <v>156.19999999999999</v>
      </c>
    </row>
    <row r="1944" spans="1:19" x14ac:dyDescent="0.2">
      <c r="A1944">
        <v>1943</v>
      </c>
      <c r="B1944" s="1">
        <v>40774</v>
      </c>
      <c r="C1944" t="s">
        <v>24</v>
      </c>
      <c r="D1944" s="7">
        <v>37</v>
      </c>
      <c r="E1944" s="7">
        <v>6</v>
      </c>
      <c r="F1944" s="7">
        <f t="shared" si="30"/>
        <v>6</v>
      </c>
      <c r="G1944" s="7" t="str">
        <f>LOOKUP(H1944,[1]startdates!$A$2:$A$10,[1]startdates!$B$2:$B$10)</f>
        <v>SMr</v>
      </c>
      <c r="H1944">
        <v>2</v>
      </c>
      <c r="O1944" s="7">
        <v>179.2</v>
      </c>
    </row>
    <row r="1945" spans="1:19" x14ac:dyDescent="0.2">
      <c r="A1945">
        <v>1944</v>
      </c>
      <c r="B1945" s="1">
        <v>40774</v>
      </c>
      <c r="C1945" t="s">
        <v>24</v>
      </c>
      <c r="D1945" s="7">
        <v>37</v>
      </c>
      <c r="E1945" s="7">
        <v>6</v>
      </c>
      <c r="F1945" s="7">
        <f t="shared" si="30"/>
        <v>6</v>
      </c>
      <c r="G1945" s="7" t="str">
        <f>LOOKUP(H1945,[1]startdates!$A$2:$A$10,[1]startdates!$B$2:$B$10)</f>
        <v>SMr</v>
      </c>
      <c r="H1945">
        <v>2</v>
      </c>
      <c r="O1945" s="7">
        <v>166.6</v>
      </c>
    </row>
    <row r="1946" spans="1:19" x14ac:dyDescent="0.2">
      <c r="A1946">
        <v>1945</v>
      </c>
      <c r="B1946" s="1">
        <v>40774</v>
      </c>
      <c r="C1946" t="s">
        <v>24</v>
      </c>
      <c r="D1946" s="7">
        <v>37</v>
      </c>
      <c r="E1946" s="7">
        <v>6</v>
      </c>
      <c r="F1946" s="7">
        <f t="shared" si="30"/>
        <v>6</v>
      </c>
      <c r="G1946" s="7" t="str">
        <f>LOOKUP(H1946,[1]startdates!$A$2:$A$10,[1]startdates!$B$2:$B$10)</f>
        <v>SMr</v>
      </c>
      <c r="H1946">
        <v>2</v>
      </c>
      <c r="O1946" s="7">
        <v>163.5</v>
      </c>
    </row>
    <row r="1947" spans="1:19" x14ac:dyDescent="0.2">
      <c r="A1947">
        <v>1946</v>
      </c>
      <c r="B1947" s="1">
        <v>40774</v>
      </c>
      <c r="C1947" t="s">
        <v>24</v>
      </c>
      <c r="D1947" s="7">
        <v>37</v>
      </c>
      <c r="E1947" s="7">
        <v>6</v>
      </c>
      <c r="F1947" s="7">
        <f t="shared" si="30"/>
        <v>6</v>
      </c>
      <c r="G1947" s="7" t="str">
        <f>LOOKUP(H1947,[1]startdates!$A$2:$A$10,[1]startdates!$B$2:$B$10)</f>
        <v>SMr</v>
      </c>
      <c r="H1947">
        <v>2</v>
      </c>
      <c r="O1947" s="7">
        <v>171.9</v>
      </c>
    </row>
    <row r="1948" spans="1:19" x14ac:dyDescent="0.2">
      <c r="A1948">
        <v>1947</v>
      </c>
      <c r="B1948" s="1">
        <v>40774</v>
      </c>
      <c r="C1948" t="s">
        <v>24</v>
      </c>
      <c r="D1948" s="7">
        <v>37</v>
      </c>
      <c r="E1948" s="7">
        <v>6</v>
      </c>
      <c r="F1948" s="7">
        <f t="shared" si="30"/>
        <v>6</v>
      </c>
      <c r="G1948" s="7" t="str">
        <f>LOOKUP(H1948,[1]startdates!$A$2:$A$10,[1]startdates!$B$2:$B$10)</f>
        <v>C</v>
      </c>
      <c r="H1948">
        <v>3</v>
      </c>
      <c r="I1948" s="7">
        <v>809.1</v>
      </c>
      <c r="J1948" s="7">
        <v>599</v>
      </c>
      <c r="K1948" s="7">
        <v>562.70000000000005</v>
      </c>
      <c r="L1948" s="7">
        <v>386.6</v>
      </c>
      <c r="M1948" s="7">
        <v>321.5</v>
      </c>
      <c r="N1948" s="7">
        <v>264</v>
      </c>
      <c r="O1948" s="7">
        <v>157.6</v>
      </c>
      <c r="P1948" s="7">
        <v>518.79999999999995</v>
      </c>
      <c r="Q1948" s="7">
        <v>436.1</v>
      </c>
      <c r="R1948" s="7">
        <v>260.3</v>
      </c>
      <c r="S1948" s="7">
        <v>266</v>
      </c>
    </row>
    <row r="1949" spans="1:19" x14ac:dyDescent="0.2">
      <c r="A1949">
        <v>1948</v>
      </c>
      <c r="B1949" s="1">
        <v>40774</v>
      </c>
      <c r="C1949" t="s">
        <v>24</v>
      </c>
      <c r="D1949" s="7">
        <v>37</v>
      </c>
      <c r="E1949" s="7">
        <v>6</v>
      </c>
      <c r="F1949" s="7">
        <f t="shared" si="30"/>
        <v>6</v>
      </c>
      <c r="G1949" s="7" t="str">
        <f>LOOKUP(H1949,[1]startdates!$A$2:$A$10,[1]startdates!$B$2:$B$10)</f>
        <v>C</v>
      </c>
      <c r="H1949">
        <v>3</v>
      </c>
      <c r="I1949" s="7">
        <v>797</v>
      </c>
      <c r="K1949" s="7">
        <v>547.1</v>
      </c>
      <c r="L1949" s="7">
        <v>386.6</v>
      </c>
      <c r="M1949" s="7">
        <v>335.8</v>
      </c>
      <c r="N1949" s="7">
        <v>264.39999999999998</v>
      </c>
      <c r="O1949" s="7">
        <v>155.30000000000001</v>
      </c>
      <c r="Q1949" s="7">
        <v>388</v>
      </c>
      <c r="S1949" s="7">
        <v>297.8</v>
      </c>
    </row>
    <row r="1950" spans="1:19" x14ac:dyDescent="0.2">
      <c r="A1950">
        <v>1949</v>
      </c>
      <c r="B1950" s="1">
        <v>40774</v>
      </c>
      <c r="C1950" t="s">
        <v>24</v>
      </c>
      <c r="D1950" s="7">
        <v>37</v>
      </c>
      <c r="E1950" s="7">
        <v>6</v>
      </c>
      <c r="F1950" s="7">
        <f t="shared" si="30"/>
        <v>6</v>
      </c>
      <c r="G1950" s="7" t="str">
        <f>LOOKUP(H1950,[1]startdates!$A$2:$A$10,[1]startdates!$B$2:$B$10)</f>
        <v>C</v>
      </c>
      <c r="H1950">
        <v>3</v>
      </c>
      <c r="I1950" s="7">
        <v>678.9</v>
      </c>
      <c r="K1950" s="7">
        <v>666.2</v>
      </c>
      <c r="L1950" s="7">
        <v>441.4</v>
      </c>
      <c r="M1950" s="7">
        <v>330.7</v>
      </c>
      <c r="N1950" s="7">
        <v>179.3</v>
      </c>
      <c r="O1950" s="7">
        <v>132.69999999999999</v>
      </c>
      <c r="Q1950" s="7">
        <v>440.5</v>
      </c>
    </row>
    <row r="1951" spans="1:19" x14ac:dyDescent="0.2">
      <c r="A1951">
        <v>1950</v>
      </c>
      <c r="B1951" s="1">
        <v>40774</v>
      </c>
      <c r="C1951" t="s">
        <v>24</v>
      </c>
      <c r="D1951" s="7">
        <v>37</v>
      </c>
      <c r="E1951" s="7">
        <v>6</v>
      </c>
      <c r="F1951" s="7">
        <f t="shared" si="30"/>
        <v>6</v>
      </c>
      <c r="G1951" s="7" t="str">
        <f>LOOKUP(H1951,[1]startdates!$A$2:$A$10,[1]startdates!$B$2:$B$10)</f>
        <v>C</v>
      </c>
      <c r="H1951">
        <v>3</v>
      </c>
      <c r="I1951" s="7">
        <v>873.5</v>
      </c>
      <c r="K1951" s="7">
        <v>678.9</v>
      </c>
      <c r="L1951" s="7">
        <v>490.5</v>
      </c>
      <c r="M1951" s="7">
        <v>349.2</v>
      </c>
      <c r="N1951" s="7">
        <v>230.2</v>
      </c>
      <c r="O1951" s="7">
        <v>186.3</v>
      </c>
    </row>
    <row r="1952" spans="1:19" x14ac:dyDescent="0.2">
      <c r="A1952">
        <v>1951</v>
      </c>
      <c r="B1952" s="1">
        <v>40774</v>
      </c>
      <c r="C1952" t="s">
        <v>24</v>
      </c>
      <c r="D1952" s="7">
        <v>37</v>
      </c>
      <c r="E1952" s="7">
        <v>6</v>
      </c>
      <c r="F1952" s="7">
        <f t="shared" si="30"/>
        <v>6</v>
      </c>
      <c r="G1952" s="7" t="str">
        <f>LOOKUP(H1952,[1]startdates!$A$2:$A$10,[1]startdates!$B$2:$B$10)</f>
        <v>C</v>
      </c>
      <c r="H1952">
        <v>3</v>
      </c>
      <c r="I1952" s="7">
        <v>760.3</v>
      </c>
      <c r="K1952" s="7">
        <v>525.1</v>
      </c>
      <c r="M1952" s="7">
        <v>366.2</v>
      </c>
      <c r="N1952" s="7">
        <v>265.10000000000002</v>
      </c>
      <c r="O1952" s="7">
        <v>156</v>
      </c>
    </row>
    <row r="1953" spans="1:17" x14ac:dyDescent="0.2">
      <c r="A1953">
        <v>1952</v>
      </c>
      <c r="B1953" s="1">
        <v>40774</v>
      </c>
      <c r="C1953" t="s">
        <v>24</v>
      </c>
      <c r="D1953" s="7">
        <v>37</v>
      </c>
      <c r="E1953" s="7">
        <v>6</v>
      </c>
      <c r="F1953" s="7">
        <f t="shared" si="30"/>
        <v>6</v>
      </c>
      <c r="G1953" s="7" t="str">
        <f>LOOKUP(H1953,[1]startdates!$A$2:$A$10,[1]startdates!$B$2:$B$10)</f>
        <v>C</v>
      </c>
      <c r="H1953">
        <v>3</v>
      </c>
      <c r="I1953" s="7">
        <v>908.4</v>
      </c>
      <c r="M1953" s="7">
        <v>349.3</v>
      </c>
      <c r="N1953" s="7">
        <v>243.1</v>
      </c>
      <c r="O1953" s="7">
        <v>201.1</v>
      </c>
    </row>
    <row r="1954" spans="1:17" x14ac:dyDescent="0.2">
      <c r="A1954">
        <v>1953</v>
      </c>
      <c r="B1954" s="1">
        <v>40774</v>
      </c>
      <c r="C1954" t="s">
        <v>24</v>
      </c>
      <c r="D1954" s="7">
        <v>37</v>
      </c>
      <c r="E1954" s="7">
        <v>6</v>
      </c>
      <c r="F1954" s="7">
        <f t="shared" si="30"/>
        <v>6</v>
      </c>
      <c r="G1954" s="7" t="str">
        <f>LOOKUP(H1954,[1]startdates!$A$2:$A$10,[1]startdates!$B$2:$B$10)</f>
        <v>C</v>
      </c>
      <c r="H1954">
        <v>3</v>
      </c>
      <c r="M1954" s="7">
        <v>385.4</v>
      </c>
      <c r="N1954" s="7">
        <v>251.7</v>
      </c>
      <c r="O1954" s="7">
        <v>187.7</v>
      </c>
    </row>
    <row r="1955" spans="1:17" x14ac:dyDescent="0.2">
      <c r="A1955">
        <v>1954</v>
      </c>
      <c r="B1955" s="1">
        <v>40774</v>
      </c>
      <c r="C1955" t="s">
        <v>24</v>
      </c>
      <c r="D1955" s="7">
        <v>37</v>
      </c>
      <c r="E1955" s="7">
        <v>6</v>
      </c>
      <c r="F1955" s="7">
        <f t="shared" si="30"/>
        <v>6</v>
      </c>
      <c r="G1955" s="7" t="str">
        <f>LOOKUP(H1955,[1]startdates!$A$2:$A$10,[1]startdates!$B$2:$B$10)</f>
        <v>C</v>
      </c>
      <c r="H1955">
        <v>3</v>
      </c>
      <c r="M1955" s="7">
        <v>385.4</v>
      </c>
      <c r="N1955" s="7">
        <v>263.10000000000002</v>
      </c>
      <c r="O1955" s="7">
        <v>182.9</v>
      </c>
    </row>
    <row r="1956" spans="1:17" x14ac:dyDescent="0.2">
      <c r="A1956">
        <v>1955</v>
      </c>
      <c r="B1956" s="1">
        <v>40774</v>
      </c>
      <c r="C1956" t="s">
        <v>24</v>
      </c>
      <c r="D1956" s="7">
        <v>37</v>
      </c>
      <c r="E1956" s="7">
        <v>6</v>
      </c>
      <c r="F1956" s="7">
        <f t="shared" si="30"/>
        <v>6</v>
      </c>
      <c r="G1956" s="7" t="str">
        <f>LOOKUP(H1956,[1]startdates!$A$2:$A$10,[1]startdates!$B$2:$B$10)</f>
        <v>C</v>
      </c>
      <c r="H1956">
        <v>3</v>
      </c>
      <c r="M1956" s="7">
        <v>333.4</v>
      </c>
      <c r="N1956" s="7">
        <v>224</v>
      </c>
      <c r="O1956" s="7">
        <v>179.3</v>
      </c>
    </row>
    <row r="1957" spans="1:17" x14ac:dyDescent="0.2">
      <c r="A1957">
        <v>1956</v>
      </c>
      <c r="B1957" s="1">
        <v>40774</v>
      </c>
      <c r="C1957" t="s">
        <v>24</v>
      </c>
      <c r="D1957" s="7">
        <v>37</v>
      </c>
      <c r="E1957" s="7">
        <v>6</v>
      </c>
      <c r="F1957" s="7">
        <f t="shared" si="30"/>
        <v>6</v>
      </c>
      <c r="G1957" s="7" t="str">
        <f>LOOKUP(H1957,[1]startdates!$A$2:$A$10,[1]startdates!$B$2:$B$10)</f>
        <v>C</v>
      </c>
      <c r="H1957">
        <v>3</v>
      </c>
      <c r="M1957" s="7">
        <v>398.6</v>
      </c>
      <c r="N1957" s="7">
        <v>212</v>
      </c>
      <c r="O1957" s="7">
        <v>206.3</v>
      </c>
    </row>
    <row r="1958" spans="1:17" x14ac:dyDescent="0.2">
      <c r="A1958">
        <v>1957</v>
      </c>
      <c r="B1958" s="1">
        <v>40774</v>
      </c>
      <c r="C1958" t="s">
        <v>24</v>
      </c>
      <c r="D1958" s="7">
        <v>37</v>
      </c>
      <c r="E1958" s="7">
        <v>6</v>
      </c>
      <c r="F1958" s="7">
        <f t="shared" si="30"/>
        <v>6</v>
      </c>
      <c r="G1958" s="7" t="str">
        <f>LOOKUP(H1958,[1]startdates!$A$2:$A$10,[1]startdates!$B$2:$B$10)</f>
        <v>C</v>
      </c>
      <c r="H1958">
        <v>3</v>
      </c>
      <c r="N1958" s="7">
        <v>291.3</v>
      </c>
      <c r="O1958" s="7">
        <v>191.4</v>
      </c>
    </row>
    <row r="1959" spans="1:17" x14ac:dyDescent="0.2">
      <c r="A1959">
        <v>1958</v>
      </c>
      <c r="B1959" s="1">
        <v>40774</v>
      </c>
      <c r="C1959" t="s">
        <v>24</v>
      </c>
      <c r="D1959" s="7">
        <v>37</v>
      </c>
      <c r="E1959" s="7">
        <v>6</v>
      </c>
      <c r="F1959" s="7">
        <f t="shared" si="30"/>
        <v>6</v>
      </c>
      <c r="G1959" s="7" t="str">
        <f>LOOKUP(H1959,[1]startdates!$A$2:$A$10,[1]startdates!$B$2:$B$10)</f>
        <v>C</v>
      </c>
      <c r="H1959">
        <v>3</v>
      </c>
      <c r="N1959" s="7">
        <v>306.3</v>
      </c>
    </row>
    <row r="1960" spans="1:17" x14ac:dyDescent="0.2">
      <c r="A1960">
        <v>1959</v>
      </c>
      <c r="B1960" s="1">
        <v>40774</v>
      </c>
      <c r="C1960" t="s">
        <v>24</v>
      </c>
      <c r="D1960" s="7">
        <v>37</v>
      </c>
      <c r="E1960" s="7">
        <v>6</v>
      </c>
      <c r="F1960" s="7">
        <f t="shared" si="30"/>
        <v>6</v>
      </c>
      <c r="G1960" s="7" t="str">
        <f>LOOKUP(H1960,[1]startdates!$A$2:$A$10,[1]startdates!$B$2:$B$10)</f>
        <v>C</v>
      </c>
      <c r="H1960">
        <v>3</v>
      </c>
      <c r="N1960" s="7">
        <v>265.5</v>
      </c>
    </row>
    <row r="1961" spans="1:17" x14ac:dyDescent="0.2">
      <c r="A1961">
        <v>1960</v>
      </c>
      <c r="B1961" s="1">
        <v>40774</v>
      </c>
      <c r="C1961" t="s">
        <v>24</v>
      </c>
      <c r="D1961" s="7">
        <v>37</v>
      </c>
      <c r="E1961" s="7">
        <v>6</v>
      </c>
      <c r="F1961" s="7">
        <f t="shared" ref="F1961:F2024" si="31">WEEKDAY(B1961)</f>
        <v>6</v>
      </c>
      <c r="G1961" s="7" t="str">
        <f>LOOKUP(H1961,[1]startdates!$A$2:$A$10,[1]startdates!$B$2:$B$10)</f>
        <v>C</v>
      </c>
      <c r="H1961">
        <v>3</v>
      </c>
      <c r="N1961" s="7">
        <v>266.89999999999998</v>
      </c>
    </row>
    <row r="1962" spans="1:17" x14ac:dyDescent="0.2">
      <c r="A1962">
        <v>1961</v>
      </c>
      <c r="B1962" s="1">
        <v>40774</v>
      </c>
      <c r="C1962" t="s">
        <v>24</v>
      </c>
      <c r="D1962" s="7">
        <v>37</v>
      </c>
      <c r="E1962" s="7">
        <v>6</v>
      </c>
      <c r="F1962" s="7">
        <f t="shared" si="31"/>
        <v>6</v>
      </c>
      <c r="G1962" s="7" t="str">
        <f>LOOKUP(H1962,[1]startdates!$A$2:$A$10,[1]startdates!$B$2:$B$10)</f>
        <v>C</v>
      </c>
      <c r="H1962">
        <v>3</v>
      </c>
      <c r="N1962" s="7">
        <v>250.5</v>
      </c>
    </row>
    <row r="1963" spans="1:17" x14ac:dyDescent="0.2">
      <c r="A1963">
        <v>1962</v>
      </c>
      <c r="B1963" s="1">
        <v>40774</v>
      </c>
      <c r="C1963" t="s">
        <v>24</v>
      </c>
      <c r="D1963" s="7">
        <v>37</v>
      </c>
      <c r="E1963" s="7">
        <v>6</v>
      </c>
      <c r="F1963" s="7">
        <f t="shared" si="31"/>
        <v>6</v>
      </c>
      <c r="G1963" s="7" t="str">
        <f>LOOKUP(H1963,[1]startdates!$A$2:$A$10,[1]startdates!$B$2:$B$10)</f>
        <v>C</v>
      </c>
      <c r="H1963">
        <v>3</v>
      </c>
      <c r="N1963" s="7">
        <v>277.2</v>
      </c>
    </row>
    <row r="1964" spans="1:17" x14ac:dyDescent="0.2">
      <c r="A1964">
        <v>1963</v>
      </c>
      <c r="B1964" s="1">
        <v>40774</v>
      </c>
      <c r="C1964" t="s">
        <v>24</v>
      </c>
      <c r="D1964" s="7">
        <v>37</v>
      </c>
      <c r="E1964" s="7">
        <v>6</v>
      </c>
      <c r="F1964" s="7">
        <f t="shared" si="31"/>
        <v>6</v>
      </c>
      <c r="G1964" s="7" t="str">
        <f>LOOKUP(H1964,[1]startdates!$A$2:$A$10,[1]startdates!$B$2:$B$10)</f>
        <v>C</v>
      </c>
      <c r="H1964">
        <v>3</v>
      </c>
      <c r="N1964" s="7">
        <v>320.8</v>
      </c>
    </row>
    <row r="1965" spans="1:17" x14ac:dyDescent="0.2">
      <c r="A1965">
        <v>1964</v>
      </c>
      <c r="B1965" s="1">
        <v>40774</v>
      </c>
      <c r="C1965" t="s">
        <v>24</v>
      </c>
      <c r="D1965" s="7">
        <v>37</v>
      </c>
      <c r="E1965" s="7">
        <v>6</v>
      </c>
      <c r="F1965" s="7">
        <f t="shared" si="31"/>
        <v>6</v>
      </c>
      <c r="G1965" s="7" t="str">
        <f>LOOKUP(H1965,[1]startdates!$A$2:$A$10,[1]startdates!$B$2:$B$10)</f>
        <v>C</v>
      </c>
      <c r="H1965">
        <v>3</v>
      </c>
      <c r="N1965" s="7">
        <v>316.7</v>
      </c>
    </row>
    <row r="1966" spans="1:17" x14ac:dyDescent="0.2">
      <c r="A1966">
        <v>1965</v>
      </c>
      <c r="B1966" s="1">
        <v>40774</v>
      </c>
      <c r="C1966" t="s">
        <v>24</v>
      </c>
      <c r="D1966" s="7">
        <v>37</v>
      </c>
      <c r="E1966" s="7">
        <v>6</v>
      </c>
      <c r="F1966" s="7">
        <f t="shared" si="31"/>
        <v>6</v>
      </c>
      <c r="G1966" s="7" t="str">
        <f>LOOKUP(H1966,[1]startdates!$A$2:$A$10,[1]startdates!$B$2:$B$10)</f>
        <v>C</v>
      </c>
      <c r="H1966">
        <v>3</v>
      </c>
      <c r="N1966" s="7">
        <v>203.7</v>
      </c>
    </row>
    <row r="1967" spans="1:17" x14ac:dyDescent="0.2">
      <c r="A1967">
        <v>1966</v>
      </c>
      <c r="B1967" s="1">
        <v>40774</v>
      </c>
      <c r="C1967" t="s">
        <v>24</v>
      </c>
      <c r="D1967" s="7">
        <v>37</v>
      </c>
      <c r="E1967" s="7">
        <v>6</v>
      </c>
      <c r="F1967" s="7">
        <f t="shared" si="31"/>
        <v>6</v>
      </c>
      <c r="G1967" s="7" t="str">
        <f>LOOKUP(H1967,[1]startdates!$A$2:$A$10,[1]startdates!$B$2:$B$10)</f>
        <v>C</v>
      </c>
      <c r="H1967">
        <v>3</v>
      </c>
      <c r="N1967" s="7">
        <v>277.3</v>
      </c>
    </row>
    <row r="1968" spans="1:17" x14ac:dyDescent="0.2">
      <c r="A1968">
        <v>1967</v>
      </c>
      <c r="B1968" s="1">
        <v>40774</v>
      </c>
      <c r="C1968" t="s">
        <v>24</v>
      </c>
      <c r="D1968" s="7">
        <v>37</v>
      </c>
      <c r="E1968" s="7">
        <v>6</v>
      </c>
      <c r="F1968" s="7">
        <f t="shared" si="31"/>
        <v>6</v>
      </c>
      <c r="G1968" s="7" t="str">
        <f>LOOKUP(H1968,[1]startdates!$A$2:$A$10,[1]startdates!$B$2:$B$10)</f>
        <v>SMr</v>
      </c>
      <c r="H1968">
        <v>4</v>
      </c>
      <c r="I1968" s="7">
        <v>750.1</v>
      </c>
      <c r="J1968" s="7">
        <v>603.29999999999995</v>
      </c>
      <c r="K1968" s="7">
        <v>541.5</v>
      </c>
      <c r="L1968" s="7">
        <v>471.8</v>
      </c>
      <c r="M1968" s="7">
        <v>310.7</v>
      </c>
      <c r="N1968" s="7">
        <v>184.7</v>
      </c>
      <c r="O1968" s="7">
        <v>167.9</v>
      </c>
      <c r="P1968" s="7">
        <v>489.4</v>
      </c>
      <c r="Q1968" s="7">
        <v>342.5</v>
      </c>
    </row>
    <row r="1969" spans="1:16" x14ac:dyDescent="0.2">
      <c r="A1969">
        <v>1968</v>
      </c>
      <c r="B1969" s="1">
        <v>40774</v>
      </c>
      <c r="C1969" t="s">
        <v>24</v>
      </c>
      <c r="D1969" s="7">
        <v>37</v>
      </c>
      <c r="E1969" s="7">
        <v>6</v>
      </c>
      <c r="F1969" s="7">
        <f t="shared" si="31"/>
        <v>6</v>
      </c>
      <c r="G1969" s="7" t="str">
        <f>LOOKUP(H1969,[1]startdates!$A$2:$A$10,[1]startdates!$B$2:$B$10)</f>
        <v>SMr</v>
      </c>
      <c r="H1969">
        <v>4</v>
      </c>
      <c r="I1969" s="7">
        <v>670.1</v>
      </c>
      <c r="K1969" s="7">
        <v>543.5</v>
      </c>
      <c r="L1969" s="7">
        <v>468</v>
      </c>
      <c r="M1969" s="7">
        <v>296.2</v>
      </c>
      <c r="N1969" s="7">
        <v>191.6</v>
      </c>
      <c r="O1969" s="7">
        <v>184.5</v>
      </c>
      <c r="P1969" s="7">
        <v>557.1</v>
      </c>
    </row>
    <row r="1970" spans="1:16" x14ac:dyDescent="0.2">
      <c r="A1970">
        <v>1969</v>
      </c>
      <c r="B1970" s="1">
        <v>40774</v>
      </c>
      <c r="C1970" t="s">
        <v>24</v>
      </c>
      <c r="D1970" s="7">
        <v>37</v>
      </c>
      <c r="E1970" s="7">
        <v>6</v>
      </c>
      <c r="F1970" s="7">
        <f t="shared" si="31"/>
        <v>6</v>
      </c>
      <c r="G1970" s="7" t="str">
        <f>LOOKUP(H1970,[1]startdates!$A$2:$A$10,[1]startdates!$B$2:$B$10)</f>
        <v>SMr</v>
      </c>
      <c r="H1970">
        <v>4</v>
      </c>
      <c r="I1970" s="7">
        <v>838.3</v>
      </c>
      <c r="L1970" s="7">
        <v>444.9</v>
      </c>
      <c r="M1970" s="7">
        <v>292.3</v>
      </c>
      <c r="N1970" s="7">
        <v>198.3</v>
      </c>
      <c r="O1970" s="7">
        <v>187.7</v>
      </c>
    </row>
    <row r="1971" spans="1:16" x14ac:dyDescent="0.2">
      <c r="A1971">
        <v>1970</v>
      </c>
      <c r="B1971" s="1">
        <v>40774</v>
      </c>
      <c r="C1971" t="s">
        <v>24</v>
      </c>
      <c r="D1971" s="7">
        <v>37</v>
      </c>
      <c r="E1971" s="7">
        <v>6</v>
      </c>
      <c r="F1971" s="7">
        <f t="shared" si="31"/>
        <v>6</v>
      </c>
      <c r="G1971" s="7" t="str">
        <f>LOOKUP(H1971,[1]startdates!$A$2:$A$10,[1]startdates!$B$2:$B$10)</f>
        <v>SMr</v>
      </c>
      <c r="H1971">
        <v>4</v>
      </c>
      <c r="I1971" s="7">
        <v>676.9</v>
      </c>
      <c r="L1971" s="7">
        <v>580</v>
      </c>
      <c r="M1971" s="7">
        <v>318.7</v>
      </c>
      <c r="N1971" s="7">
        <v>164.7</v>
      </c>
      <c r="O1971" s="7">
        <v>150.19999999999999</v>
      </c>
    </row>
    <row r="1972" spans="1:16" x14ac:dyDescent="0.2">
      <c r="A1972">
        <v>1971</v>
      </c>
      <c r="B1972" s="1">
        <v>40774</v>
      </c>
      <c r="C1972" t="s">
        <v>24</v>
      </c>
      <c r="D1972" s="7">
        <v>37</v>
      </c>
      <c r="E1972" s="7">
        <v>6</v>
      </c>
      <c r="F1972" s="7">
        <f t="shared" si="31"/>
        <v>6</v>
      </c>
      <c r="G1972" s="7" t="str">
        <f>LOOKUP(H1972,[1]startdates!$A$2:$A$10,[1]startdates!$B$2:$B$10)</f>
        <v>SMr</v>
      </c>
      <c r="H1972">
        <v>4</v>
      </c>
      <c r="I1972" s="7">
        <v>781.3</v>
      </c>
      <c r="L1972" s="7">
        <v>520.5</v>
      </c>
      <c r="M1972" s="7">
        <v>297.2</v>
      </c>
      <c r="N1972" s="7">
        <v>207.5</v>
      </c>
      <c r="O1972" s="7">
        <v>173.8</v>
      </c>
    </row>
    <row r="1973" spans="1:16" x14ac:dyDescent="0.2">
      <c r="A1973">
        <v>1972</v>
      </c>
      <c r="B1973" s="1">
        <v>40774</v>
      </c>
      <c r="C1973" t="s">
        <v>24</v>
      </c>
      <c r="D1973" s="7">
        <v>37</v>
      </c>
      <c r="E1973" s="7">
        <v>6</v>
      </c>
      <c r="F1973" s="7">
        <f t="shared" si="31"/>
        <v>6</v>
      </c>
      <c r="G1973" s="7" t="str">
        <f>LOOKUP(H1973,[1]startdates!$A$2:$A$10,[1]startdates!$B$2:$B$10)</f>
        <v>SMr</v>
      </c>
      <c r="H1973">
        <v>4</v>
      </c>
      <c r="I1973" s="7">
        <v>833.8</v>
      </c>
      <c r="L1973" s="7">
        <v>447.2</v>
      </c>
      <c r="M1973" s="7">
        <v>300.5</v>
      </c>
      <c r="N1973" s="7">
        <v>242.2</v>
      </c>
      <c r="O1973" s="7">
        <v>156.19999999999999</v>
      </c>
    </row>
    <row r="1974" spans="1:16" x14ac:dyDescent="0.2">
      <c r="A1974">
        <v>1973</v>
      </c>
      <c r="B1974" s="1">
        <v>40774</v>
      </c>
      <c r="C1974" t="s">
        <v>24</v>
      </c>
      <c r="D1974" s="7">
        <v>37</v>
      </c>
      <c r="E1974" s="7">
        <v>6</v>
      </c>
      <c r="F1974" s="7">
        <f t="shared" si="31"/>
        <v>6</v>
      </c>
      <c r="G1974" s="7" t="str">
        <f>LOOKUP(H1974,[1]startdates!$A$2:$A$10,[1]startdates!$B$2:$B$10)</f>
        <v>SMr</v>
      </c>
      <c r="H1974">
        <v>4</v>
      </c>
      <c r="I1974" s="7">
        <v>733.6</v>
      </c>
      <c r="M1974" s="7">
        <v>188.6</v>
      </c>
      <c r="N1974" s="7">
        <v>257.60000000000002</v>
      </c>
      <c r="O1974" s="7">
        <v>165.5</v>
      </c>
    </row>
    <row r="1975" spans="1:16" x14ac:dyDescent="0.2">
      <c r="A1975">
        <v>1974</v>
      </c>
      <c r="B1975" s="1">
        <v>40774</v>
      </c>
      <c r="C1975" t="s">
        <v>24</v>
      </c>
      <c r="D1975" s="7">
        <v>37</v>
      </c>
      <c r="E1975" s="7">
        <v>6</v>
      </c>
      <c r="F1975" s="7">
        <f t="shared" si="31"/>
        <v>6</v>
      </c>
      <c r="G1975" s="7" t="str">
        <f>LOOKUP(H1975,[1]startdates!$A$2:$A$10,[1]startdates!$B$2:$B$10)</f>
        <v>SMr</v>
      </c>
      <c r="H1975">
        <v>4</v>
      </c>
      <c r="I1975" s="7">
        <v>660.8</v>
      </c>
      <c r="M1975" s="7">
        <v>277.2</v>
      </c>
      <c r="N1975" s="7">
        <v>266.7</v>
      </c>
      <c r="O1975" s="7">
        <v>165.5</v>
      </c>
    </row>
    <row r="1976" spans="1:16" x14ac:dyDescent="0.2">
      <c r="A1976">
        <v>1975</v>
      </c>
      <c r="B1976" s="1">
        <v>40774</v>
      </c>
      <c r="C1976" t="s">
        <v>24</v>
      </c>
      <c r="D1976" s="7">
        <v>37</v>
      </c>
      <c r="E1976" s="7">
        <v>6</v>
      </c>
      <c r="F1976" s="7">
        <f t="shared" si="31"/>
        <v>6</v>
      </c>
      <c r="G1976" s="7" t="str">
        <f>LOOKUP(H1976,[1]startdates!$A$2:$A$10,[1]startdates!$B$2:$B$10)</f>
        <v>SMr</v>
      </c>
      <c r="H1976">
        <v>4</v>
      </c>
      <c r="I1976" s="7">
        <v>744.7</v>
      </c>
      <c r="M1976" s="7">
        <v>329.7</v>
      </c>
      <c r="N1976" s="7">
        <v>297.89999999999998</v>
      </c>
      <c r="O1976" s="7">
        <v>139.9</v>
      </c>
    </row>
    <row r="1977" spans="1:16" x14ac:dyDescent="0.2">
      <c r="A1977">
        <v>1976</v>
      </c>
      <c r="B1977" s="1">
        <v>40774</v>
      </c>
      <c r="C1977" t="s">
        <v>24</v>
      </c>
      <c r="D1977" s="7">
        <v>37</v>
      </c>
      <c r="E1977" s="7">
        <v>6</v>
      </c>
      <c r="F1977" s="7">
        <f t="shared" si="31"/>
        <v>6</v>
      </c>
      <c r="G1977" s="7" t="str">
        <f>LOOKUP(H1977,[1]startdates!$A$2:$A$10,[1]startdates!$B$2:$B$10)</f>
        <v>SMr</v>
      </c>
      <c r="H1977">
        <v>4</v>
      </c>
      <c r="I1977" s="7">
        <v>737.3</v>
      </c>
      <c r="M1977" s="7">
        <v>277.2</v>
      </c>
      <c r="N1977" s="7">
        <v>237.1</v>
      </c>
      <c r="O1977" s="7">
        <v>168.2</v>
      </c>
    </row>
    <row r="1978" spans="1:16" x14ac:dyDescent="0.2">
      <c r="A1978">
        <v>1977</v>
      </c>
      <c r="B1978" s="1">
        <v>40774</v>
      </c>
      <c r="C1978" t="s">
        <v>24</v>
      </c>
      <c r="D1978" s="7">
        <v>37</v>
      </c>
      <c r="E1978" s="7">
        <v>6</v>
      </c>
      <c r="F1978" s="7">
        <f t="shared" si="31"/>
        <v>6</v>
      </c>
      <c r="G1978" s="7" t="str">
        <f>LOOKUP(H1978,[1]startdates!$A$2:$A$10,[1]startdates!$B$2:$B$10)</f>
        <v>SMr</v>
      </c>
      <c r="H1978">
        <v>4</v>
      </c>
      <c r="N1978" s="7">
        <v>241.2</v>
      </c>
      <c r="O1978" s="7">
        <v>154.80000000000001</v>
      </c>
    </row>
    <row r="1979" spans="1:16" x14ac:dyDescent="0.2">
      <c r="A1979">
        <v>1978</v>
      </c>
      <c r="B1979" s="1">
        <v>40774</v>
      </c>
      <c r="C1979" t="s">
        <v>24</v>
      </c>
      <c r="D1979" s="7">
        <v>37</v>
      </c>
      <c r="E1979" s="7">
        <v>6</v>
      </c>
      <c r="F1979" s="7">
        <f t="shared" si="31"/>
        <v>6</v>
      </c>
      <c r="G1979" s="7" t="str">
        <f>LOOKUP(H1979,[1]startdates!$A$2:$A$10,[1]startdates!$B$2:$B$10)</f>
        <v>SMr</v>
      </c>
      <c r="H1979">
        <v>4</v>
      </c>
      <c r="N1979" s="7">
        <v>234</v>
      </c>
      <c r="O1979" s="7">
        <v>178.2</v>
      </c>
    </row>
    <row r="1980" spans="1:16" x14ac:dyDescent="0.2">
      <c r="A1980">
        <v>1979</v>
      </c>
      <c r="B1980" s="1">
        <v>40774</v>
      </c>
      <c r="C1980" t="s">
        <v>24</v>
      </c>
      <c r="D1980" s="7">
        <v>37</v>
      </c>
      <c r="E1980" s="7">
        <v>6</v>
      </c>
      <c r="F1980" s="7">
        <f t="shared" si="31"/>
        <v>6</v>
      </c>
      <c r="G1980" s="7" t="str">
        <f>LOOKUP(H1980,[1]startdates!$A$2:$A$10,[1]startdates!$B$2:$B$10)</f>
        <v>SMr</v>
      </c>
      <c r="H1980">
        <v>4</v>
      </c>
      <c r="N1980" s="7">
        <v>272.8</v>
      </c>
      <c r="O1980" s="7">
        <v>159.30000000000001</v>
      </c>
    </row>
    <row r="1981" spans="1:16" x14ac:dyDescent="0.2">
      <c r="A1981">
        <v>1980</v>
      </c>
      <c r="B1981" s="1">
        <v>40774</v>
      </c>
      <c r="C1981" t="s">
        <v>24</v>
      </c>
      <c r="D1981" s="7">
        <v>37</v>
      </c>
      <c r="E1981" s="7">
        <v>6</v>
      </c>
      <c r="F1981" s="7">
        <f t="shared" si="31"/>
        <v>6</v>
      </c>
      <c r="G1981" s="7" t="str">
        <f>LOOKUP(H1981,[1]startdates!$A$2:$A$10,[1]startdates!$B$2:$B$10)</f>
        <v>SMr</v>
      </c>
      <c r="H1981">
        <v>4</v>
      </c>
      <c r="O1981" s="7">
        <v>178.2</v>
      </c>
    </row>
    <row r="1982" spans="1:16" x14ac:dyDescent="0.2">
      <c r="A1982">
        <v>1981</v>
      </c>
      <c r="B1982" s="1">
        <v>40774</v>
      </c>
      <c r="C1982" t="s">
        <v>24</v>
      </c>
      <c r="D1982" s="7">
        <v>37</v>
      </c>
      <c r="E1982" s="7">
        <v>6</v>
      </c>
      <c r="F1982" s="7">
        <f t="shared" si="31"/>
        <v>6</v>
      </c>
      <c r="G1982" s="7" t="str">
        <f>LOOKUP(H1982,[1]startdates!$A$2:$A$10,[1]startdates!$B$2:$B$10)</f>
        <v>SMr</v>
      </c>
      <c r="H1982">
        <v>4</v>
      </c>
      <c r="O1982" s="7">
        <v>171.9</v>
      </c>
    </row>
    <row r="1983" spans="1:16" x14ac:dyDescent="0.2">
      <c r="A1983">
        <v>1982</v>
      </c>
      <c r="B1983" s="1">
        <v>40774</v>
      </c>
      <c r="C1983" t="s">
        <v>24</v>
      </c>
      <c r="D1983" s="7">
        <v>37</v>
      </c>
      <c r="E1983" s="7">
        <v>6</v>
      </c>
      <c r="F1983" s="7">
        <f t="shared" si="31"/>
        <v>6</v>
      </c>
      <c r="G1983" s="7" t="str">
        <f>LOOKUP(H1983,[1]startdates!$A$2:$A$10,[1]startdates!$B$2:$B$10)</f>
        <v>SMr</v>
      </c>
      <c r="H1983">
        <v>4</v>
      </c>
      <c r="O1983" s="7">
        <v>182.9</v>
      </c>
    </row>
    <row r="1984" spans="1:16" x14ac:dyDescent="0.2">
      <c r="A1984">
        <v>1983</v>
      </c>
      <c r="B1984" s="1">
        <v>40774</v>
      </c>
      <c r="C1984" t="s">
        <v>24</v>
      </c>
      <c r="D1984" s="7">
        <v>37</v>
      </c>
      <c r="E1984" s="7">
        <v>6</v>
      </c>
      <c r="F1984" s="7">
        <f t="shared" si="31"/>
        <v>6</v>
      </c>
      <c r="G1984" s="7" t="str">
        <f>LOOKUP(H1984,[1]startdates!$A$2:$A$10,[1]startdates!$B$2:$B$10)</f>
        <v>SMr</v>
      </c>
      <c r="H1984">
        <v>4</v>
      </c>
      <c r="O1984" s="7">
        <v>181.1</v>
      </c>
    </row>
    <row r="1985" spans="1:18" x14ac:dyDescent="0.2">
      <c r="A1985">
        <v>1984</v>
      </c>
      <c r="B1985" s="1">
        <v>40774</v>
      </c>
      <c r="C1985" t="s">
        <v>24</v>
      </c>
      <c r="D1985" s="7">
        <v>37</v>
      </c>
      <c r="E1985" s="7">
        <v>6</v>
      </c>
      <c r="F1985" s="7">
        <f t="shared" si="31"/>
        <v>6</v>
      </c>
      <c r="G1985" s="7" t="str">
        <f>LOOKUP(H1985,[1]startdates!$A$2:$A$10,[1]startdates!$B$2:$B$10)</f>
        <v>C</v>
      </c>
      <c r="H1985">
        <v>5</v>
      </c>
      <c r="I1985" s="7">
        <v>621.1</v>
      </c>
      <c r="K1985" s="7">
        <v>598.79999999999995</v>
      </c>
      <c r="L1985" s="7">
        <v>543.5</v>
      </c>
      <c r="M1985" s="7">
        <v>333.4</v>
      </c>
      <c r="N1985" s="7">
        <v>282.89999999999998</v>
      </c>
      <c r="O1985" s="7">
        <v>178.1</v>
      </c>
      <c r="P1985" s="7">
        <v>539.29999999999995</v>
      </c>
      <c r="Q1985" s="7">
        <v>368.8</v>
      </c>
      <c r="R1985" s="7">
        <v>306.3</v>
      </c>
    </row>
    <row r="1986" spans="1:18" x14ac:dyDescent="0.2">
      <c r="A1986">
        <v>1985</v>
      </c>
      <c r="B1986" s="1">
        <v>40774</v>
      </c>
      <c r="C1986" t="s">
        <v>24</v>
      </c>
      <c r="D1986" s="7">
        <v>37</v>
      </c>
      <c r="E1986" s="7">
        <v>6</v>
      </c>
      <c r="F1986" s="7">
        <f t="shared" si="31"/>
        <v>6</v>
      </c>
      <c r="G1986" s="7" t="str">
        <f>LOOKUP(H1986,[1]startdates!$A$2:$A$10,[1]startdates!$B$2:$B$10)</f>
        <v>C</v>
      </c>
      <c r="H1986">
        <v>5</v>
      </c>
      <c r="I1986" s="7">
        <v>674.1</v>
      </c>
      <c r="K1986" s="7">
        <v>550.70000000000005</v>
      </c>
      <c r="L1986" s="7">
        <v>559.70000000000005</v>
      </c>
      <c r="M1986" s="7">
        <v>384.7</v>
      </c>
      <c r="N1986" s="7">
        <v>243.4</v>
      </c>
      <c r="O1986" s="7">
        <v>162.19999999999999</v>
      </c>
      <c r="Q1986" s="7">
        <v>372.1</v>
      </c>
    </row>
    <row r="1987" spans="1:18" x14ac:dyDescent="0.2">
      <c r="A1987">
        <v>1986</v>
      </c>
      <c r="B1987" s="1">
        <v>40774</v>
      </c>
      <c r="C1987" t="s">
        <v>24</v>
      </c>
      <c r="D1987" s="7">
        <v>37</v>
      </c>
      <c r="E1987" s="7">
        <v>6</v>
      </c>
      <c r="F1987" s="7">
        <f t="shared" si="31"/>
        <v>6</v>
      </c>
      <c r="G1987" s="7" t="str">
        <f>LOOKUP(H1987,[1]startdates!$A$2:$A$10,[1]startdates!$B$2:$B$10)</f>
        <v>C</v>
      </c>
      <c r="H1987">
        <v>5</v>
      </c>
      <c r="I1987" s="7">
        <v>610.29999999999995</v>
      </c>
      <c r="K1987" s="7">
        <v>596.6</v>
      </c>
      <c r="L1987" s="7">
        <v>574.4</v>
      </c>
      <c r="M1987" s="7">
        <v>387.5</v>
      </c>
      <c r="N1987" s="7">
        <v>255.6</v>
      </c>
      <c r="O1987" s="7">
        <v>176.7</v>
      </c>
      <c r="Q1987" s="7">
        <v>418.7</v>
      </c>
    </row>
    <row r="1988" spans="1:18" x14ac:dyDescent="0.2">
      <c r="A1988">
        <v>1987</v>
      </c>
      <c r="B1988" s="1">
        <v>40774</v>
      </c>
      <c r="C1988" t="s">
        <v>24</v>
      </c>
      <c r="D1988" s="7">
        <v>37</v>
      </c>
      <c r="E1988" s="7">
        <v>6</v>
      </c>
      <c r="F1988" s="7">
        <f t="shared" si="31"/>
        <v>6</v>
      </c>
      <c r="G1988" s="7" t="str">
        <f>LOOKUP(H1988,[1]startdates!$A$2:$A$10,[1]startdates!$B$2:$B$10)</f>
        <v>C</v>
      </c>
      <c r="H1988">
        <v>5</v>
      </c>
      <c r="I1988" s="7">
        <v>812.5</v>
      </c>
      <c r="K1988" s="7">
        <v>589.1</v>
      </c>
      <c r="L1988" s="7">
        <v>562.70000000000005</v>
      </c>
      <c r="M1988" s="7">
        <v>302.2</v>
      </c>
      <c r="N1988" s="7">
        <v>208.4</v>
      </c>
      <c r="O1988" s="7">
        <v>170</v>
      </c>
      <c r="Q1988" s="7">
        <v>387.4</v>
      </c>
    </row>
    <row r="1989" spans="1:18" x14ac:dyDescent="0.2">
      <c r="A1989">
        <v>1988</v>
      </c>
      <c r="B1989" s="1">
        <v>40774</v>
      </c>
      <c r="C1989" t="s">
        <v>24</v>
      </c>
      <c r="D1989" s="7">
        <v>37</v>
      </c>
      <c r="E1989" s="7">
        <v>6</v>
      </c>
      <c r="F1989" s="7">
        <f t="shared" si="31"/>
        <v>6</v>
      </c>
      <c r="G1989" s="7" t="str">
        <f>LOOKUP(H1989,[1]startdates!$A$2:$A$10,[1]startdates!$B$2:$B$10)</f>
        <v>C</v>
      </c>
      <c r="H1989">
        <v>5</v>
      </c>
      <c r="I1989" s="7">
        <v>742</v>
      </c>
      <c r="K1989" s="7">
        <v>610.20000000000005</v>
      </c>
      <c r="L1989" s="7">
        <v>480</v>
      </c>
      <c r="M1989" s="7">
        <v>340.7</v>
      </c>
      <c r="N1989" s="7">
        <v>316.3</v>
      </c>
      <c r="O1989" s="7">
        <v>177</v>
      </c>
      <c r="Q1989" s="7">
        <v>371.5</v>
      </c>
    </row>
    <row r="1990" spans="1:18" x14ac:dyDescent="0.2">
      <c r="A1990">
        <v>1989</v>
      </c>
      <c r="B1990" s="1">
        <v>40774</v>
      </c>
      <c r="C1990" t="s">
        <v>24</v>
      </c>
      <c r="D1990" s="7">
        <v>37</v>
      </c>
      <c r="E1990" s="7">
        <v>6</v>
      </c>
      <c r="F1990" s="7">
        <f t="shared" si="31"/>
        <v>6</v>
      </c>
      <c r="G1990" s="7" t="str">
        <f>LOOKUP(H1990,[1]startdates!$A$2:$A$10,[1]startdates!$B$2:$B$10)</f>
        <v>C</v>
      </c>
      <c r="H1990">
        <v>5</v>
      </c>
      <c r="I1990" s="7">
        <v>729.3</v>
      </c>
      <c r="K1990" s="7">
        <v>540.70000000000005</v>
      </c>
      <c r="M1990" s="7">
        <v>333</v>
      </c>
      <c r="N1990" s="7">
        <v>247.4</v>
      </c>
      <c r="O1990" s="7">
        <v>184.1</v>
      </c>
    </row>
    <row r="1991" spans="1:18" x14ac:dyDescent="0.2">
      <c r="A1991">
        <v>1990</v>
      </c>
      <c r="B1991" s="1">
        <v>40774</v>
      </c>
      <c r="C1991" t="s">
        <v>24</v>
      </c>
      <c r="D1991" s="7">
        <v>37</v>
      </c>
      <c r="E1991" s="7">
        <v>6</v>
      </c>
      <c r="F1991" s="7">
        <f t="shared" si="31"/>
        <v>6</v>
      </c>
      <c r="G1991" s="7" t="str">
        <f>LOOKUP(H1991,[1]startdates!$A$2:$A$10,[1]startdates!$B$2:$B$10)</f>
        <v>C</v>
      </c>
      <c r="H1991">
        <v>5</v>
      </c>
      <c r="I1991" s="7">
        <v>751.4</v>
      </c>
      <c r="K1991" s="7">
        <v>494</v>
      </c>
      <c r="N1991" s="7">
        <v>298.2</v>
      </c>
      <c r="O1991" s="7">
        <v>151.80000000000001</v>
      </c>
    </row>
    <row r="1992" spans="1:18" x14ac:dyDescent="0.2">
      <c r="A1992">
        <v>1991</v>
      </c>
      <c r="B1992" s="1">
        <v>40774</v>
      </c>
      <c r="C1992" t="s">
        <v>24</v>
      </c>
      <c r="D1992" s="7">
        <v>37</v>
      </c>
      <c r="E1992" s="7">
        <v>6</v>
      </c>
      <c r="F1992" s="7">
        <f t="shared" si="31"/>
        <v>6</v>
      </c>
      <c r="G1992" s="7" t="str">
        <f>LOOKUP(H1992,[1]startdates!$A$2:$A$10,[1]startdates!$B$2:$B$10)</f>
        <v>C</v>
      </c>
      <c r="H1992">
        <v>5</v>
      </c>
      <c r="I1992" s="7">
        <v>677.5</v>
      </c>
      <c r="K1992" s="7">
        <v>577.4</v>
      </c>
      <c r="N1992" s="7">
        <v>187.7</v>
      </c>
      <c r="O1992" s="7">
        <v>165.5</v>
      </c>
    </row>
    <row r="1993" spans="1:18" x14ac:dyDescent="0.2">
      <c r="A1993">
        <v>1992</v>
      </c>
      <c r="B1993" s="1">
        <v>40774</v>
      </c>
      <c r="C1993" t="s">
        <v>24</v>
      </c>
      <c r="D1993" s="7">
        <v>37</v>
      </c>
      <c r="E1993" s="7">
        <v>6</v>
      </c>
      <c r="F1993" s="7">
        <f t="shared" si="31"/>
        <v>6</v>
      </c>
      <c r="G1993" s="7" t="str">
        <f>LOOKUP(H1993,[1]startdates!$A$2:$A$10,[1]startdates!$B$2:$B$10)</f>
        <v>C</v>
      </c>
      <c r="H1993">
        <v>5</v>
      </c>
      <c r="N1993" s="7">
        <v>287.2</v>
      </c>
      <c r="O1993" s="7">
        <v>168.2</v>
      </c>
    </row>
    <row r="1994" spans="1:18" x14ac:dyDescent="0.2">
      <c r="A1994">
        <v>1993</v>
      </c>
      <c r="B1994" s="1">
        <v>40774</v>
      </c>
      <c r="C1994" t="s">
        <v>24</v>
      </c>
      <c r="D1994" s="7">
        <v>37</v>
      </c>
      <c r="E1994" s="7">
        <v>6</v>
      </c>
      <c r="F1994" s="7">
        <f t="shared" si="31"/>
        <v>6</v>
      </c>
      <c r="G1994" s="7" t="str">
        <f>LOOKUP(H1994,[1]startdates!$A$2:$A$10,[1]startdates!$B$2:$B$10)</f>
        <v>C</v>
      </c>
      <c r="H1994">
        <v>5</v>
      </c>
      <c r="N1994" s="7">
        <v>251.3</v>
      </c>
      <c r="O1994" s="7">
        <v>180.5</v>
      </c>
    </row>
    <row r="1995" spans="1:18" x14ac:dyDescent="0.2">
      <c r="A1995">
        <v>1994</v>
      </c>
      <c r="B1995" s="1">
        <v>40774</v>
      </c>
      <c r="C1995" t="s">
        <v>24</v>
      </c>
      <c r="D1995" s="7">
        <v>37</v>
      </c>
      <c r="E1995" s="7">
        <v>6</v>
      </c>
      <c r="F1995" s="7">
        <f t="shared" si="31"/>
        <v>6</v>
      </c>
      <c r="G1995" s="7" t="str">
        <f>LOOKUP(H1995,[1]startdates!$A$2:$A$10,[1]startdates!$B$2:$B$10)</f>
        <v>C</v>
      </c>
      <c r="H1995">
        <v>5</v>
      </c>
      <c r="N1995" s="7">
        <v>213.7</v>
      </c>
      <c r="O1995" s="7">
        <v>160.80000000000001</v>
      </c>
    </row>
    <row r="1996" spans="1:18" x14ac:dyDescent="0.2">
      <c r="A1996">
        <v>1995</v>
      </c>
      <c r="B1996" s="1">
        <v>40774</v>
      </c>
      <c r="C1996" t="s">
        <v>24</v>
      </c>
      <c r="D1996" s="7">
        <v>37</v>
      </c>
      <c r="E1996" s="7">
        <v>6</v>
      </c>
      <c r="F1996" s="7">
        <f t="shared" si="31"/>
        <v>6</v>
      </c>
      <c r="G1996" s="7" t="str">
        <f>LOOKUP(H1996,[1]startdates!$A$2:$A$10,[1]startdates!$B$2:$B$10)</f>
        <v>C</v>
      </c>
      <c r="H1996">
        <v>5</v>
      </c>
      <c r="N1996" s="7">
        <v>220.9</v>
      </c>
    </row>
    <row r="1997" spans="1:18" x14ac:dyDescent="0.2">
      <c r="A1997">
        <v>1996</v>
      </c>
      <c r="B1997" s="1">
        <v>40774</v>
      </c>
      <c r="C1997" t="s">
        <v>24</v>
      </c>
      <c r="D1997" s="7">
        <v>37</v>
      </c>
      <c r="E1997" s="7">
        <v>6</v>
      </c>
      <c r="F1997" s="7">
        <f t="shared" si="31"/>
        <v>6</v>
      </c>
      <c r="G1997" s="7" t="str">
        <f>LOOKUP(H1997,[1]startdates!$A$2:$A$10,[1]startdates!$B$2:$B$10)</f>
        <v>C</v>
      </c>
      <c r="H1997">
        <v>5</v>
      </c>
      <c r="N1997" s="7">
        <v>178.1</v>
      </c>
    </row>
    <row r="1998" spans="1:18" x14ac:dyDescent="0.2">
      <c r="A1998">
        <v>1997</v>
      </c>
      <c r="B1998" s="1">
        <v>40774</v>
      </c>
      <c r="C1998" t="s">
        <v>24</v>
      </c>
      <c r="D1998" s="7">
        <v>37</v>
      </c>
      <c r="E1998" s="7">
        <v>6</v>
      </c>
      <c r="F1998" s="7">
        <f t="shared" si="31"/>
        <v>6</v>
      </c>
      <c r="G1998" s="7" t="str">
        <f>LOOKUP(H1998,[1]startdates!$A$2:$A$10,[1]startdates!$B$2:$B$10)</f>
        <v>FMr</v>
      </c>
      <c r="H1998">
        <v>6</v>
      </c>
      <c r="I1998" s="7">
        <v>676.9</v>
      </c>
      <c r="K1998" s="7">
        <v>543.6</v>
      </c>
      <c r="L1998" s="7">
        <v>530.20000000000005</v>
      </c>
      <c r="M1998" s="7">
        <v>354.1</v>
      </c>
      <c r="N1998" s="7">
        <v>297.2</v>
      </c>
      <c r="O1998" s="7">
        <v>171.9</v>
      </c>
      <c r="P1998" s="7">
        <v>502.6</v>
      </c>
      <c r="Q1998" s="7">
        <v>391.9</v>
      </c>
      <c r="R1998" s="7">
        <v>307.60000000000002</v>
      </c>
    </row>
    <row r="1999" spans="1:18" x14ac:dyDescent="0.2">
      <c r="A1999">
        <v>1998</v>
      </c>
      <c r="B1999" s="1">
        <v>40774</v>
      </c>
      <c r="C1999" t="s">
        <v>24</v>
      </c>
      <c r="D1999" s="7">
        <v>37</v>
      </c>
      <c r="E1999" s="7">
        <v>6</v>
      </c>
      <c r="F1999" s="7">
        <f t="shared" si="31"/>
        <v>6</v>
      </c>
      <c r="G1999" s="7" t="str">
        <f>LOOKUP(H1999,[1]startdates!$A$2:$A$10,[1]startdates!$B$2:$B$10)</f>
        <v>FMr</v>
      </c>
      <c r="H1999">
        <v>6</v>
      </c>
      <c r="I1999" s="7">
        <v>692.7</v>
      </c>
      <c r="K1999" s="7">
        <v>579.70000000000005</v>
      </c>
      <c r="L1999" s="7">
        <v>456.6</v>
      </c>
      <c r="M1999" s="7">
        <v>307.2</v>
      </c>
      <c r="N1999" s="7">
        <v>297.2</v>
      </c>
      <c r="O1999" s="7">
        <v>138.30000000000001</v>
      </c>
    </row>
    <row r="2000" spans="1:18" x14ac:dyDescent="0.2">
      <c r="A2000">
        <v>1999</v>
      </c>
      <c r="B2000" s="1">
        <v>40774</v>
      </c>
      <c r="C2000" t="s">
        <v>24</v>
      </c>
      <c r="D2000" s="7">
        <v>37</v>
      </c>
      <c r="E2000" s="7">
        <v>6</v>
      </c>
      <c r="F2000" s="7">
        <f t="shared" si="31"/>
        <v>6</v>
      </c>
      <c r="G2000" s="7" t="str">
        <f>LOOKUP(H2000,[1]startdates!$A$2:$A$10,[1]startdates!$B$2:$B$10)</f>
        <v>FMr</v>
      </c>
      <c r="H2000">
        <v>6</v>
      </c>
      <c r="I2000" s="7">
        <v>711.9</v>
      </c>
      <c r="K2000" s="7">
        <v>479.5</v>
      </c>
      <c r="L2000" s="7">
        <v>390.3</v>
      </c>
      <c r="M2000" s="7">
        <v>319.7</v>
      </c>
      <c r="N2000" s="7">
        <v>179.8</v>
      </c>
      <c r="O2000" s="7">
        <v>173.8</v>
      </c>
    </row>
    <row r="2001" spans="1:18" x14ac:dyDescent="0.2">
      <c r="A2001">
        <v>2000</v>
      </c>
      <c r="B2001" s="1">
        <v>40774</v>
      </c>
      <c r="C2001" t="s">
        <v>24</v>
      </c>
      <c r="D2001" s="7">
        <v>37</v>
      </c>
      <c r="E2001" s="7">
        <v>6</v>
      </c>
      <c r="F2001" s="7">
        <f t="shared" si="31"/>
        <v>6</v>
      </c>
      <c r="G2001" s="7" t="str">
        <f>LOOKUP(H2001,[1]startdates!$A$2:$A$10,[1]startdates!$B$2:$B$10)</f>
        <v>FMr</v>
      </c>
      <c r="H2001">
        <v>6</v>
      </c>
      <c r="I2001" s="7">
        <v>780.7</v>
      </c>
      <c r="K2001" s="7">
        <v>584.6</v>
      </c>
      <c r="L2001" s="7">
        <v>449.4</v>
      </c>
      <c r="M2001" s="7">
        <v>291.60000000000002</v>
      </c>
      <c r="N2001" s="7">
        <v>219.7</v>
      </c>
      <c r="O2001" s="7">
        <v>182.2</v>
      </c>
    </row>
    <row r="2002" spans="1:18" x14ac:dyDescent="0.2">
      <c r="A2002">
        <v>2001</v>
      </c>
      <c r="B2002" s="1">
        <v>40774</v>
      </c>
      <c r="C2002" t="s">
        <v>24</v>
      </c>
      <c r="D2002" s="7">
        <v>37</v>
      </c>
      <c r="E2002" s="7">
        <v>6</v>
      </c>
      <c r="F2002" s="7">
        <f t="shared" si="31"/>
        <v>6</v>
      </c>
      <c r="G2002" s="7" t="str">
        <f>LOOKUP(H2002,[1]startdates!$A$2:$A$10,[1]startdates!$B$2:$B$10)</f>
        <v>FMr</v>
      </c>
      <c r="H2002">
        <v>6</v>
      </c>
      <c r="I2002" s="7">
        <v>715.6</v>
      </c>
      <c r="K2002" s="7">
        <v>685.4</v>
      </c>
      <c r="L2002" s="7">
        <v>466.8</v>
      </c>
      <c r="M2002" s="7">
        <v>337.2</v>
      </c>
      <c r="N2002" s="7">
        <v>232.5</v>
      </c>
      <c r="O2002" s="7">
        <v>167.9</v>
      </c>
    </row>
    <row r="2003" spans="1:18" x14ac:dyDescent="0.2">
      <c r="A2003">
        <v>2002</v>
      </c>
      <c r="B2003" s="1">
        <v>40774</v>
      </c>
      <c r="C2003" t="s">
        <v>24</v>
      </c>
      <c r="D2003" s="7">
        <v>37</v>
      </c>
      <c r="E2003" s="7">
        <v>6</v>
      </c>
      <c r="F2003" s="7">
        <f t="shared" si="31"/>
        <v>6</v>
      </c>
      <c r="G2003" s="7" t="str">
        <f>LOOKUP(H2003,[1]startdates!$A$2:$A$10,[1]startdates!$B$2:$B$10)</f>
        <v>FMr</v>
      </c>
      <c r="H2003">
        <v>6</v>
      </c>
      <c r="I2003" s="7">
        <v>796.4</v>
      </c>
      <c r="K2003" s="7">
        <v>620</v>
      </c>
      <c r="M2003" s="7">
        <v>334.7</v>
      </c>
      <c r="N2003" s="7">
        <v>222.9</v>
      </c>
      <c r="O2003" s="7">
        <v>178.1</v>
      </c>
    </row>
    <row r="2004" spans="1:18" x14ac:dyDescent="0.2">
      <c r="A2004">
        <v>2003</v>
      </c>
      <c r="B2004" s="1">
        <v>40774</v>
      </c>
      <c r="C2004" t="s">
        <v>24</v>
      </c>
      <c r="D2004" s="7">
        <v>37</v>
      </c>
      <c r="E2004" s="7">
        <v>6</v>
      </c>
      <c r="F2004" s="7">
        <f t="shared" si="31"/>
        <v>6</v>
      </c>
      <c r="G2004" s="7" t="str">
        <f>LOOKUP(H2004,[1]startdates!$A$2:$A$10,[1]startdates!$B$2:$B$10)</f>
        <v>FMr</v>
      </c>
      <c r="H2004">
        <v>6</v>
      </c>
      <c r="I2004" s="7">
        <v>825.6</v>
      </c>
      <c r="K2004" s="7">
        <v>586.20000000000005</v>
      </c>
      <c r="M2004" s="7">
        <v>324.3</v>
      </c>
      <c r="N2004" s="7">
        <v>224</v>
      </c>
      <c r="O2004" s="7">
        <v>171.9</v>
      </c>
    </row>
    <row r="2005" spans="1:18" x14ac:dyDescent="0.2">
      <c r="A2005">
        <v>2004</v>
      </c>
      <c r="B2005" s="1">
        <v>40774</v>
      </c>
      <c r="C2005" t="s">
        <v>24</v>
      </c>
      <c r="D2005" s="7">
        <v>37</v>
      </c>
      <c r="E2005" s="7">
        <v>6</v>
      </c>
      <c r="F2005" s="7">
        <f t="shared" si="31"/>
        <v>6</v>
      </c>
      <c r="G2005" s="7" t="str">
        <f>LOOKUP(H2005,[1]startdates!$A$2:$A$10,[1]startdates!$B$2:$B$10)</f>
        <v>FMr</v>
      </c>
      <c r="H2005">
        <v>6</v>
      </c>
      <c r="I2005" s="7">
        <v>754</v>
      </c>
      <c r="M2005" s="7">
        <v>324.7</v>
      </c>
      <c r="N2005" s="7">
        <v>282.2</v>
      </c>
      <c r="O2005" s="7">
        <v>157.6</v>
      </c>
    </row>
    <row r="2006" spans="1:18" x14ac:dyDescent="0.2">
      <c r="A2006">
        <v>2005</v>
      </c>
      <c r="B2006" s="1">
        <v>40774</v>
      </c>
      <c r="C2006" t="s">
        <v>24</v>
      </c>
      <c r="D2006" s="7">
        <v>37</v>
      </c>
      <c r="E2006" s="7">
        <v>6</v>
      </c>
      <c r="F2006" s="7">
        <f t="shared" si="31"/>
        <v>6</v>
      </c>
      <c r="G2006" s="7" t="str">
        <f>LOOKUP(H2006,[1]startdates!$A$2:$A$10,[1]startdates!$B$2:$B$10)</f>
        <v>FMr</v>
      </c>
      <c r="H2006">
        <v>6</v>
      </c>
      <c r="M2006" s="7">
        <v>381.9</v>
      </c>
      <c r="N2006" s="7">
        <v>203.7</v>
      </c>
      <c r="O2006" s="7">
        <v>157.4</v>
      </c>
    </row>
    <row r="2007" spans="1:18" x14ac:dyDescent="0.2">
      <c r="A2007">
        <v>2006</v>
      </c>
      <c r="B2007" s="1">
        <v>40774</v>
      </c>
      <c r="C2007" t="s">
        <v>24</v>
      </c>
      <c r="D2007" s="7">
        <v>37</v>
      </c>
      <c r="E2007" s="7">
        <v>6</v>
      </c>
      <c r="F2007" s="7">
        <f t="shared" si="31"/>
        <v>6</v>
      </c>
      <c r="G2007" s="7" t="str">
        <f>LOOKUP(H2007,[1]startdates!$A$2:$A$10,[1]startdates!$B$2:$B$10)</f>
        <v>FMr</v>
      </c>
      <c r="H2007">
        <v>6</v>
      </c>
      <c r="N2007" s="7">
        <v>294.89999999999998</v>
      </c>
      <c r="O2007" s="7">
        <v>162.69999999999999</v>
      </c>
    </row>
    <row r="2008" spans="1:18" x14ac:dyDescent="0.2">
      <c r="A2008">
        <v>2007</v>
      </c>
      <c r="B2008" s="1">
        <v>40774</v>
      </c>
      <c r="C2008" t="s">
        <v>24</v>
      </c>
      <c r="D2008" s="7">
        <v>37</v>
      </c>
      <c r="E2008" s="7">
        <v>6</v>
      </c>
      <c r="F2008" s="7">
        <f t="shared" si="31"/>
        <v>6</v>
      </c>
      <c r="G2008" s="7" t="str">
        <f>LOOKUP(H2008,[1]startdates!$A$2:$A$10,[1]startdates!$B$2:$B$10)</f>
        <v>FMr</v>
      </c>
      <c r="H2008">
        <v>6</v>
      </c>
      <c r="N2008" s="7">
        <v>235.3</v>
      </c>
      <c r="O2008" s="7">
        <v>188.2</v>
      </c>
    </row>
    <row r="2009" spans="1:18" x14ac:dyDescent="0.2">
      <c r="A2009">
        <v>2008</v>
      </c>
      <c r="B2009" s="1">
        <v>40774</v>
      </c>
      <c r="C2009" t="s">
        <v>24</v>
      </c>
      <c r="D2009" s="7">
        <v>37</v>
      </c>
      <c r="E2009" s="7">
        <v>6</v>
      </c>
      <c r="F2009" s="7">
        <f t="shared" si="31"/>
        <v>6</v>
      </c>
      <c r="G2009" s="7" t="str">
        <f>LOOKUP(H2009,[1]startdates!$A$2:$A$10,[1]startdates!$B$2:$B$10)</f>
        <v>FMr</v>
      </c>
      <c r="H2009">
        <v>6</v>
      </c>
      <c r="N2009" s="7">
        <v>224.4</v>
      </c>
      <c r="O2009" s="7">
        <v>158.6</v>
      </c>
    </row>
    <row r="2010" spans="1:18" x14ac:dyDescent="0.2">
      <c r="A2010">
        <v>2009</v>
      </c>
      <c r="B2010" s="1">
        <v>40774</v>
      </c>
      <c r="C2010" t="s">
        <v>24</v>
      </c>
      <c r="D2010" s="7">
        <v>37</v>
      </c>
      <c r="E2010" s="7">
        <v>6</v>
      </c>
      <c r="F2010" s="7">
        <f t="shared" si="31"/>
        <v>6</v>
      </c>
      <c r="G2010" s="7" t="str">
        <f>LOOKUP(H2010,[1]startdates!$A$2:$A$10,[1]startdates!$B$2:$B$10)</f>
        <v>FMr</v>
      </c>
      <c r="H2010">
        <v>6</v>
      </c>
      <c r="N2010" s="7">
        <v>275.7</v>
      </c>
      <c r="O2010" s="7">
        <v>174.6</v>
      </c>
    </row>
    <row r="2011" spans="1:18" x14ac:dyDescent="0.2">
      <c r="A2011">
        <v>2010</v>
      </c>
      <c r="B2011" s="1">
        <v>40774</v>
      </c>
      <c r="C2011" t="s">
        <v>24</v>
      </c>
      <c r="D2011" s="7">
        <v>37</v>
      </c>
      <c r="E2011" s="7">
        <v>6</v>
      </c>
      <c r="F2011" s="7">
        <f t="shared" si="31"/>
        <v>6</v>
      </c>
      <c r="G2011" s="7" t="str">
        <f>LOOKUP(H2011,[1]startdates!$A$2:$A$10,[1]startdates!$B$2:$B$10)</f>
        <v>FMr</v>
      </c>
      <c r="H2011">
        <v>6</v>
      </c>
      <c r="N2011" s="7">
        <v>212.5</v>
      </c>
      <c r="O2011" s="7">
        <v>172.4</v>
      </c>
    </row>
    <row r="2012" spans="1:18" x14ac:dyDescent="0.2">
      <c r="A2012">
        <v>2011</v>
      </c>
      <c r="B2012" s="1">
        <v>40774</v>
      </c>
      <c r="C2012" t="s">
        <v>24</v>
      </c>
      <c r="D2012" s="7">
        <v>37</v>
      </c>
      <c r="E2012" s="7">
        <v>6</v>
      </c>
      <c r="F2012" s="7">
        <f t="shared" si="31"/>
        <v>6</v>
      </c>
      <c r="G2012" s="7" t="str">
        <f>LOOKUP(H2012,[1]startdates!$A$2:$A$10,[1]startdates!$B$2:$B$10)</f>
        <v>FMr</v>
      </c>
      <c r="H2012">
        <v>6</v>
      </c>
      <c r="O2012" s="7">
        <v>176.7</v>
      </c>
    </row>
    <row r="2013" spans="1:18" x14ac:dyDescent="0.2">
      <c r="A2013">
        <v>2012</v>
      </c>
      <c r="B2013" s="1">
        <v>40774</v>
      </c>
      <c r="C2013" t="s">
        <v>24</v>
      </c>
      <c r="D2013" s="7">
        <v>37</v>
      </c>
      <c r="E2013" s="7">
        <v>6</v>
      </c>
      <c r="F2013" s="7">
        <f t="shared" si="31"/>
        <v>6</v>
      </c>
      <c r="G2013" s="7" t="str">
        <f>LOOKUP(H2013,[1]startdates!$A$2:$A$10,[1]startdates!$B$2:$B$10)</f>
        <v>FMr</v>
      </c>
      <c r="H2013">
        <v>7</v>
      </c>
      <c r="I2013" s="7">
        <v>707.2</v>
      </c>
      <c r="K2013" s="7">
        <v>478.6</v>
      </c>
      <c r="L2013" s="7">
        <v>525.9</v>
      </c>
      <c r="M2013" s="7">
        <v>349.9</v>
      </c>
      <c r="N2013" s="7">
        <v>218.1</v>
      </c>
      <c r="O2013" s="7">
        <v>204.2</v>
      </c>
      <c r="P2013" s="7">
        <v>521.6</v>
      </c>
      <c r="Q2013" s="7">
        <v>323</v>
      </c>
      <c r="R2013" s="7">
        <v>276.89999999999998</v>
      </c>
    </row>
    <row r="2014" spans="1:18" x14ac:dyDescent="0.2">
      <c r="A2014">
        <v>2013</v>
      </c>
      <c r="B2014" s="1">
        <v>40774</v>
      </c>
      <c r="C2014" t="s">
        <v>24</v>
      </c>
      <c r="D2014" s="7">
        <v>37</v>
      </c>
      <c r="E2014" s="7">
        <v>6</v>
      </c>
      <c r="F2014" s="7">
        <f t="shared" si="31"/>
        <v>6</v>
      </c>
      <c r="G2014" s="7" t="str">
        <f>LOOKUP(H2014,[1]startdates!$A$2:$A$10,[1]startdates!$B$2:$B$10)</f>
        <v>FMr</v>
      </c>
      <c r="H2014">
        <v>7</v>
      </c>
      <c r="I2014" s="7">
        <v>663.3</v>
      </c>
      <c r="K2014" s="7">
        <v>641.29999999999995</v>
      </c>
      <c r="L2014" s="7">
        <v>501.8</v>
      </c>
      <c r="M2014" s="7">
        <v>345.1</v>
      </c>
      <c r="N2014" s="7">
        <v>253.6</v>
      </c>
      <c r="O2014" s="7">
        <v>162.69999999999999</v>
      </c>
      <c r="Q2014" s="7">
        <v>386.4</v>
      </c>
    </row>
    <row r="2015" spans="1:18" x14ac:dyDescent="0.2">
      <c r="A2015">
        <v>2014</v>
      </c>
      <c r="B2015" s="1">
        <v>40774</v>
      </c>
      <c r="C2015" t="s">
        <v>24</v>
      </c>
      <c r="D2015" s="7">
        <v>37</v>
      </c>
      <c r="E2015" s="7">
        <v>6</v>
      </c>
      <c r="F2015" s="7">
        <f t="shared" si="31"/>
        <v>6</v>
      </c>
      <c r="G2015" s="7" t="str">
        <f>LOOKUP(H2015,[1]startdates!$A$2:$A$10,[1]startdates!$B$2:$B$10)</f>
        <v>FMr</v>
      </c>
      <c r="H2015">
        <v>7</v>
      </c>
      <c r="I2015" s="7">
        <v>754.5</v>
      </c>
      <c r="K2015" s="7">
        <v>606</v>
      </c>
      <c r="L2015" s="7">
        <v>412.9</v>
      </c>
      <c r="M2015" s="7">
        <v>302</v>
      </c>
      <c r="N2015" s="7">
        <v>259.39999999999998</v>
      </c>
      <c r="O2015" s="7">
        <v>151.6</v>
      </c>
    </row>
    <row r="2016" spans="1:18" x14ac:dyDescent="0.2">
      <c r="A2016">
        <v>2015</v>
      </c>
      <c r="B2016" s="1">
        <v>40774</v>
      </c>
      <c r="C2016" t="s">
        <v>24</v>
      </c>
      <c r="D2016" s="7">
        <v>37</v>
      </c>
      <c r="E2016" s="7">
        <v>6</v>
      </c>
      <c r="F2016" s="7">
        <f t="shared" si="31"/>
        <v>6</v>
      </c>
      <c r="G2016" s="7" t="str">
        <f>LOOKUP(H2016,[1]startdates!$A$2:$A$10,[1]startdates!$B$2:$B$10)</f>
        <v>FMr</v>
      </c>
      <c r="H2016">
        <v>7</v>
      </c>
      <c r="I2016" s="7">
        <v>705.1</v>
      </c>
      <c r="K2016" s="7">
        <v>587</v>
      </c>
      <c r="L2016" s="7">
        <v>484.5</v>
      </c>
      <c r="M2016" s="7">
        <v>328.8</v>
      </c>
      <c r="N2016" s="7">
        <v>154.6</v>
      </c>
      <c r="O2016" s="7">
        <v>185.8</v>
      </c>
    </row>
    <row r="2017" spans="1:18" x14ac:dyDescent="0.2">
      <c r="A2017">
        <v>2016</v>
      </c>
      <c r="B2017" s="1">
        <v>40774</v>
      </c>
      <c r="C2017" t="s">
        <v>24</v>
      </c>
      <c r="D2017" s="7">
        <v>37</v>
      </c>
      <c r="E2017" s="7">
        <v>6</v>
      </c>
      <c r="F2017" s="7">
        <f t="shared" si="31"/>
        <v>6</v>
      </c>
      <c r="G2017" s="7" t="str">
        <f>LOOKUP(H2017,[1]startdates!$A$2:$A$10,[1]startdates!$B$2:$B$10)</f>
        <v>FMr</v>
      </c>
      <c r="H2017">
        <v>7</v>
      </c>
      <c r="I2017" s="7">
        <v>755</v>
      </c>
      <c r="K2017" s="7">
        <v>484.1</v>
      </c>
      <c r="L2017" s="7">
        <v>461.1</v>
      </c>
      <c r="M2017" s="7">
        <v>277.2</v>
      </c>
      <c r="N2017" s="7">
        <v>203.7</v>
      </c>
      <c r="O2017" s="7">
        <v>164.7</v>
      </c>
    </row>
    <row r="2018" spans="1:18" x14ac:dyDescent="0.2">
      <c r="A2018">
        <v>2017</v>
      </c>
      <c r="B2018" s="1">
        <v>40774</v>
      </c>
      <c r="C2018" t="s">
        <v>24</v>
      </c>
      <c r="D2018" s="7">
        <v>37</v>
      </c>
      <c r="E2018" s="7">
        <v>6</v>
      </c>
      <c r="F2018" s="7">
        <f t="shared" si="31"/>
        <v>6</v>
      </c>
      <c r="G2018" s="7" t="str">
        <f>LOOKUP(H2018,[1]startdates!$A$2:$A$10,[1]startdates!$B$2:$B$10)</f>
        <v>FMr</v>
      </c>
      <c r="H2018">
        <v>7</v>
      </c>
      <c r="I2018" s="7">
        <v>806.2</v>
      </c>
      <c r="L2018" s="7">
        <v>489.9</v>
      </c>
      <c r="M2018" s="7">
        <v>296</v>
      </c>
      <c r="N2018" s="7">
        <v>259.39999999999998</v>
      </c>
      <c r="O2018" s="7">
        <v>145</v>
      </c>
    </row>
    <row r="2019" spans="1:18" x14ac:dyDescent="0.2">
      <c r="A2019">
        <v>2018</v>
      </c>
      <c r="B2019" s="1">
        <v>40774</v>
      </c>
      <c r="C2019" t="s">
        <v>24</v>
      </c>
      <c r="D2019" s="7">
        <v>37</v>
      </c>
      <c r="E2019" s="7">
        <v>6</v>
      </c>
      <c r="F2019" s="7">
        <f t="shared" si="31"/>
        <v>6</v>
      </c>
      <c r="G2019" s="7" t="str">
        <f>LOOKUP(H2019,[1]startdates!$A$2:$A$10,[1]startdates!$B$2:$B$10)</f>
        <v>FMr</v>
      </c>
      <c r="H2019">
        <v>7</v>
      </c>
      <c r="I2019" s="7">
        <v>673.3</v>
      </c>
      <c r="L2019" s="7">
        <v>505.7</v>
      </c>
      <c r="N2019" s="7">
        <v>235.3</v>
      </c>
      <c r="O2019" s="7">
        <v>176.7</v>
      </c>
    </row>
    <row r="2020" spans="1:18" x14ac:dyDescent="0.2">
      <c r="A2020">
        <v>2019</v>
      </c>
      <c r="B2020" s="1">
        <v>40774</v>
      </c>
      <c r="C2020" t="s">
        <v>24</v>
      </c>
      <c r="D2020" s="7">
        <v>37</v>
      </c>
      <c r="E2020" s="7">
        <v>6</v>
      </c>
      <c r="F2020" s="7">
        <f t="shared" si="31"/>
        <v>6</v>
      </c>
      <c r="G2020" s="7" t="str">
        <f>LOOKUP(H2020,[1]startdates!$A$2:$A$10,[1]startdates!$B$2:$B$10)</f>
        <v>FMr</v>
      </c>
      <c r="H2020">
        <v>7</v>
      </c>
      <c r="I2020" s="7">
        <v>625.20000000000005</v>
      </c>
      <c r="N2020" s="7">
        <v>226.8</v>
      </c>
      <c r="O2020" s="7">
        <v>177.3</v>
      </c>
    </row>
    <row r="2021" spans="1:18" x14ac:dyDescent="0.2">
      <c r="A2021">
        <v>2020</v>
      </c>
      <c r="B2021" s="1">
        <v>40774</v>
      </c>
      <c r="C2021" t="s">
        <v>24</v>
      </c>
      <c r="D2021" s="7">
        <v>37</v>
      </c>
      <c r="E2021" s="7">
        <v>6</v>
      </c>
      <c r="F2021" s="7">
        <f t="shared" si="31"/>
        <v>6</v>
      </c>
      <c r="G2021" s="7" t="str">
        <f>LOOKUP(H2021,[1]startdates!$A$2:$A$10,[1]startdates!$B$2:$B$10)</f>
        <v>FMr</v>
      </c>
      <c r="H2021">
        <v>7</v>
      </c>
      <c r="I2021" s="7">
        <v>739.6</v>
      </c>
      <c r="N2021" s="7">
        <v>267.7</v>
      </c>
      <c r="O2021" s="7">
        <v>198.3</v>
      </c>
    </row>
    <row r="2022" spans="1:18" x14ac:dyDescent="0.2">
      <c r="A2022">
        <v>2021</v>
      </c>
      <c r="B2022" s="1">
        <v>40774</v>
      </c>
      <c r="C2022" t="s">
        <v>24</v>
      </c>
      <c r="D2022" s="7">
        <v>37</v>
      </c>
      <c r="E2022" s="7">
        <v>6</v>
      </c>
      <c r="F2022" s="7">
        <f t="shared" si="31"/>
        <v>6</v>
      </c>
      <c r="G2022" s="7" t="str">
        <f>LOOKUP(H2022,[1]startdates!$A$2:$A$10,[1]startdates!$B$2:$B$10)</f>
        <v>FMr</v>
      </c>
      <c r="H2022">
        <v>7</v>
      </c>
      <c r="N2022" s="7">
        <v>231.2</v>
      </c>
      <c r="O2022" s="7">
        <v>177.3</v>
      </c>
    </row>
    <row r="2023" spans="1:18" x14ac:dyDescent="0.2">
      <c r="A2023">
        <v>2022</v>
      </c>
      <c r="B2023" s="1">
        <v>40774</v>
      </c>
      <c r="C2023" t="s">
        <v>24</v>
      </c>
      <c r="D2023" s="7">
        <v>37</v>
      </c>
      <c r="E2023" s="7">
        <v>6</v>
      </c>
      <c r="F2023" s="7">
        <f t="shared" si="31"/>
        <v>6</v>
      </c>
      <c r="G2023" s="7" t="str">
        <f>LOOKUP(H2023,[1]startdates!$A$2:$A$10,[1]startdates!$B$2:$B$10)</f>
        <v>FMr</v>
      </c>
      <c r="H2023">
        <v>7</v>
      </c>
      <c r="O2023" s="7">
        <v>176.7</v>
      </c>
    </row>
    <row r="2024" spans="1:18" x14ac:dyDescent="0.2">
      <c r="A2024">
        <v>2023</v>
      </c>
      <c r="B2024" s="1">
        <v>40774</v>
      </c>
      <c r="C2024" t="s">
        <v>24</v>
      </c>
      <c r="D2024" s="7">
        <v>37</v>
      </c>
      <c r="E2024" s="7">
        <v>6</v>
      </c>
      <c r="F2024" s="7">
        <f t="shared" si="31"/>
        <v>6</v>
      </c>
      <c r="G2024" s="7" t="str">
        <f>LOOKUP(H2024,[1]startdates!$A$2:$A$10,[1]startdates!$B$2:$B$10)</f>
        <v>C</v>
      </c>
      <c r="H2024">
        <v>8</v>
      </c>
      <c r="I2024" s="7">
        <v>713.5</v>
      </c>
      <c r="J2024" s="7">
        <v>578.4</v>
      </c>
      <c r="K2024" s="7">
        <v>564.5</v>
      </c>
      <c r="L2024" s="7">
        <v>456.6</v>
      </c>
      <c r="M2024" s="7">
        <v>382.7</v>
      </c>
      <c r="N2024" s="7">
        <v>276</v>
      </c>
      <c r="O2024" s="7">
        <v>184.1</v>
      </c>
      <c r="R2024" s="7">
        <v>286.8</v>
      </c>
    </row>
    <row r="2025" spans="1:18" x14ac:dyDescent="0.2">
      <c r="A2025">
        <v>2024</v>
      </c>
      <c r="B2025" s="1">
        <v>40774</v>
      </c>
      <c r="C2025" t="s">
        <v>24</v>
      </c>
      <c r="D2025" s="7">
        <v>37</v>
      </c>
      <c r="E2025" s="7">
        <v>6</v>
      </c>
      <c r="F2025" s="7">
        <f t="shared" ref="F2025:F2088" si="32">WEEKDAY(B2025)</f>
        <v>6</v>
      </c>
      <c r="G2025" s="7" t="str">
        <f>LOOKUP(H2025,[1]startdates!$A$2:$A$10,[1]startdates!$B$2:$B$10)</f>
        <v>C</v>
      </c>
      <c r="H2025">
        <v>8</v>
      </c>
      <c r="I2025" s="7">
        <v>729.1</v>
      </c>
      <c r="K2025" s="7">
        <v>550.29999999999995</v>
      </c>
      <c r="L2025" s="7">
        <v>494.7</v>
      </c>
      <c r="M2025" s="7">
        <v>321.5</v>
      </c>
      <c r="N2025" s="7">
        <v>273.89999999999998</v>
      </c>
      <c r="O2025" s="7">
        <v>162.69999999999999</v>
      </c>
    </row>
    <row r="2026" spans="1:18" x14ac:dyDescent="0.2">
      <c r="A2026">
        <v>2025</v>
      </c>
      <c r="B2026" s="1">
        <v>40774</v>
      </c>
      <c r="C2026" t="s">
        <v>24</v>
      </c>
      <c r="D2026" s="7">
        <v>37</v>
      </c>
      <c r="E2026" s="7">
        <v>6</v>
      </c>
      <c r="F2026" s="7">
        <f t="shared" si="32"/>
        <v>6</v>
      </c>
      <c r="G2026" s="7" t="str">
        <f>LOOKUP(H2026,[1]startdates!$A$2:$A$10,[1]startdates!$B$2:$B$10)</f>
        <v>C</v>
      </c>
      <c r="H2026">
        <v>8</v>
      </c>
      <c r="I2026" s="7">
        <v>801.5</v>
      </c>
      <c r="K2026" s="7">
        <v>527</v>
      </c>
      <c r="L2026" s="7">
        <v>401.8</v>
      </c>
      <c r="M2026" s="7">
        <v>350.7</v>
      </c>
      <c r="N2026" s="7">
        <v>295.39999999999998</v>
      </c>
      <c r="O2026" s="7">
        <v>178.1</v>
      </c>
    </row>
    <row r="2027" spans="1:18" x14ac:dyDescent="0.2">
      <c r="A2027">
        <v>2026</v>
      </c>
      <c r="B2027" s="1">
        <v>40774</v>
      </c>
      <c r="C2027" t="s">
        <v>24</v>
      </c>
      <c r="D2027" s="7">
        <v>37</v>
      </c>
      <c r="E2027" s="7">
        <v>6</v>
      </c>
      <c r="F2027" s="7">
        <f t="shared" si="32"/>
        <v>6</v>
      </c>
      <c r="G2027" s="7" t="str">
        <f>LOOKUP(H2027,[1]startdates!$A$2:$A$10,[1]startdates!$B$2:$B$10)</f>
        <v>C</v>
      </c>
      <c r="H2027">
        <v>8</v>
      </c>
      <c r="I2027" s="7">
        <v>743.9</v>
      </c>
      <c r="K2027" s="7">
        <v>616.5</v>
      </c>
      <c r="L2027" s="7">
        <v>476</v>
      </c>
      <c r="M2027" s="7">
        <v>310.8</v>
      </c>
      <c r="N2027" s="7">
        <v>275.10000000000002</v>
      </c>
      <c r="O2027" s="7">
        <v>187.7</v>
      </c>
    </row>
    <row r="2028" spans="1:18" x14ac:dyDescent="0.2">
      <c r="A2028">
        <v>2027</v>
      </c>
      <c r="B2028" s="1">
        <v>40774</v>
      </c>
      <c r="C2028" t="s">
        <v>24</v>
      </c>
      <c r="D2028" s="7">
        <v>37</v>
      </c>
      <c r="E2028" s="7">
        <v>6</v>
      </c>
      <c r="F2028" s="7">
        <f t="shared" si="32"/>
        <v>6</v>
      </c>
      <c r="G2028" s="7" t="str">
        <f>LOOKUP(H2028,[1]startdates!$A$2:$A$10,[1]startdates!$B$2:$B$10)</f>
        <v>C</v>
      </c>
      <c r="H2028">
        <v>8</v>
      </c>
      <c r="I2028" s="7">
        <v>742.5</v>
      </c>
      <c r="L2028" s="7">
        <v>552.29999999999995</v>
      </c>
      <c r="M2028" s="7">
        <v>385.4</v>
      </c>
      <c r="N2028" s="7">
        <v>260.2</v>
      </c>
      <c r="O2028" s="7">
        <v>168.1</v>
      </c>
    </row>
    <row r="2029" spans="1:18" x14ac:dyDescent="0.2">
      <c r="A2029">
        <v>2028</v>
      </c>
      <c r="B2029" s="1">
        <v>40774</v>
      </c>
      <c r="C2029" t="s">
        <v>24</v>
      </c>
      <c r="D2029" s="7">
        <v>37</v>
      </c>
      <c r="E2029" s="7">
        <v>6</v>
      </c>
      <c r="F2029" s="7">
        <f t="shared" si="32"/>
        <v>6</v>
      </c>
      <c r="G2029" s="7" t="str">
        <f>LOOKUP(H2029,[1]startdates!$A$2:$A$10,[1]startdates!$B$2:$B$10)</f>
        <v>C</v>
      </c>
      <c r="H2029">
        <v>8</v>
      </c>
      <c r="I2029" s="7">
        <v>807.5</v>
      </c>
      <c r="L2029" s="7">
        <v>492.5</v>
      </c>
      <c r="M2029" s="7">
        <v>328.7</v>
      </c>
      <c r="N2029" s="7">
        <v>214.7</v>
      </c>
      <c r="O2029" s="7">
        <v>170.8</v>
      </c>
    </row>
    <row r="2030" spans="1:18" x14ac:dyDescent="0.2">
      <c r="A2030">
        <v>2029</v>
      </c>
      <c r="B2030" s="1">
        <v>40774</v>
      </c>
      <c r="C2030" t="s">
        <v>24</v>
      </c>
      <c r="D2030" s="7">
        <v>37</v>
      </c>
      <c r="E2030" s="7">
        <v>6</v>
      </c>
      <c r="F2030" s="7">
        <f t="shared" si="32"/>
        <v>6</v>
      </c>
      <c r="G2030" s="7" t="str">
        <f>LOOKUP(H2030,[1]startdates!$A$2:$A$10,[1]startdates!$B$2:$B$10)</f>
        <v>C</v>
      </c>
      <c r="H2030">
        <v>8</v>
      </c>
      <c r="I2030" s="7">
        <v>692.7</v>
      </c>
      <c r="L2030" s="7">
        <v>512.20000000000005</v>
      </c>
      <c r="M2030" s="7">
        <v>287.2</v>
      </c>
      <c r="N2030" s="7">
        <v>238.9</v>
      </c>
      <c r="O2030" s="7">
        <v>165.5</v>
      </c>
    </row>
    <row r="2031" spans="1:18" x14ac:dyDescent="0.2">
      <c r="A2031">
        <v>2030</v>
      </c>
      <c r="B2031" s="1">
        <v>40774</v>
      </c>
      <c r="C2031" t="s">
        <v>24</v>
      </c>
      <c r="D2031" s="7">
        <v>37</v>
      </c>
      <c r="E2031" s="7">
        <v>6</v>
      </c>
      <c r="F2031" s="7">
        <f t="shared" si="32"/>
        <v>6</v>
      </c>
      <c r="G2031" s="7" t="str">
        <f>LOOKUP(H2031,[1]startdates!$A$2:$A$10,[1]startdates!$B$2:$B$10)</f>
        <v>C</v>
      </c>
      <c r="H2031">
        <v>8</v>
      </c>
      <c r="I2031" s="7">
        <v>764.8</v>
      </c>
      <c r="L2031" s="7">
        <v>412.2</v>
      </c>
      <c r="M2031" s="7">
        <v>388</v>
      </c>
      <c r="N2031" s="7">
        <v>196.5</v>
      </c>
      <c r="O2031" s="7">
        <v>175</v>
      </c>
    </row>
    <row r="2032" spans="1:18" x14ac:dyDescent="0.2">
      <c r="A2032">
        <v>2031</v>
      </c>
      <c r="B2032" s="1">
        <v>40774</v>
      </c>
      <c r="C2032" t="s">
        <v>24</v>
      </c>
      <c r="D2032" s="7">
        <v>37</v>
      </c>
      <c r="E2032" s="7">
        <v>6</v>
      </c>
      <c r="F2032" s="7">
        <f t="shared" si="32"/>
        <v>6</v>
      </c>
      <c r="G2032" s="7" t="str">
        <f>LOOKUP(H2032,[1]startdates!$A$2:$A$10,[1]startdates!$B$2:$B$10)</f>
        <v>C</v>
      </c>
      <c r="H2032">
        <v>8</v>
      </c>
      <c r="I2032" s="7">
        <v>832.6</v>
      </c>
      <c r="M2032" s="7">
        <v>382.9</v>
      </c>
      <c r="N2032" s="7">
        <v>240.4</v>
      </c>
      <c r="O2032" s="7">
        <v>184.7</v>
      </c>
    </row>
    <row r="2033" spans="1:18" x14ac:dyDescent="0.2">
      <c r="A2033">
        <v>2032</v>
      </c>
      <c r="B2033" s="1">
        <v>40774</v>
      </c>
      <c r="C2033" t="s">
        <v>24</v>
      </c>
      <c r="D2033" s="7">
        <v>37</v>
      </c>
      <c r="E2033" s="7">
        <v>6</v>
      </c>
      <c r="F2033" s="7">
        <f t="shared" si="32"/>
        <v>6</v>
      </c>
      <c r="G2033" s="7" t="str">
        <f>LOOKUP(H2033,[1]startdates!$A$2:$A$10,[1]startdates!$B$2:$B$10)</f>
        <v>C</v>
      </c>
      <c r="H2033">
        <v>8</v>
      </c>
      <c r="M2033" s="7">
        <v>333.9</v>
      </c>
      <c r="N2033" s="7">
        <v>247.4</v>
      </c>
      <c r="O2033" s="7">
        <v>191.2</v>
      </c>
    </row>
    <row r="2034" spans="1:18" x14ac:dyDescent="0.2">
      <c r="A2034">
        <v>2033</v>
      </c>
      <c r="B2034" s="1">
        <v>40774</v>
      </c>
      <c r="C2034" t="s">
        <v>24</v>
      </c>
      <c r="D2034" s="7">
        <v>37</v>
      </c>
      <c r="E2034" s="7">
        <v>6</v>
      </c>
      <c r="F2034" s="7">
        <f t="shared" si="32"/>
        <v>6</v>
      </c>
      <c r="G2034" s="7" t="str">
        <f>LOOKUP(H2034,[1]startdates!$A$2:$A$10,[1]startdates!$B$2:$B$10)</f>
        <v>C</v>
      </c>
      <c r="H2034">
        <v>8</v>
      </c>
      <c r="N2034" s="7">
        <v>237.5</v>
      </c>
      <c r="O2034" s="7">
        <v>169.5</v>
      </c>
    </row>
    <row r="2035" spans="1:18" x14ac:dyDescent="0.2">
      <c r="A2035">
        <v>2034</v>
      </c>
      <c r="B2035" s="1">
        <v>40774</v>
      </c>
      <c r="C2035" t="s">
        <v>24</v>
      </c>
      <c r="D2035" s="7">
        <v>37</v>
      </c>
      <c r="E2035" s="7">
        <v>6</v>
      </c>
      <c r="F2035" s="7">
        <f t="shared" si="32"/>
        <v>6</v>
      </c>
      <c r="G2035" s="7" t="str">
        <f>LOOKUP(H2035,[1]startdates!$A$2:$A$10,[1]startdates!$B$2:$B$10)</f>
        <v>C</v>
      </c>
      <c r="H2035">
        <v>8</v>
      </c>
      <c r="N2035" s="7">
        <v>253.9</v>
      </c>
    </row>
    <row r="2036" spans="1:18" x14ac:dyDescent="0.2">
      <c r="A2036">
        <v>2035</v>
      </c>
      <c r="B2036" s="1">
        <v>40774</v>
      </c>
      <c r="C2036" t="s">
        <v>24</v>
      </c>
      <c r="D2036" s="7">
        <v>37</v>
      </c>
      <c r="E2036" s="7">
        <v>6</v>
      </c>
      <c r="F2036" s="7">
        <f t="shared" si="32"/>
        <v>6</v>
      </c>
      <c r="G2036" s="7" t="str">
        <f>LOOKUP(H2036,[1]startdates!$A$2:$A$10,[1]startdates!$B$2:$B$10)</f>
        <v>C</v>
      </c>
      <c r="H2036">
        <v>8</v>
      </c>
      <c r="N2036" s="7">
        <v>224</v>
      </c>
    </row>
    <row r="2037" spans="1:18" x14ac:dyDescent="0.2">
      <c r="A2037">
        <v>2036</v>
      </c>
      <c r="B2037" s="1">
        <v>40774</v>
      </c>
      <c r="C2037" t="s">
        <v>24</v>
      </c>
      <c r="D2037" s="7">
        <v>37</v>
      </c>
      <c r="E2037" s="7">
        <v>6</v>
      </c>
      <c r="F2037" s="7">
        <f t="shared" si="32"/>
        <v>6</v>
      </c>
      <c r="G2037" s="7" t="str">
        <f>LOOKUP(H2037,[1]startdates!$A$2:$A$10,[1]startdates!$B$2:$B$10)</f>
        <v>FMr</v>
      </c>
      <c r="H2037">
        <v>9</v>
      </c>
      <c r="I2037" s="7">
        <v>770.9</v>
      </c>
      <c r="K2037" s="7">
        <v>571.6</v>
      </c>
      <c r="L2037" s="7">
        <v>414</v>
      </c>
      <c r="M2037" s="7">
        <v>375.5</v>
      </c>
      <c r="N2037" s="7">
        <v>260.3</v>
      </c>
      <c r="O2037" s="7">
        <v>171.3</v>
      </c>
      <c r="R2037" s="7">
        <v>243.8</v>
      </c>
    </row>
    <row r="2038" spans="1:18" x14ac:dyDescent="0.2">
      <c r="A2038">
        <v>2037</v>
      </c>
      <c r="B2038" s="1">
        <v>40774</v>
      </c>
      <c r="C2038" t="s">
        <v>24</v>
      </c>
      <c r="D2038" s="7">
        <v>37</v>
      </c>
      <c r="E2038" s="7">
        <v>6</v>
      </c>
      <c r="F2038" s="7">
        <f t="shared" si="32"/>
        <v>6</v>
      </c>
      <c r="G2038" s="7" t="str">
        <f>LOOKUP(H2038,[1]startdates!$A$2:$A$10,[1]startdates!$B$2:$B$10)</f>
        <v>FMr</v>
      </c>
      <c r="H2038">
        <v>9</v>
      </c>
      <c r="I2038" s="7">
        <v>783.3</v>
      </c>
      <c r="K2038" s="7">
        <v>534.70000000000005</v>
      </c>
      <c r="L2038" s="7">
        <v>426.9</v>
      </c>
      <c r="M2038" s="7">
        <v>371.5</v>
      </c>
      <c r="N2038" s="7">
        <v>218.6</v>
      </c>
      <c r="O2038" s="7">
        <v>163.5</v>
      </c>
      <c r="R2038" s="7">
        <v>294.5</v>
      </c>
    </row>
    <row r="2039" spans="1:18" x14ac:dyDescent="0.2">
      <c r="A2039">
        <v>2038</v>
      </c>
      <c r="B2039" s="1">
        <v>40774</v>
      </c>
      <c r="C2039" t="s">
        <v>24</v>
      </c>
      <c r="D2039" s="7">
        <v>37</v>
      </c>
      <c r="E2039" s="7">
        <v>6</v>
      </c>
      <c r="F2039" s="7">
        <f t="shared" si="32"/>
        <v>6</v>
      </c>
      <c r="G2039" s="7" t="str">
        <f>LOOKUP(H2039,[1]startdates!$A$2:$A$10,[1]startdates!$B$2:$B$10)</f>
        <v>FMr</v>
      </c>
      <c r="H2039">
        <v>9</v>
      </c>
      <c r="I2039" s="7">
        <v>600.4</v>
      </c>
      <c r="K2039" s="7">
        <v>537.1</v>
      </c>
      <c r="L2039" s="7">
        <v>480.7</v>
      </c>
      <c r="M2039" s="7">
        <v>419.3</v>
      </c>
      <c r="N2039" s="7">
        <v>223.6</v>
      </c>
      <c r="O2039" s="7">
        <v>163.5</v>
      </c>
      <c r="R2039" s="7">
        <v>234.4</v>
      </c>
    </row>
    <row r="2040" spans="1:18" x14ac:dyDescent="0.2">
      <c r="A2040">
        <v>2039</v>
      </c>
      <c r="B2040" s="1">
        <v>40774</v>
      </c>
      <c r="C2040" t="s">
        <v>24</v>
      </c>
      <c r="D2040" s="7">
        <v>37</v>
      </c>
      <c r="E2040" s="7">
        <v>6</v>
      </c>
      <c r="F2040" s="7">
        <f t="shared" si="32"/>
        <v>6</v>
      </c>
      <c r="G2040" s="7" t="str">
        <f>LOOKUP(H2040,[1]startdates!$A$2:$A$10,[1]startdates!$B$2:$B$10)</f>
        <v>FMr</v>
      </c>
      <c r="H2040">
        <v>9</v>
      </c>
      <c r="I2040" s="7">
        <v>733.7</v>
      </c>
      <c r="K2040" s="7">
        <v>585.5</v>
      </c>
      <c r="L2040" s="7">
        <v>392.8</v>
      </c>
      <c r="M2040" s="7">
        <v>309.3</v>
      </c>
      <c r="N2040" s="7">
        <v>198.3</v>
      </c>
      <c r="O2040" s="7">
        <v>156.5</v>
      </c>
    </row>
    <row r="2041" spans="1:18" x14ac:dyDescent="0.2">
      <c r="A2041">
        <v>2040</v>
      </c>
      <c r="B2041" s="1">
        <v>40774</v>
      </c>
      <c r="C2041" t="s">
        <v>24</v>
      </c>
      <c r="D2041" s="7">
        <v>37</v>
      </c>
      <c r="E2041" s="7">
        <v>6</v>
      </c>
      <c r="F2041" s="7">
        <f t="shared" si="32"/>
        <v>6</v>
      </c>
      <c r="G2041" s="7" t="str">
        <f>LOOKUP(H2041,[1]startdates!$A$2:$A$10,[1]startdates!$B$2:$B$10)</f>
        <v>FMr</v>
      </c>
      <c r="H2041">
        <v>9</v>
      </c>
      <c r="I2041" s="7">
        <v>775.4</v>
      </c>
      <c r="K2041" s="7">
        <v>568.5</v>
      </c>
      <c r="L2041" s="7">
        <v>421.2</v>
      </c>
      <c r="M2041" s="7">
        <v>343.8</v>
      </c>
      <c r="N2041" s="7">
        <v>213.5</v>
      </c>
      <c r="O2041" s="7">
        <v>186.3</v>
      </c>
    </row>
    <row r="2042" spans="1:18" x14ac:dyDescent="0.2">
      <c r="A2042">
        <v>2041</v>
      </c>
      <c r="B2042" s="1">
        <v>40774</v>
      </c>
      <c r="C2042" t="s">
        <v>24</v>
      </c>
      <c r="D2042" s="7">
        <v>37</v>
      </c>
      <c r="E2042" s="7">
        <v>6</v>
      </c>
      <c r="F2042" s="7">
        <f t="shared" si="32"/>
        <v>6</v>
      </c>
      <c r="G2042" s="7" t="str">
        <f>LOOKUP(H2042,[1]startdates!$A$2:$A$10,[1]startdates!$B$2:$B$10)</f>
        <v>FMr</v>
      </c>
      <c r="H2042">
        <v>9</v>
      </c>
      <c r="I2042" s="7">
        <v>735.8</v>
      </c>
      <c r="K2042" s="7">
        <v>536.29999999999995</v>
      </c>
      <c r="M2042" s="7">
        <v>376.2</v>
      </c>
      <c r="N2042" s="7">
        <v>187.7</v>
      </c>
      <c r="O2042" s="7">
        <v>195</v>
      </c>
    </row>
    <row r="2043" spans="1:18" x14ac:dyDescent="0.2">
      <c r="A2043">
        <v>2042</v>
      </c>
      <c r="B2043" s="1">
        <v>40774</v>
      </c>
      <c r="C2043" t="s">
        <v>24</v>
      </c>
      <c r="D2043" s="7">
        <v>37</v>
      </c>
      <c r="E2043" s="7">
        <v>6</v>
      </c>
      <c r="F2043" s="7">
        <f t="shared" si="32"/>
        <v>6</v>
      </c>
      <c r="G2043" s="7" t="str">
        <f>LOOKUP(H2043,[1]startdates!$A$2:$A$10,[1]startdates!$B$2:$B$10)</f>
        <v>FMr</v>
      </c>
      <c r="H2043">
        <v>9</v>
      </c>
      <c r="I2043" s="7">
        <v>770.9</v>
      </c>
      <c r="K2043" s="7">
        <v>596.9</v>
      </c>
      <c r="M2043" s="7">
        <v>329.3</v>
      </c>
      <c r="N2043" s="7">
        <v>271.60000000000002</v>
      </c>
      <c r="O2043" s="7">
        <v>187.7</v>
      </c>
    </row>
    <row r="2044" spans="1:18" x14ac:dyDescent="0.2">
      <c r="A2044">
        <v>2043</v>
      </c>
      <c r="B2044" s="1">
        <v>40774</v>
      </c>
      <c r="C2044" t="s">
        <v>24</v>
      </c>
      <c r="D2044" s="7">
        <v>37</v>
      </c>
      <c r="E2044" s="7">
        <v>6</v>
      </c>
      <c r="F2044" s="7">
        <f t="shared" si="32"/>
        <v>6</v>
      </c>
      <c r="G2044" s="7" t="str">
        <f>LOOKUP(H2044,[1]startdates!$A$2:$A$10,[1]startdates!$B$2:$B$10)</f>
        <v>FMr</v>
      </c>
      <c r="H2044">
        <v>9</v>
      </c>
      <c r="K2044" s="7">
        <v>612.6</v>
      </c>
      <c r="M2044" s="7">
        <v>365.6</v>
      </c>
      <c r="N2044" s="7">
        <v>196.5</v>
      </c>
      <c r="O2044" s="7">
        <v>164.7</v>
      </c>
    </row>
    <row r="2045" spans="1:18" x14ac:dyDescent="0.2">
      <c r="A2045">
        <v>2044</v>
      </c>
      <c r="B2045" s="1">
        <v>40774</v>
      </c>
      <c r="C2045" t="s">
        <v>24</v>
      </c>
      <c r="D2045" s="7">
        <v>37</v>
      </c>
      <c r="E2045" s="7">
        <v>6</v>
      </c>
      <c r="F2045" s="7">
        <f t="shared" si="32"/>
        <v>6</v>
      </c>
      <c r="G2045" s="7" t="str">
        <f>LOOKUP(H2045,[1]startdates!$A$2:$A$10,[1]startdates!$B$2:$B$10)</f>
        <v>FMr</v>
      </c>
      <c r="H2045">
        <v>9</v>
      </c>
      <c r="K2045" s="7">
        <v>530.4</v>
      </c>
      <c r="M2045" s="7">
        <v>374.9</v>
      </c>
      <c r="N2045" s="7">
        <v>202.2</v>
      </c>
      <c r="O2045" s="7">
        <v>184.5</v>
      </c>
    </row>
    <row r="2046" spans="1:18" x14ac:dyDescent="0.2">
      <c r="A2046">
        <v>2045</v>
      </c>
      <c r="B2046" s="1">
        <v>40774</v>
      </c>
      <c r="C2046" t="s">
        <v>24</v>
      </c>
      <c r="D2046" s="7">
        <v>37</v>
      </c>
      <c r="E2046" s="7">
        <v>6</v>
      </c>
      <c r="F2046" s="7">
        <f t="shared" si="32"/>
        <v>6</v>
      </c>
      <c r="G2046" s="7" t="str">
        <f>LOOKUP(H2046,[1]startdates!$A$2:$A$10,[1]startdates!$B$2:$B$10)</f>
        <v>FMr</v>
      </c>
      <c r="H2046">
        <v>9</v>
      </c>
      <c r="M2046" s="7">
        <v>324.7</v>
      </c>
      <c r="N2046" s="7">
        <v>237.5</v>
      </c>
      <c r="O2046" s="7">
        <v>173.8</v>
      </c>
    </row>
    <row r="2047" spans="1:18" x14ac:dyDescent="0.2">
      <c r="A2047">
        <v>2046</v>
      </c>
      <c r="B2047" s="1">
        <v>40774</v>
      </c>
      <c r="C2047" t="s">
        <v>24</v>
      </c>
      <c r="D2047" s="7">
        <v>37</v>
      </c>
      <c r="E2047" s="7">
        <v>6</v>
      </c>
      <c r="F2047" s="7">
        <f t="shared" si="32"/>
        <v>6</v>
      </c>
      <c r="G2047" s="7" t="str">
        <f>LOOKUP(H2047,[1]startdates!$A$2:$A$10,[1]startdates!$B$2:$B$10)</f>
        <v>FMr</v>
      </c>
      <c r="H2047">
        <v>9</v>
      </c>
      <c r="N2047" s="7">
        <v>253.9</v>
      </c>
      <c r="O2047" s="7">
        <v>186.3</v>
      </c>
    </row>
    <row r="2048" spans="1:18" x14ac:dyDescent="0.2">
      <c r="A2048">
        <v>2047</v>
      </c>
      <c r="B2048" s="1">
        <v>40774</v>
      </c>
      <c r="C2048" t="s">
        <v>24</v>
      </c>
      <c r="D2048" s="7">
        <v>37</v>
      </c>
      <c r="E2048" s="7">
        <v>6</v>
      </c>
      <c r="F2048" s="7">
        <f t="shared" si="32"/>
        <v>6</v>
      </c>
      <c r="G2048" s="7" t="str">
        <f>LOOKUP(H2048,[1]startdates!$A$2:$A$10,[1]startdates!$B$2:$B$10)</f>
        <v>FMr</v>
      </c>
      <c r="H2048">
        <v>9</v>
      </c>
      <c r="N2048" s="7">
        <v>230.5</v>
      </c>
    </row>
    <row r="2049" spans="1:19" x14ac:dyDescent="0.2">
      <c r="A2049">
        <v>2048</v>
      </c>
      <c r="B2049" s="1">
        <v>40777</v>
      </c>
      <c r="C2049" t="s">
        <v>24</v>
      </c>
      <c r="D2049" s="7">
        <v>40</v>
      </c>
      <c r="E2049" s="7">
        <v>7</v>
      </c>
      <c r="F2049" s="7">
        <f t="shared" si="32"/>
        <v>2</v>
      </c>
      <c r="G2049" s="7" t="str">
        <f>LOOKUP(H2049,[1]startdates!$A$2:$A$10,[1]startdates!$B$2:$B$10)</f>
        <v>SMr</v>
      </c>
      <c r="H2049">
        <v>1</v>
      </c>
      <c r="I2049" s="7">
        <v>600.1</v>
      </c>
      <c r="J2049" s="7">
        <v>642.1</v>
      </c>
      <c r="K2049" s="7">
        <v>639.4</v>
      </c>
      <c r="L2049" s="7">
        <v>459.3</v>
      </c>
      <c r="M2049" s="7">
        <v>365.6</v>
      </c>
      <c r="N2049" s="7">
        <v>237.1</v>
      </c>
      <c r="O2049" s="7">
        <v>175.6</v>
      </c>
      <c r="S2049" s="7">
        <v>303</v>
      </c>
    </row>
    <row r="2050" spans="1:19" x14ac:dyDescent="0.2">
      <c r="A2050">
        <v>2049</v>
      </c>
      <c r="B2050" s="1">
        <v>40777</v>
      </c>
      <c r="C2050" t="s">
        <v>24</v>
      </c>
      <c r="D2050" s="7">
        <v>40</v>
      </c>
      <c r="E2050" s="7">
        <v>7</v>
      </c>
      <c r="F2050" s="7">
        <f t="shared" si="32"/>
        <v>2</v>
      </c>
      <c r="G2050" s="7" t="str">
        <f>LOOKUP(H2050,[1]startdates!$A$2:$A$10,[1]startdates!$B$2:$B$10)</f>
        <v>SMr</v>
      </c>
      <c r="H2050">
        <v>1</v>
      </c>
      <c r="I2050" s="7">
        <v>722.7</v>
      </c>
      <c r="J2050" s="7">
        <v>488.9</v>
      </c>
      <c r="K2050" s="7">
        <v>505.3</v>
      </c>
      <c r="L2050" s="7">
        <v>559.79999999999995</v>
      </c>
      <c r="M2050" s="7">
        <v>324.3</v>
      </c>
      <c r="N2050" s="7">
        <v>251.3</v>
      </c>
      <c r="O2050" s="7">
        <v>148</v>
      </c>
    </row>
    <row r="2051" spans="1:19" x14ac:dyDescent="0.2">
      <c r="A2051">
        <v>2050</v>
      </c>
      <c r="B2051" s="1">
        <v>40777</v>
      </c>
      <c r="C2051" t="s">
        <v>24</v>
      </c>
      <c r="D2051" s="7">
        <v>40</v>
      </c>
      <c r="E2051" s="7">
        <v>7</v>
      </c>
      <c r="F2051" s="7">
        <f t="shared" si="32"/>
        <v>2</v>
      </c>
      <c r="G2051" s="7" t="str">
        <f>LOOKUP(H2051,[1]startdates!$A$2:$A$10,[1]startdates!$B$2:$B$10)</f>
        <v>SMr</v>
      </c>
      <c r="H2051">
        <v>1</v>
      </c>
      <c r="I2051" s="7">
        <v>762.7</v>
      </c>
      <c r="K2051" s="7">
        <v>595.1</v>
      </c>
      <c r="L2051" s="7">
        <v>435</v>
      </c>
      <c r="M2051" s="7">
        <v>377.5</v>
      </c>
      <c r="N2051" s="7">
        <v>196.5</v>
      </c>
      <c r="O2051" s="7">
        <v>160.80000000000001</v>
      </c>
    </row>
    <row r="2052" spans="1:19" x14ac:dyDescent="0.2">
      <c r="A2052">
        <v>2051</v>
      </c>
      <c r="B2052" s="1">
        <v>40777</v>
      </c>
      <c r="C2052" t="s">
        <v>24</v>
      </c>
      <c r="D2052" s="7">
        <v>40</v>
      </c>
      <c r="E2052" s="7">
        <v>7</v>
      </c>
      <c r="F2052" s="7">
        <f t="shared" si="32"/>
        <v>2</v>
      </c>
      <c r="G2052" s="7" t="str">
        <f>LOOKUP(H2052,[1]startdates!$A$2:$A$10,[1]startdates!$B$2:$B$10)</f>
        <v>SMr</v>
      </c>
      <c r="H2052">
        <v>1</v>
      </c>
      <c r="I2052" s="7">
        <v>734.9</v>
      </c>
      <c r="K2052" s="7">
        <v>520</v>
      </c>
      <c r="M2052" s="7">
        <v>411.6</v>
      </c>
      <c r="N2052" s="7">
        <v>210.6</v>
      </c>
      <c r="O2052" s="7">
        <v>160.4</v>
      </c>
    </row>
    <row r="2053" spans="1:19" x14ac:dyDescent="0.2">
      <c r="A2053">
        <v>2052</v>
      </c>
      <c r="B2053" s="1">
        <v>40777</v>
      </c>
      <c r="C2053" t="s">
        <v>24</v>
      </c>
      <c r="D2053" s="7">
        <v>40</v>
      </c>
      <c r="E2053" s="7">
        <v>7</v>
      </c>
      <c r="F2053" s="7">
        <f t="shared" si="32"/>
        <v>2</v>
      </c>
      <c r="G2053" s="7" t="str">
        <f>LOOKUP(H2053,[1]startdates!$A$2:$A$10,[1]startdates!$B$2:$B$10)</f>
        <v>SMr</v>
      </c>
      <c r="H2053">
        <v>1</v>
      </c>
      <c r="I2053" s="7">
        <v>679.1</v>
      </c>
      <c r="K2053" s="7">
        <v>603.9</v>
      </c>
      <c r="M2053" s="7">
        <v>282.89999999999998</v>
      </c>
      <c r="N2053" s="7">
        <v>281.8</v>
      </c>
      <c r="O2053" s="7">
        <v>171.6</v>
      </c>
    </row>
    <row r="2054" spans="1:19" x14ac:dyDescent="0.2">
      <c r="A2054">
        <v>2053</v>
      </c>
      <c r="B2054" s="1">
        <v>40777</v>
      </c>
      <c r="C2054" t="s">
        <v>24</v>
      </c>
      <c r="D2054" s="7">
        <v>40</v>
      </c>
      <c r="E2054" s="7">
        <v>7</v>
      </c>
      <c r="F2054" s="7">
        <f t="shared" si="32"/>
        <v>2</v>
      </c>
      <c r="G2054" s="7" t="str">
        <f>LOOKUP(H2054,[1]startdates!$A$2:$A$10,[1]startdates!$B$2:$B$10)</f>
        <v>SMr</v>
      </c>
      <c r="H2054">
        <v>1</v>
      </c>
      <c r="I2054" s="7">
        <v>784.7</v>
      </c>
      <c r="M2054" s="7">
        <v>340.4</v>
      </c>
      <c r="N2054" s="7">
        <v>208.4</v>
      </c>
      <c r="O2054" s="7">
        <v>160.4</v>
      </c>
    </row>
    <row r="2055" spans="1:19" x14ac:dyDescent="0.2">
      <c r="A2055">
        <v>2054</v>
      </c>
      <c r="B2055" s="1">
        <v>40777</v>
      </c>
      <c r="C2055" t="s">
        <v>24</v>
      </c>
      <c r="D2055" s="7">
        <v>40</v>
      </c>
      <c r="E2055" s="7">
        <v>7</v>
      </c>
      <c r="F2055" s="7">
        <f t="shared" si="32"/>
        <v>2</v>
      </c>
      <c r="G2055" s="7" t="str">
        <f>LOOKUP(H2055,[1]startdates!$A$2:$A$10,[1]startdates!$B$2:$B$10)</f>
        <v>SMr</v>
      </c>
      <c r="H2055">
        <v>1</v>
      </c>
      <c r="I2055" s="7">
        <v>609.20000000000005</v>
      </c>
      <c r="M2055" s="7">
        <v>327</v>
      </c>
      <c r="N2055" s="7">
        <v>209.2</v>
      </c>
      <c r="O2055" s="7">
        <v>186.3</v>
      </c>
    </row>
    <row r="2056" spans="1:19" x14ac:dyDescent="0.2">
      <c r="A2056">
        <v>2055</v>
      </c>
      <c r="B2056" s="1">
        <v>40777</v>
      </c>
      <c r="C2056" t="s">
        <v>24</v>
      </c>
      <c r="D2056" s="7">
        <v>40</v>
      </c>
      <c r="E2056" s="7">
        <v>7</v>
      </c>
      <c r="F2056" s="7">
        <f t="shared" si="32"/>
        <v>2</v>
      </c>
      <c r="G2056" s="7" t="str">
        <f>LOOKUP(H2056,[1]startdates!$A$2:$A$10,[1]startdates!$B$2:$B$10)</f>
        <v>SMr</v>
      </c>
      <c r="H2056">
        <v>1</v>
      </c>
      <c r="I2056" s="7">
        <v>667.6</v>
      </c>
      <c r="M2056" s="7">
        <v>275.89999999999998</v>
      </c>
      <c r="N2056" s="7">
        <v>183.4</v>
      </c>
      <c r="O2056" s="7">
        <v>182.8</v>
      </c>
    </row>
    <row r="2057" spans="1:19" x14ac:dyDescent="0.2">
      <c r="A2057">
        <v>2056</v>
      </c>
      <c r="B2057" s="1">
        <v>40777</v>
      </c>
      <c r="C2057" t="s">
        <v>24</v>
      </c>
      <c r="D2057" s="7">
        <v>40</v>
      </c>
      <c r="E2057" s="7">
        <v>7</v>
      </c>
      <c r="F2057" s="7">
        <f t="shared" si="32"/>
        <v>2</v>
      </c>
      <c r="G2057" s="7" t="str">
        <f>LOOKUP(H2057,[1]startdates!$A$2:$A$10,[1]startdates!$B$2:$B$10)</f>
        <v>SMr</v>
      </c>
      <c r="H2057">
        <v>1</v>
      </c>
      <c r="I2057" s="7">
        <v>669.1</v>
      </c>
      <c r="N2057" s="7">
        <v>196.7</v>
      </c>
      <c r="O2057" s="7">
        <v>150.19999999999999</v>
      </c>
    </row>
    <row r="2058" spans="1:19" x14ac:dyDescent="0.2">
      <c r="A2058">
        <v>2057</v>
      </c>
      <c r="B2058" s="1">
        <v>40777</v>
      </c>
      <c r="C2058" t="s">
        <v>24</v>
      </c>
      <c r="D2058" s="7">
        <v>40</v>
      </c>
      <c r="E2058" s="7">
        <v>7</v>
      </c>
      <c r="F2058" s="7">
        <f t="shared" si="32"/>
        <v>2</v>
      </c>
      <c r="G2058" s="7" t="str">
        <f>LOOKUP(H2058,[1]startdates!$A$2:$A$10,[1]startdates!$B$2:$B$10)</f>
        <v>SMr</v>
      </c>
      <c r="H2058">
        <v>1</v>
      </c>
      <c r="I2058" s="7">
        <v>728.7</v>
      </c>
      <c r="N2058" s="7">
        <v>226.1</v>
      </c>
    </row>
    <row r="2059" spans="1:19" x14ac:dyDescent="0.2">
      <c r="A2059">
        <v>2058</v>
      </c>
      <c r="B2059" s="1">
        <v>40777</v>
      </c>
      <c r="C2059" t="s">
        <v>24</v>
      </c>
      <c r="D2059" s="7">
        <v>40</v>
      </c>
      <c r="E2059" s="7">
        <v>7</v>
      </c>
      <c r="F2059" s="7">
        <f t="shared" si="32"/>
        <v>2</v>
      </c>
      <c r="G2059" s="7" t="str">
        <f>LOOKUP(H2059,[1]startdates!$A$2:$A$10,[1]startdates!$B$2:$B$10)</f>
        <v>SMr</v>
      </c>
      <c r="H2059">
        <v>1</v>
      </c>
      <c r="I2059" s="7">
        <v>600</v>
      </c>
      <c r="N2059" s="7">
        <v>196</v>
      </c>
    </row>
    <row r="2060" spans="1:19" x14ac:dyDescent="0.2">
      <c r="A2060">
        <v>2059</v>
      </c>
      <c r="B2060" s="1">
        <v>40777</v>
      </c>
      <c r="C2060" t="s">
        <v>24</v>
      </c>
      <c r="D2060" s="7">
        <v>40</v>
      </c>
      <c r="E2060" s="7">
        <v>7</v>
      </c>
      <c r="F2060" s="7">
        <f t="shared" si="32"/>
        <v>2</v>
      </c>
      <c r="G2060" s="7" t="str">
        <f>LOOKUP(H2060,[1]startdates!$A$2:$A$10,[1]startdates!$B$2:$B$10)</f>
        <v>SMr</v>
      </c>
      <c r="H2060">
        <v>1</v>
      </c>
      <c r="I2060" s="7">
        <v>675.5</v>
      </c>
      <c r="N2060" s="7">
        <v>190</v>
      </c>
    </row>
    <row r="2061" spans="1:19" x14ac:dyDescent="0.2">
      <c r="A2061">
        <v>2060</v>
      </c>
      <c r="B2061" s="1">
        <v>40777</v>
      </c>
      <c r="C2061" t="s">
        <v>24</v>
      </c>
      <c r="D2061" s="7">
        <v>40</v>
      </c>
      <c r="E2061" s="7">
        <v>7</v>
      </c>
      <c r="F2061" s="7">
        <f t="shared" si="32"/>
        <v>2</v>
      </c>
      <c r="G2061" s="7" t="str">
        <f>LOOKUP(H2061,[1]startdates!$A$2:$A$10,[1]startdates!$B$2:$B$10)</f>
        <v>SMr</v>
      </c>
      <c r="H2061">
        <v>1</v>
      </c>
      <c r="I2061" s="7">
        <v>821.8</v>
      </c>
      <c r="N2061" s="7">
        <v>252</v>
      </c>
    </row>
    <row r="2062" spans="1:19" x14ac:dyDescent="0.2">
      <c r="A2062">
        <v>2061</v>
      </c>
      <c r="B2062" s="1">
        <v>40777</v>
      </c>
      <c r="C2062" t="s">
        <v>24</v>
      </c>
      <c r="D2062" s="7">
        <v>40</v>
      </c>
      <c r="E2062" s="7">
        <v>7</v>
      </c>
      <c r="F2062" s="7">
        <f t="shared" si="32"/>
        <v>2</v>
      </c>
      <c r="G2062" s="7" t="str">
        <f>LOOKUP(H2062,[1]startdates!$A$2:$A$10,[1]startdates!$B$2:$B$10)</f>
        <v>SMr</v>
      </c>
      <c r="H2062">
        <v>1</v>
      </c>
      <c r="I2062" s="7">
        <v>718</v>
      </c>
      <c r="N2062" s="7">
        <v>198.8</v>
      </c>
    </row>
    <row r="2063" spans="1:19" x14ac:dyDescent="0.2">
      <c r="A2063">
        <v>2062</v>
      </c>
      <c r="B2063" s="1">
        <v>40777</v>
      </c>
      <c r="C2063" t="s">
        <v>24</v>
      </c>
      <c r="D2063" s="7">
        <v>40</v>
      </c>
      <c r="E2063" s="7">
        <v>7</v>
      </c>
      <c r="F2063" s="7">
        <f t="shared" si="32"/>
        <v>2</v>
      </c>
      <c r="G2063" s="7" t="str">
        <f>LOOKUP(H2063,[1]startdates!$A$2:$A$10,[1]startdates!$B$2:$B$10)</f>
        <v>SMr</v>
      </c>
      <c r="H2063">
        <v>1</v>
      </c>
      <c r="N2063" s="7">
        <v>216.2</v>
      </c>
    </row>
    <row r="2064" spans="1:19" x14ac:dyDescent="0.2">
      <c r="A2064">
        <v>2063</v>
      </c>
      <c r="B2064" s="1">
        <v>40777</v>
      </c>
      <c r="C2064" t="s">
        <v>24</v>
      </c>
      <c r="D2064" s="7">
        <v>40</v>
      </c>
      <c r="E2064" s="7">
        <v>7</v>
      </c>
      <c r="F2064" s="7">
        <f t="shared" si="32"/>
        <v>2</v>
      </c>
      <c r="G2064" s="7" t="str">
        <f>LOOKUP(H2064,[1]startdates!$A$2:$A$10,[1]startdates!$B$2:$B$10)</f>
        <v>SMr</v>
      </c>
      <c r="H2064">
        <v>1</v>
      </c>
      <c r="N2064" s="7">
        <v>207.8</v>
      </c>
    </row>
    <row r="2065" spans="1:19" x14ac:dyDescent="0.2">
      <c r="A2065">
        <v>2064</v>
      </c>
      <c r="B2065" s="1">
        <v>40777</v>
      </c>
      <c r="C2065" t="s">
        <v>24</v>
      </c>
      <c r="D2065" s="7">
        <v>40</v>
      </c>
      <c r="E2065" s="7">
        <v>7</v>
      </c>
      <c r="F2065" s="7">
        <f t="shared" si="32"/>
        <v>2</v>
      </c>
      <c r="G2065" s="7" t="str">
        <f>LOOKUP(H2065,[1]startdates!$A$2:$A$10,[1]startdates!$B$2:$B$10)</f>
        <v>SMr</v>
      </c>
      <c r="H2065">
        <v>1</v>
      </c>
      <c r="N2065" s="7">
        <v>234.8</v>
      </c>
    </row>
    <row r="2066" spans="1:19" x14ac:dyDescent="0.2">
      <c r="A2066">
        <v>2065</v>
      </c>
      <c r="B2066" s="1">
        <v>40777</v>
      </c>
      <c r="C2066" t="s">
        <v>24</v>
      </c>
      <c r="D2066" s="7">
        <v>40</v>
      </c>
      <c r="E2066" s="7">
        <v>7</v>
      </c>
      <c r="F2066" s="7">
        <f t="shared" si="32"/>
        <v>2</v>
      </c>
      <c r="G2066" s="7" t="str">
        <f>LOOKUP(H2066,[1]startdates!$A$2:$A$10,[1]startdates!$B$2:$B$10)</f>
        <v>SMr</v>
      </c>
      <c r="H2066">
        <v>2</v>
      </c>
      <c r="I2066" s="7">
        <v>709.7</v>
      </c>
      <c r="J2066" s="7">
        <v>583.5</v>
      </c>
      <c r="K2066" s="7">
        <v>656.4</v>
      </c>
      <c r="L2066" s="7">
        <v>433.7</v>
      </c>
      <c r="M2066" s="7">
        <v>333</v>
      </c>
      <c r="N2066" s="7">
        <v>257.3</v>
      </c>
      <c r="O2066" s="7">
        <v>146.19999999999999</v>
      </c>
      <c r="Q2066" s="7">
        <v>400.6</v>
      </c>
      <c r="R2066" s="7">
        <v>282.89999999999998</v>
      </c>
    </row>
    <row r="2067" spans="1:19" x14ac:dyDescent="0.2">
      <c r="A2067">
        <v>2066</v>
      </c>
      <c r="B2067" s="1">
        <v>40777</v>
      </c>
      <c r="C2067" t="s">
        <v>24</v>
      </c>
      <c r="D2067" s="7">
        <v>40</v>
      </c>
      <c r="E2067" s="7">
        <v>7</v>
      </c>
      <c r="F2067" s="7">
        <f t="shared" si="32"/>
        <v>2</v>
      </c>
      <c r="G2067" s="7" t="str">
        <f>LOOKUP(H2067,[1]startdates!$A$2:$A$10,[1]startdates!$B$2:$B$10)</f>
        <v>SMr</v>
      </c>
      <c r="H2067">
        <v>2</v>
      </c>
      <c r="I2067" s="7">
        <v>731.2</v>
      </c>
      <c r="J2067" s="7">
        <v>502</v>
      </c>
      <c r="K2067" s="7">
        <v>519.1</v>
      </c>
      <c r="L2067" s="7">
        <v>488</v>
      </c>
      <c r="M2067" s="7">
        <v>331.4</v>
      </c>
      <c r="N2067" s="7">
        <v>229.6</v>
      </c>
      <c r="O2067" s="7">
        <v>177.3</v>
      </c>
    </row>
    <row r="2068" spans="1:19" x14ac:dyDescent="0.2">
      <c r="A2068">
        <v>2067</v>
      </c>
      <c r="B2068" s="1">
        <v>40777</v>
      </c>
      <c r="C2068" t="s">
        <v>24</v>
      </c>
      <c r="D2068" s="7">
        <v>40</v>
      </c>
      <c r="E2068" s="7">
        <v>7</v>
      </c>
      <c r="F2068" s="7">
        <f t="shared" si="32"/>
        <v>2</v>
      </c>
      <c r="G2068" s="7" t="str">
        <f>LOOKUP(H2068,[1]startdates!$A$2:$A$10,[1]startdates!$B$2:$B$10)</f>
        <v>SMr</v>
      </c>
      <c r="H2068">
        <v>2</v>
      </c>
      <c r="I2068" s="7">
        <v>790.1</v>
      </c>
      <c r="K2068" s="7">
        <v>633.20000000000005</v>
      </c>
      <c r="L2068" s="7">
        <v>433.1</v>
      </c>
      <c r="M2068" s="7">
        <v>332.1</v>
      </c>
      <c r="N2068" s="7">
        <v>205.5</v>
      </c>
      <c r="O2068" s="7">
        <v>150.19999999999999</v>
      </c>
    </row>
    <row r="2069" spans="1:19" x14ac:dyDescent="0.2">
      <c r="A2069">
        <v>2068</v>
      </c>
      <c r="B2069" s="1">
        <v>40777</v>
      </c>
      <c r="C2069" t="s">
        <v>24</v>
      </c>
      <c r="D2069" s="7">
        <v>40</v>
      </c>
      <c r="E2069" s="7">
        <v>7</v>
      </c>
      <c r="F2069" s="7">
        <f t="shared" si="32"/>
        <v>2</v>
      </c>
      <c r="G2069" s="7" t="str">
        <f>LOOKUP(H2069,[1]startdates!$A$2:$A$10,[1]startdates!$B$2:$B$10)</f>
        <v>SMr</v>
      </c>
      <c r="H2069">
        <v>2</v>
      </c>
      <c r="I2069" s="7">
        <v>673.9</v>
      </c>
      <c r="K2069" s="7">
        <v>515.5</v>
      </c>
      <c r="L2069" s="7">
        <v>434.9</v>
      </c>
      <c r="M2069" s="7">
        <v>326.2</v>
      </c>
      <c r="N2069" s="7">
        <v>257</v>
      </c>
      <c r="O2069" s="7">
        <v>163.5</v>
      </c>
    </row>
    <row r="2070" spans="1:19" x14ac:dyDescent="0.2">
      <c r="A2070">
        <v>2069</v>
      </c>
      <c r="B2070" s="1">
        <v>40777</v>
      </c>
      <c r="C2070" t="s">
        <v>24</v>
      </c>
      <c r="D2070" s="7">
        <v>40</v>
      </c>
      <c r="E2070" s="7">
        <v>7</v>
      </c>
      <c r="F2070" s="7">
        <f t="shared" si="32"/>
        <v>2</v>
      </c>
      <c r="G2070" s="7" t="str">
        <f>LOOKUP(H2070,[1]startdates!$A$2:$A$10,[1]startdates!$B$2:$B$10)</f>
        <v>SMr</v>
      </c>
      <c r="H2070">
        <v>2</v>
      </c>
      <c r="I2070" s="7">
        <v>678.3</v>
      </c>
      <c r="K2070" s="7">
        <v>582.6</v>
      </c>
      <c r="L2070" s="7">
        <v>477.5</v>
      </c>
      <c r="M2070" s="7">
        <v>319.7</v>
      </c>
      <c r="N2070" s="7">
        <v>184.1</v>
      </c>
      <c r="O2070" s="7">
        <v>177.9</v>
      </c>
    </row>
    <row r="2071" spans="1:19" x14ac:dyDescent="0.2">
      <c r="A2071">
        <v>2070</v>
      </c>
      <c r="B2071" s="1">
        <v>40777</v>
      </c>
      <c r="C2071" t="s">
        <v>24</v>
      </c>
      <c r="D2071" s="7">
        <v>40</v>
      </c>
      <c r="E2071" s="7">
        <v>7</v>
      </c>
      <c r="F2071" s="7">
        <f t="shared" si="32"/>
        <v>2</v>
      </c>
      <c r="G2071" s="7" t="str">
        <f>LOOKUP(H2071,[1]startdates!$A$2:$A$10,[1]startdates!$B$2:$B$10)</f>
        <v>SMr</v>
      </c>
      <c r="H2071">
        <v>2</v>
      </c>
      <c r="I2071" s="7">
        <v>647.5</v>
      </c>
      <c r="K2071" s="7">
        <v>596.1</v>
      </c>
      <c r="L2071" s="7">
        <v>418.9</v>
      </c>
      <c r="M2071" s="7">
        <v>326.10000000000002</v>
      </c>
      <c r="N2071" s="7">
        <v>203.7</v>
      </c>
      <c r="O2071" s="7">
        <v>156.5</v>
      </c>
    </row>
    <row r="2072" spans="1:19" x14ac:dyDescent="0.2">
      <c r="A2072">
        <v>2071</v>
      </c>
      <c r="B2072" s="1">
        <v>40777</v>
      </c>
      <c r="C2072" t="s">
        <v>24</v>
      </c>
      <c r="D2072" s="7">
        <v>40</v>
      </c>
      <c r="E2072" s="7">
        <v>7</v>
      </c>
      <c r="F2072" s="7">
        <f t="shared" si="32"/>
        <v>2</v>
      </c>
      <c r="G2072" s="7" t="str">
        <f>LOOKUP(H2072,[1]startdates!$A$2:$A$10,[1]startdates!$B$2:$B$10)</f>
        <v>SMr</v>
      </c>
      <c r="H2072">
        <v>2</v>
      </c>
      <c r="I2072" s="7">
        <v>640.4</v>
      </c>
      <c r="M2072" s="7">
        <v>305.60000000000002</v>
      </c>
      <c r="N2072" s="7">
        <v>240</v>
      </c>
      <c r="O2072" s="7">
        <v>175.6</v>
      </c>
    </row>
    <row r="2073" spans="1:19" x14ac:dyDescent="0.2">
      <c r="A2073">
        <v>2072</v>
      </c>
      <c r="B2073" s="1">
        <v>40777</v>
      </c>
      <c r="C2073" t="s">
        <v>24</v>
      </c>
      <c r="D2073" s="7">
        <v>40</v>
      </c>
      <c r="E2073" s="7">
        <v>7</v>
      </c>
      <c r="F2073" s="7">
        <f t="shared" si="32"/>
        <v>2</v>
      </c>
      <c r="G2073" s="7" t="str">
        <f>LOOKUP(H2073,[1]startdates!$A$2:$A$10,[1]startdates!$B$2:$B$10)</f>
        <v>SMr</v>
      </c>
      <c r="H2073">
        <v>2</v>
      </c>
      <c r="I2073" s="7">
        <v>772.3</v>
      </c>
      <c r="M2073" s="7">
        <v>334.9</v>
      </c>
      <c r="N2073" s="7">
        <v>276.89999999999998</v>
      </c>
      <c r="O2073" s="7">
        <v>176.7</v>
      </c>
    </row>
    <row r="2074" spans="1:19" x14ac:dyDescent="0.2">
      <c r="A2074">
        <v>2073</v>
      </c>
      <c r="B2074" s="1">
        <v>40777</v>
      </c>
      <c r="C2074" t="s">
        <v>24</v>
      </c>
      <c r="D2074" s="7">
        <v>40</v>
      </c>
      <c r="E2074" s="7">
        <v>7</v>
      </c>
      <c r="F2074" s="7">
        <f t="shared" si="32"/>
        <v>2</v>
      </c>
      <c r="G2074" s="7" t="str">
        <f>LOOKUP(H2074,[1]startdates!$A$2:$A$10,[1]startdates!$B$2:$B$10)</f>
        <v>SMr</v>
      </c>
      <c r="H2074">
        <v>2</v>
      </c>
      <c r="M2074" s="7">
        <v>330</v>
      </c>
      <c r="N2074" s="7">
        <v>215.7</v>
      </c>
      <c r="O2074" s="7">
        <v>169.4</v>
      </c>
    </row>
    <row r="2075" spans="1:19" x14ac:dyDescent="0.2">
      <c r="A2075">
        <v>2074</v>
      </c>
      <c r="B2075" s="1">
        <v>40777</v>
      </c>
      <c r="C2075" t="s">
        <v>24</v>
      </c>
      <c r="D2075" s="7">
        <v>40</v>
      </c>
      <c r="E2075" s="7">
        <v>7</v>
      </c>
      <c r="F2075" s="7">
        <f t="shared" si="32"/>
        <v>2</v>
      </c>
      <c r="G2075" s="7" t="str">
        <f>LOOKUP(H2075,[1]startdates!$A$2:$A$10,[1]startdates!$B$2:$B$10)</f>
        <v>SMr</v>
      </c>
      <c r="H2075">
        <v>2</v>
      </c>
      <c r="N2075" s="7">
        <v>235.7</v>
      </c>
      <c r="O2075" s="7">
        <v>151.6</v>
      </c>
    </row>
    <row r="2076" spans="1:19" x14ac:dyDescent="0.2">
      <c r="A2076">
        <v>2075</v>
      </c>
      <c r="B2076" s="1">
        <v>40777</v>
      </c>
      <c r="C2076" t="s">
        <v>24</v>
      </c>
      <c r="D2076" s="7">
        <v>40</v>
      </c>
      <c r="E2076" s="7">
        <v>7</v>
      </c>
      <c r="F2076" s="7">
        <f t="shared" si="32"/>
        <v>2</v>
      </c>
      <c r="G2076" s="7" t="str">
        <f>LOOKUP(H2076,[1]startdates!$A$2:$A$10,[1]startdates!$B$2:$B$10)</f>
        <v>SMr</v>
      </c>
      <c r="H2076">
        <v>2</v>
      </c>
      <c r="N2076" s="7">
        <v>189.5</v>
      </c>
      <c r="O2076" s="7">
        <v>153.19999999999999</v>
      </c>
    </row>
    <row r="2077" spans="1:19" x14ac:dyDescent="0.2">
      <c r="A2077">
        <v>2076</v>
      </c>
      <c r="B2077" s="1">
        <v>40777</v>
      </c>
      <c r="C2077" t="s">
        <v>24</v>
      </c>
      <c r="D2077" s="7">
        <v>40</v>
      </c>
      <c r="E2077" s="7">
        <v>7</v>
      </c>
      <c r="F2077" s="7">
        <f t="shared" si="32"/>
        <v>2</v>
      </c>
      <c r="G2077" s="7" t="str">
        <f>LOOKUP(H2077,[1]startdates!$A$2:$A$10,[1]startdates!$B$2:$B$10)</f>
        <v>SMr</v>
      </c>
      <c r="H2077">
        <v>2</v>
      </c>
      <c r="N2077" s="7">
        <v>205.8</v>
      </c>
      <c r="O2077" s="7">
        <v>191.4</v>
      </c>
    </row>
    <row r="2078" spans="1:19" x14ac:dyDescent="0.2">
      <c r="A2078">
        <v>2077</v>
      </c>
      <c r="B2078" s="1">
        <v>40777</v>
      </c>
      <c r="C2078" t="s">
        <v>24</v>
      </c>
      <c r="D2078" s="7">
        <v>40</v>
      </c>
      <c r="E2078" s="7">
        <v>7</v>
      </c>
      <c r="F2078" s="7">
        <f t="shared" si="32"/>
        <v>2</v>
      </c>
      <c r="G2078" s="7" t="str">
        <f>LOOKUP(H2078,[1]startdates!$A$2:$A$10,[1]startdates!$B$2:$B$10)</f>
        <v>SMr</v>
      </c>
      <c r="H2078">
        <v>2</v>
      </c>
      <c r="N2078" s="7">
        <v>165.5</v>
      </c>
    </row>
    <row r="2079" spans="1:19" x14ac:dyDescent="0.2">
      <c r="A2079">
        <v>2078</v>
      </c>
      <c r="B2079" s="1">
        <v>40777</v>
      </c>
      <c r="C2079" t="s">
        <v>24</v>
      </c>
      <c r="D2079" s="7">
        <v>40</v>
      </c>
      <c r="E2079" s="7">
        <v>7</v>
      </c>
      <c r="F2079" s="7">
        <f t="shared" si="32"/>
        <v>2</v>
      </c>
      <c r="G2079" s="7" t="str">
        <f>LOOKUP(H2079,[1]startdates!$A$2:$A$10,[1]startdates!$B$2:$B$10)</f>
        <v>C</v>
      </c>
      <c r="H2079">
        <v>3</v>
      </c>
      <c r="I2079" s="7">
        <v>713.5</v>
      </c>
      <c r="K2079" s="7">
        <v>533.79999999999995</v>
      </c>
      <c r="L2079" s="7">
        <v>537.6</v>
      </c>
      <c r="M2079" s="7">
        <v>402.4</v>
      </c>
      <c r="N2079" s="7">
        <v>302.7</v>
      </c>
      <c r="O2079" s="7">
        <v>184.2</v>
      </c>
      <c r="S2079" s="7">
        <v>318.7</v>
      </c>
    </row>
    <row r="2080" spans="1:19" x14ac:dyDescent="0.2">
      <c r="A2080">
        <v>2079</v>
      </c>
      <c r="B2080" s="1">
        <v>40777</v>
      </c>
      <c r="C2080" t="s">
        <v>24</v>
      </c>
      <c r="D2080" s="7">
        <v>40</v>
      </c>
      <c r="E2080" s="7">
        <v>7</v>
      </c>
      <c r="F2080" s="7">
        <f t="shared" si="32"/>
        <v>2</v>
      </c>
      <c r="G2080" s="7" t="str">
        <f>LOOKUP(H2080,[1]startdates!$A$2:$A$10,[1]startdates!$B$2:$B$10)</f>
        <v>C</v>
      </c>
      <c r="H2080">
        <v>3</v>
      </c>
      <c r="I2080" s="7">
        <v>839.5</v>
      </c>
      <c r="K2080" s="7">
        <v>714.9</v>
      </c>
      <c r="L2080" s="7">
        <v>423.3</v>
      </c>
      <c r="M2080" s="7">
        <v>371.7</v>
      </c>
      <c r="N2080" s="7">
        <v>288.10000000000002</v>
      </c>
      <c r="O2080" s="7">
        <v>181.1</v>
      </c>
    </row>
    <row r="2081" spans="1:16" x14ac:dyDescent="0.2">
      <c r="A2081">
        <v>2080</v>
      </c>
      <c r="B2081" s="1">
        <v>40777</v>
      </c>
      <c r="C2081" t="s">
        <v>24</v>
      </c>
      <c r="D2081" s="7">
        <v>40</v>
      </c>
      <c r="E2081" s="7">
        <v>7</v>
      </c>
      <c r="F2081" s="7">
        <f t="shared" si="32"/>
        <v>2</v>
      </c>
      <c r="G2081" s="7" t="str">
        <f>LOOKUP(H2081,[1]startdates!$A$2:$A$10,[1]startdates!$B$2:$B$10)</f>
        <v>C</v>
      </c>
      <c r="H2081">
        <v>3</v>
      </c>
      <c r="I2081" s="7">
        <v>842.3</v>
      </c>
      <c r="K2081" s="7">
        <v>524.79999999999995</v>
      </c>
      <c r="L2081" s="7">
        <v>501.6</v>
      </c>
      <c r="M2081" s="7">
        <v>309.39999999999998</v>
      </c>
      <c r="N2081" s="7">
        <v>229.6</v>
      </c>
      <c r="O2081" s="7">
        <v>167.9</v>
      </c>
    </row>
    <row r="2082" spans="1:16" x14ac:dyDescent="0.2">
      <c r="A2082">
        <v>2081</v>
      </c>
      <c r="B2082" s="1">
        <v>40777</v>
      </c>
      <c r="C2082" t="s">
        <v>24</v>
      </c>
      <c r="D2082" s="7">
        <v>40</v>
      </c>
      <c r="E2082" s="7">
        <v>7</v>
      </c>
      <c r="F2082" s="7">
        <f t="shared" si="32"/>
        <v>2</v>
      </c>
      <c r="G2082" s="7" t="str">
        <f>LOOKUP(H2082,[1]startdates!$A$2:$A$10,[1]startdates!$B$2:$B$10)</f>
        <v>C</v>
      </c>
      <c r="H2082">
        <v>3</v>
      </c>
      <c r="I2082" s="7">
        <v>815.9</v>
      </c>
      <c r="L2082" s="7">
        <v>512.79999999999995</v>
      </c>
      <c r="M2082" s="7">
        <v>368.5</v>
      </c>
      <c r="N2082" s="7">
        <v>247.4</v>
      </c>
      <c r="O2082" s="7">
        <v>155.30000000000001</v>
      </c>
    </row>
    <row r="2083" spans="1:16" x14ac:dyDescent="0.2">
      <c r="A2083">
        <v>2082</v>
      </c>
      <c r="B2083" s="1">
        <v>40777</v>
      </c>
      <c r="C2083" t="s">
        <v>24</v>
      </c>
      <c r="D2083" s="7">
        <v>40</v>
      </c>
      <c r="E2083" s="7">
        <v>7</v>
      </c>
      <c r="F2083" s="7">
        <f t="shared" si="32"/>
        <v>2</v>
      </c>
      <c r="G2083" s="7" t="str">
        <f>LOOKUP(H2083,[1]startdates!$A$2:$A$10,[1]startdates!$B$2:$B$10)</f>
        <v>C</v>
      </c>
      <c r="H2083">
        <v>3</v>
      </c>
      <c r="I2083" s="7">
        <v>684.5</v>
      </c>
      <c r="L2083" s="7">
        <v>498.4</v>
      </c>
      <c r="M2083" s="7">
        <v>388.9</v>
      </c>
      <c r="N2083" s="7">
        <v>236.1</v>
      </c>
      <c r="O2083" s="7">
        <v>171.9</v>
      </c>
    </row>
    <row r="2084" spans="1:16" x14ac:dyDescent="0.2">
      <c r="A2084">
        <v>2083</v>
      </c>
      <c r="B2084" s="1">
        <v>40777</v>
      </c>
      <c r="C2084" t="s">
        <v>24</v>
      </c>
      <c r="D2084" s="7">
        <v>40</v>
      </c>
      <c r="E2084" s="7">
        <v>7</v>
      </c>
      <c r="F2084" s="7">
        <f t="shared" si="32"/>
        <v>2</v>
      </c>
      <c r="G2084" s="7" t="str">
        <f>LOOKUP(H2084,[1]startdates!$A$2:$A$10,[1]startdates!$B$2:$B$10)</f>
        <v>C</v>
      </c>
      <c r="H2084">
        <v>3</v>
      </c>
      <c r="I2084" s="7">
        <v>597.6</v>
      </c>
      <c r="L2084" s="7">
        <v>470.5</v>
      </c>
      <c r="M2084" s="7">
        <v>372.7</v>
      </c>
      <c r="N2084" s="7">
        <v>247.4</v>
      </c>
      <c r="O2084" s="7">
        <v>177.3</v>
      </c>
    </row>
    <row r="2085" spans="1:16" x14ac:dyDescent="0.2">
      <c r="A2085">
        <v>2084</v>
      </c>
      <c r="B2085" s="1">
        <v>40777</v>
      </c>
      <c r="C2085" t="s">
        <v>24</v>
      </c>
      <c r="D2085" s="7">
        <v>40</v>
      </c>
      <c r="E2085" s="7">
        <v>7</v>
      </c>
      <c r="F2085" s="7">
        <f t="shared" si="32"/>
        <v>2</v>
      </c>
      <c r="G2085" s="7" t="str">
        <f>LOOKUP(H2085,[1]startdates!$A$2:$A$10,[1]startdates!$B$2:$B$10)</f>
        <v>C</v>
      </c>
      <c r="H2085">
        <v>3</v>
      </c>
      <c r="L2085" s="7">
        <v>408.7</v>
      </c>
      <c r="M2085" s="7">
        <v>408.2</v>
      </c>
      <c r="N2085" s="7">
        <v>284.89999999999998</v>
      </c>
      <c r="O2085" s="7">
        <v>170</v>
      </c>
    </row>
    <row r="2086" spans="1:16" x14ac:dyDescent="0.2">
      <c r="A2086">
        <v>2085</v>
      </c>
      <c r="B2086" s="1">
        <v>40777</v>
      </c>
      <c r="C2086" t="s">
        <v>24</v>
      </c>
      <c r="D2086" s="7">
        <v>40</v>
      </c>
      <c r="E2086" s="7">
        <v>7</v>
      </c>
      <c r="F2086" s="7">
        <f t="shared" si="32"/>
        <v>2</v>
      </c>
      <c r="G2086" s="7" t="str">
        <f>LOOKUP(H2086,[1]startdates!$A$2:$A$10,[1]startdates!$B$2:$B$10)</f>
        <v>C</v>
      </c>
      <c r="H2086">
        <v>3</v>
      </c>
      <c r="L2086" s="7">
        <v>494.7</v>
      </c>
      <c r="M2086" s="7">
        <v>341.1</v>
      </c>
      <c r="N2086" s="7">
        <v>217.4</v>
      </c>
      <c r="O2086" s="7">
        <v>179.8</v>
      </c>
    </row>
    <row r="2087" spans="1:16" x14ac:dyDescent="0.2">
      <c r="A2087">
        <v>2086</v>
      </c>
      <c r="B2087" s="1">
        <v>40777</v>
      </c>
      <c r="C2087" t="s">
        <v>24</v>
      </c>
      <c r="D2087" s="7">
        <v>40</v>
      </c>
      <c r="E2087" s="7">
        <v>7</v>
      </c>
      <c r="F2087" s="7">
        <f t="shared" si="32"/>
        <v>2</v>
      </c>
      <c r="G2087" s="7" t="str">
        <f>LOOKUP(H2087,[1]startdates!$A$2:$A$10,[1]startdates!$B$2:$B$10)</f>
        <v>C</v>
      </c>
      <c r="H2087">
        <v>3</v>
      </c>
      <c r="L2087" s="7">
        <v>405.1</v>
      </c>
      <c r="M2087" s="7">
        <v>332.9</v>
      </c>
      <c r="N2087" s="7">
        <v>292.60000000000002</v>
      </c>
      <c r="O2087" s="7">
        <v>157.1</v>
      </c>
    </row>
    <row r="2088" spans="1:16" x14ac:dyDescent="0.2">
      <c r="A2088">
        <v>2087</v>
      </c>
      <c r="B2088" s="1">
        <v>40777</v>
      </c>
      <c r="C2088" t="s">
        <v>24</v>
      </c>
      <c r="D2088" s="7">
        <v>40</v>
      </c>
      <c r="E2088" s="7">
        <v>7</v>
      </c>
      <c r="F2088" s="7">
        <f t="shared" si="32"/>
        <v>2</v>
      </c>
      <c r="G2088" s="7" t="str">
        <f>LOOKUP(H2088,[1]startdates!$A$2:$A$10,[1]startdates!$B$2:$B$10)</f>
        <v>C</v>
      </c>
      <c r="H2088">
        <v>3</v>
      </c>
      <c r="M2088" s="7">
        <v>370.3</v>
      </c>
      <c r="N2088" s="7">
        <v>230.7</v>
      </c>
      <c r="O2088" s="7">
        <v>169.5</v>
      </c>
    </row>
    <row r="2089" spans="1:16" x14ac:dyDescent="0.2">
      <c r="A2089">
        <v>2088</v>
      </c>
      <c r="B2089" s="1">
        <v>40777</v>
      </c>
      <c r="C2089" t="s">
        <v>24</v>
      </c>
      <c r="D2089" s="7">
        <v>40</v>
      </c>
      <c r="E2089" s="7">
        <v>7</v>
      </c>
      <c r="F2089" s="7">
        <f t="shared" ref="F2089:F2152" si="33">WEEKDAY(B2089)</f>
        <v>2</v>
      </c>
      <c r="G2089" s="7" t="str">
        <f>LOOKUP(H2089,[1]startdates!$A$2:$A$10,[1]startdates!$B$2:$B$10)</f>
        <v>C</v>
      </c>
      <c r="H2089">
        <v>3</v>
      </c>
      <c r="M2089" s="7">
        <v>341.1</v>
      </c>
      <c r="N2089" s="7">
        <v>310.8</v>
      </c>
      <c r="O2089" s="7">
        <v>167.7</v>
      </c>
    </row>
    <row r="2090" spans="1:16" x14ac:dyDescent="0.2">
      <c r="A2090">
        <v>2089</v>
      </c>
      <c r="B2090" s="1">
        <v>40777</v>
      </c>
      <c r="C2090" t="s">
        <v>24</v>
      </c>
      <c r="D2090" s="7">
        <v>40</v>
      </c>
      <c r="E2090" s="7">
        <v>7</v>
      </c>
      <c r="F2090" s="7">
        <f t="shared" si="33"/>
        <v>2</v>
      </c>
      <c r="G2090" s="7" t="str">
        <f>LOOKUP(H2090,[1]startdates!$A$2:$A$10,[1]startdates!$B$2:$B$10)</f>
        <v>C</v>
      </c>
      <c r="H2090">
        <v>3</v>
      </c>
      <c r="M2090" s="7">
        <v>387.7</v>
      </c>
      <c r="O2090" s="7">
        <v>162.19999999999999</v>
      </c>
    </row>
    <row r="2091" spans="1:16" x14ac:dyDescent="0.2">
      <c r="A2091">
        <v>2090</v>
      </c>
      <c r="B2091" s="1">
        <v>40777</v>
      </c>
      <c r="C2091" t="s">
        <v>24</v>
      </c>
      <c r="D2091" s="7">
        <v>40</v>
      </c>
      <c r="E2091" s="7">
        <v>7</v>
      </c>
      <c r="F2091" s="7">
        <f t="shared" si="33"/>
        <v>2</v>
      </c>
      <c r="G2091" s="7" t="str">
        <f>LOOKUP(H2091,[1]startdates!$A$2:$A$10,[1]startdates!$B$2:$B$10)</f>
        <v>C</v>
      </c>
      <c r="H2091">
        <v>3</v>
      </c>
      <c r="M2091" s="7">
        <v>318.60000000000002</v>
      </c>
    </row>
    <row r="2092" spans="1:16" x14ac:dyDescent="0.2">
      <c r="A2092">
        <v>2091</v>
      </c>
      <c r="B2092" s="1">
        <v>40777</v>
      </c>
      <c r="C2092" t="s">
        <v>24</v>
      </c>
      <c r="D2092" s="7">
        <v>40</v>
      </c>
      <c r="E2092" s="7">
        <v>7</v>
      </c>
      <c r="F2092" s="7">
        <f t="shared" si="33"/>
        <v>2</v>
      </c>
      <c r="G2092" s="7" t="str">
        <f>LOOKUP(H2092,[1]startdates!$A$2:$A$10,[1]startdates!$B$2:$B$10)</f>
        <v>SMr</v>
      </c>
      <c r="H2092">
        <v>4</v>
      </c>
      <c r="I2092" s="7">
        <v>736.3</v>
      </c>
      <c r="J2092" s="7">
        <v>684.5</v>
      </c>
      <c r="K2092" s="7">
        <v>719.5</v>
      </c>
      <c r="L2092" s="7">
        <v>435.7</v>
      </c>
      <c r="M2092" s="7">
        <v>303.89999999999998</v>
      </c>
      <c r="N2092" s="7">
        <v>252.9</v>
      </c>
      <c r="O2092" s="7">
        <v>173.8</v>
      </c>
      <c r="P2092" s="7">
        <v>560.79999999999995</v>
      </c>
    </row>
    <row r="2093" spans="1:16" x14ac:dyDescent="0.2">
      <c r="A2093">
        <v>2092</v>
      </c>
      <c r="B2093" s="1">
        <v>40777</v>
      </c>
      <c r="C2093" t="s">
        <v>24</v>
      </c>
      <c r="D2093" s="7">
        <v>40</v>
      </c>
      <c r="E2093" s="7">
        <v>7</v>
      </c>
      <c r="F2093" s="7">
        <f t="shared" si="33"/>
        <v>2</v>
      </c>
      <c r="G2093" s="7" t="str">
        <f>LOOKUP(H2093,[1]startdates!$A$2:$A$10,[1]startdates!$B$2:$B$10)</f>
        <v>SMr</v>
      </c>
      <c r="H2093">
        <v>4</v>
      </c>
      <c r="I2093" s="7">
        <v>778.9</v>
      </c>
      <c r="K2093" s="7">
        <v>626.1</v>
      </c>
      <c r="L2093" s="7">
        <v>451.8</v>
      </c>
      <c r="M2093" s="7">
        <v>312.89999999999998</v>
      </c>
      <c r="N2093" s="7">
        <v>258.60000000000002</v>
      </c>
      <c r="O2093" s="7">
        <v>168.3</v>
      </c>
    </row>
    <row r="2094" spans="1:16" x14ac:dyDescent="0.2">
      <c r="A2094">
        <v>2093</v>
      </c>
      <c r="B2094" s="1">
        <v>40777</v>
      </c>
      <c r="C2094" t="s">
        <v>24</v>
      </c>
      <c r="D2094" s="7">
        <v>40</v>
      </c>
      <c r="E2094" s="7">
        <v>7</v>
      </c>
      <c r="F2094" s="7">
        <f t="shared" si="33"/>
        <v>2</v>
      </c>
      <c r="G2094" s="7" t="str">
        <f>LOOKUP(H2094,[1]startdates!$A$2:$A$10,[1]startdates!$B$2:$B$10)</f>
        <v>SMr</v>
      </c>
      <c r="H2094">
        <v>4</v>
      </c>
      <c r="I2094" s="7">
        <v>715</v>
      </c>
      <c r="K2094" s="7">
        <v>548.9</v>
      </c>
      <c r="L2094" s="7">
        <v>380.1</v>
      </c>
      <c r="M2094" s="7">
        <v>356.5</v>
      </c>
      <c r="N2094" s="7">
        <v>254.8</v>
      </c>
      <c r="O2094" s="7">
        <v>174</v>
      </c>
    </row>
    <row r="2095" spans="1:16" x14ac:dyDescent="0.2">
      <c r="A2095">
        <v>2094</v>
      </c>
      <c r="B2095" s="1">
        <v>40777</v>
      </c>
      <c r="C2095" t="s">
        <v>24</v>
      </c>
      <c r="D2095" s="7">
        <v>40</v>
      </c>
      <c r="E2095" s="7">
        <v>7</v>
      </c>
      <c r="F2095" s="7">
        <f t="shared" si="33"/>
        <v>2</v>
      </c>
      <c r="G2095" s="7" t="str">
        <f>LOOKUP(H2095,[1]startdates!$A$2:$A$10,[1]startdates!$B$2:$B$10)</f>
        <v>SMr</v>
      </c>
      <c r="H2095">
        <v>4</v>
      </c>
      <c r="I2095" s="7">
        <v>745.5</v>
      </c>
      <c r="K2095" s="7">
        <v>556.79999999999995</v>
      </c>
      <c r="L2095" s="7">
        <v>465.7</v>
      </c>
      <c r="M2095" s="7">
        <v>315.60000000000002</v>
      </c>
      <c r="N2095" s="7">
        <v>232.7</v>
      </c>
      <c r="O2095" s="7">
        <v>171.3</v>
      </c>
    </row>
    <row r="2096" spans="1:16" x14ac:dyDescent="0.2">
      <c r="A2096">
        <v>2095</v>
      </c>
      <c r="B2096" s="1">
        <v>40777</v>
      </c>
      <c r="C2096" t="s">
        <v>24</v>
      </c>
      <c r="D2096" s="7">
        <v>40</v>
      </c>
      <c r="E2096" s="7">
        <v>7</v>
      </c>
      <c r="F2096" s="7">
        <f t="shared" si="33"/>
        <v>2</v>
      </c>
      <c r="G2096" s="7" t="str">
        <f>LOOKUP(H2096,[1]startdates!$A$2:$A$10,[1]startdates!$B$2:$B$10)</f>
        <v>SMr</v>
      </c>
      <c r="H2096">
        <v>4</v>
      </c>
      <c r="I2096" s="7">
        <v>791.1</v>
      </c>
      <c r="K2096" s="7">
        <v>601.9</v>
      </c>
      <c r="L2096" s="7">
        <v>453.1</v>
      </c>
      <c r="M2096" s="7">
        <v>318.8</v>
      </c>
      <c r="N2096" s="7">
        <v>294.8</v>
      </c>
      <c r="O2096" s="7">
        <v>187.7</v>
      </c>
    </row>
    <row r="2097" spans="1:18" x14ac:dyDescent="0.2">
      <c r="A2097">
        <v>2096</v>
      </c>
      <c r="B2097" s="1">
        <v>40777</v>
      </c>
      <c r="C2097" t="s">
        <v>24</v>
      </c>
      <c r="D2097" s="7">
        <v>40</v>
      </c>
      <c r="E2097" s="7">
        <v>7</v>
      </c>
      <c r="F2097" s="7">
        <f t="shared" si="33"/>
        <v>2</v>
      </c>
      <c r="G2097" s="7" t="str">
        <f>LOOKUP(H2097,[1]startdates!$A$2:$A$10,[1]startdates!$B$2:$B$10)</f>
        <v>SMr</v>
      </c>
      <c r="H2097">
        <v>4</v>
      </c>
      <c r="I2097" s="7">
        <v>783.5</v>
      </c>
      <c r="L2097" s="7">
        <v>510</v>
      </c>
      <c r="M2097" s="7">
        <v>317.7</v>
      </c>
      <c r="N2097" s="7">
        <v>265.10000000000002</v>
      </c>
      <c r="O2097" s="7">
        <v>184.7</v>
      </c>
    </row>
    <row r="2098" spans="1:18" x14ac:dyDescent="0.2">
      <c r="A2098">
        <v>2097</v>
      </c>
      <c r="B2098" s="1">
        <v>40777</v>
      </c>
      <c r="C2098" t="s">
        <v>24</v>
      </c>
      <c r="D2098" s="7">
        <v>40</v>
      </c>
      <c r="E2098" s="7">
        <v>7</v>
      </c>
      <c r="F2098" s="7">
        <f t="shared" si="33"/>
        <v>2</v>
      </c>
      <c r="G2098" s="7" t="str">
        <f>LOOKUP(H2098,[1]startdates!$A$2:$A$10,[1]startdates!$B$2:$B$10)</f>
        <v>SMr</v>
      </c>
      <c r="H2098">
        <v>4</v>
      </c>
      <c r="I2098" s="7">
        <v>768.8</v>
      </c>
      <c r="L2098" s="7">
        <v>441.6</v>
      </c>
      <c r="M2098" s="7">
        <v>318.89999999999998</v>
      </c>
      <c r="N2098" s="7">
        <v>289</v>
      </c>
      <c r="O2098" s="7">
        <v>176.7</v>
      </c>
    </row>
    <row r="2099" spans="1:18" x14ac:dyDescent="0.2">
      <c r="A2099">
        <v>2098</v>
      </c>
      <c r="B2099" s="1">
        <v>40777</v>
      </c>
      <c r="C2099" t="s">
        <v>24</v>
      </c>
      <c r="D2099" s="7">
        <v>40</v>
      </c>
      <c r="E2099" s="7">
        <v>7</v>
      </c>
      <c r="F2099" s="7">
        <f t="shared" si="33"/>
        <v>2</v>
      </c>
      <c r="G2099" s="7" t="str">
        <f>LOOKUP(H2099,[1]startdates!$A$2:$A$10,[1]startdates!$B$2:$B$10)</f>
        <v>SMr</v>
      </c>
      <c r="H2099">
        <v>4</v>
      </c>
      <c r="I2099" s="7">
        <v>697.5</v>
      </c>
      <c r="N2099" s="7">
        <v>227.1</v>
      </c>
      <c r="O2099" s="7">
        <v>185</v>
      </c>
    </row>
    <row r="2100" spans="1:18" x14ac:dyDescent="0.2">
      <c r="A2100">
        <v>2099</v>
      </c>
      <c r="B2100" s="1">
        <v>40777</v>
      </c>
      <c r="C2100" t="s">
        <v>24</v>
      </c>
      <c r="D2100" s="7">
        <v>40</v>
      </c>
      <c r="E2100" s="7">
        <v>7</v>
      </c>
      <c r="F2100" s="7">
        <f t="shared" si="33"/>
        <v>2</v>
      </c>
      <c r="G2100" s="7" t="str">
        <f>LOOKUP(H2100,[1]startdates!$A$2:$A$10,[1]startdates!$B$2:$B$10)</f>
        <v>SMr</v>
      </c>
      <c r="H2100">
        <v>4</v>
      </c>
      <c r="I2100" s="7">
        <v>627.70000000000005</v>
      </c>
      <c r="N2100" s="7">
        <v>229.2</v>
      </c>
      <c r="O2100" s="7">
        <v>154.69999999999999</v>
      </c>
    </row>
    <row r="2101" spans="1:18" x14ac:dyDescent="0.2">
      <c r="A2101">
        <v>2100</v>
      </c>
      <c r="B2101" s="1">
        <v>40777</v>
      </c>
      <c r="C2101" t="s">
        <v>24</v>
      </c>
      <c r="D2101" s="7">
        <v>40</v>
      </c>
      <c r="E2101" s="7">
        <v>7</v>
      </c>
      <c r="F2101" s="7">
        <f t="shared" si="33"/>
        <v>2</v>
      </c>
      <c r="G2101" s="7" t="str">
        <f>LOOKUP(H2101,[1]startdates!$A$2:$A$10,[1]startdates!$B$2:$B$10)</f>
        <v>SMr</v>
      </c>
      <c r="H2101">
        <v>4</v>
      </c>
      <c r="I2101" s="7">
        <v>733.5</v>
      </c>
      <c r="N2101" s="7">
        <v>211.5</v>
      </c>
      <c r="O2101" s="7">
        <v>175.4</v>
      </c>
    </row>
    <row r="2102" spans="1:18" x14ac:dyDescent="0.2">
      <c r="A2102">
        <v>2101</v>
      </c>
      <c r="B2102" s="1">
        <v>40777</v>
      </c>
      <c r="C2102" t="s">
        <v>24</v>
      </c>
      <c r="D2102" s="7">
        <v>40</v>
      </c>
      <c r="E2102" s="7">
        <v>7</v>
      </c>
      <c r="F2102" s="7">
        <f t="shared" si="33"/>
        <v>2</v>
      </c>
      <c r="G2102" s="7" t="str">
        <f>LOOKUP(H2102,[1]startdates!$A$2:$A$10,[1]startdates!$B$2:$B$10)</f>
        <v>SMr</v>
      </c>
      <c r="H2102">
        <v>4</v>
      </c>
      <c r="I2102" s="7">
        <v>743.7</v>
      </c>
      <c r="N2102" s="7">
        <v>185.3</v>
      </c>
      <c r="O2102" s="7">
        <v>193.8</v>
      </c>
    </row>
    <row r="2103" spans="1:18" x14ac:dyDescent="0.2">
      <c r="A2103">
        <v>2102</v>
      </c>
      <c r="B2103" s="1">
        <v>40777</v>
      </c>
      <c r="C2103" t="s">
        <v>24</v>
      </c>
      <c r="D2103" s="7">
        <v>40</v>
      </c>
      <c r="E2103" s="7">
        <v>7</v>
      </c>
      <c r="F2103" s="7">
        <f t="shared" si="33"/>
        <v>2</v>
      </c>
      <c r="G2103" s="7" t="str">
        <f>LOOKUP(H2103,[1]startdates!$A$2:$A$10,[1]startdates!$B$2:$B$10)</f>
        <v>SMr</v>
      </c>
      <c r="H2103">
        <v>4</v>
      </c>
      <c r="I2103" s="7">
        <v>593.9</v>
      </c>
      <c r="N2103" s="7">
        <v>257.10000000000002</v>
      </c>
      <c r="O2103" s="7">
        <v>146.69999999999999</v>
      </c>
    </row>
    <row r="2104" spans="1:18" x14ac:dyDescent="0.2">
      <c r="A2104">
        <v>2103</v>
      </c>
      <c r="B2104" s="1">
        <v>40777</v>
      </c>
      <c r="C2104" t="s">
        <v>24</v>
      </c>
      <c r="D2104" s="7">
        <v>40</v>
      </c>
      <c r="E2104" s="7">
        <v>7</v>
      </c>
      <c r="F2104" s="7">
        <f t="shared" si="33"/>
        <v>2</v>
      </c>
      <c r="G2104" s="7" t="str">
        <f>LOOKUP(H2104,[1]startdates!$A$2:$A$10,[1]startdates!$B$2:$B$10)</f>
        <v>SMr</v>
      </c>
      <c r="H2104">
        <v>4</v>
      </c>
      <c r="N2104" s="7">
        <v>203</v>
      </c>
    </row>
    <row r="2105" spans="1:18" x14ac:dyDescent="0.2">
      <c r="A2105">
        <v>2104</v>
      </c>
      <c r="B2105" s="1">
        <v>40777</v>
      </c>
      <c r="C2105" t="s">
        <v>24</v>
      </c>
      <c r="D2105" s="7">
        <v>40</v>
      </c>
      <c r="E2105" s="7">
        <v>7</v>
      </c>
      <c r="F2105" s="7">
        <f t="shared" si="33"/>
        <v>2</v>
      </c>
      <c r="G2105" s="7" t="str">
        <f>LOOKUP(H2105,[1]startdates!$A$2:$A$10,[1]startdates!$B$2:$B$10)</f>
        <v>SMr</v>
      </c>
      <c r="H2105">
        <v>4</v>
      </c>
      <c r="N2105" s="7">
        <v>217.5</v>
      </c>
    </row>
    <row r="2106" spans="1:18" x14ac:dyDescent="0.2">
      <c r="A2106">
        <v>2105</v>
      </c>
      <c r="B2106" s="1">
        <v>40777</v>
      </c>
      <c r="C2106" t="s">
        <v>24</v>
      </c>
      <c r="D2106" s="7">
        <v>40</v>
      </c>
      <c r="E2106" s="7">
        <v>7</v>
      </c>
      <c r="F2106" s="7">
        <f t="shared" si="33"/>
        <v>2</v>
      </c>
      <c r="G2106" s="7" t="str">
        <f>LOOKUP(H2106,[1]startdates!$A$2:$A$10,[1]startdates!$B$2:$B$10)</f>
        <v>SMr</v>
      </c>
      <c r="H2106">
        <v>4</v>
      </c>
      <c r="N2106" s="7">
        <v>230.2</v>
      </c>
    </row>
    <row r="2107" spans="1:18" x14ac:dyDescent="0.2">
      <c r="A2107">
        <v>2106</v>
      </c>
      <c r="B2107" s="1">
        <v>40777</v>
      </c>
      <c r="C2107" t="s">
        <v>24</v>
      </c>
      <c r="D2107" s="7">
        <v>40</v>
      </c>
      <c r="E2107" s="7">
        <v>7</v>
      </c>
      <c r="F2107" s="7">
        <f t="shared" si="33"/>
        <v>2</v>
      </c>
      <c r="G2107" s="7" t="str">
        <f>LOOKUP(H2107,[1]startdates!$A$2:$A$10,[1]startdates!$B$2:$B$10)</f>
        <v>SMr</v>
      </c>
      <c r="H2107">
        <v>4</v>
      </c>
      <c r="N2107" s="7">
        <v>217.7</v>
      </c>
    </row>
    <row r="2108" spans="1:18" x14ac:dyDescent="0.2">
      <c r="A2108">
        <v>2107</v>
      </c>
      <c r="B2108" s="1">
        <v>40777</v>
      </c>
      <c r="C2108" t="s">
        <v>24</v>
      </c>
      <c r="D2108" s="7">
        <v>40</v>
      </c>
      <c r="E2108" s="7">
        <v>7</v>
      </c>
      <c r="F2108" s="7">
        <f t="shared" si="33"/>
        <v>2</v>
      </c>
      <c r="G2108" s="7" t="str">
        <f>LOOKUP(H2108,[1]startdates!$A$2:$A$10,[1]startdates!$B$2:$B$10)</f>
        <v>C</v>
      </c>
      <c r="H2108">
        <v>5</v>
      </c>
      <c r="I2108" s="7">
        <v>810.2</v>
      </c>
      <c r="J2108" s="7">
        <v>529.79999999999995</v>
      </c>
      <c r="K2108" s="7">
        <v>533.79999999999995</v>
      </c>
      <c r="L2108" s="7">
        <v>455.4</v>
      </c>
      <c r="M2108" s="7">
        <v>360.2</v>
      </c>
      <c r="N2108" s="7">
        <v>240.2</v>
      </c>
      <c r="O2108" s="7">
        <v>195.2</v>
      </c>
      <c r="P2108" s="7">
        <v>573.29999999999995</v>
      </c>
      <c r="Q2108" s="7">
        <v>356.4</v>
      </c>
      <c r="R2108" s="7">
        <v>286.39999999999998</v>
      </c>
    </row>
    <row r="2109" spans="1:18" x14ac:dyDescent="0.2">
      <c r="A2109">
        <v>2108</v>
      </c>
      <c r="B2109" s="1">
        <v>40777</v>
      </c>
      <c r="C2109" t="s">
        <v>24</v>
      </c>
      <c r="D2109" s="7">
        <v>40</v>
      </c>
      <c r="E2109" s="7">
        <v>7</v>
      </c>
      <c r="F2109" s="7">
        <f t="shared" si="33"/>
        <v>2</v>
      </c>
      <c r="G2109" s="7" t="str">
        <f>LOOKUP(H2109,[1]startdates!$A$2:$A$10,[1]startdates!$B$2:$B$10)</f>
        <v>C</v>
      </c>
      <c r="H2109">
        <v>5</v>
      </c>
      <c r="I2109" s="7">
        <v>807.5</v>
      </c>
      <c r="K2109" s="7">
        <v>588.1</v>
      </c>
      <c r="M2109" s="7">
        <v>295.5</v>
      </c>
      <c r="N2109" s="7">
        <v>224.9</v>
      </c>
      <c r="O2109" s="7">
        <v>169.7</v>
      </c>
      <c r="P2109" s="7">
        <v>485</v>
      </c>
      <c r="R2109" s="7">
        <v>264.60000000000002</v>
      </c>
    </row>
    <row r="2110" spans="1:18" x14ac:dyDescent="0.2">
      <c r="A2110">
        <v>2109</v>
      </c>
      <c r="B2110" s="1">
        <v>40777</v>
      </c>
      <c r="C2110" t="s">
        <v>24</v>
      </c>
      <c r="D2110" s="7">
        <v>40</v>
      </c>
      <c r="E2110" s="7">
        <v>7</v>
      </c>
      <c r="F2110" s="7">
        <f t="shared" si="33"/>
        <v>2</v>
      </c>
      <c r="G2110" s="7" t="str">
        <f>LOOKUP(H2110,[1]startdates!$A$2:$A$10,[1]startdates!$B$2:$B$10)</f>
        <v>C</v>
      </c>
      <c r="H2110">
        <v>5</v>
      </c>
      <c r="I2110" s="7">
        <v>756.8</v>
      </c>
      <c r="K2110" s="7">
        <v>673.5</v>
      </c>
      <c r="M2110" s="7">
        <v>314.60000000000002</v>
      </c>
      <c r="N2110" s="7">
        <v>237.1</v>
      </c>
      <c r="O2110" s="7">
        <v>176.8</v>
      </c>
      <c r="R2110" s="7">
        <v>280.8</v>
      </c>
    </row>
    <row r="2111" spans="1:18" x14ac:dyDescent="0.2">
      <c r="A2111">
        <v>2110</v>
      </c>
      <c r="B2111" s="1">
        <v>40777</v>
      </c>
      <c r="C2111" t="s">
        <v>24</v>
      </c>
      <c r="D2111" s="7">
        <v>40</v>
      </c>
      <c r="E2111" s="7">
        <v>7</v>
      </c>
      <c r="F2111" s="7">
        <f t="shared" si="33"/>
        <v>2</v>
      </c>
      <c r="G2111" s="7" t="str">
        <f>LOOKUP(H2111,[1]startdates!$A$2:$A$10,[1]startdates!$B$2:$B$10)</f>
        <v>C</v>
      </c>
      <c r="H2111">
        <v>5</v>
      </c>
      <c r="I2111" s="7">
        <v>793.1</v>
      </c>
      <c r="K2111" s="7">
        <v>650.6</v>
      </c>
      <c r="N2111" s="7">
        <v>191.4</v>
      </c>
      <c r="O2111" s="7">
        <v>187</v>
      </c>
      <c r="R2111" s="7">
        <v>286.7</v>
      </c>
    </row>
    <row r="2112" spans="1:18" x14ac:dyDescent="0.2">
      <c r="A2112">
        <v>2111</v>
      </c>
      <c r="B2112" s="1">
        <v>40777</v>
      </c>
      <c r="C2112" t="s">
        <v>24</v>
      </c>
      <c r="D2112" s="7">
        <v>40</v>
      </c>
      <c r="E2112" s="7">
        <v>7</v>
      </c>
      <c r="F2112" s="7">
        <f t="shared" si="33"/>
        <v>2</v>
      </c>
      <c r="G2112" s="7" t="str">
        <f>LOOKUP(H2112,[1]startdates!$A$2:$A$10,[1]startdates!$B$2:$B$10)</f>
        <v>C</v>
      </c>
      <c r="H2112">
        <v>5</v>
      </c>
      <c r="I2112" s="7">
        <v>823.5</v>
      </c>
      <c r="K2112" s="7">
        <v>513.4</v>
      </c>
      <c r="N2112" s="7">
        <v>235.9</v>
      </c>
      <c r="O2112" s="7">
        <v>189.5</v>
      </c>
      <c r="R2112" s="7">
        <v>301</v>
      </c>
    </row>
    <row r="2113" spans="1:18" x14ac:dyDescent="0.2">
      <c r="A2113">
        <v>2112</v>
      </c>
      <c r="B2113" s="1">
        <v>40777</v>
      </c>
      <c r="C2113" t="s">
        <v>24</v>
      </c>
      <c r="D2113" s="7">
        <v>40</v>
      </c>
      <c r="E2113" s="7">
        <v>7</v>
      </c>
      <c r="F2113" s="7">
        <f t="shared" si="33"/>
        <v>2</v>
      </c>
      <c r="G2113" s="7" t="str">
        <f>LOOKUP(H2113,[1]startdates!$A$2:$A$10,[1]startdates!$B$2:$B$10)</f>
        <v>C</v>
      </c>
      <c r="H2113">
        <v>5</v>
      </c>
      <c r="I2113" s="7">
        <v>791.6</v>
      </c>
      <c r="K2113" s="7">
        <v>574.6</v>
      </c>
      <c r="N2113" s="7">
        <v>243.1</v>
      </c>
      <c r="O2113" s="7">
        <v>178.6</v>
      </c>
    </row>
    <row r="2114" spans="1:18" x14ac:dyDescent="0.2">
      <c r="A2114">
        <v>2113</v>
      </c>
      <c r="B2114" s="1">
        <v>40777</v>
      </c>
      <c r="C2114" t="s">
        <v>24</v>
      </c>
      <c r="D2114" s="7">
        <v>40</v>
      </c>
      <c r="E2114" s="7">
        <v>7</v>
      </c>
      <c r="F2114" s="7">
        <f t="shared" si="33"/>
        <v>2</v>
      </c>
      <c r="G2114" s="7" t="str">
        <f>LOOKUP(H2114,[1]startdates!$A$2:$A$10,[1]startdates!$B$2:$B$10)</f>
        <v>C</v>
      </c>
      <c r="H2114">
        <v>5</v>
      </c>
      <c r="I2114" s="7">
        <v>735</v>
      </c>
      <c r="N2114" s="7">
        <v>236.3</v>
      </c>
      <c r="O2114" s="7">
        <v>153.1</v>
      </c>
    </row>
    <row r="2115" spans="1:18" x14ac:dyDescent="0.2">
      <c r="A2115">
        <v>2114</v>
      </c>
      <c r="B2115" s="1">
        <v>40777</v>
      </c>
      <c r="C2115" t="s">
        <v>24</v>
      </c>
      <c r="D2115" s="7">
        <v>40</v>
      </c>
      <c r="E2115" s="7">
        <v>7</v>
      </c>
      <c r="F2115" s="7">
        <f t="shared" si="33"/>
        <v>2</v>
      </c>
      <c r="G2115" s="7" t="str">
        <f>LOOKUP(H2115,[1]startdates!$A$2:$A$10,[1]startdates!$B$2:$B$10)</f>
        <v>C</v>
      </c>
      <c r="H2115">
        <v>5</v>
      </c>
      <c r="I2115" s="7">
        <v>837.4</v>
      </c>
      <c r="N2115" s="7">
        <v>271.8</v>
      </c>
      <c r="O2115" s="7">
        <v>186.3</v>
      </c>
    </row>
    <row r="2116" spans="1:18" x14ac:dyDescent="0.2">
      <c r="A2116">
        <v>2115</v>
      </c>
      <c r="B2116" s="1">
        <v>40777</v>
      </c>
      <c r="C2116" t="s">
        <v>24</v>
      </c>
      <c r="D2116" s="7">
        <v>40</v>
      </c>
      <c r="E2116" s="7">
        <v>7</v>
      </c>
      <c r="F2116" s="7">
        <f t="shared" si="33"/>
        <v>2</v>
      </c>
      <c r="G2116" s="7" t="str">
        <f>LOOKUP(H2116,[1]startdates!$A$2:$A$10,[1]startdates!$B$2:$B$10)</f>
        <v>C</v>
      </c>
      <c r="H2116">
        <v>5</v>
      </c>
      <c r="N2116" s="7">
        <v>244.4</v>
      </c>
      <c r="O2116" s="7">
        <v>174.9</v>
      </c>
    </row>
    <row r="2117" spans="1:18" x14ac:dyDescent="0.2">
      <c r="A2117">
        <v>2116</v>
      </c>
      <c r="B2117" s="1">
        <v>40777</v>
      </c>
      <c r="C2117" t="s">
        <v>24</v>
      </c>
      <c r="D2117" s="7">
        <v>40</v>
      </c>
      <c r="E2117" s="7">
        <v>7</v>
      </c>
      <c r="F2117" s="7">
        <f t="shared" si="33"/>
        <v>2</v>
      </c>
      <c r="G2117" s="7" t="str">
        <f>LOOKUP(H2117,[1]startdates!$A$2:$A$10,[1]startdates!$B$2:$B$10)</f>
        <v>C</v>
      </c>
      <c r="H2117">
        <v>5</v>
      </c>
      <c r="N2117" s="7">
        <v>226.9</v>
      </c>
      <c r="O2117" s="7">
        <v>194</v>
      </c>
    </row>
    <row r="2118" spans="1:18" x14ac:dyDescent="0.2">
      <c r="A2118">
        <v>2117</v>
      </c>
      <c r="B2118" s="1">
        <v>40777</v>
      </c>
      <c r="C2118" t="s">
        <v>24</v>
      </c>
      <c r="D2118" s="7">
        <v>40</v>
      </c>
      <c r="E2118" s="7">
        <v>7</v>
      </c>
      <c r="F2118" s="7">
        <f t="shared" si="33"/>
        <v>2</v>
      </c>
      <c r="G2118" s="7" t="str">
        <f>LOOKUP(H2118,[1]startdates!$A$2:$A$10,[1]startdates!$B$2:$B$10)</f>
        <v>C</v>
      </c>
      <c r="H2118">
        <v>5</v>
      </c>
      <c r="N2118" s="7">
        <v>312.7</v>
      </c>
      <c r="O2118" s="7">
        <v>196.1</v>
      </c>
    </row>
    <row r="2119" spans="1:18" x14ac:dyDescent="0.2">
      <c r="A2119">
        <v>2118</v>
      </c>
      <c r="B2119" s="1">
        <v>40777</v>
      </c>
      <c r="C2119" t="s">
        <v>24</v>
      </c>
      <c r="D2119" s="7">
        <v>40</v>
      </c>
      <c r="E2119" s="7">
        <v>7</v>
      </c>
      <c r="F2119" s="7">
        <f t="shared" si="33"/>
        <v>2</v>
      </c>
      <c r="G2119" s="7" t="str">
        <f>LOOKUP(H2119,[1]startdates!$A$2:$A$10,[1]startdates!$B$2:$B$10)</f>
        <v>C</v>
      </c>
      <c r="H2119">
        <v>5</v>
      </c>
      <c r="N2119" s="7">
        <v>202.9</v>
      </c>
      <c r="O2119" s="7">
        <v>172.5</v>
      </c>
    </row>
    <row r="2120" spans="1:18" x14ac:dyDescent="0.2">
      <c r="A2120">
        <v>2119</v>
      </c>
      <c r="B2120" s="1">
        <v>40777</v>
      </c>
      <c r="C2120" t="s">
        <v>24</v>
      </c>
      <c r="D2120" s="7">
        <v>40</v>
      </c>
      <c r="E2120" s="7">
        <v>7</v>
      </c>
      <c r="F2120" s="7">
        <f t="shared" si="33"/>
        <v>2</v>
      </c>
      <c r="G2120" s="7" t="str">
        <f>LOOKUP(H2120,[1]startdates!$A$2:$A$10,[1]startdates!$B$2:$B$10)</f>
        <v>C</v>
      </c>
      <c r="H2120">
        <v>5</v>
      </c>
      <c r="O2120" s="7">
        <v>166.3</v>
      </c>
    </row>
    <row r="2121" spans="1:18" x14ac:dyDescent="0.2">
      <c r="A2121">
        <v>2120</v>
      </c>
      <c r="B2121" s="1">
        <v>40777</v>
      </c>
      <c r="C2121" t="s">
        <v>24</v>
      </c>
      <c r="D2121" s="7">
        <v>40</v>
      </c>
      <c r="E2121" s="7">
        <v>7</v>
      </c>
      <c r="F2121" s="7">
        <f t="shared" si="33"/>
        <v>2</v>
      </c>
      <c r="G2121" s="7" t="str">
        <f>LOOKUP(H2121,[1]startdates!$A$2:$A$10,[1]startdates!$B$2:$B$10)</f>
        <v>FMr</v>
      </c>
      <c r="H2121">
        <v>6</v>
      </c>
      <c r="I2121" s="7">
        <v>710.7</v>
      </c>
      <c r="K2121" s="7">
        <v>577.5</v>
      </c>
      <c r="L2121" s="7">
        <v>416.1</v>
      </c>
      <c r="M2121" s="7">
        <v>287.2</v>
      </c>
      <c r="N2121" s="7">
        <v>280.7</v>
      </c>
      <c r="O2121" s="7">
        <v>169.4</v>
      </c>
      <c r="R2121" s="7">
        <v>231.9</v>
      </c>
    </row>
    <row r="2122" spans="1:18" x14ac:dyDescent="0.2">
      <c r="A2122">
        <v>2121</v>
      </c>
      <c r="B2122" s="1">
        <v>40777</v>
      </c>
      <c r="C2122" t="s">
        <v>24</v>
      </c>
      <c r="D2122" s="7">
        <v>40</v>
      </c>
      <c r="E2122" s="7">
        <v>7</v>
      </c>
      <c r="F2122" s="7">
        <f t="shared" si="33"/>
        <v>2</v>
      </c>
      <c r="G2122" s="7" t="str">
        <f>LOOKUP(H2122,[1]startdates!$A$2:$A$10,[1]startdates!$B$2:$B$10)</f>
        <v>FMr</v>
      </c>
      <c r="H2122">
        <v>6</v>
      </c>
      <c r="I2122" s="7">
        <v>622.29999999999995</v>
      </c>
      <c r="K2122" s="7">
        <v>639.6</v>
      </c>
      <c r="L2122" s="7">
        <v>552.29999999999995</v>
      </c>
      <c r="M2122" s="7">
        <v>373</v>
      </c>
      <c r="N2122" s="7">
        <v>241.6</v>
      </c>
      <c r="O2122" s="7">
        <v>175.6</v>
      </c>
      <c r="R2122" s="7">
        <v>268.39999999999998</v>
      </c>
    </row>
    <row r="2123" spans="1:18" x14ac:dyDescent="0.2">
      <c r="A2123">
        <v>2122</v>
      </c>
      <c r="B2123" s="1">
        <v>40777</v>
      </c>
      <c r="C2123" t="s">
        <v>24</v>
      </c>
      <c r="D2123" s="7">
        <v>40</v>
      </c>
      <c r="E2123" s="7">
        <v>7</v>
      </c>
      <c r="F2123" s="7">
        <f t="shared" si="33"/>
        <v>2</v>
      </c>
      <c r="G2123" s="7" t="str">
        <f>LOOKUP(H2123,[1]startdates!$A$2:$A$10,[1]startdates!$B$2:$B$10)</f>
        <v>FMr</v>
      </c>
      <c r="H2123">
        <v>6</v>
      </c>
      <c r="I2123" s="7">
        <v>725.3</v>
      </c>
      <c r="K2123" s="7">
        <v>612.9</v>
      </c>
      <c r="L2123" s="7">
        <v>558.1</v>
      </c>
      <c r="M2123" s="7">
        <v>369.8</v>
      </c>
      <c r="N2123" s="7">
        <v>216.1</v>
      </c>
      <c r="O2123" s="7">
        <v>194.4</v>
      </c>
      <c r="R2123" s="7">
        <v>242.1</v>
      </c>
    </row>
    <row r="2124" spans="1:18" x14ac:dyDescent="0.2">
      <c r="A2124">
        <v>2123</v>
      </c>
      <c r="B2124" s="1">
        <v>40777</v>
      </c>
      <c r="C2124" t="s">
        <v>24</v>
      </c>
      <c r="D2124" s="7">
        <v>40</v>
      </c>
      <c r="E2124" s="7">
        <v>7</v>
      </c>
      <c r="F2124" s="7">
        <f t="shared" si="33"/>
        <v>2</v>
      </c>
      <c r="G2124" s="7" t="str">
        <f>LOOKUP(H2124,[1]startdates!$A$2:$A$10,[1]startdates!$B$2:$B$10)</f>
        <v>FMr</v>
      </c>
      <c r="H2124">
        <v>6</v>
      </c>
      <c r="I2124" s="7">
        <v>736.1</v>
      </c>
      <c r="K2124" s="7">
        <v>596.29999999999995</v>
      </c>
      <c r="L2124" s="7">
        <v>419.8</v>
      </c>
      <c r="M2124" s="7">
        <v>359.7</v>
      </c>
      <c r="N2124" s="7">
        <v>215.1</v>
      </c>
      <c r="O2124" s="7">
        <v>180.5</v>
      </c>
    </row>
    <row r="2125" spans="1:18" x14ac:dyDescent="0.2">
      <c r="A2125">
        <v>2124</v>
      </c>
      <c r="B2125" s="1">
        <v>40777</v>
      </c>
      <c r="C2125" t="s">
        <v>24</v>
      </c>
      <c r="D2125" s="7">
        <v>40</v>
      </c>
      <c r="E2125" s="7">
        <v>7</v>
      </c>
      <c r="F2125" s="7">
        <f t="shared" si="33"/>
        <v>2</v>
      </c>
      <c r="G2125" s="7" t="str">
        <f>LOOKUP(H2125,[1]startdates!$A$2:$A$10,[1]startdates!$B$2:$B$10)</f>
        <v>FMr</v>
      </c>
      <c r="H2125">
        <v>6</v>
      </c>
      <c r="I2125" s="7">
        <v>642.6</v>
      </c>
      <c r="K2125" s="7">
        <v>500.6</v>
      </c>
      <c r="L2125" s="7">
        <v>462.8</v>
      </c>
      <c r="M2125" s="7">
        <v>332.6</v>
      </c>
      <c r="N2125" s="7">
        <v>203.3</v>
      </c>
      <c r="O2125" s="7">
        <v>176.2</v>
      </c>
    </row>
    <row r="2126" spans="1:18" x14ac:dyDescent="0.2">
      <c r="A2126">
        <v>2125</v>
      </c>
      <c r="B2126" s="1">
        <v>40777</v>
      </c>
      <c r="C2126" t="s">
        <v>24</v>
      </c>
      <c r="D2126" s="7">
        <v>40</v>
      </c>
      <c r="E2126" s="7">
        <v>7</v>
      </c>
      <c r="F2126" s="7">
        <f t="shared" si="33"/>
        <v>2</v>
      </c>
      <c r="G2126" s="7" t="str">
        <f>LOOKUP(H2126,[1]startdates!$A$2:$A$10,[1]startdates!$B$2:$B$10)</f>
        <v>FMr</v>
      </c>
      <c r="H2126">
        <v>6</v>
      </c>
      <c r="I2126" s="7">
        <v>847.7</v>
      </c>
      <c r="K2126" s="7">
        <v>617.29999999999995</v>
      </c>
      <c r="L2126" s="7">
        <v>387.5</v>
      </c>
      <c r="M2126" s="7">
        <v>345.1</v>
      </c>
      <c r="N2126" s="7">
        <v>231.7</v>
      </c>
      <c r="O2126" s="7">
        <v>164.2</v>
      </c>
    </row>
    <row r="2127" spans="1:18" x14ac:dyDescent="0.2">
      <c r="A2127">
        <v>2126</v>
      </c>
      <c r="B2127" s="1">
        <v>40777</v>
      </c>
      <c r="C2127" t="s">
        <v>24</v>
      </c>
      <c r="D2127" s="7">
        <v>40</v>
      </c>
      <c r="E2127" s="7">
        <v>7</v>
      </c>
      <c r="F2127" s="7">
        <f t="shared" si="33"/>
        <v>2</v>
      </c>
      <c r="G2127" s="7" t="str">
        <f>LOOKUP(H2127,[1]startdates!$A$2:$A$10,[1]startdates!$B$2:$B$10)</f>
        <v>FMr</v>
      </c>
      <c r="H2127">
        <v>6</v>
      </c>
      <c r="I2127" s="7">
        <v>629.5</v>
      </c>
      <c r="K2127" s="7">
        <v>523.9</v>
      </c>
      <c r="L2127" s="7">
        <v>405.6</v>
      </c>
      <c r="M2127" s="7">
        <v>369.3</v>
      </c>
      <c r="N2127" s="7">
        <v>202.8</v>
      </c>
      <c r="O2127" s="7">
        <v>172.4</v>
      </c>
    </row>
    <row r="2128" spans="1:18" x14ac:dyDescent="0.2">
      <c r="A2128">
        <v>2127</v>
      </c>
      <c r="B2128" s="1">
        <v>40777</v>
      </c>
      <c r="C2128" t="s">
        <v>24</v>
      </c>
      <c r="D2128" s="7">
        <v>40</v>
      </c>
      <c r="E2128" s="7">
        <v>7</v>
      </c>
      <c r="F2128" s="7">
        <f t="shared" si="33"/>
        <v>2</v>
      </c>
      <c r="G2128" s="7" t="str">
        <f>LOOKUP(H2128,[1]startdates!$A$2:$A$10,[1]startdates!$B$2:$B$10)</f>
        <v>FMr</v>
      </c>
      <c r="H2128">
        <v>6</v>
      </c>
      <c r="K2128" s="7">
        <v>535.4</v>
      </c>
      <c r="L2128" s="7">
        <v>434.8</v>
      </c>
      <c r="M2128" s="7">
        <v>388.6</v>
      </c>
      <c r="N2128" s="7">
        <v>255.1</v>
      </c>
      <c r="O2128" s="7">
        <v>166.1</v>
      </c>
    </row>
    <row r="2129" spans="1:17" x14ac:dyDescent="0.2">
      <c r="A2129">
        <v>2128</v>
      </c>
      <c r="B2129" s="1">
        <v>40777</v>
      </c>
      <c r="C2129" t="s">
        <v>24</v>
      </c>
      <c r="D2129" s="7">
        <v>40</v>
      </c>
      <c r="E2129" s="7">
        <v>7</v>
      </c>
      <c r="F2129" s="7">
        <f t="shared" si="33"/>
        <v>2</v>
      </c>
      <c r="G2129" s="7" t="str">
        <f>LOOKUP(H2129,[1]startdates!$A$2:$A$10,[1]startdates!$B$2:$B$10)</f>
        <v>FMr</v>
      </c>
      <c r="H2129">
        <v>6</v>
      </c>
      <c r="K2129" s="7">
        <v>651.6</v>
      </c>
      <c r="N2129" s="7">
        <v>202.6</v>
      </c>
      <c r="O2129" s="7">
        <v>159.80000000000001</v>
      </c>
    </row>
    <row r="2130" spans="1:17" x14ac:dyDescent="0.2">
      <c r="A2130">
        <v>2129</v>
      </c>
      <c r="B2130" s="1">
        <v>40777</v>
      </c>
      <c r="C2130" t="s">
        <v>24</v>
      </c>
      <c r="D2130" s="7">
        <v>40</v>
      </c>
      <c r="E2130" s="7">
        <v>7</v>
      </c>
      <c r="F2130" s="7">
        <f t="shared" si="33"/>
        <v>2</v>
      </c>
      <c r="G2130" s="7" t="str">
        <f>LOOKUP(H2130,[1]startdates!$A$2:$A$10,[1]startdates!$B$2:$B$10)</f>
        <v>FMr</v>
      </c>
      <c r="H2130">
        <v>6</v>
      </c>
      <c r="N2130" s="7">
        <v>200.6</v>
      </c>
      <c r="O2130" s="7">
        <v>181.3</v>
      </c>
    </row>
    <row r="2131" spans="1:17" x14ac:dyDescent="0.2">
      <c r="A2131">
        <v>2130</v>
      </c>
      <c r="B2131" s="1">
        <v>40777</v>
      </c>
      <c r="C2131" t="s">
        <v>24</v>
      </c>
      <c r="D2131" s="7">
        <v>40</v>
      </c>
      <c r="E2131" s="7">
        <v>7</v>
      </c>
      <c r="F2131" s="7">
        <f t="shared" si="33"/>
        <v>2</v>
      </c>
      <c r="G2131" s="7" t="str">
        <f>LOOKUP(H2131,[1]startdates!$A$2:$A$10,[1]startdates!$B$2:$B$10)</f>
        <v>FMr</v>
      </c>
      <c r="H2131">
        <v>6</v>
      </c>
      <c r="N2131" s="7">
        <v>240.4</v>
      </c>
      <c r="O2131" s="7">
        <v>175.6</v>
      </c>
    </row>
    <row r="2132" spans="1:17" x14ac:dyDescent="0.2">
      <c r="A2132">
        <v>2131</v>
      </c>
      <c r="B2132" s="1">
        <v>40777</v>
      </c>
      <c r="C2132" t="s">
        <v>24</v>
      </c>
      <c r="D2132" s="7">
        <v>40</v>
      </c>
      <c r="E2132" s="7">
        <v>7</v>
      </c>
      <c r="F2132" s="7">
        <f t="shared" si="33"/>
        <v>2</v>
      </c>
      <c r="G2132" s="7" t="str">
        <f>LOOKUP(H2132,[1]startdates!$A$2:$A$10,[1]startdates!$B$2:$B$10)</f>
        <v>FMr</v>
      </c>
      <c r="H2132">
        <v>6</v>
      </c>
      <c r="N2132" s="7">
        <v>231.7</v>
      </c>
      <c r="O2132" s="7">
        <v>175</v>
      </c>
    </row>
    <row r="2133" spans="1:17" x14ac:dyDescent="0.2">
      <c r="A2133">
        <v>2132</v>
      </c>
      <c r="B2133" s="1">
        <v>40777</v>
      </c>
      <c r="C2133" t="s">
        <v>24</v>
      </c>
      <c r="D2133" s="7">
        <v>40</v>
      </c>
      <c r="E2133" s="7">
        <v>7</v>
      </c>
      <c r="F2133" s="7">
        <f t="shared" si="33"/>
        <v>2</v>
      </c>
      <c r="G2133" s="7" t="str">
        <f>LOOKUP(H2133,[1]startdates!$A$2:$A$10,[1]startdates!$B$2:$B$10)</f>
        <v>FMr</v>
      </c>
      <c r="H2133">
        <v>6</v>
      </c>
      <c r="N2133" s="7">
        <v>291.10000000000002</v>
      </c>
      <c r="O2133" s="7">
        <v>143.4</v>
      </c>
    </row>
    <row r="2134" spans="1:17" x14ac:dyDescent="0.2">
      <c r="A2134">
        <v>2133</v>
      </c>
      <c r="B2134" s="1">
        <v>40777</v>
      </c>
      <c r="C2134" t="s">
        <v>24</v>
      </c>
      <c r="D2134" s="7">
        <v>40</v>
      </c>
      <c r="E2134" s="7">
        <v>7</v>
      </c>
      <c r="F2134" s="7">
        <f t="shared" si="33"/>
        <v>2</v>
      </c>
      <c r="G2134" s="7" t="str">
        <f>LOOKUP(H2134,[1]startdates!$A$2:$A$10,[1]startdates!$B$2:$B$10)</f>
        <v>FMr</v>
      </c>
      <c r="H2134">
        <v>6</v>
      </c>
      <c r="N2134" s="7">
        <v>220.7</v>
      </c>
      <c r="O2134" s="7">
        <v>189.3</v>
      </c>
    </row>
    <row r="2135" spans="1:17" x14ac:dyDescent="0.2">
      <c r="A2135">
        <v>2134</v>
      </c>
      <c r="B2135" s="1">
        <v>40777</v>
      </c>
      <c r="C2135" t="s">
        <v>24</v>
      </c>
      <c r="D2135" s="7">
        <v>40</v>
      </c>
      <c r="E2135" s="7">
        <v>7</v>
      </c>
      <c r="F2135" s="7">
        <f t="shared" si="33"/>
        <v>2</v>
      </c>
      <c r="G2135" s="7" t="str">
        <f>LOOKUP(H2135,[1]startdates!$A$2:$A$10,[1]startdates!$B$2:$B$10)</f>
        <v>FMr</v>
      </c>
      <c r="H2135">
        <v>6</v>
      </c>
      <c r="N2135" s="7">
        <v>230.7</v>
      </c>
      <c r="O2135" s="7">
        <v>191.4</v>
      </c>
    </row>
    <row r="2136" spans="1:17" x14ac:dyDescent="0.2">
      <c r="A2136">
        <v>2135</v>
      </c>
      <c r="B2136" s="1">
        <v>40777</v>
      </c>
      <c r="C2136" t="s">
        <v>24</v>
      </c>
      <c r="D2136" s="7">
        <v>40</v>
      </c>
      <c r="E2136" s="7">
        <v>7</v>
      </c>
      <c r="F2136" s="7">
        <f t="shared" si="33"/>
        <v>2</v>
      </c>
      <c r="G2136" s="7" t="str">
        <f>LOOKUP(H2136,[1]startdates!$A$2:$A$10,[1]startdates!$B$2:$B$10)</f>
        <v>FMr</v>
      </c>
      <c r="H2136">
        <v>6</v>
      </c>
      <c r="N2136" s="7">
        <v>208.4</v>
      </c>
      <c r="O2136" s="7">
        <v>162</v>
      </c>
    </row>
    <row r="2137" spans="1:17" x14ac:dyDescent="0.2">
      <c r="A2137">
        <v>2136</v>
      </c>
      <c r="B2137" s="1">
        <v>40777</v>
      </c>
      <c r="C2137" t="s">
        <v>24</v>
      </c>
      <c r="D2137" s="7">
        <v>40</v>
      </c>
      <c r="E2137" s="7">
        <v>7</v>
      </c>
      <c r="F2137" s="7">
        <f t="shared" si="33"/>
        <v>2</v>
      </c>
      <c r="G2137" s="7" t="str">
        <f>LOOKUP(H2137,[1]startdates!$A$2:$A$10,[1]startdates!$B$2:$B$10)</f>
        <v>FMr</v>
      </c>
      <c r="H2137">
        <v>6</v>
      </c>
      <c r="N2137" s="7">
        <v>258.10000000000002</v>
      </c>
    </row>
    <row r="2138" spans="1:17" x14ac:dyDescent="0.2">
      <c r="A2138">
        <v>2137</v>
      </c>
      <c r="B2138" s="1">
        <v>40777</v>
      </c>
      <c r="C2138" t="s">
        <v>24</v>
      </c>
      <c r="D2138" s="7">
        <v>40</v>
      </c>
      <c r="E2138" s="7">
        <v>7</v>
      </c>
      <c r="F2138" s="7">
        <f t="shared" si="33"/>
        <v>2</v>
      </c>
      <c r="G2138" s="7" t="str">
        <f>LOOKUP(H2138,[1]startdates!$A$2:$A$10,[1]startdates!$B$2:$B$10)</f>
        <v>FMr</v>
      </c>
      <c r="H2138">
        <v>7</v>
      </c>
      <c r="I2138" s="7">
        <v>783.8</v>
      </c>
      <c r="K2138" s="7">
        <v>679.8</v>
      </c>
      <c r="L2138" s="7">
        <v>558.20000000000005</v>
      </c>
      <c r="M2138" s="7">
        <v>379.6</v>
      </c>
      <c r="N2138" s="7">
        <v>281.8</v>
      </c>
      <c r="O2138" s="7">
        <v>183.1</v>
      </c>
      <c r="P2138" s="7">
        <v>598</v>
      </c>
      <c r="Q2138" s="7">
        <v>361.1</v>
      </c>
    </row>
    <row r="2139" spans="1:17" x14ac:dyDescent="0.2">
      <c r="A2139">
        <v>2138</v>
      </c>
      <c r="B2139" s="1">
        <v>40777</v>
      </c>
      <c r="C2139" t="s">
        <v>24</v>
      </c>
      <c r="D2139" s="7">
        <v>40</v>
      </c>
      <c r="E2139" s="7">
        <v>7</v>
      </c>
      <c r="F2139" s="7">
        <f t="shared" si="33"/>
        <v>2</v>
      </c>
      <c r="G2139" s="7" t="str">
        <f>LOOKUP(H2139,[1]startdates!$A$2:$A$10,[1]startdates!$B$2:$B$10)</f>
        <v>FMr</v>
      </c>
      <c r="H2139">
        <v>7</v>
      </c>
      <c r="I2139" s="7">
        <v>788.3</v>
      </c>
      <c r="K2139" s="7">
        <v>588.1</v>
      </c>
      <c r="L2139" s="7">
        <v>511.5</v>
      </c>
      <c r="M2139" s="7">
        <v>323.7</v>
      </c>
      <c r="N2139" s="7">
        <v>233.9</v>
      </c>
      <c r="O2139" s="7">
        <v>196.7</v>
      </c>
      <c r="Q2139" s="7">
        <v>417.5</v>
      </c>
    </row>
    <row r="2140" spans="1:17" x14ac:dyDescent="0.2">
      <c r="A2140">
        <v>2139</v>
      </c>
      <c r="B2140" s="1">
        <v>40777</v>
      </c>
      <c r="C2140" t="s">
        <v>24</v>
      </c>
      <c r="D2140" s="7">
        <v>40</v>
      </c>
      <c r="E2140" s="7">
        <v>7</v>
      </c>
      <c r="F2140" s="7">
        <f t="shared" si="33"/>
        <v>2</v>
      </c>
      <c r="G2140" s="7" t="str">
        <f>LOOKUP(H2140,[1]startdates!$A$2:$A$10,[1]startdates!$B$2:$B$10)</f>
        <v>FMr</v>
      </c>
      <c r="H2140">
        <v>7</v>
      </c>
      <c r="I2140" s="7">
        <v>613.79999999999995</v>
      </c>
      <c r="K2140" s="7">
        <v>504.4</v>
      </c>
      <c r="L2140" s="7">
        <v>473</v>
      </c>
      <c r="M2140" s="7">
        <v>340.7</v>
      </c>
      <c r="N2140" s="7">
        <v>253</v>
      </c>
      <c r="O2140" s="7">
        <v>174.9</v>
      </c>
    </row>
    <row r="2141" spans="1:17" x14ac:dyDescent="0.2">
      <c r="A2141">
        <v>2140</v>
      </c>
      <c r="B2141" s="1">
        <v>40777</v>
      </c>
      <c r="C2141" t="s">
        <v>24</v>
      </c>
      <c r="D2141" s="7">
        <v>40</v>
      </c>
      <c r="E2141" s="7">
        <v>7</v>
      </c>
      <c r="F2141" s="7">
        <f t="shared" si="33"/>
        <v>2</v>
      </c>
      <c r="G2141" s="7" t="str">
        <f>LOOKUP(H2141,[1]startdates!$A$2:$A$10,[1]startdates!$B$2:$B$10)</f>
        <v>FMr</v>
      </c>
      <c r="H2141">
        <v>7</v>
      </c>
      <c r="I2141" s="7">
        <v>604.5</v>
      </c>
      <c r="L2141" s="7">
        <v>509.7</v>
      </c>
      <c r="M2141" s="7">
        <v>295.7</v>
      </c>
      <c r="N2141" s="7">
        <v>280.2</v>
      </c>
      <c r="O2141" s="7">
        <v>182.2</v>
      </c>
    </row>
    <row r="2142" spans="1:17" x14ac:dyDescent="0.2">
      <c r="A2142">
        <v>2141</v>
      </c>
      <c r="B2142" s="1">
        <v>40777</v>
      </c>
      <c r="C2142" t="s">
        <v>24</v>
      </c>
      <c r="D2142" s="7">
        <v>40</v>
      </c>
      <c r="E2142" s="7">
        <v>7</v>
      </c>
      <c r="F2142" s="7">
        <f t="shared" si="33"/>
        <v>2</v>
      </c>
      <c r="G2142" s="7" t="str">
        <f>LOOKUP(H2142,[1]startdates!$A$2:$A$10,[1]startdates!$B$2:$B$10)</f>
        <v>FMr</v>
      </c>
      <c r="H2142">
        <v>7</v>
      </c>
      <c r="I2142" s="7">
        <v>777.2</v>
      </c>
      <c r="L2142" s="7">
        <v>530.29999999999995</v>
      </c>
      <c r="M2142" s="7">
        <v>399.8</v>
      </c>
      <c r="N2142" s="7">
        <v>228.5</v>
      </c>
      <c r="O2142" s="7">
        <v>173.3</v>
      </c>
    </row>
    <row r="2143" spans="1:17" x14ac:dyDescent="0.2">
      <c r="A2143">
        <v>2142</v>
      </c>
      <c r="B2143" s="1">
        <v>40777</v>
      </c>
      <c r="C2143" t="s">
        <v>24</v>
      </c>
      <c r="D2143" s="7">
        <v>40</v>
      </c>
      <c r="E2143" s="7">
        <v>7</v>
      </c>
      <c r="F2143" s="7">
        <f t="shared" si="33"/>
        <v>2</v>
      </c>
      <c r="G2143" s="7" t="str">
        <f>LOOKUP(H2143,[1]startdates!$A$2:$A$10,[1]startdates!$B$2:$B$10)</f>
        <v>FMr</v>
      </c>
      <c r="H2143">
        <v>7</v>
      </c>
      <c r="I2143" s="7">
        <v>647.29999999999995</v>
      </c>
      <c r="M2143" s="7">
        <v>331.1</v>
      </c>
      <c r="N2143" s="7">
        <v>190.9</v>
      </c>
      <c r="O2143" s="7">
        <v>158.4</v>
      </c>
    </row>
    <row r="2144" spans="1:17" x14ac:dyDescent="0.2">
      <c r="A2144">
        <v>2143</v>
      </c>
      <c r="B2144" s="1">
        <v>40777</v>
      </c>
      <c r="C2144" t="s">
        <v>24</v>
      </c>
      <c r="D2144" s="7">
        <v>40</v>
      </c>
      <c r="E2144" s="7">
        <v>7</v>
      </c>
      <c r="F2144" s="7">
        <f t="shared" si="33"/>
        <v>2</v>
      </c>
      <c r="G2144" s="7" t="str">
        <f>LOOKUP(H2144,[1]startdates!$A$2:$A$10,[1]startdates!$B$2:$B$10)</f>
        <v>FMr</v>
      </c>
      <c r="H2144">
        <v>7</v>
      </c>
      <c r="I2144" s="7">
        <v>775.5</v>
      </c>
      <c r="M2144" s="7">
        <v>409.2</v>
      </c>
      <c r="N2144" s="7">
        <v>236.1</v>
      </c>
      <c r="O2144" s="7">
        <v>162</v>
      </c>
    </row>
    <row r="2145" spans="1:19" x14ac:dyDescent="0.2">
      <c r="A2145">
        <v>2144</v>
      </c>
      <c r="B2145" s="1">
        <v>40777</v>
      </c>
      <c r="C2145" t="s">
        <v>24</v>
      </c>
      <c r="D2145" s="7">
        <v>40</v>
      </c>
      <c r="E2145" s="7">
        <v>7</v>
      </c>
      <c r="F2145" s="7">
        <f t="shared" si="33"/>
        <v>2</v>
      </c>
      <c r="G2145" s="7" t="str">
        <f>LOOKUP(H2145,[1]startdates!$A$2:$A$10,[1]startdates!$B$2:$B$10)</f>
        <v>FMr</v>
      </c>
      <c r="H2145">
        <v>7</v>
      </c>
      <c r="I2145" s="7">
        <v>761.4</v>
      </c>
      <c r="M2145" s="7">
        <v>331.5</v>
      </c>
      <c r="N2145" s="7">
        <v>297.2</v>
      </c>
      <c r="O2145" s="7">
        <v>181.9</v>
      </c>
    </row>
    <row r="2146" spans="1:19" x14ac:dyDescent="0.2">
      <c r="A2146">
        <v>2145</v>
      </c>
      <c r="B2146" s="1">
        <v>40777</v>
      </c>
      <c r="C2146" t="s">
        <v>24</v>
      </c>
      <c r="D2146" s="7">
        <v>40</v>
      </c>
      <c r="E2146" s="7">
        <v>7</v>
      </c>
      <c r="F2146" s="7">
        <f t="shared" si="33"/>
        <v>2</v>
      </c>
      <c r="G2146" s="7" t="str">
        <f>LOOKUP(H2146,[1]startdates!$A$2:$A$10,[1]startdates!$B$2:$B$10)</f>
        <v>FMr</v>
      </c>
      <c r="H2146">
        <v>7</v>
      </c>
      <c r="I2146" s="7">
        <v>784.4</v>
      </c>
      <c r="M2146" s="7">
        <v>335.9</v>
      </c>
      <c r="N2146" s="7">
        <v>237.6</v>
      </c>
      <c r="O2146" s="7">
        <v>165.7</v>
      </c>
    </row>
    <row r="2147" spans="1:19" x14ac:dyDescent="0.2">
      <c r="A2147">
        <v>2146</v>
      </c>
      <c r="B2147" s="1">
        <v>40777</v>
      </c>
      <c r="C2147" t="s">
        <v>24</v>
      </c>
      <c r="D2147" s="7">
        <v>40</v>
      </c>
      <c r="E2147" s="7">
        <v>7</v>
      </c>
      <c r="F2147" s="7">
        <f t="shared" si="33"/>
        <v>2</v>
      </c>
      <c r="G2147" s="7" t="str">
        <f>LOOKUP(H2147,[1]startdates!$A$2:$A$10,[1]startdates!$B$2:$B$10)</f>
        <v>FMr</v>
      </c>
      <c r="H2147">
        <v>7</v>
      </c>
      <c r="I2147" s="7">
        <v>879.7</v>
      </c>
      <c r="N2147" s="7">
        <v>289</v>
      </c>
      <c r="O2147" s="7">
        <v>185.9</v>
      </c>
    </row>
    <row r="2148" spans="1:19" x14ac:dyDescent="0.2">
      <c r="A2148">
        <v>2147</v>
      </c>
      <c r="B2148" s="1">
        <v>40777</v>
      </c>
      <c r="C2148" t="s">
        <v>24</v>
      </c>
      <c r="D2148" s="7">
        <v>40</v>
      </c>
      <c r="E2148" s="7">
        <v>7</v>
      </c>
      <c r="F2148" s="7">
        <f t="shared" si="33"/>
        <v>2</v>
      </c>
      <c r="G2148" s="7" t="str">
        <f>LOOKUP(H2148,[1]startdates!$A$2:$A$10,[1]startdates!$B$2:$B$10)</f>
        <v>FMr</v>
      </c>
      <c r="H2148">
        <v>7</v>
      </c>
      <c r="I2148" s="7">
        <v>572.70000000000005</v>
      </c>
      <c r="N2148" s="7">
        <v>239.8</v>
      </c>
      <c r="O2148" s="7">
        <v>148.4</v>
      </c>
    </row>
    <row r="2149" spans="1:19" x14ac:dyDescent="0.2">
      <c r="A2149">
        <v>2148</v>
      </c>
      <c r="B2149" s="1">
        <v>40777</v>
      </c>
      <c r="C2149" t="s">
        <v>24</v>
      </c>
      <c r="D2149" s="7">
        <v>40</v>
      </c>
      <c r="E2149" s="7">
        <v>7</v>
      </c>
      <c r="F2149" s="7">
        <f t="shared" si="33"/>
        <v>2</v>
      </c>
      <c r="G2149" s="7" t="str">
        <f>LOOKUP(H2149,[1]startdates!$A$2:$A$10,[1]startdates!$B$2:$B$10)</f>
        <v>FMr</v>
      </c>
      <c r="H2149">
        <v>7</v>
      </c>
      <c r="I2149" s="7">
        <v>644.6</v>
      </c>
      <c r="N2149" s="7">
        <v>240.4</v>
      </c>
      <c r="O2149" s="7">
        <v>167.9</v>
      </c>
    </row>
    <row r="2150" spans="1:19" x14ac:dyDescent="0.2">
      <c r="A2150">
        <v>2149</v>
      </c>
      <c r="B2150" s="1">
        <v>40777</v>
      </c>
      <c r="C2150" t="s">
        <v>24</v>
      </c>
      <c r="D2150" s="7">
        <v>40</v>
      </c>
      <c r="E2150" s="7">
        <v>7</v>
      </c>
      <c r="F2150" s="7">
        <f t="shared" si="33"/>
        <v>2</v>
      </c>
      <c r="G2150" s="7" t="str">
        <f>LOOKUP(H2150,[1]startdates!$A$2:$A$10,[1]startdates!$B$2:$B$10)</f>
        <v>C</v>
      </c>
      <c r="H2150">
        <v>8</v>
      </c>
      <c r="I2150" s="7">
        <v>700.5</v>
      </c>
      <c r="J2150" s="7">
        <v>613.5</v>
      </c>
      <c r="K2150" s="7">
        <v>627.1</v>
      </c>
      <c r="L2150" s="7">
        <v>480.8</v>
      </c>
      <c r="M2150" s="7">
        <v>362.2</v>
      </c>
      <c r="N2150" s="7">
        <v>248.2</v>
      </c>
      <c r="O2150" s="7">
        <v>182.5</v>
      </c>
      <c r="S2150" s="7">
        <v>310</v>
      </c>
    </row>
    <row r="2151" spans="1:19" x14ac:dyDescent="0.2">
      <c r="A2151">
        <v>2150</v>
      </c>
      <c r="B2151" s="1">
        <v>40777</v>
      </c>
      <c r="C2151" t="s">
        <v>24</v>
      </c>
      <c r="D2151" s="7">
        <v>40</v>
      </c>
      <c r="E2151" s="7">
        <v>7</v>
      </c>
      <c r="F2151" s="7">
        <f t="shared" si="33"/>
        <v>2</v>
      </c>
      <c r="G2151" s="7" t="str">
        <f>LOOKUP(H2151,[1]startdates!$A$2:$A$10,[1]startdates!$B$2:$B$10)</f>
        <v>C</v>
      </c>
      <c r="H2151">
        <v>8</v>
      </c>
      <c r="I2151" s="7">
        <v>724.1</v>
      </c>
      <c r="K2151" s="7">
        <v>745.7</v>
      </c>
      <c r="L2151" s="7">
        <v>463.9</v>
      </c>
      <c r="M2151" s="7">
        <v>355.1</v>
      </c>
      <c r="N2151" s="7">
        <v>262.89999999999998</v>
      </c>
      <c r="O2151" s="7">
        <v>180</v>
      </c>
    </row>
    <row r="2152" spans="1:19" x14ac:dyDescent="0.2">
      <c r="A2152">
        <v>2151</v>
      </c>
      <c r="B2152" s="1">
        <v>40777</v>
      </c>
      <c r="C2152" t="s">
        <v>24</v>
      </c>
      <c r="D2152" s="7">
        <v>40</v>
      </c>
      <c r="E2152" s="7">
        <v>7</v>
      </c>
      <c r="F2152" s="7">
        <f t="shared" si="33"/>
        <v>2</v>
      </c>
      <c r="G2152" s="7" t="str">
        <f>LOOKUP(H2152,[1]startdates!$A$2:$A$10,[1]startdates!$B$2:$B$10)</f>
        <v>C</v>
      </c>
      <c r="H2152">
        <v>8</v>
      </c>
      <c r="I2152" s="7">
        <v>773.2</v>
      </c>
      <c r="K2152" s="7">
        <v>665.8</v>
      </c>
      <c r="L2152" s="7">
        <v>582</v>
      </c>
      <c r="M2152" s="7">
        <v>323.3</v>
      </c>
      <c r="N2152" s="7">
        <v>269</v>
      </c>
      <c r="O2152" s="7">
        <v>195.7</v>
      </c>
    </row>
    <row r="2153" spans="1:19" x14ac:dyDescent="0.2">
      <c r="A2153">
        <v>2152</v>
      </c>
      <c r="B2153" s="1">
        <v>40777</v>
      </c>
      <c r="C2153" t="s">
        <v>24</v>
      </c>
      <c r="D2153" s="7">
        <v>40</v>
      </c>
      <c r="E2153" s="7">
        <v>7</v>
      </c>
      <c r="F2153" s="7">
        <f t="shared" ref="F2153:F2216" si="34">WEEKDAY(B2153)</f>
        <v>2</v>
      </c>
      <c r="G2153" s="7" t="str">
        <f>LOOKUP(H2153,[1]startdates!$A$2:$A$10,[1]startdates!$B$2:$B$10)</f>
        <v>C</v>
      </c>
      <c r="H2153">
        <v>8</v>
      </c>
      <c r="I2153" s="7">
        <v>681.8</v>
      </c>
      <c r="K2153" s="7">
        <v>598.6</v>
      </c>
      <c r="M2153" s="7">
        <v>301.89999999999998</v>
      </c>
      <c r="N2153" s="7">
        <v>225.6</v>
      </c>
      <c r="O2153" s="7">
        <v>191.5</v>
      </c>
    </row>
    <row r="2154" spans="1:19" x14ac:dyDescent="0.2">
      <c r="A2154">
        <v>2153</v>
      </c>
      <c r="B2154" s="1">
        <v>40777</v>
      </c>
      <c r="C2154" t="s">
        <v>24</v>
      </c>
      <c r="D2154" s="7">
        <v>40</v>
      </c>
      <c r="E2154" s="7">
        <v>7</v>
      </c>
      <c r="F2154" s="7">
        <f t="shared" si="34"/>
        <v>2</v>
      </c>
      <c r="G2154" s="7" t="str">
        <f>LOOKUP(H2154,[1]startdates!$A$2:$A$10,[1]startdates!$B$2:$B$10)</f>
        <v>C</v>
      </c>
      <c r="H2154">
        <v>8</v>
      </c>
      <c r="I2154" s="7">
        <v>594.29999999999995</v>
      </c>
      <c r="M2154" s="7">
        <v>386.9</v>
      </c>
      <c r="N2154" s="7">
        <v>267.8</v>
      </c>
      <c r="O2154" s="7">
        <v>156.5</v>
      </c>
    </row>
    <row r="2155" spans="1:19" x14ac:dyDescent="0.2">
      <c r="A2155">
        <v>2154</v>
      </c>
      <c r="B2155" s="1">
        <v>40777</v>
      </c>
      <c r="C2155" t="s">
        <v>24</v>
      </c>
      <c r="D2155" s="7">
        <v>40</v>
      </c>
      <c r="E2155" s="7">
        <v>7</v>
      </c>
      <c r="F2155" s="7">
        <f t="shared" si="34"/>
        <v>2</v>
      </c>
      <c r="G2155" s="7" t="str">
        <f>LOOKUP(H2155,[1]startdates!$A$2:$A$10,[1]startdates!$B$2:$B$10)</f>
        <v>C</v>
      </c>
      <c r="H2155">
        <v>8</v>
      </c>
      <c r="I2155" s="7">
        <v>877.6</v>
      </c>
      <c r="M2155" s="7">
        <v>341.8</v>
      </c>
      <c r="N2155" s="7">
        <v>224.1</v>
      </c>
      <c r="O2155" s="7">
        <v>160.5</v>
      </c>
    </row>
    <row r="2156" spans="1:19" x14ac:dyDescent="0.2">
      <c r="A2156">
        <v>2155</v>
      </c>
      <c r="B2156" s="1">
        <v>40777</v>
      </c>
      <c r="C2156" t="s">
        <v>24</v>
      </c>
      <c r="D2156" s="7">
        <v>40</v>
      </c>
      <c r="E2156" s="7">
        <v>7</v>
      </c>
      <c r="F2156" s="7">
        <f t="shared" si="34"/>
        <v>2</v>
      </c>
      <c r="G2156" s="7" t="str">
        <f>LOOKUP(H2156,[1]startdates!$A$2:$A$10,[1]startdates!$B$2:$B$10)</f>
        <v>C</v>
      </c>
      <c r="H2156">
        <v>8</v>
      </c>
      <c r="I2156" s="7">
        <v>710.6</v>
      </c>
      <c r="M2156" s="7">
        <v>321.2</v>
      </c>
      <c r="N2156" s="7">
        <v>253.6</v>
      </c>
      <c r="O2156" s="7">
        <v>166.4</v>
      </c>
    </row>
    <row r="2157" spans="1:19" x14ac:dyDescent="0.2">
      <c r="A2157">
        <v>2156</v>
      </c>
      <c r="B2157" s="1">
        <v>40777</v>
      </c>
      <c r="C2157" t="s">
        <v>24</v>
      </c>
      <c r="D2157" s="7">
        <v>40</v>
      </c>
      <c r="E2157" s="7">
        <v>7</v>
      </c>
      <c r="F2157" s="7">
        <f t="shared" si="34"/>
        <v>2</v>
      </c>
      <c r="G2157" s="7" t="str">
        <f>LOOKUP(H2157,[1]startdates!$A$2:$A$10,[1]startdates!$B$2:$B$10)</f>
        <v>C</v>
      </c>
      <c r="H2157">
        <v>8</v>
      </c>
      <c r="I2157" s="7">
        <v>850.5</v>
      </c>
      <c r="M2157" s="7">
        <v>359.2</v>
      </c>
      <c r="N2157" s="7">
        <v>225.7</v>
      </c>
      <c r="O2157" s="7">
        <v>193</v>
      </c>
    </row>
    <row r="2158" spans="1:19" x14ac:dyDescent="0.2">
      <c r="A2158">
        <v>2157</v>
      </c>
      <c r="B2158" s="1">
        <v>40777</v>
      </c>
      <c r="C2158" t="s">
        <v>24</v>
      </c>
      <c r="D2158" s="7">
        <v>40</v>
      </c>
      <c r="E2158" s="7">
        <v>7</v>
      </c>
      <c r="F2158" s="7">
        <f t="shared" si="34"/>
        <v>2</v>
      </c>
      <c r="G2158" s="7" t="str">
        <f>LOOKUP(H2158,[1]startdates!$A$2:$A$10,[1]startdates!$B$2:$B$10)</f>
        <v>C</v>
      </c>
      <c r="H2158">
        <v>8</v>
      </c>
      <c r="I2158" s="7">
        <v>742.6</v>
      </c>
      <c r="M2158" s="7">
        <v>368.9</v>
      </c>
      <c r="N2158" s="7">
        <v>256.39999999999998</v>
      </c>
      <c r="O2158" s="7">
        <v>191</v>
      </c>
    </row>
    <row r="2159" spans="1:19" x14ac:dyDescent="0.2">
      <c r="A2159">
        <v>2158</v>
      </c>
      <c r="B2159" s="1">
        <v>40777</v>
      </c>
      <c r="C2159" t="s">
        <v>24</v>
      </c>
      <c r="D2159" s="7">
        <v>40</v>
      </c>
      <c r="E2159" s="7">
        <v>7</v>
      </c>
      <c r="F2159" s="7">
        <f t="shared" si="34"/>
        <v>2</v>
      </c>
      <c r="G2159" s="7" t="str">
        <f>LOOKUP(H2159,[1]startdates!$A$2:$A$10,[1]startdates!$B$2:$B$10)</f>
        <v>C</v>
      </c>
      <c r="H2159">
        <v>8</v>
      </c>
      <c r="I2159" s="7">
        <v>644.70000000000005</v>
      </c>
      <c r="M2159" s="7">
        <v>328.8</v>
      </c>
      <c r="N2159" s="7">
        <v>210.8</v>
      </c>
      <c r="O2159" s="7">
        <v>178.1</v>
      </c>
    </row>
    <row r="2160" spans="1:19" x14ac:dyDescent="0.2">
      <c r="A2160">
        <v>2159</v>
      </c>
      <c r="B2160" s="1">
        <v>40777</v>
      </c>
      <c r="C2160" t="s">
        <v>24</v>
      </c>
      <c r="D2160" s="7">
        <v>40</v>
      </c>
      <c r="E2160" s="7">
        <v>7</v>
      </c>
      <c r="F2160" s="7">
        <f t="shared" si="34"/>
        <v>2</v>
      </c>
      <c r="G2160" s="7" t="str">
        <f>LOOKUP(H2160,[1]startdates!$A$2:$A$10,[1]startdates!$B$2:$B$10)</f>
        <v>C</v>
      </c>
      <c r="H2160">
        <v>8</v>
      </c>
      <c r="I2160" s="7">
        <v>635.70000000000005</v>
      </c>
      <c r="M2160" s="7">
        <v>320.5</v>
      </c>
      <c r="N2160" s="7">
        <v>230.5</v>
      </c>
      <c r="O2160" s="7">
        <v>171.3</v>
      </c>
    </row>
    <row r="2161" spans="1:17" x14ac:dyDescent="0.2">
      <c r="A2161">
        <v>2160</v>
      </c>
      <c r="B2161" s="1">
        <v>40777</v>
      </c>
      <c r="C2161" t="s">
        <v>24</v>
      </c>
      <c r="D2161" s="7">
        <v>40</v>
      </c>
      <c r="E2161" s="7">
        <v>7</v>
      </c>
      <c r="F2161" s="7">
        <f t="shared" si="34"/>
        <v>2</v>
      </c>
      <c r="G2161" s="7" t="str">
        <f>LOOKUP(H2161,[1]startdates!$A$2:$A$10,[1]startdates!$B$2:$B$10)</f>
        <v>C</v>
      </c>
      <c r="H2161">
        <v>8</v>
      </c>
      <c r="I2161" s="7">
        <v>740.6</v>
      </c>
      <c r="N2161" s="7">
        <v>199.1</v>
      </c>
      <c r="O2161" s="7">
        <v>136.19999999999999</v>
      </c>
    </row>
    <row r="2162" spans="1:17" x14ac:dyDescent="0.2">
      <c r="A2162">
        <v>2161</v>
      </c>
      <c r="B2162" s="1">
        <v>40777</v>
      </c>
      <c r="C2162" t="s">
        <v>24</v>
      </c>
      <c r="D2162" s="7">
        <v>40</v>
      </c>
      <c r="E2162" s="7">
        <v>7</v>
      </c>
      <c r="F2162" s="7">
        <f t="shared" si="34"/>
        <v>2</v>
      </c>
      <c r="G2162" s="7" t="str">
        <f>LOOKUP(H2162,[1]startdates!$A$2:$A$10,[1]startdates!$B$2:$B$10)</f>
        <v>C</v>
      </c>
      <c r="H2162">
        <v>8</v>
      </c>
      <c r="I2162" s="7">
        <v>625.70000000000005</v>
      </c>
      <c r="N2162" s="7">
        <v>289.89999999999998</v>
      </c>
      <c r="O2162" s="7">
        <v>171.3</v>
      </c>
    </row>
    <row r="2163" spans="1:17" x14ac:dyDescent="0.2">
      <c r="A2163">
        <v>2162</v>
      </c>
      <c r="B2163" s="1">
        <v>40777</v>
      </c>
      <c r="C2163" t="s">
        <v>24</v>
      </c>
      <c r="D2163" s="7">
        <v>40</v>
      </c>
      <c r="E2163" s="7">
        <v>7</v>
      </c>
      <c r="F2163" s="7">
        <f t="shared" si="34"/>
        <v>2</v>
      </c>
      <c r="G2163" s="7" t="str">
        <f>LOOKUP(H2163,[1]startdates!$A$2:$A$10,[1]startdates!$B$2:$B$10)</f>
        <v>C</v>
      </c>
      <c r="H2163">
        <v>8</v>
      </c>
      <c r="N2163" s="7">
        <v>239.3</v>
      </c>
    </row>
    <row r="2164" spans="1:17" x14ac:dyDescent="0.2">
      <c r="A2164">
        <v>2163</v>
      </c>
      <c r="B2164" s="1">
        <v>40777</v>
      </c>
      <c r="C2164" t="s">
        <v>24</v>
      </c>
      <c r="D2164" s="7">
        <v>40</v>
      </c>
      <c r="E2164" s="7">
        <v>7</v>
      </c>
      <c r="F2164" s="7">
        <f t="shared" si="34"/>
        <v>2</v>
      </c>
      <c r="G2164" s="7" t="str">
        <f>LOOKUP(H2164,[1]startdates!$A$2:$A$10,[1]startdates!$B$2:$B$10)</f>
        <v>FMr</v>
      </c>
      <c r="H2164">
        <v>9</v>
      </c>
      <c r="I2164" s="7">
        <v>726.7</v>
      </c>
      <c r="J2164" s="7">
        <v>550.4</v>
      </c>
      <c r="K2164" s="7">
        <v>491.7</v>
      </c>
      <c r="L2164" s="7">
        <v>428.2</v>
      </c>
      <c r="M2164" s="7">
        <v>373.7</v>
      </c>
      <c r="N2164" s="7">
        <v>258.8</v>
      </c>
      <c r="O2164" s="7">
        <v>166.7</v>
      </c>
      <c r="P2164" s="7">
        <v>555.5</v>
      </c>
      <c r="Q2164" s="7">
        <v>355.8</v>
      </c>
    </row>
    <row r="2165" spans="1:17" x14ac:dyDescent="0.2">
      <c r="A2165">
        <v>2164</v>
      </c>
      <c r="B2165" s="1">
        <v>40777</v>
      </c>
      <c r="C2165" t="s">
        <v>24</v>
      </c>
      <c r="D2165" s="7">
        <v>40</v>
      </c>
      <c r="E2165" s="7">
        <v>7</v>
      </c>
      <c r="F2165" s="7">
        <f t="shared" si="34"/>
        <v>2</v>
      </c>
      <c r="G2165" s="7" t="str">
        <f>LOOKUP(H2165,[1]startdates!$A$2:$A$10,[1]startdates!$B$2:$B$10)</f>
        <v>FMr</v>
      </c>
      <c r="H2165">
        <v>9</v>
      </c>
      <c r="I2165" s="7">
        <v>685.1</v>
      </c>
      <c r="J2165" s="7">
        <v>529.29999999999995</v>
      </c>
      <c r="L2165" s="7">
        <v>594.29999999999995</v>
      </c>
      <c r="M2165" s="7">
        <v>329</v>
      </c>
      <c r="N2165" s="7">
        <v>251.7</v>
      </c>
      <c r="O2165" s="7">
        <v>203.3</v>
      </c>
    </row>
    <row r="2166" spans="1:17" x14ac:dyDescent="0.2">
      <c r="A2166">
        <v>2165</v>
      </c>
      <c r="B2166" s="1">
        <v>40777</v>
      </c>
      <c r="C2166" t="s">
        <v>24</v>
      </c>
      <c r="D2166" s="7">
        <v>40</v>
      </c>
      <c r="E2166" s="7">
        <v>7</v>
      </c>
      <c r="F2166" s="7">
        <f t="shared" si="34"/>
        <v>2</v>
      </c>
      <c r="G2166" s="7" t="str">
        <f>LOOKUP(H2166,[1]startdates!$A$2:$A$10,[1]startdates!$B$2:$B$10)</f>
        <v>FMr</v>
      </c>
      <c r="H2166">
        <v>9</v>
      </c>
      <c r="I2166" s="7">
        <v>775.4</v>
      </c>
      <c r="L2166" s="7">
        <v>495.7</v>
      </c>
      <c r="M2166" s="7">
        <v>319.10000000000002</v>
      </c>
      <c r="N2166" s="7">
        <v>195.7</v>
      </c>
      <c r="O2166" s="7">
        <v>170</v>
      </c>
    </row>
    <row r="2167" spans="1:17" x14ac:dyDescent="0.2">
      <c r="A2167">
        <v>2166</v>
      </c>
      <c r="B2167" s="1">
        <v>40777</v>
      </c>
      <c r="C2167" t="s">
        <v>24</v>
      </c>
      <c r="D2167" s="7">
        <v>40</v>
      </c>
      <c r="E2167" s="7">
        <v>7</v>
      </c>
      <c r="F2167" s="7">
        <f t="shared" si="34"/>
        <v>2</v>
      </c>
      <c r="G2167" s="7" t="str">
        <f>LOOKUP(H2167,[1]startdates!$A$2:$A$10,[1]startdates!$B$2:$B$10)</f>
        <v>FMr</v>
      </c>
      <c r="H2167">
        <v>9</v>
      </c>
      <c r="I2167" s="7">
        <v>668.6</v>
      </c>
      <c r="L2167" s="7">
        <v>433.1</v>
      </c>
      <c r="M2167" s="7">
        <v>324.3</v>
      </c>
      <c r="N2167" s="7">
        <v>211.3</v>
      </c>
      <c r="O2167" s="7">
        <v>192</v>
      </c>
    </row>
    <row r="2168" spans="1:17" x14ac:dyDescent="0.2">
      <c r="A2168">
        <v>2167</v>
      </c>
      <c r="B2168" s="1">
        <v>40777</v>
      </c>
      <c r="C2168" t="s">
        <v>24</v>
      </c>
      <c r="D2168" s="7">
        <v>40</v>
      </c>
      <c r="E2168" s="7">
        <v>7</v>
      </c>
      <c r="F2168" s="7">
        <f t="shared" si="34"/>
        <v>2</v>
      </c>
      <c r="G2168" s="7" t="str">
        <f>LOOKUP(H2168,[1]startdates!$A$2:$A$10,[1]startdates!$B$2:$B$10)</f>
        <v>FMr</v>
      </c>
      <c r="H2168">
        <v>9</v>
      </c>
      <c r="L2168" s="7">
        <v>469.1</v>
      </c>
      <c r="M2168" s="7">
        <v>355.5</v>
      </c>
      <c r="N2168" s="7">
        <v>203.7</v>
      </c>
      <c r="O2168" s="7">
        <v>181.3</v>
      </c>
    </row>
    <row r="2169" spans="1:17" x14ac:dyDescent="0.2">
      <c r="A2169">
        <v>2168</v>
      </c>
      <c r="B2169" s="1">
        <v>40777</v>
      </c>
      <c r="C2169" t="s">
        <v>24</v>
      </c>
      <c r="D2169" s="7">
        <v>40</v>
      </c>
      <c r="E2169" s="7">
        <v>7</v>
      </c>
      <c r="F2169" s="7">
        <f t="shared" si="34"/>
        <v>2</v>
      </c>
      <c r="G2169" s="7" t="str">
        <f>LOOKUP(H2169,[1]startdates!$A$2:$A$10,[1]startdates!$B$2:$B$10)</f>
        <v>FMr</v>
      </c>
      <c r="H2169">
        <v>9</v>
      </c>
      <c r="M2169" s="7">
        <v>308.39999999999998</v>
      </c>
      <c r="N2169" s="7">
        <v>257.8</v>
      </c>
      <c r="O2169" s="7">
        <v>154.69999999999999</v>
      </c>
    </row>
    <row r="2170" spans="1:17" x14ac:dyDescent="0.2">
      <c r="A2170">
        <v>2169</v>
      </c>
      <c r="B2170" s="1">
        <v>40777</v>
      </c>
      <c r="C2170" t="s">
        <v>24</v>
      </c>
      <c r="D2170" s="7">
        <v>40</v>
      </c>
      <c r="E2170" s="7">
        <v>7</v>
      </c>
      <c r="F2170" s="7">
        <f t="shared" si="34"/>
        <v>2</v>
      </c>
      <c r="G2170" s="7" t="str">
        <f>LOOKUP(H2170,[1]startdates!$A$2:$A$10,[1]startdates!$B$2:$B$10)</f>
        <v>FMr</v>
      </c>
      <c r="H2170">
        <v>9</v>
      </c>
      <c r="M2170" s="7">
        <v>325.89999999999998</v>
      </c>
      <c r="N2170" s="7">
        <v>265.60000000000002</v>
      </c>
      <c r="O2170" s="7">
        <v>178.9</v>
      </c>
    </row>
    <row r="2171" spans="1:17" x14ac:dyDescent="0.2">
      <c r="A2171">
        <v>2170</v>
      </c>
      <c r="B2171" s="1">
        <v>40777</v>
      </c>
      <c r="C2171" t="s">
        <v>24</v>
      </c>
      <c r="D2171" s="7">
        <v>40</v>
      </c>
      <c r="E2171" s="7">
        <v>7</v>
      </c>
      <c r="F2171" s="7">
        <f t="shared" si="34"/>
        <v>2</v>
      </c>
      <c r="G2171" s="7" t="str">
        <f>LOOKUP(H2171,[1]startdates!$A$2:$A$10,[1]startdates!$B$2:$B$10)</f>
        <v>FMr</v>
      </c>
      <c r="H2171">
        <v>9</v>
      </c>
      <c r="N2171" s="7">
        <v>230.7</v>
      </c>
      <c r="O2171" s="7">
        <v>189.5</v>
      </c>
    </row>
    <row r="2172" spans="1:17" x14ac:dyDescent="0.2">
      <c r="A2172">
        <v>2171</v>
      </c>
      <c r="B2172" s="1">
        <v>40777</v>
      </c>
      <c r="C2172" t="s">
        <v>24</v>
      </c>
      <c r="D2172" s="7">
        <v>40</v>
      </c>
      <c r="E2172" s="7">
        <v>7</v>
      </c>
      <c r="F2172" s="7">
        <f t="shared" si="34"/>
        <v>2</v>
      </c>
      <c r="G2172" s="7" t="str">
        <f>LOOKUP(H2172,[1]startdates!$A$2:$A$10,[1]startdates!$B$2:$B$10)</f>
        <v>FMr</v>
      </c>
      <c r="H2172">
        <v>9</v>
      </c>
      <c r="N2172" s="7">
        <v>227.7</v>
      </c>
      <c r="O2172" s="7">
        <v>186.4</v>
      </c>
    </row>
    <row r="2173" spans="1:17" x14ac:dyDescent="0.2">
      <c r="A2173">
        <v>2172</v>
      </c>
      <c r="B2173" s="1">
        <v>40777</v>
      </c>
      <c r="C2173" t="s">
        <v>24</v>
      </c>
      <c r="D2173" s="7">
        <v>40</v>
      </c>
      <c r="E2173" s="7">
        <v>7</v>
      </c>
      <c r="F2173" s="7">
        <f t="shared" si="34"/>
        <v>2</v>
      </c>
      <c r="G2173" s="7" t="str">
        <f>LOOKUP(H2173,[1]startdates!$A$2:$A$10,[1]startdates!$B$2:$B$10)</f>
        <v>FMr</v>
      </c>
      <c r="H2173">
        <v>9</v>
      </c>
      <c r="N2173" s="7">
        <v>210.1</v>
      </c>
      <c r="O2173" s="7">
        <v>198.9</v>
      </c>
    </row>
    <row r="2174" spans="1:17" x14ac:dyDescent="0.2">
      <c r="A2174">
        <v>2173</v>
      </c>
      <c r="B2174" s="1">
        <v>40777</v>
      </c>
      <c r="C2174" t="s">
        <v>24</v>
      </c>
      <c r="D2174" s="7">
        <v>40</v>
      </c>
      <c r="E2174" s="7">
        <v>7</v>
      </c>
      <c r="F2174" s="7">
        <f t="shared" si="34"/>
        <v>2</v>
      </c>
      <c r="G2174" s="7" t="str">
        <f>LOOKUP(H2174,[1]startdates!$A$2:$A$10,[1]startdates!$B$2:$B$10)</f>
        <v>FMr</v>
      </c>
      <c r="H2174">
        <v>9</v>
      </c>
      <c r="N2174" s="7">
        <v>208.1</v>
      </c>
      <c r="O2174" s="7">
        <v>174.1</v>
      </c>
    </row>
    <row r="2175" spans="1:17" x14ac:dyDescent="0.2">
      <c r="A2175">
        <v>2174</v>
      </c>
      <c r="B2175" s="1">
        <v>40777</v>
      </c>
      <c r="C2175" t="s">
        <v>24</v>
      </c>
      <c r="D2175" s="7">
        <v>40</v>
      </c>
      <c r="E2175" s="7">
        <v>7</v>
      </c>
      <c r="F2175" s="7">
        <f t="shared" si="34"/>
        <v>2</v>
      </c>
      <c r="G2175" s="7" t="str">
        <f>LOOKUP(H2175,[1]startdates!$A$2:$A$10,[1]startdates!$B$2:$B$10)</f>
        <v>FMr</v>
      </c>
      <c r="H2175">
        <v>9</v>
      </c>
      <c r="N2175" s="7">
        <v>211</v>
      </c>
      <c r="O2175" s="7">
        <v>185</v>
      </c>
    </row>
    <row r="2176" spans="1:17" x14ac:dyDescent="0.2">
      <c r="A2176">
        <v>2175</v>
      </c>
      <c r="B2176" s="1">
        <v>40777</v>
      </c>
      <c r="C2176" t="s">
        <v>24</v>
      </c>
      <c r="D2176" s="7">
        <v>40</v>
      </c>
      <c r="E2176" s="7">
        <v>7</v>
      </c>
      <c r="F2176" s="7">
        <f t="shared" si="34"/>
        <v>2</v>
      </c>
      <c r="G2176" s="7" t="str">
        <f>LOOKUP(H2176,[1]startdates!$A$2:$A$10,[1]startdates!$B$2:$B$10)</f>
        <v>FMr</v>
      </c>
      <c r="H2176">
        <v>9</v>
      </c>
      <c r="N2176" s="7">
        <v>177.3</v>
      </c>
      <c r="O2176" s="7">
        <v>202.8</v>
      </c>
    </row>
    <row r="2177" spans="1:18" x14ac:dyDescent="0.2">
      <c r="A2177">
        <v>2176</v>
      </c>
      <c r="B2177" s="1">
        <v>40777</v>
      </c>
      <c r="C2177" t="s">
        <v>24</v>
      </c>
      <c r="D2177" s="7">
        <v>40</v>
      </c>
      <c r="E2177" s="7">
        <v>7</v>
      </c>
      <c r="F2177" s="7">
        <f t="shared" si="34"/>
        <v>2</v>
      </c>
      <c r="G2177" s="7" t="str">
        <f>LOOKUP(H2177,[1]startdates!$A$2:$A$10,[1]startdates!$B$2:$B$10)</f>
        <v>FMr</v>
      </c>
      <c r="H2177">
        <v>9</v>
      </c>
      <c r="N2177" s="7">
        <v>266.8</v>
      </c>
      <c r="O2177" s="7">
        <v>178.1</v>
      </c>
    </row>
    <row r="2178" spans="1:18" x14ac:dyDescent="0.2">
      <c r="A2178">
        <v>2177</v>
      </c>
      <c r="B2178" s="1">
        <v>40777</v>
      </c>
      <c r="C2178" t="s">
        <v>24</v>
      </c>
      <c r="D2178" s="7">
        <v>40</v>
      </c>
      <c r="E2178" s="7">
        <v>7</v>
      </c>
      <c r="F2178" s="7">
        <f t="shared" si="34"/>
        <v>2</v>
      </c>
      <c r="G2178" s="7" t="str">
        <f>LOOKUP(H2178,[1]startdates!$A$2:$A$10,[1]startdates!$B$2:$B$10)</f>
        <v>FMr</v>
      </c>
      <c r="H2178">
        <v>9</v>
      </c>
      <c r="O2178" s="7">
        <v>172.5</v>
      </c>
    </row>
    <row r="2179" spans="1:18" x14ac:dyDescent="0.2">
      <c r="A2179">
        <v>2178</v>
      </c>
      <c r="B2179" s="1">
        <v>40777</v>
      </c>
      <c r="C2179" t="s">
        <v>24</v>
      </c>
      <c r="D2179" s="7">
        <v>40</v>
      </c>
      <c r="E2179" s="7">
        <v>7</v>
      </c>
      <c r="F2179" s="7">
        <f t="shared" si="34"/>
        <v>2</v>
      </c>
      <c r="G2179" s="7" t="str">
        <f>LOOKUP(H2179,[1]startdates!$A$2:$A$10,[1]startdates!$B$2:$B$10)</f>
        <v>FMr</v>
      </c>
      <c r="H2179">
        <v>9</v>
      </c>
      <c r="O2179" s="7">
        <v>213.5</v>
      </c>
    </row>
    <row r="2180" spans="1:18" x14ac:dyDescent="0.2">
      <c r="A2180">
        <v>2179</v>
      </c>
      <c r="B2180" s="1">
        <v>40777</v>
      </c>
      <c r="C2180" t="s">
        <v>24</v>
      </c>
      <c r="D2180" s="7">
        <v>40</v>
      </c>
      <c r="E2180" s="7">
        <v>7</v>
      </c>
      <c r="F2180" s="7">
        <f t="shared" si="34"/>
        <v>2</v>
      </c>
      <c r="G2180" s="7" t="str">
        <f>LOOKUP(H2180,[1]startdates!$A$2:$A$10,[1]startdates!$B$2:$B$10)</f>
        <v>FMr</v>
      </c>
      <c r="H2180">
        <v>9</v>
      </c>
      <c r="O2180" s="7">
        <v>196</v>
      </c>
    </row>
    <row r="2181" spans="1:18" x14ac:dyDescent="0.2">
      <c r="A2181">
        <v>2180</v>
      </c>
      <c r="B2181" s="1">
        <v>40779</v>
      </c>
      <c r="C2181" t="s">
        <v>24</v>
      </c>
      <c r="D2181" s="7">
        <v>42</v>
      </c>
      <c r="E2181" s="7">
        <v>7</v>
      </c>
      <c r="F2181" s="7">
        <f t="shared" si="34"/>
        <v>4</v>
      </c>
      <c r="G2181" s="7" t="str">
        <f>LOOKUP(H2181,[1]startdates!$A$2:$A$10,[1]startdates!$B$2:$B$10)</f>
        <v>SMr</v>
      </c>
      <c r="H2181">
        <v>1</v>
      </c>
      <c r="I2181" s="7">
        <v>661.9</v>
      </c>
      <c r="J2181" s="7">
        <v>567.70000000000005</v>
      </c>
      <c r="K2181" s="7">
        <v>560.79999999999995</v>
      </c>
      <c r="L2181" s="7">
        <v>521.79999999999995</v>
      </c>
      <c r="M2181" s="7">
        <v>395.5</v>
      </c>
      <c r="N2181" s="7">
        <v>244.7</v>
      </c>
      <c r="O2181" s="7">
        <v>170</v>
      </c>
      <c r="P2181" s="7">
        <v>501.4</v>
      </c>
      <c r="R2181" s="7">
        <v>271.3</v>
      </c>
    </row>
    <row r="2182" spans="1:18" x14ac:dyDescent="0.2">
      <c r="A2182">
        <v>2181</v>
      </c>
      <c r="B2182" s="1">
        <v>40779</v>
      </c>
      <c r="C2182" t="s">
        <v>24</v>
      </c>
      <c r="D2182" s="7">
        <v>42</v>
      </c>
      <c r="E2182" s="7">
        <v>7</v>
      </c>
      <c r="F2182" s="7">
        <f t="shared" si="34"/>
        <v>4</v>
      </c>
      <c r="G2182" s="7" t="str">
        <f>LOOKUP(H2182,[1]startdates!$A$2:$A$10,[1]startdates!$B$2:$B$10)</f>
        <v>SMr</v>
      </c>
      <c r="H2182">
        <v>1</v>
      </c>
      <c r="I2182" s="7">
        <v>711.4</v>
      </c>
      <c r="K2182" s="7">
        <v>680</v>
      </c>
      <c r="L2182" s="7">
        <v>495.8</v>
      </c>
      <c r="M2182" s="7">
        <v>343.2</v>
      </c>
      <c r="N2182" s="7">
        <v>217.5</v>
      </c>
      <c r="O2182" s="7">
        <v>193.2</v>
      </c>
      <c r="P2182" s="7">
        <v>566.4</v>
      </c>
    </row>
    <row r="2183" spans="1:18" x14ac:dyDescent="0.2">
      <c r="A2183">
        <v>2182</v>
      </c>
      <c r="B2183" s="1">
        <v>40779</v>
      </c>
      <c r="C2183" t="s">
        <v>24</v>
      </c>
      <c r="D2183" s="7">
        <v>42</v>
      </c>
      <c r="E2183" s="7">
        <v>7</v>
      </c>
      <c r="F2183" s="7">
        <f t="shared" si="34"/>
        <v>4</v>
      </c>
      <c r="G2183" s="7" t="str">
        <f>LOOKUP(H2183,[1]startdates!$A$2:$A$10,[1]startdates!$B$2:$B$10)</f>
        <v>SMr</v>
      </c>
      <c r="H2183">
        <v>1</v>
      </c>
      <c r="I2183" s="7">
        <v>768</v>
      </c>
      <c r="K2183" s="7">
        <v>557.29999999999995</v>
      </c>
      <c r="L2183" s="7">
        <v>506.7</v>
      </c>
      <c r="M2183" s="7">
        <v>328.8</v>
      </c>
      <c r="N2183" s="7">
        <v>255.7</v>
      </c>
      <c r="O2183" s="7">
        <v>196.9</v>
      </c>
      <c r="P2183" s="7">
        <v>467.8</v>
      </c>
    </row>
    <row r="2184" spans="1:18" x14ac:dyDescent="0.2">
      <c r="A2184">
        <v>2183</v>
      </c>
      <c r="B2184" s="1">
        <v>40779</v>
      </c>
      <c r="C2184" t="s">
        <v>24</v>
      </c>
      <c r="D2184" s="7">
        <v>42</v>
      </c>
      <c r="E2184" s="7">
        <v>7</v>
      </c>
      <c r="F2184" s="7">
        <f t="shared" si="34"/>
        <v>4</v>
      </c>
      <c r="G2184" s="7" t="str">
        <f>LOOKUP(H2184,[1]startdates!$A$2:$A$10,[1]startdates!$B$2:$B$10)</f>
        <v>SMr</v>
      </c>
      <c r="H2184">
        <v>1</v>
      </c>
      <c r="I2184" s="7">
        <v>595.79999999999995</v>
      </c>
      <c r="K2184" s="7">
        <v>615.4</v>
      </c>
      <c r="L2184" s="7">
        <v>444.3</v>
      </c>
      <c r="M2184" s="7">
        <v>327.2</v>
      </c>
      <c r="N2184" s="7">
        <v>247.7</v>
      </c>
      <c r="O2184" s="7">
        <v>167.7</v>
      </c>
    </row>
    <row r="2185" spans="1:18" x14ac:dyDescent="0.2">
      <c r="A2185">
        <v>2184</v>
      </c>
      <c r="B2185" s="1">
        <v>40779</v>
      </c>
      <c r="C2185" t="s">
        <v>24</v>
      </c>
      <c r="D2185" s="7">
        <v>42</v>
      </c>
      <c r="E2185" s="7">
        <v>7</v>
      </c>
      <c r="F2185" s="7">
        <f t="shared" si="34"/>
        <v>4</v>
      </c>
      <c r="G2185" s="7" t="str">
        <f>LOOKUP(H2185,[1]startdates!$A$2:$A$10,[1]startdates!$B$2:$B$10)</f>
        <v>SMr</v>
      </c>
      <c r="H2185">
        <v>1</v>
      </c>
      <c r="I2185" s="7">
        <v>719.9</v>
      </c>
      <c r="K2185" s="7">
        <v>592.20000000000005</v>
      </c>
      <c r="L2185" s="7">
        <v>563.20000000000005</v>
      </c>
      <c r="M2185" s="7">
        <v>384</v>
      </c>
      <c r="N2185" s="7">
        <v>230.6</v>
      </c>
      <c r="O2185" s="7">
        <v>171.7</v>
      </c>
    </row>
    <row r="2186" spans="1:18" x14ac:dyDescent="0.2">
      <c r="A2186">
        <v>2185</v>
      </c>
      <c r="B2186" s="1">
        <v>40779</v>
      </c>
      <c r="C2186" t="s">
        <v>24</v>
      </c>
      <c r="D2186" s="7">
        <v>42</v>
      </c>
      <c r="E2186" s="7">
        <v>7</v>
      </c>
      <c r="F2186" s="7">
        <f t="shared" si="34"/>
        <v>4</v>
      </c>
      <c r="G2186" s="7" t="str">
        <f>LOOKUP(H2186,[1]startdates!$A$2:$A$10,[1]startdates!$B$2:$B$10)</f>
        <v>SMr</v>
      </c>
      <c r="H2186">
        <v>1</v>
      </c>
      <c r="I2186" s="7">
        <v>703.5</v>
      </c>
      <c r="K2186" s="7">
        <v>602.20000000000005</v>
      </c>
      <c r="M2186" s="7">
        <v>331.7</v>
      </c>
      <c r="N2186" s="7">
        <v>268</v>
      </c>
      <c r="O2186" s="7">
        <v>155.4</v>
      </c>
    </row>
    <row r="2187" spans="1:18" x14ac:dyDescent="0.2">
      <c r="A2187">
        <v>2186</v>
      </c>
      <c r="B2187" s="1">
        <v>40779</v>
      </c>
      <c r="C2187" t="s">
        <v>24</v>
      </c>
      <c r="D2187" s="7">
        <v>42</v>
      </c>
      <c r="E2187" s="7">
        <v>7</v>
      </c>
      <c r="F2187" s="7">
        <f t="shared" si="34"/>
        <v>4</v>
      </c>
      <c r="G2187" s="7" t="str">
        <f>LOOKUP(H2187,[1]startdates!$A$2:$A$10,[1]startdates!$B$2:$B$10)</f>
        <v>SMr</v>
      </c>
      <c r="H2187">
        <v>1</v>
      </c>
      <c r="I2187" s="7">
        <v>718</v>
      </c>
      <c r="M2187" s="7">
        <v>310.39999999999998</v>
      </c>
      <c r="N2187" s="7">
        <v>238.6</v>
      </c>
      <c r="O2187" s="7">
        <v>161.9</v>
      </c>
    </row>
    <row r="2188" spans="1:18" x14ac:dyDescent="0.2">
      <c r="A2188">
        <v>2187</v>
      </c>
      <c r="B2188" s="1">
        <v>40779</v>
      </c>
      <c r="C2188" t="s">
        <v>24</v>
      </c>
      <c r="D2188" s="7">
        <v>42</v>
      </c>
      <c r="E2188" s="7">
        <v>7</v>
      </c>
      <c r="F2188" s="7">
        <f t="shared" si="34"/>
        <v>4</v>
      </c>
      <c r="G2188" s="7" t="str">
        <f>LOOKUP(H2188,[1]startdates!$A$2:$A$10,[1]startdates!$B$2:$B$10)</f>
        <v>SMr</v>
      </c>
      <c r="H2188">
        <v>1</v>
      </c>
      <c r="M2188" s="7">
        <v>328.7</v>
      </c>
      <c r="N2188" s="7">
        <v>205.8</v>
      </c>
      <c r="O2188" s="7">
        <v>162.69999999999999</v>
      </c>
    </row>
    <row r="2189" spans="1:18" x14ac:dyDescent="0.2">
      <c r="A2189">
        <v>2188</v>
      </c>
      <c r="B2189" s="1">
        <v>40779</v>
      </c>
      <c r="C2189" t="s">
        <v>24</v>
      </c>
      <c r="D2189" s="7">
        <v>42</v>
      </c>
      <c r="E2189" s="7">
        <v>7</v>
      </c>
      <c r="F2189" s="7">
        <f t="shared" si="34"/>
        <v>4</v>
      </c>
      <c r="G2189" s="7" t="str">
        <f>LOOKUP(H2189,[1]startdates!$A$2:$A$10,[1]startdates!$B$2:$B$10)</f>
        <v>SMr</v>
      </c>
      <c r="H2189">
        <v>1</v>
      </c>
      <c r="N2189" s="7">
        <v>214.2</v>
      </c>
      <c r="O2189" s="7">
        <v>189.1</v>
      </c>
    </row>
    <row r="2190" spans="1:18" x14ac:dyDescent="0.2">
      <c r="A2190">
        <v>2189</v>
      </c>
      <c r="B2190" s="1">
        <v>40779</v>
      </c>
      <c r="C2190" t="s">
        <v>24</v>
      </c>
      <c r="D2190" s="7">
        <v>42</v>
      </c>
      <c r="E2190" s="7">
        <v>7</v>
      </c>
      <c r="F2190" s="7">
        <f t="shared" si="34"/>
        <v>4</v>
      </c>
      <c r="G2190" s="7" t="str">
        <f>LOOKUP(H2190,[1]startdates!$A$2:$A$10,[1]startdates!$B$2:$B$10)</f>
        <v>SMr</v>
      </c>
      <c r="H2190">
        <v>1</v>
      </c>
      <c r="N2190" s="7">
        <v>247</v>
      </c>
      <c r="O2190" s="7">
        <v>175.6</v>
      </c>
    </row>
    <row r="2191" spans="1:18" x14ac:dyDescent="0.2">
      <c r="A2191">
        <v>2190</v>
      </c>
      <c r="B2191" s="1">
        <v>40779</v>
      </c>
      <c r="C2191" t="s">
        <v>24</v>
      </c>
      <c r="D2191" s="7">
        <v>42</v>
      </c>
      <c r="E2191" s="7">
        <v>7</v>
      </c>
      <c r="F2191" s="7">
        <f t="shared" si="34"/>
        <v>4</v>
      </c>
      <c r="G2191" s="7" t="str">
        <f>LOOKUP(H2191,[1]startdates!$A$2:$A$10,[1]startdates!$B$2:$B$10)</f>
        <v>SMr</v>
      </c>
      <c r="H2191">
        <v>1</v>
      </c>
      <c r="N2191" s="7">
        <v>241.1</v>
      </c>
    </row>
    <row r="2192" spans="1:18" x14ac:dyDescent="0.2">
      <c r="A2192">
        <v>2191</v>
      </c>
      <c r="B2192" s="1">
        <v>40779</v>
      </c>
      <c r="C2192" t="s">
        <v>24</v>
      </c>
      <c r="D2192" s="7">
        <v>42</v>
      </c>
      <c r="E2192" s="7">
        <v>7</v>
      </c>
      <c r="F2192" s="7">
        <f t="shared" si="34"/>
        <v>4</v>
      </c>
      <c r="G2192" s="7" t="str">
        <f>LOOKUP(H2192,[1]startdates!$A$2:$A$10,[1]startdates!$B$2:$B$10)</f>
        <v>SMr</v>
      </c>
      <c r="H2192">
        <v>1</v>
      </c>
      <c r="N2192" s="7">
        <v>217.7</v>
      </c>
    </row>
    <row r="2193" spans="1:19" x14ac:dyDescent="0.2">
      <c r="A2193">
        <v>2192</v>
      </c>
      <c r="B2193" s="1">
        <v>40779</v>
      </c>
      <c r="C2193" t="s">
        <v>24</v>
      </c>
      <c r="D2193" s="7">
        <v>42</v>
      </c>
      <c r="E2193" s="7">
        <v>7</v>
      </c>
      <c r="F2193" s="7">
        <f t="shared" si="34"/>
        <v>4</v>
      </c>
      <c r="G2193" s="7" t="str">
        <f>LOOKUP(H2193,[1]startdates!$A$2:$A$10,[1]startdates!$B$2:$B$10)</f>
        <v>SMr</v>
      </c>
      <c r="H2193">
        <v>1</v>
      </c>
      <c r="N2193" s="7">
        <v>259.2</v>
      </c>
    </row>
    <row r="2194" spans="1:19" x14ac:dyDescent="0.2">
      <c r="A2194">
        <v>2193</v>
      </c>
      <c r="B2194" s="1">
        <v>40779</v>
      </c>
      <c r="C2194" t="s">
        <v>28</v>
      </c>
      <c r="D2194" s="7">
        <v>42</v>
      </c>
      <c r="E2194" s="7">
        <v>7</v>
      </c>
      <c r="F2194" s="7">
        <f t="shared" si="34"/>
        <v>4</v>
      </c>
      <c r="G2194" s="7" t="str">
        <f>LOOKUP(H2194,[1]startdates!$A$2:$A$10,[1]startdates!$B$2:$B$10)</f>
        <v>SMr</v>
      </c>
      <c r="H2194">
        <v>2</v>
      </c>
      <c r="I2194" s="7">
        <v>715.7</v>
      </c>
      <c r="J2194" s="7">
        <v>584.70000000000005</v>
      </c>
      <c r="K2194" s="7">
        <v>568.79999999999995</v>
      </c>
      <c r="L2194" s="7">
        <v>425.6</v>
      </c>
      <c r="M2194" s="7">
        <v>337.8</v>
      </c>
      <c r="N2194" s="7">
        <v>209.6</v>
      </c>
      <c r="O2194" s="7">
        <v>168.1</v>
      </c>
      <c r="P2194" s="7">
        <v>464.8</v>
      </c>
      <c r="Q2194" s="7">
        <v>385.3</v>
      </c>
      <c r="R2194" s="7">
        <v>266.10000000000002</v>
      </c>
      <c r="S2194" s="7">
        <v>287.60000000000002</v>
      </c>
    </row>
    <row r="2195" spans="1:19" x14ac:dyDescent="0.2">
      <c r="A2195">
        <v>2194</v>
      </c>
      <c r="B2195" s="1">
        <v>40779</v>
      </c>
      <c r="C2195" t="s">
        <v>28</v>
      </c>
      <c r="D2195" s="7">
        <v>42</v>
      </c>
      <c r="E2195" s="7">
        <v>7</v>
      </c>
      <c r="F2195" s="7">
        <f t="shared" si="34"/>
        <v>4</v>
      </c>
      <c r="G2195" s="7" t="str">
        <f>LOOKUP(H2195,[1]startdates!$A$2:$A$10,[1]startdates!$B$2:$B$10)</f>
        <v>SMr</v>
      </c>
      <c r="H2195">
        <v>2</v>
      </c>
      <c r="I2195" s="7">
        <v>698.1</v>
      </c>
      <c r="J2195" s="7">
        <v>588.20000000000005</v>
      </c>
      <c r="K2195" s="7">
        <v>538.29999999999995</v>
      </c>
      <c r="L2195" s="7">
        <v>428.9</v>
      </c>
      <c r="M2195" s="7">
        <v>322.10000000000002</v>
      </c>
      <c r="N2195" s="7">
        <v>214.7</v>
      </c>
      <c r="O2195" s="7">
        <v>168.2</v>
      </c>
      <c r="P2195" s="7">
        <v>484.3</v>
      </c>
      <c r="Q2195" s="7">
        <v>371.5</v>
      </c>
    </row>
    <row r="2196" spans="1:19" x14ac:dyDescent="0.2">
      <c r="A2196">
        <v>2195</v>
      </c>
      <c r="B2196" s="1">
        <v>40779</v>
      </c>
      <c r="C2196" t="s">
        <v>28</v>
      </c>
      <c r="D2196" s="7">
        <v>42</v>
      </c>
      <c r="E2196" s="7">
        <v>7</v>
      </c>
      <c r="F2196" s="7">
        <f t="shared" si="34"/>
        <v>4</v>
      </c>
      <c r="G2196" s="7" t="str">
        <f>LOOKUP(H2196,[1]startdates!$A$2:$A$10,[1]startdates!$B$2:$B$10)</f>
        <v>SMr</v>
      </c>
      <c r="H2196">
        <v>2</v>
      </c>
      <c r="I2196" s="7">
        <v>708.1</v>
      </c>
      <c r="K2196" s="7">
        <v>632.29999999999995</v>
      </c>
      <c r="M2196" s="7">
        <v>324.7</v>
      </c>
      <c r="N2196" s="7">
        <v>264</v>
      </c>
      <c r="O2196" s="7">
        <v>170</v>
      </c>
    </row>
    <row r="2197" spans="1:19" x14ac:dyDescent="0.2">
      <c r="A2197">
        <v>2196</v>
      </c>
      <c r="B2197" s="1">
        <v>40779</v>
      </c>
      <c r="C2197" t="s">
        <v>28</v>
      </c>
      <c r="D2197" s="7">
        <v>42</v>
      </c>
      <c r="E2197" s="7">
        <v>7</v>
      </c>
      <c r="F2197" s="7">
        <f t="shared" si="34"/>
        <v>4</v>
      </c>
      <c r="G2197" s="7" t="str">
        <f>LOOKUP(H2197,[1]startdates!$A$2:$A$10,[1]startdates!$B$2:$B$10)</f>
        <v>SMr</v>
      </c>
      <c r="H2197">
        <v>2</v>
      </c>
      <c r="I2197" s="7">
        <v>812.9</v>
      </c>
      <c r="K2197" s="7">
        <v>619</v>
      </c>
      <c r="M2197" s="7">
        <v>329.1</v>
      </c>
      <c r="O2197" s="7">
        <v>154.6</v>
      </c>
    </row>
    <row r="2198" spans="1:19" x14ac:dyDescent="0.2">
      <c r="A2198">
        <v>2197</v>
      </c>
      <c r="B2198" s="1">
        <v>40779</v>
      </c>
      <c r="C2198" t="s">
        <v>28</v>
      </c>
      <c r="D2198" s="7">
        <v>42</v>
      </c>
      <c r="E2198" s="7">
        <v>7</v>
      </c>
      <c r="F2198" s="7">
        <f t="shared" si="34"/>
        <v>4</v>
      </c>
      <c r="G2198" s="7" t="str">
        <f>LOOKUP(H2198,[1]startdates!$A$2:$A$10,[1]startdates!$B$2:$B$10)</f>
        <v>SMr</v>
      </c>
      <c r="H2198">
        <v>2</v>
      </c>
      <c r="I2198" s="7">
        <v>859</v>
      </c>
      <c r="K2198" s="7">
        <v>584.70000000000005</v>
      </c>
      <c r="M2198" s="7">
        <v>340.5</v>
      </c>
      <c r="O2198" s="7">
        <v>167.9</v>
      </c>
    </row>
    <row r="2199" spans="1:19" x14ac:dyDescent="0.2">
      <c r="A2199">
        <v>2198</v>
      </c>
      <c r="B2199" s="1">
        <v>40779</v>
      </c>
      <c r="C2199" t="s">
        <v>28</v>
      </c>
      <c r="D2199" s="7">
        <v>42</v>
      </c>
      <c r="E2199" s="7">
        <v>7</v>
      </c>
      <c r="F2199" s="7">
        <f t="shared" si="34"/>
        <v>4</v>
      </c>
      <c r="G2199" s="7" t="str">
        <f>LOOKUP(H2199,[1]startdates!$A$2:$A$10,[1]startdates!$B$2:$B$10)</f>
        <v>SMr</v>
      </c>
      <c r="H2199">
        <v>2</v>
      </c>
      <c r="I2199" s="7">
        <v>717.3</v>
      </c>
      <c r="M2199" s="7">
        <v>346.2</v>
      </c>
      <c r="O2199" s="7">
        <v>188.6</v>
      </c>
    </row>
    <row r="2200" spans="1:19" x14ac:dyDescent="0.2">
      <c r="A2200">
        <v>2199</v>
      </c>
      <c r="B2200" s="1">
        <v>40779</v>
      </c>
      <c r="C2200" t="s">
        <v>28</v>
      </c>
      <c r="D2200" s="7">
        <v>42</v>
      </c>
      <c r="E2200" s="7">
        <v>7</v>
      </c>
      <c r="F2200" s="7">
        <f t="shared" si="34"/>
        <v>4</v>
      </c>
      <c r="G2200" s="7" t="str">
        <f>LOOKUP(H2200,[1]startdates!$A$2:$A$10,[1]startdates!$B$2:$B$10)</f>
        <v>SMr</v>
      </c>
      <c r="H2200">
        <v>2</v>
      </c>
      <c r="I2200" s="7">
        <v>728.8</v>
      </c>
      <c r="M2200" s="7">
        <v>385.4</v>
      </c>
      <c r="O2200" s="7">
        <v>156.5</v>
      </c>
    </row>
    <row r="2201" spans="1:19" x14ac:dyDescent="0.2">
      <c r="A2201">
        <v>2200</v>
      </c>
      <c r="B2201" s="1">
        <v>40779</v>
      </c>
      <c r="C2201" t="s">
        <v>28</v>
      </c>
      <c r="D2201" s="7">
        <v>42</v>
      </c>
      <c r="E2201" s="7">
        <v>7</v>
      </c>
      <c r="F2201" s="7">
        <f t="shared" si="34"/>
        <v>4</v>
      </c>
      <c r="G2201" s="7" t="str">
        <f>LOOKUP(H2201,[1]startdates!$A$2:$A$10,[1]startdates!$B$2:$B$10)</f>
        <v>SMr</v>
      </c>
      <c r="H2201">
        <v>2</v>
      </c>
      <c r="I2201" s="7">
        <v>523</v>
      </c>
      <c r="M2201" s="7">
        <v>398.6</v>
      </c>
      <c r="O2201" s="7">
        <v>156</v>
      </c>
    </row>
    <row r="2202" spans="1:19" x14ac:dyDescent="0.2">
      <c r="A2202">
        <v>2201</v>
      </c>
      <c r="B2202" s="1">
        <v>40779</v>
      </c>
      <c r="C2202" t="s">
        <v>28</v>
      </c>
      <c r="D2202" s="7">
        <v>42</v>
      </c>
      <c r="E2202" s="7">
        <v>7</v>
      </c>
      <c r="F2202" s="7">
        <f t="shared" si="34"/>
        <v>4</v>
      </c>
      <c r="G2202" s="7" t="str">
        <f>LOOKUP(H2202,[1]startdates!$A$2:$A$10,[1]startdates!$B$2:$B$10)</f>
        <v>SMr</v>
      </c>
      <c r="H2202">
        <v>2</v>
      </c>
      <c r="M2202" s="7">
        <v>335.3</v>
      </c>
      <c r="O2202" s="7">
        <v>151.80000000000001</v>
      </c>
    </row>
    <row r="2203" spans="1:19" x14ac:dyDescent="0.2">
      <c r="A2203">
        <v>2202</v>
      </c>
      <c r="B2203" s="1">
        <v>40779</v>
      </c>
      <c r="C2203" t="s">
        <v>28</v>
      </c>
      <c r="D2203" s="7">
        <v>42</v>
      </c>
      <c r="E2203" s="7">
        <v>7</v>
      </c>
      <c r="F2203" s="7">
        <f t="shared" si="34"/>
        <v>4</v>
      </c>
      <c r="G2203" s="7" t="str">
        <f>LOOKUP(H2203,[1]startdates!$A$2:$A$10,[1]startdates!$B$2:$B$10)</f>
        <v>SMr</v>
      </c>
      <c r="H2203">
        <v>2</v>
      </c>
      <c r="M2203" s="7">
        <v>368.8</v>
      </c>
      <c r="O2203" s="7">
        <v>162.69999999999999</v>
      </c>
    </row>
    <row r="2204" spans="1:19" x14ac:dyDescent="0.2">
      <c r="A2204">
        <v>2203</v>
      </c>
      <c r="B2204" s="1">
        <v>40779</v>
      </c>
      <c r="C2204" t="s">
        <v>28</v>
      </c>
      <c r="D2204" s="7">
        <v>42</v>
      </c>
      <c r="E2204" s="7">
        <v>7</v>
      </c>
      <c r="F2204" s="7">
        <f t="shared" si="34"/>
        <v>4</v>
      </c>
      <c r="G2204" s="7" t="str">
        <f>LOOKUP(H2204,[1]startdates!$A$2:$A$10,[1]startdates!$B$2:$B$10)</f>
        <v>SMr</v>
      </c>
      <c r="H2204">
        <v>2</v>
      </c>
      <c r="O2204" s="7">
        <v>147.30000000000001</v>
      </c>
    </row>
    <row r="2205" spans="1:19" x14ac:dyDescent="0.2">
      <c r="A2205">
        <v>2204</v>
      </c>
      <c r="B2205" s="1">
        <v>40779</v>
      </c>
      <c r="C2205" t="s">
        <v>28</v>
      </c>
      <c r="D2205" s="7">
        <v>42</v>
      </c>
      <c r="E2205" s="7">
        <v>7</v>
      </c>
      <c r="F2205" s="7">
        <f t="shared" si="34"/>
        <v>4</v>
      </c>
      <c r="G2205" s="7" t="str">
        <f>LOOKUP(H2205,[1]startdates!$A$2:$A$10,[1]startdates!$B$2:$B$10)</f>
        <v>SMr</v>
      </c>
      <c r="H2205">
        <v>2</v>
      </c>
      <c r="O2205" s="7">
        <v>151.6</v>
      </c>
    </row>
    <row r="2206" spans="1:19" x14ac:dyDescent="0.2">
      <c r="A2206">
        <v>2205</v>
      </c>
      <c r="B2206" s="1">
        <v>40779</v>
      </c>
      <c r="C2206" t="s">
        <v>28</v>
      </c>
      <c r="D2206" s="7">
        <v>42</v>
      </c>
      <c r="E2206" s="7">
        <v>7</v>
      </c>
      <c r="F2206" s="7">
        <f t="shared" si="34"/>
        <v>4</v>
      </c>
      <c r="G2206" s="7" t="str">
        <f>LOOKUP(H2206,[1]startdates!$A$2:$A$10,[1]startdates!$B$2:$B$10)</f>
        <v>C</v>
      </c>
      <c r="H2206">
        <v>3</v>
      </c>
      <c r="I2206" s="7">
        <v>831.7</v>
      </c>
      <c r="K2206" s="7">
        <v>680.1</v>
      </c>
      <c r="L2206" s="7">
        <v>485</v>
      </c>
      <c r="M2206" s="7">
        <v>332.9</v>
      </c>
      <c r="N2206" s="7">
        <v>204.1</v>
      </c>
      <c r="O2206" s="7">
        <v>154.6</v>
      </c>
      <c r="P2206" s="7">
        <v>486</v>
      </c>
      <c r="Q2206" s="7">
        <v>354.1</v>
      </c>
      <c r="S2206" s="7">
        <v>307.60000000000002</v>
      </c>
    </row>
    <row r="2207" spans="1:19" x14ac:dyDescent="0.2">
      <c r="A2207">
        <v>2206</v>
      </c>
      <c r="B2207" s="1">
        <v>40779</v>
      </c>
      <c r="C2207" t="s">
        <v>28</v>
      </c>
      <c r="D2207" s="7">
        <v>42</v>
      </c>
      <c r="E2207" s="7">
        <v>7</v>
      </c>
      <c r="F2207" s="7">
        <f t="shared" si="34"/>
        <v>4</v>
      </c>
      <c r="G2207" s="7" t="str">
        <f>LOOKUP(H2207,[1]startdates!$A$2:$A$10,[1]startdates!$B$2:$B$10)</f>
        <v>C</v>
      </c>
      <c r="H2207">
        <v>3</v>
      </c>
      <c r="I2207" s="7">
        <v>823.4</v>
      </c>
      <c r="K2207" s="7">
        <v>655.5</v>
      </c>
      <c r="L2207" s="7">
        <v>436.4</v>
      </c>
      <c r="M2207" s="7">
        <v>330.7</v>
      </c>
      <c r="N2207" s="7">
        <v>198.8</v>
      </c>
      <c r="O2207" s="7">
        <v>151.1</v>
      </c>
      <c r="P2207" s="7">
        <v>539.29999999999995</v>
      </c>
      <c r="Q2207" s="7">
        <v>378.7</v>
      </c>
    </row>
    <row r="2208" spans="1:19" x14ac:dyDescent="0.2">
      <c r="A2208">
        <v>2207</v>
      </c>
      <c r="B2208" s="1">
        <v>40779</v>
      </c>
      <c r="C2208" t="s">
        <v>28</v>
      </c>
      <c r="D2208" s="7">
        <v>42</v>
      </c>
      <c r="E2208" s="7">
        <v>7</v>
      </c>
      <c r="F2208" s="7">
        <f t="shared" si="34"/>
        <v>4</v>
      </c>
      <c r="G2208" s="7" t="str">
        <f>LOOKUP(H2208,[1]startdates!$A$2:$A$10,[1]startdates!$B$2:$B$10)</f>
        <v>C</v>
      </c>
      <c r="H2208">
        <v>3</v>
      </c>
      <c r="I2208" s="7">
        <v>759</v>
      </c>
      <c r="K2208" s="7">
        <v>566.6</v>
      </c>
      <c r="L2208" s="7">
        <v>444.9</v>
      </c>
      <c r="M2208" s="7">
        <v>398.2</v>
      </c>
      <c r="N2208" s="7">
        <v>184.5</v>
      </c>
      <c r="O2208" s="7">
        <v>174.9</v>
      </c>
      <c r="P2208" s="7">
        <v>484.9</v>
      </c>
      <c r="Q2208" s="7">
        <v>326.8</v>
      </c>
    </row>
    <row r="2209" spans="1:19" x14ac:dyDescent="0.2">
      <c r="A2209">
        <v>2208</v>
      </c>
      <c r="B2209" s="1">
        <v>40779</v>
      </c>
      <c r="C2209" t="s">
        <v>28</v>
      </c>
      <c r="D2209" s="7">
        <v>42</v>
      </c>
      <c r="E2209" s="7">
        <v>7</v>
      </c>
      <c r="F2209" s="7">
        <f t="shared" si="34"/>
        <v>4</v>
      </c>
      <c r="G2209" s="7" t="str">
        <f>LOOKUP(H2209,[1]startdates!$A$2:$A$10,[1]startdates!$B$2:$B$10)</f>
        <v>C</v>
      </c>
      <c r="H2209">
        <v>3</v>
      </c>
      <c r="I2209" s="7">
        <v>800.3</v>
      </c>
      <c r="K2209" s="7">
        <v>556.70000000000005</v>
      </c>
      <c r="M2209" s="7">
        <v>348.3</v>
      </c>
      <c r="N2209" s="7">
        <v>247.5</v>
      </c>
      <c r="O2209" s="7">
        <v>147.30000000000001</v>
      </c>
      <c r="Q2209" s="7">
        <v>335.8</v>
      </c>
    </row>
    <row r="2210" spans="1:19" x14ac:dyDescent="0.2">
      <c r="A2210">
        <v>2209</v>
      </c>
      <c r="B2210" s="1">
        <v>40779</v>
      </c>
      <c r="C2210" t="s">
        <v>28</v>
      </c>
      <c r="D2210" s="7">
        <v>42</v>
      </c>
      <c r="E2210" s="7">
        <v>7</v>
      </c>
      <c r="F2210" s="7">
        <f t="shared" si="34"/>
        <v>4</v>
      </c>
      <c r="G2210" s="7" t="str">
        <f>LOOKUP(H2210,[1]startdates!$A$2:$A$10,[1]startdates!$B$2:$B$10)</f>
        <v>C</v>
      </c>
      <c r="H2210">
        <v>3</v>
      </c>
      <c r="I2210" s="7">
        <v>673.1</v>
      </c>
      <c r="K2210" s="7">
        <v>564.1</v>
      </c>
      <c r="M2210" s="7">
        <v>343.2</v>
      </c>
      <c r="N2210" s="7">
        <v>229.6</v>
      </c>
      <c r="O2210" s="7">
        <v>168.6</v>
      </c>
    </row>
    <row r="2211" spans="1:19" x14ac:dyDescent="0.2">
      <c r="A2211">
        <v>2210</v>
      </c>
      <c r="B2211" s="1">
        <v>40779</v>
      </c>
      <c r="C2211" t="s">
        <v>28</v>
      </c>
      <c r="D2211" s="7">
        <v>42</v>
      </c>
      <c r="E2211" s="7">
        <v>7</v>
      </c>
      <c r="F2211" s="7">
        <f t="shared" si="34"/>
        <v>4</v>
      </c>
      <c r="G2211" s="7" t="str">
        <f>LOOKUP(H2211,[1]startdates!$A$2:$A$10,[1]startdates!$B$2:$B$10)</f>
        <v>C</v>
      </c>
      <c r="H2211">
        <v>3</v>
      </c>
      <c r="I2211" s="7">
        <v>697.1</v>
      </c>
      <c r="M2211" s="7">
        <v>380.1</v>
      </c>
      <c r="N2211" s="7">
        <v>239.6</v>
      </c>
      <c r="O2211" s="7">
        <v>140.19999999999999</v>
      </c>
    </row>
    <row r="2212" spans="1:19" x14ac:dyDescent="0.2">
      <c r="A2212">
        <v>2211</v>
      </c>
      <c r="B2212" s="1">
        <v>40779</v>
      </c>
      <c r="C2212" t="s">
        <v>28</v>
      </c>
      <c r="D2212" s="7">
        <v>42</v>
      </c>
      <c r="E2212" s="7">
        <v>7</v>
      </c>
      <c r="F2212" s="7">
        <f t="shared" si="34"/>
        <v>4</v>
      </c>
      <c r="G2212" s="7" t="str">
        <f>LOOKUP(H2212,[1]startdates!$A$2:$A$10,[1]startdates!$B$2:$B$10)</f>
        <v>C</v>
      </c>
      <c r="H2212">
        <v>3</v>
      </c>
      <c r="M2212" s="7">
        <v>346.6</v>
      </c>
      <c r="N2212" s="7">
        <v>205.5</v>
      </c>
      <c r="O2212" s="7">
        <v>166.3</v>
      </c>
    </row>
    <row r="2213" spans="1:19" x14ac:dyDescent="0.2">
      <c r="A2213">
        <v>2212</v>
      </c>
      <c r="B2213" s="1">
        <v>40779</v>
      </c>
      <c r="C2213" t="s">
        <v>28</v>
      </c>
      <c r="D2213" s="7">
        <v>42</v>
      </c>
      <c r="E2213" s="7">
        <v>7</v>
      </c>
      <c r="F2213" s="7">
        <f t="shared" si="34"/>
        <v>4</v>
      </c>
      <c r="G2213" s="7" t="str">
        <f>LOOKUP(H2213,[1]startdates!$A$2:$A$10,[1]startdates!$B$2:$B$10)</f>
        <v>C</v>
      </c>
      <c r="H2213">
        <v>3</v>
      </c>
      <c r="N2213" s="7">
        <v>229.9</v>
      </c>
      <c r="O2213" s="7">
        <v>170</v>
      </c>
    </row>
    <row r="2214" spans="1:19" x14ac:dyDescent="0.2">
      <c r="A2214">
        <v>2213</v>
      </c>
      <c r="B2214" s="1">
        <v>40779</v>
      </c>
      <c r="C2214" t="s">
        <v>28</v>
      </c>
      <c r="D2214" s="7">
        <v>42</v>
      </c>
      <c r="E2214" s="7">
        <v>7</v>
      </c>
      <c r="F2214" s="7">
        <f t="shared" si="34"/>
        <v>4</v>
      </c>
      <c r="G2214" s="7" t="str">
        <f>LOOKUP(H2214,[1]startdates!$A$2:$A$10,[1]startdates!$B$2:$B$10)</f>
        <v>C</v>
      </c>
      <c r="H2214">
        <v>3</v>
      </c>
      <c r="N2214" s="7">
        <v>208.4</v>
      </c>
      <c r="O2214" s="7">
        <v>184.1</v>
      </c>
    </row>
    <row r="2215" spans="1:19" x14ac:dyDescent="0.2">
      <c r="A2215">
        <v>2214</v>
      </c>
      <c r="B2215" s="1">
        <v>40779</v>
      </c>
      <c r="C2215" t="s">
        <v>28</v>
      </c>
      <c r="D2215" s="7">
        <v>42</v>
      </c>
      <c r="E2215" s="7">
        <v>7</v>
      </c>
      <c r="F2215" s="7">
        <f t="shared" si="34"/>
        <v>4</v>
      </c>
      <c r="G2215" s="7" t="str">
        <f>LOOKUP(H2215,[1]startdates!$A$2:$A$10,[1]startdates!$B$2:$B$10)</f>
        <v>C</v>
      </c>
      <c r="H2215">
        <v>3</v>
      </c>
      <c r="N2215" s="7">
        <v>198.6</v>
      </c>
      <c r="O2215" s="7">
        <v>189.3</v>
      </c>
    </row>
    <row r="2216" spans="1:19" x14ac:dyDescent="0.2">
      <c r="A2216">
        <v>2215</v>
      </c>
      <c r="B2216" s="1">
        <v>40779</v>
      </c>
      <c r="C2216" t="s">
        <v>28</v>
      </c>
      <c r="D2216" s="7">
        <v>42</v>
      </c>
      <c r="E2216" s="7">
        <v>7</v>
      </c>
      <c r="F2216" s="7">
        <f t="shared" si="34"/>
        <v>4</v>
      </c>
      <c r="G2216" s="7" t="str">
        <f>LOOKUP(H2216,[1]startdates!$A$2:$A$10,[1]startdates!$B$2:$B$10)</f>
        <v>C</v>
      </c>
      <c r="H2216">
        <v>3</v>
      </c>
      <c r="N2216" s="7">
        <v>200.9</v>
      </c>
      <c r="O2216" s="7">
        <v>187.7</v>
      </c>
    </row>
    <row r="2217" spans="1:19" x14ac:dyDescent="0.2">
      <c r="A2217">
        <v>2216</v>
      </c>
      <c r="B2217" s="1">
        <v>40779</v>
      </c>
      <c r="C2217" t="s">
        <v>28</v>
      </c>
      <c r="D2217" s="7">
        <v>42</v>
      </c>
      <c r="E2217" s="7">
        <v>7</v>
      </c>
      <c r="F2217" s="7">
        <f t="shared" ref="F2217:F2280" si="35">WEEKDAY(B2217)</f>
        <v>4</v>
      </c>
      <c r="G2217" s="7" t="str">
        <f>LOOKUP(H2217,[1]startdates!$A$2:$A$10,[1]startdates!$B$2:$B$10)</f>
        <v>SMr</v>
      </c>
      <c r="H2217">
        <v>4</v>
      </c>
      <c r="I2217" s="7">
        <v>744.4</v>
      </c>
      <c r="J2217" s="7">
        <v>515.20000000000005</v>
      </c>
      <c r="K2217" s="7">
        <v>633.4</v>
      </c>
      <c r="L2217" s="7">
        <v>431.1</v>
      </c>
      <c r="M2217" s="7">
        <v>356.4</v>
      </c>
      <c r="N2217" s="7">
        <v>252.6</v>
      </c>
      <c r="O2217" s="7">
        <v>190.1</v>
      </c>
      <c r="P2217" s="7">
        <v>474.5</v>
      </c>
      <c r="Q2217" s="7">
        <v>391.4</v>
      </c>
      <c r="R2217" s="7">
        <v>261.5</v>
      </c>
      <c r="S2217" s="7">
        <v>253.4</v>
      </c>
    </row>
    <row r="2218" spans="1:19" x14ac:dyDescent="0.2">
      <c r="A2218">
        <v>2217</v>
      </c>
      <c r="B2218" s="1">
        <v>40779</v>
      </c>
      <c r="C2218" t="s">
        <v>28</v>
      </c>
      <c r="D2218" s="7">
        <v>42</v>
      </c>
      <c r="E2218" s="7">
        <v>7</v>
      </c>
      <c r="F2218" s="7">
        <f t="shared" si="35"/>
        <v>4</v>
      </c>
      <c r="G2218" s="7" t="str">
        <f>LOOKUP(H2218,[1]startdates!$A$2:$A$10,[1]startdates!$B$2:$B$10)</f>
        <v>SMr</v>
      </c>
      <c r="H2218">
        <v>4</v>
      </c>
      <c r="I2218" s="7">
        <v>735.2</v>
      </c>
      <c r="K2218" s="7">
        <v>604.4</v>
      </c>
      <c r="L2218" s="7">
        <v>480.5</v>
      </c>
      <c r="M2218" s="7">
        <v>314.7</v>
      </c>
      <c r="N2218" s="7">
        <v>204.1</v>
      </c>
      <c r="O2218" s="7">
        <v>164.7</v>
      </c>
      <c r="P2218" s="7">
        <v>493.4</v>
      </c>
      <c r="Q2218" s="7">
        <v>375.6</v>
      </c>
      <c r="R2218" s="7">
        <v>264.39999999999998</v>
      </c>
      <c r="S2218" s="7">
        <v>237.1</v>
      </c>
    </row>
    <row r="2219" spans="1:19" x14ac:dyDescent="0.2">
      <c r="A2219">
        <v>2218</v>
      </c>
      <c r="B2219" s="1">
        <v>40779</v>
      </c>
      <c r="C2219" t="s">
        <v>28</v>
      </c>
      <c r="D2219" s="7">
        <v>42</v>
      </c>
      <c r="E2219" s="7">
        <v>7</v>
      </c>
      <c r="F2219" s="7">
        <f t="shared" si="35"/>
        <v>4</v>
      </c>
      <c r="G2219" s="7" t="str">
        <f>LOOKUP(H2219,[1]startdates!$A$2:$A$10,[1]startdates!$B$2:$B$10)</f>
        <v>SMr</v>
      </c>
      <c r="H2219">
        <v>4</v>
      </c>
      <c r="I2219" s="7">
        <v>681.7</v>
      </c>
      <c r="K2219" s="7">
        <v>636.70000000000005</v>
      </c>
      <c r="M2219" s="7">
        <v>302</v>
      </c>
      <c r="N2219" s="7">
        <v>214</v>
      </c>
      <c r="O2219" s="7">
        <v>161.5</v>
      </c>
      <c r="Q2219" s="7">
        <v>376.2</v>
      </c>
      <c r="R2219" s="7">
        <v>281.8</v>
      </c>
      <c r="S2219" s="7">
        <v>291.3</v>
      </c>
    </row>
    <row r="2220" spans="1:19" x14ac:dyDescent="0.2">
      <c r="A2220">
        <v>2219</v>
      </c>
      <c r="B2220" s="1">
        <v>40779</v>
      </c>
      <c r="C2220" t="s">
        <v>28</v>
      </c>
      <c r="D2220" s="7">
        <v>42</v>
      </c>
      <c r="E2220" s="7">
        <v>7</v>
      </c>
      <c r="F2220" s="7">
        <f t="shared" si="35"/>
        <v>4</v>
      </c>
      <c r="G2220" s="7" t="str">
        <f>LOOKUP(H2220,[1]startdates!$A$2:$A$10,[1]startdates!$B$2:$B$10)</f>
        <v>SMr</v>
      </c>
      <c r="H2220">
        <v>4</v>
      </c>
      <c r="I2220" s="7">
        <v>511.2</v>
      </c>
      <c r="K2220" s="7">
        <v>635.29999999999995</v>
      </c>
      <c r="M2220" s="7">
        <v>387.5</v>
      </c>
      <c r="N2220" s="7">
        <v>215.5</v>
      </c>
      <c r="O2220" s="7">
        <v>159.30000000000001</v>
      </c>
      <c r="R2220" s="7">
        <v>249.9</v>
      </c>
    </row>
    <row r="2221" spans="1:19" x14ac:dyDescent="0.2">
      <c r="A2221">
        <v>2220</v>
      </c>
      <c r="B2221" s="1">
        <v>40779</v>
      </c>
      <c r="C2221" t="s">
        <v>28</v>
      </c>
      <c r="D2221" s="7">
        <v>42</v>
      </c>
      <c r="E2221" s="7">
        <v>7</v>
      </c>
      <c r="F2221" s="7">
        <f t="shared" si="35"/>
        <v>4</v>
      </c>
      <c r="G2221" s="7" t="str">
        <f>LOOKUP(H2221,[1]startdates!$A$2:$A$10,[1]startdates!$B$2:$B$10)</f>
        <v>SMr</v>
      </c>
      <c r="H2221">
        <v>4</v>
      </c>
      <c r="I2221" s="7">
        <v>766.1</v>
      </c>
      <c r="M2221" s="7">
        <v>339.4</v>
      </c>
      <c r="N2221" s="7">
        <v>278.3</v>
      </c>
      <c r="O2221" s="7">
        <v>187.7</v>
      </c>
      <c r="R2221" s="7">
        <v>266.8</v>
      </c>
    </row>
    <row r="2222" spans="1:19" x14ac:dyDescent="0.2">
      <c r="A2222">
        <v>2221</v>
      </c>
      <c r="B2222" s="1">
        <v>40779</v>
      </c>
      <c r="C2222" t="s">
        <v>28</v>
      </c>
      <c r="D2222" s="7">
        <v>42</v>
      </c>
      <c r="E2222" s="7">
        <v>7</v>
      </c>
      <c r="F2222" s="7">
        <f t="shared" si="35"/>
        <v>4</v>
      </c>
      <c r="G2222" s="7" t="str">
        <f>LOOKUP(H2222,[1]startdates!$A$2:$A$10,[1]startdates!$B$2:$B$10)</f>
        <v>SMr</v>
      </c>
      <c r="H2222">
        <v>4</v>
      </c>
      <c r="I2222" s="7">
        <v>792.5</v>
      </c>
      <c r="M2222" s="7">
        <v>325.5</v>
      </c>
      <c r="N2222" s="7">
        <v>243.7</v>
      </c>
      <c r="O2222" s="7">
        <v>193.3</v>
      </c>
    </row>
    <row r="2223" spans="1:19" x14ac:dyDescent="0.2">
      <c r="A2223">
        <v>2222</v>
      </c>
      <c r="B2223" s="1">
        <v>40779</v>
      </c>
      <c r="C2223" t="s">
        <v>28</v>
      </c>
      <c r="D2223" s="7">
        <v>42</v>
      </c>
      <c r="E2223" s="7">
        <v>7</v>
      </c>
      <c r="F2223" s="7">
        <f t="shared" si="35"/>
        <v>4</v>
      </c>
      <c r="G2223" s="7" t="str">
        <f>LOOKUP(H2223,[1]startdates!$A$2:$A$10,[1]startdates!$B$2:$B$10)</f>
        <v>SMr</v>
      </c>
      <c r="H2223">
        <v>4</v>
      </c>
      <c r="I2223" s="7">
        <v>796.6</v>
      </c>
      <c r="M2223" s="7">
        <v>338.8</v>
      </c>
      <c r="N2223" s="7">
        <v>231.1</v>
      </c>
      <c r="O2223" s="7">
        <v>201</v>
      </c>
    </row>
    <row r="2224" spans="1:19" x14ac:dyDescent="0.2">
      <c r="A2224">
        <v>2223</v>
      </c>
      <c r="B2224" s="1">
        <v>40779</v>
      </c>
      <c r="C2224" t="s">
        <v>28</v>
      </c>
      <c r="D2224" s="7">
        <v>42</v>
      </c>
      <c r="E2224" s="7">
        <v>7</v>
      </c>
      <c r="F2224" s="7">
        <f t="shared" si="35"/>
        <v>4</v>
      </c>
      <c r="G2224" s="7" t="str">
        <f>LOOKUP(H2224,[1]startdates!$A$2:$A$10,[1]startdates!$B$2:$B$10)</f>
        <v>SMr</v>
      </c>
      <c r="H2224">
        <v>4</v>
      </c>
      <c r="M2224" s="7">
        <v>306.3</v>
      </c>
      <c r="N2224" s="7">
        <v>237</v>
      </c>
      <c r="O2224" s="7">
        <v>179.3</v>
      </c>
    </row>
    <row r="2225" spans="1:18" x14ac:dyDescent="0.2">
      <c r="A2225">
        <v>2224</v>
      </c>
      <c r="B2225" s="1">
        <v>40779</v>
      </c>
      <c r="C2225" t="s">
        <v>28</v>
      </c>
      <c r="D2225" s="7">
        <v>42</v>
      </c>
      <c r="E2225" s="7">
        <v>7</v>
      </c>
      <c r="F2225" s="7">
        <f t="shared" si="35"/>
        <v>4</v>
      </c>
      <c r="G2225" s="7" t="str">
        <f>LOOKUP(H2225,[1]startdates!$A$2:$A$10,[1]startdates!$B$2:$B$10)</f>
        <v>SMr</v>
      </c>
      <c r="H2225">
        <v>4</v>
      </c>
      <c r="M2225" s="7">
        <v>322.8</v>
      </c>
      <c r="N2225" s="7">
        <v>203.3</v>
      </c>
      <c r="O2225" s="7">
        <v>155.30000000000001</v>
      </c>
    </row>
    <row r="2226" spans="1:18" x14ac:dyDescent="0.2">
      <c r="A2226">
        <v>2225</v>
      </c>
      <c r="B2226" s="1">
        <v>40779</v>
      </c>
      <c r="C2226" t="s">
        <v>28</v>
      </c>
      <c r="D2226" s="7">
        <v>42</v>
      </c>
      <c r="E2226" s="7">
        <v>7</v>
      </c>
      <c r="F2226" s="7">
        <f t="shared" si="35"/>
        <v>4</v>
      </c>
      <c r="G2226" s="7" t="str">
        <f>LOOKUP(H2226,[1]startdates!$A$2:$A$10,[1]startdates!$B$2:$B$10)</f>
        <v>SMr</v>
      </c>
      <c r="H2226">
        <v>4</v>
      </c>
      <c r="N2226" s="7">
        <v>201.2</v>
      </c>
      <c r="O2226" s="7">
        <v>148.19999999999999</v>
      </c>
    </row>
    <row r="2227" spans="1:18" x14ac:dyDescent="0.2">
      <c r="A2227">
        <v>2226</v>
      </c>
      <c r="B2227" s="1">
        <v>40779</v>
      </c>
      <c r="C2227" t="s">
        <v>28</v>
      </c>
      <c r="D2227" s="7">
        <v>42</v>
      </c>
      <c r="E2227" s="7">
        <v>7</v>
      </c>
      <c r="F2227" s="7">
        <f t="shared" si="35"/>
        <v>4</v>
      </c>
      <c r="G2227" s="7" t="str">
        <f>LOOKUP(H2227,[1]startdates!$A$2:$A$10,[1]startdates!$B$2:$B$10)</f>
        <v>SMr</v>
      </c>
      <c r="H2227">
        <v>4</v>
      </c>
      <c r="O2227" s="7">
        <v>196.5</v>
      </c>
    </row>
    <row r="2228" spans="1:18" x14ac:dyDescent="0.2">
      <c r="A2228">
        <v>2227</v>
      </c>
      <c r="B2228" s="1">
        <v>40779</v>
      </c>
      <c r="C2228" t="s">
        <v>24</v>
      </c>
      <c r="D2228" s="7">
        <v>42</v>
      </c>
      <c r="E2228" s="7">
        <v>7</v>
      </c>
      <c r="F2228" s="7">
        <f t="shared" si="35"/>
        <v>4</v>
      </c>
      <c r="G2228" s="7" t="str">
        <f>LOOKUP(H2228,[1]startdates!$A$2:$A$10,[1]startdates!$B$2:$B$10)</f>
        <v>C</v>
      </c>
      <c r="H2228">
        <v>5</v>
      </c>
      <c r="I2228" s="7">
        <v>812.7</v>
      </c>
      <c r="J2228" s="7">
        <v>629.5</v>
      </c>
      <c r="K2228" s="7">
        <v>508.9</v>
      </c>
      <c r="L2228" s="7">
        <v>413.4</v>
      </c>
      <c r="M2228" s="7">
        <v>326</v>
      </c>
      <c r="N2228" s="7">
        <v>227.1</v>
      </c>
      <c r="O2228" s="7">
        <v>193</v>
      </c>
      <c r="P2228" s="7">
        <v>524.1</v>
      </c>
      <c r="R2228" s="7">
        <v>278.89999999999998</v>
      </c>
    </row>
    <row r="2229" spans="1:18" x14ac:dyDescent="0.2">
      <c r="A2229">
        <v>2228</v>
      </c>
      <c r="B2229" s="1">
        <v>40779</v>
      </c>
      <c r="C2229" t="s">
        <v>24</v>
      </c>
      <c r="D2229" s="7">
        <v>42</v>
      </c>
      <c r="E2229" s="7">
        <v>7</v>
      </c>
      <c r="F2229" s="7">
        <f t="shared" si="35"/>
        <v>4</v>
      </c>
      <c r="G2229" s="7" t="str">
        <f>LOOKUP(H2229,[1]startdates!$A$2:$A$10,[1]startdates!$B$2:$B$10)</f>
        <v>C</v>
      </c>
      <c r="H2229">
        <v>5</v>
      </c>
      <c r="I2229" s="7">
        <v>708.3</v>
      </c>
      <c r="K2229" s="7">
        <v>521.6</v>
      </c>
      <c r="L2229" s="7">
        <v>440.3</v>
      </c>
      <c r="M2229" s="7">
        <v>340</v>
      </c>
      <c r="N2229" s="7">
        <v>205.3</v>
      </c>
      <c r="O2229" s="7">
        <v>166.5</v>
      </c>
      <c r="P2229" s="7">
        <v>514.70000000000005</v>
      </c>
      <c r="R2229" s="7">
        <v>271.5</v>
      </c>
    </row>
    <row r="2230" spans="1:18" x14ac:dyDescent="0.2">
      <c r="A2230">
        <v>2229</v>
      </c>
      <c r="B2230" s="1">
        <v>40779</v>
      </c>
      <c r="C2230" t="s">
        <v>24</v>
      </c>
      <c r="D2230" s="7">
        <v>42</v>
      </c>
      <c r="E2230" s="7">
        <v>7</v>
      </c>
      <c r="F2230" s="7">
        <f t="shared" si="35"/>
        <v>4</v>
      </c>
      <c r="G2230" s="7" t="str">
        <f>LOOKUP(H2230,[1]startdates!$A$2:$A$10,[1]startdates!$B$2:$B$10)</f>
        <v>C</v>
      </c>
      <c r="H2230">
        <v>5</v>
      </c>
      <c r="I2230" s="7">
        <v>824.3</v>
      </c>
      <c r="K2230" s="7">
        <v>495.7</v>
      </c>
      <c r="L2230" s="7">
        <v>391.9</v>
      </c>
      <c r="M2230" s="7">
        <v>317.7</v>
      </c>
      <c r="N2230" s="7">
        <v>235.9</v>
      </c>
      <c r="O2230" s="7">
        <v>166.7</v>
      </c>
      <c r="R2230" s="7">
        <v>191.5</v>
      </c>
    </row>
    <row r="2231" spans="1:18" x14ac:dyDescent="0.2">
      <c r="A2231">
        <v>2230</v>
      </c>
      <c r="B2231" s="1">
        <v>40779</v>
      </c>
      <c r="C2231" t="s">
        <v>24</v>
      </c>
      <c r="D2231" s="7">
        <v>42</v>
      </c>
      <c r="E2231" s="7">
        <v>7</v>
      </c>
      <c r="F2231" s="7">
        <f t="shared" si="35"/>
        <v>4</v>
      </c>
      <c r="G2231" s="7" t="str">
        <f>LOOKUP(H2231,[1]startdates!$A$2:$A$10,[1]startdates!$B$2:$B$10)</f>
        <v>C</v>
      </c>
      <c r="H2231">
        <v>5</v>
      </c>
      <c r="I2231" s="7">
        <v>729.1</v>
      </c>
      <c r="K2231" s="7">
        <v>561.5</v>
      </c>
      <c r="L2231" s="7">
        <v>441.1</v>
      </c>
      <c r="M2231" s="7">
        <v>296.2</v>
      </c>
      <c r="N2231" s="7">
        <v>196.9</v>
      </c>
      <c r="O2231" s="7">
        <v>166.7</v>
      </c>
      <c r="R2231" s="7">
        <v>280.2</v>
      </c>
    </row>
    <row r="2232" spans="1:18" x14ac:dyDescent="0.2">
      <c r="A2232">
        <v>2231</v>
      </c>
      <c r="B2232" s="1">
        <v>40779</v>
      </c>
      <c r="C2232" t="s">
        <v>24</v>
      </c>
      <c r="D2232" s="7">
        <v>42</v>
      </c>
      <c r="E2232" s="7">
        <v>7</v>
      </c>
      <c r="F2232" s="7">
        <f t="shared" si="35"/>
        <v>4</v>
      </c>
      <c r="G2232" s="7" t="str">
        <f>LOOKUP(H2232,[1]startdates!$A$2:$A$10,[1]startdates!$B$2:$B$10)</f>
        <v>C</v>
      </c>
      <c r="H2232">
        <v>5</v>
      </c>
      <c r="I2232" s="7">
        <v>815.2</v>
      </c>
      <c r="L2232" s="7">
        <v>439.1</v>
      </c>
      <c r="M2232" s="7">
        <v>311.39999999999998</v>
      </c>
      <c r="N2232" s="7">
        <v>207.5</v>
      </c>
      <c r="O2232" s="7">
        <v>190.1</v>
      </c>
    </row>
    <row r="2233" spans="1:18" x14ac:dyDescent="0.2">
      <c r="A2233">
        <v>2232</v>
      </c>
      <c r="B2233" s="1">
        <v>40779</v>
      </c>
      <c r="C2233" t="s">
        <v>24</v>
      </c>
      <c r="D2233" s="7">
        <v>42</v>
      </c>
      <c r="E2233" s="7">
        <v>7</v>
      </c>
      <c r="F2233" s="7">
        <f t="shared" si="35"/>
        <v>4</v>
      </c>
      <c r="G2233" s="7" t="str">
        <f>LOOKUP(H2233,[1]startdates!$A$2:$A$10,[1]startdates!$B$2:$B$10)</f>
        <v>C</v>
      </c>
      <c r="H2233">
        <v>5</v>
      </c>
      <c r="I2233" s="7">
        <v>715.4</v>
      </c>
      <c r="L2233" s="7">
        <v>398.2</v>
      </c>
      <c r="M2233" s="7">
        <v>302</v>
      </c>
      <c r="N2233" s="7">
        <v>261</v>
      </c>
      <c r="O2233" s="7">
        <v>196.1</v>
      </c>
    </row>
    <row r="2234" spans="1:18" x14ac:dyDescent="0.2">
      <c r="A2234">
        <v>2233</v>
      </c>
      <c r="B2234" s="1">
        <v>40779</v>
      </c>
      <c r="C2234" t="s">
        <v>24</v>
      </c>
      <c r="D2234" s="7">
        <v>42</v>
      </c>
      <c r="E2234" s="7">
        <v>7</v>
      </c>
      <c r="F2234" s="7">
        <f t="shared" si="35"/>
        <v>4</v>
      </c>
      <c r="G2234" s="7" t="str">
        <f>LOOKUP(H2234,[1]startdates!$A$2:$A$10,[1]startdates!$B$2:$B$10)</f>
        <v>C</v>
      </c>
      <c r="H2234">
        <v>5</v>
      </c>
      <c r="I2234" s="7">
        <v>718.5</v>
      </c>
      <c r="L2234" s="7">
        <v>558.5</v>
      </c>
      <c r="M2234" s="7">
        <v>313.3</v>
      </c>
      <c r="N2234" s="7">
        <v>182.2</v>
      </c>
      <c r="O2234" s="7">
        <v>185</v>
      </c>
    </row>
    <row r="2235" spans="1:18" x14ac:dyDescent="0.2">
      <c r="A2235">
        <v>2234</v>
      </c>
      <c r="B2235" s="1">
        <v>40779</v>
      </c>
      <c r="C2235" t="s">
        <v>24</v>
      </c>
      <c r="D2235" s="7">
        <v>42</v>
      </c>
      <c r="E2235" s="7">
        <v>7</v>
      </c>
      <c r="F2235" s="7">
        <f t="shared" si="35"/>
        <v>4</v>
      </c>
      <c r="G2235" s="7" t="str">
        <f>LOOKUP(H2235,[1]startdates!$A$2:$A$10,[1]startdates!$B$2:$B$10)</f>
        <v>C</v>
      </c>
      <c r="H2235">
        <v>5</v>
      </c>
      <c r="I2235" s="7">
        <v>814.3</v>
      </c>
      <c r="M2235" s="7">
        <v>311.60000000000002</v>
      </c>
      <c r="N2235" s="7">
        <v>200.9</v>
      </c>
      <c r="O2235" s="7">
        <v>170</v>
      </c>
    </row>
    <row r="2236" spans="1:18" x14ac:dyDescent="0.2">
      <c r="A2236">
        <v>2235</v>
      </c>
      <c r="B2236" s="1">
        <v>40779</v>
      </c>
      <c r="C2236" t="s">
        <v>24</v>
      </c>
      <c r="D2236" s="7">
        <v>42</v>
      </c>
      <c r="E2236" s="7">
        <v>7</v>
      </c>
      <c r="F2236" s="7">
        <f t="shared" si="35"/>
        <v>4</v>
      </c>
      <c r="G2236" s="7" t="str">
        <f>LOOKUP(H2236,[1]startdates!$A$2:$A$10,[1]startdates!$B$2:$B$10)</f>
        <v>C</v>
      </c>
      <c r="H2236">
        <v>5</v>
      </c>
      <c r="I2236" s="7">
        <v>715.4</v>
      </c>
      <c r="M2236" s="7">
        <v>304.60000000000002</v>
      </c>
      <c r="N2236" s="7">
        <v>222.4</v>
      </c>
      <c r="O2236" s="7">
        <v>164.7</v>
      </c>
    </row>
    <row r="2237" spans="1:18" x14ac:dyDescent="0.2">
      <c r="A2237">
        <v>2236</v>
      </c>
      <c r="B2237" s="1">
        <v>40779</v>
      </c>
      <c r="C2237" t="s">
        <v>24</v>
      </c>
      <c r="D2237" s="7">
        <v>42</v>
      </c>
      <c r="E2237" s="7">
        <v>7</v>
      </c>
      <c r="F2237" s="7">
        <f t="shared" si="35"/>
        <v>4</v>
      </c>
      <c r="G2237" s="7" t="str">
        <f>LOOKUP(H2237,[1]startdates!$A$2:$A$10,[1]startdates!$B$2:$B$10)</f>
        <v>C</v>
      </c>
      <c r="H2237">
        <v>5</v>
      </c>
      <c r="N2237" s="7">
        <v>240.2</v>
      </c>
      <c r="O2237" s="7">
        <v>171.5</v>
      </c>
    </row>
    <row r="2238" spans="1:18" x14ac:dyDescent="0.2">
      <c r="A2238">
        <v>2237</v>
      </c>
      <c r="B2238" s="1">
        <v>40779</v>
      </c>
      <c r="C2238" t="s">
        <v>24</v>
      </c>
      <c r="D2238" s="7">
        <v>42</v>
      </c>
      <c r="E2238" s="7">
        <v>7</v>
      </c>
      <c r="F2238" s="7">
        <f t="shared" si="35"/>
        <v>4</v>
      </c>
      <c r="G2238" s="7" t="str">
        <f>LOOKUP(H2238,[1]startdates!$A$2:$A$10,[1]startdates!$B$2:$B$10)</f>
        <v>C</v>
      </c>
      <c r="H2238">
        <v>5</v>
      </c>
      <c r="N2238" s="7">
        <v>229.7</v>
      </c>
      <c r="O2238" s="7">
        <v>195.1</v>
      </c>
    </row>
    <row r="2239" spans="1:18" x14ac:dyDescent="0.2">
      <c r="A2239">
        <v>2238</v>
      </c>
      <c r="B2239" s="1">
        <v>40779</v>
      </c>
      <c r="C2239" t="s">
        <v>24</v>
      </c>
      <c r="D2239" s="7">
        <v>42</v>
      </c>
      <c r="E2239" s="7">
        <v>7</v>
      </c>
      <c r="F2239" s="7">
        <f t="shared" si="35"/>
        <v>4</v>
      </c>
      <c r="G2239" s="7" t="str">
        <f>LOOKUP(H2239,[1]startdates!$A$2:$A$10,[1]startdates!$B$2:$B$10)</f>
        <v>C</v>
      </c>
      <c r="H2239">
        <v>5</v>
      </c>
      <c r="N2239" s="7">
        <v>217.7</v>
      </c>
      <c r="O2239" s="7">
        <v>181.6</v>
      </c>
    </row>
    <row r="2240" spans="1:18" x14ac:dyDescent="0.2">
      <c r="A2240">
        <v>2239</v>
      </c>
      <c r="B2240" s="1">
        <v>40779</v>
      </c>
      <c r="C2240" t="s">
        <v>24</v>
      </c>
      <c r="D2240" s="7">
        <v>42</v>
      </c>
      <c r="E2240" s="7">
        <v>7</v>
      </c>
      <c r="F2240" s="7">
        <f t="shared" si="35"/>
        <v>4</v>
      </c>
      <c r="G2240" s="7" t="str">
        <f>LOOKUP(H2240,[1]startdates!$A$2:$A$10,[1]startdates!$B$2:$B$10)</f>
        <v>C</v>
      </c>
      <c r="H2240">
        <v>5</v>
      </c>
      <c r="N2240" s="7">
        <v>233</v>
      </c>
      <c r="O2240" s="7">
        <v>166.9</v>
      </c>
    </row>
    <row r="2241" spans="1:18" x14ac:dyDescent="0.2">
      <c r="A2241">
        <v>2240</v>
      </c>
      <c r="B2241" s="1">
        <v>40779</v>
      </c>
      <c r="C2241" t="s">
        <v>24</v>
      </c>
      <c r="D2241" s="7">
        <v>42</v>
      </c>
      <c r="E2241" s="7">
        <v>7</v>
      </c>
      <c r="F2241" s="7">
        <f t="shared" si="35"/>
        <v>4</v>
      </c>
      <c r="G2241" s="7" t="str">
        <f>LOOKUP(H2241,[1]startdates!$A$2:$A$10,[1]startdates!$B$2:$B$10)</f>
        <v>C</v>
      </c>
      <c r="H2241">
        <v>5</v>
      </c>
      <c r="O2241" s="7">
        <v>189.5</v>
      </c>
    </row>
    <row r="2242" spans="1:18" x14ac:dyDescent="0.2">
      <c r="A2242">
        <v>2241</v>
      </c>
      <c r="B2242" s="1">
        <v>40779</v>
      </c>
      <c r="C2242" t="s">
        <v>28</v>
      </c>
      <c r="D2242" s="7">
        <v>42</v>
      </c>
      <c r="E2242" s="7">
        <v>7</v>
      </c>
      <c r="F2242" s="7">
        <f t="shared" si="35"/>
        <v>4</v>
      </c>
      <c r="G2242" s="7" t="str">
        <f>LOOKUP(H2242,[1]startdates!$A$2:$A$10,[1]startdates!$B$2:$B$10)</f>
        <v>FMr</v>
      </c>
      <c r="H2242">
        <v>6</v>
      </c>
      <c r="I2242" s="7">
        <v>735.1</v>
      </c>
      <c r="K2242" s="7">
        <v>615.9</v>
      </c>
      <c r="L2242" s="7">
        <v>455.9</v>
      </c>
      <c r="M2242" s="7">
        <v>395.5</v>
      </c>
      <c r="N2242" s="7">
        <v>232.5</v>
      </c>
      <c r="O2242" s="7">
        <v>170</v>
      </c>
      <c r="P2242" s="7">
        <v>494.9</v>
      </c>
      <c r="Q2242" s="7">
        <v>439.5</v>
      </c>
      <c r="R2242" s="7">
        <v>256.5</v>
      </c>
    </row>
    <row r="2243" spans="1:18" x14ac:dyDescent="0.2">
      <c r="A2243">
        <v>2242</v>
      </c>
      <c r="B2243" s="1">
        <v>40779</v>
      </c>
      <c r="C2243" t="s">
        <v>28</v>
      </c>
      <c r="D2243" s="7">
        <v>42</v>
      </c>
      <c r="E2243" s="7">
        <v>7</v>
      </c>
      <c r="F2243" s="7">
        <f t="shared" si="35"/>
        <v>4</v>
      </c>
      <c r="G2243" s="7" t="str">
        <f>LOOKUP(H2243,[1]startdates!$A$2:$A$10,[1]startdates!$B$2:$B$10)</f>
        <v>FMr</v>
      </c>
      <c r="H2243">
        <v>6</v>
      </c>
      <c r="I2243" s="7">
        <v>506.6</v>
      </c>
      <c r="K2243" s="7">
        <v>535.5</v>
      </c>
      <c r="L2243" s="7">
        <v>441.4</v>
      </c>
      <c r="M2243" s="7">
        <v>303.60000000000002</v>
      </c>
      <c r="N2243" s="7">
        <v>230.2</v>
      </c>
      <c r="O2243" s="7">
        <v>200.3</v>
      </c>
      <c r="P2243" s="7">
        <v>481.4</v>
      </c>
      <c r="Q2243" s="7">
        <v>421.8</v>
      </c>
    </row>
    <row r="2244" spans="1:18" x14ac:dyDescent="0.2">
      <c r="A2244">
        <v>2243</v>
      </c>
      <c r="B2244" s="1">
        <v>40779</v>
      </c>
      <c r="C2244" t="s">
        <v>28</v>
      </c>
      <c r="D2244" s="7">
        <v>42</v>
      </c>
      <c r="E2244" s="7">
        <v>7</v>
      </c>
      <c r="F2244" s="7">
        <f t="shared" si="35"/>
        <v>4</v>
      </c>
      <c r="G2244" s="7" t="str">
        <f>LOOKUP(H2244,[1]startdates!$A$2:$A$10,[1]startdates!$B$2:$B$10)</f>
        <v>FMr</v>
      </c>
      <c r="H2244">
        <v>6</v>
      </c>
      <c r="I2244" s="7">
        <v>516.79999999999995</v>
      </c>
      <c r="K2244" s="7">
        <v>578.5</v>
      </c>
      <c r="L2244" s="7">
        <v>405.1</v>
      </c>
      <c r="M2244" s="7">
        <v>369.7</v>
      </c>
      <c r="N2244" s="7">
        <v>264</v>
      </c>
      <c r="O2244" s="7">
        <v>176.7</v>
      </c>
      <c r="Q2244" s="7">
        <v>395.8</v>
      </c>
    </row>
    <row r="2245" spans="1:18" x14ac:dyDescent="0.2">
      <c r="A2245">
        <v>2244</v>
      </c>
      <c r="B2245" s="1">
        <v>40779</v>
      </c>
      <c r="C2245" t="s">
        <v>28</v>
      </c>
      <c r="D2245" s="7">
        <v>42</v>
      </c>
      <c r="E2245" s="7">
        <v>7</v>
      </c>
      <c r="F2245" s="7">
        <f t="shared" si="35"/>
        <v>4</v>
      </c>
      <c r="G2245" s="7" t="str">
        <f>LOOKUP(H2245,[1]startdates!$A$2:$A$10,[1]startdates!$B$2:$B$10)</f>
        <v>FMr</v>
      </c>
      <c r="H2245">
        <v>6</v>
      </c>
      <c r="I2245" s="7">
        <v>875.1</v>
      </c>
      <c r="K2245" s="7">
        <v>666.2</v>
      </c>
      <c r="L2245" s="7">
        <v>448.4</v>
      </c>
      <c r="M2245" s="7">
        <v>317</v>
      </c>
      <c r="N2245" s="7">
        <v>221</v>
      </c>
      <c r="O2245" s="7">
        <v>179.8</v>
      </c>
      <c r="Q2245" s="7">
        <v>323</v>
      </c>
    </row>
    <row r="2246" spans="1:18" x14ac:dyDescent="0.2">
      <c r="A2246">
        <v>2245</v>
      </c>
      <c r="B2246" s="1">
        <v>40779</v>
      </c>
      <c r="C2246" t="s">
        <v>28</v>
      </c>
      <c r="D2246" s="7">
        <v>42</v>
      </c>
      <c r="E2246" s="7">
        <v>7</v>
      </c>
      <c r="F2246" s="7">
        <f t="shared" si="35"/>
        <v>4</v>
      </c>
      <c r="G2246" s="7" t="str">
        <f>LOOKUP(H2246,[1]startdates!$A$2:$A$10,[1]startdates!$B$2:$B$10)</f>
        <v>FMr</v>
      </c>
      <c r="H2246">
        <v>6</v>
      </c>
      <c r="I2246" s="7">
        <v>683.2</v>
      </c>
      <c r="K2246" s="7">
        <v>589.5</v>
      </c>
      <c r="L2246" s="7">
        <v>462.2</v>
      </c>
      <c r="M2246" s="7">
        <v>369.3</v>
      </c>
      <c r="N2246" s="7">
        <v>243.9</v>
      </c>
      <c r="O2246" s="7">
        <v>182.3</v>
      </c>
    </row>
    <row r="2247" spans="1:18" x14ac:dyDescent="0.2">
      <c r="A2247">
        <v>2246</v>
      </c>
      <c r="B2247" s="1">
        <v>40779</v>
      </c>
      <c r="C2247" t="s">
        <v>28</v>
      </c>
      <c r="D2247" s="7">
        <v>42</v>
      </c>
      <c r="E2247" s="7">
        <v>7</v>
      </c>
      <c r="F2247" s="7">
        <f t="shared" si="35"/>
        <v>4</v>
      </c>
      <c r="G2247" s="7" t="str">
        <f>LOOKUP(H2247,[1]startdates!$A$2:$A$10,[1]startdates!$B$2:$B$10)</f>
        <v>FMr</v>
      </c>
      <c r="H2247">
        <v>6</v>
      </c>
      <c r="I2247" s="7">
        <v>596.79999999999995</v>
      </c>
      <c r="M2247" s="7">
        <v>363.7</v>
      </c>
      <c r="N2247" s="7">
        <v>218.9</v>
      </c>
      <c r="O2247" s="7">
        <v>158.1</v>
      </c>
    </row>
    <row r="2248" spans="1:18" x14ac:dyDescent="0.2">
      <c r="A2248">
        <v>2247</v>
      </c>
      <c r="B2248" s="1">
        <v>40779</v>
      </c>
      <c r="C2248" t="s">
        <v>28</v>
      </c>
      <c r="D2248" s="7">
        <v>42</v>
      </c>
      <c r="E2248" s="7">
        <v>7</v>
      </c>
      <c r="F2248" s="7">
        <f t="shared" si="35"/>
        <v>4</v>
      </c>
      <c r="G2248" s="7" t="str">
        <f>LOOKUP(H2248,[1]startdates!$A$2:$A$10,[1]startdates!$B$2:$B$10)</f>
        <v>FMr</v>
      </c>
      <c r="H2248">
        <v>6</v>
      </c>
      <c r="I2248" s="7">
        <v>743.7</v>
      </c>
      <c r="N2248" s="7">
        <v>296</v>
      </c>
      <c r="O2248" s="7">
        <v>165.5</v>
      </c>
    </row>
    <row r="2249" spans="1:18" x14ac:dyDescent="0.2">
      <c r="A2249">
        <v>2248</v>
      </c>
      <c r="B2249" s="1">
        <v>40779</v>
      </c>
      <c r="C2249" t="s">
        <v>28</v>
      </c>
      <c r="D2249" s="7">
        <v>42</v>
      </c>
      <c r="E2249" s="7">
        <v>7</v>
      </c>
      <c r="F2249" s="7">
        <f t="shared" si="35"/>
        <v>4</v>
      </c>
      <c r="G2249" s="7" t="str">
        <f>LOOKUP(H2249,[1]startdates!$A$2:$A$10,[1]startdates!$B$2:$B$10)</f>
        <v>FMr</v>
      </c>
      <c r="H2249">
        <v>6</v>
      </c>
      <c r="N2249" s="7">
        <v>234</v>
      </c>
      <c r="O2249" s="7">
        <v>167.9</v>
      </c>
    </row>
    <row r="2250" spans="1:18" x14ac:dyDescent="0.2">
      <c r="A2250">
        <v>2249</v>
      </c>
      <c r="B2250" s="1">
        <v>40779</v>
      </c>
      <c r="C2250" t="s">
        <v>28</v>
      </c>
      <c r="D2250" s="7">
        <v>42</v>
      </c>
      <c r="E2250" s="7">
        <v>7</v>
      </c>
      <c r="F2250" s="7">
        <f t="shared" si="35"/>
        <v>4</v>
      </c>
      <c r="G2250" s="7" t="str">
        <f>LOOKUP(H2250,[1]startdates!$A$2:$A$10,[1]startdates!$B$2:$B$10)</f>
        <v>FMr</v>
      </c>
      <c r="H2250">
        <v>6</v>
      </c>
      <c r="N2250" s="7">
        <v>270.10000000000002</v>
      </c>
      <c r="O2250" s="7">
        <v>173.3</v>
      </c>
    </row>
    <row r="2251" spans="1:18" x14ac:dyDescent="0.2">
      <c r="A2251">
        <v>2250</v>
      </c>
      <c r="B2251" s="1">
        <v>40779</v>
      </c>
      <c r="C2251" t="s">
        <v>28</v>
      </c>
      <c r="D2251" s="7">
        <v>42</v>
      </c>
      <c r="E2251" s="7">
        <v>7</v>
      </c>
      <c r="F2251" s="7">
        <f t="shared" si="35"/>
        <v>4</v>
      </c>
      <c r="G2251" s="7" t="str">
        <f>LOOKUP(H2251,[1]startdates!$A$2:$A$10,[1]startdates!$B$2:$B$10)</f>
        <v>FMr</v>
      </c>
      <c r="H2251">
        <v>6</v>
      </c>
      <c r="N2251" s="7">
        <v>239.7</v>
      </c>
      <c r="O2251" s="7">
        <v>178.1</v>
      </c>
    </row>
    <row r="2252" spans="1:18" x14ac:dyDescent="0.2">
      <c r="A2252">
        <v>2251</v>
      </c>
      <c r="B2252" s="1">
        <v>40779</v>
      </c>
      <c r="C2252" t="s">
        <v>24</v>
      </c>
      <c r="D2252" s="7">
        <v>42</v>
      </c>
      <c r="E2252" s="7">
        <v>7</v>
      </c>
      <c r="F2252" s="7">
        <f t="shared" si="35"/>
        <v>4</v>
      </c>
      <c r="G2252" s="7" t="str">
        <f>LOOKUP(H2252,[1]startdates!$A$2:$A$10,[1]startdates!$B$2:$B$10)</f>
        <v>FMr</v>
      </c>
      <c r="H2252">
        <v>7</v>
      </c>
      <c r="I2252" s="7">
        <v>622.5</v>
      </c>
      <c r="K2252" s="7">
        <v>581.29999999999995</v>
      </c>
      <c r="L2252" s="7">
        <v>483.2</v>
      </c>
      <c r="M2252" s="7">
        <v>371.3</v>
      </c>
      <c r="N2252" s="7">
        <v>224.6</v>
      </c>
      <c r="O2252" s="7">
        <v>175.4</v>
      </c>
      <c r="P2252" s="7">
        <v>556.79999999999995</v>
      </c>
    </row>
    <row r="2253" spans="1:18" x14ac:dyDescent="0.2">
      <c r="A2253">
        <v>2252</v>
      </c>
      <c r="B2253" s="1">
        <v>40779</v>
      </c>
      <c r="C2253" t="s">
        <v>24</v>
      </c>
      <c r="D2253" s="7">
        <v>42</v>
      </c>
      <c r="E2253" s="7">
        <v>7</v>
      </c>
      <c r="F2253" s="7">
        <f t="shared" si="35"/>
        <v>4</v>
      </c>
      <c r="G2253" s="7" t="str">
        <f>LOOKUP(H2253,[1]startdates!$A$2:$A$10,[1]startdates!$B$2:$B$10)</f>
        <v>FMr</v>
      </c>
      <c r="H2253">
        <v>7</v>
      </c>
      <c r="I2253" s="7">
        <v>746.6</v>
      </c>
      <c r="K2253" s="7">
        <v>527.1</v>
      </c>
      <c r="L2253" s="7">
        <v>463.7</v>
      </c>
      <c r="M2253" s="7">
        <v>344.8</v>
      </c>
      <c r="N2253" s="7">
        <v>257.7</v>
      </c>
      <c r="O2253" s="7">
        <v>174.9</v>
      </c>
      <c r="P2253" s="7">
        <v>522.9</v>
      </c>
    </row>
    <row r="2254" spans="1:18" x14ac:dyDescent="0.2">
      <c r="A2254">
        <v>2253</v>
      </c>
      <c r="B2254" s="1">
        <v>40779</v>
      </c>
      <c r="C2254" t="s">
        <v>24</v>
      </c>
      <c r="D2254" s="7">
        <v>42</v>
      </c>
      <c r="E2254" s="7">
        <v>7</v>
      </c>
      <c r="F2254" s="7">
        <f t="shared" si="35"/>
        <v>4</v>
      </c>
      <c r="G2254" s="7" t="str">
        <f>LOOKUP(H2254,[1]startdates!$A$2:$A$10,[1]startdates!$B$2:$B$10)</f>
        <v>FMr</v>
      </c>
      <c r="H2254">
        <v>7</v>
      </c>
      <c r="I2254" s="7">
        <v>626.5</v>
      </c>
      <c r="K2254" s="7">
        <v>610.1</v>
      </c>
      <c r="L2254" s="7">
        <v>406.3</v>
      </c>
      <c r="M2254" s="7">
        <v>377.8</v>
      </c>
      <c r="N2254" s="7">
        <v>181.9</v>
      </c>
      <c r="O2254" s="7">
        <v>144.80000000000001</v>
      </c>
    </row>
    <row r="2255" spans="1:18" x14ac:dyDescent="0.2">
      <c r="A2255">
        <v>2254</v>
      </c>
      <c r="B2255" s="1">
        <v>40779</v>
      </c>
      <c r="C2255" t="s">
        <v>24</v>
      </c>
      <c r="D2255" s="7">
        <v>42</v>
      </c>
      <c r="E2255" s="7">
        <v>7</v>
      </c>
      <c r="F2255" s="7">
        <f t="shared" si="35"/>
        <v>4</v>
      </c>
      <c r="G2255" s="7" t="str">
        <f>LOOKUP(H2255,[1]startdates!$A$2:$A$10,[1]startdates!$B$2:$B$10)</f>
        <v>FMr</v>
      </c>
      <c r="H2255">
        <v>7</v>
      </c>
      <c r="I2255" s="7">
        <v>785.1</v>
      </c>
      <c r="K2255" s="7">
        <v>614.6</v>
      </c>
      <c r="M2255" s="7">
        <v>350.1</v>
      </c>
      <c r="N2255" s="7">
        <v>226.6</v>
      </c>
      <c r="O2255" s="7">
        <v>159.80000000000001</v>
      </c>
    </row>
    <row r="2256" spans="1:18" x14ac:dyDescent="0.2">
      <c r="A2256">
        <v>2255</v>
      </c>
      <c r="B2256" s="1">
        <v>40779</v>
      </c>
      <c r="C2256" t="s">
        <v>24</v>
      </c>
      <c r="D2256" s="7">
        <v>42</v>
      </c>
      <c r="E2256" s="7">
        <v>7</v>
      </c>
      <c r="F2256" s="7">
        <f t="shared" si="35"/>
        <v>4</v>
      </c>
      <c r="G2256" s="7" t="str">
        <f>LOOKUP(H2256,[1]startdates!$A$2:$A$10,[1]startdates!$B$2:$B$10)</f>
        <v>FMr</v>
      </c>
      <c r="H2256">
        <v>7</v>
      </c>
      <c r="I2256" s="7">
        <v>691.7</v>
      </c>
      <c r="K2256" s="7">
        <v>619.29999999999995</v>
      </c>
      <c r="M2256" s="7">
        <v>316.10000000000002</v>
      </c>
      <c r="N2256" s="7">
        <v>259.8</v>
      </c>
      <c r="O2256" s="7">
        <v>165.5</v>
      </c>
    </row>
    <row r="2257" spans="1:16" x14ac:dyDescent="0.2">
      <c r="A2257">
        <v>2256</v>
      </c>
      <c r="B2257" s="1">
        <v>40779</v>
      </c>
      <c r="C2257" t="s">
        <v>24</v>
      </c>
      <c r="D2257" s="7">
        <v>42</v>
      </c>
      <c r="E2257" s="7">
        <v>7</v>
      </c>
      <c r="F2257" s="7">
        <f t="shared" si="35"/>
        <v>4</v>
      </c>
      <c r="G2257" s="7" t="str">
        <f>LOOKUP(H2257,[1]startdates!$A$2:$A$10,[1]startdates!$B$2:$B$10)</f>
        <v>FMr</v>
      </c>
      <c r="H2257">
        <v>7</v>
      </c>
      <c r="I2257" s="7">
        <v>655.7</v>
      </c>
      <c r="K2257" s="7">
        <v>656.4</v>
      </c>
      <c r="M2257" s="7">
        <v>358.3</v>
      </c>
      <c r="N2257" s="7">
        <v>221.4</v>
      </c>
      <c r="O2257" s="7">
        <v>163.4</v>
      </c>
    </row>
    <row r="2258" spans="1:16" x14ac:dyDescent="0.2">
      <c r="A2258">
        <v>2257</v>
      </c>
      <c r="B2258" s="1">
        <v>40779</v>
      </c>
      <c r="C2258" t="s">
        <v>24</v>
      </c>
      <c r="D2258" s="7">
        <v>42</v>
      </c>
      <c r="E2258" s="7">
        <v>7</v>
      </c>
      <c r="F2258" s="7">
        <f t="shared" si="35"/>
        <v>4</v>
      </c>
      <c r="G2258" s="7" t="str">
        <f>LOOKUP(H2258,[1]startdates!$A$2:$A$10,[1]startdates!$B$2:$B$10)</f>
        <v>FMr</v>
      </c>
      <c r="H2258">
        <v>7</v>
      </c>
      <c r="I2258" s="7">
        <v>631.1</v>
      </c>
      <c r="M2258" s="7">
        <v>382.3</v>
      </c>
      <c r="N2258" s="7">
        <v>209.9</v>
      </c>
      <c r="O2258" s="7">
        <v>154.6</v>
      </c>
    </row>
    <row r="2259" spans="1:16" x14ac:dyDescent="0.2">
      <c r="A2259">
        <v>2258</v>
      </c>
      <c r="B2259" s="1">
        <v>40779</v>
      </c>
      <c r="C2259" t="s">
        <v>24</v>
      </c>
      <c r="D2259" s="7">
        <v>42</v>
      </c>
      <c r="E2259" s="7">
        <v>7</v>
      </c>
      <c r="F2259" s="7">
        <f t="shared" si="35"/>
        <v>4</v>
      </c>
      <c r="G2259" s="7" t="str">
        <f>LOOKUP(H2259,[1]startdates!$A$2:$A$10,[1]startdates!$B$2:$B$10)</f>
        <v>FMr</v>
      </c>
      <c r="H2259">
        <v>7</v>
      </c>
      <c r="M2259" s="7">
        <v>389.7</v>
      </c>
      <c r="N2259" s="7">
        <v>252.6</v>
      </c>
      <c r="O2259" s="7">
        <v>166.8</v>
      </c>
    </row>
    <row r="2260" spans="1:16" x14ac:dyDescent="0.2">
      <c r="A2260">
        <v>2259</v>
      </c>
      <c r="B2260" s="1">
        <v>40779</v>
      </c>
      <c r="C2260" t="s">
        <v>24</v>
      </c>
      <c r="D2260" s="7">
        <v>42</v>
      </c>
      <c r="E2260" s="7">
        <v>7</v>
      </c>
      <c r="F2260" s="7">
        <f t="shared" si="35"/>
        <v>4</v>
      </c>
      <c r="G2260" s="7" t="str">
        <f>LOOKUP(H2260,[1]startdates!$A$2:$A$10,[1]startdates!$B$2:$B$10)</f>
        <v>FMr</v>
      </c>
      <c r="H2260">
        <v>7</v>
      </c>
      <c r="M2260" s="7">
        <v>312.39999999999998</v>
      </c>
      <c r="N2260" s="7">
        <v>220.6</v>
      </c>
      <c r="O2260" s="7">
        <v>194.3</v>
      </c>
    </row>
    <row r="2261" spans="1:16" x14ac:dyDescent="0.2">
      <c r="A2261">
        <v>2260</v>
      </c>
      <c r="B2261" s="1">
        <v>40779</v>
      </c>
      <c r="C2261" t="s">
        <v>24</v>
      </c>
      <c r="D2261" s="7">
        <v>42</v>
      </c>
      <c r="E2261" s="7">
        <v>7</v>
      </c>
      <c r="F2261" s="7">
        <f t="shared" si="35"/>
        <v>4</v>
      </c>
      <c r="G2261" s="7" t="str">
        <f>LOOKUP(H2261,[1]startdates!$A$2:$A$10,[1]startdates!$B$2:$B$10)</f>
        <v>FMr</v>
      </c>
      <c r="H2261">
        <v>7</v>
      </c>
      <c r="M2261" s="7">
        <v>345.6</v>
      </c>
      <c r="N2261" s="7">
        <v>208.3</v>
      </c>
      <c r="O2261" s="7">
        <v>148.4</v>
      </c>
    </row>
    <row r="2262" spans="1:16" x14ac:dyDescent="0.2">
      <c r="A2262">
        <v>2261</v>
      </c>
      <c r="B2262" s="1">
        <v>40779</v>
      </c>
      <c r="C2262" t="s">
        <v>24</v>
      </c>
      <c r="D2262" s="7">
        <v>42</v>
      </c>
      <c r="E2262" s="7">
        <v>7</v>
      </c>
      <c r="F2262" s="7">
        <f t="shared" si="35"/>
        <v>4</v>
      </c>
      <c r="G2262" s="7" t="str">
        <f>LOOKUP(H2262,[1]startdates!$A$2:$A$10,[1]startdates!$B$2:$B$10)</f>
        <v>FMr</v>
      </c>
      <c r="H2262">
        <v>7</v>
      </c>
      <c r="M2262" s="7">
        <v>336.8</v>
      </c>
      <c r="N2262" s="7">
        <v>224.1</v>
      </c>
      <c r="O2262" s="7">
        <v>168.6</v>
      </c>
    </row>
    <row r="2263" spans="1:16" x14ac:dyDescent="0.2">
      <c r="A2263">
        <v>2262</v>
      </c>
      <c r="B2263" s="1">
        <v>40779</v>
      </c>
      <c r="C2263" t="s">
        <v>24</v>
      </c>
      <c r="D2263" s="7">
        <v>42</v>
      </c>
      <c r="E2263" s="7">
        <v>7</v>
      </c>
      <c r="F2263" s="7">
        <f t="shared" si="35"/>
        <v>4</v>
      </c>
      <c r="G2263" s="7" t="str">
        <f>LOOKUP(H2263,[1]startdates!$A$2:$A$10,[1]startdates!$B$2:$B$10)</f>
        <v>FMr</v>
      </c>
      <c r="H2263">
        <v>7</v>
      </c>
      <c r="M2263" s="7">
        <v>304.60000000000002</v>
      </c>
      <c r="N2263" s="7">
        <v>208.6</v>
      </c>
      <c r="O2263" s="7">
        <v>156.6</v>
      </c>
    </row>
    <row r="2264" spans="1:16" x14ac:dyDescent="0.2">
      <c r="A2264">
        <v>2263</v>
      </c>
      <c r="B2264" s="1">
        <v>40779</v>
      </c>
      <c r="C2264" t="s">
        <v>24</v>
      </c>
      <c r="D2264" s="7">
        <v>42</v>
      </c>
      <c r="E2264" s="7">
        <v>7</v>
      </c>
      <c r="F2264" s="7">
        <f t="shared" si="35"/>
        <v>4</v>
      </c>
      <c r="G2264" s="7" t="str">
        <f>LOOKUP(H2264,[1]startdates!$A$2:$A$10,[1]startdates!$B$2:$B$10)</f>
        <v>FMr</v>
      </c>
      <c r="H2264">
        <v>7</v>
      </c>
      <c r="N2264" s="7">
        <v>259.39999999999998</v>
      </c>
      <c r="O2264" s="7">
        <v>187.4</v>
      </c>
    </row>
    <row r="2265" spans="1:16" x14ac:dyDescent="0.2">
      <c r="A2265">
        <v>2264</v>
      </c>
      <c r="B2265" s="1">
        <v>40779</v>
      </c>
      <c r="C2265" t="s">
        <v>24</v>
      </c>
      <c r="D2265" s="7">
        <v>42</v>
      </c>
      <c r="E2265" s="7">
        <v>7</v>
      </c>
      <c r="F2265" s="7">
        <f t="shared" si="35"/>
        <v>4</v>
      </c>
      <c r="G2265" s="7" t="str">
        <f>LOOKUP(H2265,[1]startdates!$A$2:$A$10,[1]startdates!$B$2:$B$10)</f>
        <v>FMr</v>
      </c>
      <c r="H2265">
        <v>7</v>
      </c>
      <c r="N2265" s="7">
        <v>205.4</v>
      </c>
      <c r="O2265" s="7">
        <v>191.2</v>
      </c>
    </row>
    <row r="2266" spans="1:16" x14ac:dyDescent="0.2">
      <c r="A2266">
        <v>2265</v>
      </c>
      <c r="B2266" s="1">
        <v>40779</v>
      </c>
      <c r="C2266" t="s">
        <v>24</v>
      </c>
      <c r="D2266" s="7">
        <v>42</v>
      </c>
      <c r="E2266" s="7">
        <v>7</v>
      </c>
      <c r="F2266" s="7">
        <f t="shared" si="35"/>
        <v>4</v>
      </c>
      <c r="G2266" s="7" t="str">
        <f>LOOKUP(H2266,[1]startdates!$A$2:$A$10,[1]startdates!$B$2:$B$10)</f>
        <v>FMr</v>
      </c>
      <c r="H2266">
        <v>7</v>
      </c>
      <c r="N2266" s="7">
        <v>247.1</v>
      </c>
      <c r="O2266" s="7">
        <v>140</v>
      </c>
    </row>
    <row r="2267" spans="1:16" x14ac:dyDescent="0.2">
      <c r="A2267">
        <v>2266</v>
      </c>
      <c r="B2267" s="1">
        <v>40779</v>
      </c>
      <c r="C2267" t="s">
        <v>24</v>
      </c>
      <c r="D2267" s="7">
        <v>42</v>
      </c>
      <c r="E2267" s="7">
        <v>7</v>
      </c>
      <c r="F2267" s="7">
        <f t="shared" si="35"/>
        <v>4</v>
      </c>
      <c r="G2267" s="7" t="str">
        <f>LOOKUP(H2267,[1]startdates!$A$2:$A$10,[1]startdates!$B$2:$B$10)</f>
        <v>C</v>
      </c>
      <c r="H2267">
        <v>8</v>
      </c>
      <c r="I2267" s="7">
        <v>748.9</v>
      </c>
      <c r="J2267" s="7">
        <v>610.20000000000005</v>
      </c>
      <c r="K2267" s="7">
        <v>582.5</v>
      </c>
      <c r="M2267" s="7">
        <v>296.2</v>
      </c>
      <c r="N2267" s="7">
        <v>274</v>
      </c>
      <c r="O2267" s="7">
        <v>192.9</v>
      </c>
      <c r="P2267" s="7">
        <v>515.5</v>
      </c>
    </row>
    <row r="2268" spans="1:16" x14ac:dyDescent="0.2">
      <c r="A2268">
        <v>2267</v>
      </c>
      <c r="B2268" s="1">
        <v>40779</v>
      </c>
      <c r="C2268" t="s">
        <v>24</v>
      </c>
      <c r="D2268" s="7">
        <v>42</v>
      </c>
      <c r="E2268" s="7">
        <v>7</v>
      </c>
      <c r="F2268" s="7">
        <f t="shared" si="35"/>
        <v>4</v>
      </c>
      <c r="G2268" s="7" t="str">
        <f>LOOKUP(H2268,[1]startdates!$A$2:$A$10,[1]startdates!$B$2:$B$10)</f>
        <v>C</v>
      </c>
      <c r="H2268">
        <v>8</v>
      </c>
      <c r="I2268" s="7">
        <v>711.1</v>
      </c>
      <c r="K2268" s="7">
        <v>642.4</v>
      </c>
      <c r="M2268" s="7">
        <v>318.3</v>
      </c>
      <c r="N2268" s="7">
        <v>221.5</v>
      </c>
      <c r="O2268" s="7">
        <v>163</v>
      </c>
    </row>
    <row r="2269" spans="1:16" x14ac:dyDescent="0.2">
      <c r="A2269">
        <v>2268</v>
      </c>
      <c r="B2269" s="1">
        <v>40779</v>
      </c>
      <c r="C2269" t="s">
        <v>24</v>
      </c>
      <c r="D2269" s="7">
        <v>42</v>
      </c>
      <c r="E2269" s="7">
        <v>7</v>
      </c>
      <c r="F2269" s="7">
        <f t="shared" si="35"/>
        <v>4</v>
      </c>
      <c r="G2269" s="7" t="str">
        <f>LOOKUP(H2269,[1]startdates!$A$2:$A$10,[1]startdates!$B$2:$B$10)</f>
        <v>C</v>
      </c>
      <c r="H2269">
        <v>8</v>
      </c>
      <c r="I2269" s="7">
        <v>829.2</v>
      </c>
      <c r="K2269" s="7">
        <v>528.70000000000005</v>
      </c>
      <c r="M2269" s="7">
        <v>325.10000000000002</v>
      </c>
      <c r="N2269" s="7">
        <v>235.7</v>
      </c>
      <c r="O2269" s="7">
        <v>184.1</v>
      </c>
    </row>
    <row r="2270" spans="1:16" x14ac:dyDescent="0.2">
      <c r="A2270">
        <v>2269</v>
      </c>
      <c r="B2270" s="1">
        <v>40779</v>
      </c>
      <c r="C2270" t="s">
        <v>24</v>
      </c>
      <c r="D2270" s="7">
        <v>42</v>
      </c>
      <c r="E2270" s="7">
        <v>7</v>
      </c>
      <c r="F2270" s="7">
        <f t="shared" si="35"/>
        <v>4</v>
      </c>
      <c r="G2270" s="7" t="str">
        <f>LOOKUP(H2270,[1]startdates!$A$2:$A$10,[1]startdates!$B$2:$B$10)</f>
        <v>C</v>
      </c>
      <c r="H2270">
        <v>8</v>
      </c>
      <c r="I2270" s="7">
        <v>720.4</v>
      </c>
      <c r="K2270" s="7">
        <v>578</v>
      </c>
      <c r="M2270" s="7">
        <v>349.8</v>
      </c>
      <c r="N2270" s="7">
        <v>247.7</v>
      </c>
      <c r="O2270" s="7">
        <v>215.5</v>
      </c>
    </row>
    <row r="2271" spans="1:16" x14ac:dyDescent="0.2">
      <c r="A2271">
        <v>2270</v>
      </c>
      <c r="B2271" s="1">
        <v>40779</v>
      </c>
      <c r="C2271" t="s">
        <v>24</v>
      </c>
      <c r="D2271" s="7">
        <v>42</v>
      </c>
      <c r="E2271" s="7">
        <v>7</v>
      </c>
      <c r="F2271" s="7">
        <f t="shared" si="35"/>
        <v>4</v>
      </c>
      <c r="G2271" s="7" t="str">
        <f>LOOKUP(H2271,[1]startdates!$A$2:$A$10,[1]startdates!$B$2:$B$10)</f>
        <v>C</v>
      </c>
      <c r="H2271">
        <v>8</v>
      </c>
      <c r="I2271" s="7">
        <v>773.1</v>
      </c>
      <c r="K2271" s="7">
        <v>563.70000000000005</v>
      </c>
      <c r="M2271" s="7">
        <v>297</v>
      </c>
      <c r="N2271" s="7">
        <v>236.1</v>
      </c>
      <c r="O2271" s="7">
        <v>186.3</v>
      </c>
    </row>
    <row r="2272" spans="1:16" x14ac:dyDescent="0.2">
      <c r="A2272">
        <v>2271</v>
      </c>
      <c r="B2272" s="1">
        <v>40779</v>
      </c>
      <c r="C2272" t="s">
        <v>24</v>
      </c>
      <c r="D2272" s="7">
        <v>42</v>
      </c>
      <c r="E2272" s="7">
        <v>7</v>
      </c>
      <c r="F2272" s="7">
        <f t="shared" si="35"/>
        <v>4</v>
      </c>
      <c r="G2272" s="7" t="str">
        <f>LOOKUP(H2272,[1]startdates!$A$2:$A$10,[1]startdates!$B$2:$B$10)</f>
        <v>C</v>
      </c>
      <c r="H2272">
        <v>8</v>
      </c>
      <c r="I2272" s="7">
        <v>703</v>
      </c>
      <c r="K2272" s="7">
        <v>618.79999999999995</v>
      </c>
      <c r="M2272" s="7">
        <v>352.9</v>
      </c>
      <c r="N2272" s="7">
        <v>264.60000000000002</v>
      </c>
      <c r="O2272" s="7">
        <v>142.19999999999999</v>
      </c>
    </row>
    <row r="2273" spans="1:18" x14ac:dyDescent="0.2">
      <c r="A2273">
        <v>2272</v>
      </c>
      <c r="B2273" s="1">
        <v>40779</v>
      </c>
      <c r="C2273" t="s">
        <v>24</v>
      </c>
      <c r="D2273" s="7">
        <v>42</v>
      </c>
      <c r="E2273" s="7">
        <v>7</v>
      </c>
      <c r="F2273" s="7">
        <f t="shared" si="35"/>
        <v>4</v>
      </c>
      <c r="G2273" s="7" t="str">
        <f>LOOKUP(H2273,[1]startdates!$A$2:$A$10,[1]startdates!$B$2:$B$10)</f>
        <v>C</v>
      </c>
      <c r="H2273">
        <v>8</v>
      </c>
      <c r="I2273" s="7">
        <v>689.5</v>
      </c>
      <c r="N2273" s="7">
        <v>196.4</v>
      </c>
      <c r="O2273" s="7">
        <v>169.7</v>
      </c>
    </row>
    <row r="2274" spans="1:18" x14ac:dyDescent="0.2">
      <c r="A2274">
        <v>2273</v>
      </c>
      <c r="B2274" s="1">
        <v>40779</v>
      </c>
      <c r="C2274" t="s">
        <v>24</v>
      </c>
      <c r="D2274" s="7">
        <v>42</v>
      </c>
      <c r="E2274" s="7">
        <v>7</v>
      </c>
      <c r="F2274" s="7">
        <f t="shared" si="35"/>
        <v>4</v>
      </c>
      <c r="G2274" s="7" t="str">
        <f>LOOKUP(H2274,[1]startdates!$A$2:$A$10,[1]startdates!$B$2:$B$10)</f>
        <v>C</v>
      </c>
      <c r="H2274">
        <v>8</v>
      </c>
      <c r="N2274" s="7">
        <v>242.7</v>
      </c>
      <c r="O2274" s="7">
        <v>174.6</v>
      </c>
    </row>
    <row r="2275" spans="1:18" x14ac:dyDescent="0.2">
      <c r="A2275">
        <v>2274</v>
      </c>
      <c r="B2275" s="1">
        <v>40779</v>
      </c>
      <c r="C2275" t="s">
        <v>24</v>
      </c>
      <c r="D2275" s="7">
        <v>42</v>
      </c>
      <c r="E2275" s="7">
        <v>7</v>
      </c>
      <c r="F2275" s="7">
        <f t="shared" si="35"/>
        <v>4</v>
      </c>
      <c r="G2275" s="7" t="str">
        <f>LOOKUP(H2275,[1]startdates!$A$2:$A$10,[1]startdates!$B$2:$B$10)</f>
        <v>C</v>
      </c>
      <c r="H2275">
        <v>8</v>
      </c>
      <c r="N2275" s="7">
        <v>232.4</v>
      </c>
      <c r="O2275" s="7">
        <v>172.4</v>
      </c>
    </row>
    <row r="2276" spans="1:18" x14ac:dyDescent="0.2">
      <c r="A2276">
        <v>2275</v>
      </c>
      <c r="B2276" s="1">
        <v>40779</v>
      </c>
      <c r="C2276" t="s">
        <v>24</v>
      </c>
      <c r="D2276" s="7">
        <v>42</v>
      </c>
      <c r="E2276" s="7">
        <v>7</v>
      </c>
      <c r="F2276" s="7">
        <f t="shared" si="35"/>
        <v>4</v>
      </c>
      <c r="G2276" s="7" t="str">
        <f>LOOKUP(H2276,[1]startdates!$A$2:$A$10,[1]startdates!$B$2:$B$10)</f>
        <v>C</v>
      </c>
      <c r="H2276">
        <v>8</v>
      </c>
      <c r="N2276" s="7">
        <v>220.7</v>
      </c>
      <c r="O2276" s="7">
        <v>176.8</v>
      </c>
    </row>
    <row r="2277" spans="1:18" x14ac:dyDescent="0.2">
      <c r="A2277">
        <v>2276</v>
      </c>
      <c r="B2277" s="1">
        <v>40779</v>
      </c>
      <c r="C2277" t="s">
        <v>24</v>
      </c>
      <c r="D2277" s="7">
        <v>42</v>
      </c>
      <c r="E2277" s="7">
        <v>7</v>
      </c>
      <c r="F2277" s="7">
        <f t="shared" si="35"/>
        <v>4</v>
      </c>
      <c r="G2277" s="7" t="str">
        <f>LOOKUP(H2277,[1]startdates!$A$2:$A$10,[1]startdates!$B$2:$B$10)</f>
        <v>C</v>
      </c>
      <c r="H2277">
        <v>8</v>
      </c>
      <c r="N2277" s="7">
        <v>183.4</v>
      </c>
      <c r="O2277" s="7">
        <v>185</v>
      </c>
    </row>
    <row r="2278" spans="1:18" x14ac:dyDescent="0.2">
      <c r="A2278">
        <v>2277</v>
      </c>
      <c r="B2278" s="1">
        <v>40779</v>
      </c>
      <c r="C2278" t="s">
        <v>24</v>
      </c>
      <c r="D2278" s="7">
        <v>42</v>
      </c>
      <c r="E2278" s="7">
        <v>7</v>
      </c>
      <c r="F2278" s="7">
        <f t="shared" si="35"/>
        <v>4</v>
      </c>
      <c r="G2278" s="7" t="str">
        <f>LOOKUP(H2278,[1]startdates!$A$2:$A$10,[1]startdates!$B$2:$B$10)</f>
        <v>C</v>
      </c>
      <c r="H2278">
        <v>8</v>
      </c>
      <c r="N2278" s="7">
        <v>275</v>
      </c>
      <c r="O2278" s="7">
        <v>191.4</v>
      </c>
    </row>
    <row r="2279" spans="1:18" x14ac:dyDescent="0.2">
      <c r="A2279">
        <v>2278</v>
      </c>
      <c r="B2279" s="1">
        <v>40779</v>
      </c>
      <c r="C2279" t="s">
        <v>24</v>
      </c>
      <c r="D2279" s="7">
        <v>42</v>
      </c>
      <c r="E2279" s="7">
        <v>7</v>
      </c>
      <c r="F2279" s="7">
        <f t="shared" si="35"/>
        <v>4</v>
      </c>
      <c r="G2279" s="7" t="str">
        <f>LOOKUP(H2279,[1]startdates!$A$2:$A$10,[1]startdates!$B$2:$B$10)</f>
        <v>C</v>
      </c>
      <c r="H2279">
        <v>8</v>
      </c>
      <c r="N2279" s="7">
        <v>217</v>
      </c>
    </row>
    <row r="2280" spans="1:18" x14ac:dyDescent="0.2">
      <c r="A2280">
        <v>2279</v>
      </c>
      <c r="B2280" s="1">
        <v>40779</v>
      </c>
      <c r="C2280" t="s">
        <v>24</v>
      </c>
      <c r="D2280" s="7">
        <v>42</v>
      </c>
      <c r="E2280" s="7">
        <v>7</v>
      </c>
      <c r="F2280" s="7">
        <f t="shared" si="35"/>
        <v>4</v>
      </c>
      <c r="G2280" s="7" t="str">
        <f>LOOKUP(H2280,[1]startdates!$A$2:$A$10,[1]startdates!$B$2:$B$10)</f>
        <v>C</v>
      </c>
      <c r="H2280">
        <v>8</v>
      </c>
      <c r="N2280" s="7">
        <v>196.3</v>
      </c>
    </row>
    <row r="2281" spans="1:18" x14ac:dyDescent="0.2">
      <c r="A2281">
        <v>2280</v>
      </c>
      <c r="B2281" s="1">
        <v>40779</v>
      </c>
      <c r="C2281" t="s">
        <v>24</v>
      </c>
      <c r="D2281" s="7">
        <v>42</v>
      </c>
      <c r="E2281" s="7">
        <v>7</v>
      </c>
      <c r="F2281" s="7">
        <f t="shared" ref="F2281:F2344" si="36">WEEKDAY(B2281)</f>
        <v>4</v>
      </c>
      <c r="G2281" s="7" t="str">
        <f>LOOKUP(H2281,[1]startdates!$A$2:$A$10,[1]startdates!$B$2:$B$10)</f>
        <v>C</v>
      </c>
      <c r="H2281">
        <v>8</v>
      </c>
      <c r="N2281" s="7">
        <v>248.9</v>
      </c>
    </row>
    <row r="2282" spans="1:18" x14ac:dyDescent="0.2">
      <c r="A2282">
        <v>2281</v>
      </c>
      <c r="B2282" s="1">
        <v>40779</v>
      </c>
      <c r="C2282" t="s">
        <v>24</v>
      </c>
      <c r="D2282" s="7">
        <v>42</v>
      </c>
      <c r="E2282" s="7">
        <v>7</v>
      </c>
      <c r="F2282" s="7">
        <f t="shared" si="36"/>
        <v>4</v>
      </c>
      <c r="G2282" s="7" t="str">
        <f>LOOKUP(H2282,[1]startdates!$A$2:$A$10,[1]startdates!$B$2:$B$10)</f>
        <v>C</v>
      </c>
      <c r="H2282">
        <v>8</v>
      </c>
      <c r="N2282" s="7">
        <v>208.1</v>
      </c>
    </row>
    <row r="2283" spans="1:18" x14ac:dyDescent="0.2">
      <c r="A2283">
        <v>2282</v>
      </c>
      <c r="B2283" s="1">
        <v>40779</v>
      </c>
      <c r="C2283" t="s">
        <v>24</v>
      </c>
      <c r="D2283" s="7">
        <v>42</v>
      </c>
      <c r="E2283" s="7">
        <v>7</v>
      </c>
      <c r="F2283" s="7">
        <f t="shared" si="36"/>
        <v>4</v>
      </c>
      <c r="G2283" s="7" t="str">
        <f>LOOKUP(H2283,[1]startdates!$A$2:$A$10,[1]startdates!$B$2:$B$10)</f>
        <v>FMr</v>
      </c>
      <c r="H2283">
        <v>9</v>
      </c>
      <c r="I2283" s="7">
        <v>835.3</v>
      </c>
      <c r="J2283" s="7">
        <v>556.79999999999995</v>
      </c>
      <c r="K2283" s="7">
        <v>493.6</v>
      </c>
      <c r="L2283" s="7">
        <v>513.70000000000005</v>
      </c>
      <c r="M2283" s="7">
        <v>337.1</v>
      </c>
      <c r="N2283" s="7">
        <v>213.1</v>
      </c>
      <c r="O2283" s="7">
        <v>165.7</v>
      </c>
      <c r="R2283" s="7">
        <v>250.9</v>
      </c>
    </row>
    <row r="2284" spans="1:18" x14ac:dyDescent="0.2">
      <c r="A2284">
        <v>2283</v>
      </c>
      <c r="B2284" s="1">
        <v>40779</v>
      </c>
      <c r="C2284" t="s">
        <v>24</v>
      </c>
      <c r="D2284" s="7">
        <v>42</v>
      </c>
      <c r="E2284" s="7">
        <v>7</v>
      </c>
      <c r="F2284" s="7">
        <f t="shared" si="36"/>
        <v>4</v>
      </c>
      <c r="G2284" s="7" t="str">
        <f>LOOKUP(H2284,[1]startdates!$A$2:$A$10,[1]startdates!$B$2:$B$10)</f>
        <v>FMr</v>
      </c>
      <c r="H2284">
        <v>9</v>
      </c>
      <c r="I2284" s="7">
        <v>788.5</v>
      </c>
      <c r="J2284" s="7">
        <v>555</v>
      </c>
      <c r="K2284" s="7">
        <v>650.70000000000005</v>
      </c>
      <c r="L2284" s="7">
        <v>466.6</v>
      </c>
      <c r="M2284" s="7">
        <v>422</v>
      </c>
      <c r="N2284" s="7">
        <v>206.3</v>
      </c>
      <c r="O2284" s="7">
        <v>178.4</v>
      </c>
    </row>
    <row r="2285" spans="1:18" x14ac:dyDescent="0.2">
      <c r="A2285">
        <v>2284</v>
      </c>
      <c r="B2285" s="1">
        <v>40779</v>
      </c>
      <c r="C2285" t="s">
        <v>24</v>
      </c>
      <c r="D2285" s="7">
        <v>42</v>
      </c>
      <c r="E2285" s="7">
        <v>7</v>
      </c>
      <c r="F2285" s="7">
        <f t="shared" si="36"/>
        <v>4</v>
      </c>
      <c r="G2285" s="7" t="str">
        <f>LOOKUP(H2285,[1]startdates!$A$2:$A$10,[1]startdates!$B$2:$B$10)</f>
        <v>FMr</v>
      </c>
      <c r="H2285">
        <v>9</v>
      </c>
      <c r="I2285" s="7">
        <v>606.79999999999995</v>
      </c>
      <c r="K2285" s="7">
        <v>612.4</v>
      </c>
      <c r="L2285" s="7">
        <v>417.7</v>
      </c>
      <c r="M2285" s="7">
        <v>303.3</v>
      </c>
      <c r="N2285" s="7">
        <v>223.6</v>
      </c>
      <c r="O2285" s="7">
        <v>192.2</v>
      </c>
    </row>
    <row r="2286" spans="1:18" x14ac:dyDescent="0.2">
      <c r="A2286">
        <v>2285</v>
      </c>
      <c r="B2286" s="1">
        <v>40779</v>
      </c>
      <c r="C2286" t="s">
        <v>24</v>
      </c>
      <c r="D2286" s="7">
        <v>42</v>
      </c>
      <c r="E2286" s="7">
        <v>7</v>
      </c>
      <c r="F2286" s="7">
        <f t="shared" si="36"/>
        <v>4</v>
      </c>
      <c r="G2286" s="7" t="str">
        <f>LOOKUP(H2286,[1]startdates!$A$2:$A$10,[1]startdates!$B$2:$B$10)</f>
        <v>FMr</v>
      </c>
      <c r="H2286">
        <v>9</v>
      </c>
      <c r="I2286" s="7">
        <v>777.4</v>
      </c>
      <c r="L2286" s="7">
        <v>508.9</v>
      </c>
      <c r="M2286" s="7">
        <v>374</v>
      </c>
      <c r="N2286" s="7">
        <v>214</v>
      </c>
      <c r="O2286" s="7">
        <v>176.9</v>
      </c>
    </row>
    <row r="2287" spans="1:18" x14ac:dyDescent="0.2">
      <c r="A2287">
        <v>2286</v>
      </c>
      <c r="B2287" s="1">
        <v>40779</v>
      </c>
      <c r="C2287" t="s">
        <v>24</v>
      </c>
      <c r="D2287" s="7">
        <v>42</v>
      </c>
      <c r="E2287" s="7">
        <v>7</v>
      </c>
      <c r="F2287" s="7">
        <f t="shared" si="36"/>
        <v>4</v>
      </c>
      <c r="G2287" s="7" t="str">
        <f>LOOKUP(H2287,[1]startdates!$A$2:$A$10,[1]startdates!$B$2:$B$10)</f>
        <v>FMr</v>
      </c>
      <c r="H2287">
        <v>9</v>
      </c>
      <c r="I2287" s="7">
        <v>776.9</v>
      </c>
      <c r="L2287" s="7">
        <v>449.6</v>
      </c>
      <c r="M2287" s="7">
        <v>359.2</v>
      </c>
      <c r="N2287" s="7">
        <v>186.3</v>
      </c>
      <c r="O2287" s="7">
        <v>164.2</v>
      </c>
    </row>
    <row r="2288" spans="1:18" x14ac:dyDescent="0.2">
      <c r="A2288">
        <v>2287</v>
      </c>
      <c r="B2288" s="1">
        <v>40779</v>
      </c>
      <c r="C2288" t="s">
        <v>24</v>
      </c>
      <c r="D2288" s="7">
        <v>42</v>
      </c>
      <c r="E2288" s="7">
        <v>7</v>
      </c>
      <c r="F2288" s="7">
        <f t="shared" si="36"/>
        <v>4</v>
      </c>
      <c r="G2288" s="7" t="str">
        <f>LOOKUP(H2288,[1]startdates!$A$2:$A$10,[1]startdates!$B$2:$B$10)</f>
        <v>FMr</v>
      </c>
      <c r="H2288">
        <v>9</v>
      </c>
      <c r="I2288" s="7">
        <v>697.1</v>
      </c>
      <c r="L2288" s="7">
        <v>459.6</v>
      </c>
      <c r="M2288" s="7">
        <v>371.5</v>
      </c>
      <c r="N2288" s="7">
        <v>194</v>
      </c>
      <c r="O2288" s="7">
        <v>188.6</v>
      </c>
    </row>
    <row r="2289" spans="1:19" x14ac:dyDescent="0.2">
      <c r="A2289">
        <v>2288</v>
      </c>
      <c r="B2289" s="1">
        <v>40779</v>
      </c>
      <c r="C2289" t="s">
        <v>24</v>
      </c>
      <c r="D2289" s="7">
        <v>42</v>
      </c>
      <c r="E2289" s="7">
        <v>7</v>
      </c>
      <c r="F2289" s="7">
        <f t="shared" si="36"/>
        <v>4</v>
      </c>
      <c r="G2289" s="7" t="str">
        <f>LOOKUP(H2289,[1]startdates!$A$2:$A$10,[1]startdates!$B$2:$B$10)</f>
        <v>FMr</v>
      </c>
      <c r="H2289">
        <v>9</v>
      </c>
      <c r="I2289" s="7">
        <v>800.2</v>
      </c>
      <c r="N2289" s="7">
        <v>257.89999999999998</v>
      </c>
      <c r="O2289" s="7">
        <v>167</v>
      </c>
    </row>
    <row r="2290" spans="1:19" x14ac:dyDescent="0.2">
      <c r="A2290">
        <v>2289</v>
      </c>
      <c r="B2290" s="1">
        <v>40779</v>
      </c>
      <c r="C2290" t="s">
        <v>24</v>
      </c>
      <c r="D2290" s="7">
        <v>42</v>
      </c>
      <c r="E2290" s="7">
        <v>7</v>
      </c>
      <c r="F2290" s="7">
        <f t="shared" si="36"/>
        <v>4</v>
      </c>
      <c r="G2290" s="7" t="str">
        <f>LOOKUP(H2290,[1]startdates!$A$2:$A$10,[1]startdates!$B$2:$B$10)</f>
        <v>FMr</v>
      </c>
      <c r="H2290">
        <v>9</v>
      </c>
      <c r="I2290" s="7">
        <v>743.9</v>
      </c>
      <c r="N2290" s="7">
        <v>273.3</v>
      </c>
      <c r="O2290" s="7">
        <v>173.1</v>
      </c>
    </row>
    <row r="2291" spans="1:19" x14ac:dyDescent="0.2">
      <c r="A2291">
        <v>2290</v>
      </c>
      <c r="B2291" s="1">
        <v>40779</v>
      </c>
      <c r="C2291" t="s">
        <v>24</v>
      </c>
      <c r="D2291" s="7">
        <v>42</v>
      </c>
      <c r="E2291" s="7">
        <v>7</v>
      </c>
      <c r="F2291" s="7">
        <f t="shared" si="36"/>
        <v>4</v>
      </c>
      <c r="G2291" s="7" t="str">
        <f>LOOKUP(H2291,[1]startdates!$A$2:$A$10,[1]startdates!$B$2:$B$10)</f>
        <v>FMr</v>
      </c>
      <c r="H2291">
        <v>9</v>
      </c>
      <c r="I2291" s="7">
        <v>683.1</v>
      </c>
      <c r="N2291" s="7">
        <v>227.7</v>
      </c>
      <c r="O2291" s="7">
        <v>164</v>
      </c>
    </row>
    <row r="2292" spans="1:19" x14ac:dyDescent="0.2">
      <c r="A2292">
        <v>2291</v>
      </c>
      <c r="B2292" s="1">
        <v>40779</v>
      </c>
      <c r="C2292" t="s">
        <v>24</v>
      </c>
      <c r="D2292" s="7">
        <v>42</v>
      </c>
      <c r="E2292" s="7">
        <v>7</v>
      </c>
      <c r="F2292" s="7">
        <f t="shared" si="36"/>
        <v>4</v>
      </c>
      <c r="G2292" s="7" t="str">
        <f>LOOKUP(H2292,[1]startdates!$A$2:$A$10,[1]startdates!$B$2:$B$10)</f>
        <v>FMr</v>
      </c>
      <c r="H2292">
        <v>9</v>
      </c>
      <c r="I2292" s="7">
        <v>709.7</v>
      </c>
      <c r="N2292" s="7">
        <v>239.3</v>
      </c>
      <c r="O2292" s="7">
        <v>151.1</v>
      </c>
    </row>
    <row r="2293" spans="1:19" x14ac:dyDescent="0.2">
      <c r="A2293">
        <v>2292</v>
      </c>
      <c r="B2293" s="1">
        <v>40779</v>
      </c>
      <c r="C2293" t="s">
        <v>24</v>
      </c>
      <c r="D2293" s="7">
        <v>42</v>
      </c>
      <c r="E2293" s="7">
        <v>7</v>
      </c>
      <c r="F2293" s="7">
        <f t="shared" si="36"/>
        <v>4</v>
      </c>
      <c r="G2293" s="7" t="str">
        <f>LOOKUP(H2293,[1]startdates!$A$2:$A$10,[1]startdates!$B$2:$B$10)</f>
        <v>FMr</v>
      </c>
      <c r="H2293">
        <v>9</v>
      </c>
      <c r="I2293" s="7">
        <v>789.2</v>
      </c>
      <c r="N2293" s="7">
        <v>262.2</v>
      </c>
      <c r="O2293" s="7">
        <v>167.9</v>
      </c>
    </row>
    <row r="2294" spans="1:19" x14ac:dyDescent="0.2">
      <c r="A2294">
        <v>2293</v>
      </c>
      <c r="B2294" s="1">
        <v>40779</v>
      </c>
      <c r="C2294" t="s">
        <v>24</v>
      </c>
      <c r="D2294" s="7">
        <v>42</v>
      </c>
      <c r="E2294" s="7">
        <v>7</v>
      </c>
      <c r="F2294" s="7">
        <f t="shared" si="36"/>
        <v>4</v>
      </c>
      <c r="G2294" s="7" t="str">
        <f>LOOKUP(H2294,[1]startdates!$A$2:$A$10,[1]startdates!$B$2:$B$10)</f>
        <v>FMr</v>
      </c>
      <c r="H2294">
        <v>9</v>
      </c>
      <c r="I2294" s="7">
        <v>757.6</v>
      </c>
      <c r="N2294" s="7">
        <v>232.4</v>
      </c>
      <c r="O2294" s="7">
        <v>136.4</v>
      </c>
    </row>
    <row r="2295" spans="1:19" x14ac:dyDescent="0.2">
      <c r="A2295">
        <v>2294</v>
      </c>
      <c r="B2295" s="1">
        <v>40779</v>
      </c>
      <c r="C2295" t="s">
        <v>24</v>
      </c>
      <c r="D2295" s="7">
        <v>42</v>
      </c>
      <c r="E2295" s="7">
        <v>7</v>
      </c>
      <c r="F2295" s="7">
        <f t="shared" si="36"/>
        <v>4</v>
      </c>
      <c r="G2295" s="7" t="str">
        <f>LOOKUP(H2295,[1]startdates!$A$2:$A$10,[1]startdates!$B$2:$B$10)</f>
        <v>FMr</v>
      </c>
      <c r="H2295">
        <v>9</v>
      </c>
      <c r="N2295" s="7">
        <v>180.1</v>
      </c>
      <c r="O2295" s="7">
        <v>170</v>
      </c>
    </row>
    <row r="2296" spans="1:19" x14ac:dyDescent="0.2">
      <c r="A2296">
        <v>2295</v>
      </c>
      <c r="B2296" s="1">
        <v>40779</v>
      </c>
      <c r="C2296" t="s">
        <v>24</v>
      </c>
      <c r="D2296" s="7">
        <v>42</v>
      </c>
      <c r="E2296" s="7">
        <v>7</v>
      </c>
      <c r="F2296" s="7">
        <f t="shared" si="36"/>
        <v>4</v>
      </c>
      <c r="G2296" s="7" t="str">
        <f>LOOKUP(H2296,[1]startdates!$A$2:$A$10,[1]startdates!$B$2:$B$10)</f>
        <v>FMr</v>
      </c>
      <c r="H2296">
        <v>9</v>
      </c>
      <c r="O2296" s="7">
        <v>147.30000000000001</v>
      </c>
    </row>
    <row r="2297" spans="1:19" x14ac:dyDescent="0.2">
      <c r="A2297">
        <v>2296</v>
      </c>
      <c r="B2297" s="1">
        <v>40779</v>
      </c>
      <c r="C2297" t="s">
        <v>24</v>
      </c>
      <c r="D2297" s="7">
        <v>42</v>
      </c>
      <c r="E2297" s="7">
        <v>7</v>
      </c>
      <c r="F2297" s="7">
        <f t="shared" si="36"/>
        <v>4</v>
      </c>
      <c r="G2297" s="7" t="str">
        <f>LOOKUP(H2297,[1]startdates!$A$2:$A$10,[1]startdates!$B$2:$B$10)</f>
        <v>FMr</v>
      </c>
      <c r="H2297">
        <v>9</v>
      </c>
      <c r="O2297" s="7">
        <v>157.30000000000001</v>
      </c>
    </row>
    <row r="2298" spans="1:19" x14ac:dyDescent="0.2">
      <c r="A2298">
        <v>2297</v>
      </c>
      <c r="B2298" s="1">
        <v>40781</v>
      </c>
      <c r="C2298" t="s">
        <v>24</v>
      </c>
      <c r="D2298" s="7">
        <v>44</v>
      </c>
      <c r="E2298" s="7">
        <v>7</v>
      </c>
      <c r="F2298" s="7">
        <f t="shared" si="36"/>
        <v>6</v>
      </c>
      <c r="G2298" s="7" t="str">
        <f>LOOKUP(H2298,[1]startdates!$A$2:$A$10,[1]startdates!$B$2:$B$10)</f>
        <v>SMr</v>
      </c>
      <c r="H2298">
        <v>1</v>
      </c>
      <c r="I2298" s="7">
        <v>677.9</v>
      </c>
      <c r="J2298" s="7">
        <v>600.79999999999995</v>
      </c>
      <c r="K2298" s="7">
        <v>584.6</v>
      </c>
      <c r="L2298" s="7">
        <v>434.8</v>
      </c>
      <c r="M2298" s="7">
        <v>324.10000000000002</v>
      </c>
      <c r="N2298" s="7">
        <v>224.6</v>
      </c>
      <c r="O2298" s="7">
        <v>164.7</v>
      </c>
      <c r="P2298" s="7">
        <v>481.4</v>
      </c>
      <c r="Q2298" s="7">
        <v>360.6</v>
      </c>
      <c r="R2298" s="7">
        <v>254.3</v>
      </c>
      <c r="S2298" s="7">
        <v>266.7</v>
      </c>
    </row>
    <row r="2299" spans="1:19" x14ac:dyDescent="0.2">
      <c r="A2299">
        <v>2298</v>
      </c>
      <c r="B2299" s="1">
        <v>40781</v>
      </c>
      <c r="C2299" t="s">
        <v>24</v>
      </c>
      <c r="D2299" s="7">
        <v>44</v>
      </c>
      <c r="E2299" s="7">
        <v>7</v>
      </c>
      <c r="F2299" s="7">
        <f t="shared" si="36"/>
        <v>6</v>
      </c>
      <c r="G2299" s="7" t="str">
        <f>LOOKUP(H2299,[1]startdates!$A$2:$A$10,[1]startdates!$B$2:$B$10)</f>
        <v>SMr</v>
      </c>
      <c r="H2299">
        <v>1</v>
      </c>
      <c r="I2299" s="7">
        <v>671.9</v>
      </c>
      <c r="J2299" s="7">
        <v>567.29999999999995</v>
      </c>
      <c r="K2299" s="7">
        <v>584.70000000000005</v>
      </c>
      <c r="L2299" s="7">
        <v>405</v>
      </c>
      <c r="M2299" s="7">
        <v>317.8</v>
      </c>
      <c r="N2299" s="7">
        <v>213.7</v>
      </c>
      <c r="O2299" s="7">
        <v>155.19999999999999</v>
      </c>
      <c r="Q2299" s="7">
        <v>346.3</v>
      </c>
    </row>
    <row r="2300" spans="1:19" x14ac:dyDescent="0.2">
      <c r="A2300">
        <v>2299</v>
      </c>
      <c r="B2300" s="1">
        <v>40781</v>
      </c>
      <c r="C2300" t="s">
        <v>24</v>
      </c>
      <c r="D2300" s="7">
        <v>44</v>
      </c>
      <c r="E2300" s="7">
        <v>7</v>
      </c>
      <c r="F2300" s="7">
        <f t="shared" si="36"/>
        <v>6</v>
      </c>
      <c r="G2300" s="7" t="str">
        <f>LOOKUP(H2300,[1]startdates!$A$2:$A$10,[1]startdates!$B$2:$B$10)</f>
        <v>SMr</v>
      </c>
      <c r="H2300">
        <v>1</v>
      </c>
      <c r="I2300" s="7">
        <v>702.9</v>
      </c>
      <c r="K2300" s="7">
        <v>567.6</v>
      </c>
      <c r="L2300" s="7">
        <v>405.1</v>
      </c>
      <c r="M2300" s="7">
        <v>302.89999999999998</v>
      </c>
      <c r="N2300" s="7">
        <v>276.10000000000002</v>
      </c>
      <c r="O2300" s="7">
        <v>174.6</v>
      </c>
    </row>
    <row r="2301" spans="1:19" x14ac:dyDescent="0.2">
      <c r="A2301">
        <v>2300</v>
      </c>
      <c r="B2301" s="1">
        <v>40781</v>
      </c>
      <c r="C2301" t="s">
        <v>24</v>
      </c>
      <c r="D2301" s="7">
        <v>44</v>
      </c>
      <c r="E2301" s="7">
        <v>7</v>
      </c>
      <c r="F2301" s="7">
        <f t="shared" si="36"/>
        <v>6</v>
      </c>
      <c r="G2301" s="7" t="str">
        <f>LOOKUP(H2301,[1]startdates!$A$2:$A$10,[1]startdates!$B$2:$B$10)</f>
        <v>SMr</v>
      </c>
      <c r="H2301">
        <v>1</v>
      </c>
      <c r="I2301" s="7">
        <v>702.9</v>
      </c>
      <c r="K2301" s="7">
        <v>598.1</v>
      </c>
      <c r="L2301" s="7">
        <v>466.9</v>
      </c>
      <c r="M2301" s="7">
        <v>298.60000000000002</v>
      </c>
      <c r="N2301" s="7">
        <v>220.9</v>
      </c>
      <c r="O2301" s="7">
        <v>130.30000000000001</v>
      </c>
    </row>
    <row r="2302" spans="1:19" x14ac:dyDescent="0.2">
      <c r="A2302">
        <v>2301</v>
      </c>
      <c r="B2302" s="1">
        <v>40781</v>
      </c>
      <c r="C2302" t="s">
        <v>24</v>
      </c>
      <c r="D2302" s="7">
        <v>44</v>
      </c>
      <c r="E2302" s="7">
        <v>7</v>
      </c>
      <c r="F2302" s="7">
        <f t="shared" si="36"/>
        <v>6</v>
      </c>
      <c r="G2302" s="7" t="str">
        <f>LOOKUP(H2302,[1]startdates!$A$2:$A$10,[1]startdates!$B$2:$B$10)</f>
        <v>SMr</v>
      </c>
      <c r="H2302">
        <v>1</v>
      </c>
      <c r="K2302" s="7">
        <v>558.20000000000005</v>
      </c>
      <c r="M2302" s="7">
        <v>323.3</v>
      </c>
      <c r="N2302" s="7">
        <v>218</v>
      </c>
      <c r="O2302" s="7">
        <v>159.80000000000001</v>
      </c>
    </row>
    <row r="2303" spans="1:19" x14ac:dyDescent="0.2">
      <c r="A2303">
        <v>2302</v>
      </c>
      <c r="B2303" s="1">
        <v>40781</v>
      </c>
      <c r="C2303" t="s">
        <v>24</v>
      </c>
      <c r="D2303" s="7">
        <v>44</v>
      </c>
      <c r="E2303" s="7">
        <v>7</v>
      </c>
      <c r="F2303" s="7">
        <f t="shared" si="36"/>
        <v>6</v>
      </c>
      <c r="G2303" s="7" t="str">
        <f>LOOKUP(H2303,[1]startdates!$A$2:$A$10,[1]startdates!$B$2:$B$10)</f>
        <v>SMr</v>
      </c>
      <c r="H2303">
        <v>1</v>
      </c>
      <c r="K2303" s="7">
        <v>571.5</v>
      </c>
      <c r="M2303" s="7">
        <v>294.5</v>
      </c>
      <c r="N2303" s="7">
        <v>222.4</v>
      </c>
      <c r="O2303" s="7">
        <v>164.7</v>
      </c>
    </row>
    <row r="2304" spans="1:19" x14ac:dyDescent="0.2">
      <c r="A2304">
        <v>2303</v>
      </c>
      <c r="B2304" s="1">
        <v>40781</v>
      </c>
      <c r="C2304" t="s">
        <v>24</v>
      </c>
      <c r="D2304" s="7">
        <v>44</v>
      </c>
      <c r="E2304" s="7">
        <v>7</v>
      </c>
      <c r="F2304" s="7">
        <f t="shared" si="36"/>
        <v>6</v>
      </c>
      <c r="G2304" s="7" t="str">
        <f>LOOKUP(H2304,[1]startdates!$A$2:$A$10,[1]startdates!$B$2:$B$10)</f>
        <v>SMr</v>
      </c>
      <c r="H2304">
        <v>1</v>
      </c>
      <c r="M2304" s="7">
        <v>293.2</v>
      </c>
      <c r="N2304" s="7">
        <v>243.7</v>
      </c>
      <c r="O2304" s="7">
        <v>162</v>
      </c>
    </row>
    <row r="2305" spans="1:19" x14ac:dyDescent="0.2">
      <c r="A2305">
        <v>2304</v>
      </c>
      <c r="B2305" s="1">
        <v>40781</v>
      </c>
      <c r="C2305" t="s">
        <v>24</v>
      </c>
      <c r="D2305" s="7">
        <v>44</v>
      </c>
      <c r="E2305" s="7">
        <v>7</v>
      </c>
      <c r="F2305" s="7">
        <f t="shared" si="36"/>
        <v>6</v>
      </c>
      <c r="G2305" s="7" t="str">
        <f>LOOKUP(H2305,[1]startdates!$A$2:$A$10,[1]startdates!$B$2:$B$10)</f>
        <v>SMr</v>
      </c>
      <c r="H2305">
        <v>1</v>
      </c>
      <c r="M2305" s="7">
        <v>357.4</v>
      </c>
      <c r="N2305" s="7">
        <v>224.7</v>
      </c>
      <c r="O2305" s="7">
        <v>196.1</v>
      </c>
    </row>
    <row r="2306" spans="1:19" x14ac:dyDescent="0.2">
      <c r="A2306">
        <v>2305</v>
      </c>
      <c r="B2306" s="1">
        <v>40781</v>
      </c>
      <c r="C2306" t="s">
        <v>24</v>
      </c>
      <c r="D2306" s="7">
        <v>44</v>
      </c>
      <c r="E2306" s="7">
        <v>7</v>
      </c>
      <c r="F2306" s="7">
        <f t="shared" si="36"/>
        <v>6</v>
      </c>
      <c r="G2306" s="7" t="str">
        <f>LOOKUP(H2306,[1]startdates!$A$2:$A$10,[1]startdates!$B$2:$B$10)</f>
        <v>SMr</v>
      </c>
      <c r="H2306">
        <v>1</v>
      </c>
      <c r="M2306" s="7">
        <v>268.39999999999998</v>
      </c>
      <c r="N2306" s="7">
        <v>253.8</v>
      </c>
      <c r="O2306" s="7">
        <v>174.6</v>
      </c>
    </row>
    <row r="2307" spans="1:19" x14ac:dyDescent="0.2">
      <c r="A2307">
        <v>2306</v>
      </c>
      <c r="B2307" s="1">
        <v>40781</v>
      </c>
      <c r="C2307" t="s">
        <v>24</v>
      </c>
      <c r="D2307" s="7">
        <v>44</v>
      </c>
      <c r="E2307" s="7">
        <v>7</v>
      </c>
      <c r="F2307" s="7">
        <f t="shared" si="36"/>
        <v>6</v>
      </c>
      <c r="G2307" s="7" t="str">
        <f>LOOKUP(H2307,[1]startdates!$A$2:$A$10,[1]startdates!$B$2:$B$10)</f>
        <v>SMr</v>
      </c>
      <c r="H2307">
        <v>1</v>
      </c>
      <c r="M2307" s="7">
        <v>296.8</v>
      </c>
      <c r="N2307" s="7">
        <v>279.8</v>
      </c>
      <c r="O2307" s="7">
        <v>179.2</v>
      </c>
    </row>
    <row r="2308" spans="1:19" x14ac:dyDescent="0.2">
      <c r="A2308">
        <v>2307</v>
      </c>
      <c r="B2308" s="1">
        <v>40781</v>
      </c>
      <c r="C2308" t="s">
        <v>24</v>
      </c>
      <c r="D2308" s="7">
        <v>44</v>
      </c>
      <c r="E2308" s="7">
        <v>7</v>
      </c>
      <c r="F2308" s="7">
        <f t="shared" si="36"/>
        <v>6</v>
      </c>
      <c r="G2308" s="7" t="str">
        <f>LOOKUP(H2308,[1]startdates!$A$2:$A$10,[1]startdates!$B$2:$B$10)</f>
        <v>SMr</v>
      </c>
      <c r="H2308">
        <v>1</v>
      </c>
      <c r="M2308" s="7">
        <v>314</v>
      </c>
      <c r="N2308" s="7">
        <v>227.9</v>
      </c>
    </row>
    <row r="2309" spans="1:19" x14ac:dyDescent="0.2">
      <c r="A2309">
        <v>2308</v>
      </c>
      <c r="B2309" s="1">
        <v>40781</v>
      </c>
      <c r="C2309" t="s">
        <v>24</v>
      </c>
      <c r="D2309" s="7">
        <v>44</v>
      </c>
      <c r="E2309" s="7">
        <v>7</v>
      </c>
      <c r="F2309" s="7">
        <f t="shared" si="36"/>
        <v>6</v>
      </c>
      <c r="G2309" s="7" t="str">
        <f>LOOKUP(H2309,[1]startdates!$A$2:$A$10,[1]startdates!$B$2:$B$10)</f>
        <v>SMr</v>
      </c>
      <c r="H2309">
        <v>1</v>
      </c>
      <c r="M2309" s="7">
        <v>272</v>
      </c>
      <c r="N2309" s="7">
        <v>240.1</v>
      </c>
    </row>
    <row r="2310" spans="1:19" x14ac:dyDescent="0.2">
      <c r="A2310">
        <v>2309</v>
      </c>
      <c r="B2310" s="1">
        <v>40781</v>
      </c>
      <c r="C2310" t="s">
        <v>28</v>
      </c>
      <c r="D2310" s="7">
        <v>44</v>
      </c>
      <c r="E2310" s="7">
        <v>7</v>
      </c>
      <c r="F2310" s="7">
        <f t="shared" si="36"/>
        <v>6</v>
      </c>
      <c r="G2310" s="7" t="str">
        <f>LOOKUP(H2310,[1]startdates!$A$2:$A$10,[1]startdates!$B$2:$B$10)</f>
        <v>SMr</v>
      </c>
      <c r="H2310">
        <v>2</v>
      </c>
      <c r="I2310" s="7">
        <v>604.9</v>
      </c>
      <c r="K2310" s="7">
        <v>544.29999999999995</v>
      </c>
      <c r="L2310" s="7">
        <v>420.7</v>
      </c>
      <c r="M2310" s="7">
        <v>342.6</v>
      </c>
      <c r="N2310" s="7">
        <v>257.8</v>
      </c>
      <c r="O2310" s="7">
        <v>172.5</v>
      </c>
      <c r="Q2310" s="7">
        <v>403.1</v>
      </c>
      <c r="S2310" s="7">
        <v>324.10000000000002</v>
      </c>
    </row>
    <row r="2311" spans="1:19" x14ac:dyDescent="0.2">
      <c r="A2311">
        <v>2310</v>
      </c>
      <c r="B2311" s="1">
        <v>40781</v>
      </c>
      <c r="C2311" t="s">
        <v>28</v>
      </c>
      <c r="D2311" s="7">
        <v>44</v>
      </c>
      <c r="E2311" s="7">
        <v>7</v>
      </c>
      <c r="F2311" s="7">
        <f t="shared" si="36"/>
        <v>6</v>
      </c>
      <c r="G2311" s="7" t="str">
        <f>LOOKUP(H2311,[1]startdates!$A$2:$A$10,[1]startdates!$B$2:$B$10)</f>
        <v>SMr</v>
      </c>
      <c r="H2311">
        <v>2</v>
      </c>
      <c r="I2311" s="7">
        <v>778.3</v>
      </c>
      <c r="K2311" s="7">
        <v>558.79999999999995</v>
      </c>
      <c r="L2311" s="7">
        <v>418.4</v>
      </c>
      <c r="M2311" s="7">
        <v>393</v>
      </c>
      <c r="N2311" s="7">
        <v>296.8</v>
      </c>
      <c r="O2311" s="7">
        <v>162.69999999999999</v>
      </c>
      <c r="Q2311" s="7">
        <v>405.5</v>
      </c>
    </row>
    <row r="2312" spans="1:19" x14ac:dyDescent="0.2">
      <c r="A2312">
        <v>2311</v>
      </c>
      <c r="B2312" s="1">
        <v>40781</v>
      </c>
      <c r="C2312" t="s">
        <v>28</v>
      </c>
      <c r="D2312" s="7">
        <v>44</v>
      </c>
      <c r="E2312" s="7">
        <v>7</v>
      </c>
      <c r="F2312" s="7">
        <f t="shared" si="36"/>
        <v>6</v>
      </c>
      <c r="G2312" s="7" t="str">
        <f>LOOKUP(H2312,[1]startdates!$A$2:$A$10,[1]startdates!$B$2:$B$10)</f>
        <v>SMr</v>
      </c>
      <c r="H2312">
        <v>2</v>
      </c>
      <c r="I2312" s="7">
        <v>749.8</v>
      </c>
      <c r="K2312" s="7">
        <v>548.29999999999995</v>
      </c>
      <c r="L2312" s="7">
        <v>466.3</v>
      </c>
      <c r="M2312" s="7">
        <v>306.39999999999998</v>
      </c>
      <c r="N2312" s="7">
        <v>191</v>
      </c>
      <c r="O2312" s="7">
        <v>148</v>
      </c>
    </row>
    <row r="2313" spans="1:19" x14ac:dyDescent="0.2">
      <c r="A2313">
        <v>2312</v>
      </c>
      <c r="B2313" s="1">
        <v>40781</v>
      </c>
      <c r="C2313" t="s">
        <v>28</v>
      </c>
      <c r="D2313" s="7">
        <v>44</v>
      </c>
      <c r="E2313" s="7">
        <v>7</v>
      </c>
      <c r="F2313" s="7">
        <f t="shared" si="36"/>
        <v>6</v>
      </c>
      <c r="G2313" s="7" t="str">
        <f>LOOKUP(H2313,[1]startdates!$A$2:$A$10,[1]startdates!$B$2:$B$10)</f>
        <v>SMr</v>
      </c>
      <c r="H2313">
        <v>2</v>
      </c>
      <c r="I2313" s="7">
        <v>597.6</v>
      </c>
      <c r="K2313" s="7">
        <v>630.20000000000005</v>
      </c>
      <c r="M2313" s="7">
        <v>303.60000000000002</v>
      </c>
      <c r="N2313" s="7">
        <v>218.9</v>
      </c>
      <c r="O2313" s="7">
        <v>178.1</v>
      </c>
    </row>
    <row r="2314" spans="1:19" x14ac:dyDescent="0.2">
      <c r="A2314">
        <v>2313</v>
      </c>
      <c r="B2314" s="1">
        <v>40781</v>
      </c>
      <c r="C2314" t="s">
        <v>28</v>
      </c>
      <c r="D2314" s="7">
        <v>44</v>
      </c>
      <c r="E2314" s="7">
        <v>7</v>
      </c>
      <c r="F2314" s="7">
        <f t="shared" si="36"/>
        <v>6</v>
      </c>
      <c r="G2314" s="7" t="str">
        <f>LOOKUP(H2314,[1]startdates!$A$2:$A$10,[1]startdates!$B$2:$B$10)</f>
        <v>SMr</v>
      </c>
      <c r="H2314">
        <v>2</v>
      </c>
      <c r="I2314" s="7">
        <v>661.8</v>
      </c>
      <c r="M2314" s="7">
        <v>299</v>
      </c>
      <c r="N2314" s="7">
        <v>214.4</v>
      </c>
      <c r="O2314" s="7">
        <v>167.9</v>
      </c>
    </row>
    <row r="2315" spans="1:19" x14ac:dyDescent="0.2">
      <c r="A2315">
        <v>2314</v>
      </c>
      <c r="B2315" s="1">
        <v>40781</v>
      </c>
      <c r="C2315" t="s">
        <v>28</v>
      </c>
      <c r="D2315" s="7">
        <v>44</v>
      </c>
      <c r="E2315" s="7">
        <v>7</v>
      </c>
      <c r="F2315" s="7">
        <f t="shared" si="36"/>
        <v>6</v>
      </c>
      <c r="G2315" s="7" t="str">
        <f>LOOKUP(H2315,[1]startdates!$A$2:$A$10,[1]startdates!$B$2:$B$10)</f>
        <v>SMr</v>
      </c>
      <c r="H2315">
        <v>2</v>
      </c>
      <c r="I2315" s="7">
        <v>525.79999999999995</v>
      </c>
      <c r="M2315" s="7">
        <v>359.9</v>
      </c>
      <c r="N2315" s="7">
        <v>243.1</v>
      </c>
      <c r="O2315" s="7">
        <v>171.7</v>
      </c>
    </row>
    <row r="2316" spans="1:19" x14ac:dyDescent="0.2">
      <c r="A2316">
        <v>2315</v>
      </c>
      <c r="B2316" s="1">
        <v>40781</v>
      </c>
      <c r="C2316" t="s">
        <v>28</v>
      </c>
      <c r="D2316" s="7">
        <v>44</v>
      </c>
      <c r="E2316" s="7">
        <v>7</v>
      </c>
      <c r="F2316" s="7">
        <f t="shared" si="36"/>
        <v>6</v>
      </c>
      <c r="G2316" s="7" t="str">
        <f>LOOKUP(H2316,[1]startdates!$A$2:$A$10,[1]startdates!$B$2:$B$10)</f>
        <v>SMr</v>
      </c>
      <c r="H2316">
        <v>2</v>
      </c>
      <c r="I2316" s="7">
        <v>627.4</v>
      </c>
      <c r="M2316" s="7">
        <v>336.5</v>
      </c>
      <c r="N2316" s="7">
        <v>238.9</v>
      </c>
      <c r="O2316" s="7">
        <v>173.8</v>
      </c>
    </row>
    <row r="2317" spans="1:19" x14ac:dyDescent="0.2">
      <c r="A2317">
        <v>2316</v>
      </c>
      <c r="B2317" s="1">
        <v>40781</v>
      </c>
      <c r="C2317" t="s">
        <v>28</v>
      </c>
      <c r="D2317" s="7">
        <v>44</v>
      </c>
      <c r="E2317" s="7">
        <v>7</v>
      </c>
      <c r="F2317" s="7">
        <f t="shared" si="36"/>
        <v>6</v>
      </c>
      <c r="G2317" s="7" t="str">
        <f>LOOKUP(H2317,[1]startdates!$A$2:$A$10,[1]startdates!$B$2:$B$10)</f>
        <v>SMr</v>
      </c>
      <c r="H2317">
        <v>2</v>
      </c>
      <c r="M2317" s="7">
        <v>348</v>
      </c>
      <c r="N2317" s="7">
        <v>213.5</v>
      </c>
      <c r="O2317" s="7">
        <v>169.5</v>
      </c>
    </row>
    <row r="2318" spans="1:19" x14ac:dyDescent="0.2">
      <c r="A2318">
        <v>2317</v>
      </c>
      <c r="B2318" s="1">
        <v>40781</v>
      </c>
      <c r="C2318" t="s">
        <v>28</v>
      </c>
      <c r="D2318" s="7">
        <v>44</v>
      </c>
      <c r="E2318" s="7">
        <v>7</v>
      </c>
      <c r="F2318" s="7">
        <f t="shared" si="36"/>
        <v>6</v>
      </c>
      <c r="G2318" s="7" t="str">
        <f>LOOKUP(H2318,[1]startdates!$A$2:$A$10,[1]startdates!$B$2:$B$10)</f>
        <v>SMr</v>
      </c>
      <c r="H2318">
        <v>2</v>
      </c>
      <c r="N2318" s="7">
        <v>229.3</v>
      </c>
      <c r="O2318" s="7">
        <v>166.6</v>
      </c>
    </row>
    <row r="2319" spans="1:19" x14ac:dyDescent="0.2">
      <c r="A2319">
        <v>2318</v>
      </c>
      <c r="B2319" s="1">
        <v>40781</v>
      </c>
      <c r="C2319" t="s">
        <v>28</v>
      </c>
      <c r="D2319" s="7">
        <v>44</v>
      </c>
      <c r="E2319" s="7">
        <v>7</v>
      </c>
      <c r="F2319" s="7">
        <f t="shared" si="36"/>
        <v>6</v>
      </c>
      <c r="G2319" s="7" t="str">
        <f>LOOKUP(H2319,[1]startdates!$A$2:$A$10,[1]startdates!$B$2:$B$10)</f>
        <v>SMr</v>
      </c>
      <c r="H2319">
        <v>2</v>
      </c>
      <c r="N2319" s="7">
        <v>201.1</v>
      </c>
      <c r="O2319" s="7">
        <v>147.30000000000001</v>
      </c>
    </row>
    <row r="2320" spans="1:19" x14ac:dyDescent="0.2">
      <c r="A2320">
        <v>2319</v>
      </c>
      <c r="B2320" s="1">
        <v>40781</v>
      </c>
      <c r="C2320" t="s">
        <v>28</v>
      </c>
      <c r="D2320" s="7">
        <v>44</v>
      </c>
      <c r="E2320" s="7">
        <v>7</v>
      </c>
      <c r="F2320" s="7">
        <f t="shared" si="36"/>
        <v>6</v>
      </c>
      <c r="G2320" s="7" t="str">
        <f>LOOKUP(H2320,[1]startdates!$A$2:$A$10,[1]startdates!$B$2:$B$10)</f>
        <v>C</v>
      </c>
      <c r="H2320">
        <v>3</v>
      </c>
      <c r="I2320" s="7">
        <v>688.3</v>
      </c>
      <c r="K2320" s="7">
        <v>544.29999999999995</v>
      </c>
      <c r="L2320" s="7">
        <v>451.1</v>
      </c>
      <c r="M2320" s="7">
        <v>398.2</v>
      </c>
      <c r="N2320" s="7">
        <v>242</v>
      </c>
      <c r="O2320" s="7">
        <v>158.69999999999999</v>
      </c>
      <c r="P2320" s="7">
        <v>600.9</v>
      </c>
      <c r="R2320" s="7">
        <v>296.5</v>
      </c>
      <c r="S2320" s="7">
        <v>270</v>
      </c>
    </row>
    <row r="2321" spans="1:18" x14ac:dyDescent="0.2">
      <c r="A2321">
        <v>2320</v>
      </c>
      <c r="B2321" s="1">
        <v>40781</v>
      </c>
      <c r="C2321" t="s">
        <v>28</v>
      </c>
      <c r="D2321" s="7">
        <v>44</v>
      </c>
      <c r="E2321" s="7">
        <v>7</v>
      </c>
      <c r="F2321" s="7">
        <f t="shared" si="36"/>
        <v>6</v>
      </c>
      <c r="G2321" s="7" t="str">
        <f>LOOKUP(H2321,[1]startdates!$A$2:$A$10,[1]startdates!$B$2:$B$10)</f>
        <v>C</v>
      </c>
      <c r="H2321">
        <v>3</v>
      </c>
      <c r="I2321" s="7">
        <v>876.4</v>
      </c>
      <c r="K2321" s="7">
        <v>555.6</v>
      </c>
      <c r="L2321" s="7">
        <v>412.9</v>
      </c>
      <c r="M2321" s="7">
        <v>387</v>
      </c>
      <c r="N2321" s="7">
        <v>262.89999999999998</v>
      </c>
      <c r="O2321" s="7">
        <v>164.9</v>
      </c>
      <c r="P2321" s="7">
        <v>555.6</v>
      </c>
      <c r="R2321" s="7">
        <v>275.10000000000002</v>
      </c>
    </row>
    <row r="2322" spans="1:18" x14ac:dyDescent="0.2">
      <c r="A2322">
        <v>2321</v>
      </c>
      <c r="B2322" s="1">
        <v>40781</v>
      </c>
      <c r="C2322" t="s">
        <v>28</v>
      </c>
      <c r="D2322" s="7">
        <v>44</v>
      </c>
      <c r="E2322" s="7">
        <v>7</v>
      </c>
      <c r="F2322" s="7">
        <f t="shared" si="36"/>
        <v>6</v>
      </c>
      <c r="G2322" s="7" t="str">
        <f>LOOKUP(H2322,[1]startdates!$A$2:$A$10,[1]startdates!$B$2:$B$10)</f>
        <v>C</v>
      </c>
      <c r="H2322">
        <v>3</v>
      </c>
      <c r="I2322" s="7">
        <v>832.9</v>
      </c>
      <c r="K2322" s="7">
        <v>677.5</v>
      </c>
      <c r="L2322" s="7">
        <v>446.2</v>
      </c>
      <c r="M2322" s="7">
        <v>372.3</v>
      </c>
      <c r="N2322" s="7">
        <v>229.3</v>
      </c>
      <c r="O2322" s="7">
        <v>171.7</v>
      </c>
      <c r="P2322" s="7">
        <v>522.29999999999995</v>
      </c>
    </row>
    <row r="2323" spans="1:18" x14ac:dyDescent="0.2">
      <c r="A2323">
        <v>2322</v>
      </c>
      <c r="B2323" s="1">
        <v>40781</v>
      </c>
      <c r="C2323" t="s">
        <v>28</v>
      </c>
      <c r="D2323" s="7">
        <v>44</v>
      </c>
      <c r="E2323" s="7">
        <v>7</v>
      </c>
      <c r="F2323" s="7">
        <f t="shared" si="36"/>
        <v>6</v>
      </c>
      <c r="G2323" s="7" t="str">
        <f>LOOKUP(H2323,[1]startdates!$A$2:$A$10,[1]startdates!$B$2:$B$10)</f>
        <v>C</v>
      </c>
      <c r="H2323">
        <v>3</v>
      </c>
      <c r="I2323" s="7">
        <v>548.29999999999995</v>
      </c>
      <c r="K2323" s="7">
        <v>616.1</v>
      </c>
      <c r="L2323" s="7">
        <v>497.9</v>
      </c>
      <c r="M2323" s="7">
        <v>396.3</v>
      </c>
      <c r="N2323" s="7">
        <v>226.7</v>
      </c>
      <c r="O2323" s="7">
        <v>156.19999999999999</v>
      </c>
    </row>
    <row r="2324" spans="1:18" x14ac:dyDescent="0.2">
      <c r="A2324">
        <v>2323</v>
      </c>
      <c r="B2324" s="1">
        <v>40781</v>
      </c>
      <c r="C2324" t="s">
        <v>28</v>
      </c>
      <c r="D2324" s="7">
        <v>44</v>
      </c>
      <c r="E2324" s="7">
        <v>7</v>
      </c>
      <c r="F2324" s="7">
        <f t="shared" si="36"/>
        <v>6</v>
      </c>
      <c r="G2324" s="7" t="str">
        <f>LOOKUP(H2324,[1]startdates!$A$2:$A$10,[1]startdates!$B$2:$B$10)</f>
        <v>C</v>
      </c>
      <c r="H2324">
        <v>3</v>
      </c>
      <c r="I2324" s="7">
        <v>794.6</v>
      </c>
      <c r="K2324" s="7">
        <v>570.5</v>
      </c>
      <c r="M2324" s="7">
        <v>373.3</v>
      </c>
      <c r="N2324" s="7">
        <v>240.2</v>
      </c>
      <c r="O2324" s="7">
        <v>169.4</v>
      </c>
    </row>
    <row r="2325" spans="1:18" x14ac:dyDescent="0.2">
      <c r="A2325">
        <v>2324</v>
      </c>
      <c r="B2325" s="1">
        <v>40781</v>
      </c>
      <c r="C2325" t="s">
        <v>28</v>
      </c>
      <c r="D2325" s="7">
        <v>44</v>
      </c>
      <c r="E2325" s="7">
        <v>7</v>
      </c>
      <c r="F2325" s="7">
        <f t="shared" si="36"/>
        <v>6</v>
      </c>
      <c r="G2325" s="7" t="str">
        <f>LOOKUP(H2325,[1]startdates!$A$2:$A$10,[1]startdates!$B$2:$B$10)</f>
        <v>C</v>
      </c>
      <c r="H2325">
        <v>3</v>
      </c>
      <c r="I2325" s="7">
        <v>778.2</v>
      </c>
      <c r="M2325" s="7">
        <v>361.1</v>
      </c>
      <c r="N2325" s="7">
        <v>216.8</v>
      </c>
      <c r="O2325" s="7">
        <v>162.69999999999999</v>
      </c>
    </row>
    <row r="2326" spans="1:18" x14ac:dyDescent="0.2">
      <c r="A2326">
        <v>2325</v>
      </c>
      <c r="B2326" s="1">
        <v>40781</v>
      </c>
      <c r="C2326" t="s">
        <v>28</v>
      </c>
      <c r="D2326" s="7">
        <v>44</v>
      </c>
      <c r="E2326" s="7">
        <v>7</v>
      </c>
      <c r="F2326" s="7">
        <f t="shared" si="36"/>
        <v>6</v>
      </c>
      <c r="G2326" s="7" t="str">
        <f>LOOKUP(H2326,[1]startdates!$A$2:$A$10,[1]startdates!$B$2:$B$10)</f>
        <v>C</v>
      </c>
      <c r="H2326">
        <v>3</v>
      </c>
      <c r="M2326" s="7">
        <v>304.39999999999998</v>
      </c>
      <c r="N2326" s="7">
        <v>240.8</v>
      </c>
      <c r="O2326" s="7">
        <v>175</v>
      </c>
    </row>
    <row r="2327" spans="1:18" x14ac:dyDescent="0.2">
      <c r="A2327">
        <v>2326</v>
      </c>
      <c r="B2327" s="1">
        <v>40781</v>
      </c>
      <c r="C2327" t="s">
        <v>28</v>
      </c>
      <c r="D2327" s="7">
        <v>44</v>
      </c>
      <c r="E2327" s="7">
        <v>7</v>
      </c>
      <c r="F2327" s="7">
        <f t="shared" si="36"/>
        <v>6</v>
      </c>
      <c r="G2327" s="7" t="str">
        <f>LOOKUP(H2327,[1]startdates!$A$2:$A$10,[1]startdates!$B$2:$B$10)</f>
        <v>C</v>
      </c>
      <c r="H2327">
        <v>3</v>
      </c>
      <c r="M2327" s="7">
        <v>363.5</v>
      </c>
      <c r="N2327" s="7">
        <v>224.3</v>
      </c>
      <c r="O2327" s="7">
        <v>148</v>
      </c>
    </row>
    <row r="2328" spans="1:18" x14ac:dyDescent="0.2">
      <c r="A2328">
        <v>2327</v>
      </c>
      <c r="B2328" s="1">
        <v>40781</v>
      </c>
      <c r="C2328" t="s">
        <v>28</v>
      </c>
      <c r="D2328" s="7">
        <v>44</v>
      </c>
      <c r="E2328" s="7">
        <v>7</v>
      </c>
      <c r="F2328" s="7">
        <f t="shared" si="36"/>
        <v>6</v>
      </c>
      <c r="G2328" s="7" t="str">
        <f>LOOKUP(H2328,[1]startdates!$A$2:$A$10,[1]startdates!$B$2:$B$10)</f>
        <v>C</v>
      </c>
      <c r="H2328">
        <v>3</v>
      </c>
      <c r="N2328" s="7">
        <v>270</v>
      </c>
      <c r="O2328" s="7">
        <v>156.5</v>
      </c>
    </row>
    <row r="2329" spans="1:18" x14ac:dyDescent="0.2">
      <c r="A2329">
        <v>2328</v>
      </c>
      <c r="B2329" s="1">
        <v>40781</v>
      </c>
      <c r="C2329" t="s">
        <v>28</v>
      </c>
      <c r="D2329" s="7">
        <v>44</v>
      </c>
      <c r="E2329" s="7">
        <v>7</v>
      </c>
      <c r="F2329" s="7">
        <f t="shared" si="36"/>
        <v>6</v>
      </c>
      <c r="G2329" s="7" t="str">
        <f>LOOKUP(H2329,[1]startdates!$A$2:$A$10,[1]startdates!$B$2:$B$10)</f>
        <v>C</v>
      </c>
      <c r="H2329">
        <v>3</v>
      </c>
      <c r="N2329" s="7">
        <v>230.2</v>
      </c>
      <c r="O2329" s="7">
        <v>179.8</v>
      </c>
    </row>
    <row r="2330" spans="1:18" x14ac:dyDescent="0.2">
      <c r="A2330">
        <v>2329</v>
      </c>
      <c r="B2330" s="1">
        <v>40781</v>
      </c>
      <c r="C2330" t="s">
        <v>24</v>
      </c>
      <c r="D2330" s="7">
        <v>44</v>
      </c>
      <c r="E2330" s="7">
        <v>7</v>
      </c>
      <c r="F2330" s="7">
        <f t="shared" si="36"/>
        <v>6</v>
      </c>
      <c r="G2330" s="7" t="str">
        <f>LOOKUP(H2330,[1]startdates!$A$2:$A$10,[1]startdates!$B$2:$B$10)</f>
        <v>SMr</v>
      </c>
      <c r="H2330">
        <v>4</v>
      </c>
      <c r="I2330" s="7">
        <v>753.7</v>
      </c>
      <c r="J2330" s="7">
        <v>550.1</v>
      </c>
      <c r="K2330" s="7">
        <v>619.6</v>
      </c>
      <c r="L2330" s="7">
        <v>530.9</v>
      </c>
      <c r="M2330" s="7">
        <v>307.5</v>
      </c>
      <c r="N2330" s="7">
        <v>232.2</v>
      </c>
      <c r="O2330" s="7">
        <v>164.4</v>
      </c>
      <c r="P2330" s="7">
        <v>563.5</v>
      </c>
      <c r="R2330" s="7">
        <v>265.8</v>
      </c>
    </row>
    <row r="2331" spans="1:18" x14ac:dyDescent="0.2">
      <c r="A2331">
        <v>2330</v>
      </c>
      <c r="B2331" s="1">
        <v>40781</v>
      </c>
      <c r="C2331" t="s">
        <v>24</v>
      </c>
      <c r="D2331" s="7">
        <v>44</v>
      </c>
      <c r="E2331" s="7">
        <v>7</v>
      </c>
      <c r="F2331" s="7">
        <f t="shared" si="36"/>
        <v>6</v>
      </c>
      <c r="G2331" s="7" t="str">
        <f>LOOKUP(H2331,[1]startdates!$A$2:$A$10,[1]startdates!$B$2:$B$10)</f>
        <v>SMr</v>
      </c>
      <c r="H2331">
        <v>4</v>
      </c>
      <c r="I2331" s="7">
        <v>785.4</v>
      </c>
      <c r="J2331" s="7">
        <v>540.4</v>
      </c>
      <c r="K2331" s="7">
        <v>586.5</v>
      </c>
      <c r="L2331" s="7">
        <v>498.7</v>
      </c>
      <c r="M2331" s="7">
        <v>303.7</v>
      </c>
      <c r="N2331" s="7">
        <v>265.10000000000002</v>
      </c>
      <c r="O2331" s="7">
        <v>190.9</v>
      </c>
      <c r="R2331" s="7">
        <v>251</v>
      </c>
    </row>
    <row r="2332" spans="1:18" x14ac:dyDescent="0.2">
      <c r="A2332">
        <v>2331</v>
      </c>
      <c r="B2332" s="1">
        <v>40781</v>
      </c>
      <c r="C2332" t="s">
        <v>24</v>
      </c>
      <c r="D2332" s="7">
        <v>44</v>
      </c>
      <c r="E2332" s="7">
        <v>7</v>
      </c>
      <c r="F2332" s="7">
        <f t="shared" si="36"/>
        <v>6</v>
      </c>
      <c r="G2332" s="7" t="str">
        <f>LOOKUP(H2332,[1]startdates!$A$2:$A$10,[1]startdates!$B$2:$B$10)</f>
        <v>SMr</v>
      </c>
      <c r="H2332">
        <v>4</v>
      </c>
      <c r="I2332" s="7">
        <v>784.7</v>
      </c>
      <c r="K2332" s="7">
        <v>630.29999999999995</v>
      </c>
      <c r="L2332" s="7">
        <v>411.1</v>
      </c>
      <c r="M2332" s="7">
        <v>404.2</v>
      </c>
      <c r="N2332" s="7">
        <v>195.1</v>
      </c>
      <c r="O2332" s="7">
        <v>182.8</v>
      </c>
    </row>
    <row r="2333" spans="1:18" x14ac:dyDescent="0.2">
      <c r="A2333">
        <v>2332</v>
      </c>
      <c r="B2333" s="1">
        <v>40781</v>
      </c>
      <c r="C2333" t="s">
        <v>24</v>
      </c>
      <c r="D2333" s="7">
        <v>44</v>
      </c>
      <c r="E2333" s="7">
        <v>7</v>
      </c>
      <c r="F2333" s="7">
        <f t="shared" si="36"/>
        <v>6</v>
      </c>
      <c r="G2333" s="7" t="str">
        <f>LOOKUP(H2333,[1]startdates!$A$2:$A$10,[1]startdates!$B$2:$B$10)</f>
        <v>SMr</v>
      </c>
      <c r="H2333">
        <v>4</v>
      </c>
      <c r="I2333" s="7">
        <v>656.6</v>
      </c>
      <c r="L2333" s="7">
        <v>493.2</v>
      </c>
      <c r="M2333" s="7">
        <v>344.6</v>
      </c>
      <c r="N2333" s="7">
        <v>209.6</v>
      </c>
      <c r="O2333" s="7">
        <v>184.4</v>
      </c>
    </row>
    <row r="2334" spans="1:18" x14ac:dyDescent="0.2">
      <c r="A2334">
        <v>2333</v>
      </c>
      <c r="B2334" s="1">
        <v>40781</v>
      </c>
      <c r="C2334" t="s">
        <v>24</v>
      </c>
      <c r="D2334" s="7">
        <v>44</v>
      </c>
      <c r="E2334" s="7">
        <v>7</v>
      </c>
      <c r="F2334" s="7">
        <f t="shared" si="36"/>
        <v>6</v>
      </c>
      <c r="G2334" s="7" t="str">
        <f>LOOKUP(H2334,[1]startdates!$A$2:$A$10,[1]startdates!$B$2:$B$10)</f>
        <v>SMr</v>
      </c>
      <c r="H2334">
        <v>4</v>
      </c>
      <c r="I2334" s="7">
        <v>649.1</v>
      </c>
      <c r="M2334" s="7">
        <v>337.9</v>
      </c>
      <c r="N2334" s="7">
        <v>204.5</v>
      </c>
      <c r="O2334" s="7">
        <v>169.4</v>
      </c>
    </row>
    <row r="2335" spans="1:18" x14ac:dyDescent="0.2">
      <c r="A2335">
        <v>2334</v>
      </c>
      <c r="B2335" s="1">
        <v>40781</v>
      </c>
      <c r="C2335" t="s">
        <v>24</v>
      </c>
      <c r="D2335" s="7">
        <v>44</v>
      </c>
      <c r="E2335" s="7">
        <v>7</v>
      </c>
      <c r="F2335" s="7">
        <f t="shared" si="36"/>
        <v>6</v>
      </c>
      <c r="G2335" s="7" t="str">
        <f>LOOKUP(H2335,[1]startdates!$A$2:$A$10,[1]startdates!$B$2:$B$10)</f>
        <v>SMr</v>
      </c>
      <c r="H2335">
        <v>4</v>
      </c>
      <c r="I2335" s="7">
        <v>679.7</v>
      </c>
      <c r="M2335" s="7">
        <v>272.60000000000002</v>
      </c>
      <c r="N2335" s="7">
        <v>228.7</v>
      </c>
      <c r="O2335" s="7">
        <v>148</v>
      </c>
    </row>
    <row r="2336" spans="1:18" x14ac:dyDescent="0.2">
      <c r="A2336">
        <v>2335</v>
      </c>
      <c r="B2336" s="1">
        <v>40781</v>
      </c>
      <c r="C2336" t="s">
        <v>24</v>
      </c>
      <c r="D2336" s="7">
        <v>44</v>
      </c>
      <c r="E2336" s="7">
        <v>7</v>
      </c>
      <c r="F2336" s="7">
        <f t="shared" si="36"/>
        <v>6</v>
      </c>
      <c r="G2336" s="7" t="str">
        <f>LOOKUP(H2336,[1]startdates!$A$2:$A$10,[1]startdates!$B$2:$B$10)</f>
        <v>SMr</v>
      </c>
      <c r="H2336">
        <v>4</v>
      </c>
      <c r="M2336" s="7">
        <v>275.39999999999998</v>
      </c>
      <c r="N2336" s="7">
        <v>208.5</v>
      </c>
      <c r="O2336" s="7">
        <v>166.9</v>
      </c>
    </row>
    <row r="2337" spans="1:18" x14ac:dyDescent="0.2">
      <c r="A2337">
        <v>2336</v>
      </c>
      <c r="B2337" s="1">
        <v>40781</v>
      </c>
      <c r="C2337" t="s">
        <v>24</v>
      </c>
      <c r="D2337" s="7">
        <v>44</v>
      </c>
      <c r="E2337" s="7">
        <v>7</v>
      </c>
      <c r="F2337" s="7">
        <f t="shared" si="36"/>
        <v>6</v>
      </c>
      <c r="G2337" s="7" t="str">
        <f>LOOKUP(H2337,[1]startdates!$A$2:$A$10,[1]startdates!$B$2:$B$10)</f>
        <v>SMr</v>
      </c>
      <c r="H2337">
        <v>4</v>
      </c>
      <c r="N2337" s="7">
        <v>222.4</v>
      </c>
      <c r="O2337" s="7">
        <v>170.8</v>
      </c>
    </row>
    <row r="2338" spans="1:18" x14ac:dyDescent="0.2">
      <c r="A2338">
        <v>2337</v>
      </c>
      <c r="B2338" s="1">
        <v>40781</v>
      </c>
      <c r="C2338" t="s">
        <v>24</v>
      </c>
      <c r="D2338" s="7">
        <v>44</v>
      </c>
      <c r="E2338" s="7">
        <v>7</v>
      </c>
      <c r="F2338" s="7">
        <f t="shared" si="36"/>
        <v>6</v>
      </c>
      <c r="G2338" s="7" t="str">
        <f>LOOKUP(H2338,[1]startdates!$A$2:$A$10,[1]startdates!$B$2:$B$10)</f>
        <v>SMr</v>
      </c>
      <c r="H2338">
        <v>4</v>
      </c>
      <c r="N2338" s="7">
        <v>238.9</v>
      </c>
      <c r="O2338" s="7">
        <v>184.7</v>
      </c>
    </row>
    <row r="2339" spans="1:18" x14ac:dyDescent="0.2">
      <c r="A2339">
        <v>2338</v>
      </c>
      <c r="B2339" s="1">
        <v>40781</v>
      </c>
      <c r="C2339" t="s">
        <v>24</v>
      </c>
      <c r="D2339" s="7">
        <v>44</v>
      </c>
      <c r="E2339" s="7">
        <v>7</v>
      </c>
      <c r="F2339" s="7">
        <f t="shared" si="36"/>
        <v>6</v>
      </c>
      <c r="G2339" s="7" t="str">
        <f>LOOKUP(H2339,[1]startdates!$A$2:$A$10,[1]startdates!$B$2:$B$10)</f>
        <v>SMr</v>
      </c>
      <c r="H2339">
        <v>4</v>
      </c>
      <c r="N2339" s="7">
        <v>185</v>
      </c>
      <c r="O2339" s="7">
        <v>147.30000000000001</v>
      </c>
    </row>
    <row r="2340" spans="1:18" x14ac:dyDescent="0.2">
      <c r="A2340">
        <v>2339</v>
      </c>
      <c r="B2340" s="1">
        <v>40781</v>
      </c>
      <c r="C2340" t="s">
        <v>24</v>
      </c>
      <c r="D2340" s="7">
        <v>44</v>
      </c>
      <c r="E2340" s="7">
        <v>7</v>
      </c>
      <c r="F2340" s="7">
        <f t="shared" si="36"/>
        <v>6</v>
      </c>
      <c r="G2340" s="7" t="str">
        <f>LOOKUP(H2340,[1]startdates!$A$2:$A$10,[1]startdates!$B$2:$B$10)</f>
        <v>SMr</v>
      </c>
      <c r="H2340">
        <v>4</v>
      </c>
      <c r="N2340" s="7">
        <v>211.7</v>
      </c>
      <c r="O2340" s="7">
        <v>177.3</v>
      </c>
    </row>
    <row r="2341" spans="1:18" x14ac:dyDescent="0.2">
      <c r="A2341">
        <v>2340</v>
      </c>
      <c r="B2341" s="1">
        <v>40781</v>
      </c>
      <c r="C2341" t="s">
        <v>24</v>
      </c>
      <c r="D2341" s="7">
        <v>44</v>
      </c>
      <c r="E2341" s="7">
        <v>7</v>
      </c>
      <c r="F2341" s="7">
        <f t="shared" si="36"/>
        <v>6</v>
      </c>
      <c r="G2341" s="7" t="str">
        <f>LOOKUP(H2341,[1]startdates!$A$2:$A$10,[1]startdates!$B$2:$B$10)</f>
        <v>SMr</v>
      </c>
      <c r="H2341">
        <v>4</v>
      </c>
      <c r="N2341" s="7">
        <v>224.6</v>
      </c>
      <c r="O2341" s="7">
        <v>176.5</v>
      </c>
    </row>
    <row r="2342" spans="1:18" x14ac:dyDescent="0.2">
      <c r="A2342">
        <v>2341</v>
      </c>
      <c r="B2342" s="1">
        <v>40781</v>
      </c>
      <c r="C2342" t="s">
        <v>24</v>
      </c>
      <c r="D2342" s="7">
        <v>44</v>
      </c>
      <c r="E2342" s="7">
        <v>7</v>
      </c>
      <c r="F2342" s="7">
        <f t="shared" si="36"/>
        <v>6</v>
      </c>
      <c r="G2342" s="7" t="str">
        <f>LOOKUP(H2342,[1]startdates!$A$2:$A$10,[1]startdates!$B$2:$B$10)</f>
        <v>SMr</v>
      </c>
      <c r="H2342">
        <v>4</v>
      </c>
      <c r="O2342" s="7">
        <v>169.9</v>
      </c>
    </row>
    <row r="2343" spans="1:18" x14ac:dyDescent="0.2">
      <c r="A2343">
        <v>2342</v>
      </c>
      <c r="B2343" s="1">
        <v>40781</v>
      </c>
      <c r="C2343" t="s">
        <v>24</v>
      </c>
      <c r="D2343" s="7">
        <v>44</v>
      </c>
      <c r="E2343" s="7">
        <v>7</v>
      </c>
      <c r="F2343" s="7">
        <f t="shared" si="36"/>
        <v>6</v>
      </c>
      <c r="G2343" s="7" t="str">
        <f>LOOKUP(H2343,[1]startdates!$A$2:$A$10,[1]startdates!$B$2:$B$10)</f>
        <v>C</v>
      </c>
      <c r="H2343">
        <v>5</v>
      </c>
      <c r="I2343" s="7">
        <v>742.4</v>
      </c>
      <c r="J2343" s="7">
        <v>543.29999999999995</v>
      </c>
      <c r="K2343" s="7">
        <v>601.9</v>
      </c>
      <c r="L2343" s="7">
        <v>474.9</v>
      </c>
      <c r="M2343" s="7">
        <v>268.2</v>
      </c>
      <c r="N2343" s="7">
        <v>225.9</v>
      </c>
      <c r="O2343" s="7">
        <v>184.1</v>
      </c>
      <c r="R2343" s="7">
        <v>271.5</v>
      </c>
    </row>
    <row r="2344" spans="1:18" x14ac:dyDescent="0.2">
      <c r="A2344">
        <v>2343</v>
      </c>
      <c r="B2344" s="1">
        <v>40781</v>
      </c>
      <c r="C2344" t="s">
        <v>24</v>
      </c>
      <c r="D2344" s="7">
        <v>44</v>
      </c>
      <c r="E2344" s="7">
        <v>7</v>
      </c>
      <c r="F2344" s="7">
        <f t="shared" si="36"/>
        <v>6</v>
      </c>
      <c r="G2344" s="7" t="str">
        <f>LOOKUP(H2344,[1]startdates!$A$2:$A$10,[1]startdates!$B$2:$B$10)</f>
        <v>C</v>
      </c>
      <c r="H2344">
        <v>5</v>
      </c>
      <c r="I2344" s="7">
        <v>559</v>
      </c>
      <c r="K2344" s="7">
        <v>549.4</v>
      </c>
      <c r="L2344" s="7">
        <v>368.8</v>
      </c>
      <c r="M2344" s="7">
        <v>310.7</v>
      </c>
      <c r="N2344" s="7">
        <v>221.5</v>
      </c>
      <c r="O2344" s="7">
        <v>169.6</v>
      </c>
      <c r="R2344" s="7">
        <v>302.7</v>
      </c>
    </row>
    <row r="2345" spans="1:18" x14ac:dyDescent="0.2">
      <c r="A2345">
        <v>2344</v>
      </c>
      <c r="B2345" s="1">
        <v>40781</v>
      </c>
      <c r="C2345" t="s">
        <v>24</v>
      </c>
      <c r="D2345" s="7">
        <v>44</v>
      </c>
      <c r="E2345" s="7">
        <v>7</v>
      </c>
      <c r="F2345" s="7">
        <f t="shared" ref="F2345:F2408" si="37">WEEKDAY(B2345)</f>
        <v>6</v>
      </c>
      <c r="G2345" s="7" t="str">
        <f>LOOKUP(H2345,[1]startdates!$A$2:$A$10,[1]startdates!$B$2:$B$10)</f>
        <v>C</v>
      </c>
      <c r="H2345">
        <v>5</v>
      </c>
      <c r="I2345" s="7">
        <v>648.6</v>
      </c>
      <c r="K2345" s="7">
        <v>556.20000000000005</v>
      </c>
      <c r="L2345" s="7">
        <v>431.5</v>
      </c>
      <c r="M2345" s="7">
        <v>261.5</v>
      </c>
      <c r="N2345" s="7">
        <v>191.5</v>
      </c>
      <c r="O2345" s="7">
        <v>173.7</v>
      </c>
    </row>
    <row r="2346" spans="1:18" x14ac:dyDescent="0.2">
      <c r="A2346">
        <v>2345</v>
      </c>
      <c r="B2346" s="1">
        <v>40781</v>
      </c>
      <c r="C2346" t="s">
        <v>24</v>
      </c>
      <c r="D2346" s="7">
        <v>44</v>
      </c>
      <c r="E2346" s="7">
        <v>7</v>
      </c>
      <c r="F2346" s="7">
        <f t="shared" si="37"/>
        <v>6</v>
      </c>
      <c r="G2346" s="7" t="str">
        <f>LOOKUP(H2346,[1]startdates!$A$2:$A$10,[1]startdates!$B$2:$B$10)</f>
        <v>C</v>
      </c>
      <c r="H2346">
        <v>5</v>
      </c>
      <c r="I2346" s="7">
        <v>780.6</v>
      </c>
      <c r="K2346" s="7">
        <v>654.70000000000005</v>
      </c>
      <c r="L2346" s="7">
        <v>396</v>
      </c>
      <c r="M2346" s="7">
        <v>330</v>
      </c>
      <c r="N2346" s="7">
        <v>202.6</v>
      </c>
      <c r="O2346" s="7">
        <v>189.5</v>
      </c>
    </row>
    <row r="2347" spans="1:18" x14ac:dyDescent="0.2">
      <c r="A2347">
        <v>2346</v>
      </c>
      <c r="B2347" s="1">
        <v>40781</v>
      </c>
      <c r="C2347" t="s">
        <v>24</v>
      </c>
      <c r="D2347" s="7">
        <v>44</v>
      </c>
      <c r="E2347" s="7">
        <v>7</v>
      </c>
      <c r="F2347" s="7">
        <f t="shared" si="37"/>
        <v>6</v>
      </c>
      <c r="G2347" s="7" t="str">
        <f>LOOKUP(H2347,[1]startdates!$A$2:$A$10,[1]startdates!$B$2:$B$10)</f>
        <v>C</v>
      </c>
      <c r="H2347">
        <v>5</v>
      </c>
      <c r="I2347" s="7">
        <v>690.3</v>
      </c>
      <c r="K2347" s="7">
        <v>642.6</v>
      </c>
      <c r="M2347" s="7">
        <v>302.7</v>
      </c>
      <c r="N2347" s="7">
        <v>220.1</v>
      </c>
      <c r="O2347" s="7">
        <v>184.1</v>
      </c>
    </row>
    <row r="2348" spans="1:18" x14ac:dyDescent="0.2">
      <c r="A2348">
        <v>2347</v>
      </c>
      <c r="B2348" s="1">
        <v>40781</v>
      </c>
      <c r="C2348" t="s">
        <v>24</v>
      </c>
      <c r="D2348" s="7">
        <v>44</v>
      </c>
      <c r="E2348" s="7">
        <v>7</v>
      </c>
      <c r="F2348" s="7">
        <f t="shared" si="37"/>
        <v>6</v>
      </c>
      <c r="G2348" s="7" t="str">
        <f>LOOKUP(H2348,[1]startdates!$A$2:$A$10,[1]startdates!$B$2:$B$10)</f>
        <v>C</v>
      </c>
      <c r="H2348">
        <v>5</v>
      </c>
      <c r="I2348" s="7">
        <v>730.2</v>
      </c>
      <c r="K2348" s="7">
        <v>544.1</v>
      </c>
      <c r="M2348" s="7">
        <v>264</v>
      </c>
      <c r="N2348" s="7">
        <v>200.3</v>
      </c>
      <c r="O2348" s="7">
        <v>168.3</v>
      </c>
    </row>
    <row r="2349" spans="1:18" x14ac:dyDescent="0.2">
      <c r="A2349">
        <v>2348</v>
      </c>
      <c r="B2349" s="1">
        <v>40781</v>
      </c>
      <c r="C2349" t="s">
        <v>24</v>
      </c>
      <c r="D2349" s="7">
        <v>44</v>
      </c>
      <c r="E2349" s="7">
        <v>7</v>
      </c>
      <c r="F2349" s="7">
        <f t="shared" si="37"/>
        <v>6</v>
      </c>
      <c r="G2349" s="7" t="str">
        <f>LOOKUP(H2349,[1]startdates!$A$2:$A$10,[1]startdates!$B$2:$B$10)</f>
        <v>C</v>
      </c>
      <c r="H2349">
        <v>5</v>
      </c>
      <c r="I2349" s="7">
        <v>631</v>
      </c>
      <c r="M2349" s="7">
        <v>287.2</v>
      </c>
      <c r="N2349" s="7">
        <v>226.6</v>
      </c>
      <c r="O2349" s="7">
        <v>140</v>
      </c>
    </row>
    <row r="2350" spans="1:18" x14ac:dyDescent="0.2">
      <c r="A2350">
        <v>2349</v>
      </c>
      <c r="B2350" s="1">
        <v>40781</v>
      </c>
      <c r="C2350" t="s">
        <v>24</v>
      </c>
      <c r="D2350" s="7">
        <v>44</v>
      </c>
      <c r="E2350" s="7">
        <v>7</v>
      </c>
      <c r="F2350" s="7">
        <f t="shared" si="37"/>
        <v>6</v>
      </c>
      <c r="G2350" s="7" t="str">
        <f>LOOKUP(H2350,[1]startdates!$A$2:$A$10,[1]startdates!$B$2:$B$10)</f>
        <v>C</v>
      </c>
      <c r="H2350">
        <v>5</v>
      </c>
      <c r="I2350" s="7">
        <v>738.4</v>
      </c>
      <c r="M2350" s="7">
        <v>315.2</v>
      </c>
      <c r="N2350" s="7">
        <v>204.2</v>
      </c>
      <c r="O2350" s="7">
        <v>166.9</v>
      </c>
    </row>
    <row r="2351" spans="1:18" x14ac:dyDescent="0.2">
      <c r="A2351">
        <v>2350</v>
      </c>
      <c r="B2351" s="1">
        <v>40781</v>
      </c>
      <c r="C2351" t="s">
        <v>24</v>
      </c>
      <c r="D2351" s="7">
        <v>44</v>
      </c>
      <c r="E2351" s="7">
        <v>7</v>
      </c>
      <c r="F2351" s="7">
        <f t="shared" si="37"/>
        <v>6</v>
      </c>
      <c r="G2351" s="7" t="str">
        <f>LOOKUP(H2351,[1]startdates!$A$2:$A$10,[1]startdates!$B$2:$B$10)</f>
        <v>C</v>
      </c>
      <c r="H2351">
        <v>5</v>
      </c>
      <c r="N2351" s="7">
        <v>263.60000000000002</v>
      </c>
      <c r="O2351" s="7">
        <v>179.8</v>
      </c>
    </row>
    <row r="2352" spans="1:18" x14ac:dyDescent="0.2">
      <c r="A2352">
        <v>2351</v>
      </c>
      <c r="B2352" s="1">
        <v>40781</v>
      </c>
      <c r="C2352" t="s">
        <v>24</v>
      </c>
      <c r="D2352" s="7">
        <v>44</v>
      </c>
      <c r="E2352" s="7">
        <v>7</v>
      </c>
      <c r="F2352" s="7">
        <f t="shared" si="37"/>
        <v>6</v>
      </c>
      <c r="G2352" s="7" t="str">
        <f>LOOKUP(H2352,[1]startdates!$A$2:$A$10,[1]startdates!$B$2:$B$10)</f>
        <v>C</v>
      </c>
      <c r="H2352">
        <v>5</v>
      </c>
      <c r="N2352" s="7">
        <v>252.6</v>
      </c>
      <c r="O2352" s="7">
        <v>178.7</v>
      </c>
    </row>
    <row r="2353" spans="1:18" x14ac:dyDescent="0.2">
      <c r="A2353">
        <v>2352</v>
      </c>
      <c r="B2353" s="1">
        <v>40781</v>
      </c>
      <c r="C2353" t="s">
        <v>24</v>
      </c>
      <c r="D2353" s="7">
        <v>44</v>
      </c>
      <c r="E2353" s="7">
        <v>7</v>
      </c>
      <c r="F2353" s="7">
        <f t="shared" si="37"/>
        <v>6</v>
      </c>
      <c r="G2353" s="7" t="str">
        <f>LOOKUP(H2353,[1]startdates!$A$2:$A$10,[1]startdates!$B$2:$B$10)</f>
        <v>C</v>
      </c>
      <c r="H2353">
        <v>5</v>
      </c>
      <c r="N2353" s="7">
        <v>218.9</v>
      </c>
      <c r="O2353" s="7">
        <v>152.4</v>
      </c>
    </row>
    <row r="2354" spans="1:18" x14ac:dyDescent="0.2">
      <c r="A2354">
        <v>2353</v>
      </c>
      <c r="B2354" s="1">
        <v>40781</v>
      </c>
      <c r="C2354" t="s">
        <v>28</v>
      </c>
      <c r="D2354" s="7">
        <v>44</v>
      </c>
      <c r="E2354" s="7">
        <v>7</v>
      </c>
      <c r="F2354" s="7">
        <f t="shared" si="37"/>
        <v>6</v>
      </c>
      <c r="G2354" s="7" t="str">
        <f>LOOKUP(H2354,[1]startdates!$A$2:$A$10,[1]startdates!$B$2:$B$10)</f>
        <v>FMr</v>
      </c>
      <c r="H2354">
        <v>6</v>
      </c>
      <c r="I2354" s="7">
        <v>589.1</v>
      </c>
      <c r="K2354" s="7">
        <v>533.6</v>
      </c>
      <c r="L2354" s="7">
        <v>439.3</v>
      </c>
      <c r="M2354" s="7">
        <v>306.89999999999998</v>
      </c>
      <c r="N2354" s="7">
        <v>244.8</v>
      </c>
      <c r="O2354" s="7">
        <v>181.9</v>
      </c>
      <c r="P2354" s="7">
        <v>518</v>
      </c>
      <c r="Q2354" s="7">
        <v>333.9</v>
      </c>
      <c r="R2354" s="7">
        <v>268.7</v>
      </c>
    </row>
    <row r="2355" spans="1:18" x14ac:dyDescent="0.2">
      <c r="A2355">
        <v>2354</v>
      </c>
      <c r="B2355" s="1">
        <v>40781</v>
      </c>
      <c r="C2355" t="s">
        <v>28</v>
      </c>
      <c r="D2355" s="7">
        <v>44</v>
      </c>
      <c r="E2355" s="7">
        <v>7</v>
      </c>
      <c r="F2355" s="7">
        <f t="shared" si="37"/>
        <v>6</v>
      </c>
      <c r="G2355" s="7" t="str">
        <f>LOOKUP(H2355,[1]startdates!$A$2:$A$10,[1]startdates!$B$2:$B$10)</f>
        <v>FMr</v>
      </c>
      <c r="H2355">
        <v>6</v>
      </c>
      <c r="I2355" s="7">
        <v>924.7</v>
      </c>
      <c r="K2355" s="7">
        <v>553.20000000000005</v>
      </c>
      <c r="L2355" s="7">
        <v>496.8</v>
      </c>
      <c r="M2355" s="7">
        <v>314.60000000000002</v>
      </c>
      <c r="N2355" s="7">
        <v>250.5</v>
      </c>
      <c r="O2355" s="7">
        <v>177.3</v>
      </c>
      <c r="P2355" s="7">
        <v>472.2</v>
      </c>
      <c r="Q2355" s="7">
        <v>372.1</v>
      </c>
      <c r="R2355" s="7">
        <v>273.3</v>
      </c>
    </row>
    <row r="2356" spans="1:18" x14ac:dyDescent="0.2">
      <c r="A2356">
        <v>2355</v>
      </c>
      <c r="B2356" s="1">
        <v>40781</v>
      </c>
      <c r="C2356" t="s">
        <v>28</v>
      </c>
      <c r="D2356" s="7">
        <v>44</v>
      </c>
      <c r="E2356" s="7">
        <v>7</v>
      </c>
      <c r="F2356" s="7">
        <f t="shared" si="37"/>
        <v>6</v>
      </c>
      <c r="G2356" s="7" t="str">
        <f>LOOKUP(H2356,[1]startdates!$A$2:$A$10,[1]startdates!$B$2:$B$10)</f>
        <v>FMr</v>
      </c>
      <c r="H2356">
        <v>6</v>
      </c>
      <c r="I2356" s="7">
        <v>750.4</v>
      </c>
      <c r="K2356" s="7">
        <v>626.29999999999995</v>
      </c>
      <c r="L2356" s="7">
        <v>428.9</v>
      </c>
      <c r="M2356" s="7">
        <v>397.9</v>
      </c>
      <c r="N2356" s="7">
        <v>281.8</v>
      </c>
      <c r="O2356" s="7">
        <v>181.9</v>
      </c>
      <c r="Q2356" s="7">
        <v>312.60000000000002</v>
      </c>
      <c r="R2356" s="7">
        <v>241.2</v>
      </c>
    </row>
    <row r="2357" spans="1:18" x14ac:dyDescent="0.2">
      <c r="A2357">
        <v>2356</v>
      </c>
      <c r="B2357" s="1">
        <v>40781</v>
      </c>
      <c r="C2357" t="s">
        <v>28</v>
      </c>
      <c r="D2357" s="7">
        <v>44</v>
      </c>
      <c r="E2357" s="7">
        <v>7</v>
      </c>
      <c r="F2357" s="7">
        <f t="shared" si="37"/>
        <v>6</v>
      </c>
      <c r="G2357" s="7" t="str">
        <f>LOOKUP(H2357,[1]startdates!$A$2:$A$10,[1]startdates!$B$2:$B$10)</f>
        <v>FMr</v>
      </c>
      <c r="H2357">
        <v>6</v>
      </c>
      <c r="I2357" s="7">
        <v>719.5</v>
      </c>
      <c r="K2357" s="7">
        <v>611.29999999999995</v>
      </c>
      <c r="M2357" s="7">
        <v>373.3</v>
      </c>
      <c r="N2357" s="7">
        <v>291.3</v>
      </c>
      <c r="O2357" s="7">
        <v>169.5</v>
      </c>
    </row>
    <row r="2358" spans="1:18" x14ac:dyDescent="0.2">
      <c r="A2358">
        <v>2357</v>
      </c>
      <c r="B2358" s="1">
        <v>40781</v>
      </c>
      <c r="C2358" t="s">
        <v>28</v>
      </c>
      <c r="D2358" s="7">
        <v>44</v>
      </c>
      <c r="E2358" s="7">
        <v>7</v>
      </c>
      <c r="F2358" s="7">
        <f t="shared" si="37"/>
        <v>6</v>
      </c>
      <c r="G2358" s="7" t="str">
        <f>LOOKUP(H2358,[1]startdates!$A$2:$A$10,[1]startdates!$B$2:$B$10)</f>
        <v>FMr</v>
      </c>
      <c r="H2358">
        <v>6</v>
      </c>
      <c r="I2358" s="7">
        <v>901.6</v>
      </c>
      <c r="M2358" s="7">
        <v>334</v>
      </c>
      <c r="N2358" s="7">
        <v>288.8</v>
      </c>
      <c r="O2358" s="7">
        <v>175</v>
      </c>
    </row>
    <row r="2359" spans="1:18" x14ac:dyDescent="0.2">
      <c r="A2359">
        <v>2358</v>
      </c>
      <c r="B2359" s="1">
        <v>40781</v>
      </c>
      <c r="C2359" t="s">
        <v>28</v>
      </c>
      <c r="D2359" s="7">
        <v>44</v>
      </c>
      <c r="E2359" s="7">
        <v>7</v>
      </c>
      <c r="F2359" s="7">
        <f t="shared" si="37"/>
        <v>6</v>
      </c>
      <c r="G2359" s="7" t="str">
        <f>LOOKUP(H2359,[1]startdates!$A$2:$A$10,[1]startdates!$B$2:$B$10)</f>
        <v>FMr</v>
      </c>
      <c r="H2359">
        <v>6</v>
      </c>
      <c r="I2359" s="7">
        <v>712.4</v>
      </c>
      <c r="M2359" s="7">
        <v>378.7</v>
      </c>
      <c r="N2359" s="7">
        <v>224</v>
      </c>
      <c r="O2359" s="7">
        <v>184.1</v>
      </c>
    </row>
    <row r="2360" spans="1:18" x14ac:dyDescent="0.2">
      <c r="A2360">
        <v>2359</v>
      </c>
      <c r="B2360" s="1">
        <v>40781</v>
      </c>
      <c r="C2360" t="s">
        <v>28</v>
      </c>
      <c r="D2360" s="7">
        <v>44</v>
      </c>
      <c r="E2360" s="7">
        <v>7</v>
      </c>
      <c r="F2360" s="7">
        <f t="shared" si="37"/>
        <v>6</v>
      </c>
      <c r="G2360" s="7" t="str">
        <f>LOOKUP(H2360,[1]startdates!$A$2:$A$10,[1]startdates!$B$2:$B$10)</f>
        <v>FMr</v>
      </c>
      <c r="H2360">
        <v>6</v>
      </c>
      <c r="I2360" s="7">
        <v>719.7</v>
      </c>
      <c r="M2360" s="7">
        <v>318.8</v>
      </c>
      <c r="N2360" s="7">
        <v>251.3</v>
      </c>
      <c r="O2360" s="7">
        <v>182.9</v>
      </c>
    </row>
    <row r="2361" spans="1:18" x14ac:dyDescent="0.2">
      <c r="A2361">
        <v>2360</v>
      </c>
      <c r="B2361" s="1">
        <v>40781</v>
      </c>
      <c r="C2361" t="s">
        <v>28</v>
      </c>
      <c r="D2361" s="7">
        <v>44</v>
      </c>
      <c r="E2361" s="7">
        <v>7</v>
      </c>
      <c r="F2361" s="7">
        <f t="shared" si="37"/>
        <v>6</v>
      </c>
      <c r="G2361" s="7" t="str">
        <f>LOOKUP(H2361,[1]startdates!$A$2:$A$10,[1]startdates!$B$2:$B$10)</f>
        <v>FMr</v>
      </c>
      <c r="H2361">
        <v>6</v>
      </c>
      <c r="I2361" s="7">
        <v>759</v>
      </c>
      <c r="N2361" s="7">
        <v>239.8</v>
      </c>
      <c r="O2361" s="7">
        <v>178.1</v>
      </c>
    </row>
    <row r="2362" spans="1:18" x14ac:dyDescent="0.2">
      <c r="A2362">
        <v>2361</v>
      </c>
      <c r="B2362" s="1">
        <v>40781</v>
      </c>
      <c r="C2362" t="s">
        <v>28</v>
      </c>
      <c r="D2362" s="7">
        <v>44</v>
      </c>
      <c r="E2362" s="7">
        <v>7</v>
      </c>
      <c r="F2362" s="7">
        <f t="shared" si="37"/>
        <v>6</v>
      </c>
      <c r="G2362" s="7" t="str">
        <f>LOOKUP(H2362,[1]startdates!$A$2:$A$10,[1]startdates!$B$2:$B$10)</f>
        <v>FMr</v>
      </c>
      <c r="H2362">
        <v>6</v>
      </c>
      <c r="N2362" s="7">
        <v>184.2</v>
      </c>
      <c r="O2362" s="7">
        <v>156.19999999999999</v>
      </c>
    </row>
    <row r="2363" spans="1:18" x14ac:dyDescent="0.2">
      <c r="A2363">
        <v>2362</v>
      </c>
      <c r="B2363" s="1">
        <v>40781</v>
      </c>
      <c r="C2363" t="s">
        <v>28</v>
      </c>
      <c r="D2363" s="7">
        <v>44</v>
      </c>
      <c r="E2363" s="7">
        <v>7</v>
      </c>
      <c r="F2363" s="7">
        <f t="shared" si="37"/>
        <v>6</v>
      </c>
      <c r="G2363" s="7" t="str">
        <f>LOOKUP(H2363,[1]startdates!$A$2:$A$10,[1]startdates!$B$2:$B$10)</f>
        <v>FMr</v>
      </c>
      <c r="H2363">
        <v>6</v>
      </c>
      <c r="N2363" s="7">
        <v>283.3</v>
      </c>
      <c r="O2363" s="7">
        <v>172.5</v>
      </c>
    </row>
    <row r="2364" spans="1:18" x14ac:dyDescent="0.2">
      <c r="A2364">
        <v>2363</v>
      </c>
      <c r="B2364" s="1">
        <v>40781</v>
      </c>
      <c r="C2364" t="s">
        <v>24</v>
      </c>
      <c r="D2364" s="7">
        <v>44</v>
      </c>
      <c r="E2364" s="7">
        <v>7</v>
      </c>
      <c r="F2364" s="7">
        <f t="shared" si="37"/>
        <v>6</v>
      </c>
      <c r="G2364" s="7" t="str">
        <f>LOOKUP(H2364,[1]startdates!$A$2:$A$10,[1]startdates!$B$2:$B$10)</f>
        <v>FMr</v>
      </c>
      <c r="H2364">
        <v>7</v>
      </c>
      <c r="I2364" s="7">
        <v>612.1</v>
      </c>
      <c r="K2364" s="7">
        <v>631.79999999999995</v>
      </c>
      <c r="L2364" s="7">
        <v>477.6</v>
      </c>
      <c r="M2364" s="7">
        <v>335.4</v>
      </c>
      <c r="N2364" s="7">
        <v>263.5</v>
      </c>
      <c r="O2364" s="7">
        <v>146.6</v>
      </c>
      <c r="P2364" s="7">
        <v>476.4</v>
      </c>
      <c r="R2364" s="7">
        <v>253.6</v>
      </c>
    </row>
    <row r="2365" spans="1:18" x14ac:dyDescent="0.2">
      <c r="A2365">
        <v>2364</v>
      </c>
      <c r="B2365" s="1">
        <v>40781</v>
      </c>
      <c r="C2365" t="s">
        <v>24</v>
      </c>
      <c r="D2365" s="7">
        <v>44</v>
      </c>
      <c r="E2365" s="7">
        <v>7</v>
      </c>
      <c r="F2365" s="7">
        <f t="shared" si="37"/>
        <v>6</v>
      </c>
      <c r="G2365" s="7" t="str">
        <f>LOOKUP(H2365,[1]startdates!$A$2:$A$10,[1]startdates!$B$2:$B$10)</f>
        <v>FMr</v>
      </c>
      <c r="H2365">
        <v>7</v>
      </c>
      <c r="I2365" s="7">
        <v>630.9</v>
      </c>
      <c r="K2365" s="7">
        <v>513.1</v>
      </c>
      <c r="L2365" s="7">
        <v>547.70000000000005</v>
      </c>
      <c r="M2365" s="7">
        <v>350.5</v>
      </c>
      <c r="N2365" s="7">
        <v>269</v>
      </c>
      <c r="O2365" s="7">
        <v>209.4</v>
      </c>
      <c r="R2365" s="7">
        <v>236.1</v>
      </c>
    </row>
    <row r="2366" spans="1:18" x14ac:dyDescent="0.2">
      <c r="A2366">
        <v>2365</v>
      </c>
      <c r="B2366" s="1">
        <v>40781</v>
      </c>
      <c r="C2366" t="s">
        <v>24</v>
      </c>
      <c r="D2366" s="7">
        <v>44</v>
      </c>
      <c r="E2366" s="7">
        <v>7</v>
      </c>
      <c r="F2366" s="7">
        <f t="shared" si="37"/>
        <v>6</v>
      </c>
      <c r="G2366" s="7" t="str">
        <f>LOOKUP(H2366,[1]startdates!$A$2:$A$10,[1]startdates!$B$2:$B$10)</f>
        <v>FMr</v>
      </c>
      <c r="H2366">
        <v>7</v>
      </c>
      <c r="I2366" s="7">
        <v>739.3</v>
      </c>
      <c r="K2366" s="7">
        <v>592</v>
      </c>
      <c r="L2366" s="7">
        <v>539.5</v>
      </c>
      <c r="M2366" s="7">
        <v>345.3</v>
      </c>
      <c r="N2366" s="7">
        <v>208.9</v>
      </c>
      <c r="O2366" s="7">
        <v>160.69999999999999</v>
      </c>
    </row>
    <row r="2367" spans="1:18" x14ac:dyDescent="0.2">
      <c r="A2367">
        <v>2366</v>
      </c>
      <c r="B2367" s="1">
        <v>40781</v>
      </c>
      <c r="C2367" t="s">
        <v>24</v>
      </c>
      <c r="D2367" s="7">
        <v>44</v>
      </c>
      <c r="E2367" s="7">
        <v>7</v>
      </c>
      <c r="F2367" s="7">
        <f t="shared" si="37"/>
        <v>6</v>
      </c>
      <c r="G2367" s="7" t="str">
        <f>LOOKUP(H2367,[1]startdates!$A$2:$A$10,[1]startdates!$B$2:$B$10)</f>
        <v>FMr</v>
      </c>
      <c r="H2367">
        <v>7</v>
      </c>
      <c r="I2367" s="7">
        <v>601.29999999999995</v>
      </c>
      <c r="K2367" s="7">
        <v>543.9</v>
      </c>
      <c r="L2367" s="7">
        <v>481</v>
      </c>
      <c r="N2367" s="7">
        <v>218.9</v>
      </c>
      <c r="O2367" s="7">
        <v>143.19999999999999</v>
      </c>
    </row>
    <row r="2368" spans="1:18" x14ac:dyDescent="0.2">
      <c r="A2368">
        <v>2367</v>
      </c>
      <c r="B2368" s="1">
        <v>40781</v>
      </c>
      <c r="C2368" t="s">
        <v>24</v>
      </c>
      <c r="D2368" s="7">
        <v>44</v>
      </c>
      <c r="E2368" s="7">
        <v>7</v>
      </c>
      <c r="F2368" s="7">
        <f t="shared" si="37"/>
        <v>6</v>
      </c>
      <c r="G2368" s="7" t="str">
        <f>LOOKUP(H2368,[1]startdates!$A$2:$A$10,[1]startdates!$B$2:$B$10)</f>
        <v>FMr</v>
      </c>
      <c r="H2368">
        <v>7</v>
      </c>
      <c r="I2368" s="7">
        <v>649.9</v>
      </c>
      <c r="K2368" s="7">
        <v>452</v>
      </c>
      <c r="N2368" s="7">
        <v>206.3</v>
      </c>
      <c r="O2368" s="7">
        <v>174</v>
      </c>
    </row>
    <row r="2369" spans="1:19" x14ac:dyDescent="0.2">
      <c r="A2369">
        <v>2368</v>
      </c>
      <c r="B2369" s="1">
        <v>40781</v>
      </c>
      <c r="C2369" t="s">
        <v>24</v>
      </c>
      <c r="D2369" s="7">
        <v>44</v>
      </c>
      <c r="E2369" s="7">
        <v>7</v>
      </c>
      <c r="F2369" s="7">
        <f t="shared" si="37"/>
        <v>6</v>
      </c>
      <c r="G2369" s="7" t="str">
        <f>LOOKUP(H2369,[1]startdates!$A$2:$A$10,[1]startdates!$B$2:$B$10)</f>
        <v>FMr</v>
      </c>
      <c r="H2369">
        <v>7</v>
      </c>
      <c r="I2369" s="7">
        <v>778.3</v>
      </c>
      <c r="K2369" s="7">
        <v>518.1</v>
      </c>
      <c r="N2369" s="7">
        <v>214.3</v>
      </c>
      <c r="O2369" s="7">
        <v>173.1</v>
      </c>
    </row>
    <row r="2370" spans="1:19" x14ac:dyDescent="0.2">
      <c r="A2370">
        <v>2369</v>
      </c>
      <c r="B2370" s="1">
        <v>40781</v>
      </c>
      <c r="C2370" t="s">
        <v>24</v>
      </c>
      <c r="D2370" s="7">
        <v>44</v>
      </c>
      <c r="E2370" s="7">
        <v>7</v>
      </c>
      <c r="F2370" s="7">
        <f t="shared" si="37"/>
        <v>6</v>
      </c>
      <c r="G2370" s="7" t="str">
        <f>LOOKUP(H2370,[1]startdates!$A$2:$A$10,[1]startdates!$B$2:$B$10)</f>
        <v>FMr</v>
      </c>
      <c r="H2370">
        <v>7</v>
      </c>
      <c r="I2370" s="7">
        <v>843.4</v>
      </c>
      <c r="N2370" s="7">
        <v>245.6</v>
      </c>
      <c r="O2370" s="7">
        <v>172.5</v>
      </c>
    </row>
    <row r="2371" spans="1:19" x14ac:dyDescent="0.2">
      <c r="A2371">
        <v>2370</v>
      </c>
      <c r="B2371" s="1">
        <v>40781</v>
      </c>
      <c r="C2371" t="s">
        <v>24</v>
      </c>
      <c r="D2371" s="7">
        <v>44</v>
      </c>
      <c r="E2371" s="7">
        <v>7</v>
      </c>
      <c r="F2371" s="7">
        <f t="shared" si="37"/>
        <v>6</v>
      </c>
      <c r="G2371" s="7" t="str">
        <f>LOOKUP(H2371,[1]startdates!$A$2:$A$10,[1]startdates!$B$2:$B$10)</f>
        <v>FMr</v>
      </c>
      <c r="H2371">
        <v>7</v>
      </c>
      <c r="I2371" s="7">
        <v>614.6</v>
      </c>
      <c r="N2371" s="7">
        <v>254.1</v>
      </c>
      <c r="O2371" s="7">
        <v>158.5</v>
      </c>
    </row>
    <row r="2372" spans="1:19" x14ac:dyDescent="0.2">
      <c r="A2372">
        <v>2371</v>
      </c>
      <c r="B2372" s="1">
        <v>40781</v>
      </c>
      <c r="C2372" t="s">
        <v>24</v>
      </c>
      <c r="D2372" s="7">
        <v>44</v>
      </c>
      <c r="E2372" s="7">
        <v>7</v>
      </c>
      <c r="F2372" s="7">
        <f t="shared" si="37"/>
        <v>6</v>
      </c>
      <c r="G2372" s="7" t="str">
        <f>LOOKUP(H2372,[1]startdates!$A$2:$A$10,[1]startdates!$B$2:$B$10)</f>
        <v>FMr</v>
      </c>
      <c r="H2372">
        <v>7</v>
      </c>
      <c r="N2372" s="7">
        <v>261.8</v>
      </c>
      <c r="O2372" s="7">
        <v>171.9</v>
      </c>
    </row>
    <row r="2373" spans="1:19" x14ac:dyDescent="0.2">
      <c r="A2373">
        <v>2372</v>
      </c>
      <c r="B2373" s="1">
        <v>40781</v>
      </c>
      <c r="C2373" t="s">
        <v>24</v>
      </c>
      <c r="D2373" s="7">
        <v>44</v>
      </c>
      <c r="E2373" s="7">
        <v>7</v>
      </c>
      <c r="F2373" s="7">
        <f t="shared" si="37"/>
        <v>6</v>
      </c>
      <c r="G2373" s="7" t="str">
        <f>LOOKUP(H2373,[1]startdates!$A$2:$A$10,[1]startdates!$B$2:$B$10)</f>
        <v>FMr</v>
      </c>
      <c r="H2373">
        <v>7</v>
      </c>
      <c r="N2373" s="7">
        <v>224.7</v>
      </c>
      <c r="O2373" s="7">
        <v>175.6</v>
      </c>
    </row>
    <row r="2374" spans="1:19" x14ac:dyDescent="0.2">
      <c r="A2374">
        <v>2373</v>
      </c>
      <c r="B2374" s="1">
        <v>40781</v>
      </c>
      <c r="C2374" t="s">
        <v>24</v>
      </c>
      <c r="D2374" s="7">
        <v>44</v>
      </c>
      <c r="E2374" s="7">
        <v>7</v>
      </c>
      <c r="F2374" s="7">
        <f t="shared" si="37"/>
        <v>6</v>
      </c>
      <c r="G2374" s="7" t="str">
        <f>LOOKUP(H2374,[1]startdates!$A$2:$A$10,[1]startdates!$B$2:$B$10)</f>
        <v>FMr</v>
      </c>
      <c r="H2374">
        <v>7</v>
      </c>
      <c r="N2374" s="7">
        <v>259.39999999999998</v>
      </c>
      <c r="O2374" s="7">
        <v>169.7</v>
      </c>
    </row>
    <row r="2375" spans="1:19" x14ac:dyDescent="0.2">
      <c r="A2375">
        <v>2374</v>
      </c>
      <c r="B2375" s="1">
        <v>40781</v>
      </c>
      <c r="C2375" t="s">
        <v>24</v>
      </c>
      <c r="D2375" s="7">
        <v>44</v>
      </c>
      <c r="E2375" s="7">
        <v>7</v>
      </c>
      <c r="F2375" s="7">
        <f t="shared" si="37"/>
        <v>6</v>
      </c>
      <c r="G2375" s="7" t="str">
        <f>LOOKUP(H2375,[1]startdates!$A$2:$A$10,[1]startdates!$B$2:$B$10)</f>
        <v>FMr</v>
      </c>
      <c r="H2375">
        <v>7</v>
      </c>
      <c r="N2375" s="7">
        <v>240</v>
      </c>
      <c r="O2375" s="7">
        <v>180.7</v>
      </c>
    </row>
    <row r="2376" spans="1:19" x14ac:dyDescent="0.2">
      <c r="A2376">
        <v>2375</v>
      </c>
      <c r="B2376" s="1">
        <v>40781</v>
      </c>
      <c r="C2376" t="s">
        <v>24</v>
      </c>
      <c r="D2376" s="7">
        <v>44</v>
      </c>
      <c r="E2376" s="7">
        <v>7</v>
      </c>
      <c r="F2376" s="7">
        <f t="shared" si="37"/>
        <v>6</v>
      </c>
      <c r="G2376" s="7" t="str">
        <f>LOOKUP(H2376,[1]startdates!$A$2:$A$10,[1]startdates!$B$2:$B$10)</f>
        <v>C</v>
      </c>
      <c r="H2376">
        <v>8</v>
      </c>
      <c r="I2376" s="7">
        <v>866</v>
      </c>
      <c r="J2376" s="7">
        <v>625.9</v>
      </c>
      <c r="K2376" s="7">
        <v>596.4</v>
      </c>
      <c r="L2376" s="7">
        <v>494.2</v>
      </c>
      <c r="M2376" s="7">
        <v>283.10000000000002</v>
      </c>
      <c r="N2376" s="7">
        <v>270</v>
      </c>
      <c r="O2376" s="7">
        <v>185.2</v>
      </c>
      <c r="R2376" s="7">
        <v>278.8</v>
      </c>
      <c r="S2376" s="7">
        <v>268.7</v>
      </c>
    </row>
    <row r="2377" spans="1:19" x14ac:dyDescent="0.2">
      <c r="A2377">
        <v>2376</v>
      </c>
      <c r="B2377" s="1">
        <v>40781</v>
      </c>
      <c r="C2377" t="s">
        <v>24</v>
      </c>
      <c r="D2377" s="7">
        <v>44</v>
      </c>
      <c r="E2377" s="7">
        <v>7</v>
      </c>
      <c r="F2377" s="7">
        <f t="shared" si="37"/>
        <v>6</v>
      </c>
      <c r="G2377" s="7" t="str">
        <f>LOOKUP(H2377,[1]startdates!$A$2:$A$10,[1]startdates!$B$2:$B$10)</f>
        <v>C</v>
      </c>
      <c r="H2377">
        <v>8</v>
      </c>
      <c r="I2377" s="7">
        <v>698.9</v>
      </c>
      <c r="K2377" s="7">
        <v>601.6</v>
      </c>
      <c r="L2377" s="7">
        <v>500.5</v>
      </c>
      <c r="M2377" s="7">
        <v>302</v>
      </c>
      <c r="N2377" s="7">
        <v>211.9</v>
      </c>
      <c r="O2377" s="7">
        <v>173.7</v>
      </c>
    </row>
    <row r="2378" spans="1:19" x14ac:dyDescent="0.2">
      <c r="A2378">
        <v>2377</v>
      </c>
      <c r="B2378" s="1">
        <v>40781</v>
      </c>
      <c r="C2378" t="s">
        <v>24</v>
      </c>
      <c r="D2378" s="7">
        <v>44</v>
      </c>
      <c r="E2378" s="7">
        <v>7</v>
      </c>
      <c r="F2378" s="7">
        <f t="shared" si="37"/>
        <v>6</v>
      </c>
      <c r="G2378" s="7" t="str">
        <f>LOOKUP(H2378,[1]startdates!$A$2:$A$10,[1]startdates!$B$2:$B$10)</f>
        <v>C</v>
      </c>
      <c r="H2378">
        <v>8</v>
      </c>
      <c r="I2378" s="7">
        <v>805.6</v>
      </c>
      <c r="K2378" s="7">
        <v>579.1</v>
      </c>
      <c r="L2378" s="7">
        <v>514.6</v>
      </c>
      <c r="M2378" s="7">
        <v>282.89999999999998</v>
      </c>
      <c r="N2378" s="7">
        <v>205.4</v>
      </c>
      <c r="O2378" s="7">
        <v>188.7</v>
      </c>
    </row>
    <row r="2379" spans="1:19" x14ac:dyDescent="0.2">
      <c r="A2379">
        <v>2378</v>
      </c>
      <c r="B2379" s="1">
        <v>40781</v>
      </c>
      <c r="C2379" t="s">
        <v>24</v>
      </c>
      <c r="D2379" s="7">
        <v>44</v>
      </c>
      <c r="E2379" s="7">
        <v>7</v>
      </c>
      <c r="F2379" s="7">
        <f t="shared" si="37"/>
        <v>6</v>
      </c>
      <c r="G2379" s="7" t="str">
        <f>LOOKUP(H2379,[1]startdates!$A$2:$A$10,[1]startdates!$B$2:$B$10)</f>
        <v>C</v>
      </c>
      <c r="H2379">
        <v>8</v>
      </c>
      <c r="I2379" s="7">
        <v>747.5</v>
      </c>
      <c r="K2379" s="7">
        <v>531.20000000000005</v>
      </c>
      <c r="L2379" s="7">
        <v>513.4</v>
      </c>
      <c r="M2379" s="7">
        <v>368.2</v>
      </c>
      <c r="N2379" s="7">
        <v>190.1</v>
      </c>
      <c r="O2379" s="7">
        <v>180.6</v>
      </c>
    </row>
    <row r="2380" spans="1:19" x14ac:dyDescent="0.2">
      <c r="A2380">
        <v>2379</v>
      </c>
      <c r="B2380" s="1">
        <v>40781</v>
      </c>
      <c r="C2380" t="s">
        <v>24</v>
      </c>
      <c r="D2380" s="7">
        <v>44</v>
      </c>
      <c r="E2380" s="7">
        <v>7</v>
      </c>
      <c r="F2380" s="7">
        <f t="shared" si="37"/>
        <v>6</v>
      </c>
      <c r="G2380" s="7" t="str">
        <f>LOOKUP(H2380,[1]startdates!$A$2:$A$10,[1]startdates!$B$2:$B$10)</f>
        <v>C</v>
      </c>
      <c r="H2380">
        <v>8</v>
      </c>
      <c r="I2380" s="7">
        <v>826.2</v>
      </c>
      <c r="L2380" s="7">
        <v>462.2</v>
      </c>
      <c r="M2380" s="7">
        <v>326.5</v>
      </c>
      <c r="N2380" s="7">
        <v>261.5</v>
      </c>
      <c r="O2380" s="7">
        <v>188.9</v>
      </c>
    </row>
    <row r="2381" spans="1:19" x14ac:dyDescent="0.2">
      <c r="A2381">
        <v>2380</v>
      </c>
      <c r="B2381" s="1">
        <v>40781</v>
      </c>
      <c r="C2381" t="s">
        <v>24</v>
      </c>
      <c r="D2381" s="7">
        <v>44</v>
      </c>
      <c r="E2381" s="7">
        <v>7</v>
      </c>
      <c r="F2381" s="7">
        <f t="shared" si="37"/>
        <v>6</v>
      </c>
      <c r="G2381" s="7" t="str">
        <f>LOOKUP(H2381,[1]startdates!$A$2:$A$10,[1]startdates!$B$2:$B$10)</f>
        <v>C</v>
      </c>
      <c r="H2381">
        <v>8</v>
      </c>
      <c r="I2381" s="7">
        <v>676.2</v>
      </c>
      <c r="L2381" s="7">
        <v>522.20000000000005</v>
      </c>
      <c r="M2381" s="7">
        <v>363.5</v>
      </c>
      <c r="N2381" s="7">
        <v>215.6</v>
      </c>
      <c r="O2381" s="7">
        <v>172.5</v>
      </c>
    </row>
    <row r="2382" spans="1:19" x14ac:dyDescent="0.2">
      <c r="A2382">
        <v>2381</v>
      </c>
      <c r="B2382" s="1">
        <v>40781</v>
      </c>
      <c r="C2382" t="s">
        <v>24</v>
      </c>
      <c r="D2382" s="7">
        <v>44</v>
      </c>
      <c r="E2382" s="7">
        <v>7</v>
      </c>
      <c r="F2382" s="7">
        <f t="shared" si="37"/>
        <v>6</v>
      </c>
      <c r="G2382" s="7" t="str">
        <f>LOOKUP(H2382,[1]startdates!$A$2:$A$10,[1]startdates!$B$2:$B$10)</f>
        <v>C</v>
      </c>
      <c r="H2382">
        <v>8</v>
      </c>
      <c r="I2382" s="7">
        <v>601.5</v>
      </c>
      <c r="L2382" s="7">
        <v>510.4</v>
      </c>
      <c r="M2382" s="7">
        <v>342.6</v>
      </c>
      <c r="N2382" s="7">
        <v>204.6</v>
      </c>
      <c r="O2382" s="7">
        <v>141.6</v>
      </c>
    </row>
    <row r="2383" spans="1:19" x14ac:dyDescent="0.2">
      <c r="A2383">
        <v>2382</v>
      </c>
      <c r="B2383" s="1">
        <v>40781</v>
      </c>
      <c r="C2383" t="s">
        <v>24</v>
      </c>
      <c r="D2383" s="7">
        <v>44</v>
      </c>
      <c r="E2383" s="7">
        <v>7</v>
      </c>
      <c r="F2383" s="7">
        <f t="shared" si="37"/>
        <v>6</v>
      </c>
      <c r="G2383" s="7" t="str">
        <f>LOOKUP(H2383,[1]startdates!$A$2:$A$10,[1]startdates!$B$2:$B$10)</f>
        <v>C</v>
      </c>
      <c r="H2383">
        <v>8</v>
      </c>
      <c r="I2383" s="7">
        <v>738.1</v>
      </c>
      <c r="L2383" s="7">
        <v>434.7</v>
      </c>
      <c r="M2383" s="7">
        <v>331.9</v>
      </c>
      <c r="N2383" s="7">
        <v>208.8</v>
      </c>
      <c r="O2383" s="7">
        <v>160.4</v>
      </c>
    </row>
    <row r="2384" spans="1:19" x14ac:dyDescent="0.2">
      <c r="A2384">
        <v>2383</v>
      </c>
      <c r="B2384" s="1">
        <v>40781</v>
      </c>
      <c r="C2384" t="s">
        <v>24</v>
      </c>
      <c r="D2384" s="7">
        <v>44</v>
      </c>
      <c r="E2384" s="7">
        <v>7</v>
      </c>
      <c r="F2384" s="7">
        <f t="shared" si="37"/>
        <v>6</v>
      </c>
      <c r="G2384" s="7" t="str">
        <f>LOOKUP(H2384,[1]startdates!$A$2:$A$10,[1]startdates!$B$2:$B$10)</f>
        <v>C</v>
      </c>
      <c r="H2384">
        <v>8</v>
      </c>
      <c r="I2384" s="7">
        <v>724</v>
      </c>
      <c r="N2384" s="7">
        <v>247.1</v>
      </c>
      <c r="O2384" s="7">
        <v>185</v>
      </c>
    </row>
    <row r="2385" spans="1:19" x14ac:dyDescent="0.2">
      <c r="A2385">
        <v>2384</v>
      </c>
      <c r="B2385" s="1">
        <v>40781</v>
      </c>
      <c r="C2385" t="s">
        <v>24</v>
      </c>
      <c r="D2385" s="7">
        <v>44</v>
      </c>
      <c r="E2385" s="7">
        <v>7</v>
      </c>
      <c r="F2385" s="7">
        <f t="shared" si="37"/>
        <v>6</v>
      </c>
      <c r="G2385" s="7" t="str">
        <f>LOOKUP(H2385,[1]startdates!$A$2:$A$10,[1]startdates!$B$2:$B$10)</f>
        <v>C</v>
      </c>
      <c r="H2385">
        <v>8</v>
      </c>
      <c r="N2385" s="7">
        <v>248.4</v>
      </c>
      <c r="O2385" s="7">
        <v>176.7</v>
      </c>
    </row>
    <row r="2386" spans="1:19" x14ac:dyDescent="0.2">
      <c r="A2386">
        <v>2385</v>
      </c>
      <c r="B2386" s="1">
        <v>40781</v>
      </c>
      <c r="C2386" t="s">
        <v>24</v>
      </c>
      <c r="D2386" s="7">
        <v>44</v>
      </c>
      <c r="E2386" s="7">
        <v>7</v>
      </c>
      <c r="F2386" s="7">
        <f t="shared" si="37"/>
        <v>6</v>
      </c>
      <c r="G2386" s="7" t="str">
        <f>LOOKUP(H2386,[1]startdates!$A$2:$A$10,[1]startdates!$B$2:$B$10)</f>
        <v>C</v>
      </c>
      <c r="H2386">
        <v>8</v>
      </c>
      <c r="O2386" s="7">
        <v>156.6</v>
      </c>
    </row>
    <row r="2387" spans="1:19" x14ac:dyDescent="0.2">
      <c r="A2387">
        <v>2386</v>
      </c>
      <c r="B2387" s="1">
        <v>40781</v>
      </c>
      <c r="C2387" t="s">
        <v>24</v>
      </c>
      <c r="D2387" s="7">
        <v>44</v>
      </c>
      <c r="E2387" s="7">
        <v>7</v>
      </c>
      <c r="F2387" s="7">
        <f t="shared" si="37"/>
        <v>6</v>
      </c>
      <c r="G2387" s="7" t="str">
        <f>LOOKUP(H2387,[1]startdates!$A$2:$A$10,[1]startdates!$B$2:$B$10)</f>
        <v>C</v>
      </c>
      <c r="H2387">
        <v>8</v>
      </c>
      <c r="O2387" s="7">
        <v>158.1</v>
      </c>
    </row>
    <row r="2388" spans="1:19" x14ac:dyDescent="0.2">
      <c r="A2388">
        <v>2387</v>
      </c>
      <c r="B2388" s="1">
        <v>40781</v>
      </c>
      <c r="C2388" t="s">
        <v>28</v>
      </c>
      <c r="D2388" s="7">
        <v>44</v>
      </c>
      <c r="E2388" s="7">
        <v>7</v>
      </c>
      <c r="F2388" s="7">
        <f t="shared" si="37"/>
        <v>6</v>
      </c>
      <c r="G2388" s="7" t="str">
        <f>LOOKUP(H2388,[1]startdates!$A$2:$A$10,[1]startdates!$B$2:$B$10)</f>
        <v>FMr</v>
      </c>
      <c r="H2388">
        <v>9</v>
      </c>
      <c r="I2388" s="7">
        <v>816.5</v>
      </c>
      <c r="K2388" s="7">
        <v>570.6</v>
      </c>
      <c r="L2388" s="7">
        <v>412.2</v>
      </c>
      <c r="M2388" s="7">
        <v>332.1</v>
      </c>
      <c r="N2388" s="7">
        <v>243.8</v>
      </c>
      <c r="O2388" s="7">
        <v>179.2</v>
      </c>
      <c r="S2388" s="7">
        <v>306.3</v>
      </c>
    </row>
    <row r="2389" spans="1:19" x14ac:dyDescent="0.2">
      <c r="A2389">
        <v>2388</v>
      </c>
      <c r="B2389" s="1">
        <v>40781</v>
      </c>
      <c r="C2389" t="s">
        <v>28</v>
      </c>
      <c r="D2389" s="7">
        <v>44</v>
      </c>
      <c r="E2389" s="7">
        <v>7</v>
      </c>
      <c r="F2389" s="7">
        <f t="shared" si="37"/>
        <v>6</v>
      </c>
      <c r="G2389" s="7" t="str">
        <f>LOOKUP(H2389,[1]startdates!$A$2:$A$10,[1]startdates!$B$2:$B$10)</f>
        <v>FMr</v>
      </c>
      <c r="H2389">
        <v>9</v>
      </c>
      <c r="I2389" s="7">
        <v>809.1</v>
      </c>
      <c r="K2389" s="7">
        <v>652</v>
      </c>
      <c r="L2389" s="7">
        <v>428.4</v>
      </c>
      <c r="M2389" s="7">
        <v>318.7</v>
      </c>
      <c r="N2389" s="7">
        <v>214.7</v>
      </c>
      <c r="O2389" s="7">
        <v>162.69999999999999</v>
      </c>
    </row>
    <row r="2390" spans="1:19" x14ac:dyDescent="0.2">
      <c r="A2390">
        <v>2389</v>
      </c>
      <c r="B2390" s="1">
        <v>40781</v>
      </c>
      <c r="C2390" t="s">
        <v>28</v>
      </c>
      <c r="D2390" s="7">
        <v>44</v>
      </c>
      <c r="E2390" s="7">
        <v>7</v>
      </c>
      <c r="F2390" s="7">
        <f t="shared" si="37"/>
        <v>6</v>
      </c>
      <c r="G2390" s="7" t="str">
        <f>LOOKUP(H2390,[1]startdates!$A$2:$A$10,[1]startdates!$B$2:$B$10)</f>
        <v>FMr</v>
      </c>
      <c r="H2390">
        <v>9</v>
      </c>
      <c r="I2390" s="7">
        <v>922.3</v>
      </c>
      <c r="K2390" s="7">
        <v>656.8</v>
      </c>
      <c r="M2390" s="7">
        <v>369.3</v>
      </c>
      <c r="N2390" s="7">
        <v>255.6</v>
      </c>
      <c r="O2390" s="7">
        <v>187.7</v>
      </c>
    </row>
    <row r="2391" spans="1:19" x14ac:dyDescent="0.2">
      <c r="A2391">
        <v>2390</v>
      </c>
      <c r="B2391" s="1">
        <v>40781</v>
      </c>
      <c r="C2391" t="s">
        <v>28</v>
      </c>
      <c r="D2391" s="7">
        <v>44</v>
      </c>
      <c r="E2391" s="7">
        <v>7</v>
      </c>
      <c r="F2391" s="7">
        <f t="shared" si="37"/>
        <v>6</v>
      </c>
      <c r="G2391" s="7" t="str">
        <f>LOOKUP(H2391,[1]startdates!$A$2:$A$10,[1]startdates!$B$2:$B$10)</f>
        <v>FMr</v>
      </c>
      <c r="H2391">
        <v>9</v>
      </c>
      <c r="I2391" s="7">
        <v>605.4</v>
      </c>
      <c r="K2391" s="7">
        <v>680.7</v>
      </c>
      <c r="M2391" s="7">
        <v>349.1</v>
      </c>
      <c r="N2391" s="7">
        <v>284.39999999999998</v>
      </c>
      <c r="O2391" s="7">
        <v>173.8</v>
      </c>
    </row>
    <row r="2392" spans="1:19" x14ac:dyDescent="0.2">
      <c r="A2392">
        <v>2391</v>
      </c>
      <c r="B2392" s="1">
        <v>40781</v>
      </c>
      <c r="C2392" t="s">
        <v>28</v>
      </c>
      <c r="D2392" s="7">
        <v>44</v>
      </c>
      <c r="E2392" s="7">
        <v>7</v>
      </c>
      <c r="F2392" s="7">
        <f t="shared" si="37"/>
        <v>6</v>
      </c>
      <c r="G2392" s="7" t="str">
        <f>LOOKUP(H2392,[1]startdates!$A$2:$A$10,[1]startdates!$B$2:$B$10)</f>
        <v>FMr</v>
      </c>
      <c r="H2392">
        <v>9</v>
      </c>
      <c r="I2392" s="7">
        <v>725.1</v>
      </c>
      <c r="K2392" s="7">
        <v>558.20000000000005</v>
      </c>
      <c r="M2392" s="7">
        <v>310.7</v>
      </c>
      <c r="N2392" s="7">
        <v>264</v>
      </c>
      <c r="O2392" s="7">
        <v>163.5</v>
      </c>
    </row>
    <row r="2393" spans="1:19" x14ac:dyDescent="0.2">
      <c r="A2393">
        <v>2392</v>
      </c>
      <c r="B2393" s="1">
        <v>40781</v>
      </c>
      <c r="C2393" t="s">
        <v>28</v>
      </c>
      <c r="D2393" s="7">
        <v>44</v>
      </c>
      <c r="E2393" s="7">
        <v>7</v>
      </c>
      <c r="F2393" s="7">
        <f t="shared" si="37"/>
        <v>6</v>
      </c>
      <c r="G2393" s="7" t="str">
        <f>LOOKUP(H2393,[1]startdates!$A$2:$A$10,[1]startdates!$B$2:$B$10)</f>
        <v>FMr</v>
      </c>
      <c r="H2393">
        <v>9</v>
      </c>
      <c r="I2393" s="7">
        <v>761.4</v>
      </c>
      <c r="M2393" s="7">
        <v>369.7</v>
      </c>
      <c r="N2393" s="7">
        <v>181.1</v>
      </c>
      <c r="O2393" s="7">
        <v>164.7</v>
      </c>
    </row>
    <row r="2394" spans="1:19" x14ac:dyDescent="0.2">
      <c r="A2394">
        <v>2393</v>
      </c>
      <c r="B2394" s="1">
        <v>40781</v>
      </c>
      <c r="C2394" t="s">
        <v>28</v>
      </c>
      <c r="D2394" s="7">
        <v>44</v>
      </c>
      <c r="E2394" s="7">
        <v>7</v>
      </c>
      <c r="F2394" s="7">
        <f t="shared" si="37"/>
        <v>6</v>
      </c>
      <c r="G2394" s="7" t="str">
        <f>LOOKUP(H2394,[1]startdates!$A$2:$A$10,[1]startdates!$B$2:$B$10)</f>
        <v>FMr</v>
      </c>
      <c r="H2394">
        <v>9</v>
      </c>
      <c r="I2394" s="7">
        <v>770.4</v>
      </c>
      <c r="M2394" s="7">
        <v>391.9</v>
      </c>
      <c r="N2394" s="7">
        <v>271</v>
      </c>
      <c r="O2394" s="7">
        <v>164.7</v>
      </c>
    </row>
    <row r="2395" spans="1:19" x14ac:dyDescent="0.2">
      <c r="A2395">
        <v>2394</v>
      </c>
      <c r="B2395" s="1">
        <v>40781</v>
      </c>
      <c r="C2395" t="s">
        <v>28</v>
      </c>
      <c r="D2395" s="7">
        <v>44</v>
      </c>
      <c r="E2395" s="7">
        <v>7</v>
      </c>
      <c r="F2395" s="7">
        <f t="shared" si="37"/>
        <v>6</v>
      </c>
      <c r="G2395" s="7" t="str">
        <f>LOOKUP(H2395,[1]startdates!$A$2:$A$10,[1]startdates!$B$2:$B$10)</f>
        <v>FMr</v>
      </c>
      <c r="H2395">
        <v>9</v>
      </c>
      <c r="I2395" s="7">
        <v>868.8</v>
      </c>
      <c r="M2395" s="7">
        <v>339.8</v>
      </c>
      <c r="N2395" s="7">
        <v>188.2</v>
      </c>
      <c r="O2395" s="7">
        <v>172.4</v>
      </c>
    </row>
    <row r="2396" spans="1:19" x14ac:dyDescent="0.2">
      <c r="A2396">
        <v>2395</v>
      </c>
      <c r="B2396" s="1">
        <v>40781</v>
      </c>
      <c r="C2396" t="s">
        <v>28</v>
      </c>
      <c r="D2396" s="7">
        <v>44</v>
      </c>
      <c r="E2396" s="7">
        <v>7</v>
      </c>
      <c r="F2396" s="7">
        <f t="shared" si="37"/>
        <v>6</v>
      </c>
      <c r="G2396" s="7" t="str">
        <f>LOOKUP(H2396,[1]startdates!$A$2:$A$10,[1]startdates!$B$2:$B$10)</f>
        <v>FMr</v>
      </c>
      <c r="H2396">
        <v>9</v>
      </c>
      <c r="I2396" s="7">
        <v>696</v>
      </c>
      <c r="N2396" s="7">
        <v>228.7</v>
      </c>
      <c r="O2396" s="7">
        <v>192.7</v>
      </c>
    </row>
    <row r="2397" spans="1:19" x14ac:dyDescent="0.2">
      <c r="A2397">
        <v>2396</v>
      </c>
      <c r="B2397" s="1">
        <v>40781</v>
      </c>
      <c r="C2397" t="s">
        <v>28</v>
      </c>
      <c r="D2397" s="7">
        <v>44</v>
      </c>
      <c r="E2397" s="7">
        <v>7</v>
      </c>
      <c r="F2397" s="7">
        <f t="shared" si="37"/>
        <v>6</v>
      </c>
      <c r="G2397" s="7" t="str">
        <f>LOOKUP(H2397,[1]startdates!$A$2:$A$10,[1]startdates!$B$2:$B$10)</f>
        <v>FMr</v>
      </c>
      <c r="H2397">
        <v>9</v>
      </c>
      <c r="I2397" s="7">
        <v>827</v>
      </c>
      <c r="N2397" s="7">
        <v>258.60000000000002</v>
      </c>
      <c r="O2397" s="7">
        <v>167.9</v>
      </c>
    </row>
    <row r="2398" spans="1:19" x14ac:dyDescent="0.2">
      <c r="A2398">
        <v>2397</v>
      </c>
      <c r="B2398" s="1">
        <v>40781</v>
      </c>
      <c r="C2398" t="s">
        <v>28</v>
      </c>
      <c r="D2398" s="7">
        <v>44</v>
      </c>
      <c r="E2398" s="7">
        <v>7</v>
      </c>
      <c r="F2398" s="7">
        <f t="shared" si="37"/>
        <v>6</v>
      </c>
      <c r="G2398" s="7" t="str">
        <f>LOOKUP(H2398,[1]startdates!$A$2:$A$10,[1]startdates!$B$2:$B$10)</f>
        <v>FMr</v>
      </c>
      <c r="H2398">
        <v>9</v>
      </c>
      <c r="I2398" s="7">
        <v>4</v>
      </c>
      <c r="N2398" s="7">
        <v>204.6</v>
      </c>
      <c r="O2398" s="7">
        <v>194.4</v>
      </c>
    </row>
    <row r="2399" spans="1:19" x14ac:dyDescent="0.2">
      <c r="A2399">
        <v>2398</v>
      </c>
      <c r="B2399" s="1">
        <v>40781</v>
      </c>
      <c r="C2399" t="s">
        <v>28</v>
      </c>
      <c r="D2399" s="7">
        <v>44</v>
      </c>
      <c r="E2399" s="7">
        <v>7</v>
      </c>
      <c r="F2399" s="7">
        <f t="shared" si="37"/>
        <v>6</v>
      </c>
      <c r="G2399" s="7" t="str">
        <f>LOOKUP(H2399,[1]startdates!$A$2:$A$10,[1]startdates!$B$2:$B$10)</f>
        <v>FMr</v>
      </c>
      <c r="H2399">
        <v>9</v>
      </c>
      <c r="I2399" s="7">
        <v>673.3</v>
      </c>
      <c r="O2399" s="7">
        <v>193.7</v>
      </c>
    </row>
    <row r="2400" spans="1:19" x14ac:dyDescent="0.2">
      <c r="A2400">
        <v>2399</v>
      </c>
      <c r="B2400" s="1">
        <v>40781</v>
      </c>
      <c r="C2400" t="s">
        <v>28</v>
      </c>
      <c r="D2400" s="7">
        <v>44</v>
      </c>
      <c r="E2400" s="7">
        <v>7</v>
      </c>
      <c r="F2400" s="7">
        <f t="shared" si="37"/>
        <v>6</v>
      </c>
      <c r="G2400" s="7" t="str">
        <f>LOOKUP(H2400,[1]startdates!$A$2:$A$10,[1]startdates!$B$2:$B$10)</f>
        <v>FMr</v>
      </c>
      <c r="H2400">
        <v>9</v>
      </c>
      <c r="I2400" s="7">
        <v>677.3</v>
      </c>
      <c r="O2400" s="7">
        <v>161.5</v>
      </c>
    </row>
    <row r="2401" spans="1:19" x14ac:dyDescent="0.2">
      <c r="A2401">
        <v>2400</v>
      </c>
      <c r="B2401" s="1">
        <v>40785</v>
      </c>
      <c r="C2401" t="s">
        <v>24</v>
      </c>
      <c r="D2401" s="7">
        <v>48</v>
      </c>
      <c r="E2401" s="7">
        <v>8</v>
      </c>
      <c r="F2401" s="7">
        <f t="shared" si="37"/>
        <v>3</v>
      </c>
      <c r="G2401" s="7" t="str">
        <f>LOOKUP(H2401,[1]startdates!$A$2:$A$10,[1]startdates!$B$2:$B$10)</f>
        <v>SMr</v>
      </c>
      <c r="H2401">
        <v>1</v>
      </c>
      <c r="I2401" s="7">
        <v>596.4</v>
      </c>
      <c r="J2401" s="7">
        <v>548.29999999999995</v>
      </c>
      <c r="K2401" s="7">
        <v>534.5</v>
      </c>
      <c r="L2401" s="7">
        <v>412.8</v>
      </c>
      <c r="M2401" s="7">
        <v>299.39999999999998</v>
      </c>
      <c r="N2401" s="7">
        <v>234.4</v>
      </c>
      <c r="O2401" s="7">
        <v>146.6</v>
      </c>
      <c r="Q2401" s="7">
        <v>462.4</v>
      </c>
    </row>
    <row r="2402" spans="1:19" x14ac:dyDescent="0.2">
      <c r="A2402">
        <v>2401</v>
      </c>
      <c r="B2402" s="1">
        <v>40785</v>
      </c>
      <c r="C2402" t="s">
        <v>24</v>
      </c>
      <c r="D2402" s="7">
        <v>48</v>
      </c>
      <c r="E2402" s="7">
        <v>8</v>
      </c>
      <c r="F2402" s="7">
        <f t="shared" si="37"/>
        <v>3</v>
      </c>
      <c r="G2402" s="7" t="str">
        <f>LOOKUP(H2402,[1]startdates!$A$2:$A$10,[1]startdates!$B$2:$B$10)</f>
        <v>SMr</v>
      </c>
      <c r="H2402">
        <v>1</v>
      </c>
      <c r="I2402" s="7">
        <v>732.9</v>
      </c>
      <c r="J2402" s="7">
        <v>523</v>
      </c>
      <c r="K2402" s="7">
        <v>518</v>
      </c>
      <c r="L2402" s="7">
        <v>441.7</v>
      </c>
      <c r="M2402" s="7">
        <v>312.89999999999998</v>
      </c>
      <c r="N2402" s="7">
        <v>245.6</v>
      </c>
      <c r="O2402" s="7">
        <v>188.7</v>
      </c>
      <c r="Q2402" s="7">
        <v>457.4</v>
      </c>
    </row>
    <row r="2403" spans="1:19" x14ac:dyDescent="0.2">
      <c r="A2403">
        <v>2402</v>
      </c>
      <c r="B2403" s="1">
        <v>40785</v>
      </c>
      <c r="C2403" t="s">
        <v>24</v>
      </c>
      <c r="D2403" s="7">
        <v>48</v>
      </c>
      <c r="E2403" s="7">
        <v>8</v>
      </c>
      <c r="F2403" s="7">
        <f t="shared" si="37"/>
        <v>3</v>
      </c>
      <c r="G2403" s="7" t="str">
        <f>LOOKUP(H2403,[1]startdates!$A$2:$A$10,[1]startdates!$B$2:$B$10)</f>
        <v>SMr</v>
      </c>
      <c r="H2403">
        <v>1</v>
      </c>
      <c r="I2403" s="7">
        <v>621.79999999999995</v>
      </c>
      <c r="K2403" s="7">
        <v>603.5</v>
      </c>
      <c r="L2403" s="7">
        <v>452.9</v>
      </c>
      <c r="M2403" s="7">
        <v>331.4</v>
      </c>
      <c r="N2403" s="7">
        <v>182.8</v>
      </c>
      <c r="O2403" s="7">
        <v>169.6</v>
      </c>
    </row>
    <row r="2404" spans="1:19" x14ac:dyDescent="0.2">
      <c r="A2404">
        <v>2403</v>
      </c>
      <c r="B2404" s="1">
        <v>40785</v>
      </c>
      <c r="C2404" t="s">
        <v>24</v>
      </c>
      <c r="D2404" s="7">
        <v>48</v>
      </c>
      <c r="E2404" s="7">
        <v>8</v>
      </c>
      <c r="F2404" s="7">
        <f t="shared" si="37"/>
        <v>3</v>
      </c>
      <c r="G2404" s="7" t="str">
        <f>LOOKUP(H2404,[1]startdates!$A$2:$A$10,[1]startdates!$B$2:$B$10)</f>
        <v>SMr</v>
      </c>
      <c r="H2404">
        <v>1</v>
      </c>
      <c r="I2404" s="7">
        <v>739.6</v>
      </c>
      <c r="K2404" s="7">
        <v>524.79999999999995</v>
      </c>
      <c r="L2404" s="7">
        <v>416.8</v>
      </c>
      <c r="M2404" s="7">
        <v>295.39999999999998</v>
      </c>
      <c r="N2404" s="7">
        <v>257.60000000000002</v>
      </c>
      <c r="O2404" s="7">
        <v>157.30000000000001</v>
      </c>
    </row>
    <row r="2405" spans="1:19" x14ac:dyDescent="0.2">
      <c r="A2405">
        <v>2404</v>
      </c>
      <c r="B2405" s="1">
        <v>40785</v>
      </c>
      <c r="C2405" t="s">
        <v>24</v>
      </c>
      <c r="D2405" s="7">
        <v>48</v>
      </c>
      <c r="E2405" s="7">
        <v>8</v>
      </c>
      <c r="F2405" s="7">
        <f t="shared" si="37"/>
        <v>3</v>
      </c>
      <c r="G2405" s="7" t="str">
        <f>LOOKUP(H2405,[1]startdates!$A$2:$A$10,[1]startdates!$B$2:$B$10)</f>
        <v>SMr</v>
      </c>
      <c r="H2405">
        <v>1</v>
      </c>
      <c r="I2405" s="7">
        <v>679.7</v>
      </c>
      <c r="L2405" s="7">
        <v>483.7</v>
      </c>
      <c r="M2405" s="7">
        <v>325.39999999999998</v>
      </c>
      <c r="N2405" s="7">
        <v>202.5</v>
      </c>
      <c r="O2405" s="7">
        <v>163</v>
      </c>
    </row>
    <row r="2406" spans="1:19" x14ac:dyDescent="0.2">
      <c r="A2406">
        <v>2405</v>
      </c>
      <c r="B2406" s="1">
        <v>40785</v>
      </c>
      <c r="C2406" t="s">
        <v>24</v>
      </c>
      <c r="D2406" s="7">
        <v>48</v>
      </c>
      <c r="E2406" s="7">
        <v>8</v>
      </c>
      <c r="F2406" s="7">
        <f t="shared" si="37"/>
        <v>3</v>
      </c>
      <c r="G2406" s="7" t="str">
        <f>LOOKUP(H2406,[1]startdates!$A$2:$A$10,[1]startdates!$B$2:$B$10)</f>
        <v>SMr</v>
      </c>
      <c r="H2406">
        <v>1</v>
      </c>
      <c r="I2406" s="7">
        <v>611.29999999999995</v>
      </c>
      <c r="M2406" s="7">
        <v>304</v>
      </c>
      <c r="N2406" s="7">
        <v>237.6</v>
      </c>
      <c r="O2406" s="7">
        <v>168.1</v>
      </c>
    </row>
    <row r="2407" spans="1:19" x14ac:dyDescent="0.2">
      <c r="A2407">
        <v>2406</v>
      </c>
      <c r="B2407" s="1">
        <v>40785</v>
      </c>
      <c r="C2407" t="s">
        <v>24</v>
      </c>
      <c r="D2407" s="7">
        <v>48</v>
      </c>
      <c r="E2407" s="7">
        <v>8</v>
      </c>
      <c r="F2407" s="7">
        <f t="shared" si="37"/>
        <v>3</v>
      </c>
      <c r="G2407" s="7" t="str">
        <f>LOOKUP(H2407,[1]startdates!$A$2:$A$10,[1]startdates!$B$2:$B$10)</f>
        <v>SMr</v>
      </c>
      <c r="H2407">
        <v>1</v>
      </c>
      <c r="I2407" s="7">
        <v>612.29999999999995</v>
      </c>
      <c r="M2407" s="7">
        <v>336</v>
      </c>
      <c r="N2407" s="7">
        <v>281.2</v>
      </c>
      <c r="O2407" s="7">
        <v>159</v>
      </c>
    </row>
    <row r="2408" spans="1:19" x14ac:dyDescent="0.2">
      <c r="A2408">
        <v>2407</v>
      </c>
      <c r="B2408" s="1">
        <v>40785</v>
      </c>
      <c r="C2408" t="s">
        <v>24</v>
      </c>
      <c r="D2408" s="7">
        <v>48</v>
      </c>
      <c r="E2408" s="7">
        <v>8</v>
      </c>
      <c r="F2408" s="7">
        <f t="shared" si="37"/>
        <v>3</v>
      </c>
      <c r="G2408" s="7" t="str">
        <f>LOOKUP(H2408,[1]startdates!$A$2:$A$10,[1]startdates!$B$2:$B$10)</f>
        <v>SMr</v>
      </c>
      <c r="H2408">
        <v>1</v>
      </c>
      <c r="M2408" s="7">
        <v>375.5</v>
      </c>
      <c r="N2408" s="7">
        <v>227.2</v>
      </c>
      <c r="O2408" s="7">
        <v>182.8</v>
      </c>
    </row>
    <row r="2409" spans="1:19" x14ac:dyDescent="0.2">
      <c r="A2409">
        <v>2408</v>
      </c>
      <c r="B2409" s="1">
        <v>40785</v>
      </c>
      <c r="C2409" t="s">
        <v>24</v>
      </c>
      <c r="D2409" s="7">
        <v>48</v>
      </c>
      <c r="E2409" s="7">
        <v>8</v>
      </c>
      <c r="F2409" s="7">
        <f t="shared" ref="F2409:F2472" si="38">WEEKDAY(B2409)</f>
        <v>3</v>
      </c>
      <c r="G2409" s="7" t="str">
        <f>LOOKUP(H2409,[1]startdates!$A$2:$A$10,[1]startdates!$B$2:$B$10)</f>
        <v>SMr</v>
      </c>
      <c r="H2409">
        <v>1</v>
      </c>
      <c r="M2409" s="7">
        <v>356.7</v>
      </c>
      <c r="N2409" s="7">
        <v>265.10000000000002</v>
      </c>
      <c r="O2409" s="7">
        <v>146.69999999999999</v>
      </c>
    </row>
    <row r="2410" spans="1:19" x14ac:dyDescent="0.2">
      <c r="A2410">
        <v>2409</v>
      </c>
      <c r="B2410" s="1">
        <v>40785</v>
      </c>
      <c r="C2410" t="s">
        <v>24</v>
      </c>
      <c r="D2410" s="7">
        <v>48</v>
      </c>
      <c r="E2410" s="7">
        <v>8</v>
      </c>
      <c r="F2410" s="7">
        <f t="shared" si="38"/>
        <v>3</v>
      </c>
      <c r="G2410" s="7" t="str">
        <f>LOOKUP(H2410,[1]startdates!$A$2:$A$10,[1]startdates!$B$2:$B$10)</f>
        <v>SMr</v>
      </c>
      <c r="H2410">
        <v>1</v>
      </c>
      <c r="N2410" s="7">
        <v>224</v>
      </c>
      <c r="O2410" s="7">
        <v>151</v>
      </c>
    </row>
    <row r="2411" spans="1:19" x14ac:dyDescent="0.2">
      <c r="A2411">
        <v>2410</v>
      </c>
      <c r="B2411" s="1">
        <v>40785</v>
      </c>
      <c r="C2411" t="s">
        <v>24</v>
      </c>
      <c r="D2411" s="7">
        <v>48</v>
      </c>
      <c r="E2411" s="7">
        <v>8</v>
      </c>
      <c r="F2411" s="7">
        <f t="shared" si="38"/>
        <v>3</v>
      </c>
      <c r="G2411" s="7" t="str">
        <f>LOOKUP(H2411,[1]startdates!$A$2:$A$10,[1]startdates!$B$2:$B$10)</f>
        <v>SMr</v>
      </c>
      <c r="H2411">
        <v>1</v>
      </c>
      <c r="N2411" s="7">
        <v>206.3</v>
      </c>
      <c r="O2411" s="7">
        <v>153.80000000000001</v>
      </c>
    </row>
    <row r="2412" spans="1:19" x14ac:dyDescent="0.2">
      <c r="A2412">
        <v>2411</v>
      </c>
      <c r="B2412" s="1">
        <v>40785</v>
      </c>
      <c r="C2412" t="s">
        <v>24</v>
      </c>
      <c r="D2412" s="7">
        <v>48</v>
      </c>
      <c r="E2412" s="7">
        <v>8</v>
      </c>
      <c r="F2412" s="7">
        <f t="shared" si="38"/>
        <v>3</v>
      </c>
      <c r="G2412" s="7" t="str">
        <f>LOOKUP(H2412,[1]startdates!$A$2:$A$10,[1]startdates!$B$2:$B$10)</f>
        <v>SMr</v>
      </c>
      <c r="H2412">
        <v>1</v>
      </c>
      <c r="N2412" s="7">
        <v>247.7</v>
      </c>
    </row>
    <row r="2413" spans="1:19" x14ac:dyDescent="0.2">
      <c r="A2413">
        <v>2412</v>
      </c>
      <c r="B2413" s="1">
        <v>40785</v>
      </c>
      <c r="C2413" t="s">
        <v>28</v>
      </c>
      <c r="D2413" s="7">
        <v>48</v>
      </c>
      <c r="E2413" s="7">
        <v>8</v>
      </c>
      <c r="F2413" s="7">
        <f t="shared" si="38"/>
        <v>3</v>
      </c>
      <c r="G2413" s="7" t="str">
        <f>LOOKUP(H2413,[1]startdates!$A$2:$A$10,[1]startdates!$B$2:$B$10)</f>
        <v>SMr</v>
      </c>
      <c r="H2413">
        <v>2</v>
      </c>
      <c r="I2413" s="7">
        <v>807.1</v>
      </c>
      <c r="K2413" s="7">
        <v>621.4</v>
      </c>
      <c r="L2413" s="7">
        <v>490.4</v>
      </c>
      <c r="M2413" s="7">
        <v>293.2</v>
      </c>
      <c r="N2413" s="7">
        <v>175.6</v>
      </c>
      <c r="O2413" s="7">
        <v>171.3</v>
      </c>
      <c r="P2413" s="7">
        <v>457.2</v>
      </c>
      <c r="Q2413" s="7">
        <v>365.8</v>
      </c>
      <c r="S2413" s="7">
        <v>316.2</v>
      </c>
    </row>
    <row r="2414" spans="1:19" x14ac:dyDescent="0.2">
      <c r="A2414">
        <v>2413</v>
      </c>
      <c r="B2414" s="1">
        <v>40785</v>
      </c>
      <c r="C2414" t="s">
        <v>28</v>
      </c>
      <c r="D2414" s="7">
        <v>48</v>
      </c>
      <c r="E2414" s="7">
        <v>8</v>
      </c>
      <c r="F2414" s="7">
        <f t="shared" si="38"/>
        <v>3</v>
      </c>
      <c r="G2414" s="7" t="str">
        <f>LOOKUP(H2414,[1]startdates!$A$2:$A$10,[1]startdates!$B$2:$B$10)</f>
        <v>SMr</v>
      </c>
      <c r="H2414">
        <v>2</v>
      </c>
      <c r="I2414" s="7">
        <v>646.70000000000005</v>
      </c>
      <c r="K2414" s="7">
        <v>614.5</v>
      </c>
      <c r="L2414" s="7">
        <v>451.3</v>
      </c>
      <c r="M2414" s="7">
        <v>290.2</v>
      </c>
      <c r="N2414" s="7">
        <v>182.9</v>
      </c>
      <c r="O2414" s="7">
        <v>172.4</v>
      </c>
      <c r="Q2414" s="7">
        <v>343.5</v>
      </c>
    </row>
    <row r="2415" spans="1:19" x14ac:dyDescent="0.2">
      <c r="A2415">
        <v>2414</v>
      </c>
      <c r="B2415" s="1">
        <v>40785</v>
      </c>
      <c r="C2415" t="s">
        <v>28</v>
      </c>
      <c r="D2415" s="7">
        <v>48</v>
      </c>
      <c r="E2415" s="7">
        <v>8</v>
      </c>
      <c r="F2415" s="7">
        <f t="shared" si="38"/>
        <v>3</v>
      </c>
      <c r="G2415" s="7" t="str">
        <f>LOOKUP(H2415,[1]startdates!$A$2:$A$10,[1]startdates!$B$2:$B$10)</f>
        <v>SMr</v>
      </c>
      <c r="H2415">
        <v>2</v>
      </c>
      <c r="I2415" s="7">
        <v>584.1</v>
      </c>
      <c r="K2415" s="7">
        <v>582.1</v>
      </c>
      <c r="L2415" s="7">
        <v>412.6</v>
      </c>
      <c r="M2415" s="7">
        <v>353.8</v>
      </c>
      <c r="N2415" s="7">
        <v>208.5</v>
      </c>
      <c r="O2415" s="7">
        <v>208.3</v>
      </c>
      <c r="Q2415" s="7">
        <v>377.2</v>
      </c>
    </row>
    <row r="2416" spans="1:19" x14ac:dyDescent="0.2">
      <c r="A2416">
        <v>2415</v>
      </c>
      <c r="B2416" s="1">
        <v>40785</v>
      </c>
      <c r="C2416" t="s">
        <v>28</v>
      </c>
      <c r="D2416" s="7">
        <v>48</v>
      </c>
      <c r="E2416" s="7">
        <v>8</v>
      </c>
      <c r="F2416" s="7">
        <f t="shared" si="38"/>
        <v>3</v>
      </c>
      <c r="G2416" s="7" t="str">
        <f>LOOKUP(H2416,[1]startdates!$A$2:$A$10,[1]startdates!$B$2:$B$10)</f>
        <v>SMr</v>
      </c>
      <c r="H2416">
        <v>2</v>
      </c>
      <c r="I2416" s="7">
        <v>669.7</v>
      </c>
      <c r="K2416" s="7">
        <v>619.79999999999995</v>
      </c>
      <c r="L2416" s="7">
        <v>408.5</v>
      </c>
      <c r="M2416" s="7">
        <v>310.8</v>
      </c>
      <c r="N2416" s="7">
        <v>238.9</v>
      </c>
      <c r="O2416" s="7">
        <v>165.5</v>
      </c>
    </row>
    <row r="2417" spans="1:19" x14ac:dyDescent="0.2">
      <c r="A2417">
        <v>2416</v>
      </c>
      <c r="B2417" s="1">
        <v>40785</v>
      </c>
      <c r="C2417" t="s">
        <v>28</v>
      </c>
      <c r="D2417" s="7">
        <v>48</v>
      </c>
      <c r="E2417" s="7">
        <v>8</v>
      </c>
      <c r="F2417" s="7">
        <f t="shared" si="38"/>
        <v>3</v>
      </c>
      <c r="G2417" s="7" t="str">
        <f>LOOKUP(H2417,[1]startdates!$A$2:$A$10,[1]startdates!$B$2:$B$10)</f>
        <v>SMr</v>
      </c>
      <c r="H2417">
        <v>2</v>
      </c>
      <c r="I2417" s="7">
        <v>685.2</v>
      </c>
      <c r="K2417" s="7">
        <v>626.6</v>
      </c>
      <c r="L2417" s="7">
        <v>415</v>
      </c>
      <c r="M2417" s="7">
        <v>302.7</v>
      </c>
      <c r="N2417" s="7">
        <v>231.1</v>
      </c>
      <c r="O2417" s="7">
        <v>146.19999999999999</v>
      </c>
    </row>
    <row r="2418" spans="1:19" x14ac:dyDescent="0.2">
      <c r="A2418">
        <v>2417</v>
      </c>
      <c r="B2418" s="1">
        <v>40785</v>
      </c>
      <c r="C2418" t="s">
        <v>28</v>
      </c>
      <c r="D2418" s="7">
        <v>48</v>
      </c>
      <c r="E2418" s="7">
        <v>8</v>
      </c>
      <c r="F2418" s="7">
        <f t="shared" si="38"/>
        <v>3</v>
      </c>
      <c r="G2418" s="7" t="str">
        <f>LOOKUP(H2418,[1]startdates!$A$2:$A$10,[1]startdates!$B$2:$B$10)</f>
        <v>SMr</v>
      </c>
      <c r="H2418">
        <v>2</v>
      </c>
      <c r="I2418" s="7">
        <v>675.9</v>
      </c>
      <c r="K2418" s="7">
        <v>552.29999999999995</v>
      </c>
      <c r="M2418" s="7">
        <v>346.2</v>
      </c>
      <c r="N2418" s="7">
        <v>243.4</v>
      </c>
      <c r="O2418" s="7">
        <v>154.6</v>
      </c>
    </row>
    <row r="2419" spans="1:19" x14ac:dyDescent="0.2">
      <c r="A2419">
        <v>2418</v>
      </c>
      <c r="B2419" s="1">
        <v>40785</v>
      </c>
      <c r="C2419" t="s">
        <v>28</v>
      </c>
      <c r="D2419" s="7">
        <v>48</v>
      </c>
      <c r="E2419" s="7">
        <v>8</v>
      </c>
      <c r="F2419" s="7">
        <f t="shared" si="38"/>
        <v>3</v>
      </c>
      <c r="G2419" s="7" t="str">
        <f>LOOKUP(H2419,[1]startdates!$A$2:$A$10,[1]startdates!$B$2:$B$10)</f>
        <v>SMr</v>
      </c>
      <c r="H2419">
        <v>2</v>
      </c>
      <c r="I2419" s="7">
        <v>716.7</v>
      </c>
      <c r="K2419" s="7">
        <v>572.9</v>
      </c>
      <c r="M2419" s="7">
        <v>289.8</v>
      </c>
      <c r="N2419" s="7">
        <v>263.39999999999998</v>
      </c>
      <c r="O2419" s="7">
        <v>154.80000000000001</v>
      </c>
    </row>
    <row r="2420" spans="1:19" x14ac:dyDescent="0.2">
      <c r="A2420">
        <v>2419</v>
      </c>
      <c r="B2420" s="1">
        <v>40785</v>
      </c>
      <c r="C2420" t="s">
        <v>28</v>
      </c>
      <c r="D2420" s="7">
        <v>48</v>
      </c>
      <c r="E2420" s="7">
        <v>8</v>
      </c>
      <c r="F2420" s="7">
        <f t="shared" si="38"/>
        <v>3</v>
      </c>
      <c r="G2420" s="7" t="str">
        <f>LOOKUP(H2420,[1]startdates!$A$2:$A$10,[1]startdates!$B$2:$B$10)</f>
        <v>SMr</v>
      </c>
      <c r="H2420">
        <v>2</v>
      </c>
      <c r="I2420" s="7">
        <v>730.1</v>
      </c>
      <c r="K2420" s="7">
        <v>560.5</v>
      </c>
      <c r="M2420" s="7">
        <v>310.8</v>
      </c>
      <c r="N2420" s="7">
        <v>195</v>
      </c>
      <c r="O2420" s="7">
        <v>173.3</v>
      </c>
    </row>
    <row r="2421" spans="1:19" x14ac:dyDescent="0.2">
      <c r="A2421">
        <v>2420</v>
      </c>
      <c r="B2421" s="1">
        <v>40785</v>
      </c>
      <c r="C2421" t="s">
        <v>28</v>
      </c>
      <c r="D2421" s="7">
        <v>48</v>
      </c>
      <c r="E2421" s="7">
        <v>8</v>
      </c>
      <c r="F2421" s="7">
        <f t="shared" si="38"/>
        <v>3</v>
      </c>
      <c r="G2421" s="7" t="str">
        <f>LOOKUP(H2421,[1]startdates!$A$2:$A$10,[1]startdates!$B$2:$B$10)</f>
        <v>SMr</v>
      </c>
      <c r="H2421">
        <v>2</v>
      </c>
      <c r="I2421" s="7">
        <v>645.5</v>
      </c>
      <c r="M2421" s="7">
        <v>399.3</v>
      </c>
      <c r="N2421" s="7">
        <v>232.9</v>
      </c>
      <c r="O2421" s="7">
        <v>175.6</v>
      </c>
    </row>
    <row r="2422" spans="1:19" x14ac:dyDescent="0.2">
      <c r="A2422">
        <v>2421</v>
      </c>
      <c r="B2422" s="1">
        <v>40785</v>
      </c>
      <c r="C2422" t="s">
        <v>28</v>
      </c>
      <c r="D2422" s="7">
        <v>48</v>
      </c>
      <c r="E2422" s="7">
        <v>8</v>
      </c>
      <c r="F2422" s="7">
        <f t="shared" si="38"/>
        <v>3</v>
      </c>
      <c r="G2422" s="7" t="str">
        <f>LOOKUP(H2422,[1]startdates!$A$2:$A$10,[1]startdates!$B$2:$B$10)</f>
        <v>SMr</v>
      </c>
      <c r="H2422">
        <v>2</v>
      </c>
      <c r="I2422" s="7">
        <v>658.3</v>
      </c>
      <c r="M2422" s="7">
        <v>349.9</v>
      </c>
      <c r="N2422" s="7">
        <v>221</v>
      </c>
      <c r="O2422" s="7">
        <v>147.30000000000001</v>
      </c>
    </row>
    <row r="2423" spans="1:19" x14ac:dyDescent="0.2">
      <c r="A2423">
        <v>2422</v>
      </c>
      <c r="B2423" s="1">
        <v>40785</v>
      </c>
      <c r="C2423" t="s">
        <v>28</v>
      </c>
      <c r="D2423" s="7">
        <v>48</v>
      </c>
      <c r="E2423" s="7">
        <v>8</v>
      </c>
      <c r="F2423" s="7">
        <f t="shared" si="38"/>
        <v>3</v>
      </c>
      <c r="G2423" s="7" t="str">
        <f>LOOKUP(H2423,[1]startdates!$A$2:$A$10,[1]startdates!$B$2:$B$10)</f>
        <v>SMr</v>
      </c>
      <c r="H2423">
        <v>2</v>
      </c>
      <c r="I2423" s="7">
        <v>566.6</v>
      </c>
      <c r="M2423" s="7">
        <v>309.7</v>
      </c>
      <c r="N2423" s="7">
        <v>212.5</v>
      </c>
      <c r="O2423" s="7">
        <v>153.80000000000001</v>
      </c>
    </row>
    <row r="2424" spans="1:19" x14ac:dyDescent="0.2">
      <c r="A2424">
        <v>2423</v>
      </c>
      <c r="B2424" s="1">
        <v>40785</v>
      </c>
      <c r="C2424" t="s">
        <v>28</v>
      </c>
      <c r="D2424" s="7">
        <v>48</v>
      </c>
      <c r="E2424" s="7">
        <v>8</v>
      </c>
      <c r="F2424" s="7">
        <f t="shared" si="38"/>
        <v>3</v>
      </c>
      <c r="G2424" s="7" t="str">
        <f>LOOKUP(H2424,[1]startdates!$A$2:$A$10,[1]startdates!$B$2:$B$10)</f>
        <v>SMr</v>
      </c>
      <c r="H2424">
        <v>2</v>
      </c>
      <c r="N2424" s="7">
        <v>206.3</v>
      </c>
    </row>
    <row r="2425" spans="1:19" x14ac:dyDescent="0.2">
      <c r="A2425">
        <v>2424</v>
      </c>
      <c r="B2425" s="1">
        <v>40785</v>
      </c>
      <c r="C2425" t="s">
        <v>28</v>
      </c>
      <c r="D2425" s="7">
        <v>48</v>
      </c>
      <c r="E2425" s="7">
        <v>8</v>
      </c>
      <c r="F2425" s="7">
        <f t="shared" si="38"/>
        <v>3</v>
      </c>
      <c r="G2425" s="7" t="str">
        <f>LOOKUP(H2425,[1]startdates!$A$2:$A$10,[1]startdates!$B$2:$B$10)</f>
        <v>C</v>
      </c>
      <c r="H2425">
        <v>3</v>
      </c>
      <c r="I2425" s="7">
        <v>742.4</v>
      </c>
      <c r="K2425" s="7">
        <v>659.1</v>
      </c>
      <c r="L2425" s="7">
        <v>497.8</v>
      </c>
      <c r="M2425" s="7">
        <v>351.5</v>
      </c>
      <c r="N2425" s="7">
        <v>223.6</v>
      </c>
      <c r="O2425" s="7">
        <v>167.9</v>
      </c>
      <c r="P2425" s="7">
        <v>517</v>
      </c>
      <c r="Q2425" s="7">
        <v>376.2</v>
      </c>
      <c r="R2425" s="7">
        <v>265.5</v>
      </c>
      <c r="S2425" s="7">
        <v>270</v>
      </c>
    </row>
    <row r="2426" spans="1:19" x14ac:dyDescent="0.2">
      <c r="A2426">
        <v>2425</v>
      </c>
      <c r="B2426" s="1">
        <v>40785</v>
      </c>
      <c r="C2426" t="s">
        <v>28</v>
      </c>
      <c r="D2426" s="7">
        <v>48</v>
      </c>
      <c r="E2426" s="7">
        <v>8</v>
      </c>
      <c r="F2426" s="7">
        <f t="shared" si="38"/>
        <v>3</v>
      </c>
      <c r="G2426" s="7" t="str">
        <f>LOOKUP(H2426,[1]startdates!$A$2:$A$10,[1]startdates!$B$2:$B$10)</f>
        <v>C</v>
      </c>
      <c r="H2426">
        <v>3</v>
      </c>
      <c r="I2426" s="7">
        <v>733.3</v>
      </c>
      <c r="K2426" s="7">
        <v>689.4</v>
      </c>
      <c r="L2426" s="7">
        <v>443</v>
      </c>
      <c r="M2426" s="7">
        <v>367.6</v>
      </c>
      <c r="N2426" s="7">
        <v>173.8</v>
      </c>
      <c r="O2426" s="7">
        <v>157.4</v>
      </c>
      <c r="P2426" s="7">
        <v>466.8</v>
      </c>
      <c r="Q2426" s="7">
        <v>346.4</v>
      </c>
      <c r="R2426" s="7">
        <v>263.60000000000002</v>
      </c>
    </row>
    <row r="2427" spans="1:19" x14ac:dyDescent="0.2">
      <c r="A2427">
        <v>2426</v>
      </c>
      <c r="B2427" s="1">
        <v>40785</v>
      </c>
      <c r="C2427" t="s">
        <v>28</v>
      </c>
      <c r="D2427" s="7">
        <v>48</v>
      </c>
      <c r="E2427" s="7">
        <v>8</v>
      </c>
      <c r="F2427" s="7">
        <f t="shared" si="38"/>
        <v>3</v>
      </c>
      <c r="G2427" s="7" t="str">
        <f>LOOKUP(H2427,[1]startdates!$A$2:$A$10,[1]startdates!$B$2:$B$10)</f>
        <v>C</v>
      </c>
      <c r="H2427">
        <v>3</v>
      </c>
      <c r="I2427" s="7">
        <v>732.7</v>
      </c>
      <c r="K2427" s="7">
        <v>515.9</v>
      </c>
      <c r="L2427" s="7">
        <v>493.7</v>
      </c>
      <c r="M2427" s="7">
        <v>299.8</v>
      </c>
      <c r="N2427" s="7">
        <v>260.8</v>
      </c>
      <c r="O2427" s="7">
        <v>163</v>
      </c>
      <c r="Q2427" s="7">
        <v>384</v>
      </c>
      <c r="R2427" s="7">
        <v>298.2</v>
      </c>
    </row>
    <row r="2428" spans="1:19" x14ac:dyDescent="0.2">
      <c r="A2428">
        <v>2427</v>
      </c>
      <c r="B2428" s="1">
        <v>40785</v>
      </c>
      <c r="C2428" t="s">
        <v>28</v>
      </c>
      <c r="D2428" s="7">
        <v>48</v>
      </c>
      <c r="E2428" s="7">
        <v>8</v>
      </c>
      <c r="F2428" s="7">
        <f t="shared" si="38"/>
        <v>3</v>
      </c>
      <c r="G2428" s="7" t="str">
        <f>LOOKUP(H2428,[1]startdates!$A$2:$A$10,[1]startdates!$B$2:$B$10)</f>
        <v>C</v>
      </c>
      <c r="H2428">
        <v>3</v>
      </c>
      <c r="I2428" s="7">
        <v>596.20000000000005</v>
      </c>
      <c r="K2428" s="7">
        <v>537.6</v>
      </c>
      <c r="L2428" s="7">
        <v>442.8</v>
      </c>
      <c r="M2428" s="7">
        <v>389.7</v>
      </c>
      <c r="N2428" s="7">
        <v>295.7</v>
      </c>
      <c r="O2428" s="7">
        <v>180.7</v>
      </c>
      <c r="R2428" s="7">
        <v>253</v>
      </c>
    </row>
    <row r="2429" spans="1:19" x14ac:dyDescent="0.2">
      <c r="A2429">
        <v>2428</v>
      </c>
      <c r="B2429" s="1">
        <v>40785</v>
      </c>
      <c r="C2429" t="s">
        <v>28</v>
      </c>
      <c r="D2429" s="7">
        <v>48</v>
      </c>
      <c r="E2429" s="7">
        <v>8</v>
      </c>
      <c r="F2429" s="7">
        <f t="shared" si="38"/>
        <v>3</v>
      </c>
      <c r="G2429" s="7" t="str">
        <f>LOOKUP(H2429,[1]startdates!$A$2:$A$10,[1]startdates!$B$2:$B$10)</f>
        <v>C</v>
      </c>
      <c r="H2429">
        <v>3</v>
      </c>
      <c r="I2429" s="7">
        <v>581</v>
      </c>
      <c r="K2429" s="7">
        <v>547.29999999999995</v>
      </c>
      <c r="M2429" s="7">
        <v>336.5</v>
      </c>
      <c r="N2429" s="7">
        <v>212.2</v>
      </c>
      <c r="O2429" s="7">
        <v>150.4</v>
      </c>
      <c r="R2429" s="7">
        <v>238.9</v>
      </c>
    </row>
    <row r="2430" spans="1:19" x14ac:dyDescent="0.2">
      <c r="A2430">
        <v>2429</v>
      </c>
      <c r="B2430" s="1">
        <v>40785</v>
      </c>
      <c r="C2430" t="s">
        <v>28</v>
      </c>
      <c r="D2430" s="7">
        <v>48</v>
      </c>
      <c r="E2430" s="7">
        <v>8</v>
      </c>
      <c r="F2430" s="7">
        <f t="shared" si="38"/>
        <v>3</v>
      </c>
      <c r="G2430" s="7" t="str">
        <f>LOOKUP(H2430,[1]startdates!$A$2:$A$10,[1]startdates!$B$2:$B$10)</f>
        <v>C</v>
      </c>
      <c r="H2430">
        <v>3</v>
      </c>
      <c r="I2430" s="7">
        <v>664.6</v>
      </c>
      <c r="K2430" s="7">
        <v>412.9</v>
      </c>
      <c r="M2430" s="7">
        <v>397.9</v>
      </c>
      <c r="N2430" s="7">
        <v>186.1</v>
      </c>
      <c r="O2430" s="7">
        <v>154.6</v>
      </c>
    </row>
    <row r="2431" spans="1:19" x14ac:dyDescent="0.2">
      <c r="A2431">
        <v>2430</v>
      </c>
      <c r="B2431" s="1">
        <v>40785</v>
      </c>
      <c r="C2431" t="s">
        <v>28</v>
      </c>
      <c r="D2431" s="7">
        <v>48</v>
      </c>
      <c r="E2431" s="7">
        <v>8</v>
      </c>
      <c r="F2431" s="7">
        <f t="shared" si="38"/>
        <v>3</v>
      </c>
      <c r="G2431" s="7" t="str">
        <f>LOOKUP(H2431,[1]startdates!$A$2:$A$10,[1]startdates!$B$2:$B$10)</f>
        <v>C</v>
      </c>
      <c r="H2431">
        <v>3</v>
      </c>
      <c r="I2431" s="7">
        <v>501.6</v>
      </c>
      <c r="M2431" s="7">
        <v>391.3</v>
      </c>
      <c r="N2431" s="7">
        <v>186.1</v>
      </c>
      <c r="O2431" s="7">
        <v>158.6</v>
      </c>
    </row>
    <row r="2432" spans="1:19" x14ac:dyDescent="0.2">
      <c r="A2432">
        <v>2431</v>
      </c>
      <c r="B2432" s="1">
        <v>40785</v>
      </c>
      <c r="C2432" t="s">
        <v>28</v>
      </c>
      <c r="D2432" s="7">
        <v>48</v>
      </c>
      <c r="E2432" s="7">
        <v>8</v>
      </c>
      <c r="F2432" s="7">
        <f t="shared" si="38"/>
        <v>3</v>
      </c>
      <c r="G2432" s="7" t="str">
        <f>LOOKUP(H2432,[1]startdates!$A$2:$A$10,[1]startdates!$B$2:$B$10)</f>
        <v>C</v>
      </c>
      <c r="H2432">
        <v>3</v>
      </c>
      <c r="I2432" s="7">
        <v>790.7</v>
      </c>
      <c r="M2432" s="7">
        <v>338.8</v>
      </c>
      <c r="N2432" s="7">
        <v>210.9</v>
      </c>
      <c r="O2432" s="7">
        <v>174.6</v>
      </c>
    </row>
    <row r="2433" spans="1:19" x14ac:dyDescent="0.2">
      <c r="A2433">
        <v>2432</v>
      </c>
      <c r="B2433" s="1">
        <v>40785</v>
      </c>
      <c r="C2433" t="s">
        <v>28</v>
      </c>
      <c r="D2433" s="7">
        <v>48</v>
      </c>
      <c r="E2433" s="7">
        <v>8</v>
      </c>
      <c r="F2433" s="7">
        <f t="shared" si="38"/>
        <v>3</v>
      </c>
      <c r="G2433" s="7" t="str">
        <f>LOOKUP(H2433,[1]startdates!$A$2:$A$10,[1]startdates!$B$2:$B$10)</f>
        <v>C</v>
      </c>
      <c r="H2433">
        <v>3</v>
      </c>
      <c r="I2433" s="7">
        <v>590.79999999999995</v>
      </c>
      <c r="M2433" s="7">
        <v>359.5</v>
      </c>
      <c r="N2433" s="7">
        <v>291.60000000000002</v>
      </c>
      <c r="O2433" s="7">
        <v>148.9</v>
      </c>
    </row>
    <row r="2434" spans="1:19" x14ac:dyDescent="0.2">
      <c r="A2434">
        <v>2433</v>
      </c>
      <c r="B2434" s="1">
        <v>40785</v>
      </c>
      <c r="C2434" t="s">
        <v>28</v>
      </c>
      <c r="D2434" s="7">
        <v>48</v>
      </c>
      <c r="E2434" s="7">
        <v>8</v>
      </c>
      <c r="F2434" s="7">
        <f t="shared" si="38"/>
        <v>3</v>
      </c>
      <c r="G2434" s="7" t="str">
        <f>LOOKUP(H2434,[1]startdates!$A$2:$A$10,[1]startdates!$B$2:$B$10)</f>
        <v>C</v>
      </c>
      <c r="H2434">
        <v>3</v>
      </c>
      <c r="I2434" s="7">
        <v>591.70000000000005</v>
      </c>
      <c r="M2434" s="7">
        <v>364.6</v>
      </c>
      <c r="N2434" s="7">
        <v>230.5</v>
      </c>
      <c r="O2434" s="7">
        <v>170</v>
      </c>
    </row>
    <row r="2435" spans="1:19" x14ac:dyDescent="0.2">
      <c r="A2435">
        <v>2434</v>
      </c>
      <c r="B2435" s="1">
        <v>40785</v>
      </c>
      <c r="C2435" t="s">
        <v>28</v>
      </c>
      <c r="D2435" s="7">
        <v>48</v>
      </c>
      <c r="E2435" s="7">
        <v>8</v>
      </c>
      <c r="F2435" s="7">
        <f t="shared" si="38"/>
        <v>3</v>
      </c>
      <c r="G2435" s="7" t="str">
        <f>LOOKUP(H2435,[1]startdates!$A$2:$A$10,[1]startdates!$B$2:$B$10)</f>
        <v>C</v>
      </c>
      <c r="H2435">
        <v>3</v>
      </c>
      <c r="I2435" s="7">
        <v>523.29999999999995</v>
      </c>
      <c r="M2435" s="7">
        <v>335.8</v>
      </c>
      <c r="O2435" s="7">
        <v>177.3</v>
      </c>
    </row>
    <row r="2436" spans="1:19" x14ac:dyDescent="0.2">
      <c r="A2436">
        <v>2435</v>
      </c>
      <c r="B2436" s="1">
        <v>40785</v>
      </c>
      <c r="C2436" t="s">
        <v>28</v>
      </c>
      <c r="D2436" s="7">
        <v>48</v>
      </c>
      <c r="E2436" s="7">
        <v>8</v>
      </c>
      <c r="F2436" s="7">
        <f t="shared" si="38"/>
        <v>3</v>
      </c>
      <c r="G2436" s="7" t="str">
        <f>LOOKUP(H2436,[1]startdates!$A$2:$A$10,[1]startdates!$B$2:$B$10)</f>
        <v>C</v>
      </c>
      <c r="H2436">
        <v>3</v>
      </c>
      <c r="M2436" s="7">
        <v>369.1</v>
      </c>
      <c r="O2436" s="7">
        <v>163.5</v>
      </c>
    </row>
    <row r="2437" spans="1:19" x14ac:dyDescent="0.2">
      <c r="A2437">
        <v>2436</v>
      </c>
      <c r="B2437" s="1">
        <v>40785</v>
      </c>
      <c r="C2437" t="s">
        <v>28</v>
      </c>
      <c r="D2437" s="7">
        <v>48</v>
      </c>
      <c r="E2437" s="7">
        <v>8</v>
      </c>
      <c r="F2437" s="7">
        <f t="shared" si="38"/>
        <v>3</v>
      </c>
      <c r="G2437" s="7" t="str">
        <f>LOOKUP(H2437,[1]startdates!$A$2:$A$10,[1]startdates!$B$2:$B$10)</f>
        <v>C</v>
      </c>
      <c r="H2437">
        <v>3</v>
      </c>
      <c r="O2437" s="7">
        <v>167.9</v>
      </c>
    </row>
    <row r="2438" spans="1:19" x14ac:dyDescent="0.2">
      <c r="A2438">
        <v>2437</v>
      </c>
      <c r="B2438" s="1">
        <v>40785</v>
      </c>
      <c r="C2438" t="s">
        <v>28</v>
      </c>
      <c r="D2438" s="7">
        <v>48</v>
      </c>
      <c r="E2438" s="7">
        <v>8</v>
      </c>
      <c r="F2438" s="7">
        <f t="shared" si="38"/>
        <v>3</v>
      </c>
      <c r="G2438" s="7" t="str">
        <f>LOOKUP(H2438,[1]startdates!$A$2:$A$10,[1]startdates!$B$2:$B$10)</f>
        <v>C</v>
      </c>
      <c r="H2438">
        <v>3</v>
      </c>
      <c r="O2438" s="7">
        <v>161.69999999999999</v>
      </c>
    </row>
    <row r="2439" spans="1:19" x14ac:dyDescent="0.2">
      <c r="A2439">
        <v>2438</v>
      </c>
      <c r="B2439" s="1">
        <v>40785</v>
      </c>
      <c r="C2439" t="s">
        <v>28</v>
      </c>
      <c r="D2439" s="7">
        <v>48</v>
      </c>
      <c r="E2439" s="7">
        <v>8</v>
      </c>
      <c r="F2439" s="7">
        <f t="shared" si="38"/>
        <v>3</v>
      </c>
      <c r="G2439" s="7" t="str">
        <f>LOOKUP(H2439,[1]startdates!$A$2:$A$10,[1]startdates!$B$2:$B$10)</f>
        <v>SMr</v>
      </c>
      <c r="H2439">
        <v>4</v>
      </c>
      <c r="I2439" s="7">
        <v>673</v>
      </c>
      <c r="J2439" s="7">
        <v>580.6</v>
      </c>
      <c r="K2439" s="7">
        <v>500.8</v>
      </c>
      <c r="L2439" s="7">
        <v>434</v>
      </c>
      <c r="M2439" s="7">
        <v>396.5</v>
      </c>
      <c r="N2439" s="7">
        <v>176.7</v>
      </c>
      <c r="O2439" s="7">
        <v>170.8</v>
      </c>
      <c r="P2439" s="7">
        <v>482.4</v>
      </c>
      <c r="Q2439" s="7">
        <v>314.60000000000002</v>
      </c>
      <c r="R2439" s="7">
        <v>256.5</v>
      </c>
      <c r="S2439" s="7">
        <v>255.3</v>
      </c>
    </row>
    <row r="2440" spans="1:19" x14ac:dyDescent="0.2">
      <c r="A2440">
        <v>2439</v>
      </c>
      <c r="B2440" s="1">
        <v>40785</v>
      </c>
      <c r="C2440" t="s">
        <v>28</v>
      </c>
      <c r="D2440" s="7">
        <v>48</v>
      </c>
      <c r="E2440" s="7">
        <v>8</v>
      </c>
      <c r="F2440" s="7">
        <f t="shared" si="38"/>
        <v>3</v>
      </c>
      <c r="G2440" s="7" t="str">
        <f>LOOKUP(H2440,[1]startdates!$A$2:$A$10,[1]startdates!$B$2:$B$10)</f>
        <v>SMr</v>
      </c>
      <c r="H2440">
        <v>4</v>
      </c>
      <c r="I2440" s="7">
        <v>726.6</v>
      </c>
      <c r="K2440" s="7">
        <v>559.29999999999995</v>
      </c>
      <c r="L2440" s="7">
        <v>422</v>
      </c>
      <c r="M2440" s="7">
        <v>335.9</v>
      </c>
      <c r="N2440" s="7">
        <v>214.4</v>
      </c>
      <c r="O2440" s="7">
        <v>182.3</v>
      </c>
      <c r="P2440" s="7">
        <v>449.7</v>
      </c>
      <c r="Q2440" s="7">
        <v>354.2</v>
      </c>
      <c r="R2440" s="7">
        <v>308.39999999999998</v>
      </c>
    </row>
    <row r="2441" spans="1:19" x14ac:dyDescent="0.2">
      <c r="A2441">
        <v>2440</v>
      </c>
      <c r="B2441" s="1">
        <v>40785</v>
      </c>
      <c r="C2441" t="s">
        <v>28</v>
      </c>
      <c r="D2441" s="7">
        <v>48</v>
      </c>
      <c r="E2441" s="7">
        <v>8</v>
      </c>
      <c r="F2441" s="7">
        <f t="shared" si="38"/>
        <v>3</v>
      </c>
      <c r="G2441" s="7" t="str">
        <f>LOOKUP(H2441,[1]startdates!$A$2:$A$10,[1]startdates!$B$2:$B$10)</f>
        <v>SMr</v>
      </c>
      <c r="H2441">
        <v>4</v>
      </c>
      <c r="I2441" s="7">
        <v>605.4</v>
      </c>
      <c r="K2441" s="7">
        <v>504.7</v>
      </c>
      <c r="L2441" s="7">
        <v>412.7</v>
      </c>
      <c r="M2441" s="7">
        <v>302.3</v>
      </c>
      <c r="N2441" s="7">
        <v>259.39999999999998</v>
      </c>
      <c r="O2441" s="7">
        <v>184.2</v>
      </c>
      <c r="Q2441" s="7">
        <v>376.2</v>
      </c>
      <c r="R2441" s="7">
        <v>306.39999999999998</v>
      </c>
    </row>
    <row r="2442" spans="1:19" x14ac:dyDescent="0.2">
      <c r="A2442">
        <v>2441</v>
      </c>
      <c r="B2442" s="1">
        <v>40785</v>
      </c>
      <c r="C2442" t="s">
        <v>28</v>
      </c>
      <c r="D2442" s="7">
        <v>48</v>
      </c>
      <c r="E2442" s="7">
        <v>8</v>
      </c>
      <c r="F2442" s="7">
        <f t="shared" si="38"/>
        <v>3</v>
      </c>
      <c r="G2442" s="7" t="str">
        <f>LOOKUP(H2442,[1]startdates!$A$2:$A$10,[1]startdates!$B$2:$B$10)</f>
        <v>SMr</v>
      </c>
      <c r="H2442">
        <v>4</v>
      </c>
      <c r="I2442" s="7">
        <v>751.6</v>
      </c>
      <c r="K2442" s="7">
        <v>525.29999999999995</v>
      </c>
      <c r="L2442" s="7">
        <v>487.8</v>
      </c>
      <c r="M2442" s="7">
        <v>349.9</v>
      </c>
      <c r="N2442" s="7">
        <v>189.3</v>
      </c>
      <c r="O2442" s="7">
        <v>168.1</v>
      </c>
    </row>
    <row r="2443" spans="1:19" x14ac:dyDescent="0.2">
      <c r="A2443">
        <v>2442</v>
      </c>
      <c r="B2443" s="1">
        <v>40785</v>
      </c>
      <c r="C2443" t="s">
        <v>28</v>
      </c>
      <c r="D2443" s="7">
        <v>48</v>
      </c>
      <c r="E2443" s="7">
        <v>8</v>
      </c>
      <c r="F2443" s="7">
        <f t="shared" si="38"/>
        <v>3</v>
      </c>
      <c r="G2443" s="7" t="str">
        <f>LOOKUP(H2443,[1]startdates!$A$2:$A$10,[1]startdates!$B$2:$B$10)</f>
        <v>SMr</v>
      </c>
      <c r="H2443">
        <v>4</v>
      </c>
      <c r="I2443" s="7">
        <v>685.8</v>
      </c>
      <c r="K2443" s="7">
        <v>584.5</v>
      </c>
      <c r="M2443" s="7">
        <v>363.3</v>
      </c>
      <c r="N2443" s="7">
        <v>182.9</v>
      </c>
      <c r="O2443" s="7">
        <v>163.5</v>
      </c>
    </row>
    <row r="2444" spans="1:19" x14ac:dyDescent="0.2">
      <c r="A2444">
        <v>2443</v>
      </c>
      <c r="B2444" s="1">
        <v>40785</v>
      </c>
      <c r="C2444" t="s">
        <v>28</v>
      </c>
      <c r="D2444" s="7">
        <v>48</v>
      </c>
      <c r="E2444" s="7">
        <v>8</v>
      </c>
      <c r="F2444" s="7">
        <f t="shared" si="38"/>
        <v>3</v>
      </c>
      <c r="G2444" s="7" t="str">
        <f>LOOKUP(H2444,[1]startdates!$A$2:$A$10,[1]startdates!$B$2:$B$10)</f>
        <v>SMr</v>
      </c>
      <c r="H2444">
        <v>4</v>
      </c>
      <c r="I2444" s="7">
        <v>708.3</v>
      </c>
      <c r="M2444" s="7">
        <v>361.5</v>
      </c>
      <c r="N2444" s="7">
        <v>207.5</v>
      </c>
      <c r="O2444" s="7">
        <v>188.7</v>
      </c>
    </row>
    <row r="2445" spans="1:19" x14ac:dyDescent="0.2">
      <c r="A2445">
        <v>2444</v>
      </c>
      <c r="B2445" s="1">
        <v>40785</v>
      </c>
      <c r="C2445" t="s">
        <v>28</v>
      </c>
      <c r="D2445" s="7">
        <v>48</v>
      </c>
      <c r="E2445" s="7">
        <v>8</v>
      </c>
      <c r="F2445" s="7">
        <f t="shared" si="38"/>
        <v>3</v>
      </c>
      <c r="G2445" s="7" t="str">
        <f>LOOKUP(H2445,[1]startdates!$A$2:$A$10,[1]startdates!$B$2:$B$10)</f>
        <v>SMr</v>
      </c>
      <c r="H2445">
        <v>4</v>
      </c>
      <c r="I2445" s="7">
        <v>633.4</v>
      </c>
      <c r="M2445" s="7">
        <v>309.60000000000002</v>
      </c>
      <c r="N2445" s="7">
        <v>241.5</v>
      </c>
      <c r="O2445" s="7">
        <v>181.9</v>
      </c>
    </row>
    <row r="2446" spans="1:19" x14ac:dyDescent="0.2">
      <c r="A2446">
        <v>2445</v>
      </c>
      <c r="B2446" s="1">
        <v>40785</v>
      </c>
      <c r="C2446" t="s">
        <v>28</v>
      </c>
      <c r="D2446" s="7">
        <v>48</v>
      </c>
      <c r="E2446" s="7">
        <v>8</v>
      </c>
      <c r="F2446" s="7">
        <f t="shared" si="38"/>
        <v>3</v>
      </c>
      <c r="G2446" s="7" t="str">
        <f>LOOKUP(H2446,[1]startdates!$A$2:$A$10,[1]startdates!$B$2:$B$10)</f>
        <v>SMr</v>
      </c>
      <c r="H2446">
        <v>4</v>
      </c>
      <c r="I2446" s="7">
        <v>546.70000000000005</v>
      </c>
      <c r="M2446" s="7">
        <v>384.7</v>
      </c>
      <c r="N2446" s="7">
        <v>229.3</v>
      </c>
      <c r="O2446" s="7">
        <v>184.1</v>
      </c>
    </row>
    <row r="2447" spans="1:19" x14ac:dyDescent="0.2">
      <c r="A2447">
        <v>2446</v>
      </c>
      <c r="B2447" s="1">
        <v>40785</v>
      </c>
      <c r="C2447" t="s">
        <v>28</v>
      </c>
      <c r="D2447" s="7">
        <v>48</v>
      </c>
      <c r="E2447" s="7">
        <v>8</v>
      </c>
      <c r="F2447" s="7">
        <f t="shared" si="38"/>
        <v>3</v>
      </c>
      <c r="G2447" s="7" t="str">
        <f>LOOKUP(H2447,[1]startdates!$A$2:$A$10,[1]startdates!$B$2:$B$10)</f>
        <v>SMr</v>
      </c>
      <c r="H2447">
        <v>4</v>
      </c>
      <c r="N2447" s="7">
        <v>210.9</v>
      </c>
      <c r="O2447" s="7">
        <v>168.1</v>
      </c>
    </row>
    <row r="2448" spans="1:19" x14ac:dyDescent="0.2">
      <c r="A2448">
        <v>2447</v>
      </c>
      <c r="B2448" s="1">
        <v>40785</v>
      </c>
      <c r="C2448" t="s">
        <v>28</v>
      </c>
      <c r="D2448" s="7">
        <v>48</v>
      </c>
      <c r="E2448" s="7">
        <v>8</v>
      </c>
      <c r="F2448" s="7">
        <f t="shared" si="38"/>
        <v>3</v>
      </c>
      <c r="G2448" s="7" t="str">
        <f>LOOKUP(H2448,[1]startdates!$A$2:$A$10,[1]startdates!$B$2:$B$10)</f>
        <v>SMr</v>
      </c>
      <c r="H2448">
        <v>4</v>
      </c>
      <c r="N2448" s="7">
        <v>231.1</v>
      </c>
      <c r="O2448" s="7">
        <v>170</v>
      </c>
    </row>
    <row r="2449" spans="1:18" x14ac:dyDescent="0.2">
      <c r="A2449">
        <v>2448</v>
      </c>
      <c r="B2449" s="1">
        <v>40785</v>
      </c>
      <c r="C2449" t="s">
        <v>28</v>
      </c>
      <c r="D2449" s="7">
        <v>48</v>
      </c>
      <c r="E2449" s="7">
        <v>8</v>
      </c>
      <c r="F2449" s="7">
        <f t="shared" si="38"/>
        <v>3</v>
      </c>
      <c r="G2449" s="7" t="str">
        <f>LOOKUP(H2449,[1]startdates!$A$2:$A$10,[1]startdates!$B$2:$B$10)</f>
        <v>SMr</v>
      </c>
      <c r="H2449">
        <v>4</v>
      </c>
      <c r="N2449" s="7">
        <v>279.89999999999998</v>
      </c>
    </row>
    <row r="2450" spans="1:18" x14ac:dyDescent="0.2">
      <c r="A2450">
        <v>2449</v>
      </c>
      <c r="B2450" s="1">
        <v>40785</v>
      </c>
      <c r="C2450" t="s">
        <v>28</v>
      </c>
      <c r="D2450" s="7">
        <v>48</v>
      </c>
      <c r="E2450" s="7">
        <v>8</v>
      </c>
      <c r="F2450" s="7">
        <f t="shared" si="38"/>
        <v>3</v>
      </c>
      <c r="G2450" s="7" t="str">
        <f>LOOKUP(H2450,[1]startdates!$A$2:$A$10,[1]startdates!$B$2:$B$10)</f>
        <v>SMr</v>
      </c>
      <c r="H2450">
        <v>4</v>
      </c>
      <c r="N2450" s="7">
        <v>208.5</v>
      </c>
    </row>
    <row r="2451" spans="1:18" x14ac:dyDescent="0.2">
      <c r="A2451">
        <v>2450</v>
      </c>
      <c r="B2451" s="1">
        <v>40785</v>
      </c>
      <c r="C2451" t="s">
        <v>24</v>
      </c>
      <c r="D2451" s="7">
        <v>48</v>
      </c>
      <c r="E2451" s="7">
        <v>8</v>
      </c>
      <c r="F2451" s="7">
        <f t="shared" si="38"/>
        <v>3</v>
      </c>
      <c r="G2451" s="7" t="str">
        <f>LOOKUP(H2451,[1]startdates!$A$2:$A$10,[1]startdates!$B$2:$B$10)</f>
        <v>C</v>
      </c>
      <c r="H2451">
        <v>5</v>
      </c>
      <c r="I2451" s="7">
        <v>792</v>
      </c>
      <c r="J2451" s="7">
        <v>556.6</v>
      </c>
      <c r="K2451" s="7">
        <v>500.6</v>
      </c>
      <c r="L2451" s="7">
        <v>482.7</v>
      </c>
      <c r="M2451" s="7">
        <v>327.2</v>
      </c>
      <c r="N2451" s="7">
        <v>263.10000000000002</v>
      </c>
      <c r="O2451" s="7">
        <v>160.4</v>
      </c>
      <c r="P2451" s="7">
        <v>494.7</v>
      </c>
      <c r="R2451" s="7">
        <v>284.5</v>
      </c>
    </row>
    <row r="2452" spans="1:18" x14ac:dyDescent="0.2">
      <c r="A2452">
        <v>2451</v>
      </c>
      <c r="B2452" s="1">
        <v>40785</v>
      </c>
      <c r="C2452" t="s">
        <v>24</v>
      </c>
      <c r="D2452" s="7">
        <v>48</v>
      </c>
      <c r="E2452" s="7">
        <v>8</v>
      </c>
      <c r="F2452" s="7">
        <f t="shared" si="38"/>
        <v>3</v>
      </c>
      <c r="G2452" s="7" t="str">
        <f>LOOKUP(H2452,[1]startdates!$A$2:$A$10,[1]startdates!$B$2:$B$10)</f>
        <v>C</v>
      </c>
      <c r="H2452">
        <v>5</v>
      </c>
      <c r="I2452" s="7">
        <v>625.70000000000005</v>
      </c>
      <c r="K2452" s="7">
        <v>511.8</v>
      </c>
      <c r="L2452" s="7">
        <v>459</v>
      </c>
      <c r="M2452" s="7">
        <v>349.1</v>
      </c>
      <c r="N2452" s="7">
        <v>201</v>
      </c>
      <c r="O2452" s="7">
        <v>130.19999999999999</v>
      </c>
      <c r="P2452" s="7">
        <v>461.2</v>
      </c>
    </row>
    <row r="2453" spans="1:18" x14ac:dyDescent="0.2">
      <c r="A2453">
        <v>2452</v>
      </c>
      <c r="B2453" s="1">
        <v>40785</v>
      </c>
      <c r="C2453" t="s">
        <v>24</v>
      </c>
      <c r="D2453" s="7">
        <v>48</v>
      </c>
      <c r="E2453" s="7">
        <v>8</v>
      </c>
      <c r="F2453" s="7">
        <f t="shared" si="38"/>
        <v>3</v>
      </c>
      <c r="G2453" s="7" t="str">
        <f>LOOKUP(H2453,[1]startdates!$A$2:$A$10,[1]startdates!$B$2:$B$10)</f>
        <v>C</v>
      </c>
      <c r="H2453">
        <v>5</v>
      </c>
      <c r="I2453" s="7">
        <v>789.5</v>
      </c>
      <c r="K2453" s="7">
        <v>601.9</v>
      </c>
      <c r="L2453" s="7">
        <v>426.6</v>
      </c>
      <c r="M2453" s="7">
        <v>362.6</v>
      </c>
      <c r="N2453" s="7">
        <v>235.9</v>
      </c>
      <c r="O2453" s="7">
        <v>164.4</v>
      </c>
      <c r="P2453" s="7">
        <v>502</v>
      </c>
    </row>
    <row r="2454" spans="1:18" x14ac:dyDescent="0.2">
      <c r="A2454">
        <v>2453</v>
      </c>
      <c r="B2454" s="1">
        <v>40785</v>
      </c>
      <c r="C2454" t="s">
        <v>24</v>
      </c>
      <c r="D2454" s="7">
        <v>48</v>
      </c>
      <c r="E2454" s="7">
        <v>8</v>
      </c>
      <c r="F2454" s="7">
        <f t="shared" si="38"/>
        <v>3</v>
      </c>
      <c r="G2454" s="7" t="str">
        <f>LOOKUP(H2454,[1]startdates!$A$2:$A$10,[1]startdates!$B$2:$B$10)</f>
        <v>C</v>
      </c>
      <c r="H2454">
        <v>5</v>
      </c>
      <c r="I2454" s="7">
        <v>623.9</v>
      </c>
      <c r="K2454" s="7">
        <v>598.70000000000005</v>
      </c>
      <c r="L2454" s="7">
        <v>586.20000000000005</v>
      </c>
      <c r="M2454" s="7">
        <v>278.60000000000002</v>
      </c>
      <c r="N2454" s="7">
        <v>242</v>
      </c>
      <c r="O2454" s="7">
        <v>159.30000000000001</v>
      </c>
    </row>
    <row r="2455" spans="1:18" x14ac:dyDescent="0.2">
      <c r="A2455">
        <v>2454</v>
      </c>
      <c r="B2455" s="1">
        <v>40785</v>
      </c>
      <c r="C2455" t="s">
        <v>24</v>
      </c>
      <c r="D2455" s="7">
        <v>48</v>
      </c>
      <c r="E2455" s="7">
        <v>8</v>
      </c>
      <c r="F2455" s="7">
        <f t="shared" si="38"/>
        <v>3</v>
      </c>
      <c r="G2455" s="7" t="str">
        <f>LOOKUP(H2455,[1]startdates!$A$2:$A$10,[1]startdates!$B$2:$B$10)</f>
        <v>C</v>
      </c>
      <c r="H2455">
        <v>5</v>
      </c>
      <c r="I2455" s="7">
        <v>700.5</v>
      </c>
      <c r="K2455" s="7">
        <v>519.29999999999995</v>
      </c>
      <c r="M2455" s="7">
        <v>268</v>
      </c>
      <c r="N2455" s="7">
        <v>197.9</v>
      </c>
      <c r="O2455" s="7">
        <v>173.8</v>
      </c>
    </row>
    <row r="2456" spans="1:18" x14ac:dyDescent="0.2">
      <c r="A2456">
        <v>2455</v>
      </c>
      <c r="B2456" s="1">
        <v>40785</v>
      </c>
      <c r="C2456" t="s">
        <v>24</v>
      </c>
      <c r="D2456" s="7">
        <v>48</v>
      </c>
      <c r="E2456" s="7">
        <v>8</v>
      </c>
      <c r="F2456" s="7">
        <f t="shared" si="38"/>
        <v>3</v>
      </c>
      <c r="G2456" s="7" t="str">
        <f>LOOKUP(H2456,[1]startdates!$A$2:$A$10,[1]startdates!$B$2:$B$10)</f>
        <v>C</v>
      </c>
      <c r="H2456">
        <v>5</v>
      </c>
      <c r="I2456" s="7">
        <v>654</v>
      </c>
      <c r="K2456" s="7">
        <v>690.5</v>
      </c>
      <c r="M2456" s="7">
        <v>259.5</v>
      </c>
      <c r="N2456" s="7">
        <v>264.5</v>
      </c>
      <c r="O2456" s="7">
        <v>179.2</v>
      </c>
    </row>
    <row r="2457" spans="1:18" x14ac:dyDescent="0.2">
      <c r="A2457">
        <v>2456</v>
      </c>
      <c r="B2457" s="1">
        <v>40785</v>
      </c>
      <c r="C2457" t="s">
        <v>24</v>
      </c>
      <c r="D2457" s="7">
        <v>48</v>
      </c>
      <c r="E2457" s="7">
        <v>8</v>
      </c>
      <c r="F2457" s="7">
        <f t="shared" si="38"/>
        <v>3</v>
      </c>
      <c r="G2457" s="7" t="str">
        <f>LOOKUP(H2457,[1]startdates!$A$2:$A$10,[1]startdates!$B$2:$B$10)</f>
        <v>C</v>
      </c>
      <c r="H2457">
        <v>5</v>
      </c>
      <c r="I2457" s="7">
        <v>794.5</v>
      </c>
      <c r="K2457" s="7">
        <v>442.4</v>
      </c>
      <c r="N2457" s="7">
        <v>238.1</v>
      </c>
      <c r="O2457" s="7">
        <v>177.3</v>
      </c>
    </row>
    <row r="2458" spans="1:18" x14ac:dyDescent="0.2">
      <c r="A2458">
        <v>2457</v>
      </c>
      <c r="B2458" s="1">
        <v>40785</v>
      </c>
      <c r="C2458" t="s">
        <v>24</v>
      </c>
      <c r="D2458" s="7">
        <v>48</v>
      </c>
      <c r="E2458" s="7">
        <v>8</v>
      </c>
      <c r="F2458" s="7">
        <f t="shared" si="38"/>
        <v>3</v>
      </c>
      <c r="G2458" s="7" t="str">
        <f>LOOKUP(H2458,[1]startdates!$A$2:$A$10,[1]startdates!$B$2:$B$10)</f>
        <v>C</v>
      </c>
      <c r="H2458">
        <v>5</v>
      </c>
      <c r="I2458" s="7">
        <v>633.6</v>
      </c>
      <c r="K2458" s="7">
        <v>497.6</v>
      </c>
      <c r="N2458" s="7">
        <v>240.8</v>
      </c>
      <c r="O2458" s="7">
        <v>165</v>
      </c>
    </row>
    <row r="2459" spans="1:18" x14ac:dyDescent="0.2">
      <c r="A2459">
        <v>2458</v>
      </c>
      <c r="B2459" s="1">
        <v>40785</v>
      </c>
      <c r="C2459" t="s">
        <v>24</v>
      </c>
      <c r="D2459" s="7">
        <v>48</v>
      </c>
      <c r="E2459" s="7">
        <v>8</v>
      </c>
      <c r="F2459" s="7">
        <f t="shared" si="38"/>
        <v>3</v>
      </c>
      <c r="G2459" s="7" t="str">
        <f>LOOKUP(H2459,[1]startdates!$A$2:$A$10,[1]startdates!$B$2:$B$10)</f>
        <v>C</v>
      </c>
      <c r="H2459">
        <v>5</v>
      </c>
      <c r="I2459" s="7">
        <v>728.4</v>
      </c>
      <c r="N2459" s="7">
        <v>206.7</v>
      </c>
      <c r="O2459" s="7">
        <v>162</v>
      </c>
    </row>
    <row r="2460" spans="1:18" x14ac:dyDescent="0.2">
      <c r="A2460">
        <v>2459</v>
      </c>
      <c r="B2460" s="1">
        <v>40785</v>
      </c>
      <c r="C2460" t="s">
        <v>24</v>
      </c>
      <c r="D2460" s="7">
        <v>48</v>
      </c>
      <c r="E2460" s="7">
        <v>8</v>
      </c>
      <c r="F2460" s="7">
        <f t="shared" si="38"/>
        <v>3</v>
      </c>
      <c r="G2460" s="7" t="str">
        <f>LOOKUP(H2460,[1]startdates!$A$2:$A$10,[1]startdates!$B$2:$B$10)</f>
        <v>C</v>
      </c>
      <c r="H2460">
        <v>5</v>
      </c>
      <c r="N2460" s="7">
        <v>212.2</v>
      </c>
      <c r="O2460" s="7">
        <v>158.6</v>
      </c>
    </row>
    <row r="2461" spans="1:18" x14ac:dyDescent="0.2">
      <c r="A2461">
        <v>2460</v>
      </c>
      <c r="B2461" s="1">
        <v>40785</v>
      </c>
      <c r="C2461" t="s">
        <v>24</v>
      </c>
      <c r="D2461" s="7">
        <v>48</v>
      </c>
      <c r="E2461" s="7">
        <v>8</v>
      </c>
      <c r="F2461" s="7">
        <f t="shared" si="38"/>
        <v>3</v>
      </c>
      <c r="G2461" s="7" t="str">
        <f>LOOKUP(H2461,[1]startdates!$A$2:$A$10,[1]startdates!$B$2:$B$10)</f>
        <v>C</v>
      </c>
      <c r="H2461">
        <v>5</v>
      </c>
      <c r="N2461" s="7">
        <v>230.2</v>
      </c>
      <c r="O2461" s="7">
        <v>179.8</v>
      </c>
    </row>
    <row r="2462" spans="1:18" x14ac:dyDescent="0.2">
      <c r="A2462">
        <v>2461</v>
      </c>
      <c r="B2462" s="1">
        <v>40785</v>
      </c>
      <c r="C2462" t="s">
        <v>24</v>
      </c>
      <c r="D2462" s="7">
        <v>48</v>
      </c>
      <c r="E2462" s="7">
        <v>8</v>
      </c>
      <c r="F2462" s="7">
        <f t="shared" si="38"/>
        <v>3</v>
      </c>
      <c r="G2462" s="7" t="str">
        <f>LOOKUP(H2462,[1]startdates!$A$2:$A$10,[1]startdates!$B$2:$B$10)</f>
        <v>C</v>
      </c>
      <c r="H2462">
        <v>5</v>
      </c>
      <c r="N2462" s="7">
        <v>241.5</v>
      </c>
      <c r="O2462" s="7">
        <v>161.69999999999999</v>
      </c>
    </row>
    <row r="2463" spans="1:18" x14ac:dyDescent="0.2">
      <c r="A2463">
        <v>2462</v>
      </c>
      <c r="B2463" s="1">
        <v>40785</v>
      </c>
      <c r="C2463" t="s">
        <v>24</v>
      </c>
      <c r="D2463" s="7">
        <v>48</v>
      </c>
      <c r="E2463" s="7">
        <v>8</v>
      </c>
      <c r="F2463" s="7">
        <f t="shared" si="38"/>
        <v>3</v>
      </c>
      <c r="G2463" s="7" t="str">
        <f>LOOKUP(H2463,[1]startdates!$A$2:$A$10,[1]startdates!$B$2:$B$10)</f>
        <v>C</v>
      </c>
      <c r="H2463">
        <v>5</v>
      </c>
      <c r="N2463" s="7">
        <v>223.3</v>
      </c>
    </row>
    <row r="2464" spans="1:18" x14ac:dyDescent="0.2">
      <c r="A2464">
        <v>2463</v>
      </c>
      <c r="B2464" s="1">
        <v>40785</v>
      </c>
      <c r="C2464" t="s">
        <v>24</v>
      </c>
      <c r="D2464" s="7">
        <v>48</v>
      </c>
      <c r="E2464" s="7">
        <v>8</v>
      </c>
      <c r="F2464" s="7">
        <f t="shared" si="38"/>
        <v>3</v>
      </c>
      <c r="G2464" s="7" t="str">
        <f>LOOKUP(H2464,[1]startdates!$A$2:$A$10,[1]startdates!$B$2:$B$10)</f>
        <v>FMr</v>
      </c>
      <c r="H2464">
        <v>6</v>
      </c>
      <c r="I2464" s="7">
        <v>656.2</v>
      </c>
      <c r="K2464" s="7">
        <v>598.6</v>
      </c>
      <c r="L2464" s="7">
        <v>468.5</v>
      </c>
      <c r="M2464" s="7">
        <v>360.1</v>
      </c>
      <c r="N2464" s="7">
        <v>203.1</v>
      </c>
      <c r="O2464" s="7">
        <v>169.6</v>
      </c>
      <c r="Q2464" s="7">
        <v>324.2</v>
      </c>
      <c r="R2464" s="7">
        <v>266</v>
      </c>
    </row>
    <row r="2465" spans="1:19" x14ac:dyDescent="0.2">
      <c r="A2465">
        <v>2464</v>
      </c>
      <c r="B2465" s="1">
        <v>40785</v>
      </c>
      <c r="C2465" t="s">
        <v>24</v>
      </c>
      <c r="D2465" s="7">
        <v>48</v>
      </c>
      <c r="E2465" s="7">
        <v>8</v>
      </c>
      <c r="F2465" s="7">
        <f t="shared" si="38"/>
        <v>3</v>
      </c>
      <c r="G2465" s="7" t="str">
        <f>LOOKUP(H2465,[1]startdates!$A$2:$A$10,[1]startdates!$B$2:$B$10)</f>
        <v>FMr</v>
      </c>
      <c r="H2465">
        <v>6</v>
      </c>
      <c r="I2465" s="7">
        <v>715.9</v>
      </c>
      <c r="K2465" s="7">
        <v>526</v>
      </c>
      <c r="L2465" s="7">
        <v>457.6</v>
      </c>
      <c r="M2465" s="7">
        <v>328.8</v>
      </c>
      <c r="N2465" s="7">
        <v>223.9</v>
      </c>
      <c r="O2465" s="7">
        <v>176.8</v>
      </c>
      <c r="Q2465" s="7">
        <v>416.8</v>
      </c>
    </row>
    <row r="2466" spans="1:19" x14ac:dyDescent="0.2">
      <c r="A2466">
        <v>2465</v>
      </c>
      <c r="B2466" s="1">
        <v>40785</v>
      </c>
      <c r="C2466" t="s">
        <v>24</v>
      </c>
      <c r="D2466" s="7">
        <v>48</v>
      </c>
      <c r="E2466" s="7">
        <v>8</v>
      </c>
      <c r="F2466" s="7">
        <f t="shared" si="38"/>
        <v>3</v>
      </c>
      <c r="G2466" s="7" t="str">
        <f>LOOKUP(H2466,[1]startdates!$A$2:$A$10,[1]startdates!$B$2:$B$10)</f>
        <v>FMr</v>
      </c>
      <c r="H2466">
        <v>6</v>
      </c>
      <c r="I2466" s="7">
        <v>749.6</v>
      </c>
      <c r="K2466" s="7">
        <v>624.5</v>
      </c>
      <c r="M2466" s="7">
        <v>303</v>
      </c>
      <c r="N2466" s="7">
        <v>200.6</v>
      </c>
      <c r="O2466" s="7">
        <v>211.7</v>
      </c>
      <c r="Q2466" s="7">
        <v>373.7</v>
      </c>
    </row>
    <row r="2467" spans="1:19" x14ac:dyDescent="0.2">
      <c r="A2467">
        <v>2466</v>
      </c>
      <c r="B2467" s="1">
        <v>40785</v>
      </c>
      <c r="C2467" t="s">
        <v>24</v>
      </c>
      <c r="D2467" s="7">
        <v>48</v>
      </c>
      <c r="E2467" s="7">
        <v>8</v>
      </c>
      <c r="F2467" s="7">
        <f t="shared" si="38"/>
        <v>3</v>
      </c>
      <c r="G2467" s="7" t="str">
        <f>LOOKUP(H2467,[1]startdates!$A$2:$A$10,[1]startdates!$B$2:$B$10)</f>
        <v>FMr</v>
      </c>
      <c r="H2467">
        <v>6</v>
      </c>
      <c r="I2467" s="7">
        <v>684.1</v>
      </c>
      <c r="K2467" s="7">
        <v>562.6</v>
      </c>
      <c r="M2467" s="7">
        <v>295.5</v>
      </c>
      <c r="N2467" s="7">
        <v>230.7</v>
      </c>
      <c r="O2467" s="7">
        <v>167</v>
      </c>
    </row>
    <row r="2468" spans="1:19" x14ac:dyDescent="0.2">
      <c r="A2468">
        <v>2467</v>
      </c>
      <c r="B2468" s="1">
        <v>40785</v>
      </c>
      <c r="C2468" t="s">
        <v>24</v>
      </c>
      <c r="D2468" s="7">
        <v>48</v>
      </c>
      <c r="E2468" s="7">
        <v>8</v>
      </c>
      <c r="F2468" s="7">
        <f t="shared" si="38"/>
        <v>3</v>
      </c>
      <c r="G2468" s="7" t="str">
        <f>LOOKUP(H2468,[1]startdates!$A$2:$A$10,[1]startdates!$B$2:$B$10)</f>
        <v>FMr</v>
      </c>
      <c r="H2468">
        <v>6</v>
      </c>
      <c r="I2468" s="7">
        <v>623.29999999999995</v>
      </c>
      <c r="M2468" s="7">
        <v>316.60000000000002</v>
      </c>
      <c r="N2468" s="7">
        <v>207.5</v>
      </c>
      <c r="O2468" s="7">
        <v>171.5</v>
      </c>
    </row>
    <row r="2469" spans="1:19" x14ac:dyDescent="0.2">
      <c r="A2469">
        <v>2468</v>
      </c>
      <c r="B2469" s="1">
        <v>40785</v>
      </c>
      <c r="C2469" t="s">
        <v>24</v>
      </c>
      <c r="D2469" s="7">
        <v>48</v>
      </c>
      <c r="E2469" s="7">
        <v>8</v>
      </c>
      <c r="F2469" s="7">
        <f t="shared" si="38"/>
        <v>3</v>
      </c>
      <c r="G2469" s="7" t="str">
        <f>LOOKUP(H2469,[1]startdates!$A$2:$A$10,[1]startdates!$B$2:$B$10)</f>
        <v>FMr</v>
      </c>
      <c r="H2469">
        <v>6</v>
      </c>
      <c r="I2469" s="7">
        <v>636.20000000000005</v>
      </c>
      <c r="M2469" s="7">
        <v>383.1</v>
      </c>
      <c r="N2469" s="7">
        <v>214.2</v>
      </c>
      <c r="O2469" s="7">
        <v>169.7</v>
      </c>
    </row>
    <row r="2470" spans="1:19" x14ac:dyDescent="0.2">
      <c r="A2470">
        <v>2469</v>
      </c>
      <c r="B2470" s="1">
        <v>40785</v>
      </c>
      <c r="C2470" t="s">
        <v>24</v>
      </c>
      <c r="D2470" s="7">
        <v>48</v>
      </c>
      <c r="E2470" s="7">
        <v>8</v>
      </c>
      <c r="F2470" s="7">
        <f t="shared" si="38"/>
        <v>3</v>
      </c>
      <c r="G2470" s="7" t="str">
        <f>LOOKUP(H2470,[1]startdates!$A$2:$A$10,[1]startdates!$B$2:$B$10)</f>
        <v>FMr</v>
      </c>
      <c r="H2470">
        <v>6</v>
      </c>
      <c r="I2470" s="7">
        <v>600.9</v>
      </c>
      <c r="M2470" s="7">
        <v>343.7</v>
      </c>
      <c r="N2470" s="7">
        <v>228.2</v>
      </c>
      <c r="O2470" s="7">
        <v>194.4</v>
      </c>
    </row>
    <row r="2471" spans="1:19" x14ac:dyDescent="0.2">
      <c r="A2471">
        <v>2470</v>
      </c>
      <c r="B2471" s="1">
        <v>40785</v>
      </c>
      <c r="C2471" t="s">
        <v>24</v>
      </c>
      <c r="D2471" s="7">
        <v>48</v>
      </c>
      <c r="E2471" s="7">
        <v>8</v>
      </c>
      <c r="F2471" s="7">
        <f t="shared" si="38"/>
        <v>3</v>
      </c>
      <c r="G2471" s="7" t="str">
        <f>LOOKUP(H2471,[1]startdates!$A$2:$A$10,[1]startdates!$B$2:$B$10)</f>
        <v>FMr</v>
      </c>
      <c r="H2471">
        <v>6</v>
      </c>
      <c r="M2471" s="7">
        <v>320.3</v>
      </c>
      <c r="N2471" s="7">
        <v>244.5</v>
      </c>
      <c r="O2471" s="7">
        <v>176.8</v>
      </c>
    </row>
    <row r="2472" spans="1:19" x14ac:dyDescent="0.2">
      <c r="A2472">
        <v>2471</v>
      </c>
      <c r="B2472" s="1">
        <v>40785</v>
      </c>
      <c r="C2472" t="s">
        <v>24</v>
      </c>
      <c r="D2472" s="7">
        <v>48</v>
      </c>
      <c r="E2472" s="7">
        <v>8</v>
      </c>
      <c r="F2472" s="7">
        <f t="shared" si="38"/>
        <v>3</v>
      </c>
      <c r="G2472" s="7" t="str">
        <f>LOOKUP(H2472,[1]startdates!$A$2:$A$10,[1]startdates!$B$2:$B$10)</f>
        <v>FMr</v>
      </c>
      <c r="H2472">
        <v>6</v>
      </c>
      <c r="N2472" s="7">
        <v>236.8</v>
      </c>
    </row>
    <row r="2473" spans="1:19" x14ac:dyDescent="0.2">
      <c r="A2473">
        <v>2472</v>
      </c>
      <c r="B2473" s="1">
        <v>40785</v>
      </c>
      <c r="C2473" t="s">
        <v>24</v>
      </c>
      <c r="D2473" s="7">
        <v>48</v>
      </c>
      <c r="E2473" s="7">
        <v>8</v>
      </c>
      <c r="F2473" s="7">
        <f t="shared" ref="F2473:F2536" si="39">WEEKDAY(B2473)</f>
        <v>3</v>
      </c>
      <c r="G2473" s="7" t="str">
        <f>LOOKUP(H2473,[1]startdates!$A$2:$A$10,[1]startdates!$B$2:$B$10)</f>
        <v>FMr</v>
      </c>
      <c r="H2473">
        <v>6</v>
      </c>
      <c r="N2473" s="7">
        <v>209.6</v>
      </c>
    </row>
    <row r="2474" spans="1:19" x14ac:dyDescent="0.2">
      <c r="A2474">
        <v>2473</v>
      </c>
      <c r="B2474" s="1">
        <v>40785</v>
      </c>
      <c r="C2474" t="s">
        <v>24</v>
      </c>
      <c r="D2474" s="7">
        <v>48</v>
      </c>
      <c r="E2474" s="7">
        <v>8</v>
      </c>
      <c r="F2474" s="7">
        <f t="shared" si="39"/>
        <v>3</v>
      </c>
      <c r="G2474" s="7" t="str">
        <f>LOOKUP(H2474,[1]startdates!$A$2:$A$10,[1]startdates!$B$2:$B$10)</f>
        <v>FMr</v>
      </c>
      <c r="H2474">
        <v>6</v>
      </c>
      <c r="N2474" s="7">
        <v>241.6</v>
      </c>
    </row>
    <row r="2475" spans="1:19" x14ac:dyDescent="0.2">
      <c r="A2475">
        <v>2474</v>
      </c>
      <c r="B2475" s="1">
        <v>40785</v>
      </c>
      <c r="C2475" t="s">
        <v>24</v>
      </c>
      <c r="D2475" s="7">
        <v>48</v>
      </c>
      <c r="E2475" s="7">
        <v>8</v>
      </c>
      <c r="F2475" s="7">
        <f t="shared" si="39"/>
        <v>3</v>
      </c>
      <c r="G2475" s="7" t="str">
        <f>LOOKUP(H2475,[1]startdates!$A$2:$A$10,[1]startdates!$B$2:$B$10)</f>
        <v>FMr</v>
      </c>
      <c r="H2475">
        <v>6</v>
      </c>
      <c r="N2475" s="7">
        <v>180.4</v>
      </c>
    </row>
    <row r="2476" spans="1:19" x14ac:dyDescent="0.2">
      <c r="A2476">
        <v>2475</v>
      </c>
      <c r="B2476" s="1">
        <v>40785</v>
      </c>
      <c r="C2476" t="s">
        <v>28</v>
      </c>
      <c r="D2476" s="7">
        <v>48</v>
      </c>
      <c r="E2476" s="7">
        <v>8</v>
      </c>
      <c r="F2476" s="7">
        <f t="shared" si="39"/>
        <v>3</v>
      </c>
      <c r="G2476" s="7" t="str">
        <f>LOOKUP(H2476,[1]startdates!$A$2:$A$10,[1]startdates!$B$2:$B$10)</f>
        <v>FMr</v>
      </c>
      <c r="H2476">
        <v>7</v>
      </c>
      <c r="I2476" s="7">
        <v>609.4</v>
      </c>
      <c r="K2476" s="7">
        <v>594.79999999999995</v>
      </c>
      <c r="L2476" s="7">
        <v>496.8</v>
      </c>
      <c r="M2476" s="7">
        <v>372.1</v>
      </c>
      <c r="N2476" s="7">
        <v>204.6</v>
      </c>
      <c r="O2476" s="7">
        <v>166.1</v>
      </c>
      <c r="P2476" s="7">
        <v>503.7</v>
      </c>
      <c r="R2476" s="7">
        <v>277.2</v>
      </c>
      <c r="S2476" s="7">
        <v>281.89999999999998</v>
      </c>
    </row>
    <row r="2477" spans="1:19" x14ac:dyDescent="0.2">
      <c r="A2477">
        <v>2476</v>
      </c>
      <c r="B2477" s="1">
        <v>40785</v>
      </c>
      <c r="C2477" t="s">
        <v>28</v>
      </c>
      <c r="D2477" s="7">
        <v>48</v>
      </c>
      <c r="E2477" s="7">
        <v>8</v>
      </c>
      <c r="F2477" s="7">
        <f t="shared" si="39"/>
        <v>3</v>
      </c>
      <c r="G2477" s="7" t="str">
        <f>LOOKUP(H2477,[1]startdates!$A$2:$A$10,[1]startdates!$B$2:$B$10)</f>
        <v>FMr</v>
      </c>
      <c r="H2477">
        <v>7</v>
      </c>
      <c r="I2477" s="7">
        <v>553.6</v>
      </c>
      <c r="K2477" s="7">
        <v>618.20000000000005</v>
      </c>
      <c r="L2477" s="7">
        <v>444.9</v>
      </c>
      <c r="M2477" s="7">
        <v>317.89999999999998</v>
      </c>
      <c r="N2477" s="7">
        <v>184.5</v>
      </c>
      <c r="O2477" s="7">
        <v>184.1</v>
      </c>
      <c r="P2477" s="7">
        <v>480.8</v>
      </c>
      <c r="R2477" s="7">
        <v>243.4</v>
      </c>
    </row>
    <row r="2478" spans="1:19" x14ac:dyDescent="0.2">
      <c r="A2478">
        <v>2477</v>
      </c>
      <c r="B2478" s="1">
        <v>40785</v>
      </c>
      <c r="C2478" t="s">
        <v>28</v>
      </c>
      <c r="D2478" s="7">
        <v>48</v>
      </c>
      <c r="E2478" s="7">
        <v>8</v>
      </c>
      <c r="F2478" s="7">
        <f t="shared" si="39"/>
        <v>3</v>
      </c>
      <c r="G2478" s="7" t="str">
        <f>LOOKUP(H2478,[1]startdates!$A$2:$A$10,[1]startdates!$B$2:$B$10)</f>
        <v>FMr</v>
      </c>
      <c r="H2478">
        <v>7</v>
      </c>
      <c r="I2478" s="7">
        <v>637.5</v>
      </c>
      <c r="K2478" s="7">
        <v>517</v>
      </c>
      <c r="L2478" s="7">
        <v>489.5</v>
      </c>
      <c r="M2478" s="7">
        <v>334.7</v>
      </c>
      <c r="N2478" s="7">
        <v>234.8</v>
      </c>
      <c r="O2478" s="7">
        <v>182.9</v>
      </c>
      <c r="R2478" s="7">
        <v>235.7</v>
      </c>
    </row>
    <row r="2479" spans="1:19" x14ac:dyDescent="0.2">
      <c r="A2479">
        <v>2478</v>
      </c>
      <c r="B2479" s="1">
        <v>40785</v>
      </c>
      <c r="C2479" t="s">
        <v>28</v>
      </c>
      <c r="D2479" s="7">
        <v>48</v>
      </c>
      <c r="E2479" s="7">
        <v>8</v>
      </c>
      <c r="F2479" s="7">
        <f t="shared" si="39"/>
        <v>3</v>
      </c>
      <c r="G2479" s="7" t="str">
        <f>LOOKUP(H2479,[1]startdates!$A$2:$A$10,[1]startdates!$B$2:$B$10)</f>
        <v>FMr</v>
      </c>
      <c r="H2479">
        <v>7</v>
      </c>
      <c r="I2479" s="7">
        <v>781.4</v>
      </c>
      <c r="K2479" s="7">
        <v>571.9</v>
      </c>
      <c r="L2479" s="7">
        <v>479.1</v>
      </c>
      <c r="M2479" s="7">
        <v>294.7</v>
      </c>
      <c r="N2479" s="7">
        <v>206.7</v>
      </c>
      <c r="O2479" s="7">
        <v>184.1</v>
      </c>
      <c r="R2479" s="7">
        <v>259.39999999999998</v>
      </c>
    </row>
    <row r="2480" spans="1:19" x14ac:dyDescent="0.2">
      <c r="A2480">
        <v>2479</v>
      </c>
      <c r="B2480" s="1">
        <v>40785</v>
      </c>
      <c r="C2480" t="s">
        <v>28</v>
      </c>
      <c r="D2480" s="7">
        <v>48</v>
      </c>
      <c r="E2480" s="7">
        <v>8</v>
      </c>
      <c r="F2480" s="7">
        <f t="shared" si="39"/>
        <v>3</v>
      </c>
      <c r="G2480" s="7" t="str">
        <f>LOOKUP(H2480,[1]startdates!$A$2:$A$10,[1]startdates!$B$2:$B$10)</f>
        <v>FMr</v>
      </c>
      <c r="H2480">
        <v>7</v>
      </c>
      <c r="I2480" s="7">
        <v>734.6</v>
      </c>
      <c r="K2480" s="7">
        <v>533.29999999999995</v>
      </c>
      <c r="M2480" s="7">
        <v>309.39999999999998</v>
      </c>
      <c r="N2480" s="7">
        <v>281.39999999999998</v>
      </c>
      <c r="O2480" s="7">
        <v>172.4</v>
      </c>
      <c r="R2480" s="7">
        <v>266</v>
      </c>
    </row>
    <row r="2481" spans="1:19" x14ac:dyDescent="0.2">
      <c r="A2481">
        <v>2480</v>
      </c>
      <c r="B2481" s="1">
        <v>40785</v>
      </c>
      <c r="C2481" t="s">
        <v>28</v>
      </c>
      <c r="D2481" s="7">
        <v>48</v>
      </c>
      <c r="E2481" s="7">
        <v>8</v>
      </c>
      <c r="F2481" s="7">
        <f t="shared" si="39"/>
        <v>3</v>
      </c>
      <c r="G2481" s="7" t="str">
        <f>LOOKUP(H2481,[1]startdates!$A$2:$A$10,[1]startdates!$B$2:$B$10)</f>
        <v>FMr</v>
      </c>
      <c r="H2481">
        <v>7</v>
      </c>
      <c r="I2481" s="7">
        <v>650.4</v>
      </c>
      <c r="M2481" s="7">
        <v>327</v>
      </c>
      <c r="N2481" s="7">
        <v>274</v>
      </c>
      <c r="O2481" s="7">
        <v>178.1</v>
      </c>
    </row>
    <row r="2482" spans="1:19" x14ac:dyDescent="0.2">
      <c r="A2482">
        <v>2481</v>
      </c>
      <c r="B2482" s="1">
        <v>40785</v>
      </c>
      <c r="C2482" t="s">
        <v>28</v>
      </c>
      <c r="D2482" s="7">
        <v>48</v>
      </c>
      <c r="E2482" s="7">
        <v>8</v>
      </c>
      <c r="F2482" s="7">
        <f t="shared" si="39"/>
        <v>3</v>
      </c>
      <c r="G2482" s="7" t="str">
        <f>LOOKUP(H2482,[1]startdates!$A$2:$A$10,[1]startdates!$B$2:$B$10)</f>
        <v>FMr</v>
      </c>
      <c r="H2482">
        <v>7</v>
      </c>
      <c r="I2482" s="7">
        <v>680</v>
      </c>
      <c r="M2482" s="7">
        <v>346.2</v>
      </c>
      <c r="N2482" s="7">
        <v>207.4</v>
      </c>
      <c r="O2482" s="7">
        <v>193.3</v>
      </c>
    </row>
    <row r="2483" spans="1:19" x14ac:dyDescent="0.2">
      <c r="A2483">
        <v>2482</v>
      </c>
      <c r="B2483" s="1">
        <v>40785</v>
      </c>
      <c r="C2483" t="s">
        <v>28</v>
      </c>
      <c r="D2483" s="7">
        <v>48</v>
      </c>
      <c r="E2483" s="7">
        <v>8</v>
      </c>
      <c r="F2483" s="7">
        <f t="shared" si="39"/>
        <v>3</v>
      </c>
      <c r="G2483" s="7" t="str">
        <f>LOOKUP(H2483,[1]startdates!$A$2:$A$10,[1]startdates!$B$2:$B$10)</f>
        <v>FMr</v>
      </c>
      <c r="H2483">
        <v>7</v>
      </c>
      <c r="I2483" s="7">
        <v>691.5</v>
      </c>
      <c r="M2483" s="7">
        <v>310.7</v>
      </c>
      <c r="N2483" s="7">
        <v>272.39999999999998</v>
      </c>
      <c r="O2483" s="7">
        <v>162.69999999999999</v>
      </c>
    </row>
    <row r="2484" spans="1:19" x14ac:dyDescent="0.2">
      <c r="A2484">
        <v>2483</v>
      </c>
      <c r="B2484" s="1">
        <v>40785</v>
      </c>
      <c r="C2484" t="s">
        <v>28</v>
      </c>
      <c r="D2484" s="7">
        <v>48</v>
      </c>
      <c r="E2484" s="7">
        <v>8</v>
      </c>
      <c r="F2484" s="7">
        <f t="shared" si="39"/>
        <v>3</v>
      </c>
      <c r="G2484" s="7" t="str">
        <f>LOOKUP(H2484,[1]startdates!$A$2:$A$10,[1]startdates!$B$2:$B$10)</f>
        <v>FMr</v>
      </c>
      <c r="H2484">
        <v>7</v>
      </c>
      <c r="I2484" s="7">
        <v>853.2</v>
      </c>
      <c r="M2484" s="7">
        <v>343.2</v>
      </c>
      <c r="N2484" s="7">
        <v>194.5</v>
      </c>
      <c r="O2484" s="7">
        <v>162.19999999999999</v>
      </c>
    </row>
    <row r="2485" spans="1:19" x14ac:dyDescent="0.2">
      <c r="A2485">
        <v>2484</v>
      </c>
      <c r="B2485" s="1">
        <v>40785</v>
      </c>
      <c r="C2485" t="s">
        <v>28</v>
      </c>
      <c r="D2485" s="7">
        <v>48</v>
      </c>
      <c r="E2485" s="7">
        <v>8</v>
      </c>
      <c r="F2485" s="7">
        <f t="shared" si="39"/>
        <v>3</v>
      </c>
      <c r="G2485" s="7" t="str">
        <f>LOOKUP(H2485,[1]startdates!$A$2:$A$10,[1]startdates!$B$2:$B$10)</f>
        <v>FMr</v>
      </c>
      <c r="H2485">
        <v>7</v>
      </c>
      <c r="I2485" s="7">
        <v>680</v>
      </c>
      <c r="N2485" s="7">
        <v>215.1</v>
      </c>
      <c r="O2485" s="7">
        <v>153.80000000000001</v>
      </c>
    </row>
    <row r="2486" spans="1:19" x14ac:dyDescent="0.2">
      <c r="A2486">
        <v>2485</v>
      </c>
      <c r="B2486" s="1">
        <v>40785</v>
      </c>
      <c r="C2486" t="s">
        <v>28</v>
      </c>
      <c r="D2486" s="7">
        <v>48</v>
      </c>
      <c r="E2486" s="7">
        <v>8</v>
      </c>
      <c r="F2486" s="7">
        <f t="shared" si="39"/>
        <v>3</v>
      </c>
      <c r="G2486" s="7" t="str">
        <f>LOOKUP(H2486,[1]startdates!$A$2:$A$10,[1]startdates!$B$2:$B$10)</f>
        <v>FMr</v>
      </c>
      <c r="H2486">
        <v>7</v>
      </c>
      <c r="N2486" s="7">
        <v>256.5</v>
      </c>
      <c r="O2486" s="7">
        <v>181.9</v>
      </c>
    </row>
    <row r="2487" spans="1:19" x14ac:dyDescent="0.2">
      <c r="A2487">
        <v>2486</v>
      </c>
      <c r="B2487" s="1">
        <v>40785</v>
      </c>
      <c r="C2487" t="s">
        <v>24</v>
      </c>
      <c r="D2487" s="7">
        <v>48</v>
      </c>
      <c r="E2487" s="7">
        <v>8</v>
      </c>
      <c r="F2487" s="7">
        <f t="shared" si="39"/>
        <v>3</v>
      </c>
      <c r="G2487" s="7" t="str">
        <f>LOOKUP(H2487,[1]startdates!$A$2:$A$10,[1]startdates!$B$2:$B$10)</f>
        <v>C</v>
      </c>
      <c r="H2487">
        <v>8</v>
      </c>
      <c r="I2487" s="7">
        <v>571.9</v>
      </c>
      <c r="J2487" s="7">
        <v>617.9</v>
      </c>
      <c r="K2487" s="7">
        <v>656.8</v>
      </c>
      <c r="L2487" s="7">
        <v>517.70000000000005</v>
      </c>
      <c r="M2487" s="7">
        <v>309.39999999999998</v>
      </c>
      <c r="N2487" s="7">
        <v>197.1</v>
      </c>
      <c r="O2487" s="7">
        <v>192.6</v>
      </c>
      <c r="R2487" s="7">
        <v>270</v>
      </c>
      <c r="S2487" s="7">
        <v>274.39999999999998</v>
      </c>
    </row>
    <row r="2488" spans="1:19" x14ac:dyDescent="0.2">
      <c r="A2488">
        <v>2487</v>
      </c>
      <c r="B2488" s="1">
        <v>40785</v>
      </c>
      <c r="C2488" t="s">
        <v>24</v>
      </c>
      <c r="D2488" s="7">
        <v>48</v>
      </c>
      <c r="E2488" s="7">
        <v>8</v>
      </c>
      <c r="F2488" s="7">
        <f t="shared" si="39"/>
        <v>3</v>
      </c>
      <c r="G2488" s="7" t="str">
        <f>LOOKUP(H2488,[1]startdates!$A$2:$A$10,[1]startdates!$B$2:$B$10)</f>
        <v>C</v>
      </c>
      <c r="H2488">
        <v>8</v>
      </c>
      <c r="I2488" s="7">
        <v>762.8</v>
      </c>
      <c r="J2488" s="7">
        <v>632.70000000000005</v>
      </c>
      <c r="K2488" s="7">
        <v>561.9</v>
      </c>
      <c r="L2488" s="7">
        <v>470.4</v>
      </c>
      <c r="M2488" s="7">
        <v>304.8</v>
      </c>
      <c r="N2488" s="7">
        <v>195</v>
      </c>
      <c r="O2488" s="7">
        <v>175.5</v>
      </c>
    </row>
    <row r="2489" spans="1:19" x14ac:dyDescent="0.2">
      <c r="A2489">
        <v>2488</v>
      </c>
      <c r="B2489" s="1">
        <v>40785</v>
      </c>
      <c r="C2489" t="s">
        <v>24</v>
      </c>
      <c r="D2489" s="7">
        <v>48</v>
      </c>
      <c r="E2489" s="7">
        <v>8</v>
      </c>
      <c r="F2489" s="7">
        <f t="shared" si="39"/>
        <v>3</v>
      </c>
      <c r="G2489" s="7" t="str">
        <f>LOOKUP(H2489,[1]startdates!$A$2:$A$10,[1]startdates!$B$2:$B$10)</f>
        <v>C</v>
      </c>
      <c r="H2489">
        <v>8</v>
      </c>
      <c r="I2489" s="7">
        <v>712.4</v>
      </c>
      <c r="K2489" s="7">
        <v>560.79999999999995</v>
      </c>
      <c r="L2489" s="7">
        <v>467.6</v>
      </c>
      <c r="M2489" s="7">
        <v>370.3</v>
      </c>
      <c r="N2489" s="7">
        <v>197.3</v>
      </c>
      <c r="O2489" s="7">
        <v>194</v>
      </c>
    </row>
    <row r="2490" spans="1:19" x14ac:dyDescent="0.2">
      <c r="A2490">
        <v>2489</v>
      </c>
      <c r="B2490" s="1">
        <v>40785</v>
      </c>
      <c r="C2490" t="s">
        <v>24</v>
      </c>
      <c r="D2490" s="7">
        <v>48</v>
      </c>
      <c r="E2490" s="7">
        <v>8</v>
      </c>
      <c r="F2490" s="7">
        <f t="shared" si="39"/>
        <v>3</v>
      </c>
      <c r="G2490" s="7" t="str">
        <f>LOOKUP(H2490,[1]startdates!$A$2:$A$10,[1]startdates!$B$2:$B$10)</f>
        <v>C</v>
      </c>
      <c r="H2490">
        <v>8</v>
      </c>
      <c r="I2490" s="7">
        <v>671.9</v>
      </c>
      <c r="K2490" s="7">
        <v>686</v>
      </c>
      <c r="L2490" s="7">
        <v>508.6</v>
      </c>
      <c r="M2490" s="7">
        <v>318.10000000000002</v>
      </c>
      <c r="N2490" s="7">
        <v>239.6</v>
      </c>
      <c r="O2490" s="7">
        <v>179.5</v>
      </c>
    </row>
    <row r="2491" spans="1:19" x14ac:dyDescent="0.2">
      <c r="A2491">
        <v>2490</v>
      </c>
      <c r="B2491" s="1">
        <v>40785</v>
      </c>
      <c r="C2491" t="s">
        <v>24</v>
      </c>
      <c r="D2491" s="7">
        <v>48</v>
      </c>
      <c r="E2491" s="7">
        <v>8</v>
      </c>
      <c r="F2491" s="7">
        <f t="shared" si="39"/>
        <v>3</v>
      </c>
      <c r="G2491" s="7" t="str">
        <f>LOOKUP(H2491,[1]startdates!$A$2:$A$10,[1]startdates!$B$2:$B$10)</f>
        <v>C</v>
      </c>
      <c r="H2491">
        <v>8</v>
      </c>
      <c r="I2491" s="7">
        <v>738.7</v>
      </c>
      <c r="L2491" s="7">
        <v>526.79999999999995</v>
      </c>
      <c r="M2491" s="7">
        <v>381</v>
      </c>
      <c r="N2491" s="7">
        <v>228.9</v>
      </c>
      <c r="O2491" s="7">
        <v>185.7</v>
      </c>
    </row>
    <row r="2492" spans="1:19" x14ac:dyDescent="0.2">
      <c r="A2492">
        <v>2491</v>
      </c>
      <c r="B2492" s="1">
        <v>40785</v>
      </c>
      <c r="C2492" t="s">
        <v>24</v>
      </c>
      <c r="D2492" s="7">
        <v>48</v>
      </c>
      <c r="E2492" s="7">
        <v>8</v>
      </c>
      <c r="F2492" s="7">
        <f t="shared" si="39"/>
        <v>3</v>
      </c>
      <c r="G2492" s="7" t="str">
        <f>LOOKUP(H2492,[1]startdates!$A$2:$A$10,[1]startdates!$B$2:$B$10)</f>
        <v>C</v>
      </c>
      <c r="H2492">
        <v>8</v>
      </c>
      <c r="M2492" s="7">
        <v>309.8</v>
      </c>
      <c r="N2492" s="7">
        <v>213.5</v>
      </c>
      <c r="O2492" s="7">
        <v>164.2</v>
      </c>
    </row>
    <row r="2493" spans="1:19" x14ac:dyDescent="0.2">
      <c r="A2493">
        <v>2492</v>
      </c>
      <c r="B2493" s="1">
        <v>40785</v>
      </c>
      <c r="C2493" t="s">
        <v>24</v>
      </c>
      <c r="D2493" s="7">
        <v>48</v>
      </c>
      <c r="E2493" s="7">
        <v>8</v>
      </c>
      <c r="F2493" s="7">
        <f t="shared" si="39"/>
        <v>3</v>
      </c>
      <c r="G2493" s="7" t="str">
        <f>LOOKUP(H2493,[1]startdates!$A$2:$A$10,[1]startdates!$B$2:$B$10)</f>
        <v>C</v>
      </c>
      <c r="H2493">
        <v>8</v>
      </c>
      <c r="M2493" s="7">
        <v>339.4</v>
      </c>
      <c r="N2493" s="7">
        <v>223.1</v>
      </c>
      <c r="O2493" s="7">
        <v>170.6</v>
      </c>
    </row>
    <row r="2494" spans="1:19" x14ac:dyDescent="0.2">
      <c r="A2494">
        <v>2493</v>
      </c>
      <c r="B2494" s="1">
        <v>40785</v>
      </c>
      <c r="C2494" t="s">
        <v>24</v>
      </c>
      <c r="D2494" s="7">
        <v>48</v>
      </c>
      <c r="E2494" s="7">
        <v>8</v>
      </c>
      <c r="F2494" s="7">
        <f t="shared" si="39"/>
        <v>3</v>
      </c>
      <c r="G2494" s="7" t="str">
        <f>LOOKUP(H2494,[1]startdates!$A$2:$A$10,[1]startdates!$B$2:$B$10)</f>
        <v>C</v>
      </c>
      <c r="H2494">
        <v>8</v>
      </c>
      <c r="N2494" s="7">
        <v>231.8</v>
      </c>
      <c r="O2494" s="7">
        <v>181.2</v>
      </c>
    </row>
    <row r="2495" spans="1:19" x14ac:dyDescent="0.2">
      <c r="A2495">
        <v>2494</v>
      </c>
      <c r="B2495" s="1">
        <v>40785</v>
      </c>
      <c r="C2495" t="s">
        <v>24</v>
      </c>
      <c r="D2495" s="7">
        <v>48</v>
      </c>
      <c r="E2495" s="7">
        <v>8</v>
      </c>
      <c r="F2495" s="7">
        <f t="shared" si="39"/>
        <v>3</v>
      </c>
      <c r="G2495" s="7" t="str">
        <f>LOOKUP(H2495,[1]startdates!$A$2:$A$10,[1]startdates!$B$2:$B$10)</f>
        <v>C</v>
      </c>
      <c r="H2495">
        <v>8</v>
      </c>
      <c r="N2495" s="7">
        <v>170</v>
      </c>
      <c r="O2495" s="7">
        <v>184.1</v>
      </c>
    </row>
    <row r="2496" spans="1:19" x14ac:dyDescent="0.2">
      <c r="A2496">
        <v>2495</v>
      </c>
      <c r="B2496" s="1">
        <v>40785</v>
      </c>
      <c r="C2496" t="s">
        <v>24</v>
      </c>
      <c r="D2496" s="7">
        <v>48</v>
      </c>
      <c r="E2496" s="7">
        <v>8</v>
      </c>
      <c r="F2496" s="7">
        <f t="shared" si="39"/>
        <v>3</v>
      </c>
      <c r="G2496" s="7" t="str">
        <f>LOOKUP(H2496,[1]startdates!$A$2:$A$10,[1]startdates!$B$2:$B$10)</f>
        <v>C</v>
      </c>
      <c r="H2496">
        <v>8</v>
      </c>
      <c r="N2496" s="7">
        <v>289</v>
      </c>
      <c r="O2496" s="7">
        <v>169.7</v>
      </c>
    </row>
    <row r="2497" spans="1:19" x14ac:dyDescent="0.2">
      <c r="A2497">
        <v>2496</v>
      </c>
      <c r="B2497" s="1">
        <v>40785</v>
      </c>
      <c r="C2497" t="s">
        <v>24</v>
      </c>
      <c r="D2497" s="7">
        <v>48</v>
      </c>
      <c r="E2497" s="7">
        <v>8</v>
      </c>
      <c r="F2497" s="7">
        <f t="shared" si="39"/>
        <v>3</v>
      </c>
      <c r="G2497" s="7" t="str">
        <f>LOOKUP(H2497,[1]startdates!$A$2:$A$10,[1]startdates!$B$2:$B$10)</f>
        <v>C</v>
      </c>
      <c r="H2497">
        <v>8</v>
      </c>
      <c r="N2497" s="7">
        <v>239.3</v>
      </c>
      <c r="O2497" s="7">
        <v>200.3</v>
      </c>
    </row>
    <row r="2498" spans="1:19" x14ac:dyDescent="0.2">
      <c r="A2498">
        <v>2497</v>
      </c>
      <c r="B2498" s="1">
        <v>40785</v>
      </c>
      <c r="C2498" t="s">
        <v>24</v>
      </c>
      <c r="D2498" s="7">
        <v>48</v>
      </c>
      <c r="E2498" s="7">
        <v>8</v>
      </c>
      <c r="F2498" s="7">
        <f t="shared" si="39"/>
        <v>3</v>
      </c>
      <c r="G2498" s="7" t="str">
        <f>LOOKUP(H2498,[1]startdates!$A$2:$A$10,[1]startdates!$B$2:$B$10)</f>
        <v>C</v>
      </c>
      <c r="H2498">
        <v>8</v>
      </c>
      <c r="O2498" s="7">
        <v>204.7</v>
      </c>
    </row>
    <row r="2499" spans="1:19" x14ac:dyDescent="0.2">
      <c r="A2499">
        <v>2498</v>
      </c>
      <c r="B2499" s="1">
        <v>40785</v>
      </c>
      <c r="C2499" t="s">
        <v>24</v>
      </c>
      <c r="D2499" s="7">
        <v>48</v>
      </c>
      <c r="E2499" s="7">
        <v>8</v>
      </c>
      <c r="F2499" s="7">
        <f t="shared" si="39"/>
        <v>3</v>
      </c>
      <c r="G2499" s="7" t="str">
        <f>LOOKUP(H2499,[1]startdates!$A$2:$A$10,[1]startdates!$B$2:$B$10)</f>
        <v>FMr</v>
      </c>
      <c r="H2499">
        <v>9</v>
      </c>
      <c r="I2499" s="7">
        <v>643.79999999999995</v>
      </c>
      <c r="J2499" s="7">
        <v>573.5</v>
      </c>
      <c r="K2499" s="7">
        <v>505.5</v>
      </c>
      <c r="M2499" s="7">
        <v>347.6</v>
      </c>
      <c r="N2499" s="7">
        <v>230.2</v>
      </c>
      <c r="O2499" s="7">
        <v>176.8</v>
      </c>
      <c r="P2499" s="7">
        <v>555.5</v>
      </c>
      <c r="S2499" s="7">
        <v>278.39999999999998</v>
      </c>
    </row>
    <row r="2500" spans="1:19" x14ac:dyDescent="0.2">
      <c r="A2500">
        <v>2499</v>
      </c>
      <c r="B2500" s="1">
        <v>40785</v>
      </c>
      <c r="C2500" t="s">
        <v>24</v>
      </c>
      <c r="D2500" s="7">
        <v>48</v>
      </c>
      <c r="E2500" s="7">
        <v>8</v>
      </c>
      <c r="F2500" s="7">
        <f t="shared" si="39"/>
        <v>3</v>
      </c>
      <c r="G2500" s="7" t="str">
        <f>LOOKUP(H2500,[1]startdates!$A$2:$A$10,[1]startdates!$B$2:$B$10)</f>
        <v>FMr</v>
      </c>
      <c r="H2500">
        <v>9</v>
      </c>
      <c r="I2500" s="7">
        <v>753.7</v>
      </c>
      <c r="K2500" s="7">
        <v>532.9</v>
      </c>
      <c r="M2500" s="7">
        <v>294.60000000000002</v>
      </c>
      <c r="N2500" s="7">
        <v>219.5</v>
      </c>
      <c r="O2500" s="7">
        <v>184.4</v>
      </c>
      <c r="P2500" s="7">
        <v>523</v>
      </c>
    </row>
    <row r="2501" spans="1:19" x14ac:dyDescent="0.2">
      <c r="A2501">
        <v>2500</v>
      </c>
      <c r="B2501" s="1">
        <v>40785</v>
      </c>
      <c r="C2501" t="s">
        <v>24</v>
      </c>
      <c r="D2501" s="7">
        <v>48</v>
      </c>
      <c r="E2501" s="7">
        <v>8</v>
      </c>
      <c r="F2501" s="7">
        <f t="shared" si="39"/>
        <v>3</v>
      </c>
      <c r="G2501" s="7" t="str">
        <f>LOOKUP(H2501,[1]startdates!$A$2:$A$10,[1]startdates!$B$2:$B$10)</f>
        <v>FMr</v>
      </c>
      <c r="H2501">
        <v>9</v>
      </c>
      <c r="I2501" s="7">
        <v>681.5</v>
      </c>
      <c r="K2501" s="7">
        <v>599.29999999999995</v>
      </c>
      <c r="M2501" s="7">
        <v>327.7</v>
      </c>
      <c r="N2501" s="7">
        <v>232.9</v>
      </c>
      <c r="O2501" s="7">
        <v>192.8</v>
      </c>
      <c r="P2501" s="7">
        <v>464.3</v>
      </c>
    </row>
    <row r="2502" spans="1:19" x14ac:dyDescent="0.2">
      <c r="A2502">
        <v>2501</v>
      </c>
      <c r="B2502" s="1">
        <v>40785</v>
      </c>
      <c r="C2502" t="s">
        <v>24</v>
      </c>
      <c r="D2502" s="7">
        <v>48</v>
      </c>
      <c r="E2502" s="7">
        <v>8</v>
      </c>
      <c r="F2502" s="7">
        <f t="shared" si="39"/>
        <v>3</v>
      </c>
      <c r="G2502" s="7" t="str">
        <f>LOOKUP(H2502,[1]startdates!$A$2:$A$10,[1]startdates!$B$2:$B$10)</f>
        <v>FMr</v>
      </c>
      <c r="H2502">
        <v>9</v>
      </c>
      <c r="I2502" s="7">
        <v>612.5</v>
      </c>
      <c r="K2502" s="7">
        <v>592.79999999999995</v>
      </c>
      <c r="M2502" s="7">
        <v>337</v>
      </c>
      <c r="N2502" s="7">
        <v>182.9</v>
      </c>
      <c r="O2502" s="7">
        <v>171.7</v>
      </c>
    </row>
    <row r="2503" spans="1:19" x14ac:dyDescent="0.2">
      <c r="A2503">
        <v>2502</v>
      </c>
      <c r="B2503" s="1">
        <v>40785</v>
      </c>
      <c r="C2503" t="s">
        <v>24</v>
      </c>
      <c r="D2503" s="7">
        <v>48</v>
      </c>
      <c r="E2503" s="7">
        <v>8</v>
      </c>
      <c r="F2503" s="7">
        <f t="shared" si="39"/>
        <v>3</v>
      </c>
      <c r="G2503" s="7" t="str">
        <f>LOOKUP(H2503,[1]startdates!$A$2:$A$10,[1]startdates!$B$2:$B$10)</f>
        <v>FMr</v>
      </c>
      <c r="H2503">
        <v>9</v>
      </c>
      <c r="I2503" s="7">
        <v>680</v>
      </c>
      <c r="K2503" s="7">
        <v>747.8</v>
      </c>
      <c r="M2503" s="7">
        <v>310</v>
      </c>
      <c r="N2503" s="7">
        <v>173.1</v>
      </c>
      <c r="O2503" s="7">
        <v>196.9</v>
      </c>
    </row>
    <row r="2504" spans="1:19" x14ac:dyDescent="0.2">
      <c r="A2504">
        <v>2503</v>
      </c>
      <c r="B2504" s="1">
        <v>40785</v>
      </c>
      <c r="C2504" t="s">
        <v>24</v>
      </c>
      <c r="D2504" s="7">
        <v>48</v>
      </c>
      <c r="E2504" s="7">
        <v>8</v>
      </c>
      <c r="F2504" s="7">
        <f t="shared" si="39"/>
        <v>3</v>
      </c>
      <c r="G2504" s="7" t="str">
        <f>LOOKUP(H2504,[1]startdates!$A$2:$A$10,[1]startdates!$B$2:$B$10)</f>
        <v>FMr</v>
      </c>
      <c r="H2504">
        <v>9</v>
      </c>
      <c r="I2504" s="7">
        <v>666</v>
      </c>
      <c r="M2504" s="7">
        <v>344.8</v>
      </c>
      <c r="N2504" s="7">
        <v>211.4</v>
      </c>
      <c r="O2504" s="7">
        <v>186.1</v>
      </c>
    </row>
    <row r="2505" spans="1:19" x14ac:dyDescent="0.2">
      <c r="A2505">
        <v>2504</v>
      </c>
      <c r="B2505" s="1">
        <v>40785</v>
      </c>
      <c r="C2505" t="s">
        <v>24</v>
      </c>
      <c r="D2505" s="7">
        <v>48</v>
      </c>
      <c r="E2505" s="7">
        <v>8</v>
      </c>
      <c r="F2505" s="7">
        <f t="shared" si="39"/>
        <v>3</v>
      </c>
      <c r="G2505" s="7" t="str">
        <f>LOOKUP(H2505,[1]startdates!$A$2:$A$10,[1]startdates!$B$2:$B$10)</f>
        <v>FMr</v>
      </c>
      <c r="H2505">
        <v>9</v>
      </c>
      <c r="M2505" s="7">
        <v>299.7</v>
      </c>
      <c r="N2505" s="7">
        <v>181.8</v>
      </c>
      <c r="O2505" s="7">
        <v>176.9</v>
      </c>
    </row>
    <row r="2506" spans="1:19" x14ac:dyDescent="0.2">
      <c r="A2506">
        <v>2505</v>
      </c>
      <c r="B2506" s="1">
        <v>40785</v>
      </c>
      <c r="C2506" t="s">
        <v>24</v>
      </c>
      <c r="D2506" s="7">
        <v>48</v>
      </c>
      <c r="E2506" s="7">
        <v>8</v>
      </c>
      <c r="F2506" s="7">
        <f t="shared" si="39"/>
        <v>3</v>
      </c>
      <c r="G2506" s="7" t="str">
        <f>LOOKUP(H2506,[1]startdates!$A$2:$A$10,[1]startdates!$B$2:$B$10)</f>
        <v>FMr</v>
      </c>
      <c r="H2506">
        <v>9</v>
      </c>
      <c r="M2506" s="7">
        <v>294.7</v>
      </c>
      <c r="N2506" s="7">
        <v>199.1</v>
      </c>
      <c r="O2506" s="7">
        <v>166.1</v>
      </c>
    </row>
    <row r="2507" spans="1:19" x14ac:dyDescent="0.2">
      <c r="A2507">
        <v>2506</v>
      </c>
      <c r="B2507" s="1">
        <v>40785</v>
      </c>
      <c r="C2507" t="s">
        <v>24</v>
      </c>
      <c r="D2507" s="7">
        <v>48</v>
      </c>
      <c r="E2507" s="7">
        <v>8</v>
      </c>
      <c r="F2507" s="7">
        <f t="shared" si="39"/>
        <v>3</v>
      </c>
      <c r="G2507" s="7" t="str">
        <f>LOOKUP(H2507,[1]startdates!$A$2:$A$10,[1]startdates!$B$2:$B$10)</f>
        <v>FMr</v>
      </c>
      <c r="H2507">
        <v>9</v>
      </c>
      <c r="M2507" s="7">
        <v>278.60000000000002</v>
      </c>
      <c r="O2507" s="7">
        <v>152.19999999999999</v>
      </c>
    </row>
    <row r="2508" spans="1:19" x14ac:dyDescent="0.2">
      <c r="A2508">
        <v>2507</v>
      </c>
      <c r="B2508" s="1">
        <v>40785</v>
      </c>
      <c r="C2508" t="s">
        <v>24</v>
      </c>
      <c r="D2508" s="7">
        <v>48</v>
      </c>
      <c r="E2508" s="7">
        <v>8</v>
      </c>
      <c r="F2508" s="7">
        <f t="shared" si="39"/>
        <v>3</v>
      </c>
      <c r="G2508" s="7" t="str">
        <f>LOOKUP(H2508,[1]startdates!$A$2:$A$10,[1]startdates!$B$2:$B$10)</f>
        <v>FMr</v>
      </c>
      <c r="H2508">
        <v>9</v>
      </c>
      <c r="M2508" s="7">
        <v>341.1</v>
      </c>
      <c r="O2508" s="7">
        <v>188.7</v>
      </c>
    </row>
    <row r="2509" spans="1:19" x14ac:dyDescent="0.2">
      <c r="A2509">
        <v>2508</v>
      </c>
      <c r="B2509" s="1">
        <v>40785</v>
      </c>
      <c r="C2509" t="s">
        <v>24</v>
      </c>
      <c r="D2509" s="7">
        <v>48</v>
      </c>
      <c r="E2509" s="7">
        <v>8</v>
      </c>
      <c r="F2509" s="7">
        <f t="shared" si="39"/>
        <v>3</v>
      </c>
      <c r="G2509" s="7" t="str">
        <f>LOOKUP(H2509,[1]startdates!$A$2:$A$10,[1]startdates!$B$2:$B$10)</f>
        <v>FMr</v>
      </c>
      <c r="H2509">
        <v>9</v>
      </c>
      <c r="M2509" s="7">
        <v>425.8</v>
      </c>
      <c r="O2509" s="7">
        <v>192.1</v>
      </c>
    </row>
    <row r="2510" spans="1:19" x14ac:dyDescent="0.2">
      <c r="A2510">
        <v>2509</v>
      </c>
      <c r="B2510" s="1">
        <v>40785</v>
      </c>
      <c r="C2510" t="s">
        <v>24</v>
      </c>
      <c r="D2510" s="7">
        <v>48</v>
      </c>
      <c r="E2510" s="7">
        <v>8</v>
      </c>
      <c r="F2510" s="7">
        <f t="shared" si="39"/>
        <v>3</v>
      </c>
      <c r="G2510" s="7" t="str">
        <f>LOOKUP(H2510,[1]startdates!$A$2:$A$10,[1]startdates!$B$2:$B$10)</f>
        <v>FMr</v>
      </c>
      <c r="H2510">
        <v>9</v>
      </c>
      <c r="O2510" s="7">
        <v>203</v>
      </c>
    </row>
    <row r="2511" spans="1:19" x14ac:dyDescent="0.2">
      <c r="A2511">
        <v>2510</v>
      </c>
      <c r="B2511" s="1">
        <v>40785</v>
      </c>
      <c r="C2511" t="s">
        <v>24</v>
      </c>
      <c r="D2511" s="7">
        <v>48</v>
      </c>
      <c r="E2511" s="7">
        <v>8</v>
      </c>
      <c r="F2511" s="7">
        <f t="shared" si="39"/>
        <v>3</v>
      </c>
      <c r="G2511" s="7" t="str">
        <f>LOOKUP(H2511,[1]startdates!$A$2:$A$10,[1]startdates!$B$2:$B$10)</f>
        <v>FMr</v>
      </c>
      <c r="H2511">
        <v>9</v>
      </c>
      <c r="O2511" s="7">
        <v>184.1</v>
      </c>
    </row>
    <row r="2512" spans="1:19" x14ac:dyDescent="0.2">
      <c r="A2512">
        <v>2511</v>
      </c>
      <c r="B2512" s="1">
        <v>40785</v>
      </c>
      <c r="C2512" t="s">
        <v>24</v>
      </c>
      <c r="D2512" s="7">
        <v>48</v>
      </c>
      <c r="E2512" s="7">
        <v>8</v>
      </c>
      <c r="F2512" s="7">
        <f t="shared" si="39"/>
        <v>3</v>
      </c>
      <c r="G2512" s="7" t="str">
        <f>LOOKUP(H2512,[1]startdates!$A$2:$A$10,[1]startdates!$B$2:$B$10)</f>
        <v>FMr</v>
      </c>
      <c r="H2512">
        <v>9</v>
      </c>
      <c r="O2512" s="7">
        <v>191.3</v>
      </c>
    </row>
    <row r="2513" spans="1:19" x14ac:dyDescent="0.2">
      <c r="A2513">
        <v>2512</v>
      </c>
      <c r="B2513" s="1">
        <v>40788</v>
      </c>
      <c r="C2513" t="s">
        <v>28</v>
      </c>
      <c r="D2513" s="7">
        <v>50</v>
      </c>
      <c r="E2513" s="7">
        <v>8</v>
      </c>
      <c r="F2513" s="7">
        <f t="shared" si="39"/>
        <v>6</v>
      </c>
      <c r="G2513" s="7" t="str">
        <f>LOOKUP(H2513,[1]startdates!$A$2:$A$10,[1]startdates!$B$2:$B$10)</f>
        <v>SMr</v>
      </c>
      <c r="H2513">
        <v>1</v>
      </c>
      <c r="I2513" s="7">
        <v>680.5</v>
      </c>
      <c r="J2513" s="7">
        <v>548.4</v>
      </c>
      <c r="K2513" s="7">
        <v>568.1</v>
      </c>
      <c r="L2513" s="7">
        <v>481.3</v>
      </c>
      <c r="M2513" s="7">
        <v>307.39999999999998</v>
      </c>
      <c r="N2513" s="7">
        <v>273.7</v>
      </c>
      <c r="O2513" s="7">
        <v>145.9</v>
      </c>
      <c r="Q2513" s="7">
        <v>340.4</v>
      </c>
      <c r="S2513" s="7">
        <v>253.9</v>
      </c>
    </row>
    <row r="2514" spans="1:19" x14ac:dyDescent="0.2">
      <c r="A2514">
        <v>2513</v>
      </c>
      <c r="B2514" s="1">
        <v>40788</v>
      </c>
      <c r="C2514" t="s">
        <v>28</v>
      </c>
      <c r="D2514" s="7">
        <v>50</v>
      </c>
      <c r="E2514" s="7">
        <v>8</v>
      </c>
      <c r="F2514" s="7">
        <f t="shared" si="39"/>
        <v>6</v>
      </c>
      <c r="G2514" s="7" t="str">
        <f>LOOKUP(H2514,[1]startdates!$A$2:$A$10,[1]startdates!$B$2:$B$10)</f>
        <v>SMr</v>
      </c>
      <c r="H2514">
        <v>1</v>
      </c>
      <c r="I2514" s="7">
        <v>607.29999999999995</v>
      </c>
      <c r="K2514" s="7">
        <v>574.9</v>
      </c>
      <c r="L2514" s="7">
        <v>433.2</v>
      </c>
      <c r="M2514" s="7">
        <v>315.2</v>
      </c>
      <c r="N2514" s="7">
        <v>227.7</v>
      </c>
      <c r="O2514" s="7">
        <v>145.30000000000001</v>
      </c>
      <c r="Q2514" s="7">
        <v>324.10000000000002</v>
      </c>
    </row>
    <row r="2515" spans="1:19" x14ac:dyDescent="0.2">
      <c r="A2515">
        <v>2514</v>
      </c>
      <c r="B2515" s="1">
        <v>40788</v>
      </c>
      <c r="C2515" t="s">
        <v>28</v>
      </c>
      <c r="D2515" s="7">
        <v>50</v>
      </c>
      <c r="E2515" s="7">
        <v>8</v>
      </c>
      <c r="F2515" s="7">
        <f t="shared" si="39"/>
        <v>6</v>
      </c>
      <c r="G2515" s="7" t="str">
        <f>LOOKUP(H2515,[1]startdates!$A$2:$A$10,[1]startdates!$B$2:$B$10)</f>
        <v>SMr</v>
      </c>
      <c r="H2515">
        <v>1</v>
      </c>
      <c r="I2515" s="7">
        <v>537.6</v>
      </c>
      <c r="K2515" s="7">
        <v>599.70000000000005</v>
      </c>
      <c r="L2515" s="7">
        <v>428.1</v>
      </c>
      <c r="M2515" s="7">
        <v>308.60000000000002</v>
      </c>
      <c r="N2515" s="7">
        <v>194.3</v>
      </c>
      <c r="O2515" s="7">
        <v>163.1</v>
      </c>
      <c r="Q2515" s="7">
        <v>304.39999999999998</v>
      </c>
    </row>
    <row r="2516" spans="1:19" x14ac:dyDescent="0.2">
      <c r="A2516">
        <v>2515</v>
      </c>
      <c r="B2516" s="1">
        <v>40788</v>
      </c>
      <c r="C2516" t="s">
        <v>28</v>
      </c>
      <c r="D2516" s="7">
        <v>50</v>
      </c>
      <c r="E2516" s="7">
        <v>8</v>
      </c>
      <c r="F2516" s="7">
        <f t="shared" si="39"/>
        <v>6</v>
      </c>
      <c r="G2516" s="7" t="str">
        <f>LOOKUP(H2516,[1]startdates!$A$2:$A$10,[1]startdates!$B$2:$B$10)</f>
        <v>SMr</v>
      </c>
      <c r="H2516">
        <v>1</v>
      </c>
      <c r="I2516" s="7">
        <v>677.6</v>
      </c>
      <c r="K2516" s="7">
        <v>627.4</v>
      </c>
      <c r="M2516" s="7">
        <v>286.10000000000002</v>
      </c>
      <c r="N2516" s="7">
        <v>229.8</v>
      </c>
      <c r="O2516" s="7">
        <v>162.4</v>
      </c>
    </row>
    <row r="2517" spans="1:19" x14ac:dyDescent="0.2">
      <c r="A2517">
        <v>2516</v>
      </c>
      <c r="B2517" s="1">
        <v>40788</v>
      </c>
      <c r="C2517" t="s">
        <v>28</v>
      </c>
      <c r="D2517" s="7">
        <v>50</v>
      </c>
      <c r="E2517" s="7">
        <v>8</v>
      </c>
      <c r="F2517" s="7">
        <f t="shared" si="39"/>
        <v>6</v>
      </c>
      <c r="G2517" s="7" t="str">
        <f>LOOKUP(H2517,[1]startdates!$A$2:$A$10,[1]startdates!$B$2:$B$10)</f>
        <v>SMr</v>
      </c>
      <c r="H2517">
        <v>1</v>
      </c>
      <c r="I2517" s="7">
        <v>668.6</v>
      </c>
      <c r="M2517" s="7">
        <v>272.60000000000002</v>
      </c>
      <c r="N2517" s="7">
        <v>219</v>
      </c>
      <c r="O2517" s="7">
        <v>168.2</v>
      </c>
    </row>
    <row r="2518" spans="1:19" x14ac:dyDescent="0.2">
      <c r="A2518">
        <v>2517</v>
      </c>
      <c r="B2518" s="1">
        <v>40788</v>
      </c>
      <c r="C2518" t="s">
        <v>28</v>
      </c>
      <c r="D2518" s="7">
        <v>50</v>
      </c>
      <c r="E2518" s="7">
        <v>8</v>
      </c>
      <c r="F2518" s="7">
        <f t="shared" si="39"/>
        <v>6</v>
      </c>
      <c r="G2518" s="7" t="str">
        <f>LOOKUP(H2518,[1]startdates!$A$2:$A$10,[1]startdates!$B$2:$B$10)</f>
        <v>SMr</v>
      </c>
      <c r="H2518">
        <v>1</v>
      </c>
      <c r="I2518" s="7">
        <v>663.7</v>
      </c>
      <c r="M2518" s="7">
        <v>280.89999999999998</v>
      </c>
      <c r="N2518" s="7">
        <v>181.9</v>
      </c>
      <c r="O2518" s="7">
        <v>166.6</v>
      </c>
    </row>
    <row r="2519" spans="1:19" x14ac:dyDescent="0.2">
      <c r="A2519">
        <v>2518</v>
      </c>
      <c r="B2519" s="1">
        <v>40788</v>
      </c>
      <c r="C2519" t="s">
        <v>28</v>
      </c>
      <c r="D2519" s="7">
        <v>50</v>
      </c>
      <c r="E2519" s="7">
        <v>8</v>
      </c>
      <c r="F2519" s="7">
        <f t="shared" si="39"/>
        <v>6</v>
      </c>
      <c r="G2519" s="7" t="str">
        <f>LOOKUP(H2519,[1]startdates!$A$2:$A$10,[1]startdates!$B$2:$B$10)</f>
        <v>SMr</v>
      </c>
      <c r="H2519">
        <v>1</v>
      </c>
      <c r="I2519" s="7">
        <v>638</v>
      </c>
      <c r="M2519" s="7">
        <v>338.8</v>
      </c>
      <c r="N2519" s="7">
        <v>186.6</v>
      </c>
      <c r="O2519" s="7">
        <v>188.2</v>
      </c>
    </row>
    <row r="2520" spans="1:19" x14ac:dyDescent="0.2">
      <c r="A2520">
        <v>2519</v>
      </c>
      <c r="B2520" s="1">
        <v>40788</v>
      </c>
      <c r="C2520" t="s">
        <v>28</v>
      </c>
      <c r="D2520" s="7">
        <v>50</v>
      </c>
      <c r="E2520" s="7">
        <v>8</v>
      </c>
      <c r="F2520" s="7">
        <f t="shared" si="39"/>
        <v>6</v>
      </c>
      <c r="G2520" s="7" t="str">
        <f>LOOKUP(H2520,[1]startdates!$A$2:$A$10,[1]startdates!$B$2:$B$10)</f>
        <v>SMr</v>
      </c>
      <c r="H2520">
        <v>1</v>
      </c>
      <c r="M2520" s="7">
        <v>307.2</v>
      </c>
      <c r="N2520" s="7">
        <v>227.6</v>
      </c>
      <c r="O2520" s="7">
        <v>148.19999999999999</v>
      </c>
    </row>
    <row r="2521" spans="1:19" x14ac:dyDescent="0.2">
      <c r="A2521">
        <v>2520</v>
      </c>
      <c r="B2521" s="1">
        <v>40788</v>
      </c>
      <c r="C2521" t="s">
        <v>28</v>
      </c>
      <c r="D2521" s="7">
        <v>50</v>
      </c>
      <c r="E2521" s="7">
        <v>8</v>
      </c>
      <c r="F2521" s="7">
        <f t="shared" si="39"/>
        <v>6</v>
      </c>
      <c r="G2521" s="7" t="str">
        <f>LOOKUP(H2521,[1]startdates!$A$2:$A$10,[1]startdates!$B$2:$B$10)</f>
        <v>SMr</v>
      </c>
      <c r="H2521">
        <v>1</v>
      </c>
      <c r="N2521" s="7">
        <v>234.3</v>
      </c>
      <c r="O2521" s="7">
        <v>163.5</v>
      </c>
    </row>
    <row r="2522" spans="1:19" x14ac:dyDescent="0.2">
      <c r="A2522">
        <v>2521</v>
      </c>
      <c r="B2522" s="1">
        <v>40788</v>
      </c>
      <c r="C2522" t="s">
        <v>28</v>
      </c>
      <c r="D2522" s="7">
        <v>50</v>
      </c>
      <c r="E2522" s="7">
        <v>8</v>
      </c>
      <c r="F2522" s="7">
        <f t="shared" si="39"/>
        <v>6</v>
      </c>
      <c r="G2522" s="7" t="str">
        <f>LOOKUP(H2522,[1]startdates!$A$2:$A$10,[1]startdates!$B$2:$B$10)</f>
        <v>SMr</v>
      </c>
      <c r="H2522">
        <v>1</v>
      </c>
      <c r="N2522" s="7">
        <v>247.7</v>
      </c>
      <c r="O2522" s="7">
        <v>172.4</v>
      </c>
    </row>
    <row r="2523" spans="1:19" x14ac:dyDescent="0.2">
      <c r="A2523">
        <v>2522</v>
      </c>
      <c r="B2523" s="1">
        <v>40788</v>
      </c>
      <c r="C2523" t="s">
        <v>28</v>
      </c>
      <c r="D2523" s="7">
        <v>50</v>
      </c>
      <c r="E2523" s="7">
        <v>8</v>
      </c>
      <c r="F2523" s="7">
        <f t="shared" si="39"/>
        <v>6</v>
      </c>
      <c r="G2523" s="7" t="str">
        <f>LOOKUP(H2523,[1]startdates!$A$2:$A$10,[1]startdates!$B$2:$B$10)</f>
        <v>SMr</v>
      </c>
      <c r="H2523">
        <v>1</v>
      </c>
      <c r="N2523" s="7">
        <v>251.3</v>
      </c>
    </row>
    <row r="2524" spans="1:19" x14ac:dyDescent="0.2">
      <c r="A2524">
        <v>2523</v>
      </c>
      <c r="B2524" s="1">
        <v>40788</v>
      </c>
      <c r="C2524" t="s">
        <v>28</v>
      </c>
      <c r="D2524" s="7">
        <v>50</v>
      </c>
      <c r="E2524" s="7">
        <v>8</v>
      </c>
      <c r="F2524" s="7">
        <f t="shared" si="39"/>
        <v>6</v>
      </c>
      <c r="G2524" s="7" t="str">
        <f>LOOKUP(H2524,[1]startdates!$A$2:$A$10,[1]startdates!$B$2:$B$10)</f>
        <v>SMr</v>
      </c>
      <c r="H2524">
        <v>1</v>
      </c>
      <c r="N2524" s="7">
        <v>239.3</v>
      </c>
    </row>
    <row r="2525" spans="1:19" x14ac:dyDescent="0.2">
      <c r="A2525">
        <v>2524</v>
      </c>
      <c r="B2525" s="1">
        <v>40788</v>
      </c>
      <c r="C2525" t="s">
        <v>24</v>
      </c>
      <c r="D2525" s="7">
        <v>50</v>
      </c>
      <c r="E2525" s="7">
        <v>8</v>
      </c>
      <c r="F2525" s="7">
        <f t="shared" si="39"/>
        <v>6</v>
      </c>
      <c r="G2525" s="7" t="str">
        <f>LOOKUP(H2525,[1]startdates!$A$2:$A$10,[1]startdates!$B$2:$B$10)</f>
        <v>SMr</v>
      </c>
      <c r="H2525">
        <v>2</v>
      </c>
      <c r="I2525" s="7">
        <v>726.4</v>
      </c>
      <c r="J2525" s="7">
        <v>555.5</v>
      </c>
      <c r="K2525" s="7">
        <v>517.4</v>
      </c>
      <c r="L2525" s="7">
        <v>446.6</v>
      </c>
      <c r="M2525" s="7">
        <v>369.8</v>
      </c>
      <c r="N2525" s="7">
        <v>278.89999999999998</v>
      </c>
      <c r="O2525" s="7">
        <v>177.7</v>
      </c>
      <c r="Q2525" s="7">
        <v>341.1</v>
      </c>
      <c r="S2525" s="7">
        <v>260.2</v>
      </c>
    </row>
    <row r="2526" spans="1:19" x14ac:dyDescent="0.2">
      <c r="A2526">
        <v>2525</v>
      </c>
      <c r="B2526" s="1">
        <v>40788</v>
      </c>
      <c r="C2526" t="s">
        <v>24</v>
      </c>
      <c r="D2526" s="7">
        <v>50</v>
      </c>
      <c r="E2526" s="7">
        <v>8</v>
      </c>
      <c r="F2526" s="7">
        <f t="shared" si="39"/>
        <v>6</v>
      </c>
      <c r="G2526" s="7" t="str">
        <f>LOOKUP(H2526,[1]startdates!$A$2:$A$10,[1]startdates!$B$2:$B$10)</f>
        <v>SMr</v>
      </c>
      <c r="H2526">
        <v>2</v>
      </c>
      <c r="I2526" s="7">
        <v>717.3</v>
      </c>
      <c r="J2526" s="7">
        <v>518.4</v>
      </c>
      <c r="K2526" s="7">
        <v>483.2</v>
      </c>
      <c r="L2526" s="7">
        <v>466.7</v>
      </c>
      <c r="M2526" s="7">
        <v>385</v>
      </c>
      <c r="N2526" s="7">
        <v>232.1</v>
      </c>
      <c r="O2526" s="7">
        <v>176</v>
      </c>
    </row>
    <row r="2527" spans="1:19" x14ac:dyDescent="0.2">
      <c r="A2527">
        <v>2526</v>
      </c>
      <c r="B2527" s="1">
        <v>40788</v>
      </c>
      <c r="C2527" t="s">
        <v>24</v>
      </c>
      <c r="D2527" s="7">
        <v>50</v>
      </c>
      <c r="E2527" s="7">
        <v>8</v>
      </c>
      <c r="F2527" s="7">
        <f t="shared" si="39"/>
        <v>6</v>
      </c>
      <c r="G2527" s="7" t="str">
        <f>LOOKUP(H2527,[1]startdates!$A$2:$A$10,[1]startdates!$B$2:$B$10)</f>
        <v>SMr</v>
      </c>
      <c r="H2527">
        <v>2</v>
      </c>
      <c r="I2527" s="7">
        <v>634.5</v>
      </c>
      <c r="K2527" s="7">
        <v>500.2</v>
      </c>
      <c r="L2527" s="7">
        <v>432.4</v>
      </c>
      <c r="M2527" s="7">
        <v>302.3</v>
      </c>
      <c r="N2527" s="7">
        <v>253.6</v>
      </c>
      <c r="O2527" s="7">
        <v>173.1</v>
      </c>
    </row>
    <row r="2528" spans="1:19" x14ac:dyDescent="0.2">
      <c r="A2528">
        <v>2527</v>
      </c>
      <c r="B2528" s="1">
        <v>40788</v>
      </c>
      <c r="C2528" t="s">
        <v>24</v>
      </c>
      <c r="D2528" s="7">
        <v>50</v>
      </c>
      <c r="E2528" s="7">
        <v>8</v>
      </c>
      <c r="F2528" s="7">
        <f t="shared" si="39"/>
        <v>6</v>
      </c>
      <c r="G2528" s="7" t="str">
        <f>LOOKUP(H2528,[1]startdates!$A$2:$A$10,[1]startdates!$B$2:$B$10)</f>
        <v>SMr</v>
      </c>
      <c r="H2528">
        <v>2</v>
      </c>
      <c r="I2528" s="7">
        <v>663.5</v>
      </c>
      <c r="K2528" s="7">
        <v>643.79999999999995</v>
      </c>
      <c r="L2528" s="7">
        <v>433</v>
      </c>
      <c r="M2528" s="7">
        <v>315.60000000000002</v>
      </c>
      <c r="N2528" s="7">
        <v>221.7</v>
      </c>
    </row>
    <row r="2529" spans="1:15" x14ac:dyDescent="0.2">
      <c r="A2529">
        <v>2528</v>
      </c>
      <c r="B2529" s="1">
        <v>40788</v>
      </c>
      <c r="C2529" t="s">
        <v>24</v>
      </c>
      <c r="D2529" s="7">
        <v>50</v>
      </c>
      <c r="E2529" s="7">
        <v>8</v>
      </c>
      <c r="F2529" s="7">
        <f t="shared" si="39"/>
        <v>6</v>
      </c>
      <c r="G2529" s="7" t="str">
        <f>LOOKUP(H2529,[1]startdates!$A$2:$A$10,[1]startdates!$B$2:$B$10)</f>
        <v>SMr</v>
      </c>
      <c r="H2529">
        <v>2</v>
      </c>
      <c r="I2529" s="7">
        <v>724.6</v>
      </c>
      <c r="L2529" s="7">
        <v>459.5</v>
      </c>
      <c r="M2529" s="7">
        <v>324.8</v>
      </c>
      <c r="N2529" s="7">
        <v>246.1</v>
      </c>
    </row>
    <row r="2530" spans="1:15" x14ac:dyDescent="0.2">
      <c r="A2530">
        <v>2529</v>
      </c>
      <c r="B2530" s="1">
        <v>40788</v>
      </c>
      <c r="C2530" t="s">
        <v>24</v>
      </c>
      <c r="D2530" s="7">
        <v>50</v>
      </c>
      <c r="E2530" s="7">
        <v>8</v>
      </c>
      <c r="F2530" s="7">
        <f t="shared" si="39"/>
        <v>6</v>
      </c>
      <c r="G2530" s="7" t="str">
        <f>LOOKUP(H2530,[1]startdates!$A$2:$A$10,[1]startdates!$B$2:$B$10)</f>
        <v>SMr</v>
      </c>
      <c r="H2530">
        <v>2</v>
      </c>
      <c r="I2530" s="7">
        <v>642.20000000000005</v>
      </c>
      <c r="L2530" s="7">
        <v>518.4</v>
      </c>
      <c r="M2530" s="7">
        <v>363.4</v>
      </c>
      <c r="N2530" s="7">
        <v>219.1</v>
      </c>
    </row>
    <row r="2531" spans="1:15" x14ac:dyDescent="0.2">
      <c r="A2531">
        <v>2530</v>
      </c>
      <c r="B2531" s="1">
        <v>40788</v>
      </c>
      <c r="C2531" t="s">
        <v>24</v>
      </c>
      <c r="D2531" s="7">
        <v>50</v>
      </c>
      <c r="E2531" s="7">
        <v>8</v>
      </c>
      <c r="F2531" s="7">
        <f t="shared" si="39"/>
        <v>6</v>
      </c>
      <c r="G2531" s="7" t="str">
        <f>LOOKUP(H2531,[1]startdates!$A$2:$A$10,[1]startdates!$B$2:$B$10)</f>
        <v>SMr</v>
      </c>
      <c r="H2531">
        <v>2</v>
      </c>
      <c r="I2531" s="7">
        <v>606.6</v>
      </c>
      <c r="L2531" s="7">
        <v>366.3</v>
      </c>
      <c r="M2531" s="7">
        <v>327.8</v>
      </c>
      <c r="N2531" s="7">
        <v>202.6</v>
      </c>
    </row>
    <row r="2532" spans="1:15" x14ac:dyDescent="0.2">
      <c r="A2532">
        <v>2531</v>
      </c>
      <c r="B2532" s="1">
        <v>40788</v>
      </c>
      <c r="C2532" t="s">
        <v>24</v>
      </c>
      <c r="D2532" s="7">
        <v>50</v>
      </c>
      <c r="E2532" s="7">
        <v>8</v>
      </c>
      <c r="F2532" s="7">
        <f t="shared" si="39"/>
        <v>6</v>
      </c>
      <c r="G2532" s="7" t="str">
        <f>LOOKUP(H2532,[1]startdates!$A$2:$A$10,[1]startdates!$B$2:$B$10)</f>
        <v>SMr</v>
      </c>
      <c r="H2532">
        <v>2</v>
      </c>
      <c r="I2532" s="7">
        <v>668</v>
      </c>
      <c r="L2532" s="7">
        <v>412.8</v>
      </c>
      <c r="M2532" s="7">
        <v>327.3</v>
      </c>
      <c r="N2532" s="7">
        <v>251.7</v>
      </c>
    </row>
    <row r="2533" spans="1:15" x14ac:dyDescent="0.2">
      <c r="A2533">
        <v>2532</v>
      </c>
      <c r="B2533" s="1">
        <v>40788</v>
      </c>
      <c r="C2533" t="s">
        <v>24</v>
      </c>
      <c r="D2533" s="7">
        <v>50</v>
      </c>
      <c r="E2533" s="7">
        <v>8</v>
      </c>
      <c r="F2533" s="7">
        <f t="shared" si="39"/>
        <v>6</v>
      </c>
      <c r="G2533" s="7" t="str">
        <f>LOOKUP(H2533,[1]startdates!$A$2:$A$10,[1]startdates!$B$2:$B$10)</f>
        <v>SMr</v>
      </c>
      <c r="H2533">
        <v>2</v>
      </c>
      <c r="I2533" s="7">
        <v>543.9</v>
      </c>
      <c r="L2533" s="7">
        <v>470.4</v>
      </c>
      <c r="M2533" s="7">
        <v>268</v>
      </c>
      <c r="N2533" s="7">
        <v>234.5</v>
      </c>
    </row>
    <row r="2534" spans="1:15" x14ac:dyDescent="0.2">
      <c r="A2534">
        <v>2533</v>
      </c>
      <c r="B2534" s="1">
        <v>40788</v>
      </c>
      <c r="C2534" t="s">
        <v>24</v>
      </c>
      <c r="D2534" s="7">
        <v>50</v>
      </c>
      <c r="E2534" s="7">
        <v>8</v>
      </c>
      <c r="F2534" s="7">
        <f t="shared" si="39"/>
        <v>6</v>
      </c>
      <c r="G2534" s="7" t="str">
        <f>LOOKUP(H2534,[1]startdates!$A$2:$A$10,[1]startdates!$B$2:$B$10)</f>
        <v>SMr</v>
      </c>
      <c r="H2534">
        <v>2</v>
      </c>
      <c r="I2534" s="7">
        <v>644.79999999999995</v>
      </c>
      <c r="L2534" s="7">
        <v>422.8</v>
      </c>
      <c r="M2534" s="7">
        <v>357.4</v>
      </c>
      <c r="N2534" s="7">
        <v>228.2</v>
      </c>
    </row>
    <row r="2535" spans="1:15" x14ac:dyDescent="0.2">
      <c r="A2535">
        <v>2534</v>
      </c>
      <c r="B2535" s="1">
        <v>40788</v>
      </c>
      <c r="C2535" t="s">
        <v>24</v>
      </c>
      <c r="D2535" s="7">
        <v>50</v>
      </c>
      <c r="E2535" s="7">
        <v>8</v>
      </c>
      <c r="F2535" s="7">
        <f t="shared" si="39"/>
        <v>6</v>
      </c>
      <c r="G2535" s="7" t="str">
        <f>LOOKUP(H2535,[1]startdates!$A$2:$A$10,[1]startdates!$B$2:$B$10)</f>
        <v>SMr</v>
      </c>
      <c r="H2535">
        <v>2</v>
      </c>
      <c r="I2535" s="7">
        <v>710.7</v>
      </c>
      <c r="M2535" s="7">
        <v>280.8</v>
      </c>
      <c r="N2535" s="7">
        <v>242.2</v>
      </c>
    </row>
    <row r="2536" spans="1:15" x14ac:dyDescent="0.2">
      <c r="A2536">
        <v>2535</v>
      </c>
      <c r="B2536" s="1">
        <v>40788</v>
      </c>
      <c r="C2536" t="s">
        <v>24</v>
      </c>
      <c r="D2536" s="7">
        <v>50</v>
      </c>
      <c r="E2536" s="7">
        <v>8</v>
      </c>
      <c r="F2536" s="7">
        <f t="shared" si="39"/>
        <v>6</v>
      </c>
      <c r="G2536" s="7" t="str">
        <f>LOOKUP(H2536,[1]startdates!$A$2:$A$10,[1]startdates!$B$2:$B$10)</f>
        <v>SMr</v>
      </c>
      <c r="H2536">
        <v>2</v>
      </c>
      <c r="I2536" s="7">
        <v>711.1</v>
      </c>
      <c r="M2536" s="7">
        <v>270.60000000000002</v>
      </c>
      <c r="N2536" s="7">
        <v>234</v>
      </c>
    </row>
    <row r="2537" spans="1:15" x14ac:dyDescent="0.2">
      <c r="A2537">
        <v>2536</v>
      </c>
      <c r="B2537" s="1">
        <v>40788</v>
      </c>
      <c r="C2537" t="s">
        <v>24</v>
      </c>
      <c r="D2537" s="7">
        <v>50</v>
      </c>
      <c r="E2537" s="7">
        <v>8</v>
      </c>
      <c r="F2537" s="7">
        <f t="shared" ref="F2537:F2600" si="40">WEEKDAY(B2537)</f>
        <v>6</v>
      </c>
      <c r="G2537" s="7" t="str">
        <f>LOOKUP(H2537,[1]startdates!$A$2:$A$10,[1]startdates!$B$2:$B$10)</f>
        <v>SMr</v>
      </c>
      <c r="H2537">
        <v>2</v>
      </c>
      <c r="M2537" s="7">
        <v>406.3</v>
      </c>
      <c r="N2537" s="7">
        <v>241.5</v>
      </c>
    </row>
    <row r="2538" spans="1:15" x14ac:dyDescent="0.2">
      <c r="A2538">
        <v>2537</v>
      </c>
      <c r="B2538" s="1">
        <v>40788</v>
      </c>
      <c r="C2538" t="s">
        <v>24</v>
      </c>
      <c r="D2538" s="7">
        <v>50</v>
      </c>
      <c r="E2538" s="7">
        <v>8</v>
      </c>
      <c r="F2538" s="7">
        <f t="shared" si="40"/>
        <v>6</v>
      </c>
      <c r="G2538" s="7" t="str">
        <f>LOOKUP(H2538,[1]startdates!$A$2:$A$10,[1]startdates!$B$2:$B$10)</f>
        <v>C</v>
      </c>
      <c r="H2538">
        <v>3</v>
      </c>
      <c r="I2538" s="7">
        <v>726.4</v>
      </c>
      <c r="K2538" s="7">
        <v>646.70000000000005</v>
      </c>
      <c r="L2538" s="7">
        <v>509.7</v>
      </c>
      <c r="M2538" s="7">
        <v>290.5</v>
      </c>
      <c r="N2538" s="7">
        <v>213.3</v>
      </c>
      <c r="O2538" s="7">
        <v>166.7</v>
      </c>
    </row>
    <row r="2539" spans="1:15" x14ac:dyDescent="0.2">
      <c r="A2539">
        <v>2538</v>
      </c>
      <c r="B2539" s="1">
        <v>40788</v>
      </c>
      <c r="C2539" t="s">
        <v>24</v>
      </c>
      <c r="D2539" s="7">
        <v>50</v>
      </c>
      <c r="E2539" s="7">
        <v>8</v>
      </c>
      <c r="F2539" s="7">
        <f t="shared" si="40"/>
        <v>6</v>
      </c>
      <c r="G2539" s="7" t="str">
        <f>LOOKUP(H2539,[1]startdates!$A$2:$A$10,[1]startdates!$B$2:$B$10)</f>
        <v>C</v>
      </c>
      <c r="H2539">
        <v>3</v>
      </c>
      <c r="I2539" s="7">
        <v>811.9</v>
      </c>
      <c r="K2539" s="7">
        <v>601.70000000000005</v>
      </c>
      <c r="L2539" s="7">
        <v>458.5</v>
      </c>
      <c r="M2539" s="7">
        <v>311</v>
      </c>
      <c r="N2539" s="7">
        <v>189.5</v>
      </c>
      <c r="O2539" s="7">
        <v>193.8</v>
      </c>
    </row>
    <row r="2540" spans="1:15" x14ac:dyDescent="0.2">
      <c r="A2540">
        <v>2539</v>
      </c>
      <c r="B2540" s="1">
        <v>40788</v>
      </c>
      <c r="C2540" t="s">
        <v>24</v>
      </c>
      <c r="D2540" s="7">
        <v>50</v>
      </c>
      <c r="E2540" s="7">
        <v>8</v>
      </c>
      <c r="F2540" s="7">
        <f t="shared" si="40"/>
        <v>6</v>
      </c>
      <c r="G2540" s="7" t="str">
        <f>LOOKUP(H2540,[1]startdates!$A$2:$A$10,[1]startdates!$B$2:$B$10)</f>
        <v>C</v>
      </c>
      <c r="H2540">
        <v>3</v>
      </c>
      <c r="I2540" s="7">
        <v>643.9</v>
      </c>
      <c r="K2540" s="7">
        <v>559.5</v>
      </c>
      <c r="L2540" s="7">
        <v>448.5</v>
      </c>
      <c r="M2540" s="7">
        <v>321</v>
      </c>
      <c r="N2540" s="7">
        <v>251.7</v>
      </c>
      <c r="O2540" s="7">
        <v>203</v>
      </c>
    </row>
    <row r="2541" spans="1:15" x14ac:dyDescent="0.2">
      <c r="A2541">
        <v>2540</v>
      </c>
      <c r="B2541" s="1">
        <v>40788</v>
      </c>
      <c r="C2541" t="s">
        <v>24</v>
      </c>
      <c r="D2541" s="7">
        <v>50</v>
      </c>
      <c r="E2541" s="7">
        <v>8</v>
      </c>
      <c r="F2541" s="7">
        <f t="shared" si="40"/>
        <v>6</v>
      </c>
      <c r="G2541" s="7" t="str">
        <f>LOOKUP(H2541,[1]startdates!$A$2:$A$10,[1]startdates!$B$2:$B$10)</f>
        <v>C</v>
      </c>
      <c r="H2541">
        <v>3</v>
      </c>
      <c r="I2541" s="7">
        <v>700.2</v>
      </c>
      <c r="L2541" s="7">
        <v>416.1</v>
      </c>
      <c r="M2541" s="7">
        <v>341.1</v>
      </c>
      <c r="N2541" s="7">
        <v>210.9</v>
      </c>
      <c r="O2541" s="7">
        <v>153.1</v>
      </c>
    </row>
    <row r="2542" spans="1:15" x14ac:dyDescent="0.2">
      <c r="A2542">
        <v>2541</v>
      </c>
      <c r="B2542" s="1">
        <v>40788</v>
      </c>
      <c r="C2542" t="s">
        <v>24</v>
      </c>
      <c r="D2542" s="7">
        <v>50</v>
      </c>
      <c r="E2542" s="7">
        <v>8</v>
      </c>
      <c r="F2542" s="7">
        <f t="shared" si="40"/>
        <v>6</v>
      </c>
      <c r="G2542" s="7" t="str">
        <f>LOOKUP(H2542,[1]startdates!$A$2:$A$10,[1]startdates!$B$2:$B$10)</f>
        <v>C</v>
      </c>
      <c r="H2542">
        <v>3</v>
      </c>
      <c r="I2542" s="7">
        <v>704.6</v>
      </c>
      <c r="L2542" s="7">
        <v>491.7</v>
      </c>
      <c r="M2542" s="7">
        <v>384</v>
      </c>
      <c r="N2542" s="7">
        <v>201</v>
      </c>
      <c r="O2542" s="7">
        <v>164.4</v>
      </c>
    </row>
    <row r="2543" spans="1:15" x14ac:dyDescent="0.2">
      <c r="A2543">
        <v>2542</v>
      </c>
      <c r="B2543" s="1">
        <v>40788</v>
      </c>
      <c r="C2543" t="s">
        <v>24</v>
      </c>
      <c r="D2543" s="7">
        <v>50</v>
      </c>
      <c r="E2543" s="7">
        <v>8</v>
      </c>
      <c r="F2543" s="7">
        <f t="shared" si="40"/>
        <v>6</v>
      </c>
      <c r="G2543" s="7" t="str">
        <f>LOOKUP(H2543,[1]startdates!$A$2:$A$10,[1]startdates!$B$2:$B$10)</f>
        <v>C</v>
      </c>
      <c r="H2543">
        <v>3</v>
      </c>
      <c r="I2543" s="7">
        <v>725</v>
      </c>
      <c r="L2543" s="7">
        <v>460.9</v>
      </c>
      <c r="M2543" s="7">
        <v>363.7</v>
      </c>
      <c r="N2543" s="7">
        <v>236.7</v>
      </c>
      <c r="O2543" s="7">
        <v>143.6</v>
      </c>
    </row>
    <row r="2544" spans="1:15" x14ac:dyDescent="0.2">
      <c r="A2544">
        <v>2543</v>
      </c>
      <c r="B2544" s="1">
        <v>40788</v>
      </c>
      <c r="C2544" t="s">
        <v>24</v>
      </c>
      <c r="D2544" s="7">
        <v>50</v>
      </c>
      <c r="E2544" s="7">
        <v>8</v>
      </c>
      <c r="F2544" s="7">
        <f t="shared" si="40"/>
        <v>6</v>
      </c>
      <c r="G2544" s="7" t="str">
        <f>LOOKUP(H2544,[1]startdates!$A$2:$A$10,[1]startdates!$B$2:$B$10)</f>
        <v>C</v>
      </c>
      <c r="H2544">
        <v>3</v>
      </c>
      <c r="I2544" s="7">
        <v>744.6</v>
      </c>
      <c r="L2544" s="7">
        <v>429.5</v>
      </c>
      <c r="M2544" s="7">
        <v>369.8</v>
      </c>
      <c r="N2544" s="7">
        <v>200.1</v>
      </c>
      <c r="O2544" s="7">
        <v>181.1</v>
      </c>
    </row>
    <row r="2545" spans="1:18" x14ac:dyDescent="0.2">
      <c r="A2545">
        <v>2544</v>
      </c>
      <c r="B2545" s="1">
        <v>40788</v>
      </c>
      <c r="C2545" t="s">
        <v>24</v>
      </c>
      <c r="D2545" s="7">
        <v>50</v>
      </c>
      <c r="E2545" s="7">
        <v>8</v>
      </c>
      <c r="F2545" s="7">
        <f t="shared" si="40"/>
        <v>6</v>
      </c>
      <c r="G2545" s="7" t="str">
        <f>LOOKUP(H2545,[1]startdates!$A$2:$A$10,[1]startdates!$B$2:$B$10)</f>
        <v>C</v>
      </c>
      <c r="H2545">
        <v>3</v>
      </c>
      <c r="N2545" s="7">
        <v>232.4</v>
      </c>
      <c r="O2545" s="7">
        <v>183.4</v>
      </c>
    </row>
    <row r="2546" spans="1:18" x14ac:dyDescent="0.2">
      <c r="A2546">
        <v>2545</v>
      </c>
      <c r="B2546" s="1">
        <v>40788</v>
      </c>
      <c r="C2546" t="s">
        <v>24</v>
      </c>
      <c r="D2546" s="7">
        <v>50</v>
      </c>
      <c r="E2546" s="7">
        <v>8</v>
      </c>
      <c r="F2546" s="7">
        <f t="shared" si="40"/>
        <v>6</v>
      </c>
      <c r="G2546" s="7" t="str">
        <f>LOOKUP(H2546,[1]startdates!$A$2:$A$10,[1]startdates!$B$2:$B$10)</f>
        <v>C</v>
      </c>
      <c r="H2546">
        <v>3</v>
      </c>
      <c r="N2546" s="7">
        <v>206.7</v>
      </c>
      <c r="O2546" s="7">
        <v>163.5</v>
      </c>
    </row>
    <row r="2547" spans="1:18" x14ac:dyDescent="0.2">
      <c r="A2547">
        <v>2546</v>
      </c>
      <c r="B2547" s="1">
        <v>40788</v>
      </c>
      <c r="C2547" t="s">
        <v>24</v>
      </c>
      <c r="D2547" s="7">
        <v>50</v>
      </c>
      <c r="E2547" s="7">
        <v>8</v>
      </c>
      <c r="F2547" s="7">
        <f t="shared" si="40"/>
        <v>6</v>
      </c>
      <c r="G2547" s="7" t="str">
        <f>LOOKUP(H2547,[1]startdates!$A$2:$A$10,[1]startdates!$B$2:$B$10)</f>
        <v>C</v>
      </c>
      <c r="H2547">
        <v>3</v>
      </c>
      <c r="N2547" s="7">
        <v>242</v>
      </c>
      <c r="O2547" s="7">
        <v>179.8</v>
      </c>
    </row>
    <row r="2548" spans="1:18" x14ac:dyDescent="0.2">
      <c r="A2548">
        <v>2547</v>
      </c>
      <c r="B2548" s="1">
        <v>40788</v>
      </c>
      <c r="C2548" t="s">
        <v>24</v>
      </c>
      <c r="D2548" s="7">
        <v>50</v>
      </c>
      <c r="E2548" s="7">
        <v>8</v>
      </c>
      <c r="F2548" s="7">
        <f t="shared" si="40"/>
        <v>6</v>
      </c>
      <c r="G2548" s="7" t="str">
        <f>LOOKUP(H2548,[1]startdates!$A$2:$A$10,[1]startdates!$B$2:$B$10)</f>
        <v>C</v>
      </c>
      <c r="H2548">
        <v>3</v>
      </c>
      <c r="N2548" s="7">
        <v>197.3</v>
      </c>
      <c r="O2548" s="7">
        <v>200.3</v>
      </c>
    </row>
    <row r="2549" spans="1:18" x14ac:dyDescent="0.2">
      <c r="A2549">
        <v>2548</v>
      </c>
      <c r="B2549" s="1">
        <v>40788</v>
      </c>
      <c r="C2549" t="s">
        <v>24</v>
      </c>
      <c r="D2549" s="7">
        <v>50</v>
      </c>
      <c r="E2549" s="7">
        <v>8</v>
      </c>
      <c r="F2549" s="7">
        <f t="shared" si="40"/>
        <v>6</v>
      </c>
      <c r="G2549" s="7" t="str">
        <f>LOOKUP(H2549,[1]startdates!$A$2:$A$10,[1]startdates!$B$2:$B$10)</f>
        <v>C</v>
      </c>
      <c r="H2549">
        <v>3</v>
      </c>
      <c r="O2549" s="7">
        <v>164.7</v>
      </c>
    </row>
    <row r="2550" spans="1:18" x14ac:dyDescent="0.2">
      <c r="A2550">
        <v>2549</v>
      </c>
      <c r="B2550" s="1">
        <v>40788</v>
      </c>
      <c r="C2550" t="s">
        <v>24</v>
      </c>
      <c r="D2550" s="7">
        <v>50</v>
      </c>
      <c r="E2550" s="7">
        <v>8</v>
      </c>
      <c r="F2550" s="7">
        <f t="shared" si="40"/>
        <v>6</v>
      </c>
      <c r="G2550" s="7" t="str">
        <f>LOOKUP(H2550,[1]startdates!$A$2:$A$10,[1]startdates!$B$2:$B$10)</f>
        <v>C</v>
      </c>
      <c r="H2550">
        <v>3</v>
      </c>
      <c r="O2550" s="7">
        <v>171.6</v>
      </c>
    </row>
    <row r="2551" spans="1:18" x14ac:dyDescent="0.2">
      <c r="A2551">
        <v>2550</v>
      </c>
      <c r="B2551" s="1">
        <v>40788</v>
      </c>
      <c r="C2551" t="s">
        <v>24</v>
      </c>
      <c r="D2551" s="7">
        <v>50</v>
      </c>
      <c r="E2551" s="7">
        <v>8</v>
      </c>
      <c r="F2551" s="7">
        <f t="shared" si="40"/>
        <v>6</v>
      </c>
      <c r="G2551" s="7" t="str">
        <f>LOOKUP(H2551,[1]startdates!$A$2:$A$10,[1]startdates!$B$2:$B$10)</f>
        <v>C</v>
      </c>
      <c r="H2551">
        <v>3</v>
      </c>
      <c r="O2551" s="7">
        <v>158.69999999999999</v>
      </c>
    </row>
    <row r="2552" spans="1:18" x14ac:dyDescent="0.2">
      <c r="A2552">
        <v>2551</v>
      </c>
      <c r="B2552" s="1">
        <v>40788</v>
      </c>
      <c r="C2552" t="s">
        <v>24</v>
      </c>
      <c r="D2552" s="7">
        <v>50</v>
      </c>
      <c r="E2552" s="7">
        <v>8</v>
      </c>
      <c r="F2552" s="7">
        <f t="shared" si="40"/>
        <v>6</v>
      </c>
      <c r="G2552" s="7" t="str">
        <f>LOOKUP(H2552,[1]startdates!$A$2:$A$10,[1]startdates!$B$2:$B$10)</f>
        <v>SMr</v>
      </c>
      <c r="H2552">
        <v>4</v>
      </c>
      <c r="I2552" s="7">
        <v>736</v>
      </c>
      <c r="J2552" s="7">
        <v>595.1</v>
      </c>
      <c r="K2552" s="7">
        <v>468.8</v>
      </c>
      <c r="L2552" s="7">
        <v>432</v>
      </c>
      <c r="M2552" s="7">
        <v>339.4</v>
      </c>
      <c r="N2552" s="7">
        <v>228.9</v>
      </c>
      <c r="O2552" s="7">
        <v>190.5</v>
      </c>
      <c r="R2552" s="7">
        <v>254.3</v>
      </c>
    </row>
    <row r="2553" spans="1:18" x14ac:dyDescent="0.2">
      <c r="A2553">
        <v>2552</v>
      </c>
      <c r="B2553" s="1">
        <v>40788</v>
      </c>
      <c r="C2553" t="s">
        <v>24</v>
      </c>
      <c r="D2553" s="7">
        <v>50</v>
      </c>
      <c r="E2553" s="7">
        <v>8</v>
      </c>
      <c r="F2553" s="7">
        <f t="shared" si="40"/>
        <v>6</v>
      </c>
      <c r="G2553" s="7" t="str">
        <f>LOOKUP(H2553,[1]startdates!$A$2:$A$10,[1]startdates!$B$2:$B$10)</f>
        <v>SMr</v>
      </c>
      <c r="H2553">
        <v>4</v>
      </c>
      <c r="I2553" s="7">
        <v>741.2</v>
      </c>
      <c r="K2553" s="7">
        <v>558.79999999999995</v>
      </c>
      <c r="L2553" s="7">
        <v>452.9</v>
      </c>
      <c r="M2553" s="7">
        <v>346.6</v>
      </c>
      <c r="N2553" s="7">
        <v>220.7</v>
      </c>
      <c r="O2553" s="7">
        <v>170.4</v>
      </c>
    </row>
    <row r="2554" spans="1:18" x14ac:dyDescent="0.2">
      <c r="A2554">
        <v>2553</v>
      </c>
      <c r="B2554" s="1">
        <v>40788</v>
      </c>
      <c r="C2554" t="s">
        <v>24</v>
      </c>
      <c r="D2554" s="7">
        <v>50</v>
      </c>
      <c r="E2554" s="7">
        <v>8</v>
      </c>
      <c r="F2554" s="7">
        <f t="shared" si="40"/>
        <v>6</v>
      </c>
      <c r="G2554" s="7" t="str">
        <f>LOOKUP(H2554,[1]startdates!$A$2:$A$10,[1]startdates!$B$2:$B$10)</f>
        <v>SMr</v>
      </c>
      <c r="H2554">
        <v>4</v>
      </c>
      <c r="I2554" s="7">
        <v>762.8</v>
      </c>
      <c r="K2554" s="7">
        <v>633.1</v>
      </c>
      <c r="L2554" s="7">
        <v>383.3</v>
      </c>
      <c r="M2554" s="7">
        <v>334.7</v>
      </c>
      <c r="N2554" s="7">
        <v>229</v>
      </c>
      <c r="O2554" s="7">
        <v>192.7</v>
      </c>
    </row>
    <row r="2555" spans="1:18" x14ac:dyDescent="0.2">
      <c r="A2555">
        <v>2554</v>
      </c>
      <c r="B2555" s="1">
        <v>40788</v>
      </c>
      <c r="C2555" t="s">
        <v>24</v>
      </c>
      <c r="D2555" s="7">
        <v>50</v>
      </c>
      <c r="E2555" s="7">
        <v>8</v>
      </c>
      <c r="F2555" s="7">
        <f t="shared" si="40"/>
        <v>6</v>
      </c>
      <c r="G2555" s="7" t="str">
        <f>LOOKUP(H2555,[1]startdates!$A$2:$A$10,[1]startdates!$B$2:$B$10)</f>
        <v>SMr</v>
      </c>
      <c r="H2555">
        <v>4</v>
      </c>
      <c r="I2555" s="7">
        <v>720.9</v>
      </c>
      <c r="K2555" s="7">
        <v>596.6</v>
      </c>
      <c r="L2555" s="7">
        <v>458.7</v>
      </c>
      <c r="M2555" s="7">
        <v>315.2</v>
      </c>
      <c r="N2555" s="7">
        <v>223.1</v>
      </c>
      <c r="O2555" s="7">
        <v>202.8</v>
      </c>
    </row>
    <row r="2556" spans="1:18" x14ac:dyDescent="0.2">
      <c r="A2556">
        <v>2555</v>
      </c>
      <c r="B2556" s="1">
        <v>40788</v>
      </c>
      <c r="C2556" t="s">
        <v>24</v>
      </c>
      <c r="D2556" s="7">
        <v>50</v>
      </c>
      <c r="E2556" s="7">
        <v>8</v>
      </c>
      <c r="F2556" s="7">
        <f t="shared" si="40"/>
        <v>6</v>
      </c>
      <c r="G2556" s="7" t="str">
        <f>LOOKUP(H2556,[1]startdates!$A$2:$A$10,[1]startdates!$B$2:$B$10)</f>
        <v>SMr</v>
      </c>
      <c r="H2556">
        <v>4</v>
      </c>
      <c r="I2556" s="7">
        <v>722.2</v>
      </c>
      <c r="K2556" s="7">
        <v>685.5</v>
      </c>
      <c r="L2556" s="7">
        <v>404.7</v>
      </c>
      <c r="M2556" s="7">
        <v>327.5</v>
      </c>
      <c r="N2556" s="7">
        <v>223.6</v>
      </c>
      <c r="O2556" s="7">
        <v>178.1</v>
      </c>
    </row>
    <row r="2557" spans="1:18" x14ac:dyDescent="0.2">
      <c r="A2557">
        <v>2556</v>
      </c>
      <c r="B2557" s="1">
        <v>40788</v>
      </c>
      <c r="C2557" t="s">
        <v>24</v>
      </c>
      <c r="D2557" s="7">
        <v>50</v>
      </c>
      <c r="E2557" s="7">
        <v>8</v>
      </c>
      <c r="F2557" s="7">
        <f t="shared" si="40"/>
        <v>6</v>
      </c>
      <c r="G2557" s="7" t="str">
        <f>LOOKUP(H2557,[1]startdates!$A$2:$A$10,[1]startdates!$B$2:$B$10)</f>
        <v>SMr</v>
      </c>
      <c r="H2557">
        <v>4</v>
      </c>
      <c r="I2557" s="7">
        <v>794.1</v>
      </c>
      <c r="K2557" s="7">
        <v>567.6</v>
      </c>
      <c r="L2557" s="7">
        <v>415</v>
      </c>
      <c r="M2557" s="7">
        <v>312.8</v>
      </c>
      <c r="N2557" s="7">
        <v>244.8</v>
      </c>
      <c r="O2557" s="7">
        <v>180</v>
      </c>
    </row>
    <row r="2558" spans="1:18" x14ac:dyDescent="0.2">
      <c r="A2558">
        <v>2557</v>
      </c>
      <c r="B2558" s="1">
        <v>40788</v>
      </c>
      <c r="C2558" t="s">
        <v>24</v>
      </c>
      <c r="D2558" s="7">
        <v>50</v>
      </c>
      <c r="E2558" s="7">
        <v>8</v>
      </c>
      <c r="F2558" s="7">
        <f t="shared" si="40"/>
        <v>6</v>
      </c>
      <c r="G2558" s="7" t="str">
        <f>LOOKUP(H2558,[1]startdates!$A$2:$A$10,[1]startdates!$B$2:$B$10)</f>
        <v>SMr</v>
      </c>
      <c r="H2558">
        <v>4</v>
      </c>
      <c r="K2558" s="7">
        <v>661.3</v>
      </c>
      <c r="L2558" s="7">
        <v>410</v>
      </c>
      <c r="M2558" s="7">
        <v>309</v>
      </c>
      <c r="N2558" s="7">
        <v>277.60000000000002</v>
      </c>
      <c r="O2558" s="7">
        <v>197.1</v>
      </c>
    </row>
    <row r="2559" spans="1:18" x14ac:dyDescent="0.2">
      <c r="A2559">
        <v>2558</v>
      </c>
      <c r="B2559" s="1">
        <v>40788</v>
      </c>
      <c r="C2559" t="s">
        <v>24</v>
      </c>
      <c r="D2559" s="7">
        <v>50</v>
      </c>
      <c r="E2559" s="7">
        <v>8</v>
      </c>
      <c r="F2559" s="7">
        <f t="shared" si="40"/>
        <v>6</v>
      </c>
      <c r="G2559" s="7" t="str">
        <f>LOOKUP(H2559,[1]startdates!$A$2:$A$10,[1]startdates!$B$2:$B$10)</f>
        <v>SMr</v>
      </c>
      <c r="H2559">
        <v>4</v>
      </c>
      <c r="K2559" s="7">
        <v>513</v>
      </c>
      <c r="M2559" s="7">
        <v>358.3</v>
      </c>
      <c r="N2559" s="7">
        <v>204.2</v>
      </c>
      <c r="O2559" s="7">
        <v>174.9</v>
      </c>
    </row>
    <row r="2560" spans="1:18" x14ac:dyDescent="0.2">
      <c r="A2560">
        <v>2559</v>
      </c>
      <c r="B2560" s="1">
        <v>40788</v>
      </c>
      <c r="C2560" t="s">
        <v>24</v>
      </c>
      <c r="D2560" s="7">
        <v>50</v>
      </c>
      <c r="E2560" s="7">
        <v>8</v>
      </c>
      <c r="F2560" s="7">
        <f t="shared" si="40"/>
        <v>6</v>
      </c>
      <c r="G2560" s="7" t="str">
        <f>LOOKUP(H2560,[1]startdates!$A$2:$A$10,[1]startdates!$B$2:$B$10)</f>
        <v>SMr</v>
      </c>
      <c r="H2560">
        <v>4</v>
      </c>
      <c r="M2560" s="7">
        <v>306.5</v>
      </c>
      <c r="N2560" s="7">
        <v>211.4</v>
      </c>
      <c r="O2560" s="7">
        <v>177.8</v>
      </c>
    </row>
    <row r="2561" spans="1:18" x14ac:dyDescent="0.2">
      <c r="A2561">
        <v>2560</v>
      </c>
      <c r="B2561" s="1">
        <v>40788</v>
      </c>
      <c r="C2561" t="s">
        <v>24</v>
      </c>
      <c r="D2561" s="7">
        <v>50</v>
      </c>
      <c r="E2561" s="7">
        <v>8</v>
      </c>
      <c r="F2561" s="7">
        <f t="shared" si="40"/>
        <v>6</v>
      </c>
      <c r="G2561" s="7" t="str">
        <f>LOOKUP(H2561,[1]startdates!$A$2:$A$10,[1]startdates!$B$2:$B$10)</f>
        <v>SMr</v>
      </c>
      <c r="H2561">
        <v>4</v>
      </c>
      <c r="M2561" s="7">
        <v>339.5</v>
      </c>
      <c r="N2561" s="7">
        <v>225.3</v>
      </c>
      <c r="O2561" s="7">
        <v>175</v>
      </c>
    </row>
    <row r="2562" spans="1:18" x14ac:dyDescent="0.2">
      <c r="A2562">
        <v>2561</v>
      </c>
      <c r="B2562" s="1">
        <v>40788</v>
      </c>
      <c r="C2562" t="s">
        <v>24</v>
      </c>
      <c r="D2562" s="7">
        <v>50</v>
      </c>
      <c r="E2562" s="7">
        <v>8</v>
      </c>
      <c r="F2562" s="7">
        <f t="shared" si="40"/>
        <v>6</v>
      </c>
      <c r="G2562" s="7" t="str">
        <f>LOOKUP(H2562,[1]startdates!$A$2:$A$10,[1]startdates!$B$2:$B$10)</f>
        <v>SMr</v>
      </c>
      <c r="H2562">
        <v>4</v>
      </c>
      <c r="M2562" s="7">
        <v>342.2</v>
      </c>
      <c r="N2562" s="7">
        <v>218</v>
      </c>
      <c r="O2562" s="7">
        <v>174.6</v>
      </c>
    </row>
    <row r="2563" spans="1:18" x14ac:dyDescent="0.2">
      <c r="A2563">
        <v>2562</v>
      </c>
      <c r="B2563" s="1">
        <v>40788</v>
      </c>
      <c r="C2563" t="s">
        <v>24</v>
      </c>
      <c r="D2563" s="7">
        <v>50</v>
      </c>
      <c r="E2563" s="7">
        <v>8</v>
      </c>
      <c r="F2563" s="7">
        <f t="shared" si="40"/>
        <v>6</v>
      </c>
      <c r="G2563" s="7" t="str">
        <f>LOOKUP(H2563,[1]startdates!$A$2:$A$10,[1]startdates!$B$2:$B$10)</f>
        <v>SMr</v>
      </c>
      <c r="H2563">
        <v>4</v>
      </c>
      <c r="M2563" s="7">
        <v>242.3</v>
      </c>
      <c r="N2563" s="7">
        <v>244.1</v>
      </c>
    </row>
    <row r="2564" spans="1:18" x14ac:dyDescent="0.2">
      <c r="A2564">
        <v>2563</v>
      </c>
      <c r="B2564" s="1">
        <v>40788</v>
      </c>
      <c r="C2564" t="s">
        <v>24</v>
      </c>
      <c r="D2564" s="7">
        <v>50</v>
      </c>
      <c r="E2564" s="7">
        <v>8</v>
      </c>
      <c r="F2564" s="7">
        <f t="shared" si="40"/>
        <v>6</v>
      </c>
      <c r="G2564" s="7" t="str">
        <f>LOOKUP(H2564,[1]startdates!$A$2:$A$10,[1]startdates!$B$2:$B$10)</f>
        <v>SMr</v>
      </c>
      <c r="H2564">
        <v>4</v>
      </c>
      <c r="M2564" s="7">
        <v>320.7</v>
      </c>
      <c r="N2564" s="7">
        <v>243</v>
      </c>
    </row>
    <row r="2565" spans="1:18" x14ac:dyDescent="0.2">
      <c r="A2565">
        <v>2564</v>
      </c>
      <c r="B2565" s="1">
        <v>40788</v>
      </c>
      <c r="C2565" t="s">
        <v>24</v>
      </c>
      <c r="D2565" s="7">
        <v>50</v>
      </c>
      <c r="E2565" s="7">
        <v>8</v>
      </c>
      <c r="F2565" s="7">
        <f t="shared" si="40"/>
        <v>6</v>
      </c>
      <c r="G2565" s="7" t="str">
        <f>LOOKUP(H2565,[1]startdates!$A$2:$A$10,[1]startdates!$B$2:$B$10)</f>
        <v>SMr</v>
      </c>
      <c r="H2565">
        <v>4</v>
      </c>
      <c r="M2565" s="7">
        <v>276.2</v>
      </c>
      <c r="N2565" s="7">
        <v>199.6</v>
      </c>
    </row>
    <row r="2566" spans="1:18" x14ac:dyDescent="0.2">
      <c r="A2566">
        <v>2565</v>
      </c>
      <c r="B2566" s="1">
        <v>40788</v>
      </c>
      <c r="C2566" t="s">
        <v>24</v>
      </c>
      <c r="D2566" s="7">
        <v>50</v>
      </c>
      <c r="E2566" s="7">
        <v>8</v>
      </c>
      <c r="F2566" s="7">
        <f t="shared" si="40"/>
        <v>6</v>
      </c>
      <c r="G2566" s="7" t="str">
        <f>LOOKUP(H2566,[1]startdates!$A$2:$A$10,[1]startdates!$B$2:$B$10)</f>
        <v>SMr</v>
      </c>
      <c r="H2566">
        <v>4</v>
      </c>
      <c r="M2566" s="7">
        <v>276.2</v>
      </c>
      <c r="N2566" s="7">
        <v>204.5</v>
      </c>
    </row>
    <row r="2567" spans="1:18" x14ac:dyDescent="0.2">
      <c r="A2567">
        <v>2566</v>
      </c>
      <c r="B2567" s="1">
        <v>40788</v>
      </c>
      <c r="C2567" t="s">
        <v>24</v>
      </c>
      <c r="D2567" s="7">
        <v>50</v>
      </c>
      <c r="E2567" s="7">
        <v>8</v>
      </c>
      <c r="F2567" s="7">
        <f t="shared" si="40"/>
        <v>6</v>
      </c>
      <c r="G2567" s="7" t="str">
        <f>LOOKUP(H2567,[1]startdates!$A$2:$A$10,[1]startdates!$B$2:$B$10)</f>
        <v>SMr</v>
      </c>
      <c r="H2567">
        <v>4</v>
      </c>
      <c r="M2567" s="7">
        <v>313.5</v>
      </c>
      <c r="N2567" s="7">
        <v>187.5</v>
      </c>
    </row>
    <row r="2568" spans="1:18" x14ac:dyDescent="0.2">
      <c r="A2568">
        <v>2567</v>
      </c>
      <c r="B2568" s="1">
        <v>40788</v>
      </c>
      <c r="C2568" t="s">
        <v>24</v>
      </c>
      <c r="D2568" s="7">
        <v>50</v>
      </c>
      <c r="E2568" s="7">
        <v>8</v>
      </c>
      <c r="F2568" s="7">
        <f t="shared" si="40"/>
        <v>6</v>
      </c>
      <c r="G2568" s="7" t="str">
        <f>LOOKUP(H2568,[1]startdates!$A$2:$A$10,[1]startdates!$B$2:$B$10)</f>
        <v>SMr</v>
      </c>
      <c r="H2568">
        <v>4</v>
      </c>
      <c r="M2568" s="7">
        <v>290</v>
      </c>
      <c r="N2568" s="7">
        <v>235</v>
      </c>
    </row>
    <row r="2569" spans="1:18" x14ac:dyDescent="0.2">
      <c r="A2569">
        <v>2568</v>
      </c>
      <c r="B2569" s="1">
        <v>40788</v>
      </c>
      <c r="C2569" t="s">
        <v>24</v>
      </c>
      <c r="D2569" s="7">
        <v>50</v>
      </c>
      <c r="E2569" s="7">
        <v>8</v>
      </c>
      <c r="F2569" s="7">
        <f t="shared" si="40"/>
        <v>6</v>
      </c>
      <c r="G2569" s="7" t="str">
        <f>LOOKUP(H2569,[1]startdates!$A$2:$A$10,[1]startdates!$B$2:$B$10)</f>
        <v>SMr</v>
      </c>
      <c r="H2569">
        <v>4</v>
      </c>
      <c r="M2569" s="7">
        <v>364.5</v>
      </c>
      <c r="N2569" s="7">
        <v>238.1</v>
      </c>
    </row>
    <row r="2570" spans="1:18" x14ac:dyDescent="0.2">
      <c r="A2570">
        <v>2569</v>
      </c>
      <c r="B2570" s="1">
        <v>40788</v>
      </c>
      <c r="C2570" t="s">
        <v>24</v>
      </c>
      <c r="D2570" s="7">
        <v>50</v>
      </c>
      <c r="E2570" s="7">
        <v>8</v>
      </c>
      <c r="F2570" s="7">
        <f t="shared" si="40"/>
        <v>6</v>
      </c>
      <c r="G2570" s="7" t="str">
        <f>LOOKUP(H2570,[1]startdates!$A$2:$A$10,[1]startdates!$B$2:$B$10)</f>
        <v>SMr</v>
      </c>
      <c r="H2570">
        <v>4</v>
      </c>
      <c r="N2570" s="7">
        <v>211.5</v>
      </c>
    </row>
    <row r="2571" spans="1:18" x14ac:dyDescent="0.2">
      <c r="A2571">
        <v>2570</v>
      </c>
      <c r="B2571" s="1">
        <v>40788</v>
      </c>
      <c r="C2571" t="s">
        <v>24</v>
      </c>
      <c r="D2571" s="7">
        <v>50</v>
      </c>
      <c r="E2571" s="7">
        <v>8</v>
      </c>
      <c r="F2571" s="7">
        <f t="shared" si="40"/>
        <v>6</v>
      </c>
      <c r="G2571" s="7" t="str">
        <f>LOOKUP(H2571,[1]startdates!$A$2:$A$10,[1]startdates!$B$2:$B$10)</f>
        <v>SMr</v>
      </c>
      <c r="H2571">
        <v>4</v>
      </c>
      <c r="N2571" s="7">
        <v>194.9</v>
      </c>
    </row>
    <row r="2572" spans="1:18" x14ac:dyDescent="0.2">
      <c r="A2572">
        <v>2571</v>
      </c>
      <c r="B2572" s="1">
        <v>40788</v>
      </c>
      <c r="C2572" t="s">
        <v>24</v>
      </c>
      <c r="D2572" s="7">
        <v>50</v>
      </c>
      <c r="E2572" s="7">
        <v>8</v>
      </c>
      <c r="F2572" s="7">
        <f t="shared" si="40"/>
        <v>6</v>
      </c>
      <c r="G2572" s="7" t="str">
        <f>LOOKUP(H2572,[1]startdates!$A$2:$A$10,[1]startdates!$B$2:$B$10)</f>
        <v>SMr</v>
      </c>
      <c r="H2572">
        <v>4</v>
      </c>
      <c r="N2572" s="7">
        <v>211</v>
      </c>
    </row>
    <row r="2573" spans="1:18" x14ac:dyDescent="0.2">
      <c r="A2573">
        <v>2572</v>
      </c>
      <c r="B2573" s="1">
        <v>40788</v>
      </c>
      <c r="C2573" t="s">
        <v>24</v>
      </c>
      <c r="D2573" s="7">
        <v>50</v>
      </c>
      <c r="E2573" s="7">
        <v>8</v>
      </c>
      <c r="F2573" s="7">
        <f t="shared" si="40"/>
        <v>6</v>
      </c>
      <c r="G2573" s="7" t="str">
        <f>LOOKUP(H2573,[1]startdates!$A$2:$A$10,[1]startdates!$B$2:$B$10)</f>
        <v>C</v>
      </c>
      <c r="H2573">
        <v>5</v>
      </c>
      <c r="I2573" s="7">
        <v>818.3</v>
      </c>
      <c r="J2573" s="7">
        <v>514.1</v>
      </c>
      <c r="K2573" s="7">
        <v>449.8</v>
      </c>
      <c r="L2573" s="7">
        <v>462.1</v>
      </c>
      <c r="M2573" s="7">
        <v>337.1</v>
      </c>
      <c r="N2573" s="7">
        <v>209.4</v>
      </c>
      <c r="O2573" s="7">
        <v>176</v>
      </c>
      <c r="Q2573" s="7">
        <v>347.4</v>
      </c>
      <c r="R2573" s="7">
        <v>273.7</v>
      </c>
    </row>
    <row r="2574" spans="1:18" x14ac:dyDescent="0.2">
      <c r="A2574">
        <v>2573</v>
      </c>
      <c r="B2574" s="1">
        <v>40788</v>
      </c>
      <c r="C2574" t="s">
        <v>24</v>
      </c>
      <c r="D2574" s="7">
        <v>50</v>
      </c>
      <c r="E2574" s="7">
        <v>8</v>
      </c>
      <c r="F2574" s="7">
        <f t="shared" si="40"/>
        <v>6</v>
      </c>
      <c r="G2574" s="7" t="str">
        <f>LOOKUP(H2574,[1]startdates!$A$2:$A$10,[1]startdates!$B$2:$B$10)</f>
        <v>C</v>
      </c>
      <c r="H2574">
        <v>5</v>
      </c>
      <c r="I2574" s="7">
        <v>656.1</v>
      </c>
      <c r="J2574" s="7">
        <v>476</v>
      </c>
      <c r="K2574" s="7">
        <v>638.20000000000005</v>
      </c>
      <c r="L2574" s="7">
        <v>409.8</v>
      </c>
      <c r="M2574" s="7">
        <v>348</v>
      </c>
      <c r="N2574" s="7">
        <v>187.8</v>
      </c>
      <c r="O2574" s="7">
        <v>185.2</v>
      </c>
    </row>
    <row r="2575" spans="1:18" x14ac:dyDescent="0.2">
      <c r="A2575">
        <v>2574</v>
      </c>
      <c r="B2575" s="1">
        <v>40788</v>
      </c>
      <c r="C2575" t="s">
        <v>24</v>
      </c>
      <c r="D2575" s="7">
        <v>50</v>
      </c>
      <c r="E2575" s="7">
        <v>8</v>
      </c>
      <c r="F2575" s="7">
        <f t="shared" si="40"/>
        <v>6</v>
      </c>
      <c r="G2575" s="7" t="str">
        <f>LOOKUP(H2575,[1]startdates!$A$2:$A$10,[1]startdates!$B$2:$B$10)</f>
        <v>C</v>
      </c>
      <c r="H2575">
        <v>5</v>
      </c>
      <c r="I2575" s="7">
        <v>703.7</v>
      </c>
      <c r="J2575" s="7">
        <v>523.6</v>
      </c>
      <c r="K2575" s="7">
        <v>596.20000000000005</v>
      </c>
      <c r="L2575" s="7">
        <v>490.6</v>
      </c>
      <c r="M2575" s="7">
        <v>343.2</v>
      </c>
      <c r="N2575" s="7">
        <v>258.39999999999998</v>
      </c>
      <c r="O2575" s="7">
        <v>171.2</v>
      </c>
    </row>
    <row r="2576" spans="1:18" x14ac:dyDescent="0.2">
      <c r="A2576">
        <v>2575</v>
      </c>
      <c r="B2576" s="1">
        <v>40788</v>
      </c>
      <c r="C2576" t="s">
        <v>24</v>
      </c>
      <c r="D2576" s="7">
        <v>50</v>
      </c>
      <c r="E2576" s="7">
        <v>8</v>
      </c>
      <c r="F2576" s="7">
        <f t="shared" si="40"/>
        <v>6</v>
      </c>
      <c r="G2576" s="7" t="str">
        <f>LOOKUP(H2576,[1]startdates!$A$2:$A$10,[1]startdates!$B$2:$B$10)</f>
        <v>C</v>
      </c>
      <c r="H2576">
        <v>5</v>
      </c>
      <c r="I2576" s="7">
        <v>570.6</v>
      </c>
      <c r="K2576" s="7">
        <v>517.9</v>
      </c>
      <c r="L2576" s="7">
        <v>473.3</v>
      </c>
      <c r="M2576" s="7">
        <v>291.60000000000002</v>
      </c>
      <c r="N2576" s="7">
        <v>204.7</v>
      </c>
      <c r="O2576" s="7">
        <v>148.4</v>
      </c>
    </row>
    <row r="2577" spans="1:19" x14ac:dyDescent="0.2">
      <c r="A2577">
        <v>2576</v>
      </c>
      <c r="B2577" s="1">
        <v>40788</v>
      </c>
      <c r="C2577" t="s">
        <v>24</v>
      </c>
      <c r="D2577" s="7">
        <v>50</v>
      </c>
      <c r="E2577" s="7">
        <v>8</v>
      </c>
      <c r="F2577" s="7">
        <f t="shared" si="40"/>
        <v>6</v>
      </c>
      <c r="G2577" s="7" t="str">
        <f>LOOKUP(H2577,[1]startdates!$A$2:$A$10,[1]startdates!$B$2:$B$10)</f>
        <v>C</v>
      </c>
      <c r="H2577">
        <v>5</v>
      </c>
      <c r="I2577" s="7">
        <v>604.29999999999995</v>
      </c>
      <c r="K2577" s="7">
        <v>615.70000000000005</v>
      </c>
      <c r="L2577" s="7">
        <v>466.9</v>
      </c>
      <c r="M2577" s="7">
        <v>331.4</v>
      </c>
      <c r="N2577" s="7">
        <v>252.6</v>
      </c>
      <c r="O2577" s="7">
        <v>178.6</v>
      </c>
    </row>
    <row r="2578" spans="1:19" x14ac:dyDescent="0.2">
      <c r="A2578">
        <v>2577</v>
      </c>
      <c r="B2578" s="1">
        <v>40788</v>
      </c>
      <c r="C2578" t="s">
        <v>24</v>
      </c>
      <c r="D2578" s="7">
        <v>50</v>
      </c>
      <c r="E2578" s="7">
        <v>8</v>
      </c>
      <c r="F2578" s="7">
        <f t="shared" si="40"/>
        <v>6</v>
      </c>
      <c r="G2578" s="7" t="str">
        <f>LOOKUP(H2578,[1]startdates!$A$2:$A$10,[1]startdates!$B$2:$B$10)</f>
        <v>C</v>
      </c>
      <c r="H2578">
        <v>5</v>
      </c>
      <c r="K2578" s="7">
        <v>564</v>
      </c>
      <c r="M2578" s="7">
        <v>385</v>
      </c>
      <c r="N2578" s="7">
        <v>247.3</v>
      </c>
      <c r="O2578" s="7">
        <v>163</v>
      </c>
    </row>
    <row r="2579" spans="1:19" x14ac:dyDescent="0.2">
      <c r="A2579">
        <v>2578</v>
      </c>
      <c r="B2579" s="1">
        <v>40788</v>
      </c>
      <c r="C2579" t="s">
        <v>24</v>
      </c>
      <c r="D2579" s="7">
        <v>50</v>
      </c>
      <c r="E2579" s="7">
        <v>8</v>
      </c>
      <c r="F2579" s="7">
        <f t="shared" si="40"/>
        <v>6</v>
      </c>
      <c r="G2579" s="7" t="str">
        <f>LOOKUP(H2579,[1]startdates!$A$2:$A$10,[1]startdates!$B$2:$B$10)</f>
        <v>C</v>
      </c>
      <c r="H2579">
        <v>5</v>
      </c>
      <c r="M2579" s="7">
        <v>296.2</v>
      </c>
      <c r="N2579" s="7">
        <v>263.5</v>
      </c>
      <c r="O2579" s="7">
        <v>163.5</v>
      </c>
    </row>
    <row r="2580" spans="1:19" x14ac:dyDescent="0.2">
      <c r="A2580">
        <v>2579</v>
      </c>
      <c r="B2580" s="1">
        <v>40788</v>
      </c>
      <c r="C2580" t="s">
        <v>24</v>
      </c>
      <c r="D2580" s="7">
        <v>50</v>
      </c>
      <c r="E2580" s="7">
        <v>8</v>
      </c>
      <c r="F2580" s="7">
        <f t="shared" si="40"/>
        <v>6</v>
      </c>
      <c r="G2580" s="7" t="str">
        <f>LOOKUP(H2580,[1]startdates!$A$2:$A$10,[1]startdates!$B$2:$B$10)</f>
        <v>C</v>
      </c>
      <c r="H2580">
        <v>5</v>
      </c>
      <c r="N2580" s="7">
        <v>240.8</v>
      </c>
      <c r="O2580" s="7">
        <v>161.4</v>
      </c>
    </row>
    <row r="2581" spans="1:19" x14ac:dyDescent="0.2">
      <c r="A2581">
        <v>2580</v>
      </c>
      <c r="B2581" s="1">
        <v>40788</v>
      </c>
      <c r="C2581" t="s">
        <v>24</v>
      </c>
      <c r="D2581" s="7">
        <v>50</v>
      </c>
      <c r="E2581" s="7">
        <v>8</v>
      </c>
      <c r="F2581" s="7">
        <f t="shared" si="40"/>
        <v>6</v>
      </c>
      <c r="G2581" s="7" t="str">
        <f>LOOKUP(H2581,[1]startdates!$A$2:$A$10,[1]startdates!$B$2:$B$10)</f>
        <v>C</v>
      </c>
      <c r="H2581">
        <v>5</v>
      </c>
      <c r="N2581" s="7">
        <v>239.3</v>
      </c>
      <c r="O2581" s="7">
        <v>168.4</v>
      </c>
    </row>
    <row r="2582" spans="1:19" x14ac:dyDescent="0.2">
      <c r="A2582">
        <v>2581</v>
      </c>
      <c r="B2582" s="1">
        <v>40788</v>
      </c>
      <c r="C2582" t="s">
        <v>24</v>
      </c>
      <c r="D2582" s="7">
        <v>50</v>
      </c>
      <c r="E2582" s="7">
        <v>8</v>
      </c>
      <c r="F2582" s="7">
        <f t="shared" si="40"/>
        <v>6</v>
      </c>
      <c r="G2582" s="7" t="str">
        <f>LOOKUP(H2582,[1]startdates!$A$2:$A$10,[1]startdates!$B$2:$B$10)</f>
        <v>C</v>
      </c>
      <c r="H2582">
        <v>5</v>
      </c>
      <c r="N2582" s="7">
        <v>232.2</v>
      </c>
      <c r="O2582" s="7">
        <v>188.9</v>
      </c>
    </row>
    <row r="2583" spans="1:19" x14ac:dyDescent="0.2">
      <c r="A2583">
        <v>2582</v>
      </c>
      <c r="B2583" s="1">
        <v>40788</v>
      </c>
      <c r="C2583" t="s">
        <v>24</v>
      </c>
      <c r="D2583" s="7">
        <v>50</v>
      </c>
      <c r="E2583" s="7">
        <v>8</v>
      </c>
      <c r="F2583" s="7">
        <f t="shared" si="40"/>
        <v>6</v>
      </c>
      <c r="G2583" s="7" t="str">
        <f>LOOKUP(H2583,[1]startdates!$A$2:$A$10,[1]startdates!$B$2:$B$10)</f>
        <v>C</v>
      </c>
      <c r="H2583">
        <v>5</v>
      </c>
      <c r="N2583" s="7">
        <v>232.7</v>
      </c>
    </row>
    <row r="2584" spans="1:19" x14ac:dyDescent="0.2">
      <c r="A2584">
        <v>2583</v>
      </c>
      <c r="B2584" s="1">
        <v>40788</v>
      </c>
      <c r="C2584" t="s">
        <v>24</v>
      </c>
      <c r="D2584" s="7">
        <v>50</v>
      </c>
      <c r="E2584" s="7">
        <v>8</v>
      </c>
      <c r="F2584" s="7">
        <f t="shared" si="40"/>
        <v>6</v>
      </c>
      <c r="G2584" s="7" t="str">
        <f>LOOKUP(H2584,[1]startdates!$A$2:$A$10,[1]startdates!$B$2:$B$10)</f>
        <v>C</v>
      </c>
      <c r="H2584">
        <v>5</v>
      </c>
      <c r="N2584" s="7">
        <v>206.1</v>
      </c>
    </row>
    <row r="2585" spans="1:19" x14ac:dyDescent="0.2">
      <c r="A2585">
        <v>2584</v>
      </c>
      <c r="B2585" s="1">
        <v>40788</v>
      </c>
      <c r="C2585" t="s">
        <v>24</v>
      </c>
      <c r="D2585" s="7">
        <v>50</v>
      </c>
      <c r="E2585" s="7">
        <v>8</v>
      </c>
      <c r="F2585" s="7">
        <f t="shared" si="40"/>
        <v>6</v>
      </c>
      <c r="G2585" s="7" t="str">
        <f>LOOKUP(H2585,[1]startdates!$A$2:$A$10,[1]startdates!$B$2:$B$10)</f>
        <v>C</v>
      </c>
      <c r="H2585">
        <v>5</v>
      </c>
      <c r="N2585" s="7">
        <v>204.1</v>
      </c>
    </row>
    <row r="2586" spans="1:19" x14ac:dyDescent="0.2">
      <c r="A2586">
        <v>2585</v>
      </c>
      <c r="B2586" s="1">
        <v>40788</v>
      </c>
      <c r="C2586" t="s">
        <v>24</v>
      </c>
      <c r="D2586" s="7">
        <v>50</v>
      </c>
      <c r="E2586" s="7">
        <v>8</v>
      </c>
      <c r="F2586" s="7">
        <f t="shared" si="40"/>
        <v>6</v>
      </c>
      <c r="G2586" s="7" t="str">
        <f>LOOKUP(H2586,[1]startdates!$A$2:$A$10,[1]startdates!$B$2:$B$10)</f>
        <v>C</v>
      </c>
      <c r="H2586">
        <v>5</v>
      </c>
      <c r="N2586" s="7">
        <v>280.60000000000002</v>
      </c>
    </row>
    <row r="2587" spans="1:19" x14ac:dyDescent="0.2">
      <c r="A2587">
        <v>2586</v>
      </c>
      <c r="B2587" s="1">
        <v>40788</v>
      </c>
      <c r="C2587" t="s">
        <v>28</v>
      </c>
      <c r="D2587" s="7">
        <v>50</v>
      </c>
      <c r="E2587" s="7">
        <v>8</v>
      </c>
      <c r="F2587" s="7">
        <f t="shared" si="40"/>
        <v>6</v>
      </c>
      <c r="G2587" s="7" t="str">
        <f>LOOKUP(H2587,[1]startdates!$A$2:$A$10,[1]startdates!$B$2:$B$10)</f>
        <v>FMr</v>
      </c>
      <c r="H2587">
        <v>6</v>
      </c>
      <c r="I2587" s="7">
        <v>620.1</v>
      </c>
      <c r="J2587" s="7">
        <v>530.4</v>
      </c>
      <c r="K2587" s="7">
        <v>527.1</v>
      </c>
      <c r="L2587" s="7">
        <v>473.7</v>
      </c>
      <c r="M2587" s="7">
        <v>363.7</v>
      </c>
      <c r="N2587" s="7">
        <v>228.4</v>
      </c>
      <c r="O2587" s="7">
        <v>172.4</v>
      </c>
      <c r="P2587" s="7">
        <v>463.9</v>
      </c>
      <c r="Q2587" s="7">
        <v>350.7</v>
      </c>
      <c r="R2587" s="7">
        <v>241.2</v>
      </c>
      <c r="S2587" s="7">
        <v>262.8</v>
      </c>
    </row>
    <row r="2588" spans="1:19" x14ac:dyDescent="0.2">
      <c r="A2588">
        <v>2587</v>
      </c>
      <c r="B2588" s="1">
        <v>40788</v>
      </c>
      <c r="C2588" t="s">
        <v>28</v>
      </c>
      <c r="D2588" s="7">
        <v>50</v>
      </c>
      <c r="E2588" s="7">
        <v>8</v>
      </c>
      <c r="F2588" s="7">
        <f t="shared" si="40"/>
        <v>6</v>
      </c>
      <c r="G2588" s="7" t="str">
        <f>LOOKUP(H2588,[1]startdates!$A$2:$A$10,[1]startdates!$B$2:$B$10)</f>
        <v>FMr</v>
      </c>
      <c r="H2588">
        <v>6</v>
      </c>
      <c r="I2588" s="7">
        <v>722.7</v>
      </c>
      <c r="K2588" s="7">
        <v>569.5</v>
      </c>
      <c r="L2588" s="7">
        <v>432.9</v>
      </c>
      <c r="M2588" s="7">
        <v>362.6</v>
      </c>
      <c r="N2588" s="7">
        <v>212</v>
      </c>
      <c r="O2588" s="7">
        <v>157.4</v>
      </c>
      <c r="Q2588" s="7">
        <v>349.8</v>
      </c>
      <c r="R2588" s="7">
        <v>281.8</v>
      </c>
      <c r="S2588" s="7">
        <v>277.3</v>
      </c>
    </row>
    <row r="2589" spans="1:19" x14ac:dyDescent="0.2">
      <c r="A2589">
        <v>2588</v>
      </c>
      <c r="B2589" s="1">
        <v>40788</v>
      </c>
      <c r="C2589" t="s">
        <v>28</v>
      </c>
      <c r="D2589" s="7">
        <v>50</v>
      </c>
      <c r="E2589" s="7">
        <v>8</v>
      </c>
      <c r="F2589" s="7">
        <f t="shared" si="40"/>
        <v>6</v>
      </c>
      <c r="G2589" s="7" t="str">
        <f>LOOKUP(H2589,[1]startdates!$A$2:$A$10,[1]startdates!$B$2:$B$10)</f>
        <v>FMr</v>
      </c>
      <c r="H2589">
        <v>6</v>
      </c>
      <c r="I2589" s="7">
        <v>627</v>
      </c>
      <c r="K2589" s="7">
        <v>605.29999999999995</v>
      </c>
      <c r="L2589" s="7">
        <v>404.4</v>
      </c>
      <c r="M2589" s="7">
        <v>332.1</v>
      </c>
      <c r="N2589" s="7">
        <v>181.9</v>
      </c>
      <c r="O2589" s="7">
        <v>147.30000000000001</v>
      </c>
      <c r="Q2589" s="7">
        <v>329.3</v>
      </c>
      <c r="R2589" s="7">
        <v>245.1</v>
      </c>
    </row>
    <row r="2590" spans="1:19" x14ac:dyDescent="0.2">
      <c r="A2590">
        <v>2589</v>
      </c>
      <c r="B2590" s="1">
        <v>40788</v>
      </c>
      <c r="C2590" t="s">
        <v>28</v>
      </c>
      <c r="D2590" s="7">
        <v>50</v>
      </c>
      <c r="E2590" s="7">
        <v>8</v>
      </c>
      <c r="F2590" s="7">
        <f t="shared" si="40"/>
        <v>6</v>
      </c>
      <c r="G2590" s="7" t="str">
        <f>LOOKUP(H2590,[1]startdates!$A$2:$A$10,[1]startdates!$B$2:$B$10)</f>
        <v>FMr</v>
      </c>
      <c r="H2590">
        <v>6</v>
      </c>
      <c r="I2590" s="7">
        <v>818.5</v>
      </c>
      <c r="K2590" s="7">
        <v>509.8</v>
      </c>
      <c r="L2590" s="7">
        <v>496.6</v>
      </c>
      <c r="M2590" s="7">
        <v>335.3</v>
      </c>
      <c r="N2590" s="7">
        <v>234.4</v>
      </c>
      <c r="O2590" s="7">
        <v>163.5</v>
      </c>
      <c r="R2590" s="7">
        <v>279.89999999999998</v>
      </c>
    </row>
    <row r="2591" spans="1:19" x14ac:dyDescent="0.2">
      <c r="A2591">
        <v>2590</v>
      </c>
      <c r="B2591" s="1">
        <v>40788</v>
      </c>
      <c r="C2591" t="s">
        <v>28</v>
      </c>
      <c r="D2591" s="7">
        <v>50</v>
      </c>
      <c r="E2591" s="7">
        <v>8</v>
      </c>
      <c r="F2591" s="7">
        <f t="shared" si="40"/>
        <v>6</v>
      </c>
      <c r="G2591" s="7" t="str">
        <f>LOOKUP(H2591,[1]startdates!$A$2:$A$10,[1]startdates!$B$2:$B$10)</f>
        <v>FMr</v>
      </c>
      <c r="H2591">
        <v>6</v>
      </c>
      <c r="I2591" s="7">
        <v>597.6</v>
      </c>
      <c r="K2591" s="7">
        <v>578</v>
      </c>
      <c r="L2591" s="7">
        <v>469.9</v>
      </c>
      <c r="M2591" s="7">
        <v>295.7</v>
      </c>
      <c r="N2591" s="7">
        <v>169.5</v>
      </c>
      <c r="O2591" s="7">
        <v>162</v>
      </c>
    </row>
    <row r="2592" spans="1:19" x14ac:dyDescent="0.2">
      <c r="A2592">
        <v>2591</v>
      </c>
      <c r="B2592" s="1">
        <v>40788</v>
      </c>
      <c r="C2592" t="s">
        <v>28</v>
      </c>
      <c r="D2592" s="7">
        <v>50</v>
      </c>
      <c r="E2592" s="7">
        <v>8</v>
      </c>
      <c r="F2592" s="7">
        <f t="shared" si="40"/>
        <v>6</v>
      </c>
      <c r="G2592" s="7" t="str">
        <f>LOOKUP(H2592,[1]startdates!$A$2:$A$10,[1]startdates!$B$2:$B$10)</f>
        <v>FMr</v>
      </c>
      <c r="H2592">
        <v>6</v>
      </c>
      <c r="I2592" s="7">
        <v>625.9</v>
      </c>
      <c r="L2592" s="7">
        <v>497.8</v>
      </c>
      <c r="M2592" s="7">
        <v>330.9</v>
      </c>
      <c r="N2592" s="7">
        <v>212.5</v>
      </c>
      <c r="O2592" s="7">
        <v>187.7</v>
      </c>
    </row>
    <row r="2593" spans="1:19" x14ac:dyDescent="0.2">
      <c r="A2593">
        <v>2592</v>
      </c>
      <c r="B2593" s="1">
        <v>40788</v>
      </c>
      <c r="C2593" t="s">
        <v>28</v>
      </c>
      <c r="D2593" s="7">
        <v>50</v>
      </c>
      <c r="E2593" s="7">
        <v>8</v>
      </c>
      <c r="F2593" s="7">
        <f t="shared" si="40"/>
        <v>6</v>
      </c>
      <c r="G2593" s="7" t="str">
        <f>LOOKUP(H2593,[1]startdates!$A$2:$A$10,[1]startdates!$B$2:$B$10)</f>
        <v>FMr</v>
      </c>
      <c r="H2593">
        <v>6</v>
      </c>
      <c r="I2593" s="7">
        <v>698.6</v>
      </c>
      <c r="L2593" s="7">
        <v>469.7</v>
      </c>
      <c r="M2593" s="7">
        <v>357.5</v>
      </c>
      <c r="N2593" s="7">
        <v>262.8</v>
      </c>
      <c r="O2593" s="7">
        <v>181.1</v>
      </c>
    </row>
    <row r="2594" spans="1:19" x14ac:dyDescent="0.2">
      <c r="A2594">
        <v>2593</v>
      </c>
      <c r="B2594" s="1">
        <v>40788</v>
      </c>
      <c r="C2594" t="s">
        <v>28</v>
      </c>
      <c r="D2594" s="7">
        <v>50</v>
      </c>
      <c r="E2594" s="7">
        <v>8</v>
      </c>
      <c r="F2594" s="7">
        <f t="shared" si="40"/>
        <v>6</v>
      </c>
      <c r="G2594" s="7" t="str">
        <f>LOOKUP(H2594,[1]startdates!$A$2:$A$10,[1]startdates!$B$2:$B$10)</f>
        <v>FMr</v>
      </c>
      <c r="H2594">
        <v>6</v>
      </c>
      <c r="I2594" s="7">
        <v>602.6</v>
      </c>
      <c r="N2594" s="7">
        <v>216.6</v>
      </c>
      <c r="O2594" s="7">
        <v>169.5</v>
      </c>
    </row>
    <row r="2595" spans="1:19" x14ac:dyDescent="0.2">
      <c r="A2595">
        <v>2594</v>
      </c>
      <c r="B2595" s="1">
        <v>40788</v>
      </c>
      <c r="C2595" t="s">
        <v>28</v>
      </c>
      <c r="D2595" s="7">
        <v>50</v>
      </c>
      <c r="E2595" s="7">
        <v>8</v>
      </c>
      <c r="F2595" s="7">
        <f t="shared" si="40"/>
        <v>6</v>
      </c>
      <c r="G2595" s="7" t="str">
        <f>LOOKUP(H2595,[1]startdates!$A$2:$A$10,[1]startdates!$B$2:$B$10)</f>
        <v>FMr</v>
      </c>
      <c r="H2595">
        <v>6</v>
      </c>
      <c r="N2595" s="7">
        <v>241.2</v>
      </c>
      <c r="O2595" s="7">
        <v>164.7</v>
      </c>
    </row>
    <row r="2596" spans="1:19" x14ac:dyDescent="0.2">
      <c r="A2596">
        <v>2595</v>
      </c>
      <c r="B2596" s="1">
        <v>40788</v>
      </c>
      <c r="C2596" t="s">
        <v>28</v>
      </c>
      <c r="D2596" s="7">
        <v>50</v>
      </c>
      <c r="E2596" s="7">
        <v>8</v>
      </c>
      <c r="F2596" s="7">
        <f t="shared" si="40"/>
        <v>6</v>
      </c>
      <c r="G2596" s="7" t="str">
        <f>LOOKUP(H2596,[1]startdates!$A$2:$A$10,[1]startdates!$B$2:$B$10)</f>
        <v>FMr</v>
      </c>
      <c r="H2596">
        <v>6</v>
      </c>
      <c r="N2596" s="7">
        <v>262.2</v>
      </c>
      <c r="O2596" s="7">
        <v>175</v>
      </c>
    </row>
    <row r="2597" spans="1:19" x14ac:dyDescent="0.2">
      <c r="A2597">
        <v>2596</v>
      </c>
      <c r="B2597" s="1">
        <v>40788</v>
      </c>
      <c r="C2597" t="s">
        <v>28</v>
      </c>
      <c r="D2597" s="7">
        <v>50</v>
      </c>
      <c r="E2597" s="7">
        <v>8</v>
      </c>
      <c r="F2597" s="7">
        <f t="shared" si="40"/>
        <v>6</v>
      </c>
      <c r="G2597" s="7" t="str">
        <f>LOOKUP(H2597,[1]startdates!$A$2:$A$10,[1]startdates!$B$2:$B$10)</f>
        <v>FMr</v>
      </c>
      <c r="H2597">
        <v>7</v>
      </c>
      <c r="I2597" s="7">
        <v>720.9</v>
      </c>
      <c r="K2597" s="7">
        <v>528.6</v>
      </c>
      <c r="L2597" s="7">
        <v>485.4</v>
      </c>
      <c r="M2597" s="7">
        <v>324.10000000000002</v>
      </c>
      <c r="N2597" s="7">
        <v>250</v>
      </c>
      <c r="O2597" s="7">
        <v>175</v>
      </c>
      <c r="P2597" s="7">
        <v>415.8</v>
      </c>
      <c r="Q2597" s="7">
        <v>369.7</v>
      </c>
      <c r="R2597" s="7">
        <v>237.7</v>
      </c>
    </row>
    <row r="2598" spans="1:19" x14ac:dyDescent="0.2">
      <c r="A2598">
        <v>2597</v>
      </c>
      <c r="B2598" s="1">
        <v>40788</v>
      </c>
      <c r="C2598" t="s">
        <v>28</v>
      </c>
      <c r="D2598" s="7">
        <v>50</v>
      </c>
      <c r="E2598" s="7">
        <v>8</v>
      </c>
      <c r="F2598" s="7">
        <f t="shared" si="40"/>
        <v>6</v>
      </c>
      <c r="G2598" s="7" t="str">
        <f>LOOKUP(H2598,[1]startdates!$A$2:$A$10,[1]startdates!$B$2:$B$10)</f>
        <v>FMr</v>
      </c>
      <c r="H2598">
        <v>7</v>
      </c>
      <c r="I2598" s="7">
        <v>608.79999999999995</v>
      </c>
      <c r="K2598" s="7">
        <v>557.1</v>
      </c>
      <c r="L2598" s="7">
        <v>473.3</v>
      </c>
      <c r="M2598" s="7">
        <v>340.4</v>
      </c>
      <c r="N2598" s="7">
        <v>216.6</v>
      </c>
      <c r="O2598" s="7">
        <v>151.80000000000001</v>
      </c>
      <c r="P2598" s="7">
        <v>412.2</v>
      </c>
      <c r="R2598" s="7">
        <v>265.5</v>
      </c>
    </row>
    <row r="2599" spans="1:19" x14ac:dyDescent="0.2">
      <c r="A2599">
        <v>2598</v>
      </c>
      <c r="B2599" s="1">
        <v>40788</v>
      </c>
      <c r="C2599" t="s">
        <v>28</v>
      </c>
      <c r="D2599" s="7">
        <v>50</v>
      </c>
      <c r="E2599" s="7">
        <v>8</v>
      </c>
      <c r="F2599" s="7">
        <f t="shared" si="40"/>
        <v>6</v>
      </c>
      <c r="G2599" s="7" t="str">
        <f>LOOKUP(H2599,[1]startdates!$A$2:$A$10,[1]startdates!$B$2:$B$10)</f>
        <v>FMr</v>
      </c>
      <c r="H2599">
        <v>7</v>
      </c>
      <c r="I2599" s="7">
        <v>738.7</v>
      </c>
      <c r="K2599" s="7">
        <v>500.9</v>
      </c>
      <c r="L2599" s="7">
        <v>453.7</v>
      </c>
      <c r="M2599" s="7">
        <v>316.2</v>
      </c>
      <c r="N2599" s="7">
        <v>277.3</v>
      </c>
      <c r="O2599" s="7">
        <v>178.1</v>
      </c>
    </row>
    <row r="2600" spans="1:19" x14ac:dyDescent="0.2">
      <c r="A2600">
        <v>2599</v>
      </c>
      <c r="B2600" s="1">
        <v>40788</v>
      </c>
      <c r="C2600" t="s">
        <v>28</v>
      </c>
      <c r="D2600" s="7">
        <v>50</v>
      </c>
      <c r="E2600" s="7">
        <v>8</v>
      </c>
      <c r="F2600" s="7">
        <f t="shared" si="40"/>
        <v>6</v>
      </c>
      <c r="G2600" s="7" t="str">
        <f>LOOKUP(H2600,[1]startdates!$A$2:$A$10,[1]startdates!$B$2:$B$10)</f>
        <v>FMr</v>
      </c>
      <c r="H2600">
        <v>7</v>
      </c>
      <c r="I2600" s="7">
        <v>779.4</v>
      </c>
      <c r="K2600" s="7">
        <v>623.29999999999995</v>
      </c>
      <c r="M2600" s="7">
        <v>327</v>
      </c>
      <c r="N2600" s="7">
        <v>169.5</v>
      </c>
      <c r="O2600" s="7">
        <v>165.5</v>
      </c>
    </row>
    <row r="2601" spans="1:19" x14ac:dyDescent="0.2">
      <c r="A2601">
        <v>2600</v>
      </c>
      <c r="B2601" s="1">
        <v>40788</v>
      </c>
      <c r="C2601" t="s">
        <v>28</v>
      </c>
      <c r="D2601" s="7">
        <v>50</v>
      </c>
      <c r="E2601" s="7">
        <v>8</v>
      </c>
      <c r="F2601" s="7">
        <f t="shared" ref="F2601:F2664" si="41">WEEKDAY(B2601)</f>
        <v>6</v>
      </c>
      <c r="G2601" s="7" t="str">
        <f>LOOKUP(H2601,[1]startdates!$A$2:$A$10,[1]startdates!$B$2:$B$10)</f>
        <v>FMr</v>
      </c>
      <c r="H2601">
        <v>7</v>
      </c>
      <c r="I2601" s="7">
        <v>504.7</v>
      </c>
      <c r="K2601" s="7">
        <v>523.29999999999995</v>
      </c>
      <c r="M2601" s="7">
        <v>321</v>
      </c>
      <c r="N2601" s="7">
        <v>208.5</v>
      </c>
      <c r="O2601" s="7">
        <v>162.19999999999999</v>
      </c>
    </row>
    <row r="2602" spans="1:19" x14ac:dyDescent="0.2">
      <c r="A2602">
        <v>2601</v>
      </c>
      <c r="B2602" s="1">
        <v>40788</v>
      </c>
      <c r="C2602" t="s">
        <v>28</v>
      </c>
      <c r="D2602" s="7">
        <v>50</v>
      </c>
      <c r="E2602" s="7">
        <v>8</v>
      </c>
      <c r="F2602" s="7">
        <f t="shared" si="41"/>
        <v>6</v>
      </c>
      <c r="G2602" s="7" t="str">
        <f>LOOKUP(H2602,[1]startdates!$A$2:$A$10,[1]startdates!$B$2:$B$10)</f>
        <v>FMr</v>
      </c>
      <c r="H2602">
        <v>7</v>
      </c>
      <c r="I2602" s="7">
        <v>774.4</v>
      </c>
      <c r="M2602" s="7">
        <v>312.8</v>
      </c>
      <c r="N2602" s="7">
        <v>278.7</v>
      </c>
      <c r="O2602" s="7">
        <v>177.3</v>
      </c>
    </row>
    <row r="2603" spans="1:19" x14ac:dyDescent="0.2">
      <c r="A2603">
        <v>2602</v>
      </c>
      <c r="B2603" s="1">
        <v>40788</v>
      </c>
      <c r="C2603" t="s">
        <v>28</v>
      </c>
      <c r="D2603" s="7">
        <v>50</v>
      </c>
      <c r="E2603" s="7">
        <v>8</v>
      </c>
      <c r="F2603" s="7">
        <f t="shared" si="41"/>
        <v>6</v>
      </c>
      <c r="G2603" s="7" t="str">
        <f>LOOKUP(H2603,[1]startdates!$A$2:$A$10,[1]startdates!$B$2:$B$10)</f>
        <v>FMr</v>
      </c>
      <c r="H2603">
        <v>7</v>
      </c>
      <c r="M2603" s="7">
        <v>338.8</v>
      </c>
      <c r="N2603" s="7">
        <v>251.7</v>
      </c>
      <c r="O2603" s="7">
        <v>172.4</v>
      </c>
    </row>
    <row r="2604" spans="1:19" x14ac:dyDescent="0.2">
      <c r="A2604">
        <v>2603</v>
      </c>
      <c r="B2604" s="1">
        <v>40788</v>
      </c>
      <c r="C2604" t="s">
        <v>28</v>
      </c>
      <c r="D2604" s="7">
        <v>50</v>
      </c>
      <c r="E2604" s="7">
        <v>8</v>
      </c>
      <c r="F2604" s="7">
        <f t="shared" si="41"/>
        <v>6</v>
      </c>
      <c r="G2604" s="7" t="str">
        <f>LOOKUP(H2604,[1]startdates!$A$2:$A$10,[1]startdates!$B$2:$B$10)</f>
        <v>FMr</v>
      </c>
      <c r="H2604">
        <v>7</v>
      </c>
      <c r="M2604" s="7">
        <v>352.4</v>
      </c>
      <c r="N2604" s="7">
        <v>220.7</v>
      </c>
      <c r="O2604" s="7">
        <v>178.2</v>
      </c>
    </row>
    <row r="2605" spans="1:19" x14ac:dyDescent="0.2">
      <c r="A2605">
        <v>2604</v>
      </c>
      <c r="B2605" s="1">
        <v>40788</v>
      </c>
      <c r="C2605" t="s">
        <v>28</v>
      </c>
      <c r="D2605" s="7">
        <v>50</v>
      </c>
      <c r="E2605" s="7">
        <v>8</v>
      </c>
      <c r="F2605" s="7">
        <f t="shared" si="41"/>
        <v>6</v>
      </c>
      <c r="G2605" s="7" t="str">
        <f>LOOKUP(H2605,[1]startdates!$A$2:$A$10,[1]startdates!$B$2:$B$10)</f>
        <v>FMr</v>
      </c>
      <c r="H2605">
        <v>7</v>
      </c>
      <c r="M2605" s="7">
        <v>377.3</v>
      </c>
      <c r="N2605" s="7">
        <v>242.2</v>
      </c>
      <c r="O2605" s="7">
        <v>182.3</v>
      </c>
    </row>
    <row r="2606" spans="1:19" x14ac:dyDescent="0.2">
      <c r="A2606">
        <v>2605</v>
      </c>
      <c r="B2606" s="1">
        <v>40788</v>
      </c>
      <c r="C2606" t="s">
        <v>28</v>
      </c>
      <c r="D2606" s="7">
        <v>50</v>
      </c>
      <c r="E2606" s="7">
        <v>8</v>
      </c>
      <c r="F2606" s="7">
        <f t="shared" si="41"/>
        <v>6</v>
      </c>
      <c r="G2606" s="7" t="str">
        <f>LOOKUP(H2606,[1]startdates!$A$2:$A$10,[1]startdates!$B$2:$B$10)</f>
        <v>FMr</v>
      </c>
      <c r="H2606">
        <v>7</v>
      </c>
      <c r="N2606" s="7">
        <v>239.7</v>
      </c>
      <c r="O2606" s="7">
        <v>162.19999999999999</v>
      </c>
    </row>
    <row r="2607" spans="1:19" x14ac:dyDescent="0.2">
      <c r="A2607">
        <v>2606</v>
      </c>
      <c r="B2607" s="1">
        <v>40788</v>
      </c>
      <c r="C2607" t="s">
        <v>28</v>
      </c>
      <c r="D2607" s="7">
        <v>50</v>
      </c>
      <c r="E2607" s="7">
        <v>8</v>
      </c>
      <c r="F2607" s="7">
        <f t="shared" si="41"/>
        <v>6</v>
      </c>
      <c r="G2607" s="7" t="str">
        <f>LOOKUP(H2607,[1]startdates!$A$2:$A$10,[1]startdates!$B$2:$B$10)</f>
        <v>FMr</v>
      </c>
      <c r="H2607">
        <v>7</v>
      </c>
      <c r="O2607" s="7">
        <v>182.3</v>
      </c>
    </row>
    <row r="2608" spans="1:19" x14ac:dyDescent="0.2">
      <c r="A2608">
        <v>2607</v>
      </c>
      <c r="B2608" s="1">
        <v>40788</v>
      </c>
      <c r="C2608" t="s">
        <v>24</v>
      </c>
      <c r="D2608" s="7">
        <v>50</v>
      </c>
      <c r="E2608" s="7">
        <v>8</v>
      </c>
      <c r="F2608" s="7">
        <f t="shared" si="41"/>
        <v>6</v>
      </c>
      <c r="G2608" s="7" t="str">
        <f>LOOKUP(H2608,[1]startdates!$A$2:$A$10,[1]startdates!$B$2:$B$10)</f>
        <v>C</v>
      </c>
      <c r="H2608">
        <v>8</v>
      </c>
      <c r="I2608" s="7">
        <v>751.3</v>
      </c>
      <c r="J2608" s="7">
        <v>600.6</v>
      </c>
      <c r="K2608" s="7">
        <v>458.7</v>
      </c>
      <c r="L2608" s="7">
        <v>564</v>
      </c>
      <c r="M2608" s="7">
        <v>373.8</v>
      </c>
      <c r="N2608" s="7">
        <v>259.3</v>
      </c>
      <c r="O2608" s="7">
        <v>196.5</v>
      </c>
      <c r="S2608" s="7">
        <v>301.89999999999998</v>
      </c>
    </row>
    <row r="2609" spans="1:19" x14ac:dyDescent="0.2">
      <c r="A2609">
        <v>2608</v>
      </c>
      <c r="B2609" s="1">
        <v>40788</v>
      </c>
      <c r="C2609" t="s">
        <v>24</v>
      </c>
      <c r="D2609" s="7">
        <v>50</v>
      </c>
      <c r="E2609" s="7">
        <v>8</v>
      </c>
      <c r="F2609" s="7">
        <f t="shared" si="41"/>
        <v>6</v>
      </c>
      <c r="G2609" s="7" t="str">
        <f>LOOKUP(H2609,[1]startdates!$A$2:$A$10,[1]startdates!$B$2:$B$10)</f>
        <v>C</v>
      </c>
      <c r="H2609">
        <v>8</v>
      </c>
      <c r="I2609" s="7">
        <v>600</v>
      </c>
      <c r="J2609" s="7">
        <v>547.70000000000005</v>
      </c>
      <c r="K2609" s="7">
        <v>545.20000000000005</v>
      </c>
      <c r="L2609" s="7">
        <v>452.9</v>
      </c>
      <c r="M2609" s="7">
        <v>347</v>
      </c>
      <c r="N2609" s="7">
        <v>246.7</v>
      </c>
      <c r="O2609" s="7">
        <v>186.6</v>
      </c>
    </row>
    <row r="2610" spans="1:19" x14ac:dyDescent="0.2">
      <c r="A2610">
        <v>2609</v>
      </c>
      <c r="B2610" s="1">
        <v>40788</v>
      </c>
      <c r="C2610" t="s">
        <v>24</v>
      </c>
      <c r="D2610" s="7">
        <v>50</v>
      </c>
      <c r="E2610" s="7">
        <v>8</v>
      </c>
      <c r="F2610" s="7">
        <f t="shared" si="41"/>
        <v>6</v>
      </c>
      <c r="G2610" s="7" t="str">
        <f>LOOKUP(H2610,[1]startdates!$A$2:$A$10,[1]startdates!$B$2:$B$10)</f>
        <v>C</v>
      </c>
      <c r="H2610">
        <v>8</v>
      </c>
      <c r="I2610" s="7">
        <v>688.7</v>
      </c>
      <c r="K2610" s="7">
        <v>594.70000000000005</v>
      </c>
      <c r="M2610" s="7">
        <v>309.89999999999998</v>
      </c>
      <c r="N2610" s="7">
        <v>216.8</v>
      </c>
      <c r="O2610" s="7">
        <v>178.7</v>
      </c>
    </row>
    <row r="2611" spans="1:19" x14ac:dyDescent="0.2">
      <c r="A2611">
        <v>2610</v>
      </c>
      <c r="B2611" s="1">
        <v>40788</v>
      </c>
      <c r="C2611" t="s">
        <v>24</v>
      </c>
      <c r="D2611" s="7">
        <v>50</v>
      </c>
      <c r="E2611" s="7">
        <v>8</v>
      </c>
      <c r="F2611" s="7">
        <f t="shared" si="41"/>
        <v>6</v>
      </c>
      <c r="G2611" s="7" t="str">
        <f>LOOKUP(H2611,[1]startdates!$A$2:$A$10,[1]startdates!$B$2:$B$10)</f>
        <v>C</v>
      </c>
      <c r="H2611">
        <v>8</v>
      </c>
      <c r="I2611" s="7">
        <v>829.4</v>
      </c>
      <c r="K2611" s="7">
        <v>678</v>
      </c>
      <c r="M2611" s="7">
        <v>326.5</v>
      </c>
      <c r="N2611" s="7">
        <v>219.2</v>
      </c>
      <c r="O2611" s="7">
        <v>179.7</v>
      </c>
    </row>
    <row r="2612" spans="1:19" x14ac:dyDescent="0.2">
      <c r="A2612">
        <v>2611</v>
      </c>
      <c r="B2612" s="1">
        <v>40788</v>
      </c>
      <c r="C2612" t="s">
        <v>24</v>
      </c>
      <c r="D2612" s="7">
        <v>50</v>
      </c>
      <c r="E2612" s="7">
        <v>8</v>
      </c>
      <c r="F2612" s="7">
        <f t="shared" si="41"/>
        <v>6</v>
      </c>
      <c r="G2612" s="7" t="str">
        <f>LOOKUP(H2612,[1]startdates!$A$2:$A$10,[1]startdates!$B$2:$B$10)</f>
        <v>C</v>
      </c>
      <c r="H2612">
        <v>8</v>
      </c>
      <c r="I2612" s="7">
        <v>696.2</v>
      </c>
      <c r="K2612" s="7">
        <v>485.8</v>
      </c>
      <c r="M2612" s="7">
        <v>382.9</v>
      </c>
      <c r="N2612" s="7">
        <v>255</v>
      </c>
      <c r="O2612" s="7">
        <v>182.8</v>
      </c>
    </row>
    <row r="2613" spans="1:19" x14ac:dyDescent="0.2">
      <c r="A2613">
        <v>2612</v>
      </c>
      <c r="B2613" s="1">
        <v>40788</v>
      </c>
      <c r="C2613" t="s">
        <v>24</v>
      </c>
      <c r="D2613" s="7">
        <v>50</v>
      </c>
      <c r="E2613" s="7">
        <v>8</v>
      </c>
      <c r="F2613" s="7">
        <f t="shared" si="41"/>
        <v>6</v>
      </c>
      <c r="G2613" s="7" t="str">
        <f>LOOKUP(H2613,[1]startdates!$A$2:$A$10,[1]startdates!$B$2:$B$10)</f>
        <v>C</v>
      </c>
      <c r="H2613">
        <v>8</v>
      </c>
      <c r="I2613" s="7">
        <v>728.4</v>
      </c>
      <c r="K2613" s="7">
        <v>642.1</v>
      </c>
      <c r="N2613" s="7">
        <v>240.4</v>
      </c>
      <c r="O2613" s="7">
        <v>160.69999999999999</v>
      </c>
    </row>
    <row r="2614" spans="1:19" x14ac:dyDescent="0.2">
      <c r="A2614">
        <v>2613</v>
      </c>
      <c r="B2614" s="1">
        <v>40788</v>
      </c>
      <c r="C2614" t="s">
        <v>24</v>
      </c>
      <c r="D2614" s="7">
        <v>50</v>
      </c>
      <c r="E2614" s="7">
        <v>8</v>
      </c>
      <c r="F2614" s="7">
        <f t="shared" si="41"/>
        <v>6</v>
      </c>
      <c r="G2614" s="7" t="str">
        <f>LOOKUP(H2614,[1]startdates!$A$2:$A$10,[1]startdates!$B$2:$B$10)</f>
        <v>C</v>
      </c>
      <c r="H2614">
        <v>8</v>
      </c>
      <c r="I2614" s="7">
        <v>651.9</v>
      </c>
      <c r="N2614" s="7">
        <v>317.8</v>
      </c>
      <c r="O2614" s="7">
        <v>190.1</v>
      </c>
    </row>
    <row r="2615" spans="1:19" x14ac:dyDescent="0.2">
      <c r="A2615">
        <v>2614</v>
      </c>
      <c r="B2615" s="1">
        <v>40788</v>
      </c>
      <c r="C2615" t="s">
        <v>24</v>
      </c>
      <c r="D2615" s="7">
        <v>50</v>
      </c>
      <c r="E2615" s="7">
        <v>8</v>
      </c>
      <c r="F2615" s="7">
        <f t="shared" si="41"/>
        <v>6</v>
      </c>
      <c r="G2615" s="7" t="str">
        <f>LOOKUP(H2615,[1]startdates!$A$2:$A$10,[1]startdates!$B$2:$B$10)</f>
        <v>C</v>
      </c>
      <c r="H2615">
        <v>8</v>
      </c>
      <c r="I2615" s="7">
        <v>692.8</v>
      </c>
      <c r="N2615" s="7">
        <v>311.2</v>
      </c>
      <c r="O2615" s="7">
        <v>191</v>
      </c>
    </row>
    <row r="2616" spans="1:19" x14ac:dyDescent="0.2">
      <c r="A2616">
        <v>2615</v>
      </c>
      <c r="B2616" s="1">
        <v>40788</v>
      </c>
      <c r="C2616" t="s">
        <v>24</v>
      </c>
      <c r="D2616" s="7">
        <v>50</v>
      </c>
      <c r="E2616" s="7">
        <v>8</v>
      </c>
      <c r="F2616" s="7">
        <f t="shared" si="41"/>
        <v>6</v>
      </c>
      <c r="G2616" s="7" t="str">
        <f>LOOKUP(H2616,[1]startdates!$A$2:$A$10,[1]startdates!$B$2:$B$10)</f>
        <v>C</v>
      </c>
      <c r="H2616">
        <v>8</v>
      </c>
      <c r="I2616" s="7">
        <v>729.4</v>
      </c>
      <c r="N2616" s="7">
        <v>202.6</v>
      </c>
    </row>
    <row r="2617" spans="1:19" x14ac:dyDescent="0.2">
      <c r="A2617">
        <v>2616</v>
      </c>
      <c r="B2617" s="1">
        <v>40788</v>
      </c>
      <c r="C2617" t="s">
        <v>24</v>
      </c>
      <c r="D2617" s="7">
        <v>50</v>
      </c>
      <c r="E2617" s="7">
        <v>8</v>
      </c>
      <c r="F2617" s="7">
        <f t="shared" si="41"/>
        <v>6</v>
      </c>
      <c r="G2617" s="7" t="str">
        <f>LOOKUP(H2617,[1]startdates!$A$2:$A$10,[1]startdates!$B$2:$B$10)</f>
        <v>C</v>
      </c>
      <c r="H2617">
        <v>8</v>
      </c>
      <c r="N2617" s="7">
        <v>247.7</v>
      </c>
    </row>
    <row r="2618" spans="1:19" x14ac:dyDescent="0.2">
      <c r="A2618">
        <v>2617</v>
      </c>
      <c r="B2618" s="1">
        <v>40788</v>
      </c>
      <c r="C2618" t="s">
        <v>24</v>
      </c>
      <c r="D2618" s="7">
        <v>50</v>
      </c>
      <c r="E2618" s="7">
        <v>8</v>
      </c>
      <c r="F2618" s="7">
        <f t="shared" si="41"/>
        <v>6</v>
      </c>
      <c r="G2618" s="7" t="str">
        <f>LOOKUP(H2618,[1]startdates!$A$2:$A$10,[1]startdates!$B$2:$B$10)</f>
        <v>C</v>
      </c>
      <c r="H2618">
        <v>8</v>
      </c>
      <c r="N2618" s="7">
        <v>208.8</v>
      </c>
    </row>
    <row r="2619" spans="1:19" x14ac:dyDescent="0.2">
      <c r="A2619">
        <v>2618</v>
      </c>
      <c r="B2619" s="1">
        <v>40788</v>
      </c>
      <c r="C2619" t="s">
        <v>24</v>
      </c>
      <c r="D2619" s="7">
        <v>50</v>
      </c>
      <c r="E2619" s="7">
        <v>8</v>
      </c>
      <c r="F2619" s="7">
        <f t="shared" si="41"/>
        <v>6</v>
      </c>
      <c r="G2619" s="7" t="str">
        <f>LOOKUP(H2619,[1]startdates!$A$2:$A$10,[1]startdates!$B$2:$B$10)</f>
        <v>C</v>
      </c>
      <c r="H2619">
        <v>8</v>
      </c>
      <c r="N2619" s="7">
        <v>169</v>
      </c>
    </row>
    <row r="2620" spans="1:19" x14ac:dyDescent="0.2">
      <c r="A2620">
        <v>2619</v>
      </c>
      <c r="B2620" s="1">
        <v>40788</v>
      </c>
      <c r="C2620" t="s">
        <v>28</v>
      </c>
      <c r="D2620" s="7">
        <v>50</v>
      </c>
      <c r="E2620" s="7">
        <v>8</v>
      </c>
      <c r="F2620" s="7">
        <f t="shared" si="41"/>
        <v>6</v>
      </c>
      <c r="G2620" s="7" t="str">
        <f>LOOKUP(H2620,[1]startdates!$A$2:$A$10,[1]startdates!$B$2:$B$10)</f>
        <v>FMr</v>
      </c>
      <c r="H2620">
        <v>9</v>
      </c>
      <c r="I2620" s="7">
        <v>685.1</v>
      </c>
      <c r="J2620" s="7">
        <v>584.70000000000005</v>
      </c>
      <c r="K2620" s="7">
        <v>607.20000000000005</v>
      </c>
      <c r="L2620" s="7">
        <v>441.8</v>
      </c>
      <c r="M2620" s="7">
        <v>331.7</v>
      </c>
      <c r="N2620" s="7">
        <v>284.2</v>
      </c>
      <c r="O2620" s="7">
        <v>171.7</v>
      </c>
      <c r="S2620" s="7">
        <v>296.8</v>
      </c>
    </row>
    <row r="2621" spans="1:19" x14ac:dyDescent="0.2">
      <c r="A2621">
        <v>2620</v>
      </c>
      <c r="B2621" s="1">
        <v>40788</v>
      </c>
      <c r="C2621" t="s">
        <v>28</v>
      </c>
      <c r="D2621" s="7">
        <v>50</v>
      </c>
      <c r="E2621" s="7">
        <v>8</v>
      </c>
      <c r="F2621" s="7">
        <f t="shared" si="41"/>
        <v>6</v>
      </c>
      <c r="G2621" s="7" t="str">
        <f>LOOKUP(H2621,[1]startdates!$A$2:$A$10,[1]startdates!$B$2:$B$10)</f>
        <v>FMr</v>
      </c>
      <c r="H2621">
        <v>9</v>
      </c>
      <c r="I2621" s="7">
        <v>751.4</v>
      </c>
      <c r="K2621" s="7">
        <v>463.7</v>
      </c>
      <c r="L2621" s="7">
        <v>477.9</v>
      </c>
      <c r="M2621" s="7">
        <v>385.5</v>
      </c>
      <c r="N2621" s="7">
        <v>241.5</v>
      </c>
      <c r="O2621" s="7">
        <v>155.30000000000001</v>
      </c>
    </row>
    <row r="2622" spans="1:19" x14ac:dyDescent="0.2">
      <c r="A2622">
        <v>2621</v>
      </c>
      <c r="B2622" s="1">
        <v>40788</v>
      </c>
      <c r="C2622" t="s">
        <v>28</v>
      </c>
      <c r="D2622" s="7">
        <v>50</v>
      </c>
      <c r="E2622" s="7">
        <v>8</v>
      </c>
      <c r="F2622" s="7">
        <f t="shared" si="41"/>
        <v>6</v>
      </c>
      <c r="G2622" s="7" t="str">
        <f>LOOKUP(H2622,[1]startdates!$A$2:$A$10,[1]startdates!$B$2:$B$10)</f>
        <v>FMr</v>
      </c>
      <c r="H2622">
        <v>9</v>
      </c>
      <c r="I2622" s="7">
        <v>794.6</v>
      </c>
      <c r="K2622" s="7">
        <v>557.1</v>
      </c>
      <c r="L2622" s="7">
        <v>434.7</v>
      </c>
      <c r="M2622" s="7">
        <v>317.2</v>
      </c>
      <c r="N2622" s="7">
        <v>255.3</v>
      </c>
      <c r="O2622" s="7">
        <v>184.5</v>
      </c>
    </row>
    <row r="2623" spans="1:19" x14ac:dyDescent="0.2">
      <c r="A2623">
        <v>2622</v>
      </c>
      <c r="B2623" s="1">
        <v>40788</v>
      </c>
      <c r="C2623" t="s">
        <v>28</v>
      </c>
      <c r="D2623" s="7">
        <v>50</v>
      </c>
      <c r="E2623" s="7">
        <v>8</v>
      </c>
      <c r="F2623" s="7">
        <f t="shared" si="41"/>
        <v>6</v>
      </c>
      <c r="G2623" s="7" t="str">
        <f>LOOKUP(H2623,[1]startdates!$A$2:$A$10,[1]startdates!$B$2:$B$10)</f>
        <v>FMr</v>
      </c>
      <c r="H2623">
        <v>9</v>
      </c>
      <c r="I2623" s="7">
        <v>697.8</v>
      </c>
      <c r="K2623" s="7">
        <v>700.1</v>
      </c>
      <c r="L2623" s="7">
        <v>392</v>
      </c>
      <c r="M2623" s="7">
        <v>300.5</v>
      </c>
      <c r="N2623" s="7">
        <v>216.7</v>
      </c>
      <c r="O2623" s="7">
        <v>166.1</v>
      </c>
    </row>
    <row r="2624" spans="1:19" x14ac:dyDescent="0.2">
      <c r="A2624">
        <v>2623</v>
      </c>
      <c r="B2624" s="1">
        <v>40788</v>
      </c>
      <c r="C2624" t="s">
        <v>28</v>
      </c>
      <c r="D2624" s="7">
        <v>50</v>
      </c>
      <c r="E2624" s="7">
        <v>8</v>
      </c>
      <c r="F2624" s="7">
        <f t="shared" si="41"/>
        <v>6</v>
      </c>
      <c r="G2624" s="7" t="str">
        <f>LOOKUP(H2624,[1]startdates!$A$2:$A$10,[1]startdates!$B$2:$B$10)</f>
        <v>FMr</v>
      </c>
      <c r="H2624">
        <v>9</v>
      </c>
      <c r="I2624" s="7">
        <v>562</v>
      </c>
      <c r="M2624" s="7">
        <v>389.8</v>
      </c>
      <c r="N2624" s="7">
        <v>230.2</v>
      </c>
      <c r="O2624" s="7">
        <v>156.5</v>
      </c>
    </row>
    <row r="2625" spans="1:18" x14ac:dyDescent="0.2">
      <c r="A2625">
        <v>2624</v>
      </c>
      <c r="B2625" s="1">
        <v>40788</v>
      </c>
      <c r="C2625" t="s">
        <v>28</v>
      </c>
      <c r="D2625" s="7">
        <v>50</v>
      </c>
      <c r="E2625" s="7">
        <v>8</v>
      </c>
      <c r="F2625" s="7">
        <f t="shared" si="41"/>
        <v>6</v>
      </c>
      <c r="G2625" s="7" t="str">
        <f>LOOKUP(H2625,[1]startdates!$A$2:$A$10,[1]startdates!$B$2:$B$10)</f>
        <v>FMr</v>
      </c>
      <c r="H2625">
        <v>9</v>
      </c>
      <c r="I2625" s="7">
        <v>692.3</v>
      </c>
      <c r="M2625" s="7">
        <v>338.5</v>
      </c>
      <c r="N2625" s="7">
        <v>205.4</v>
      </c>
      <c r="O2625" s="7">
        <v>189.3</v>
      </c>
    </row>
    <row r="2626" spans="1:18" x14ac:dyDescent="0.2">
      <c r="A2626">
        <v>2625</v>
      </c>
      <c r="B2626" s="1">
        <v>40788</v>
      </c>
      <c r="C2626" t="s">
        <v>28</v>
      </c>
      <c r="D2626" s="7">
        <v>50</v>
      </c>
      <c r="E2626" s="7">
        <v>8</v>
      </c>
      <c r="F2626" s="7">
        <f t="shared" si="41"/>
        <v>6</v>
      </c>
      <c r="G2626" s="7" t="str">
        <f>LOOKUP(H2626,[1]startdates!$A$2:$A$10,[1]startdates!$B$2:$B$10)</f>
        <v>FMr</v>
      </c>
      <c r="H2626">
        <v>9</v>
      </c>
      <c r="I2626" s="7">
        <v>760.8</v>
      </c>
      <c r="M2626" s="7">
        <v>348</v>
      </c>
      <c r="N2626" s="7">
        <v>246.9</v>
      </c>
      <c r="O2626" s="7">
        <v>187.7</v>
      </c>
    </row>
    <row r="2627" spans="1:18" x14ac:dyDescent="0.2">
      <c r="A2627">
        <v>2626</v>
      </c>
      <c r="B2627" s="1">
        <v>40788</v>
      </c>
      <c r="C2627" t="s">
        <v>28</v>
      </c>
      <c r="D2627" s="7">
        <v>50</v>
      </c>
      <c r="E2627" s="7">
        <v>8</v>
      </c>
      <c r="F2627" s="7">
        <f t="shared" si="41"/>
        <v>6</v>
      </c>
      <c r="G2627" s="7" t="str">
        <f>LOOKUP(H2627,[1]startdates!$A$2:$A$10,[1]startdates!$B$2:$B$10)</f>
        <v>FMr</v>
      </c>
      <c r="H2627">
        <v>9</v>
      </c>
      <c r="M2627" s="7">
        <v>333.9</v>
      </c>
      <c r="N2627" s="7">
        <v>213.7</v>
      </c>
      <c r="O2627" s="7">
        <v>181.1</v>
      </c>
    </row>
    <row r="2628" spans="1:18" x14ac:dyDescent="0.2">
      <c r="A2628">
        <v>2627</v>
      </c>
      <c r="B2628" s="1">
        <v>40788</v>
      </c>
      <c r="C2628" t="s">
        <v>28</v>
      </c>
      <c r="D2628" s="7">
        <v>50</v>
      </c>
      <c r="E2628" s="7">
        <v>8</v>
      </c>
      <c r="F2628" s="7">
        <f t="shared" si="41"/>
        <v>6</v>
      </c>
      <c r="G2628" s="7" t="str">
        <f>LOOKUP(H2628,[1]startdates!$A$2:$A$10,[1]startdates!$B$2:$B$10)</f>
        <v>FMr</v>
      </c>
      <c r="H2628">
        <v>9</v>
      </c>
      <c r="M2628" s="7">
        <v>380.4</v>
      </c>
      <c r="N2628" s="7">
        <v>226.8</v>
      </c>
      <c r="O2628" s="7">
        <v>184.1</v>
      </c>
    </row>
    <row r="2629" spans="1:18" x14ac:dyDescent="0.2">
      <c r="A2629">
        <v>2628</v>
      </c>
      <c r="B2629" s="1">
        <v>40788</v>
      </c>
      <c r="C2629" t="s">
        <v>28</v>
      </c>
      <c r="D2629" s="7">
        <v>50</v>
      </c>
      <c r="E2629" s="7">
        <v>8</v>
      </c>
      <c r="F2629" s="7">
        <f t="shared" si="41"/>
        <v>6</v>
      </c>
      <c r="G2629" s="7" t="str">
        <f>LOOKUP(H2629,[1]startdates!$A$2:$A$10,[1]startdates!$B$2:$B$10)</f>
        <v>FMr</v>
      </c>
      <c r="H2629">
        <v>9</v>
      </c>
      <c r="N2629" s="7">
        <v>184.1</v>
      </c>
      <c r="O2629" s="7">
        <v>169.5</v>
      </c>
    </row>
    <row r="2630" spans="1:18" x14ac:dyDescent="0.2">
      <c r="A2630">
        <v>2629</v>
      </c>
      <c r="B2630" s="1">
        <v>40788</v>
      </c>
      <c r="C2630" t="s">
        <v>28</v>
      </c>
      <c r="D2630" s="7">
        <v>50</v>
      </c>
      <c r="E2630" s="7">
        <v>8</v>
      </c>
      <c r="F2630" s="7">
        <f t="shared" si="41"/>
        <v>6</v>
      </c>
      <c r="G2630" s="7" t="str">
        <f>LOOKUP(H2630,[1]startdates!$A$2:$A$10,[1]startdates!$B$2:$B$10)</f>
        <v>FMr</v>
      </c>
      <c r="H2630">
        <v>9</v>
      </c>
      <c r="N2630" s="7">
        <v>276</v>
      </c>
    </row>
    <row r="2631" spans="1:18" x14ac:dyDescent="0.2">
      <c r="A2631">
        <v>2630</v>
      </c>
      <c r="B2631" s="1">
        <v>40792</v>
      </c>
      <c r="C2631" t="s">
        <v>24</v>
      </c>
      <c r="D2631" s="7">
        <v>54</v>
      </c>
      <c r="E2631" s="7">
        <v>9</v>
      </c>
      <c r="F2631" s="7">
        <f t="shared" si="41"/>
        <v>3</v>
      </c>
      <c r="G2631" s="7" t="str">
        <f>LOOKUP(H2631,[1]startdates!$A$2:$A$10,[1]startdates!$B$2:$B$10)</f>
        <v>SMr</v>
      </c>
      <c r="H2631">
        <v>1</v>
      </c>
      <c r="I2631" s="7">
        <v>682.2</v>
      </c>
      <c r="J2631" s="7">
        <v>553.29999999999995</v>
      </c>
      <c r="K2631" s="7">
        <v>655.9</v>
      </c>
      <c r="L2631" s="7">
        <v>453.7</v>
      </c>
      <c r="M2631" s="7">
        <v>330.4</v>
      </c>
      <c r="N2631" s="7">
        <v>176.8</v>
      </c>
      <c r="O2631" s="7">
        <v>166.5</v>
      </c>
      <c r="R2631" s="7">
        <v>241.2</v>
      </c>
    </row>
    <row r="2632" spans="1:18" x14ac:dyDescent="0.2">
      <c r="A2632">
        <v>2631</v>
      </c>
      <c r="B2632" s="1">
        <v>40792</v>
      </c>
      <c r="C2632" t="s">
        <v>24</v>
      </c>
      <c r="D2632" s="7">
        <v>54</v>
      </c>
      <c r="E2632" s="7">
        <v>9</v>
      </c>
      <c r="F2632" s="7">
        <f t="shared" si="41"/>
        <v>3</v>
      </c>
      <c r="G2632" s="7" t="str">
        <f>LOOKUP(H2632,[1]startdates!$A$2:$A$10,[1]startdates!$B$2:$B$10)</f>
        <v>SMr</v>
      </c>
      <c r="H2632">
        <v>1</v>
      </c>
      <c r="I2632" s="7">
        <v>695.2</v>
      </c>
      <c r="J2632" s="7">
        <v>555</v>
      </c>
      <c r="K2632" s="7">
        <v>585.5</v>
      </c>
      <c r="L2632" s="7">
        <v>358.9</v>
      </c>
      <c r="M2632" s="7">
        <v>312.60000000000002</v>
      </c>
      <c r="N2632" s="7">
        <v>257.3</v>
      </c>
      <c r="O2632" s="7">
        <v>182.5</v>
      </c>
      <c r="R2632" s="7">
        <v>247.5</v>
      </c>
    </row>
    <row r="2633" spans="1:18" x14ac:dyDescent="0.2">
      <c r="A2633">
        <v>2632</v>
      </c>
      <c r="B2633" s="1">
        <v>40792</v>
      </c>
      <c r="C2633" t="s">
        <v>24</v>
      </c>
      <c r="D2633" s="7">
        <v>54</v>
      </c>
      <c r="E2633" s="7">
        <v>9</v>
      </c>
      <c r="F2633" s="7">
        <f t="shared" si="41"/>
        <v>3</v>
      </c>
      <c r="G2633" s="7" t="str">
        <f>LOOKUP(H2633,[1]startdates!$A$2:$A$10,[1]startdates!$B$2:$B$10)</f>
        <v>SMr</v>
      </c>
      <c r="H2633">
        <v>1</v>
      </c>
      <c r="I2633" s="7">
        <v>666.9</v>
      </c>
      <c r="J2633" s="7">
        <v>468.6</v>
      </c>
      <c r="K2633" s="7">
        <v>552</v>
      </c>
      <c r="L2633" s="7">
        <v>448.1</v>
      </c>
      <c r="M2633" s="7">
        <v>314.3</v>
      </c>
      <c r="N2633" s="7">
        <v>260.8</v>
      </c>
      <c r="O2633" s="7">
        <v>164.9</v>
      </c>
      <c r="R2633" s="7">
        <v>258</v>
      </c>
    </row>
    <row r="2634" spans="1:18" x14ac:dyDescent="0.2">
      <c r="A2634">
        <v>2633</v>
      </c>
      <c r="B2634" s="1">
        <v>40792</v>
      </c>
      <c r="C2634" t="s">
        <v>24</v>
      </c>
      <c r="D2634" s="7">
        <v>54</v>
      </c>
      <c r="E2634" s="7">
        <v>9</v>
      </c>
      <c r="F2634" s="7">
        <f t="shared" si="41"/>
        <v>3</v>
      </c>
      <c r="G2634" s="7" t="str">
        <f>LOOKUP(H2634,[1]startdates!$A$2:$A$10,[1]startdates!$B$2:$B$10)</f>
        <v>SMr</v>
      </c>
      <c r="H2634">
        <v>1</v>
      </c>
      <c r="I2634" s="7">
        <v>649.70000000000005</v>
      </c>
      <c r="K2634" s="7">
        <v>541.5</v>
      </c>
      <c r="L2634" s="7">
        <v>476</v>
      </c>
      <c r="M2634" s="7">
        <v>333.3</v>
      </c>
      <c r="N2634" s="7">
        <v>241.5</v>
      </c>
      <c r="O2634" s="7">
        <v>173</v>
      </c>
    </row>
    <row r="2635" spans="1:18" x14ac:dyDescent="0.2">
      <c r="A2635">
        <v>2634</v>
      </c>
      <c r="B2635" s="1">
        <v>40792</v>
      </c>
      <c r="C2635" t="s">
        <v>24</v>
      </c>
      <c r="D2635" s="7">
        <v>54</v>
      </c>
      <c r="E2635" s="7">
        <v>9</v>
      </c>
      <c r="F2635" s="7">
        <f t="shared" si="41"/>
        <v>3</v>
      </c>
      <c r="G2635" s="7" t="str">
        <f>LOOKUP(H2635,[1]startdates!$A$2:$A$10,[1]startdates!$B$2:$B$10)</f>
        <v>SMr</v>
      </c>
      <c r="H2635">
        <v>1</v>
      </c>
      <c r="I2635" s="7">
        <v>736.8</v>
      </c>
      <c r="M2635" s="7">
        <v>343.9</v>
      </c>
      <c r="N2635" s="7">
        <v>229.5</v>
      </c>
      <c r="O2635" s="7">
        <v>184.5</v>
      </c>
    </row>
    <row r="2636" spans="1:18" x14ac:dyDescent="0.2">
      <c r="A2636">
        <v>2635</v>
      </c>
      <c r="B2636" s="1">
        <v>40792</v>
      </c>
      <c r="C2636" t="s">
        <v>24</v>
      </c>
      <c r="D2636" s="7">
        <v>54</v>
      </c>
      <c r="E2636" s="7">
        <v>9</v>
      </c>
      <c r="F2636" s="7">
        <f t="shared" si="41"/>
        <v>3</v>
      </c>
      <c r="G2636" s="7" t="str">
        <f>LOOKUP(H2636,[1]startdates!$A$2:$A$10,[1]startdates!$B$2:$B$10)</f>
        <v>SMr</v>
      </c>
      <c r="H2636">
        <v>1</v>
      </c>
      <c r="I2636" s="7">
        <v>538.1</v>
      </c>
      <c r="M2636" s="7">
        <v>365.1</v>
      </c>
      <c r="N2636" s="7">
        <v>247.5</v>
      </c>
      <c r="O2636" s="7">
        <v>171.3</v>
      </c>
    </row>
    <row r="2637" spans="1:18" x14ac:dyDescent="0.2">
      <c r="A2637">
        <v>2636</v>
      </c>
      <c r="B2637" s="1">
        <v>40792</v>
      </c>
      <c r="C2637" t="s">
        <v>24</v>
      </c>
      <c r="D2637" s="7">
        <v>54</v>
      </c>
      <c r="E2637" s="7">
        <v>9</v>
      </c>
      <c r="F2637" s="7">
        <f t="shared" si="41"/>
        <v>3</v>
      </c>
      <c r="G2637" s="7" t="str">
        <f>LOOKUP(H2637,[1]startdates!$A$2:$A$10,[1]startdates!$B$2:$B$10)</f>
        <v>SMr</v>
      </c>
      <c r="H2637">
        <v>1</v>
      </c>
      <c r="I2637" s="7">
        <v>690.5</v>
      </c>
      <c r="M2637" s="7">
        <v>269.2</v>
      </c>
      <c r="N2637" s="7">
        <v>237.5</v>
      </c>
      <c r="O2637" s="7">
        <v>151.80000000000001</v>
      </c>
    </row>
    <row r="2638" spans="1:18" x14ac:dyDescent="0.2">
      <c r="A2638">
        <v>2637</v>
      </c>
      <c r="B2638" s="1">
        <v>40792</v>
      </c>
      <c r="C2638" t="s">
        <v>24</v>
      </c>
      <c r="D2638" s="7">
        <v>54</v>
      </c>
      <c r="E2638" s="7">
        <v>9</v>
      </c>
      <c r="F2638" s="7">
        <f t="shared" si="41"/>
        <v>3</v>
      </c>
      <c r="G2638" s="7" t="str">
        <f>LOOKUP(H2638,[1]startdates!$A$2:$A$10,[1]startdates!$B$2:$B$10)</f>
        <v>SMr</v>
      </c>
      <c r="H2638">
        <v>1</v>
      </c>
      <c r="I2638" s="7">
        <v>695.5</v>
      </c>
      <c r="M2638" s="7">
        <v>301</v>
      </c>
      <c r="N2638" s="7">
        <v>206.5</v>
      </c>
      <c r="O2638" s="7">
        <v>161.5</v>
      </c>
    </row>
    <row r="2639" spans="1:18" x14ac:dyDescent="0.2">
      <c r="A2639">
        <v>2638</v>
      </c>
      <c r="B2639" s="1">
        <v>40792</v>
      </c>
      <c r="C2639" t="s">
        <v>24</v>
      </c>
      <c r="D2639" s="7">
        <v>54</v>
      </c>
      <c r="E2639" s="7">
        <v>9</v>
      </c>
      <c r="F2639" s="7">
        <f t="shared" si="41"/>
        <v>3</v>
      </c>
      <c r="G2639" s="7" t="str">
        <f>LOOKUP(H2639,[1]startdates!$A$2:$A$10,[1]startdates!$B$2:$B$10)</f>
        <v>SMr</v>
      </c>
      <c r="H2639">
        <v>1</v>
      </c>
      <c r="I2639" s="7">
        <v>533.1</v>
      </c>
      <c r="M2639" s="7">
        <v>328.4</v>
      </c>
      <c r="N2639" s="7">
        <v>247.1</v>
      </c>
      <c r="O2639" s="7">
        <v>163.5</v>
      </c>
    </row>
    <row r="2640" spans="1:18" x14ac:dyDescent="0.2">
      <c r="A2640">
        <v>2639</v>
      </c>
      <c r="B2640" s="1">
        <v>40792</v>
      </c>
      <c r="C2640" t="s">
        <v>24</v>
      </c>
      <c r="D2640" s="7">
        <v>54</v>
      </c>
      <c r="E2640" s="7">
        <v>9</v>
      </c>
      <c r="F2640" s="7">
        <f t="shared" si="41"/>
        <v>3</v>
      </c>
      <c r="G2640" s="7" t="str">
        <f>LOOKUP(H2640,[1]startdates!$A$2:$A$10,[1]startdates!$B$2:$B$10)</f>
        <v>SMr</v>
      </c>
      <c r="H2640">
        <v>1</v>
      </c>
      <c r="I2640" s="7">
        <v>653.20000000000005</v>
      </c>
      <c r="M2640" s="7">
        <v>335.8</v>
      </c>
      <c r="N2640" s="7">
        <v>239.3</v>
      </c>
      <c r="O2640" s="7">
        <v>160.4</v>
      </c>
    </row>
    <row r="2641" spans="1:19" x14ac:dyDescent="0.2">
      <c r="A2641">
        <v>2640</v>
      </c>
      <c r="B2641" s="1">
        <v>40792</v>
      </c>
      <c r="C2641" t="s">
        <v>24</v>
      </c>
      <c r="D2641" s="7">
        <v>54</v>
      </c>
      <c r="E2641" s="7">
        <v>9</v>
      </c>
      <c r="F2641" s="7">
        <f t="shared" si="41"/>
        <v>3</v>
      </c>
      <c r="G2641" s="7" t="str">
        <f>LOOKUP(H2641,[1]startdates!$A$2:$A$10,[1]startdates!$B$2:$B$10)</f>
        <v>SMr</v>
      </c>
      <c r="H2641">
        <v>1</v>
      </c>
      <c r="I2641" s="7">
        <v>615.9</v>
      </c>
      <c r="N2641" s="7">
        <v>160.69999999999999</v>
      </c>
    </row>
    <row r="2642" spans="1:19" x14ac:dyDescent="0.2">
      <c r="A2642">
        <v>2641</v>
      </c>
      <c r="B2642" s="1">
        <v>40792</v>
      </c>
      <c r="C2642" t="s">
        <v>24</v>
      </c>
      <c r="D2642" s="7">
        <v>54</v>
      </c>
      <c r="E2642" s="7">
        <v>9</v>
      </c>
      <c r="F2642" s="7">
        <f t="shared" si="41"/>
        <v>3</v>
      </c>
      <c r="G2642" s="7" t="str">
        <f>LOOKUP(H2642,[1]startdates!$A$2:$A$10,[1]startdates!$B$2:$B$10)</f>
        <v>SMr</v>
      </c>
      <c r="H2642">
        <v>1</v>
      </c>
      <c r="I2642" s="7">
        <v>713.3</v>
      </c>
    </row>
    <row r="2643" spans="1:19" x14ac:dyDescent="0.2">
      <c r="A2643">
        <v>2642</v>
      </c>
      <c r="B2643" s="1">
        <v>40792</v>
      </c>
      <c r="C2643" t="s">
        <v>24</v>
      </c>
      <c r="D2643" s="7">
        <v>54</v>
      </c>
      <c r="E2643" s="7">
        <v>9</v>
      </c>
      <c r="F2643" s="7">
        <f t="shared" si="41"/>
        <v>3</v>
      </c>
      <c r="G2643" s="7" t="str">
        <f>LOOKUP(H2643,[1]startdates!$A$2:$A$10,[1]startdates!$B$2:$B$10)</f>
        <v>SMr</v>
      </c>
      <c r="H2643">
        <v>1</v>
      </c>
      <c r="I2643" s="7">
        <v>495.3</v>
      </c>
    </row>
    <row r="2644" spans="1:19" x14ac:dyDescent="0.2">
      <c r="A2644">
        <v>2643</v>
      </c>
      <c r="B2644" s="1">
        <v>40792</v>
      </c>
      <c r="C2644" t="s">
        <v>24</v>
      </c>
      <c r="D2644" s="7">
        <v>54</v>
      </c>
      <c r="E2644" s="7">
        <v>9</v>
      </c>
      <c r="F2644" s="7">
        <f t="shared" si="41"/>
        <v>3</v>
      </c>
      <c r="G2644" s="7" t="str">
        <f>LOOKUP(H2644,[1]startdates!$A$2:$A$10,[1]startdates!$B$2:$B$10)</f>
        <v>SMr</v>
      </c>
      <c r="H2644">
        <v>2</v>
      </c>
      <c r="I2644" s="7">
        <v>688.5</v>
      </c>
      <c r="J2644" s="7">
        <v>618.20000000000005</v>
      </c>
      <c r="K2644" s="7">
        <v>469.9</v>
      </c>
      <c r="L2644" s="7">
        <v>472.4</v>
      </c>
      <c r="M2644" s="7">
        <v>353.8</v>
      </c>
      <c r="N2644" s="7">
        <v>232.4</v>
      </c>
      <c r="O2644" s="7">
        <v>167.7</v>
      </c>
      <c r="Q2644" s="7">
        <v>309.89999999999998</v>
      </c>
      <c r="S2644" s="7">
        <v>311.89999999999998</v>
      </c>
    </row>
    <row r="2645" spans="1:19" x14ac:dyDescent="0.2">
      <c r="A2645">
        <v>2644</v>
      </c>
      <c r="B2645" s="1">
        <v>40792</v>
      </c>
      <c r="C2645" t="s">
        <v>24</v>
      </c>
      <c r="D2645" s="7">
        <v>54</v>
      </c>
      <c r="E2645" s="7">
        <v>9</v>
      </c>
      <c r="F2645" s="7">
        <f t="shared" si="41"/>
        <v>3</v>
      </c>
      <c r="G2645" s="7" t="str">
        <f>LOOKUP(H2645,[1]startdates!$A$2:$A$10,[1]startdates!$B$2:$B$10)</f>
        <v>SMr</v>
      </c>
      <c r="H2645">
        <v>2</v>
      </c>
      <c r="I2645" s="7">
        <v>752.6</v>
      </c>
      <c r="J2645" s="7">
        <v>578.1</v>
      </c>
      <c r="K2645" s="7">
        <v>451.2</v>
      </c>
      <c r="L2645" s="7">
        <v>409.5</v>
      </c>
      <c r="M2645" s="7">
        <v>310.5</v>
      </c>
      <c r="N2645" s="7">
        <v>232.1</v>
      </c>
      <c r="O2645" s="7">
        <v>162</v>
      </c>
    </row>
    <row r="2646" spans="1:19" x14ac:dyDescent="0.2">
      <c r="A2646">
        <v>2645</v>
      </c>
      <c r="B2646" s="1">
        <v>40792</v>
      </c>
      <c r="C2646" t="s">
        <v>24</v>
      </c>
      <c r="D2646" s="7">
        <v>54</v>
      </c>
      <c r="E2646" s="7">
        <v>9</v>
      </c>
      <c r="F2646" s="7">
        <f t="shared" si="41"/>
        <v>3</v>
      </c>
      <c r="G2646" s="7" t="str">
        <f>LOOKUP(H2646,[1]startdates!$A$2:$A$10,[1]startdates!$B$2:$B$10)</f>
        <v>SMr</v>
      </c>
      <c r="H2646">
        <v>2</v>
      </c>
      <c r="I2646" s="7">
        <v>663.5</v>
      </c>
      <c r="K2646" s="7">
        <v>633.9</v>
      </c>
      <c r="L2646" s="7">
        <v>449.7</v>
      </c>
      <c r="M2646" s="7">
        <v>335.8</v>
      </c>
      <c r="N2646" s="7">
        <v>203.7</v>
      </c>
      <c r="O2646" s="7">
        <v>170</v>
      </c>
    </row>
    <row r="2647" spans="1:19" x14ac:dyDescent="0.2">
      <c r="A2647">
        <v>2646</v>
      </c>
      <c r="B2647" s="1">
        <v>40792</v>
      </c>
      <c r="C2647" t="s">
        <v>24</v>
      </c>
      <c r="D2647" s="7">
        <v>54</v>
      </c>
      <c r="E2647" s="7">
        <v>9</v>
      </c>
      <c r="F2647" s="7">
        <f t="shared" si="41"/>
        <v>3</v>
      </c>
      <c r="G2647" s="7" t="str">
        <f>LOOKUP(H2647,[1]startdates!$A$2:$A$10,[1]startdates!$B$2:$B$10)</f>
        <v>SMr</v>
      </c>
      <c r="H2647">
        <v>2</v>
      </c>
      <c r="I2647" s="7">
        <v>710</v>
      </c>
      <c r="K2647" s="7">
        <v>525.4</v>
      </c>
      <c r="L2647" s="7">
        <v>419.8</v>
      </c>
      <c r="M2647" s="7">
        <v>372.3</v>
      </c>
      <c r="N2647" s="7">
        <v>193.8</v>
      </c>
      <c r="O2647" s="7">
        <v>173</v>
      </c>
    </row>
    <row r="2648" spans="1:19" x14ac:dyDescent="0.2">
      <c r="A2648">
        <v>2647</v>
      </c>
      <c r="B2648" s="1">
        <v>40792</v>
      </c>
      <c r="C2648" t="s">
        <v>24</v>
      </c>
      <c r="D2648" s="7">
        <v>54</v>
      </c>
      <c r="E2648" s="7">
        <v>9</v>
      </c>
      <c r="F2648" s="7">
        <f t="shared" si="41"/>
        <v>3</v>
      </c>
      <c r="G2648" s="7" t="str">
        <f>LOOKUP(H2648,[1]startdates!$A$2:$A$10,[1]startdates!$B$2:$B$10)</f>
        <v>SMr</v>
      </c>
      <c r="H2648">
        <v>2</v>
      </c>
      <c r="I2648" s="7">
        <v>718.2</v>
      </c>
      <c r="M2648" s="7">
        <v>331.9</v>
      </c>
      <c r="N2648" s="7">
        <v>207</v>
      </c>
      <c r="O2648" s="7">
        <v>151.1</v>
      </c>
    </row>
    <row r="2649" spans="1:19" x14ac:dyDescent="0.2">
      <c r="A2649">
        <v>2648</v>
      </c>
      <c r="B2649" s="1">
        <v>40792</v>
      </c>
      <c r="C2649" t="s">
        <v>24</v>
      </c>
      <c r="D2649" s="7">
        <v>54</v>
      </c>
      <c r="E2649" s="7">
        <v>9</v>
      </c>
      <c r="F2649" s="7">
        <f t="shared" si="41"/>
        <v>3</v>
      </c>
      <c r="G2649" s="7" t="str">
        <f>LOOKUP(H2649,[1]startdates!$A$2:$A$10,[1]startdates!$B$2:$B$10)</f>
        <v>SMr</v>
      </c>
      <c r="H2649">
        <v>2</v>
      </c>
      <c r="I2649" s="7">
        <v>577.9</v>
      </c>
      <c r="M2649" s="7">
        <v>338.8</v>
      </c>
      <c r="N2649" s="7">
        <v>221.7</v>
      </c>
      <c r="O2649" s="7">
        <v>181.1</v>
      </c>
    </row>
    <row r="2650" spans="1:19" x14ac:dyDescent="0.2">
      <c r="A2650">
        <v>2649</v>
      </c>
      <c r="B2650" s="1">
        <v>40792</v>
      </c>
      <c r="C2650" t="s">
        <v>24</v>
      </c>
      <c r="D2650" s="7">
        <v>54</v>
      </c>
      <c r="E2650" s="7">
        <v>9</v>
      </c>
      <c r="F2650" s="7">
        <f t="shared" si="41"/>
        <v>3</v>
      </c>
      <c r="G2650" s="7" t="str">
        <f>LOOKUP(H2650,[1]startdates!$A$2:$A$10,[1]startdates!$B$2:$B$10)</f>
        <v>SMr</v>
      </c>
      <c r="H2650">
        <v>2</v>
      </c>
      <c r="I2650" s="7">
        <v>599.29999999999995</v>
      </c>
      <c r="M2650" s="7">
        <v>363.6</v>
      </c>
      <c r="N2650" s="7">
        <v>192.6</v>
      </c>
      <c r="O2650" s="7">
        <v>170.6</v>
      </c>
    </row>
    <row r="2651" spans="1:19" x14ac:dyDescent="0.2">
      <c r="A2651">
        <v>2650</v>
      </c>
      <c r="B2651" s="1">
        <v>40792</v>
      </c>
      <c r="C2651" t="s">
        <v>24</v>
      </c>
      <c r="D2651" s="7">
        <v>54</v>
      </c>
      <c r="E2651" s="7">
        <v>9</v>
      </c>
      <c r="F2651" s="7">
        <f t="shared" si="41"/>
        <v>3</v>
      </c>
      <c r="G2651" s="7" t="str">
        <f>LOOKUP(H2651,[1]startdates!$A$2:$A$10,[1]startdates!$B$2:$B$10)</f>
        <v>SMr</v>
      </c>
      <c r="H2651">
        <v>2</v>
      </c>
      <c r="I2651" s="7">
        <v>648.79999999999995</v>
      </c>
      <c r="N2651" s="7">
        <v>209</v>
      </c>
    </row>
    <row r="2652" spans="1:19" x14ac:dyDescent="0.2">
      <c r="A2652">
        <v>2651</v>
      </c>
      <c r="B2652" s="1">
        <v>40792</v>
      </c>
      <c r="C2652" t="s">
        <v>24</v>
      </c>
      <c r="D2652" s="7">
        <v>54</v>
      </c>
      <c r="E2652" s="7">
        <v>9</v>
      </c>
      <c r="F2652" s="7">
        <f t="shared" si="41"/>
        <v>3</v>
      </c>
      <c r="G2652" s="7" t="str">
        <f>LOOKUP(H2652,[1]startdates!$A$2:$A$10,[1]startdates!$B$2:$B$10)</f>
        <v>SMr</v>
      </c>
      <c r="H2652">
        <v>2</v>
      </c>
      <c r="I2652" s="7">
        <v>714.3</v>
      </c>
      <c r="N2652" s="7">
        <v>231.3</v>
      </c>
    </row>
    <row r="2653" spans="1:19" x14ac:dyDescent="0.2">
      <c r="A2653">
        <v>2652</v>
      </c>
      <c r="B2653" s="1">
        <v>40792</v>
      </c>
      <c r="C2653" t="s">
        <v>24</v>
      </c>
      <c r="D2653" s="7">
        <v>54</v>
      </c>
      <c r="E2653" s="7">
        <v>9</v>
      </c>
      <c r="F2653" s="7">
        <f t="shared" si="41"/>
        <v>3</v>
      </c>
      <c r="G2653" s="7" t="str">
        <f>LOOKUP(H2653,[1]startdates!$A$2:$A$10,[1]startdates!$B$2:$B$10)</f>
        <v>SMr</v>
      </c>
      <c r="H2653">
        <v>2</v>
      </c>
      <c r="I2653" s="7">
        <v>637.6</v>
      </c>
      <c r="N2653" s="7">
        <v>197.8</v>
      </c>
    </row>
    <row r="2654" spans="1:19" x14ac:dyDescent="0.2">
      <c r="A2654">
        <v>2653</v>
      </c>
      <c r="B2654" s="1">
        <v>40792</v>
      </c>
      <c r="C2654" t="s">
        <v>24</v>
      </c>
      <c r="D2654" s="7">
        <v>54</v>
      </c>
      <c r="E2654" s="7">
        <v>9</v>
      </c>
      <c r="F2654" s="7">
        <f t="shared" si="41"/>
        <v>3</v>
      </c>
      <c r="G2654" s="7" t="str">
        <f>LOOKUP(H2654,[1]startdates!$A$2:$A$10,[1]startdates!$B$2:$B$10)</f>
        <v>SMr</v>
      </c>
      <c r="H2654">
        <v>2</v>
      </c>
      <c r="I2654" s="7">
        <v>756.3</v>
      </c>
    </row>
    <row r="2655" spans="1:19" x14ac:dyDescent="0.2">
      <c r="A2655">
        <v>2654</v>
      </c>
      <c r="B2655" s="1">
        <v>40792</v>
      </c>
      <c r="C2655" t="s">
        <v>24</v>
      </c>
      <c r="D2655" s="7">
        <v>54</v>
      </c>
      <c r="E2655" s="7">
        <v>9</v>
      </c>
      <c r="F2655" s="7">
        <f t="shared" si="41"/>
        <v>3</v>
      </c>
      <c r="G2655" s="7" t="str">
        <f>LOOKUP(H2655,[1]startdates!$A$2:$A$10,[1]startdates!$B$2:$B$10)</f>
        <v>C</v>
      </c>
      <c r="H2655">
        <v>3</v>
      </c>
      <c r="I2655" s="7">
        <v>682.2</v>
      </c>
      <c r="J2655" s="7">
        <v>552.70000000000005</v>
      </c>
      <c r="K2655" s="7">
        <v>585.79999999999995</v>
      </c>
      <c r="L2655" s="7">
        <v>460.8</v>
      </c>
      <c r="M2655" s="7">
        <v>341.8</v>
      </c>
      <c r="N2655" s="7">
        <v>233</v>
      </c>
      <c r="O2655" s="7">
        <v>168</v>
      </c>
      <c r="P2655" s="7">
        <v>487.5</v>
      </c>
      <c r="Q2655" s="7">
        <v>400.5</v>
      </c>
      <c r="R2655" s="7">
        <v>299.89999999999998</v>
      </c>
      <c r="S2655" s="7">
        <v>286.60000000000002</v>
      </c>
    </row>
    <row r="2656" spans="1:19" x14ac:dyDescent="0.2">
      <c r="A2656">
        <v>2655</v>
      </c>
      <c r="B2656" s="1">
        <v>40792</v>
      </c>
      <c r="C2656" t="s">
        <v>24</v>
      </c>
      <c r="D2656" s="7">
        <v>54</v>
      </c>
      <c r="E2656" s="7">
        <v>9</v>
      </c>
      <c r="F2656" s="7">
        <f t="shared" si="41"/>
        <v>3</v>
      </c>
      <c r="G2656" s="7" t="str">
        <f>LOOKUP(H2656,[1]startdates!$A$2:$A$10,[1]startdates!$B$2:$B$10)</f>
        <v>C</v>
      </c>
      <c r="H2656">
        <v>3</v>
      </c>
      <c r="I2656" s="7">
        <v>653.9</v>
      </c>
      <c r="K2656" s="7">
        <v>624</v>
      </c>
      <c r="L2656" s="7">
        <v>501.9</v>
      </c>
      <c r="M2656" s="7">
        <v>317.2</v>
      </c>
      <c r="N2656" s="7">
        <v>239.4</v>
      </c>
      <c r="O2656" s="7">
        <v>169.4</v>
      </c>
    </row>
    <row r="2657" spans="1:19" x14ac:dyDescent="0.2">
      <c r="A2657">
        <v>2656</v>
      </c>
      <c r="B2657" s="1">
        <v>40792</v>
      </c>
      <c r="C2657" t="s">
        <v>24</v>
      </c>
      <c r="D2657" s="7">
        <v>54</v>
      </c>
      <c r="E2657" s="7">
        <v>9</v>
      </c>
      <c r="F2657" s="7">
        <f t="shared" si="41"/>
        <v>3</v>
      </c>
      <c r="G2657" s="7" t="str">
        <f>LOOKUP(H2657,[1]startdates!$A$2:$A$10,[1]startdates!$B$2:$B$10)</f>
        <v>C</v>
      </c>
      <c r="H2657">
        <v>3</v>
      </c>
      <c r="I2657" s="7">
        <v>772.2</v>
      </c>
      <c r="K2657" s="7">
        <v>513.29999999999995</v>
      </c>
      <c r="L2657" s="7">
        <v>571.29999999999995</v>
      </c>
      <c r="M2657" s="7">
        <v>336.3</v>
      </c>
      <c r="N2657" s="7">
        <v>250</v>
      </c>
      <c r="O2657" s="7">
        <v>173</v>
      </c>
    </row>
    <row r="2658" spans="1:19" x14ac:dyDescent="0.2">
      <c r="A2658">
        <v>2657</v>
      </c>
      <c r="B2658" s="1">
        <v>40792</v>
      </c>
      <c r="C2658" t="s">
        <v>24</v>
      </c>
      <c r="D2658" s="7">
        <v>54</v>
      </c>
      <c r="E2658" s="7">
        <v>9</v>
      </c>
      <c r="F2658" s="7">
        <f t="shared" si="41"/>
        <v>3</v>
      </c>
      <c r="G2658" s="7" t="str">
        <f>LOOKUP(H2658,[1]startdates!$A$2:$A$10,[1]startdates!$B$2:$B$10)</f>
        <v>C</v>
      </c>
      <c r="H2658">
        <v>3</v>
      </c>
      <c r="K2658" s="7">
        <v>559.6</v>
      </c>
      <c r="M2658" s="7">
        <v>298.60000000000002</v>
      </c>
      <c r="N2658" s="7">
        <v>250</v>
      </c>
      <c r="O2658" s="7">
        <v>145.9</v>
      </c>
    </row>
    <row r="2659" spans="1:19" x14ac:dyDescent="0.2">
      <c r="A2659">
        <v>2658</v>
      </c>
      <c r="B2659" s="1">
        <v>40792</v>
      </c>
      <c r="C2659" t="s">
        <v>24</v>
      </c>
      <c r="D2659" s="7">
        <v>54</v>
      </c>
      <c r="E2659" s="7">
        <v>9</v>
      </c>
      <c r="F2659" s="7">
        <f t="shared" si="41"/>
        <v>3</v>
      </c>
      <c r="G2659" s="7" t="str">
        <f>LOOKUP(H2659,[1]startdates!$A$2:$A$10,[1]startdates!$B$2:$B$10)</f>
        <v>C</v>
      </c>
      <c r="H2659">
        <v>3</v>
      </c>
      <c r="K2659" s="7">
        <v>597.1</v>
      </c>
      <c r="M2659" s="7">
        <v>359.4</v>
      </c>
      <c r="N2659" s="7">
        <v>176.8</v>
      </c>
      <c r="O2659" s="7">
        <v>182.2</v>
      </c>
    </row>
    <row r="2660" spans="1:19" x14ac:dyDescent="0.2">
      <c r="A2660">
        <v>2659</v>
      </c>
      <c r="B2660" s="1">
        <v>40792</v>
      </c>
      <c r="C2660" t="s">
        <v>24</v>
      </c>
      <c r="D2660" s="7">
        <v>54</v>
      </c>
      <c r="E2660" s="7">
        <v>9</v>
      </c>
      <c r="F2660" s="7">
        <f t="shared" si="41"/>
        <v>3</v>
      </c>
      <c r="G2660" s="7" t="str">
        <f>LOOKUP(H2660,[1]startdates!$A$2:$A$10,[1]startdates!$B$2:$B$10)</f>
        <v>C</v>
      </c>
      <c r="H2660">
        <v>3</v>
      </c>
      <c r="K2660" s="7">
        <v>608.20000000000005</v>
      </c>
      <c r="M2660" s="7">
        <v>325.39999999999998</v>
      </c>
      <c r="N2660" s="7">
        <v>204.2</v>
      </c>
      <c r="O2660" s="7">
        <v>177</v>
      </c>
    </row>
    <row r="2661" spans="1:19" x14ac:dyDescent="0.2">
      <c r="A2661">
        <v>2660</v>
      </c>
      <c r="B2661" s="1">
        <v>40792</v>
      </c>
      <c r="C2661" t="s">
        <v>24</v>
      </c>
      <c r="D2661" s="7">
        <v>54</v>
      </c>
      <c r="E2661" s="7">
        <v>9</v>
      </c>
      <c r="F2661" s="7">
        <f t="shared" si="41"/>
        <v>3</v>
      </c>
      <c r="G2661" s="7" t="str">
        <f>LOOKUP(H2661,[1]startdates!$A$2:$A$10,[1]startdates!$B$2:$B$10)</f>
        <v>C</v>
      </c>
      <c r="H2661">
        <v>3</v>
      </c>
      <c r="K2661" s="7">
        <v>762.3</v>
      </c>
      <c r="M2661" s="7">
        <v>284.2</v>
      </c>
      <c r="N2661" s="7">
        <v>210.4</v>
      </c>
      <c r="O2661" s="7">
        <v>195.7</v>
      </c>
    </row>
    <row r="2662" spans="1:19" x14ac:dyDescent="0.2">
      <c r="A2662">
        <v>2661</v>
      </c>
      <c r="B2662" s="1">
        <v>40792</v>
      </c>
      <c r="C2662" t="s">
        <v>24</v>
      </c>
      <c r="D2662" s="7">
        <v>54</v>
      </c>
      <c r="E2662" s="7">
        <v>9</v>
      </c>
      <c r="F2662" s="7">
        <f t="shared" si="41"/>
        <v>3</v>
      </c>
      <c r="G2662" s="7" t="str">
        <f>LOOKUP(H2662,[1]startdates!$A$2:$A$10,[1]startdates!$B$2:$B$10)</f>
        <v>C</v>
      </c>
      <c r="H2662">
        <v>3</v>
      </c>
      <c r="K2662" s="7">
        <v>725.3</v>
      </c>
      <c r="M2662" s="7">
        <v>333.6</v>
      </c>
      <c r="N2662" s="7">
        <v>209.6</v>
      </c>
      <c r="O2662" s="7">
        <v>175.4</v>
      </c>
    </row>
    <row r="2663" spans="1:19" x14ac:dyDescent="0.2">
      <c r="A2663">
        <v>2662</v>
      </c>
      <c r="B2663" s="1">
        <v>40792</v>
      </c>
      <c r="C2663" t="s">
        <v>24</v>
      </c>
      <c r="D2663" s="7">
        <v>54</v>
      </c>
      <c r="E2663" s="7">
        <v>9</v>
      </c>
      <c r="F2663" s="7">
        <f t="shared" si="41"/>
        <v>3</v>
      </c>
      <c r="G2663" s="7" t="str">
        <f>LOOKUP(H2663,[1]startdates!$A$2:$A$10,[1]startdates!$B$2:$B$10)</f>
        <v>C</v>
      </c>
      <c r="H2663">
        <v>3</v>
      </c>
      <c r="K2663" s="7">
        <v>538.1</v>
      </c>
      <c r="M2663" s="7">
        <v>305.10000000000002</v>
      </c>
      <c r="N2663" s="7">
        <v>213.6</v>
      </c>
      <c r="O2663" s="7">
        <v>163.4</v>
      </c>
    </row>
    <row r="2664" spans="1:19" x14ac:dyDescent="0.2">
      <c r="A2664">
        <v>2663</v>
      </c>
      <c r="B2664" s="1">
        <v>40792</v>
      </c>
      <c r="C2664" t="s">
        <v>24</v>
      </c>
      <c r="D2664" s="7">
        <v>54</v>
      </c>
      <c r="E2664" s="7">
        <v>9</v>
      </c>
      <c r="F2664" s="7">
        <f t="shared" si="41"/>
        <v>3</v>
      </c>
      <c r="G2664" s="7" t="str">
        <f>LOOKUP(H2664,[1]startdates!$A$2:$A$10,[1]startdates!$B$2:$B$10)</f>
        <v>C</v>
      </c>
      <c r="H2664">
        <v>3</v>
      </c>
      <c r="K2664" s="7">
        <v>715.3</v>
      </c>
      <c r="N2664" s="7">
        <v>236.3</v>
      </c>
      <c r="O2664" s="7">
        <v>172.5</v>
      </c>
    </row>
    <row r="2665" spans="1:19" x14ac:dyDescent="0.2">
      <c r="A2665">
        <v>2664</v>
      </c>
      <c r="B2665" s="1">
        <v>40792</v>
      </c>
      <c r="C2665" t="s">
        <v>24</v>
      </c>
      <c r="D2665" s="7">
        <v>54</v>
      </c>
      <c r="E2665" s="7">
        <v>9</v>
      </c>
      <c r="F2665" s="7">
        <f t="shared" ref="F2665:F2728" si="42">WEEKDAY(B2665)</f>
        <v>3</v>
      </c>
      <c r="G2665" s="7" t="str">
        <f>LOOKUP(H2665,[1]startdates!$A$2:$A$10,[1]startdates!$B$2:$B$10)</f>
        <v>C</v>
      </c>
      <c r="H2665">
        <v>3</v>
      </c>
      <c r="N2665" s="7">
        <v>203.3</v>
      </c>
    </row>
    <row r="2666" spans="1:19" x14ac:dyDescent="0.2">
      <c r="A2666">
        <v>2665</v>
      </c>
      <c r="B2666" s="1">
        <v>40792</v>
      </c>
      <c r="C2666" t="s">
        <v>28</v>
      </c>
      <c r="D2666" s="7">
        <v>54</v>
      </c>
      <c r="E2666" s="7">
        <v>9</v>
      </c>
      <c r="F2666" s="7">
        <f t="shared" si="42"/>
        <v>3</v>
      </c>
      <c r="G2666" s="7" t="str">
        <f>LOOKUP(H2666,[1]startdates!$A$2:$A$10,[1]startdates!$B$2:$B$10)</f>
        <v>SMr</v>
      </c>
      <c r="H2666">
        <v>4</v>
      </c>
      <c r="I2666" s="7">
        <v>771.8</v>
      </c>
      <c r="J2666" s="7">
        <v>533.5</v>
      </c>
      <c r="K2666" s="7">
        <v>525.1</v>
      </c>
      <c r="L2666" s="7">
        <v>423.9</v>
      </c>
      <c r="M2666" s="7">
        <v>341.7</v>
      </c>
      <c r="N2666" s="7">
        <v>268</v>
      </c>
      <c r="O2666" s="7">
        <v>178.1</v>
      </c>
      <c r="P2666" s="7">
        <v>461.3</v>
      </c>
      <c r="Q2666" s="7">
        <v>325.3</v>
      </c>
      <c r="S2666" s="7">
        <v>232.9</v>
      </c>
    </row>
    <row r="2667" spans="1:19" x14ac:dyDescent="0.2">
      <c r="A2667">
        <v>2666</v>
      </c>
      <c r="B2667" s="1">
        <v>40792</v>
      </c>
      <c r="C2667" t="s">
        <v>28</v>
      </c>
      <c r="D2667" s="7">
        <v>54</v>
      </c>
      <c r="E2667" s="7">
        <v>9</v>
      </c>
      <c r="F2667" s="7">
        <f t="shared" si="42"/>
        <v>3</v>
      </c>
      <c r="G2667" s="7" t="str">
        <f>LOOKUP(H2667,[1]startdates!$A$2:$A$10,[1]startdates!$B$2:$B$10)</f>
        <v>SMr</v>
      </c>
      <c r="H2667">
        <v>4</v>
      </c>
      <c r="I2667" s="7">
        <v>784.7</v>
      </c>
      <c r="K2667" s="7">
        <v>545.20000000000005</v>
      </c>
      <c r="L2667" s="7">
        <v>438.5</v>
      </c>
      <c r="M2667" s="7">
        <v>361.1</v>
      </c>
      <c r="N2667" s="7">
        <v>253</v>
      </c>
      <c r="O2667" s="7">
        <v>168.2</v>
      </c>
      <c r="P2667" s="7">
        <v>494.7</v>
      </c>
      <c r="Q2667" s="7">
        <v>333.4</v>
      </c>
    </row>
    <row r="2668" spans="1:19" x14ac:dyDescent="0.2">
      <c r="A2668">
        <v>2667</v>
      </c>
      <c r="B2668" s="1">
        <v>40792</v>
      </c>
      <c r="C2668" t="s">
        <v>28</v>
      </c>
      <c r="D2668" s="7">
        <v>54</v>
      </c>
      <c r="E2668" s="7">
        <v>9</v>
      </c>
      <c r="F2668" s="7">
        <f t="shared" si="42"/>
        <v>3</v>
      </c>
      <c r="G2668" s="7" t="str">
        <f>LOOKUP(H2668,[1]startdates!$A$2:$A$10,[1]startdates!$B$2:$B$10)</f>
        <v>SMr</v>
      </c>
      <c r="H2668">
        <v>4</v>
      </c>
      <c r="I2668" s="7">
        <v>649.9</v>
      </c>
      <c r="K2668" s="7">
        <v>623.29999999999995</v>
      </c>
      <c r="L2668" s="7">
        <v>487.5</v>
      </c>
      <c r="M2668" s="7">
        <v>316.3</v>
      </c>
      <c r="N2668" s="7">
        <v>247.4</v>
      </c>
      <c r="O2668" s="7">
        <v>198.8</v>
      </c>
      <c r="P2668" s="7">
        <v>468</v>
      </c>
    </row>
    <row r="2669" spans="1:19" x14ac:dyDescent="0.2">
      <c r="A2669">
        <v>2668</v>
      </c>
      <c r="B2669" s="1">
        <v>40792</v>
      </c>
      <c r="C2669" t="s">
        <v>28</v>
      </c>
      <c r="D2669" s="7">
        <v>54</v>
      </c>
      <c r="E2669" s="7">
        <v>9</v>
      </c>
      <c r="F2669" s="7">
        <f t="shared" si="42"/>
        <v>3</v>
      </c>
      <c r="G2669" s="7" t="str">
        <f>LOOKUP(H2669,[1]startdates!$A$2:$A$10,[1]startdates!$B$2:$B$10)</f>
        <v>SMr</v>
      </c>
      <c r="H2669">
        <v>4</v>
      </c>
      <c r="I2669" s="7">
        <v>722.2</v>
      </c>
      <c r="K2669" s="7">
        <v>488.3</v>
      </c>
      <c r="L2669" s="7">
        <v>405.2</v>
      </c>
      <c r="M2669" s="7">
        <v>333.4</v>
      </c>
      <c r="N2669" s="7">
        <v>190</v>
      </c>
      <c r="O2669" s="7">
        <v>188.7</v>
      </c>
    </row>
    <row r="2670" spans="1:19" x14ac:dyDescent="0.2">
      <c r="A2670">
        <v>2669</v>
      </c>
      <c r="B2670" s="1">
        <v>40792</v>
      </c>
      <c r="C2670" t="s">
        <v>28</v>
      </c>
      <c r="D2670" s="7">
        <v>54</v>
      </c>
      <c r="E2670" s="7">
        <v>9</v>
      </c>
      <c r="F2670" s="7">
        <f t="shared" si="42"/>
        <v>3</v>
      </c>
      <c r="G2670" s="7" t="str">
        <f>LOOKUP(H2670,[1]startdates!$A$2:$A$10,[1]startdates!$B$2:$B$10)</f>
        <v>SMr</v>
      </c>
      <c r="H2670">
        <v>4</v>
      </c>
      <c r="I2670" s="7">
        <v>498.8</v>
      </c>
      <c r="K2670" s="7">
        <v>605.9</v>
      </c>
      <c r="L2670" s="7">
        <v>444.9</v>
      </c>
      <c r="M2670" s="7">
        <v>302.7</v>
      </c>
      <c r="N2670" s="7">
        <v>244.8</v>
      </c>
      <c r="O2670" s="7">
        <v>170</v>
      </c>
    </row>
    <row r="2671" spans="1:19" x14ac:dyDescent="0.2">
      <c r="A2671">
        <v>2670</v>
      </c>
      <c r="B2671" s="1">
        <v>40792</v>
      </c>
      <c r="C2671" t="s">
        <v>28</v>
      </c>
      <c r="D2671" s="7">
        <v>54</v>
      </c>
      <c r="E2671" s="7">
        <v>9</v>
      </c>
      <c r="F2671" s="7">
        <f t="shared" si="42"/>
        <v>3</v>
      </c>
      <c r="G2671" s="7" t="str">
        <f>LOOKUP(H2671,[1]startdates!$A$2:$A$10,[1]startdates!$B$2:$B$10)</f>
        <v>SMr</v>
      </c>
      <c r="H2671">
        <v>4</v>
      </c>
      <c r="I2671" s="7">
        <v>783.3</v>
      </c>
      <c r="K2671" s="7">
        <v>638.29999999999995</v>
      </c>
      <c r="L2671" s="7">
        <v>428.9</v>
      </c>
      <c r="M2671" s="7">
        <v>334.7</v>
      </c>
      <c r="N2671" s="7">
        <v>248.4</v>
      </c>
      <c r="O2671" s="7">
        <v>151.80000000000001</v>
      </c>
    </row>
    <row r="2672" spans="1:19" x14ac:dyDescent="0.2">
      <c r="A2672">
        <v>2671</v>
      </c>
      <c r="B2672" s="1">
        <v>40792</v>
      </c>
      <c r="C2672" t="s">
        <v>28</v>
      </c>
      <c r="D2672" s="7">
        <v>54</v>
      </c>
      <c r="E2672" s="7">
        <v>9</v>
      </c>
      <c r="F2672" s="7">
        <f t="shared" si="42"/>
        <v>3</v>
      </c>
      <c r="G2672" s="7" t="str">
        <f>LOOKUP(H2672,[1]startdates!$A$2:$A$10,[1]startdates!$B$2:$B$10)</f>
        <v>SMr</v>
      </c>
      <c r="H2672">
        <v>4</v>
      </c>
      <c r="I2672" s="7">
        <v>702</v>
      </c>
      <c r="K2672" s="7">
        <v>512.79999999999995</v>
      </c>
      <c r="L2672" s="7">
        <v>418.9</v>
      </c>
      <c r="M2672" s="7">
        <v>382.3</v>
      </c>
      <c r="N2672" s="7">
        <v>236.1</v>
      </c>
      <c r="O2672" s="7">
        <v>178.2</v>
      </c>
    </row>
    <row r="2673" spans="1:19" x14ac:dyDescent="0.2">
      <c r="A2673">
        <v>2672</v>
      </c>
      <c r="B2673" s="1">
        <v>40792</v>
      </c>
      <c r="C2673" t="s">
        <v>28</v>
      </c>
      <c r="D2673" s="7">
        <v>54</v>
      </c>
      <c r="E2673" s="7">
        <v>9</v>
      </c>
      <c r="F2673" s="7">
        <f t="shared" si="42"/>
        <v>3</v>
      </c>
      <c r="G2673" s="7" t="str">
        <f>LOOKUP(H2673,[1]startdates!$A$2:$A$10,[1]startdates!$B$2:$B$10)</f>
        <v>SMr</v>
      </c>
      <c r="H2673">
        <v>4</v>
      </c>
      <c r="I2673" s="7">
        <v>677.8</v>
      </c>
      <c r="L2673" s="7">
        <v>469</v>
      </c>
      <c r="M2673" s="7">
        <v>346.6</v>
      </c>
      <c r="N2673" s="7">
        <v>245.8</v>
      </c>
      <c r="O2673" s="7">
        <v>151.80000000000001</v>
      </c>
    </row>
    <row r="2674" spans="1:19" x14ac:dyDescent="0.2">
      <c r="A2674">
        <v>2673</v>
      </c>
      <c r="B2674" s="1">
        <v>40792</v>
      </c>
      <c r="C2674" t="s">
        <v>28</v>
      </c>
      <c r="D2674" s="7">
        <v>54</v>
      </c>
      <c r="E2674" s="7">
        <v>9</v>
      </c>
      <c r="F2674" s="7">
        <f t="shared" si="42"/>
        <v>3</v>
      </c>
      <c r="G2674" s="7" t="str">
        <f>LOOKUP(H2674,[1]startdates!$A$2:$A$10,[1]startdates!$B$2:$B$10)</f>
        <v>SMr</v>
      </c>
      <c r="H2674">
        <v>4</v>
      </c>
      <c r="M2674" s="7">
        <v>303</v>
      </c>
      <c r="N2674" s="7">
        <v>165.5</v>
      </c>
      <c r="O2674" s="7">
        <v>173.8</v>
      </c>
    </row>
    <row r="2675" spans="1:19" x14ac:dyDescent="0.2">
      <c r="A2675">
        <v>2674</v>
      </c>
      <c r="B2675" s="1">
        <v>40792</v>
      </c>
      <c r="C2675" t="s">
        <v>28</v>
      </c>
      <c r="D2675" s="7">
        <v>54</v>
      </c>
      <c r="E2675" s="7">
        <v>9</v>
      </c>
      <c r="F2675" s="7">
        <f t="shared" si="42"/>
        <v>3</v>
      </c>
      <c r="G2675" s="7" t="str">
        <f>LOOKUP(H2675,[1]startdates!$A$2:$A$10,[1]startdates!$B$2:$B$10)</f>
        <v>SMr</v>
      </c>
      <c r="H2675">
        <v>4</v>
      </c>
      <c r="M2675" s="7">
        <v>283.3</v>
      </c>
      <c r="N2675" s="7">
        <v>221</v>
      </c>
      <c r="O2675" s="7">
        <v>188.6</v>
      </c>
    </row>
    <row r="2676" spans="1:19" x14ac:dyDescent="0.2">
      <c r="A2676">
        <v>2675</v>
      </c>
      <c r="B2676" s="1">
        <v>40792</v>
      </c>
      <c r="C2676" t="s">
        <v>24</v>
      </c>
      <c r="D2676" s="7">
        <v>54</v>
      </c>
      <c r="E2676" s="7">
        <v>9</v>
      </c>
      <c r="F2676" s="7">
        <f t="shared" si="42"/>
        <v>3</v>
      </c>
      <c r="G2676" s="7" t="str">
        <f>LOOKUP(H2676,[1]startdates!$A$2:$A$10,[1]startdates!$B$2:$B$10)</f>
        <v>C</v>
      </c>
      <c r="H2676">
        <v>5</v>
      </c>
      <c r="I2676" s="7">
        <v>683.7</v>
      </c>
      <c r="J2676" s="7">
        <v>588.20000000000005</v>
      </c>
      <c r="K2676" s="7">
        <v>574</v>
      </c>
      <c r="L2676" s="7">
        <v>454.9</v>
      </c>
      <c r="M2676" s="7">
        <v>387.8</v>
      </c>
      <c r="N2676" s="7">
        <v>228.7</v>
      </c>
      <c r="O2676" s="7">
        <v>170</v>
      </c>
      <c r="P2676" s="7">
        <v>513.4</v>
      </c>
      <c r="Q2676" s="7">
        <v>401</v>
      </c>
      <c r="R2676" s="7">
        <v>269.7</v>
      </c>
    </row>
    <row r="2677" spans="1:19" x14ac:dyDescent="0.2">
      <c r="A2677">
        <v>2676</v>
      </c>
      <c r="B2677" s="1">
        <v>40792</v>
      </c>
      <c r="C2677" t="s">
        <v>24</v>
      </c>
      <c r="D2677" s="7">
        <v>54</v>
      </c>
      <c r="E2677" s="7">
        <v>9</v>
      </c>
      <c r="F2677" s="7">
        <f t="shared" si="42"/>
        <v>3</v>
      </c>
      <c r="G2677" s="7" t="str">
        <f>LOOKUP(H2677,[1]startdates!$A$2:$A$10,[1]startdates!$B$2:$B$10)</f>
        <v>C</v>
      </c>
      <c r="H2677">
        <v>5</v>
      </c>
      <c r="I2677" s="7">
        <v>702.3</v>
      </c>
      <c r="J2677" s="7">
        <v>612</v>
      </c>
      <c r="K2677" s="7">
        <v>632.6</v>
      </c>
      <c r="L2677" s="7">
        <v>421.7</v>
      </c>
      <c r="M2677" s="7">
        <v>364.8</v>
      </c>
      <c r="N2677" s="7">
        <v>206.3</v>
      </c>
      <c r="O2677" s="7">
        <v>181.9</v>
      </c>
      <c r="P2677" s="7">
        <v>487.6</v>
      </c>
    </row>
    <row r="2678" spans="1:19" x14ac:dyDescent="0.2">
      <c r="A2678">
        <v>2677</v>
      </c>
      <c r="B2678" s="1">
        <v>40792</v>
      </c>
      <c r="C2678" t="s">
        <v>24</v>
      </c>
      <c r="D2678" s="7">
        <v>54</v>
      </c>
      <c r="E2678" s="7">
        <v>9</v>
      </c>
      <c r="F2678" s="7">
        <f t="shared" si="42"/>
        <v>3</v>
      </c>
      <c r="G2678" s="7" t="str">
        <f>LOOKUP(H2678,[1]startdates!$A$2:$A$10,[1]startdates!$B$2:$B$10)</f>
        <v>C</v>
      </c>
      <c r="H2678">
        <v>5</v>
      </c>
      <c r="I2678" s="7">
        <v>677.4</v>
      </c>
      <c r="J2678" s="7">
        <v>581.9</v>
      </c>
      <c r="K2678" s="7">
        <v>531.29999999999995</v>
      </c>
      <c r="L2678" s="7">
        <v>430.5</v>
      </c>
      <c r="M2678" s="7">
        <v>327.7</v>
      </c>
      <c r="N2678" s="7">
        <v>246.9</v>
      </c>
      <c r="O2678" s="7">
        <v>143</v>
      </c>
      <c r="P2678" s="7">
        <v>510.6</v>
      </c>
    </row>
    <row r="2679" spans="1:19" x14ac:dyDescent="0.2">
      <c r="A2679">
        <v>2678</v>
      </c>
      <c r="B2679" s="1">
        <v>40792</v>
      </c>
      <c r="C2679" t="s">
        <v>24</v>
      </c>
      <c r="D2679" s="7">
        <v>54</v>
      </c>
      <c r="E2679" s="7">
        <v>9</v>
      </c>
      <c r="F2679" s="7">
        <f t="shared" si="42"/>
        <v>3</v>
      </c>
      <c r="G2679" s="7" t="str">
        <f>LOOKUP(H2679,[1]startdates!$A$2:$A$10,[1]startdates!$B$2:$B$10)</f>
        <v>C</v>
      </c>
      <c r="H2679">
        <v>5</v>
      </c>
      <c r="I2679" s="7">
        <v>824.1</v>
      </c>
      <c r="K2679" s="7">
        <v>571.1</v>
      </c>
      <c r="L2679" s="7">
        <v>427.5</v>
      </c>
      <c r="M2679" s="7">
        <v>372.7</v>
      </c>
      <c r="N2679" s="7">
        <v>227.7</v>
      </c>
      <c r="O2679" s="7">
        <v>176.7</v>
      </c>
    </row>
    <row r="2680" spans="1:19" x14ac:dyDescent="0.2">
      <c r="A2680">
        <v>2679</v>
      </c>
      <c r="B2680" s="1">
        <v>40792</v>
      </c>
      <c r="C2680" t="s">
        <v>24</v>
      </c>
      <c r="D2680" s="7">
        <v>54</v>
      </c>
      <c r="E2680" s="7">
        <v>9</v>
      </c>
      <c r="F2680" s="7">
        <f t="shared" si="42"/>
        <v>3</v>
      </c>
      <c r="G2680" s="7" t="str">
        <f>LOOKUP(H2680,[1]startdates!$A$2:$A$10,[1]startdates!$B$2:$B$10)</f>
        <v>C</v>
      </c>
      <c r="H2680">
        <v>5</v>
      </c>
      <c r="I2680" s="7">
        <v>748</v>
      </c>
      <c r="K2680" s="7">
        <v>560.6</v>
      </c>
      <c r="L2680" s="7">
        <v>499.7</v>
      </c>
      <c r="M2680" s="7">
        <v>346.4</v>
      </c>
      <c r="N2680" s="7">
        <v>238.7</v>
      </c>
      <c r="O2680" s="7">
        <v>173.1</v>
      </c>
    </row>
    <row r="2681" spans="1:19" x14ac:dyDescent="0.2">
      <c r="A2681">
        <v>2680</v>
      </c>
      <c r="B2681" s="1">
        <v>40792</v>
      </c>
      <c r="C2681" t="s">
        <v>24</v>
      </c>
      <c r="D2681" s="7">
        <v>54</v>
      </c>
      <c r="E2681" s="7">
        <v>9</v>
      </c>
      <c r="F2681" s="7">
        <f t="shared" si="42"/>
        <v>3</v>
      </c>
      <c r="G2681" s="7" t="str">
        <f>LOOKUP(H2681,[1]startdates!$A$2:$A$10,[1]startdates!$B$2:$B$10)</f>
        <v>C</v>
      </c>
      <c r="H2681">
        <v>5</v>
      </c>
      <c r="I2681" s="7">
        <v>747.5</v>
      </c>
      <c r="L2681" s="7">
        <v>487.4</v>
      </c>
      <c r="M2681" s="7">
        <v>295.3</v>
      </c>
      <c r="N2681" s="7">
        <v>238.1</v>
      </c>
      <c r="O2681" s="7">
        <v>193.8</v>
      </c>
    </row>
    <row r="2682" spans="1:19" x14ac:dyDescent="0.2">
      <c r="A2682">
        <v>2681</v>
      </c>
      <c r="B2682" s="1">
        <v>40792</v>
      </c>
      <c r="C2682" t="s">
        <v>24</v>
      </c>
      <c r="D2682" s="7">
        <v>54</v>
      </c>
      <c r="E2682" s="7">
        <v>9</v>
      </c>
      <c r="F2682" s="7">
        <f t="shared" si="42"/>
        <v>3</v>
      </c>
      <c r="G2682" s="7" t="str">
        <f>LOOKUP(H2682,[1]startdates!$A$2:$A$10,[1]startdates!$B$2:$B$10)</f>
        <v>C</v>
      </c>
      <c r="H2682">
        <v>5</v>
      </c>
      <c r="I2682" s="7">
        <v>694</v>
      </c>
      <c r="M2682" s="7">
        <v>353</v>
      </c>
      <c r="N2682" s="7">
        <v>255</v>
      </c>
      <c r="O2682" s="7">
        <v>177.8</v>
      </c>
    </row>
    <row r="2683" spans="1:19" x14ac:dyDescent="0.2">
      <c r="A2683">
        <v>2682</v>
      </c>
      <c r="B2683" s="1">
        <v>40792</v>
      </c>
      <c r="C2683" t="s">
        <v>24</v>
      </c>
      <c r="D2683" s="7">
        <v>54</v>
      </c>
      <c r="E2683" s="7">
        <v>9</v>
      </c>
      <c r="F2683" s="7">
        <f t="shared" si="42"/>
        <v>3</v>
      </c>
      <c r="G2683" s="7" t="str">
        <f>LOOKUP(H2683,[1]startdates!$A$2:$A$10,[1]startdates!$B$2:$B$10)</f>
        <v>C</v>
      </c>
      <c r="H2683">
        <v>5</v>
      </c>
      <c r="I2683" s="7">
        <v>703.4</v>
      </c>
      <c r="M2683" s="7">
        <v>396</v>
      </c>
      <c r="N2683" s="7">
        <v>221.7</v>
      </c>
      <c r="O2683" s="7">
        <v>148.4</v>
      </c>
    </row>
    <row r="2684" spans="1:19" x14ac:dyDescent="0.2">
      <c r="A2684">
        <v>2683</v>
      </c>
      <c r="B2684" s="1">
        <v>40792</v>
      </c>
      <c r="C2684" t="s">
        <v>24</v>
      </c>
      <c r="D2684" s="7">
        <v>54</v>
      </c>
      <c r="E2684" s="7">
        <v>9</v>
      </c>
      <c r="F2684" s="7">
        <f t="shared" si="42"/>
        <v>3</v>
      </c>
      <c r="G2684" s="7" t="str">
        <f>LOOKUP(H2684,[1]startdates!$A$2:$A$10,[1]startdates!$B$2:$B$10)</f>
        <v>C</v>
      </c>
      <c r="H2684">
        <v>5</v>
      </c>
      <c r="I2684" s="7">
        <v>601.9</v>
      </c>
      <c r="N2684" s="7">
        <v>204.2</v>
      </c>
    </row>
    <row r="2685" spans="1:19" x14ac:dyDescent="0.2">
      <c r="A2685">
        <v>2684</v>
      </c>
      <c r="B2685" s="1">
        <v>40792</v>
      </c>
      <c r="C2685" t="s">
        <v>24</v>
      </c>
      <c r="D2685" s="7">
        <v>54</v>
      </c>
      <c r="E2685" s="7">
        <v>9</v>
      </c>
      <c r="F2685" s="7">
        <f t="shared" si="42"/>
        <v>3</v>
      </c>
      <c r="G2685" s="7" t="str">
        <f>LOOKUP(H2685,[1]startdates!$A$2:$A$10,[1]startdates!$B$2:$B$10)</f>
        <v>C</v>
      </c>
      <c r="H2685">
        <v>5</v>
      </c>
      <c r="I2685" s="7">
        <v>629.4</v>
      </c>
      <c r="N2685" s="7">
        <v>233.8</v>
      </c>
    </row>
    <row r="2686" spans="1:19" x14ac:dyDescent="0.2">
      <c r="A2686">
        <v>2685</v>
      </c>
      <c r="B2686" s="1">
        <v>40792</v>
      </c>
      <c r="C2686" t="s">
        <v>24</v>
      </c>
      <c r="D2686" s="7">
        <v>54</v>
      </c>
      <c r="E2686" s="7">
        <v>9</v>
      </c>
      <c r="F2686" s="7">
        <f t="shared" si="42"/>
        <v>3</v>
      </c>
      <c r="G2686" s="7" t="str">
        <f>LOOKUP(H2686,[1]startdates!$A$2:$A$10,[1]startdates!$B$2:$B$10)</f>
        <v>C</v>
      </c>
      <c r="H2686">
        <v>5</v>
      </c>
      <c r="N2686" s="7">
        <v>262.89999999999998</v>
      </c>
    </row>
    <row r="2687" spans="1:19" x14ac:dyDescent="0.2">
      <c r="A2687">
        <v>2686</v>
      </c>
      <c r="B2687" s="1">
        <v>40792</v>
      </c>
      <c r="C2687" t="s">
        <v>28</v>
      </c>
      <c r="D2687" s="7">
        <v>54</v>
      </c>
      <c r="E2687" s="7">
        <v>9</v>
      </c>
      <c r="F2687" s="7">
        <f t="shared" si="42"/>
        <v>3</v>
      </c>
      <c r="G2687" s="7" t="str">
        <f>LOOKUP(H2687,[1]startdates!$A$2:$A$10,[1]startdates!$B$2:$B$10)</f>
        <v>FMr</v>
      </c>
      <c r="H2687">
        <v>6</v>
      </c>
    </row>
    <row r="2688" spans="1:19" x14ac:dyDescent="0.2">
      <c r="A2688">
        <v>2687</v>
      </c>
      <c r="B2688" s="1">
        <v>40792</v>
      </c>
      <c r="C2688" t="s">
        <v>28</v>
      </c>
      <c r="D2688" s="7">
        <v>54</v>
      </c>
      <c r="E2688" s="7">
        <v>9</v>
      </c>
      <c r="F2688" s="7">
        <f t="shared" si="42"/>
        <v>3</v>
      </c>
      <c r="G2688" s="7" t="str">
        <f>LOOKUP(H2688,[1]startdates!$A$2:$A$10,[1]startdates!$B$2:$B$10)</f>
        <v>FMr</v>
      </c>
      <c r="H2688">
        <v>6</v>
      </c>
      <c r="I2688" s="7">
        <v>637.70000000000005</v>
      </c>
      <c r="K2688" s="7">
        <v>576.5</v>
      </c>
      <c r="L2688" s="7">
        <v>407.3</v>
      </c>
      <c r="M2688" s="7">
        <v>274.89999999999998</v>
      </c>
      <c r="N2688" s="7">
        <v>224.4</v>
      </c>
      <c r="O2688" s="7">
        <v>173.8</v>
      </c>
      <c r="P2688" s="7">
        <v>450.6</v>
      </c>
      <c r="Q2688" s="7">
        <v>340</v>
      </c>
      <c r="R2688" s="7">
        <v>271.60000000000002</v>
      </c>
      <c r="S2688" s="7">
        <v>271.5</v>
      </c>
    </row>
    <row r="2689" spans="1:19" x14ac:dyDescent="0.2">
      <c r="A2689">
        <v>2688</v>
      </c>
      <c r="B2689" s="1">
        <v>40792</v>
      </c>
      <c r="C2689" t="s">
        <v>28</v>
      </c>
      <c r="D2689" s="7">
        <v>54</v>
      </c>
      <c r="E2689" s="7">
        <v>9</v>
      </c>
      <c r="F2689" s="7">
        <f t="shared" si="42"/>
        <v>3</v>
      </c>
      <c r="G2689" s="7" t="str">
        <f>LOOKUP(H2689,[1]startdates!$A$2:$A$10,[1]startdates!$B$2:$B$10)</f>
        <v>FMr</v>
      </c>
      <c r="H2689">
        <v>6</v>
      </c>
      <c r="I2689" s="7">
        <v>621.29999999999995</v>
      </c>
      <c r="K2689" s="7">
        <v>516.79999999999995</v>
      </c>
      <c r="L2689" s="7">
        <v>443.3</v>
      </c>
      <c r="M2689" s="7">
        <v>370</v>
      </c>
      <c r="N2689" s="7">
        <v>216.6</v>
      </c>
      <c r="O2689" s="7">
        <v>172.4</v>
      </c>
      <c r="P2689" s="7">
        <v>443.4</v>
      </c>
      <c r="Q2689" s="7">
        <v>359.5</v>
      </c>
      <c r="R2689" s="7">
        <v>265.5</v>
      </c>
      <c r="S2689" s="7">
        <v>282.2</v>
      </c>
    </row>
    <row r="2690" spans="1:19" x14ac:dyDescent="0.2">
      <c r="A2690">
        <v>2689</v>
      </c>
      <c r="B2690" s="1">
        <v>40792</v>
      </c>
      <c r="C2690" t="s">
        <v>28</v>
      </c>
      <c r="D2690" s="7">
        <v>54</v>
      </c>
      <c r="E2690" s="7">
        <v>9</v>
      </c>
      <c r="F2690" s="7">
        <f t="shared" si="42"/>
        <v>3</v>
      </c>
      <c r="G2690" s="7" t="str">
        <f>LOOKUP(H2690,[1]startdates!$A$2:$A$10,[1]startdates!$B$2:$B$10)</f>
        <v>FMr</v>
      </c>
      <c r="H2690">
        <v>6</v>
      </c>
      <c r="I2690" s="7">
        <v>746</v>
      </c>
      <c r="K2690" s="7">
        <v>516.79999999999995</v>
      </c>
      <c r="L2690" s="7">
        <v>457.2</v>
      </c>
      <c r="M2690" s="7">
        <v>368.2</v>
      </c>
      <c r="N2690" s="7">
        <v>284.89999999999998</v>
      </c>
      <c r="O2690" s="7">
        <v>140.69999999999999</v>
      </c>
      <c r="P2690" s="7">
        <v>521.29999999999995</v>
      </c>
      <c r="Q2690" s="7">
        <v>372.6</v>
      </c>
      <c r="R2690" s="7">
        <v>265.60000000000002</v>
      </c>
    </row>
    <row r="2691" spans="1:19" x14ac:dyDescent="0.2">
      <c r="A2691">
        <v>2690</v>
      </c>
      <c r="B2691" s="1">
        <v>40792</v>
      </c>
      <c r="C2691" t="s">
        <v>28</v>
      </c>
      <c r="D2691" s="7">
        <v>54</v>
      </c>
      <c r="E2691" s="7">
        <v>9</v>
      </c>
      <c r="F2691" s="7">
        <f t="shared" si="42"/>
        <v>3</v>
      </c>
      <c r="G2691" s="7" t="str">
        <f>LOOKUP(H2691,[1]startdates!$A$2:$A$10,[1]startdates!$B$2:$B$10)</f>
        <v>FMr</v>
      </c>
      <c r="H2691">
        <v>6</v>
      </c>
      <c r="I2691" s="7">
        <v>665.3</v>
      </c>
      <c r="K2691" s="7">
        <v>615.79999999999995</v>
      </c>
      <c r="L2691" s="7">
        <v>434</v>
      </c>
      <c r="M2691" s="7">
        <v>337.8</v>
      </c>
      <c r="N2691" s="7">
        <v>185.4</v>
      </c>
      <c r="O2691" s="7">
        <v>178.1</v>
      </c>
      <c r="P2691" s="7">
        <v>471.8</v>
      </c>
      <c r="Q2691" s="7">
        <v>306.3</v>
      </c>
    </row>
    <row r="2692" spans="1:19" x14ac:dyDescent="0.2">
      <c r="A2692">
        <v>2691</v>
      </c>
      <c r="B2692" s="1">
        <v>40792</v>
      </c>
      <c r="C2692" t="s">
        <v>28</v>
      </c>
      <c r="D2692" s="7">
        <v>54</v>
      </c>
      <c r="E2692" s="7">
        <v>9</v>
      </c>
      <c r="F2692" s="7">
        <f t="shared" si="42"/>
        <v>3</v>
      </c>
      <c r="G2692" s="7" t="str">
        <f>LOOKUP(H2692,[1]startdates!$A$2:$A$10,[1]startdates!$B$2:$B$10)</f>
        <v>FMr</v>
      </c>
      <c r="H2692">
        <v>6</v>
      </c>
      <c r="I2692" s="7">
        <v>586.29999999999995</v>
      </c>
      <c r="K2692" s="7">
        <v>509</v>
      </c>
      <c r="L2692" s="7">
        <v>407.7</v>
      </c>
      <c r="M2692" s="7">
        <v>307.60000000000002</v>
      </c>
      <c r="N2692" s="7">
        <v>266</v>
      </c>
      <c r="O2692" s="7">
        <v>156.19999999999999</v>
      </c>
      <c r="P2692" s="7">
        <v>494.2</v>
      </c>
    </row>
    <row r="2693" spans="1:19" x14ac:dyDescent="0.2">
      <c r="A2693">
        <v>2692</v>
      </c>
      <c r="B2693" s="1">
        <v>40792</v>
      </c>
      <c r="C2693" t="s">
        <v>28</v>
      </c>
      <c r="D2693" s="7">
        <v>54</v>
      </c>
      <c r="E2693" s="7">
        <v>9</v>
      </c>
      <c r="F2693" s="7">
        <f t="shared" si="42"/>
        <v>3</v>
      </c>
      <c r="G2693" s="7" t="str">
        <f>LOOKUP(H2693,[1]startdates!$A$2:$A$10,[1]startdates!$B$2:$B$10)</f>
        <v>FMr</v>
      </c>
      <c r="H2693">
        <v>6</v>
      </c>
      <c r="I2693" s="7">
        <v>673</v>
      </c>
      <c r="M2693" s="7">
        <v>343.5</v>
      </c>
      <c r="N2693" s="7">
        <v>235.6</v>
      </c>
      <c r="O2693" s="7">
        <v>165.5</v>
      </c>
    </row>
    <row r="2694" spans="1:19" x14ac:dyDescent="0.2">
      <c r="A2694">
        <v>2693</v>
      </c>
      <c r="B2694" s="1">
        <v>40792</v>
      </c>
      <c r="C2694" t="s">
        <v>28</v>
      </c>
      <c r="D2694" s="7">
        <v>54</v>
      </c>
      <c r="E2694" s="7">
        <v>9</v>
      </c>
      <c r="F2694" s="7">
        <f t="shared" si="42"/>
        <v>3</v>
      </c>
      <c r="G2694" s="7" t="str">
        <f>LOOKUP(H2694,[1]startdates!$A$2:$A$10,[1]startdates!$B$2:$B$10)</f>
        <v>FMr</v>
      </c>
      <c r="H2694">
        <v>6</v>
      </c>
      <c r="I2694" s="7">
        <v>611.20000000000005</v>
      </c>
      <c r="M2694" s="7">
        <v>361.1</v>
      </c>
      <c r="N2694" s="7">
        <v>244</v>
      </c>
      <c r="O2694" s="7">
        <v>187.4</v>
      </c>
    </row>
    <row r="2695" spans="1:19" x14ac:dyDescent="0.2">
      <c r="A2695">
        <v>2694</v>
      </c>
      <c r="B2695" s="1">
        <v>40792</v>
      </c>
      <c r="C2695" t="s">
        <v>28</v>
      </c>
      <c r="D2695" s="7">
        <v>54</v>
      </c>
      <c r="E2695" s="7">
        <v>9</v>
      </c>
      <c r="F2695" s="7">
        <f t="shared" si="42"/>
        <v>3</v>
      </c>
      <c r="G2695" s="7" t="str">
        <f>LOOKUP(H2695,[1]startdates!$A$2:$A$10,[1]startdates!$B$2:$B$10)</f>
        <v>FMr</v>
      </c>
      <c r="H2695">
        <v>6</v>
      </c>
      <c r="I2695" s="7">
        <v>602.6</v>
      </c>
      <c r="M2695" s="7">
        <v>348</v>
      </c>
      <c r="N2695" s="7">
        <v>234.8</v>
      </c>
      <c r="O2695" s="7">
        <v>169.5</v>
      </c>
    </row>
    <row r="2696" spans="1:19" x14ac:dyDescent="0.2">
      <c r="A2696">
        <v>2695</v>
      </c>
      <c r="B2696" s="1">
        <v>40792</v>
      </c>
      <c r="C2696" t="s">
        <v>28</v>
      </c>
      <c r="D2696" s="7">
        <v>54</v>
      </c>
      <c r="E2696" s="7">
        <v>9</v>
      </c>
      <c r="F2696" s="7">
        <f t="shared" si="42"/>
        <v>3</v>
      </c>
      <c r="G2696" s="7" t="str">
        <f>LOOKUP(H2696,[1]startdates!$A$2:$A$10,[1]startdates!$B$2:$B$10)</f>
        <v>FMr</v>
      </c>
      <c r="H2696">
        <v>6</v>
      </c>
      <c r="M2696" s="7">
        <v>333.4</v>
      </c>
      <c r="N2696" s="7">
        <v>246.9</v>
      </c>
      <c r="O2696" s="7">
        <v>173.3</v>
      </c>
    </row>
    <row r="2697" spans="1:19" x14ac:dyDescent="0.2">
      <c r="A2697">
        <v>2696</v>
      </c>
      <c r="B2697" s="1">
        <v>40792</v>
      </c>
      <c r="C2697" t="s">
        <v>28</v>
      </c>
      <c r="D2697" s="7">
        <v>54</v>
      </c>
      <c r="E2697" s="7">
        <v>9</v>
      </c>
      <c r="F2697" s="7">
        <f t="shared" si="42"/>
        <v>3</v>
      </c>
      <c r="G2697" s="7" t="str">
        <f>LOOKUP(H2697,[1]startdates!$A$2:$A$10,[1]startdates!$B$2:$B$10)</f>
        <v>FMr</v>
      </c>
      <c r="H2697">
        <v>6</v>
      </c>
      <c r="M2697" s="7">
        <v>307.60000000000002</v>
      </c>
      <c r="N2697" s="7">
        <v>206.2</v>
      </c>
      <c r="O2697" s="7">
        <v>179.2</v>
      </c>
    </row>
    <row r="2698" spans="1:19" x14ac:dyDescent="0.2">
      <c r="A2698">
        <v>2697</v>
      </c>
      <c r="B2698" s="1">
        <v>40792</v>
      </c>
      <c r="C2698" t="s">
        <v>28</v>
      </c>
      <c r="D2698" s="7">
        <v>54</v>
      </c>
      <c r="E2698" s="7">
        <v>9</v>
      </c>
      <c r="F2698" s="7">
        <f t="shared" si="42"/>
        <v>3</v>
      </c>
      <c r="G2698" s="7" t="str">
        <f>LOOKUP(H2698,[1]startdates!$A$2:$A$10,[1]startdates!$B$2:$B$10)</f>
        <v>FMr</v>
      </c>
      <c r="H2698">
        <v>6</v>
      </c>
      <c r="N2698" s="7">
        <v>200.3</v>
      </c>
    </row>
    <row r="2699" spans="1:19" x14ac:dyDescent="0.2">
      <c r="A2699">
        <v>2698</v>
      </c>
      <c r="B2699" s="1">
        <v>40792</v>
      </c>
      <c r="C2699" t="s">
        <v>24</v>
      </c>
      <c r="D2699" s="7">
        <v>54</v>
      </c>
      <c r="E2699" s="7">
        <v>9</v>
      </c>
      <c r="F2699" s="7">
        <f t="shared" si="42"/>
        <v>3</v>
      </c>
      <c r="G2699" s="7" t="str">
        <f>LOOKUP(H2699,[1]startdates!$A$2:$A$10,[1]startdates!$B$2:$B$10)</f>
        <v>FMr</v>
      </c>
      <c r="H2699">
        <v>7</v>
      </c>
      <c r="I2699" s="7">
        <v>724.3</v>
      </c>
      <c r="K2699" s="7">
        <v>550.1</v>
      </c>
      <c r="L2699" s="7">
        <v>472.8</v>
      </c>
      <c r="M2699" s="7">
        <v>279.60000000000002</v>
      </c>
      <c r="N2699" s="7">
        <v>185</v>
      </c>
      <c r="O2699" s="7">
        <v>158.69999999999999</v>
      </c>
      <c r="P2699" s="7">
        <v>529</v>
      </c>
      <c r="Q2699" s="7">
        <v>284.89999999999998</v>
      </c>
    </row>
    <row r="2700" spans="1:19" x14ac:dyDescent="0.2">
      <c r="A2700">
        <v>2699</v>
      </c>
      <c r="B2700" s="1">
        <v>40792</v>
      </c>
      <c r="C2700" t="s">
        <v>24</v>
      </c>
      <c r="D2700" s="7">
        <v>54</v>
      </c>
      <c r="E2700" s="7">
        <v>9</v>
      </c>
      <c r="F2700" s="7">
        <f t="shared" si="42"/>
        <v>3</v>
      </c>
      <c r="G2700" s="7" t="str">
        <f>LOOKUP(H2700,[1]startdates!$A$2:$A$10,[1]startdates!$B$2:$B$10)</f>
        <v>FMr</v>
      </c>
      <c r="H2700">
        <v>7</v>
      </c>
      <c r="I2700" s="7">
        <v>638.20000000000005</v>
      </c>
      <c r="K2700" s="7">
        <v>555.29999999999995</v>
      </c>
      <c r="L2700" s="7">
        <v>427.1</v>
      </c>
      <c r="M2700" s="7">
        <v>322.8</v>
      </c>
      <c r="N2700" s="7">
        <v>186.3</v>
      </c>
      <c r="O2700" s="7">
        <v>169.5</v>
      </c>
      <c r="P2700" s="7">
        <v>558.20000000000005</v>
      </c>
      <c r="Q2700" s="7">
        <v>364.3</v>
      </c>
    </row>
    <row r="2701" spans="1:19" x14ac:dyDescent="0.2">
      <c r="A2701">
        <v>2700</v>
      </c>
      <c r="B2701" s="1">
        <v>40792</v>
      </c>
      <c r="C2701" t="s">
        <v>24</v>
      </c>
      <c r="D2701" s="7">
        <v>54</v>
      </c>
      <c r="E2701" s="7">
        <v>9</v>
      </c>
      <c r="F2701" s="7">
        <f t="shared" si="42"/>
        <v>3</v>
      </c>
      <c r="G2701" s="7" t="str">
        <f>LOOKUP(H2701,[1]startdates!$A$2:$A$10,[1]startdates!$B$2:$B$10)</f>
        <v>FMr</v>
      </c>
      <c r="H2701">
        <v>7</v>
      </c>
      <c r="I2701" s="7">
        <v>734.7</v>
      </c>
      <c r="K2701" s="7">
        <v>480.6</v>
      </c>
      <c r="M2701" s="7">
        <v>253.4</v>
      </c>
      <c r="N2701" s="7">
        <v>231.7</v>
      </c>
      <c r="O2701" s="7">
        <v>173.3</v>
      </c>
      <c r="P2701" s="7">
        <v>480.7</v>
      </c>
    </row>
    <row r="2702" spans="1:19" x14ac:dyDescent="0.2">
      <c r="A2702">
        <v>2701</v>
      </c>
      <c r="B2702" s="1">
        <v>40792</v>
      </c>
      <c r="C2702" t="s">
        <v>24</v>
      </c>
      <c r="D2702" s="7">
        <v>54</v>
      </c>
      <c r="E2702" s="7">
        <v>9</v>
      </c>
      <c r="F2702" s="7">
        <f t="shared" si="42"/>
        <v>3</v>
      </c>
      <c r="G2702" s="7" t="str">
        <f>LOOKUP(H2702,[1]startdates!$A$2:$A$10,[1]startdates!$B$2:$B$10)</f>
        <v>FMr</v>
      </c>
      <c r="H2702">
        <v>7</v>
      </c>
      <c r="I2702" s="7">
        <v>582</v>
      </c>
      <c r="K2702" s="7">
        <v>539.6</v>
      </c>
      <c r="M2702" s="7">
        <v>375.5</v>
      </c>
      <c r="N2702" s="7">
        <v>222.4</v>
      </c>
      <c r="O2702" s="7">
        <v>161.4</v>
      </c>
    </row>
    <row r="2703" spans="1:19" x14ac:dyDescent="0.2">
      <c r="A2703">
        <v>2702</v>
      </c>
      <c r="B2703" s="1">
        <v>40792</v>
      </c>
      <c r="C2703" t="s">
        <v>24</v>
      </c>
      <c r="D2703" s="7">
        <v>54</v>
      </c>
      <c r="E2703" s="7">
        <v>9</v>
      </c>
      <c r="F2703" s="7">
        <f t="shared" si="42"/>
        <v>3</v>
      </c>
      <c r="G2703" s="7" t="str">
        <f>LOOKUP(H2703,[1]startdates!$A$2:$A$10,[1]startdates!$B$2:$B$10)</f>
        <v>FMr</v>
      </c>
      <c r="H2703">
        <v>7</v>
      </c>
      <c r="I2703" s="7">
        <v>571.6</v>
      </c>
      <c r="K2703" s="7">
        <v>561.1</v>
      </c>
      <c r="M2703" s="7">
        <v>336.1</v>
      </c>
      <c r="N2703" s="7">
        <v>213.6</v>
      </c>
      <c r="O2703" s="7">
        <v>161.9</v>
      </c>
    </row>
    <row r="2704" spans="1:19" x14ac:dyDescent="0.2">
      <c r="A2704">
        <v>2703</v>
      </c>
      <c r="B2704" s="1">
        <v>40792</v>
      </c>
      <c r="C2704" t="s">
        <v>24</v>
      </c>
      <c r="D2704" s="7">
        <v>54</v>
      </c>
      <c r="E2704" s="7">
        <v>9</v>
      </c>
      <c r="F2704" s="7">
        <f t="shared" si="42"/>
        <v>3</v>
      </c>
      <c r="G2704" s="7" t="str">
        <f>LOOKUP(H2704,[1]startdates!$A$2:$A$10,[1]startdates!$B$2:$B$10)</f>
        <v>FMr</v>
      </c>
      <c r="H2704">
        <v>7</v>
      </c>
      <c r="I2704" s="7">
        <v>767.2</v>
      </c>
      <c r="K2704" s="7">
        <v>510.6</v>
      </c>
      <c r="M2704" s="7">
        <v>305.60000000000002</v>
      </c>
      <c r="N2704" s="7">
        <v>216.1</v>
      </c>
      <c r="O2704" s="7">
        <v>165.7</v>
      </c>
    </row>
    <row r="2705" spans="1:19" x14ac:dyDescent="0.2">
      <c r="A2705">
        <v>2704</v>
      </c>
      <c r="B2705" s="1">
        <v>40792</v>
      </c>
      <c r="C2705" t="s">
        <v>24</v>
      </c>
      <c r="D2705" s="7">
        <v>54</v>
      </c>
      <c r="E2705" s="7">
        <v>9</v>
      </c>
      <c r="F2705" s="7">
        <f t="shared" si="42"/>
        <v>3</v>
      </c>
      <c r="G2705" s="7" t="str">
        <f>LOOKUP(H2705,[1]startdates!$A$2:$A$10,[1]startdates!$B$2:$B$10)</f>
        <v>FMr</v>
      </c>
      <c r="H2705">
        <v>7</v>
      </c>
      <c r="I2705" s="7">
        <v>675.2</v>
      </c>
      <c r="M2705" s="7">
        <v>339.2</v>
      </c>
      <c r="N2705" s="7">
        <v>252.1</v>
      </c>
      <c r="O2705" s="7">
        <v>181.1</v>
      </c>
    </row>
    <row r="2706" spans="1:19" x14ac:dyDescent="0.2">
      <c r="A2706">
        <v>2705</v>
      </c>
      <c r="B2706" s="1">
        <v>40792</v>
      </c>
      <c r="C2706" t="s">
        <v>24</v>
      </c>
      <c r="D2706" s="7">
        <v>54</v>
      </c>
      <c r="E2706" s="7">
        <v>9</v>
      </c>
      <c r="F2706" s="7">
        <f t="shared" si="42"/>
        <v>3</v>
      </c>
      <c r="G2706" s="7" t="str">
        <f>LOOKUP(H2706,[1]startdates!$A$2:$A$10,[1]startdates!$B$2:$B$10)</f>
        <v>FMr</v>
      </c>
      <c r="H2706">
        <v>7</v>
      </c>
      <c r="M2706" s="7">
        <v>365.2</v>
      </c>
      <c r="N2706" s="7">
        <v>214.7</v>
      </c>
      <c r="O2706" s="7">
        <v>152.6</v>
      </c>
    </row>
    <row r="2707" spans="1:19" x14ac:dyDescent="0.2">
      <c r="A2707">
        <v>2706</v>
      </c>
      <c r="B2707" s="1">
        <v>40792</v>
      </c>
      <c r="C2707" t="s">
        <v>24</v>
      </c>
      <c r="D2707" s="7">
        <v>54</v>
      </c>
      <c r="E2707" s="7">
        <v>9</v>
      </c>
      <c r="F2707" s="7">
        <f t="shared" si="42"/>
        <v>3</v>
      </c>
      <c r="G2707" s="7" t="str">
        <f>LOOKUP(H2707,[1]startdates!$A$2:$A$10,[1]startdates!$B$2:$B$10)</f>
        <v>FMr</v>
      </c>
      <c r="H2707">
        <v>7</v>
      </c>
      <c r="M2707" s="7">
        <v>298.2</v>
      </c>
      <c r="N2707" s="7">
        <v>213.7</v>
      </c>
      <c r="O2707" s="7">
        <v>171.5</v>
      </c>
    </row>
    <row r="2708" spans="1:19" x14ac:dyDescent="0.2">
      <c r="A2708">
        <v>2707</v>
      </c>
      <c r="B2708" s="1">
        <v>40792</v>
      </c>
      <c r="C2708" t="s">
        <v>24</v>
      </c>
      <c r="D2708" s="7">
        <v>54</v>
      </c>
      <c r="E2708" s="7">
        <v>9</v>
      </c>
      <c r="F2708" s="7">
        <f t="shared" si="42"/>
        <v>3</v>
      </c>
      <c r="G2708" s="7" t="str">
        <f>LOOKUP(H2708,[1]startdates!$A$2:$A$10,[1]startdates!$B$2:$B$10)</f>
        <v>FMr</v>
      </c>
      <c r="H2708">
        <v>7</v>
      </c>
      <c r="M2708" s="7">
        <v>287.89999999999998</v>
      </c>
      <c r="N2708" s="7">
        <v>228.9</v>
      </c>
      <c r="O2708" s="7">
        <v>143.6</v>
      </c>
    </row>
    <row r="2709" spans="1:19" x14ac:dyDescent="0.2">
      <c r="A2709">
        <v>2708</v>
      </c>
      <c r="B2709" s="1">
        <v>40792</v>
      </c>
      <c r="C2709" t="s">
        <v>24</v>
      </c>
      <c r="D2709" s="7">
        <v>54</v>
      </c>
      <c r="E2709" s="7">
        <v>9</v>
      </c>
      <c r="F2709" s="7">
        <f t="shared" si="42"/>
        <v>3</v>
      </c>
      <c r="G2709" s="7" t="str">
        <f>LOOKUP(H2709,[1]startdates!$A$2:$A$10,[1]startdates!$B$2:$B$10)</f>
        <v>FMr</v>
      </c>
      <c r="H2709">
        <v>7</v>
      </c>
      <c r="N2709" s="7">
        <v>248.9</v>
      </c>
    </row>
    <row r="2710" spans="1:19" x14ac:dyDescent="0.2">
      <c r="A2710">
        <v>2709</v>
      </c>
      <c r="B2710" s="1">
        <v>40792</v>
      </c>
      <c r="C2710" t="s">
        <v>24</v>
      </c>
      <c r="D2710" s="7">
        <v>54</v>
      </c>
      <c r="E2710" s="7">
        <v>9</v>
      </c>
      <c r="F2710" s="7">
        <f t="shared" si="42"/>
        <v>3</v>
      </c>
      <c r="G2710" s="7" t="str">
        <f>LOOKUP(H2710,[1]startdates!$A$2:$A$10,[1]startdates!$B$2:$B$10)</f>
        <v>FMr</v>
      </c>
      <c r="H2710">
        <v>7</v>
      </c>
      <c r="N2710" s="7">
        <v>277.2</v>
      </c>
    </row>
    <row r="2711" spans="1:19" x14ac:dyDescent="0.2">
      <c r="A2711">
        <v>2710</v>
      </c>
      <c r="B2711" s="1">
        <v>40792</v>
      </c>
      <c r="C2711" t="s">
        <v>24</v>
      </c>
      <c r="D2711" s="7">
        <v>54</v>
      </c>
      <c r="E2711" s="7">
        <v>9</v>
      </c>
      <c r="F2711" s="7">
        <f t="shared" si="42"/>
        <v>3</v>
      </c>
      <c r="G2711" s="7" t="str">
        <f>LOOKUP(H2711,[1]startdates!$A$2:$A$10,[1]startdates!$B$2:$B$10)</f>
        <v>FMr</v>
      </c>
      <c r="H2711">
        <v>7</v>
      </c>
      <c r="N2711" s="7">
        <v>242</v>
      </c>
    </row>
    <row r="2712" spans="1:19" x14ac:dyDescent="0.2">
      <c r="A2712">
        <v>2711</v>
      </c>
      <c r="B2712" s="1">
        <v>40792</v>
      </c>
      <c r="C2712" t="s">
        <v>28</v>
      </c>
      <c r="D2712" s="7">
        <v>54</v>
      </c>
      <c r="E2712" s="7">
        <v>9</v>
      </c>
      <c r="F2712" s="7">
        <f t="shared" si="42"/>
        <v>3</v>
      </c>
      <c r="G2712" s="7" t="str">
        <f>LOOKUP(H2712,[1]startdates!$A$2:$A$10,[1]startdates!$B$2:$B$10)</f>
        <v>C</v>
      </c>
      <c r="H2712">
        <v>8</v>
      </c>
      <c r="I2712" s="7">
        <v>771.2</v>
      </c>
      <c r="J2712" s="7">
        <v>500.8</v>
      </c>
      <c r="K2712" s="7">
        <v>562</v>
      </c>
      <c r="L2712" s="7">
        <v>484.3</v>
      </c>
      <c r="M2712" s="7">
        <v>326</v>
      </c>
      <c r="N2712" s="7">
        <v>266.7</v>
      </c>
      <c r="O2712" s="7">
        <v>155.30000000000001</v>
      </c>
      <c r="P2712" s="7">
        <v>507.6</v>
      </c>
      <c r="Q2712" s="7">
        <v>365.8</v>
      </c>
      <c r="R2712" s="7">
        <v>234.8</v>
      </c>
      <c r="S2712" s="7">
        <v>272.39999999999998</v>
      </c>
    </row>
    <row r="2713" spans="1:19" x14ac:dyDescent="0.2">
      <c r="A2713">
        <v>2712</v>
      </c>
      <c r="B2713" s="1">
        <v>40792</v>
      </c>
      <c r="C2713" t="s">
        <v>28</v>
      </c>
      <c r="D2713" s="7">
        <v>54</v>
      </c>
      <c r="E2713" s="7">
        <v>9</v>
      </c>
      <c r="F2713" s="7">
        <f t="shared" si="42"/>
        <v>3</v>
      </c>
      <c r="G2713" s="7" t="str">
        <f>LOOKUP(H2713,[1]startdates!$A$2:$A$10,[1]startdates!$B$2:$B$10)</f>
        <v>C</v>
      </c>
      <c r="H2713">
        <v>8</v>
      </c>
      <c r="I2713" s="7">
        <v>559.1</v>
      </c>
      <c r="K2713" s="7">
        <v>494.2</v>
      </c>
      <c r="L2713" s="7">
        <v>403.6</v>
      </c>
      <c r="M2713" s="7">
        <v>296.8</v>
      </c>
      <c r="N2713" s="7">
        <v>177.3</v>
      </c>
      <c r="O2713" s="7">
        <v>151.1</v>
      </c>
      <c r="S2713" s="7">
        <v>290.2</v>
      </c>
    </row>
    <row r="2714" spans="1:19" x14ac:dyDescent="0.2">
      <c r="A2714">
        <v>2713</v>
      </c>
      <c r="B2714" s="1">
        <v>40792</v>
      </c>
      <c r="C2714" t="s">
        <v>28</v>
      </c>
      <c r="D2714" s="7">
        <v>54</v>
      </c>
      <c r="E2714" s="7">
        <v>9</v>
      </c>
      <c r="F2714" s="7">
        <f t="shared" si="42"/>
        <v>3</v>
      </c>
      <c r="G2714" s="7" t="str">
        <f>LOOKUP(H2714,[1]startdates!$A$2:$A$10,[1]startdates!$B$2:$B$10)</f>
        <v>C</v>
      </c>
      <c r="H2714">
        <v>8</v>
      </c>
      <c r="I2714" s="7">
        <v>742.8</v>
      </c>
      <c r="K2714" s="7">
        <v>597.6</v>
      </c>
      <c r="L2714" s="7">
        <v>503.4</v>
      </c>
      <c r="M2714" s="7">
        <v>318.7</v>
      </c>
      <c r="N2714" s="7">
        <v>182.2</v>
      </c>
      <c r="O2714" s="7">
        <v>151.1</v>
      </c>
      <c r="S2714" s="7">
        <v>237.1</v>
      </c>
    </row>
    <row r="2715" spans="1:19" x14ac:dyDescent="0.2">
      <c r="A2715">
        <v>2714</v>
      </c>
      <c r="B2715" s="1">
        <v>40792</v>
      </c>
      <c r="C2715" t="s">
        <v>28</v>
      </c>
      <c r="D2715" s="7">
        <v>54</v>
      </c>
      <c r="E2715" s="7">
        <v>9</v>
      </c>
      <c r="F2715" s="7">
        <f t="shared" si="42"/>
        <v>3</v>
      </c>
      <c r="G2715" s="7" t="str">
        <f>LOOKUP(H2715,[1]startdates!$A$2:$A$10,[1]startdates!$B$2:$B$10)</f>
        <v>C</v>
      </c>
      <c r="H2715">
        <v>8</v>
      </c>
      <c r="I2715" s="7">
        <v>685.9</v>
      </c>
      <c r="K2715" s="7">
        <v>715.5</v>
      </c>
      <c r="L2715" s="7">
        <v>543.6</v>
      </c>
      <c r="M2715" s="7">
        <v>382.7</v>
      </c>
      <c r="N2715" s="7">
        <v>227.4</v>
      </c>
      <c r="O2715" s="7">
        <v>173.8</v>
      </c>
      <c r="S2715" s="7">
        <v>230.2</v>
      </c>
    </row>
    <row r="2716" spans="1:19" x14ac:dyDescent="0.2">
      <c r="A2716">
        <v>2715</v>
      </c>
      <c r="B2716" s="1">
        <v>40792</v>
      </c>
      <c r="C2716" t="s">
        <v>28</v>
      </c>
      <c r="D2716" s="7">
        <v>54</v>
      </c>
      <c r="E2716" s="7">
        <v>9</v>
      </c>
      <c r="F2716" s="7">
        <f t="shared" si="42"/>
        <v>3</v>
      </c>
      <c r="G2716" s="7" t="str">
        <f>LOOKUP(H2716,[1]startdates!$A$2:$A$10,[1]startdates!$B$2:$B$10)</f>
        <v>C</v>
      </c>
      <c r="H2716">
        <v>8</v>
      </c>
      <c r="I2716" s="7">
        <v>600.9</v>
      </c>
      <c r="K2716" s="7">
        <v>525.1</v>
      </c>
      <c r="M2716" s="7">
        <v>335.8</v>
      </c>
      <c r="N2716" s="7">
        <v>239.7</v>
      </c>
      <c r="O2716" s="7">
        <v>157.6</v>
      </c>
    </row>
    <row r="2717" spans="1:19" x14ac:dyDescent="0.2">
      <c r="A2717">
        <v>2716</v>
      </c>
      <c r="B2717" s="1">
        <v>40792</v>
      </c>
      <c r="C2717" t="s">
        <v>28</v>
      </c>
      <c r="D2717" s="7">
        <v>54</v>
      </c>
      <c r="E2717" s="7">
        <v>9</v>
      </c>
      <c r="F2717" s="7">
        <f t="shared" si="42"/>
        <v>3</v>
      </c>
      <c r="G2717" s="7" t="str">
        <f>LOOKUP(H2717,[1]startdates!$A$2:$A$10,[1]startdates!$B$2:$B$10)</f>
        <v>C</v>
      </c>
      <c r="H2717">
        <v>8</v>
      </c>
      <c r="I2717" s="7">
        <v>656.4</v>
      </c>
      <c r="M2717" s="7">
        <v>292</v>
      </c>
      <c r="N2717" s="7">
        <v>227.3</v>
      </c>
      <c r="O2717" s="7">
        <v>182.9</v>
      </c>
    </row>
    <row r="2718" spans="1:19" x14ac:dyDescent="0.2">
      <c r="A2718">
        <v>2717</v>
      </c>
      <c r="B2718" s="1">
        <v>40792</v>
      </c>
      <c r="C2718" t="s">
        <v>28</v>
      </c>
      <c r="D2718" s="7">
        <v>54</v>
      </c>
      <c r="E2718" s="7">
        <v>9</v>
      </c>
      <c r="F2718" s="7">
        <f t="shared" si="42"/>
        <v>3</v>
      </c>
      <c r="G2718" s="7" t="str">
        <f>LOOKUP(H2718,[1]startdates!$A$2:$A$10,[1]startdates!$B$2:$B$10)</f>
        <v>C</v>
      </c>
      <c r="H2718">
        <v>8</v>
      </c>
      <c r="I2718" s="7">
        <v>813.3</v>
      </c>
      <c r="M2718" s="7">
        <v>331.7</v>
      </c>
      <c r="N2718" s="7">
        <v>241.2</v>
      </c>
      <c r="O2718" s="7">
        <v>184.1</v>
      </c>
    </row>
    <row r="2719" spans="1:19" x14ac:dyDescent="0.2">
      <c r="A2719">
        <v>2718</v>
      </c>
      <c r="B2719" s="1">
        <v>40792</v>
      </c>
      <c r="C2719" t="s">
        <v>28</v>
      </c>
      <c r="D2719" s="7">
        <v>54</v>
      </c>
      <c r="E2719" s="7">
        <v>9</v>
      </c>
      <c r="F2719" s="7">
        <f t="shared" si="42"/>
        <v>3</v>
      </c>
      <c r="G2719" s="7" t="str">
        <f>LOOKUP(H2719,[1]startdates!$A$2:$A$10,[1]startdates!$B$2:$B$10)</f>
        <v>C</v>
      </c>
      <c r="H2719">
        <v>8</v>
      </c>
      <c r="I2719" s="7">
        <v>752.4</v>
      </c>
      <c r="M2719" s="7">
        <v>349.8</v>
      </c>
      <c r="N2719" s="7">
        <v>233.9</v>
      </c>
      <c r="O2719" s="7">
        <v>155.30000000000001</v>
      </c>
    </row>
    <row r="2720" spans="1:19" x14ac:dyDescent="0.2">
      <c r="A2720">
        <v>2719</v>
      </c>
      <c r="B2720" s="1">
        <v>40792</v>
      </c>
      <c r="C2720" t="s">
        <v>28</v>
      </c>
      <c r="D2720" s="7">
        <v>54</v>
      </c>
      <c r="E2720" s="7">
        <v>9</v>
      </c>
      <c r="F2720" s="7">
        <f t="shared" si="42"/>
        <v>3</v>
      </c>
      <c r="G2720" s="7" t="str">
        <f>LOOKUP(H2720,[1]startdates!$A$2:$A$10,[1]startdates!$B$2:$B$10)</f>
        <v>C</v>
      </c>
      <c r="H2720">
        <v>8</v>
      </c>
      <c r="I2720" s="7">
        <v>733.5</v>
      </c>
      <c r="M2720" s="7">
        <v>328.4</v>
      </c>
      <c r="N2720" s="7">
        <v>235.7</v>
      </c>
      <c r="O2720" s="7">
        <v>169.5</v>
      </c>
    </row>
    <row r="2721" spans="1:19" x14ac:dyDescent="0.2">
      <c r="A2721">
        <v>2720</v>
      </c>
      <c r="B2721" s="1">
        <v>40792</v>
      </c>
      <c r="C2721" t="s">
        <v>28</v>
      </c>
      <c r="D2721" s="7">
        <v>54</v>
      </c>
      <c r="E2721" s="7">
        <v>9</v>
      </c>
      <c r="F2721" s="7">
        <f t="shared" si="42"/>
        <v>3</v>
      </c>
      <c r="G2721" s="7" t="str">
        <f>LOOKUP(H2721,[1]startdates!$A$2:$A$10,[1]startdates!$B$2:$B$10)</f>
        <v>C</v>
      </c>
      <c r="H2721">
        <v>8</v>
      </c>
      <c r="I2721" s="7">
        <v>666.2</v>
      </c>
      <c r="M2721" s="7">
        <v>282.2</v>
      </c>
      <c r="N2721" s="7">
        <v>224.8</v>
      </c>
      <c r="O2721" s="7">
        <v>162.69999999999999</v>
      </c>
    </row>
    <row r="2722" spans="1:19" x14ac:dyDescent="0.2">
      <c r="A2722">
        <v>2721</v>
      </c>
      <c r="B2722" s="1">
        <v>40792</v>
      </c>
      <c r="C2722" t="s">
        <v>28</v>
      </c>
      <c r="D2722" s="7">
        <v>54</v>
      </c>
      <c r="E2722" s="7">
        <v>9</v>
      </c>
      <c r="F2722" s="7">
        <f t="shared" si="42"/>
        <v>3</v>
      </c>
      <c r="G2722" s="7" t="str">
        <f>LOOKUP(H2722,[1]startdates!$A$2:$A$10,[1]startdates!$B$2:$B$10)</f>
        <v>FMr</v>
      </c>
      <c r="H2722">
        <v>9</v>
      </c>
      <c r="I2722" s="7">
        <v>655.4</v>
      </c>
      <c r="J2722" s="7">
        <v>537.6</v>
      </c>
      <c r="K2722" s="7">
        <v>503.3</v>
      </c>
      <c r="L2722" s="7">
        <v>428.9</v>
      </c>
      <c r="M2722" s="7">
        <v>303.3</v>
      </c>
      <c r="N2722" s="7">
        <v>203.7</v>
      </c>
      <c r="O2722" s="7">
        <v>158.6</v>
      </c>
      <c r="P2722" s="7">
        <v>496</v>
      </c>
      <c r="S2722" s="7">
        <v>310.39999999999998</v>
      </c>
    </row>
    <row r="2723" spans="1:19" x14ac:dyDescent="0.2">
      <c r="A2723">
        <v>2722</v>
      </c>
      <c r="B2723" s="1">
        <v>40792</v>
      </c>
      <c r="C2723" t="s">
        <v>28</v>
      </c>
      <c r="D2723" s="7">
        <v>54</v>
      </c>
      <c r="E2723" s="7">
        <v>9</v>
      </c>
      <c r="F2723" s="7">
        <f t="shared" si="42"/>
        <v>3</v>
      </c>
      <c r="G2723" s="7" t="str">
        <f>LOOKUP(H2723,[1]startdates!$A$2:$A$10,[1]startdates!$B$2:$B$10)</f>
        <v>FMr</v>
      </c>
      <c r="H2723">
        <v>9</v>
      </c>
      <c r="I2723" s="7">
        <v>650.4</v>
      </c>
      <c r="J2723" s="7">
        <v>570.6</v>
      </c>
      <c r="K2723" s="7">
        <v>639.4</v>
      </c>
      <c r="L2723" s="7">
        <v>421.3</v>
      </c>
      <c r="M2723" s="7">
        <v>362</v>
      </c>
      <c r="N2723" s="7">
        <v>260.3</v>
      </c>
      <c r="O2723" s="7">
        <v>156.5</v>
      </c>
    </row>
    <row r="2724" spans="1:19" x14ac:dyDescent="0.2">
      <c r="A2724">
        <v>2723</v>
      </c>
      <c r="B2724" s="1">
        <v>40792</v>
      </c>
      <c r="C2724" t="s">
        <v>28</v>
      </c>
      <c r="D2724" s="7">
        <v>54</v>
      </c>
      <c r="E2724" s="7">
        <v>9</v>
      </c>
      <c r="F2724" s="7">
        <f t="shared" si="42"/>
        <v>3</v>
      </c>
      <c r="G2724" s="7" t="str">
        <f>LOOKUP(H2724,[1]startdates!$A$2:$A$10,[1]startdates!$B$2:$B$10)</f>
        <v>FMr</v>
      </c>
      <c r="H2724">
        <v>9</v>
      </c>
      <c r="I2724" s="7">
        <v>609.70000000000005</v>
      </c>
      <c r="K2724" s="7">
        <v>567</v>
      </c>
      <c r="L2724" s="7">
        <v>439.5</v>
      </c>
      <c r="M2724" s="7">
        <v>373.3</v>
      </c>
      <c r="N2724" s="7">
        <v>214</v>
      </c>
      <c r="O2724" s="7">
        <v>178.2</v>
      </c>
    </row>
    <row r="2725" spans="1:19" x14ac:dyDescent="0.2">
      <c r="A2725">
        <v>2724</v>
      </c>
      <c r="B2725" s="1">
        <v>40792</v>
      </c>
      <c r="C2725" t="s">
        <v>28</v>
      </c>
      <c r="D2725" s="7">
        <v>54</v>
      </c>
      <c r="E2725" s="7">
        <v>9</v>
      </c>
      <c r="F2725" s="7">
        <f t="shared" si="42"/>
        <v>3</v>
      </c>
      <c r="G2725" s="7" t="str">
        <f>LOOKUP(H2725,[1]startdates!$A$2:$A$10,[1]startdates!$B$2:$B$10)</f>
        <v>FMr</v>
      </c>
      <c r="H2725">
        <v>9</v>
      </c>
      <c r="I2725" s="7">
        <v>656</v>
      </c>
      <c r="K2725" s="7">
        <v>543</v>
      </c>
      <c r="L2725" s="7">
        <v>454</v>
      </c>
      <c r="M2725" s="7">
        <v>291.8</v>
      </c>
      <c r="N2725" s="7">
        <v>268.7</v>
      </c>
      <c r="O2725" s="7">
        <v>164.7</v>
      </c>
    </row>
    <row r="2726" spans="1:19" x14ac:dyDescent="0.2">
      <c r="A2726">
        <v>2725</v>
      </c>
      <c r="B2726" s="1">
        <v>40792</v>
      </c>
      <c r="C2726" t="s">
        <v>28</v>
      </c>
      <c r="D2726" s="7">
        <v>54</v>
      </c>
      <c r="E2726" s="7">
        <v>9</v>
      </c>
      <c r="F2726" s="7">
        <f t="shared" si="42"/>
        <v>3</v>
      </c>
      <c r="G2726" s="7" t="str">
        <f>LOOKUP(H2726,[1]startdates!$A$2:$A$10,[1]startdates!$B$2:$B$10)</f>
        <v>FMr</v>
      </c>
      <c r="H2726">
        <v>9</v>
      </c>
      <c r="I2726" s="7">
        <v>770.9</v>
      </c>
      <c r="K2726" s="7">
        <v>510.7</v>
      </c>
      <c r="L2726" s="7">
        <v>477.8</v>
      </c>
      <c r="M2726" s="7">
        <v>343.6</v>
      </c>
      <c r="N2726" s="7">
        <v>221.5</v>
      </c>
      <c r="O2726" s="7">
        <v>140.1</v>
      </c>
    </row>
    <row r="2727" spans="1:19" x14ac:dyDescent="0.2">
      <c r="A2727">
        <v>2726</v>
      </c>
      <c r="B2727" s="1">
        <v>40792</v>
      </c>
      <c r="C2727" t="s">
        <v>28</v>
      </c>
      <c r="D2727" s="7">
        <v>54</v>
      </c>
      <c r="E2727" s="7">
        <v>9</v>
      </c>
      <c r="F2727" s="7">
        <f t="shared" si="42"/>
        <v>3</v>
      </c>
      <c r="G2727" s="7" t="str">
        <f>LOOKUP(H2727,[1]startdates!$A$2:$A$10,[1]startdates!$B$2:$B$10)</f>
        <v>FMr</v>
      </c>
      <c r="H2727">
        <v>9</v>
      </c>
      <c r="I2727" s="7">
        <v>732.4</v>
      </c>
      <c r="L2727" s="7">
        <v>425.6</v>
      </c>
      <c r="M2727" s="7">
        <v>356.5</v>
      </c>
      <c r="N2727" s="7">
        <v>243.4</v>
      </c>
      <c r="O2727" s="7">
        <v>147.30000000000001</v>
      </c>
    </row>
    <row r="2728" spans="1:19" x14ac:dyDescent="0.2">
      <c r="A2728">
        <v>2727</v>
      </c>
      <c r="B2728" s="1">
        <v>40792</v>
      </c>
      <c r="C2728" t="s">
        <v>28</v>
      </c>
      <c r="D2728" s="7">
        <v>54</v>
      </c>
      <c r="E2728" s="7">
        <v>9</v>
      </c>
      <c r="F2728" s="7">
        <f t="shared" si="42"/>
        <v>3</v>
      </c>
      <c r="G2728" s="7" t="str">
        <f>LOOKUP(H2728,[1]startdates!$A$2:$A$10,[1]startdates!$B$2:$B$10)</f>
        <v>FMr</v>
      </c>
      <c r="H2728">
        <v>9</v>
      </c>
      <c r="I2728" s="7">
        <v>684.5</v>
      </c>
      <c r="L2728" s="7">
        <v>413.4</v>
      </c>
      <c r="M2728" s="7">
        <v>368.8</v>
      </c>
      <c r="N2728" s="7">
        <v>231.1</v>
      </c>
      <c r="O2728" s="7">
        <v>151.80000000000001</v>
      </c>
    </row>
    <row r="2729" spans="1:19" x14ac:dyDescent="0.2">
      <c r="A2729">
        <v>2728</v>
      </c>
      <c r="B2729" s="1">
        <v>40792</v>
      </c>
      <c r="C2729" t="s">
        <v>28</v>
      </c>
      <c r="D2729" s="7">
        <v>54</v>
      </c>
      <c r="E2729" s="7">
        <v>9</v>
      </c>
      <c r="F2729" s="7">
        <f t="shared" ref="F2729:F2792" si="43">WEEKDAY(B2729)</f>
        <v>3</v>
      </c>
      <c r="G2729" s="7" t="str">
        <f>LOOKUP(H2729,[1]startdates!$A$2:$A$10,[1]startdates!$B$2:$B$10)</f>
        <v>FMr</v>
      </c>
      <c r="H2729">
        <v>9</v>
      </c>
      <c r="I2729" s="7">
        <v>691.1</v>
      </c>
      <c r="L2729" s="7">
        <v>426.1</v>
      </c>
      <c r="M2729" s="7">
        <v>368.2</v>
      </c>
      <c r="N2729" s="7">
        <v>256.5</v>
      </c>
      <c r="O2729" s="7">
        <v>198.9</v>
      </c>
    </row>
    <row r="2730" spans="1:19" x14ac:dyDescent="0.2">
      <c r="A2730">
        <v>2729</v>
      </c>
      <c r="B2730" s="1">
        <v>40792</v>
      </c>
      <c r="C2730" t="s">
        <v>28</v>
      </c>
      <c r="D2730" s="7">
        <v>54</v>
      </c>
      <c r="E2730" s="7">
        <v>9</v>
      </c>
      <c r="F2730" s="7">
        <f t="shared" si="43"/>
        <v>3</v>
      </c>
      <c r="G2730" s="7" t="str">
        <f>LOOKUP(H2730,[1]startdates!$A$2:$A$10,[1]startdates!$B$2:$B$10)</f>
        <v>FMr</v>
      </c>
      <c r="H2730">
        <v>9</v>
      </c>
      <c r="I2730" s="7">
        <v>602.9</v>
      </c>
      <c r="M2730" s="7">
        <v>316.2</v>
      </c>
      <c r="N2730" s="7">
        <v>207.4</v>
      </c>
      <c r="O2730" s="7">
        <v>170.8</v>
      </c>
    </row>
    <row r="2731" spans="1:19" x14ac:dyDescent="0.2">
      <c r="A2731">
        <v>2730</v>
      </c>
      <c r="B2731" s="1">
        <v>40792</v>
      </c>
      <c r="C2731" t="s">
        <v>28</v>
      </c>
      <c r="D2731" s="7">
        <v>54</v>
      </c>
      <c r="E2731" s="7">
        <v>9</v>
      </c>
      <c r="F2731" s="7">
        <f t="shared" si="43"/>
        <v>3</v>
      </c>
      <c r="G2731" s="7" t="str">
        <f>LOOKUP(H2731,[1]startdates!$A$2:$A$10,[1]startdates!$B$2:$B$10)</f>
        <v>FMr</v>
      </c>
      <c r="H2731">
        <v>9</v>
      </c>
      <c r="I2731" s="7">
        <v>772.6</v>
      </c>
      <c r="M2731" s="7">
        <v>348.3</v>
      </c>
      <c r="N2731" s="7">
        <v>194.4</v>
      </c>
      <c r="O2731" s="7">
        <v>191</v>
      </c>
    </row>
    <row r="2732" spans="1:19" x14ac:dyDescent="0.2">
      <c r="A2732">
        <v>2731</v>
      </c>
      <c r="B2732" s="1">
        <v>40792</v>
      </c>
      <c r="C2732" t="s">
        <v>28</v>
      </c>
      <c r="D2732" s="7">
        <v>54</v>
      </c>
      <c r="E2732" s="7">
        <v>9</v>
      </c>
      <c r="F2732" s="7">
        <f t="shared" si="43"/>
        <v>3</v>
      </c>
      <c r="G2732" s="7" t="str">
        <f>LOOKUP(H2732,[1]startdates!$A$2:$A$10,[1]startdates!$B$2:$B$10)</f>
        <v>FMr</v>
      </c>
      <c r="H2732">
        <v>9</v>
      </c>
      <c r="I2732" s="7">
        <v>514.4</v>
      </c>
      <c r="M2732" s="7">
        <v>370.6</v>
      </c>
      <c r="O2732" s="7">
        <v>163</v>
      </c>
    </row>
    <row r="2733" spans="1:19" x14ac:dyDescent="0.2">
      <c r="A2733">
        <v>2732</v>
      </c>
      <c r="B2733" s="1">
        <v>40792</v>
      </c>
      <c r="C2733" t="s">
        <v>28</v>
      </c>
      <c r="D2733" s="7">
        <v>54</v>
      </c>
      <c r="E2733" s="7">
        <v>9</v>
      </c>
      <c r="F2733" s="7">
        <f t="shared" si="43"/>
        <v>3</v>
      </c>
      <c r="G2733" s="7" t="str">
        <f>LOOKUP(H2733,[1]startdates!$A$2:$A$10,[1]startdates!$B$2:$B$10)</f>
        <v>FMr</v>
      </c>
      <c r="H2733">
        <v>9</v>
      </c>
      <c r="M2733" s="7">
        <v>334.3</v>
      </c>
    </row>
    <row r="2734" spans="1:19" x14ac:dyDescent="0.2">
      <c r="A2734">
        <v>2733</v>
      </c>
      <c r="B2734" s="1">
        <v>40795</v>
      </c>
      <c r="C2734" t="s">
        <v>24</v>
      </c>
      <c r="D2734" s="7">
        <v>57</v>
      </c>
      <c r="E2734" s="7">
        <v>9</v>
      </c>
      <c r="F2734" s="7">
        <f t="shared" si="43"/>
        <v>6</v>
      </c>
      <c r="G2734" s="7" t="str">
        <f>LOOKUP(H2734,[1]startdates!$A$2:$A$10,[1]startdates!$B$2:$B$10)</f>
        <v>SMr</v>
      </c>
      <c r="H2734">
        <v>1</v>
      </c>
      <c r="I2734" s="7">
        <v>719</v>
      </c>
      <c r="J2734" s="7">
        <v>567</v>
      </c>
      <c r="K2734" s="7">
        <v>562</v>
      </c>
      <c r="L2734" s="7">
        <v>425</v>
      </c>
      <c r="M2734" s="7">
        <v>307</v>
      </c>
      <c r="N2734" s="7">
        <v>220</v>
      </c>
      <c r="O2734" s="7">
        <v>173</v>
      </c>
      <c r="P2734" s="7">
        <v>474</v>
      </c>
    </row>
    <row r="2735" spans="1:19" x14ac:dyDescent="0.2">
      <c r="A2735">
        <v>2734</v>
      </c>
      <c r="B2735" s="1">
        <v>40795</v>
      </c>
      <c r="C2735" t="s">
        <v>24</v>
      </c>
      <c r="D2735" s="7">
        <v>57</v>
      </c>
      <c r="E2735" s="7">
        <v>9</v>
      </c>
      <c r="F2735" s="7">
        <f t="shared" si="43"/>
        <v>6</v>
      </c>
      <c r="G2735" s="7" t="str">
        <f>LOOKUP(H2735,[1]startdates!$A$2:$A$10,[1]startdates!$B$2:$B$10)</f>
        <v>SMr</v>
      </c>
      <c r="H2735">
        <v>1</v>
      </c>
      <c r="I2735" s="7">
        <v>502</v>
      </c>
      <c r="J2735" s="7">
        <v>489</v>
      </c>
      <c r="K2735" s="7">
        <v>579</v>
      </c>
      <c r="L2735" s="7">
        <v>419</v>
      </c>
      <c r="M2735" s="7">
        <v>365</v>
      </c>
      <c r="N2735" s="7">
        <v>222</v>
      </c>
      <c r="O2735" s="7">
        <v>168</v>
      </c>
    </row>
    <row r="2736" spans="1:19" x14ac:dyDescent="0.2">
      <c r="A2736">
        <v>2735</v>
      </c>
      <c r="B2736" s="1">
        <v>40795</v>
      </c>
      <c r="C2736" t="s">
        <v>24</v>
      </c>
      <c r="D2736" s="7">
        <v>57</v>
      </c>
      <c r="E2736" s="7">
        <v>9</v>
      </c>
      <c r="F2736" s="7">
        <f t="shared" si="43"/>
        <v>6</v>
      </c>
      <c r="G2736" s="7" t="str">
        <f>LOOKUP(H2736,[1]startdates!$A$2:$A$10,[1]startdates!$B$2:$B$10)</f>
        <v>SMr</v>
      </c>
      <c r="H2736">
        <v>1</v>
      </c>
      <c r="I2736" s="7">
        <v>702</v>
      </c>
      <c r="K2736" s="7">
        <v>611</v>
      </c>
      <c r="L2736" s="7">
        <v>449</v>
      </c>
      <c r="M2736" s="7">
        <v>373</v>
      </c>
      <c r="N2736" s="7">
        <v>244</v>
      </c>
      <c r="O2736" s="7">
        <v>181</v>
      </c>
    </row>
    <row r="2737" spans="1:17" x14ac:dyDescent="0.2">
      <c r="A2737">
        <v>2736</v>
      </c>
      <c r="B2737" s="1">
        <v>40795</v>
      </c>
      <c r="C2737" t="s">
        <v>24</v>
      </c>
      <c r="D2737" s="7">
        <v>57</v>
      </c>
      <c r="E2737" s="7">
        <v>9</v>
      </c>
      <c r="F2737" s="7">
        <f t="shared" si="43"/>
        <v>6</v>
      </c>
      <c r="G2737" s="7" t="str">
        <f>LOOKUP(H2737,[1]startdates!$A$2:$A$10,[1]startdates!$B$2:$B$10)</f>
        <v>SMr</v>
      </c>
      <c r="H2737">
        <v>1</v>
      </c>
      <c r="I2737" s="7">
        <v>724</v>
      </c>
      <c r="K2737" s="7">
        <v>535</v>
      </c>
      <c r="M2737" s="7">
        <v>303</v>
      </c>
      <c r="N2737" s="7">
        <v>220</v>
      </c>
      <c r="O2737" s="7">
        <v>219</v>
      </c>
    </row>
    <row r="2738" spans="1:17" x14ac:dyDescent="0.2">
      <c r="A2738">
        <v>2737</v>
      </c>
      <c r="B2738" s="1">
        <v>40795</v>
      </c>
      <c r="C2738" t="s">
        <v>24</v>
      </c>
      <c r="D2738" s="7">
        <v>57</v>
      </c>
      <c r="E2738" s="7">
        <v>9</v>
      </c>
      <c r="F2738" s="7">
        <f t="shared" si="43"/>
        <v>6</v>
      </c>
      <c r="G2738" s="7" t="str">
        <f>LOOKUP(H2738,[1]startdates!$A$2:$A$10,[1]startdates!$B$2:$B$10)</f>
        <v>SMr</v>
      </c>
      <c r="H2738">
        <v>1</v>
      </c>
      <c r="I2738" s="7">
        <v>700</v>
      </c>
      <c r="M2738" s="7">
        <v>332</v>
      </c>
      <c r="N2738" s="7">
        <v>240</v>
      </c>
      <c r="O2738" s="7">
        <v>196</v>
      </c>
    </row>
    <row r="2739" spans="1:17" x14ac:dyDescent="0.2">
      <c r="A2739">
        <v>2738</v>
      </c>
      <c r="B2739" s="1">
        <v>40795</v>
      </c>
      <c r="C2739" t="s">
        <v>24</v>
      </c>
      <c r="D2739" s="7">
        <v>57</v>
      </c>
      <c r="E2739" s="7">
        <v>9</v>
      </c>
      <c r="F2739" s="7">
        <f t="shared" si="43"/>
        <v>6</v>
      </c>
      <c r="G2739" s="7" t="str">
        <f>LOOKUP(H2739,[1]startdates!$A$2:$A$10,[1]startdates!$B$2:$B$10)</f>
        <v>SMr</v>
      </c>
      <c r="H2739">
        <v>1</v>
      </c>
      <c r="I2739" s="7">
        <v>777</v>
      </c>
      <c r="M2739" s="7">
        <v>297</v>
      </c>
      <c r="N2739" s="7">
        <v>216</v>
      </c>
      <c r="O2739" s="7">
        <v>186</v>
      </c>
    </row>
    <row r="2740" spans="1:17" x14ac:dyDescent="0.2">
      <c r="A2740">
        <v>2739</v>
      </c>
      <c r="B2740" s="1">
        <v>40795</v>
      </c>
      <c r="C2740" t="s">
        <v>24</v>
      </c>
      <c r="D2740" s="7">
        <v>57</v>
      </c>
      <c r="E2740" s="7">
        <v>9</v>
      </c>
      <c r="F2740" s="7">
        <f t="shared" si="43"/>
        <v>6</v>
      </c>
      <c r="G2740" s="7" t="str">
        <f>LOOKUP(H2740,[1]startdates!$A$2:$A$10,[1]startdates!$B$2:$B$10)</f>
        <v>SMr</v>
      </c>
      <c r="H2740">
        <v>1</v>
      </c>
      <c r="I2740" s="7">
        <v>594</v>
      </c>
      <c r="M2740" s="7">
        <v>356</v>
      </c>
      <c r="N2740" s="7">
        <v>256</v>
      </c>
      <c r="O2740" s="7">
        <v>188</v>
      </c>
    </row>
    <row r="2741" spans="1:17" x14ac:dyDescent="0.2">
      <c r="A2741">
        <v>2740</v>
      </c>
      <c r="B2741" s="1">
        <v>40795</v>
      </c>
      <c r="C2741" t="s">
        <v>24</v>
      </c>
      <c r="D2741" s="7">
        <v>57</v>
      </c>
      <c r="E2741" s="7">
        <v>9</v>
      </c>
      <c r="F2741" s="7">
        <f t="shared" si="43"/>
        <v>6</v>
      </c>
      <c r="G2741" s="7" t="str">
        <f>LOOKUP(H2741,[1]startdates!$A$2:$A$10,[1]startdates!$B$2:$B$10)</f>
        <v>SMr</v>
      </c>
      <c r="H2741">
        <v>1</v>
      </c>
      <c r="I2741" s="7">
        <v>694</v>
      </c>
      <c r="M2741" s="7">
        <v>299</v>
      </c>
      <c r="N2741" s="7">
        <v>234</v>
      </c>
      <c r="O2741" s="7">
        <v>173</v>
      </c>
    </row>
    <row r="2742" spans="1:17" x14ac:dyDescent="0.2">
      <c r="A2742">
        <v>2741</v>
      </c>
      <c r="B2742" s="1">
        <v>40795</v>
      </c>
      <c r="C2742" t="s">
        <v>24</v>
      </c>
      <c r="D2742" s="7">
        <v>57</v>
      </c>
      <c r="E2742" s="7">
        <v>9</v>
      </c>
      <c r="F2742" s="7">
        <f t="shared" si="43"/>
        <v>6</v>
      </c>
      <c r="G2742" s="7" t="str">
        <f>LOOKUP(H2742,[1]startdates!$A$2:$A$10,[1]startdates!$B$2:$B$10)</f>
        <v>SMr</v>
      </c>
      <c r="H2742">
        <v>1</v>
      </c>
      <c r="I2742" s="7">
        <v>619</v>
      </c>
      <c r="M2742" s="7">
        <v>275</v>
      </c>
      <c r="N2742" s="7">
        <v>222</v>
      </c>
    </row>
    <row r="2743" spans="1:17" x14ac:dyDescent="0.2">
      <c r="A2743">
        <v>2742</v>
      </c>
      <c r="B2743" s="1">
        <v>40795</v>
      </c>
      <c r="C2743" t="s">
        <v>24</v>
      </c>
      <c r="D2743" s="7">
        <v>57</v>
      </c>
      <c r="E2743" s="7">
        <v>9</v>
      </c>
      <c r="F2743" s="7">
        <f t="shared" si="43"/>
        <v>6</v>
      </c>
      <c r="G2743" s="7" t="str">
        <f>LOOKUP(H2743,[1]startdates!$A$2:$A$10,[1]startdates!$B$2:$B$10)</f>
        <v>SMr</v>
      </c>
      <c r="H2743">
        <v>1</v>
      </c>
      <c r="I2743" s="7">
        <v>657</v>
      </c>
      <c r="M2743" s="7">
        <v>353</v>
      </c>
      <c r="N2743" s="7">
        <v>215</v>
      </c>
    </row>
    <row r="2744" spans="1:17" x14ac:dyDescent="0.2">
      <c r="A2744">
        <v>2743</v>
      </c>
      <c r="B2744" s="1">
        <v>40795</v>
      </c>
      <c r="C2744" t="s">
        <v>24</v>
      </c>
      <c r="D2744" s="7">
        <v>57</v>
      </c>
      <c r="E2744" s="7">
        <v>9</v>
      </c>
      <c r="F2744" s="7">
        <f t="shared" si="43"/>
        <v>6</v>
      </c>
      <c r="G2744" s="7" t="str">
        <f>LOOKUP(H2744,[1]startdates!$A$2:$A$10,[1]startdates!$B$2:$B$10)</f>
        <v>SMr</v>
      </c>
      <c r="H2744">
        <v>1</v>
      </c>
      <c r="I2744" s="7">
        <v>639</v>
      </c>
      <c r="M2744" s="7">
        <v>291</v>
      </c>
      <c r="N2744" s="7">
        <v>278</v>
      </c>
    </row>
    <row r="2745" spans="1:17" x14ac:dyDescent="0.2">
      <c r="A2745">
        <v>2744</v>
      </c>
      <c r="B2745" s="1">
        <v>40795</v>
      </c>
      <c r="C2745" t="s">
        <v>24</v>
      </c>
      <c r="D2745" s="7">
        <v>57</v>
      </c>
      <c r="E2745" s="7">
        <v>9</v>
      </c>
      <c r="F2745" s="7">
        <f t="shared" si="43"/>
        <v>6</v>
      </c>
      <c r="G2745" s="7" t="str">
        <f>LOOKUP(H2745,[1]startdates!$A$2:$A$10,[1]startdates!$B$2:$B$10)</f>
        <v>SMr</v>
      </c>
      <c r="H2745">
        <v>1</v>
      </c>
      <c r="I2745" s="7">
        <v>662</v>
      </c>
      <c r="M2745" s="7">
        <v>303</v>
      </c>
      <c r="N2745" s="7">
        <v>237</v>
      </c>
    </row>
    <row r="2746" spans="1:17" x14ac:dyDescent="0.2">
      <c r="A2746">
        <v>2745</v>
      </c>
      <c r="B2746" s="1">
        <v>40795</v>
      </c>
      <c r="C2746" t="s">
        <v>24</v>
      </c>
      <c r="D2746" s="7">
        <v>57</v>
      </c>
      <c r="E2746" s="7">
        <v>9</v>
      </c>
      <c r="F2746" s="7">
        <f t="shared" si="43"/>
        <v>6</v>
      </c>
      <c r="G2746" s="7" t="str">
        <f>LOOKUP(H2746,[1]startdates!$A$2:$A$10,[1]startdates!$B$2:$B$10)</f>
        <v>SMr</v>
      </c>
      <c r="H2746">
        <v>1</v>
      </c>
      <c r="N2746" s="7">
        <v>256</v>
      </c>
    </row>
    <row r="2747" spans="1:17" x14ac:dyDescent="0.2">
      <c r="A2747">
        <v>2746</v>
      </c>
      <c r="B2747" s="1">
        <v>40795</v>
      </c>
      <c r="C2747" t="s">
        <v>24</v>
      </c>
      <c r="D2747" s="7">
        <v>57</v>
      </c>
      <c r="E2747" s="7">
        <v>9</v>
      </c>
      <c r="F2747" s="7">
        <f t="shared" si="43"/>
        <v>6</v>
      </c>
      <c r="G2747" s="7" t="str">
        <f>LOOKUP(H2747,[1]startdates!$A$2:$A$10,[1]startdates!$B$2:$B$10)</f>
        <v>SMr</v>
      </c>
      <c r="H2747">
        <v>1</v>
      </c>
      <c r="N2747" s="7">
        <v>214</v>
      </c>
    </row>
    <row r="2748" spans="1:17" x14ac:dyDescent="0.2">
      <c r="A2748">
        <v>2747</v>
      </c>
      <c r="B2748" s="1">
        <v>40795</v>
      </c>
      <c r="C2748" t="s">
        <v>24</v>
      </c>
      <c r="D2748" s="7">
        <v>57</v>
      </c>
      <c r="E2748" s="7">
        <v>9</v>
      </c>
      <c r="F2748" s="7">
        <f t="shared" si="43"/>
        <v>6</v>
      </c>
      <c r="G2748" s="7" t="str">
        <f>LOOKUP(H2748,[1]startdates!$A$2:$A$10,[1]startdates!$B$2:$B$10)</f>
        <v>SMr</v>
      </c>
      <c r="H2748">
        <v>1</v>
      </c>
      <c r="N2748" s="7">
        <v>210</v>
      </c>
    </row>
    <row r="2749" spans="1:17" x14ac:dyDescent="0.2">
      <c r="A2749">
        <v>2748</v>
      </c>
      <c r="B2749" s="1">
        <v>40795</v>
      </c>
      <c r="C2749" t="s">
        <v>24</v>
      </c>
      <c r="D2749" s="7">
        <v>57</v>
      </c>
      <c r="E2749" s="7">
        <v>9</v>
      </c>
      <c r="F2749" s="7">
        <f t="shared" si="43"/>
        <v>6</v>
      </c>
      <c r="G2749" s="7" t="str">
        <f>LOOKUP(H2749,[1]startdates!$A$2:$A$10,[1]startdates!$B$2:$B$10)</f>
        <v>SMr</v>
      </c>
      <c r="H2749">
        <v>2</v>
      </c>
      <c r="I2749" s="7">
        <v>602</v>
      </c>
      <c r="J2749" s="7">
        <v>595</v>
      </c>
      <c r="K2749" s="7">
        <v>477</v>
      </c>
      <c r="L2749" s="7">
        <v>531</v>
      </c>
      <c r="M2749" s="7">
        <v>332</v>
      </c>
      <c r="N2749" s="7">
        <v>226</v>
      </c>
      <c r="O2749" s="7">
        <v>197</v>
      </c>
      <c r="Q2749" s="7">
        <v>319</v>
      </c>
    </row>
    <row r="2750" spans="1:17" x14ac:dyDescent="0.2">
      <c r="A2750">
        <v>2749</v>
      </c>
      <c r="B2750" s="1">
        <v>40795</v>
      </c>
      <c r="C2750" t="s">
        <v>24</v>
      </c>
      <c r="D2750" s="7">
        <v>57</v>
      </c>
      <c r="E2750" s="7">
        <v>9</v>
      </c>
      <c r="F2750" s="7">
        <f t="shared" si="43"/>
        <v>6</v>
      </c>
      <c r="G2750" s="7" t="str">
        <f>LOOKUP(H2750,[1]startdates!$A$2:$A$10,[1]startdates!$B$2:$B$10)</f>
        <v>SMr</v>
      </c>
      <c r="H2750">
        <v>2</v>
      </c>
      <c r="I2750" s="7">
        <v>658</v>
      </c>
      <c r="K2750" s="7">
        <v>486</v>
      </c>
      <c r="L2750" s="7">
        <v>401</v>
      </c>
      <c r="M2750" s="7">
        <v>293</v>
      </c>
      <c r="N2750" s="7">
        <v>270</v>
      </c>
      <c r="O2750" s="7">
        <v>166</v>
      </c>
    </row>
    <row r="2751" spans="1:17" x14ac:dyDescent="0.2">
      <c r="A2751">
        <v>2750</v>
      </c>
      <c r="B2751" s="1">
        <v>40795</v>
      </c>
      <c r="C2751" t="s">
        <v>24</v>
      </c>
      <c r="D2751" s="7">
        <v>57</v>
      </c>
      <c r="E2751" s="7">
        <v>9</v>
      </c>
      <c r="F2751" s="7">
        <f t="shared" si="43"/>
        <v>6</v>
      </c>
      <c r="G2751" s="7" t="str">
        <f>LOOKUP(H2751,[1]startdates!$A$2:$A$10,[1]startdates!$B$2:$B$10)</f>
        <v>SMr</v>
      </c>
      <c r="H2751">
        <v>2</v>
      </c>
      <c r="I2751" s="7">
        <v>703</v>
      </c>
      <c r="K2751" s="7">
        <v>526</v>
      </c>
      <c r="L2751" s="7">
        <v>515</v>
      </c>
      <c r="M2751" s="7">
        <v>297</v>
      </c>
      <c r="N2751" s="7">
        <v>276</v>
      </c>
      <c r="O2751" s="7">
        <v>182</v>
      </c>
    </row>
    <row r="2752" spans="1:17" x14ac:dyDescent="0.2">
      <c r="A2752">
        <v>2751</v>
      </c>
      <c r="B2752" s="1">
        <v>40795</v>
      </c>
      <c r="C2752" t="s">
        <v>24</v>
      </c>
      <c r="D2752" s="7">
        <v>57</v>
      </c>
      <c r="E2752" s="7">
        <v>9</v>
      </c>
      <c r="F2752" s="7">
        <f t="shared" si="43"/>
        <v>6</v>
      </c>
      <c r="G2752" s="7" t="str">
        <f>LOOKUP(H2752,[1]startdates!$A$2:$A$10,[1]startdates!$B$2:$B$10)</f>
        <v>SMr</v>
      </c>
      <c r="H2752">
        <v>2</v>
      </c>
      <c r="I2752" s="7">
        <v>743</v>
      </c>
      <c r="K2752" s="7">
        <v>449</v>
      </c>
      <c r="L2752" s="7">
        <v>527</v>
      </c>
      <c r="M2752" s="7">
        <v>401</v>
      </c>
      <c r="N2752" s="7">
        <v>242</v>
      </c>
      <c r="O2752" s="7">
        <v>168</v>
      </c>
    </row>
    <row r="2753" spans="1:18" x14ac:dyDescent="0.2">
      <c r="A2753">
        <v>2752</v>
      </c>
      <c r="B2753" s="1">
        <v>40795</v>
      </c>
      <c r="C2753" t="s">
        <v>24</v>
      </c>
      <c r="D2753" s="7">
        <v>57</v>
      </c>
      <c r="E2753" s="7">
        <v>9</v>
      </c>
      <c r="F2753" s="7">
        <f t="shared" si="43"/>
        <v>6</v>
      </c>
      <c r="G2753" s="7" t="str">
        <f>LOOKUP(H2753,[1]startdates!$A$2:$A$10,[1]startdates!$B$2:$B$10)</f>
        <v>SMr</v>
      </c>
      <c r="H2753">
        <v>2</v>
      </c>
      <c r="I2753" s="7">
        <v>713</v>
      </c>
      <c r="K2753" s="7">
        <v>520</v>
      </c>
      <c r="M2753" s="7">
        <v>305</v>
      </c>
      <c r="N2753" s="7">
        <v>263</v>
      </c>
      <c r="O2753" s="7">
        <v>191</v>
      </c>
    </row>
    <row r="2754" spans="1:18" x14ac:dyDescent="0.2">
      <c r="A2754">
        <v>2753</v>
      </c>
      <c r="B2754" s="1">
        <v>40795</v>
      </c>
      <c r="C2754" t="s">
        <v>24</v>
      </c>
      <c r="D2754" s="7">
        <v>57</v>
      </c>
      <c r="E2754" s="7">
        <v>9</v>
      </c>
      <c r="F2754" s="7">
        <f t="shared" si="43"/>
        <v>6</v>
      </c>
      <c r="G2754" s="7" t="str">
        <f>LOOKUP(H2754,[1]startdates!$A$2:$A$10,[1]startdates!$B$2:$B$10)</f>
        <v>SMr</v>
      </c>
      <c r="H2754">
        <v>2</v>
      </c>
      <c r="I2754" s="7">
        <v>626</v>
      </c>
      <c r="K2754" s="7">
        <v>541</v>
      </c>
      <c r="M2754" s="7">
        <v>316</v>
      </c>
      <c r="N2754" s="7">
        <v>264</v>
      </c>
      <c r="O2754" s="7">
        <v>167</v>
      </c>
    </row>
    <row r="2755" spans="1:18" x14ac:dyDescent="0.2">
      <c r="A2755">
        <v>2754</v>
      </c>
      <c r="B2755" s="1">
        <v>40795</v>
      </c>
      <c r="C2755" t="s">
        <v>24</v>
      </c>
      <c r="D2755" s="7">
        <v>57</v>
      </c>
      <c r="E2755" s="7">
        <v>9</v>
      </c>
      <c r="F2755" s="7">
        <f t="shared" si="43"/>
        <v>6</v>
      </c>
      <c r="G2755" s="7" t="str">
        <f>LOOKUP(H2755,[1]startdates!$A$2:$A$10,[1]startdates!$B$2:$B$10)</f>
        <v>SMr</v>
      </c>
      <c r="H2755">
        <v>2</v>
      </c>
      <c r="I2755" s="7">
        <v>663</v>
      </c>
      <c r="M2755" s="7">
        <v>352</v>
      </c>
      <c r="N2755" s="7">
        <v>221</v>
      </c>
      <c r="O2755" s="7">
        <v>204</v>
      </c>
    </row>
    <row r="2756" spans="1:18" x14ac:dyDescent="0.2">
      <c r="A2756">
        <v>2755</v>
      </c>
      <c r="B2756" s="1">
        <v>40795</v>
      </c>
      <c r="C2756" t="s">
        <v>24</v>
      </c>
      <c r="D2756" s="7">
        <v>57</v>
      </c>
      <c r="E2756" s="7">
        <v>9</v>
      </c>
      <c r="F2756" s="7">
        <f t="shared" si="43"/>
        <v>6</v>
      </c>
      <c r="G2756" s="7" t="str">
        <f>LOOKUP(H2756,[1]startdates!$A$2:$A$10,[1]startdates!$B$2:$B$10)</f>
        <v>SMr</v>
      </c>
      <c r="H2756">
        <v>2</v>
      </c>
      <c r="I2756" s="7">
        <v>658</v>
      </c>
      <c r="M2756" s="7">
        <v>283</v>
      </c>
      <c r="N2756" s="7">
        <v>269</v>
      </c>
    </row>
    <row r="2757" spans="1:18" x14ac:dyDescent="0.2">
      <c r="A2757">
        <v>2756</v>
      </c>
      <c r="B2757" s="1">
        <v>40795</v>
      </c>
      <c r="C2757" t="s">
        <v>24</v>
      </c>
      <c r="D2757" s="7">
        <v>57</v>
      </c>
      <c r="E2757" s="7">
        <v>9</v>
      </c>
      <c r="F2757" s="7">
        <f t="shared" si="43"/>
        <v>6</v>
      </c>
      <c r="G2757" s="7" t="str">
        <f>LOOKUP(H2757,[1]startdates!$A$2:$A$10,[1]startdates!$B$2:$B$10)</f>
        <v>SMr</v>
      </c>
      <c r="H2757">
        <v>2</v>
      </c>
      <c r="I2757" s="7">
        <v>600</v>
      </c>
      <c r="M2757" s="7">
        <v>309</v>
      </c>
    </row>
    <row r="2758" spans="1:18" x14ac:dyDescent="0.2">
      <c r="A2758">
        <v>2757</v>
      </c>
      <c r="B2758" s="1">
        <v>40795</v>
      </c>
      <c r="C2758" t="s">
        <v>24</v>
      </c>
      <c r="D2758" s="7">
        <v>57</v>
      </c>
      <c r="E2758" s="7">
        <v>9</v>
      </c>
      <c r="F2758" s="7">
        <f t="shared" si="43"/>
        <v>6</v>
      </c>
      <c r="G2758" s="7" t="str">
        <f>LOOKUP(H2758,[1]startdates!$A$2:$A$10,[1]startdates!$B$2:$B$10)</f>
        <v>SMr</v>
      </c>
      <c r="H2758">
        <v>2</v>
      </c>
      <c r="M2758" s="7">
        <v>357</v>
      </c>
    </row>
    <row r="2759" spans="1:18" x14ac:dyDescent="0.2">
      <c r="A2759">
        <v>2758</v>
      </c>
      <c r="B2759" s="1">
        <v>40795</v>
      </c>
      <c r="C2759" t="s">
        <v>24</v>
      </c>
      <c r="D2759" s="7">
        <v>57</v>
      </c>
      <c r="E2759" s="7">
        <v>9</v>
      </c>
      <c r="F2759" s="7">
        <f t="shared" si="43"/>
        <v>6</v>
      </c>
      <c r="G2759" s="7" t="str">
        <f>LOOKUP(H2759,[1]startdates!$A$2:$A$10,[1]startdates!$B$2:$B$10)</f>
        <v>C</v>
      </c>
      <c r="H2759">
        <v>3</v>
      </c>
      <c r="I2759" s="7">
        <v>741</v>
      </c>
      <c r="J2759" s="7">
        <v>533</v>
      </c>
      <c r="K2759" s="7">
        <v>562</v>
      </c>
      <c r="L2759" s="7">
        <v>455</v>
      </c>
      <c r="M2759" s="7">
        <v>349</v>
      </c>
      <c r="N2759" s="7">
        <v>271</v>
      </c>
      <c r="O2759" s="7">
        <v>192</v>
      </c>
      <c r="Q2759" s="7">
        <v>376</v>
      </c>
      <c r="R2759" s="7">
        <v>333</v>
      </c>
    </row>
    <row r="2760" spans="1:18" x14ac:dyDescent="0.2">
      <c r="A2760">
        <v>2759</v>
      </c>
      <c r="B2760" s="1">
        <v>40795</v>
      </c>
      <c r="C2760" t="s">
        <v>24</v>
      </c>
      <c r="D2760" s="7">
        <v>57</v>
      </c>
      <c r="E2760" s="7">
        <v>9</v>
      </c>
      <c r="F2760" s="7">
        <f t="shared" si="43"/>
        <v>6</v>
      </c>
      <c r="G2760" s="7" t="str">
        <f>LOOKUP(H2760,[1]startdates!$A$2:$A$10,[1]startdates!$B$2:$B$10)</f>
        <v>C</v>
      </c>
      <c r="H2760">
        <v>3</v>
      </c>
      <c r="I2760" s="7">
        <v>844</v>
      </c>
      <c r="K2760" s="7">
        <v>609</v>
      </c>
      <c r="L2760" s="7">
        <v>407</v>
      </c>
      <c r="M2760" s="7">
        <v>362</v>
      </c>
      <c r="N2760" s="7">
        <v>280</v>
      </c>
      <c r="O2760" s="7">
        <v>182</v>
      </c>
      <c r="Q2760" s="7">
        <v>376</v>
      </c>
    </row>
    <row r="2761" spans="1:18" x14ac:dyDescent="0.2">
      <c r="A2761">
        <v>2760</v>
      </c>
      <c r="B2761" s="1">
        <v>40795</v>
      </c>
      <c r="C2761" t="s">
        <v>24</v>
      </c>
      <c r="D2761" s="7">
        <v>57</v>
      </c>
      <c r="E2761" s="7">
        <v>9</v>
      </c>
      <c r="F2761" s="7">
        <f t="shared" si="43"/>
        <v>6</v>
      </c>
      <c r="G2761" s="7" t="str">
        <f>LOOKUP(H2761,[1]startdates!$A$2:$A$10,[1]startdates!$B$2:$B$10)</f>
        <v>C</v>
      </c>
      <c r="H2761">
        <v>3</v>
      </c>
      <c r="I2761" s="7">
        <v>735</v>
      </c>
      <c r="K2761" s="7">
        <v>570</v>
      </c>
      <c r="M2761" s="7">
        <v>337</v>
      </c>
      <c r="N2761" s="7">
        <v>252</v>
      </c>
      <c r="O2761" s="7">
        <v>203</v>
      </c>
    </row>
    <row r="2762" spans="1:18" x14ac:dyDescent="0.2">
      <c r="A2762">
        <v>2761</v>
      </c>
      <c r="B2762" s="1">
        <v>40795</v>
      </c>
      <c r="C2762" t="s">
        <v>24</v>
      </c>
      <c r="D2762" s="7">
        <v>57</v>
      </c>
      <c r="E2762" s="7">
        <v>9</v>
      </c>
      <c r="F2762" s="7">
        <f t="shared" si="43"/>
        <v>6</v>
      </c>
      <c r="G2762" s="7" t="str">
        <f>LOOKUP(H2762,[1]startdates!$A$2:$A$10,[1]startdates!$B$2:$B$10)</f>
        <v>C</v>
      </c>
      <c r="H2762">
        <v>3</v>
      </c>
      <c r="I2762" s="7">
        <v>709</v>
      </c>
      <c r="K2762" s="7">
        <v>707</v>
      </c>
      <c r="M2762" s="7">
        <v>309</v>
      </c>
      <c r="N2762" s="7">
        <v>247</v>
      </c>
      <c r="O2762" s="7">
        <v>176</v>
      </c>
    </row>
    <row r="2763" spans="1:18" x14ac:dyDescent="0.2">
      <c r="A2763">
        <v>2762</v>
      </c>
      <c r="B2763" s="1">
        <v>40795</v>
      </c>
      <c r="C2763" t="s">
        <v>24</v>
      </c>
      <c r="D2763" s="7">
        <v>57</v>
      </c>
      <c r="E2763" s="7">
        <v>9</v>
      </c>
      <c r="F2763" s="7">
        <f t="shared" si="43"/>
        <v>6</v>
      </c>
      <c r="G2763" s="7" t="str">
        <f>LOOKUP(H2763,[1]startdates!$A$2:$A$10,[1]startdates!$B$2:$B$10)</f>
        <v>C</v>
      </c>
      <c r="H2763">
        <v>3</v>
      </c>
      <c r="I2763" s="7">
        <v>641</v>
      </c>
      <c r="K2763" s="7">
        <v>575</v>
      </c>
      <c r="M2763" s="7">
        <v>390</v>
      </c>
      <c r="N2763" s="7">
        <v>235</v>
      </c>
      <c r="O2763" s="7">
        <v>163</v>
      </c>
    </row>
    <row r="2764" spans="1:18" x14ac:dyDescent="0.2">
      <c r="A2764">
        <v>2763</v>
      </c>
      <c r="B2764" s="1">
        <v>40795</v>
      </c>
      <c r="C2764" t="s">
        <v>24</v>
      </c>
      <c r="D2764" s="7">
        <v>57</v>
      </c>
      <c r="E2764" s="7">
        <v>9</v>
      </c>
      <c r="F2764" s="7">
        <f t="shared" si="43"/>
        <v>6</v>
      </c>
      <c r="G2764" s="7" t="str">
        <f>LOOKUP(H2764,[1]startdates!$A$2:$A$10,[1]startdates!$B$2:$B$10)</f>
        <v>C</v>
      </c>
      <c r="H2764">
        <v>3</v>
      </c>
      <c r="I2764" s="7">
        <v>704</v>
      </c>
      <c r="K2764" s="7">
        <v>531</v>
      </c>
      <c r="M2764" s="7">
        <v>403</v>
      </c>
      <c r="N2764" s="7">
        <v>212</v>
      </c>
      <c r="O2764" s="7">
        <v>179</v>
      </c>
    </row>
    <row r="2765" spans="1:18" x14ac:dyDescent="0.2">
      <c r="A2765">
        <v>2764</v>
      </c>
      <c r="B2765" s="1">
        <v>40795</v>
      </c>
      <c r="C2765" t="s">
        <v>24</v>
      </c>
      <c r="D2765" s="7">
        <v>57</v>
      </c>
      <c r="E2765" s="7">
        <v>9</v>
      </c>
      <c r="F2765" s="7">
        <f t="shared" si="43"/>
        <v>6</v>
      </c>
      <c r="G2765" s="7" t="str">
        <f>LOOKUP(H2765,[1]startdates!$A$2:$A$10,[1]startdates!$B$2:$B$10)</f>
        <v>C</v>
      </c>
      <c r="H2765">
        <v>3</v>
      </c>
      <c r="K2765" s="7">
        <v>499</v>
      </c>
      <c r="M2765" s="7">
        <v>365</v>
      </c>
      <c r="N2765" s="7">
        <v>263</v>
      </c>
      <c r="O2765" s="7">
        <v>204</v>
      </c>
    </row>
    <row r="2766" spans="1:18" x14ac:dyDescent="0.2">
      <c r="A2766">
        <v>2765</v>
      </c>
      <c r="B2766" s="1">
        <v>40795</v>
      </c>
      <c r="C2766" t="s">
        <v>24</v>
      </c>
      <c r="D2766" s="7">
        <v>57</v>
      </c>
      <c r="E2766" s="7">
        <v>9</v>
      </c>
      <c r="F2766" s="7">
        <f t="shared" si="43"/>
        <v>6</v>
      </c>
      <c r="G2766" s="7" t="str">
        <f>LOOKUP(H2766,[1]startdates!$A$2:$A$10,[1]startdates!$B$2:$B$10)</f>
        <v>C</v>
      </c>
      <c r="H2766">
        <v>3</v>
      </c>
      <c r="M2766" s="7">
        <v>342</v>
      </c>
      <c r="N2766" s="7">
        <v>251</v>
      </c>
      <c r="O2766" s="7">
        <v>192</v>
      </c>
    </row>
    <row r="2767" spans="1:18" x14ac:dyDescent="0.2">
      <c r="A2767">
        <v>2766</v>
      </c>
      <c r="B2767" s="1">
        <v>40795</v>
      </c>
      <c r="C2767" t="s">
        <v>24</v>
      </c>
      <c r="D2767" s="7">
        <v>57</v>
      </c>
      <c r="E2767" s="7">
        <v>9</v>
      </c>
      <c r="F2767" s="7">
        <f t="shared" si="43"/>
        <v>6</v>
      </c>
      <c r="G2767" s="7" t="str">
        <f>LOOKUP(H2767,[1]startdates!$A$2:$A$10,[1]startdates!$B$2:$B$10)</f>
        <v>C</v>
      </c>
      <c r="H2767">
        <v>3</v>
      </c>
      <c r="M2767" s="7">
        <v>313</v>
      </c>
      <c r="N2767" s="7">
        <v>234</v>
      </c>
      <c r="O2767" s="7">
        <v>179</v>
      </c>
    </row>
    <row r="2768" spans="1:18" x14ac:dyDescent="0.2">
      <c r="A2768">
        <v>2767</v>
      </c>
      <c r="B2768" s="1">
        <v>40795</v>
      </c>
      <c r="C2768" t="s">
        <v>24</v>
      </c>
      <c r="D2768" s="7">
        <v>57</v>
      </c>
      <c r="E2768" s="7">
        <v>9</v>
      </c>
      <c r="F2768" s="7">
        <f t="shared" si="43"/>
        <v>6</v>
      </c>
      <c r="G2768" s="7" t="str">
        <f>LOOKUP(H2768,[1]startdates!$A$2:$A$10,[1]startdates!$B$2:$B$10)</f>
        <v>C</v>
      </c>
      <c r="H2768">
        <v>3</v>
      </c>
      <c r="M2768" s="7">
        <v>362</v>
      </c>
      <c r="N2768" s="7">
        <v>242</v>
      </c>
      <c r="O2768" s="7">
        <v>182</v>
      </c>
    </row>
    <row r="2769" spans="1:19" x14ac:dyDescent="0.2">
      <c r="A2769">
        <v>2768</v>
      </c>
      <c r="B2769" s="1">
        <v>40795</v>
      </c>
      <c r="C2769" t="s">
        <v>24</v>
      </c>
      <c r="D2769" s="7">
        <v>57</v>
      </c>
      <c r="E2769" s="7">
        <v>9</v>
      </c>
      <c r="F2769" s="7">
        <f t="shared" si="43"/>
        <v>6</v>
      </c>
      <c r="G2769" s="7" t="str">
        <f>LOOKUP(H2769,[1]startdates!$A$2:$A$10,[1]startdates!$B$2:$B$10)</f>
        <v>C</v>
      </c>
      <c r="H2769">
        <v>3</v>
      </c>
      <c r="N2769" s="7">
        <v>259</v>
      </c>
      <c r="O2769" s="7">
        <v>172</v>
      </c>
    </row>
    <row r="2770" spans="1:19" x14ac:dyDescent="0.2">
      <c r="A2770">
        <v>2769</v>
      </c>
      <c r="B2770" s="1">
        <v>40795</v>
      </c>
      <c r="C2770" t="s">
        <v>24</v>
      </c>
      <c r="D2770" s="7">
        <v>57</v>
      </c>
      <c r="E2770" s="7">
        <v>9</v>
      </c>
      <c r="F2770" s="7">
        <f t="shared" si="43"/>
        <v>6</v>
      </c>
      <c r="G2770" s="7" t="str">
        <f>LOOKUP(H2770,[1]startdates!$A$2:$A$10,[1]startdates!$B$2:$B$10)</f>
        <v>SMr</v>
      </c>
      <c r="H2770">
        <v>4</v>
      </c>
      <c r="I2770" s="7">
        <v>758.1</v>
      </c>
      <c r="J2770" s="7">
        <v>529</v>
      </c>
      <c r="K2770" s="7">
        <v>564.70000000000005</v>
      </c>
      <c r="L2770" s="7">
        <v>408.5</v>
      </c>
      <c r="M2770" s="7">
        <v>328.4</v>
      </c>
      <c r="N2770" s="7">
        <v>272.5</v>
      </c>
      <c r="O2770" s="7">
        <v>161.69999999999999</v>
      </c>
      <c r="P2770" s="7">
        <v>491.2</v>
      </c>
      <c r="R2770" s="7">
        <v>251.9</v>
      </c>
      <c r="S2770" s="7">
        <v>239.8</v>
      </c>
    </row>
    <row r="2771" spans="1:19" x14ac:dyDescent="0.2">
      <c r="A2771">
        <v>2770</v>
      </c>
      <c r="B2771" s="1">
        <v>40795</v>
      </c>
      <c r="C2771" t="s">
        <v>24</v>
      </c>
      <c r="D2771" s="7">
        <v>57</v>
      </c>
      <c r="E2771" s="7">
        <v>9</v>
      </c>
      <c r="F2771" s="7">
        <f t="shared" si="43"/>
        <v>6</v>
      </c>
      <c r="G2771" s="7" t="str">
        <f>LOOKUP(H2771,[1]startdates!$A$2:$A$10,[1]startdates!$B$2:$B$10)</f>
        <v>SMr</v>
      </c>
      <c r="H2771">
        <v>4</v>
      </c>
      <c r="I2771" s="7">
        <v>637.70000000000005</v>
      </c>
      <c r="J2771" s="7">
        <v>562.6</v>
      </c>
      <c r="K2771" s="7">
        <v>619.5</v>
      </c>
      <c r="L2771" s="7">
        <v>437.1</v>
      </c>
      <c r="M2771" s="7">
        <v>319.7</v>
      </c>
      <c r="N2771" s="7">
        <v>270.8</v>
      </c>
      <c r="O2771" s="7">
        <v>155.30000000000001</v>
      </c>
      <c r="R2771" s="7">
        <v>250.5</v>
      </c>
      <c r="S2771" s="7">
        <v>276</v>
      </c>
    </row>
    <row r="2772" spans="1:19" x14ac:dyDescent="0.2">
      <c r="A2772">
        <v>2771</v>
      </c>
      <c r="B2772" s="1">
        <v>40795</v>
      </c>
      <c r="C2772" t="s">
        <v>24</v>
      </c>
      <c r="D2772" s="7">
        <v>57</v>
      </c>
      <c r="E2772" s="7">
        <v>9</v>
      </c>
      <c r="F2772" s="7">
        <f t="shared" si="43"/>
        <v>6</v>
      </c>
      <c r="G2772" s="7" t="str">
        <f>LOOKUP(H2772,[1]startdates!$A$2:$A$10,[1]startdates!$B$2:$B$10)</f>
        <v>SMr</v>
      </c>
      <c r="H2772">
        <v>4</v>
      </c>
      <c r="I2772" s="7">
        <v>625.9</v>
      </c>
      <c r="K2772" s="7">
        <v>544.70000000000005</v>
      </c>
      <c r="L2772" s="7">
        <v>401.2</v>
      </c>
      <c r="M2772" s="7">
        <v>391.4</v>
      </c>
      <c r="N2772" s="7">
        <v>258.60000000000002</v>
      </c>
      <c r="O2772" s="7">
        <v>166.9</v>
      </c>
      <c r="R2772" s="7">
        <v>249.9</v>
      </c>
    </row>
    <row r="2773" spans="1:19" x14ac:dyDescent="0.2">
      <c r="A2773">
        <v>2772</v>
      </c>
      <c r="B2773" s="1">
        <v>40795</v>
      </c>
      <c r="C2773" t="s">
        <v>24</v>
      </c>
      <c r="D2773" s="7">
        <v>57</v>
      </c>
      <c r="E2773" s="7">
        <v>9</v>
      </c>
      <c r="F2773" s="7">
        <f t="shared" si="43"/>
        <v>6</v>
      </c>
      <c r="G2773" s="7" t="str">
        <f>LOOKUP(H2773,[1]startdates!$A$2:$A$10,[1]startdates!$B$2:$B$10)</f>
        <v>SMr</v>
      </c>
      <c r="H2773">
        <v>4</v>
      </c>
      <c r="I2773" s="7">
        <v>801.2</v>
      </c>
      <c r="K2773" s="7">
        <v>490.5</v>
      </c>
      <c r="M2773" s="7">
        <v>369.3</v>
      </c>
      <c r="N2773" s="7">
        <v>257.8</v>
      </c>
      <c r="O2773" s="7">
        <v>169.4</v>
      </c>
      <c r="R2773" s="7">
        <v>280.39999999999998</v>
      </c>
    </row>
    <row r="2774" spans="1:19" x14ac:dyDescent="0.2">
      <c r="A2774">
        <v>2773</v>
      </c>
      <c r="B2774" s="1">
        <v>40795</v>
      </c>
      <c r="C2774" t="s">
        <v>24</v>
      </c>
      <c r="D2774" s="7">
        <v>57</v>
      </c>
      <c r="E2774" s="7">
        <v>9</v>
      </c>
      <c r="F2774" s="7">
        <f t="shared" si="43"/>
        <v>6</v>
      </c>
      <c r="G2774" s="7" t="str">
        <f>LOOKUP(H2774,[1]startdates!$A$2:$A$10,[1]startdates!$B$2:$B$10)</f>
        <v>SMr</v>
      </c>
      <c r="H2774">
        <v>4</v>
      </c>
      <c r="I2774" s="7">
        <v>659</v>
      </c>
      <c r="K2774" s="7">
        <v>530.70000000000005</v>
      </c>
      <c r="M2774" s="7">
        <v>361.1</v>
      </c>
      <c r="N2774" s="7">
        <v>272.5</v>
      </c>
      <c r="O2774" s="7">
        <v>170</v>
      </c>
      <c r="R2774" s="7">
        <v>296.5</v>
      </c>
    </row>
    <row r="2775" spans="1:19" x14ac:dyDescent="0.2">
      <c r="A2775">
        <v>2774</v>
      </c>
      <c r="B2775" s="1">
        <v>40795</v>
      </c>
      <c r="C2775" t="s">
        <v>24</v>
      </c>
      <c r="D2775" s="7">
        <v>57</v>
      </c>
      <c r="E2775" s="7">
        <v>9</v>
      </c>
      <c r="F2775" s="7">
        <f t="shared" si="43"/>
        <v>6</v>
      </c>
      <c r="G2775" s="7" t="str">
        <f>LOOKUP(H2775,[1]startdates!$A$2:$A$10,[1]startdates!$B$2:$B$10)</f>
        <v>SMr</v>
      </c>
      <c r="H2775">
        <v>4</v>
      </c>
      <c r="I2775" s="7">
        <v>632</v>
      </c>
      <c r="M2775" s="7">
        <v>348</v>
      </c>
      <c r="N2775" s="7">
        <v>221.4</v>
      </c>
      <c r="O2775" s="7">
        <v>143</v>
      </c>
    </row>
    <row r="2776" spans="1:19" x14ac:dyDescent="0.2">
      <c r="A2776">
        <v>2775</v>
      </c>
      <c r="B2776" s="1">
        <v>40795</v>
      </c>
      <c r="C2776" t="s">
        <v>24</v>
      </c>
      <c r="D2776" s="7">
        <v>57</v>
      </c>
      <c r="E2776" s="7">
        <v>9</v>
      </c>
      <c r="F2776" s="7">
        <f t="shared" si="43"/>
        <v>6</v>
      </c>
      <c r="G2776" s="7" t="str">
        <f>LOOKUP(H2776,[1]startdates!$A$2:$A$10,[1]startdates!$B$2:$B$10)</f>
        <v>SMr</v>
      </c>
      <c r="H2776">
        <v>4</v>
      </c>
      <c r="I2776" s="7">
        <v>657.4</v>
      </c>
      <c r="M2776" s="7">
        <v>369.1</v>
      </c>
      <c r="N2776" s="7">
        <v>181.1</v>
      </c>
      <c r="O2776" s="7">
        <v>178.1</v>
      </c>
    </row>
    <row r="2777" spans="1:19" x14ac:dyDescent="0.2">
      <c r="A2777">
        <v>2776</v>
      </c>
      <c r="B2777" s="1">
        <v>40795</v>
      </c>
      <c r="C2777" t="s">
        <v>24</v>
      </c>
      <c r="D2777" s="7">
        <v>57</v>
      </c>
      <c r="E2777" s="7">
        <v>9</v>
      </c>
      <c r="F2777" s="7">
        <f t="shared" si="43"/>
        <v>6</v>
      </c>
      <c r="G2777" s="7" t="str">
        <f>LOOKUP(H2777,[1]startdates!$A$2:$A$10,[1]startdates!$B$2:$B$10)</f>
        <v>SMr</v>
      </c>
      <c r="H2777">
        <v>4</v>
      </c>
      <c r="N2777" s="7">
        <v>244.8</v>
      </c>
      <c r="O2777" s="7">
        <v>169.4</v>
      </c>
    </row>
    <row r="2778" spans="1:19" x14ac:dyDescent="0.2">
      <c r="A2778">
        <v>2777</v>
      </c>
      <c r="B2778" s="1">
        <v>40795</v>
      </c>
      <c r="C2778" t="s">
        <v>24</v>
      </c>
      <c r="D2778" s="7">
        <v>57</v>
      </c>
      <c r="E2778" s="7">
        <v>9</v>
      </c>
      <c r="F2778" s="7">
        <f t="shared" si="43"/>
        <v>6</v>
      </c>
      <c r="G2778" s="7" t="str">
        <f>LOOKUP(H2778,[1]startdates!$A$2:$A$10,[1]startdates!$B$2:$B$10)</f>
        <v>SMr</v>
      </c>
      <c r="H2778">
        <v>4</v>
      </c>
      <c r="N2778" s="7">
        <v>278.7</v>
      </c>
      <c r="O2778" s="7">
        <v>163</v>
      </c>
    </row>
    <row r="2779" spans="1:19" x14ac:dyDescent="0.2">
      <c r="A2779">
        <v>2778</v>
      </c>
      <c r="B2779" s="1">
        <v>40795</v>
      </c>
      <c r="C2779" t="s">
        <v>24</v>
      </c>
      <c r="D2779" s="7">
        <v>57</v>
      </c>
      <c r="E2779" s="7">
        <v>9</v>
      </c>
      <c r="F2779" s="7">
        <f t="shared" si="43"/>
        <v>6</v>
      </c>
      <c r="G2779" s="7" t="str">
        <f>LOOKUP(H2779,[1]startdates!$A$2:$A$10,[1]startdates!$B$2:$B$10)</f>
        <v>SMr</v>
      </c>
      <c r="H2779">
        <v>4</v>
      </c>
      <c r="N2779" s="7">
        <v>214</v>
      </c>
      <c r="O2779" s="7">
        <v>161.69999999999999</v>
      </c>
    </row>
    <row r="2780" spans="1:19" x14ac:dyDescent="0.2">
      <c r="A2780">
        <v>2779</v>
      </c>
      <c r="B2780" s="1">
        <v>40795</v>
      </c>
      <c r="C2780" t="s">
        <v>24</v>
      </c>
      <c r="D2780" s="7">
        <v>57</v>
      </c>
      <c r="E2780" s="7">
        <v>9</v>
      </c>
      <c r="F2780" s="7">
        <f t="shared" si="43"/>
        <v>6</v>
      </c>
      <c r="G2780" s="7" t="str">
        <f>LOOKUP(H2780,[1]startdates!$A$2:$A$10,[1]startdates!$B$2:$B$10)</f>
        <v>C</v>
      </c>
      <c r="H2780">
        <v>5</v>
      </c>
      <c r="I2780" s="7">
        <v>658</v>
      </c>
      <c r="J2780" s="7">
        <v>477</v>
      </c>
      <c r="K2780" s="7">
        <v>565</v>
      </c>
      <c r="L2780" s="7">
        <v>523</v>
      </c>
      <c r="M2780" s="7">
        <v>365</v>
      </c>
      <c r="N2780" s="7">
        <v>247</v>
      </c>
      <c r="O2780" s="7">
        <v>190</v>
      </c>
      <c r="Q2780" s="7">
        <v>343</v>
      </c>
      <c r="R2780" s="7">
        <v>292</v>
      </c>
    </row>
    <row r="2781" spans="1:19" x14ac:dyDescent="0.2">
      <c r="A2781">
        <v>2780</v>
      </c>
      <c r="B2781" s="1">
        <v>40795</v>
      </c>
      <c r="C2781" t="s">
        <v>24</v>
      </c>
      <c r="D2781" s="7">
        <v>57</v>
      </c>
      <c r="E2781" s="7">
        <v>9</v>
      </c>
      <c r="F2781" s="7">
        <f t="shared" si="43"/>
        <v>6</v>
      </c>
      <c r="G2781" s="7" t="str">
        <f>LOOKUP(H2781,[1]startdates!$A$2:$A$10,[1]startdates!$B$2:$B$10)</f>
        <v>C</v>
      </c>
      <c r="H2781">
        <v>5</v>
      </c>
      <c r="I2781" s="7">
        <v>635</v>
      </c>
      <c r="J2781" s="7">
        <v>560</v>
      </c>
      <c r="K2781" s="7">
        <v>673</v>
      </c>
      <c r="L2781" s="7">
        <v>521</v>
      </c>
      <c r="M2781" s="7">
        <v>300</v>
      </c>
      <c r="N2781" s="7">
        <v>210</v>
      </c>
      <c r="O2781" s="7">
        <v>172</v>
      </c>
    </row>
    <row r="2782" spans="1:19" x14ac:dyDescent="0.2">
      <c r="A2782">
        <v>2781</v>
      </c>
      <c r="B2782" s="1">
        <v>40795</v>
      </c>
      <c r="C2782" t="s">
        <v>24</v>
      </c>
      <c r="D2782" s="7">
        <v>57</v>
      </c>
      <c r="E2782" s="7">
        <v>9</v>
      </c>
      <c r="F2782" s="7">
        <f t="shared" si="43"/>
        <v>6</v>
      </c>
      <c r="G2782" s="7" t="str">
        <f>LOOKUP(H2782,[1]startdates!$A$2:$A$10,[1]startdates!$B$2:$B$10)</f>
        <v>C</v>
      </c>
      <c r="H2782">
        <v>5</v>
      </c>
      <c r="I2782" s="7">
        <v>595</v>
      </c>
      <c r="K2782" s="7">
        <v>693</v>
      </c>
      <c r="L2782" s="7">
        <v>468</v>
      </c>
      <c r="M2782" s="7">
        <v>348</v>
      </c>
      <c r="N2782" s="7">
        <v>247</v>
      </c>
      <c r="O2782" s="7">
        <v>205</v>
      </c>
    </row>
    <row r="2783" spans="1:19" x14ac:dyDescent="0.2">
      <c r="A2783">
        <v>2782</v>
      </c>
      <c r="B2783" s="1">
        <v>40795</v>
      </c>
      <c r="C2783" t="s">
        <v>24</v>
      </c>
      <c r="D2783" s="7">
        <v>57</v>
      </c>
      <c r="E2783" s="7">
        <v>9</v>
      </c>
      <c r="F2783" s="7">
        <f t="shared" si="43"/>
        <v>6</v>
      </c>
      <c r="G2783" s="7" t="str">
        <f>LOOKUP(H2783,[1]startdates!$A$2:$A$10,[1]startdates!$B$2:$B$10)</f>
        <v>C</v>
      </c>
      <c r="H2783">
        <v>5</v>
      </c>
      <c r="I2783" s="7">
        <v>597</v>
      </c>
      <c r="K2783" s="7">
        <v>545</v>
      </c>
      <c r="L2783" s="7">
        <v>491</v>
      </c>
      <c r="M2783" s="7">
        <v>340</v>
      </c>
      <c r="N2783" s="7">
        <v>213</v>
      </c>
      <c r="O2783" s="7">
        <v>177</v>
      </c>
    </row>
    <row r="2784" spans="1:19" x14ac:dyDescent="0.2">
      <c r="A2784">
        <v>2783</v>
      </c>
      <c r="B2784" s="1">
        <v>40795</v>
      </c>
      <c r="C2784" t="s">
        <v>24</v>
      </c>
      <c r="D2784" s="7">
        <v>57</v>
      </c>
      <c r="E2784" s="7">
        <v>9</v>
      </c>
      <c r="F2784" s="7">
        <f t="shared" si="43"/>
        <v>6</v>
      </c>
      <c r="G2784" s="7" t="str">
        <f>LOOKUP(H2784,[1]startdates!$A$2:$A$10,[1]startdates!$B$2:$B$10)</f>
        <v>C</v>
      </c>
      <c r="H2784">
        <v>5</v>
      </c>
      <c r="I2784" s="7">
        <v>597</v>
      </c>
      <c r="K2784" s="7">
        <v>503</v>
      </c>
      <c r="L2784" s="7">
        <v>455</v>
      </c>
      <c r="M2784" s="7">
        <v>316</v>
      </c>
      <c r="N2784" s="7">
        <v>265</v>
      </c>
      <c r="O2784" s="7">
        <v>148</v>
      </c>
    </row>
    <row r="2785" spans="1:19" x14ac:dyDescent="0.2">
      <c r="A2785">
        <v>2784</v>
      </c>
      <c r="B2785" s="1">
        <v>40795</v>
      </c>
      <c r="C2785" t="s">
        <v>24</v>
      </c>
      <c r="D2785" s="7">
        <v>57</v>
      </c>
      <c r="E2785" s="7">
        <v>9</v>
      </c>
      <c r="F2785" s="7">
        <f t="shared" si="43"/>
        <v>6</v>
      </c>
      <c r="G2785" s="7" t="str">
        <f>LOOKUP(H2785,[1]startdates!$A$2:$A$10,[1]startdates!$B$2:$B$10)</f>
        <v>C</v>
      </c>
      <c r="H2785">
        <v>5</v>
      </c>
      <c r="I2785" s="7">
        <v>673</v>
      </c>
      <c r="K2785" s="7">
        <v>613</v>
      </c>
      <c r="M2785" s="7">
        <v>392</v>
      </c>
      <c r="N2785" s="7">
        <v>204</v>
      </c>
      <c r="O2785" s="7">
        <v>174</v>
      </c>
    </row>
    <row r="2786" spans="1:19" x14ac:dyDescent="0.2">
      <c r="A2786">
        <v>2785</v>
      </c>
      <c r="B2786" s="1">
        <v>40795</v>
      </c>
      <c r="C2786" t="s">
        <v>24</v>
      </c>
      <c r="D2786" s="7">
        <v>57</v>
      </c>
      <c r="E2786" s="7">
        <v>9</v>
      </c>
      <c r="F2786" s="7">
        <f t="shared" si="43"/>
        <v>6</v>
      </c>
      <c r="G2786" s="7" t="str">
        <f>LOOKUP(H2786,[1]startdates!$A$2:$A$10,[1]startdates!$B$2:$B$10)</f>
        <v>C</v>
      </c>
      <c r="H2786">
        <v>5</v>
      </c>
      <c r="I2786" s="7">
        <v>619</v>
      </c>
      <c r="M2786" s="7">
        <v>352</v>
      </c>
      <c r="N2786" s="7">
        <v>239</v>
      </c>
      <c r="O2786" s="7">
        <v>216</v>
      </c>
    </row>
    <row r="2787" spans="1:19" x14ac:dyDescent="0.2">
      <c r="A2787">
        <v>2786</v>
      </c>
      <c r="B2787" s="1">
        <v>40795</v>
      </c>
      <c r="C2787" t="s">
        <v>24</v>
      </c>
      <c r="D2787" s="7">
        <v>57</v>
      </c>
      <c r="E2787" s="7">
        <v>9</v>
      </c>
      <c r="F2787" s="7">
        <f t="shared" si="43"/>
        <v>6</v>
      </c>
      <c r="G2787" s="7" t="str">
        <f>LOOKUP(H2787,[1]startdates!$A$2:$A$10,[1]startdates!$B$2:$B$10)</f>
        <v>C</v>
      </c>
      <c r="H2787">
        <v>5</v>
      </c>
      <c r="M2787" s="7">
        <v>382</v>
      </c>
      <c r="O2787" s="7">
        <v>184</v>
      </c>
    </row>
    <row r="2788" spans="1:19" x14ac:dyDescent="0.2">
      <c r="A2788">
        <v>2787</v>
      </c>
      <c r="B2788" s="1">
        <v>40795</v>
      </c>
      <c r="C2788" t="s">
        <v>24</v>
      </c>
      <c r="D2788" s="7">
        <v>57</v>
      </c>
      <c r="E2788" s="7">
        <v>9</v>
      </c>
      <c r="F2788" s="7">
        <f t="shared" si="43"/>
        <v>6</v>
      </c>
      <c r="G2788" s="7" t="str">
        <f>LOOKUP(H2788,[1]startdates!$A$2:$A$10,[1]startdates!$B$2:$B$10)</f>
        <v>C</v>
      </c>
      <c r="H2788">
        <v>5</v>
      </c>
      <c r="M2788" s="7">
        <v>304</v>
      </c>
      <c r="O2788" s="7">
        <v>192</v>
      </c>
    </row>
    <row r="2789" spans="1:19" x14ac:dyDescent="0.2">
      <c r="A2789">
        <v>2788</v>
      </c>
      <c r="B2789" s="1">
        <v>40795</v>
      </c>
      <c r="C2789" t="s">
        <v>24</v>
      </c>
      <c r="D2789" s="7">
        <v>57</v>
      </c>
      <c r="E2789" s="7">
        <v>9</v>
      </c>
      <c r="F2789" s="7">
        <f t="shared" si="43"/>
        <v>6</v>
      </c>
      <c r="G2789" s="7" t="str">
        <f>LOOKUP(H2789,[1]startdates!$A$2:$A$10,[1]startdates!$B$2:$B$10)</f>
        <v>C</v>
      </c>
      <c r="H2789">
        <v>5</v>
      </c>
      <c r="M2789" s="7">
        <v>380</v>
      </c>
      <c r="O2789" s="7">
        <v>186</v>
      </c>
    </row>
    <row r="2790" spans="1:19" x14ac:dyDescent="0.2">
      <c r="A2790">
        <v>2789</v>
      </c>
      <c r="B2790" s="1">
        <v>40795</v>
      </c>
      <c r="C2790" t="s">
        <v>24</v>
      </c>
      <c r="D2790" s="7">
        <v>57</v>
      </c>
      <c r="E2790" s="7">
        <v>9</v>
      </c>
      <c r="F2790" s="7">
        <f t="shared" si="43"/>
        <v>6</v>
      </c>
      <c r="G2790" s="7" t="str">
        <f>LOOKUP(H2790,[1]startdates!$A$2:$A$10,[1]startdates!$B$2:$B$10)</f>
        <v>C</v>
      </c>
      <c r="H2790">
        <v>5</v>
      </c>
      <c r="M2790" s="7">
        <v>324</v>
      </c>
      <c r="O2790" s="7">
        <v>174</v>
      </c>
    </row>
    <row r="2791" spans="1:19" x14ac:dyDescent="0.2">
      <c r="A2791">
        <v>2790</v>
      </c>
      <c r="B2791" s="1">
        <v>40795</v>
      </c>
      <c r="C2791" t="s">
        <v>28</v>
      </c>
      <c r="D2791" s="7">
        <v>57</v>
      </c>
      <c r="E2791" s="7">
        <v>9</v>
      </c>
      <c r="F2791" s="7">
        <f t="shared" si="43"/>
        <v>6</v>
      </c>
      <c r="G2791" s="7" t="str">
        <f>LOOKUP(H2791,[1]startdates!$A$2:$A$10,[1]startdates!$B$2:$B$10)</f>
        <v>FMr</v>
      </c>
      <c r="H2791">
        <v>6</v>
      </c>
      <c r="I2791" s="7">
        <v>636.70000000000005</v>
      </c>
      <c r="J2791" s="7">
        <v>551</v>
      </c>
      <c r="K2791" s="7">
        <v>477.8</v>
      </c>
      <c r="L2791" s="7">
        <v>479</v>
      </c>
      <c r="M2791" s="7">
        <v>381.9</v>
      </c>
      <c r="N2791" s="7">
        <v>191.2</v>
      </c>
      <c r="O2791" s="7">
        <v>174.6</v>
      </c>
      <c r="P2791" s="7">
        <v>479.5</v>
      </c>
      <c r="Q2791" s="7">
        <v>315.2</v>
      </c>
      <c r="R2791" s="7">
        <v>285.89999999999998</v>
      </c>
      <c r="S2791" s="7">
        <v>294.5</v>
      </c>
    </row>
    <row r="2792" spans="1:19" x14ac:dyDescent="0.2">
      <c r="A2792">
        <v>2791</v>
      </c>
      <c r="B2792" s="1">
        <v>40795</v>
      </c>
      <c r="C2792" t="s">
        <v>28</v>
      </c>
      <c r="D2792" s="7">
        <v>57</v>
      </c>
      <c r="E2792" s="7">
        <v>9</v>
      </c>
      <c r="F2792" s="7">
        <f t="shared" si="43"/>
        <v>6</v>
      </c>
      <c r="G2792" s="7" t="str">
        <f>LOOKUP(H2792,[1]startdates!$A$2:$A$10,[1]startdates!$B$2:$B$10)</f>
        <v>FMr</v>
      </c>
      <c r="H2792">
        <v>6</v>
      </c>
      <c r="I2792" s="7">
        <v>661.3</v>
      </c>
      <c r="K2792" s="7">
        <v>538.70000000000005</v>
      </c>
      <c r="L2792" s="7">
        <v>437.9</v>
      </c>
      <c r="M2792" s="7">
        <v>394.7</v>
      </c>
      <c r="N2792" s="7">
        <v>275.10000000000002</v>
      </c>
      <c r="O2792" s="7">
        <v>184.5</v>
      </c>
      <c r="Q2792" s="7">
        <v>380.1</v>
      </c>
      <c r="S2792" s="7">
        <v>261.5</v>
      </c>
    </row>
    <row r="2793" spans="1:19" x14ac:dyDescent="0.2">
      <c r="A2793">
        <v>2792</v>
      </c>
      <c r="B2793" s="1">
        <v>40795</v>
      </c>
      <c r="C2793" t="s">
        <v>28</v>
      </c>
      <c r="D2793" s="7">
        <v>57</v>
      </c>
      <c r="E2793" s="7">
        <v>9</v>
      </c>
      <c r="F2793" s="7">
        <f t="shared" ref="F2793:F2856" si="44">WEEKDAY(B2793)</f>
        <v>6</v>
      </c>
      <c r="G2793" s="7" t="str">
        <f>LOOKUP(H2793,[1]startdates!$A$2:$A$10,[1]startdates!$B$2:$B$10)</f>
        <v>FMr</v>
      </c>
      <c r="H2793">
        <v>6</v>
      </c>
      <c r="I2793" s="7">
        <v>577.20000000000005</v>
      </c>
      <c r="K2793" s="7">
        <v>634.79999999999995</v>
      </c>
      <c r="M2793" s="7">
        <v>332.3</v>
      </c>
      <c r="N2793" s="7">
        <v>244.8</v>
      </c>
      <c r="O2793" s="7">
        <v>170</v>
      </c>
      <c r="Q2793" s="7">
        <v>327</v>
      </c>
    </row>
    <row r="2794" spans="1:19" x14ac:dyDescent="0.2">
      <c r="A2794">
        <v>2793</v>
      </c>
      <c r="B2794" s="1">
        <v>40795</v>
      </c>
      <c r="C2794" t="s">
        <v>28</v>
      </c>
      <c r="D2794" s="7">
        <v>57</v>
      </c>
      <c r="E2794" s="7">
        <v>9</v>
      </c>
      <c r="F2794" s="7">
        <f t="shared" si="44"/>
        <v>6</v>
      </c>
      <c r="G2794" s="7" t="str">
        <f>LOOKUP(H2794,[1]startdates!$A$2:$A$10,[1]startdates!$B$2:$B$10)</f>
        <v>FMr</v>
      </c>
      <c r="H2794">
        <v>6</v>
      </c>
      <c r="I2794" s="7">
        <v>598.79999999999995</v>
      </c>
      <c r="K2794" s="7">
        <v>454.9</v>
      </c>
      <c r="M2794" s="7">
        <v>359.7</v>
      </c>
      <c r="N2794" s="7">
        <v>247.4</v>
      </c>
      <c r="O2794" s="7">
        <v>167.9</v>
      </c>
    </row>
    <row r="2795" spans="1:19" x14ac:dyDescent="0.2">
      <c r="A2795">
        <v>2794</v>
      </c>
      <c r="B2795" s="1">
        <v>40795</v>
      </c>
      <c r="C2795" t="s">
        <v>28</v>
      </c>
      <c r="D2795" s="7">
        <v>57</v>
      </c>
      <c r="E2795" s="7">
        <v>9</v>
      </c>
      <c r="F2795" s="7">
        <f t="shared" si="44"/>
        <v>6</v>
      </c>
      <c r="G2795" s="7" t="str">
        <f>LOOKUP(H2795,[1]startdates!$A$2:$A$10,[1]startdates!$B$2:$B$10)</f>
        <v>FMr</v>
      </c>
      <c r="H2795">
        <v>6</v>
      </c>
      <c r="I2795" s="7">
        <v>620.70000000000005</v>
      </c>
      <c r="K2795" s="7">
        <v>507.8</v>
      </c>
      <c r="M2795" s="7">
        <v>383</v>
      </c>
      <c r="N2795" s="7">
        <v>261.2</v>
      </c>
      <c r="O2795" s="7">
        <v>184.1</v>
      </c>
    </row>
    <row r="2796" spans="1:19" x14ac:dyDescent="0.2">
      <c r="A2796">
        <v>2795</v>
      </c>
      <c r="B2796" s="1">
        <v>40795</v>
      </c>
      <c r="C2796" t="s">
        <v>28</v>
      </c>
      <c r="D2796" s="7">
        <v>57</v>
      </c>
      <c r="E2796" s="7">
        <v>9</v>
      </c>
      <c r="F2796" s="7">
        <f t="shared" si="44"/>
        <v>6</v>
      </c>
      <c r="G2796" s="7" t="str">
        <f>LOOKUP(H2796,[1]startdates!$A$2:$A$10,[1]startdates!$B$2:$B$10)</f>
        <v>FMr</v>
      </c>
      <c r="H2796">
        <v>6</v>
      </c>
      <c r="I2796" s="7">
        <v>716.1</v>
      </c>
      <c r="M2796" s="7">
        <v>356.2</v>
      </c>
      <c r="N2796" s="7">
        <v>202.2</v>
      </c>
      <c r="O2796" s="7">
        <v>171.9</v>
      </c>
    </row>
    <row r="2797" spans="1:19" x14ac:dyDescent="0.2">
      <c r="A2797">
        <v>2796</v>
      </c>
      <c r="B2797" s="1">
        <v>40795</v>
      </c>
      <c r="C2797" t="s">
        <v>28</v>
      </c>
      <c r="D2797" s="7">
        <v>57</v>
      </c>
      <c r="E2797" s="7">
        <v>9</v>
      </c>
      <c r="F2797" s="7">
        <f t="shared" si="44"/>
        <v>6</v>
      </c>
      <c r="G2797" s="7" t="str">
        <f>LOOKUP(H2797,[1]startdates!$A$2:$A$10,[1]startdates!$B$2:$B$10)</f>
        <v>FMr</v>
      </c>
      <c r="H2797">
        <v>6</v>
      </c>
      <c r="I2797" s="7">
        <v>632.6</v>
      </c>
      <c r="M2797" s="7">
        <v>310.39999999999998</v>
      </c>
      <c r="N2797" s="7">
        <v>231.2</v>
      </c>
      <c r="O2797" s="7">
        <v>156.19999999999999</v>
      </c>
    </row>
    <row r="2798" spans="1:19" x14ac:dyDescent="0.2">
      <c r="A2798">
        <v>2797</v>
      </c>
      <c r="B2798" s="1">
        <v>40795</v>
      </c>
      <c r="C2798" t="s">
        <v>28</v>
      </c>
      <c r="D2798" s="7">
        <v>57</v>
      </c>
      <c r="E2798" s="7">
        <v>9</v>
      </c>
      <c r="F2798" s="7">
        <f t="shared" si="44"/>
        <v>6</v>
      </c>
      <c r="G2798" s="7" t="str">
        <f>LOOKUP(H2798,[1]startdates!$A$2:$A$10,[1]startdates!$B$2:$B$10)</f>
        <v>FMr</v>
      </c>
      <c r="H2798">
        <v>6</v>
      </c>
      <c r="I2798" s="7">
        <v>614</v>
      </c>
      <c r="N2798" s="7">
        <v>184.5</v>
      </c>
      <c r="O2798" s="7">
        <v>165.5</v>
      </c>
    </row>
    <row r="2799" spans="1:19" x14ac:dyDescent="0.2">
      <c r="A2799">
        <v>2798</v>
      </c>
      <c r="B2799" s="1">
        <v>40795</v>
      </c>
      <c r="C2799" t="s">
        <v>28</v>
      </c>
      <c r="D2799" s="7">
        <v>57</v>
      </c>
      <c r="E2799" s="7">
        <v>9</v>
      </c>
      <c r="F2799" s="7">
        <f t="shared" si="44"/>
        <v>6</v>
      </c>
      <c r="G2799" s="7" t="str">
        <f>LOOKUP(H2799,[1]startdates!$A$2:$A$10,[1]startdates!$B$2:$B$10)</f>
        <v>FMr</v>
      </c>
      <c r="H2799">
        <v>6</v>
      </c>
      <c r="I2799" s="7">
        <v>514.4</v>
      </c>
      <c r="N2799" s="7">
        <v>239.7</v>
      </c>
      <c r="O2799" s="7">
        <v>166.9</v>
      </c>
    </row>
    <row r="2800" spans="1:19" x14ac:dyDescent="0.2">
      <c r="A2800">
        <v>2799</v>
      </c>
      <c r="B2800" s="1">
        <v>40795</v>
      </c>
      <c r="C2800" t="s">
        <v>28</v>
      </c>
      <c r="D2800" s="7">
        <v>57</v>
      </c>
      <c r="E2800" s="7">
        <v>9</v>
      </c>
      <c r="F2800" s="7">
        <f t="shared" si="44"/>
        <v>6</v>
      </c>
      <c r="G2800" s="7" t="str">
        <f>LOOKUP(H2800,[1]startdates!$A$2:$A$10,[1]startdates!$B$2:$B$10)</f>
        <v>FMr</v>
      </c>
      <c r="H2800">
        <v>6</v>
      </c>
      <c r="N2800" s="7">
        <v>242.9</v>
      </c>
      <c r="O2800" s="7">
        <v>151.1</v>
      </c>
    </row>
    <row r="2801" spans="1:19" x14ac:dyDescent="0.2">
      <c r="A2801">
        <v>2800</v>
      </c>
      <c r="B2801" s="1">
        <v>40795</v>
      </c>
      <c r="C2801" t="s">
        <v>28</v>
      </c>
      <c r="D2801" s="7">
        <v>57</v>
      </c>
      <c r="E2801" s="7">
        <v>9</v>
      </c>
      <c r="F2801" s="7">
        <f t="shared" si="44"/>
        <v>6</v>
      </c>
      <c r="G2801" s="7" t="str">
        <f>LOOKUP(H2801,[1]startdates!$A$2:$A$10,[1]startdates!$B$2:$B$10)</f>
        <v>FMr</v>
      </c>
      <c r="H2801">
        <v>7</v>
      </c>
      <c r="I2801" s="7">
        <v>646.9</v>
      </c>
      <c r="K2801" s="7">
        <v>527.1</v>
      </c>
      <c r="L2801" s="7">
        <v>439.3</v>
      </c>
      <c r="M2801" s="7">
        <v>281.39999999999998</v>
      </c>
      <c r="N2801" s="7">
        <v>215.1</v>
      </c>
      <c r="O2801" s="7">
        <v>190</v>
      </c>
      <c r="Q2801" s="7">
        <v>341.6</v>
      </c>
      <c r="R2801" s="7">
        <v>261</v>
      </c>
    </row>
    <row r="2802" spans="1:19" x14ac:dyDescent="0.2">
      <c r="A2802">
        <v>2801</v>
      </c>
      <c r="B2802" s="1">
        <v>40795</v>
      </c>
      <c r="C2802" t="s">
        <v>28</v>
      </c>
      <c r="D2802" s="7">
        <v>57</v>
      </c>
      <c r="E2802" s="7">
        <v>9</v>
      </c>
      <c r="F2802" s="7">
        <f t="shared" si="44"/>
        <v>6</v>
      </c>
      <c r="G2802" s="7" t="str">
        <f>LOOKUP(H2802,[1]startdates!$A$2:$A$10,[1]startdates!$B$2:$B$10)</f>
        <v>FMr</v>
      </c>
      <c r="H2802">
        <v>7</v>
      </c>
      <c r="I2802" s="7">
        <v>723.9</v>
      </c>
      <c r="K2802" s="7">
        <v>494</v>
      </c>
      <c r="L2802" s="7">
        <v>451.2</v>
      </c>
      <c r="M2802" s="7">
        <v>296.8</v>
      </c>
      <c r="N2802" s="7">
        <v>250.1</v>
      </c>
      <c r="O2802" s="7">
        <v>169.5</v>
      </c>
      <c r="Q2802" s="7">
        <v>335.8</v>
      </c>
      <c r="R2802" s="7">
        <v>251.3</v>
      </c>
    </row>
    <row r="2803" spans="1:19" x14ac:dyDescent="0.2">
      <c r="A2803">
        <v>2802</v>
      </c>
      <c r="B2803" s="1">
        <v>40795</v>
      </c>
      <c r="C2803" t="s">
        <v>28</v>
      </c>
      <c r="D2803" s="7">
        <v>57</v>
      </c>
      <c r="E2803" s="7">
        <v>9</v>
      </c>
      <c r="F2803" s="7">
        <f t="shared" si="44"/>
        <v>6</v>
      </c>
      <c r="G2803" s="7" t="str">
        <f>LOOKUP(H2803,[1]startdates!$A$2:$A$10,[1]startdates!$B$2:$B$10)</f>
        <v>FMr</v>
      </c>
      <c r="H2803">
        <v>7</v>
      </c>
      <c r="I2803" s="7">
        <v>667.2</v>
      </c>
      <c r="K2803" s="7">
        <v>541.6</v>
      </c>
      <c r="L2803" s="7">
        <v>484.9</v>
      </c>
      <c r="M2803" s="7">
        <v>389.4</v>
      </c>
      <c r="N2803" s="7">
        <v>201.1</v>
      </c>
      <c r="O2803" s="7">
        <v>154.80000000000001</v>
      </c>
      <c r="Q2803" s="7">
        <v>371.5</v>
      </c>
    </row>
    <row r="2804" spans="1:19" x14ac:dyDescent="0.2">
      <c r="A2804">
        <v>2803</v>
      </c>
      <c r="B2804" s="1">
        <v>40795</v>
      </c>
      <c r="C2804" t="s">
        <v>28</v>
      </c>
      <c r="D2804" s="7">
        <v>57</v>
      </c>
      <c r="E2804" s="7">
        <v>9</v>
      </c>
      <c r="F2804" s="7">
        <f t="shared" si="44"/>
        <v>6</v>
      </c>
      <c r="G2804" s="7" t="str">
        <f>LOOKUP(H2804,[1]startdates!$A$2:$A$10,[1]startdates!$B$2:$B$10)</f>
        <v>FMr</v>
      </c>
      <c r="H2804">
        <v>7</v>
      </c>
      <c r="I2804" s="7">
        <v>656.1</v>
      </c>
      <c r="K2804" s="7">
        <v>525.29999999999995</v>
      </c>
      <c r="M2804" s="7">
        <v>293.2</v>
      </c>
      <c r="N2804" s="7">
        <v>244</v>
      </c>
      <c r="O2804" s="7">
        <v>147.5</v>
      </c>
      <c r="Q2804" s="7">
        <v>324.7</v>
      </c>
    </row>
    <row r="2805" spans="1:19" x14ac:dyDescent="0.2">
      <c r="A2805">
        <v>2804</v>
      </c>
      <c r="B2805" s="1">
        <v>40795</v>
      </c>
      <c r="C2805" t="s">
        <v>28</v>
      </c>
      <c r="D2805" s="7">
        <v>57</v>
      </c>
      <c r="E2805" s="7">
        <v>9</v>
      </c>
      <c r="F2805" s="7">
        <f t="shared" si="44"/>
        <v>6</v>
      </c>
      <c r="G2805" s="7" t="str">
        <f>LOOKUP(H2805,[1]startdates!$A$2:$A$10,[1]startdates!$B$2:$B$10)</f>
        <v>FMr</v>
      </c>
      <c r="H2805">
        <v>7</v>
      </c>
      <c r="I2805" s="7">
        <v>627</v>
      </c>
      <c r="K2805" s="7">
        <v>519.1</v>
      </c>
      <c r="M2805" s="7">
        <v>404.4</v>
      </c>
      <c r="N2805" s="7">
        <v>250.8</v>
      </c>
      <c r="O2805" s="7">
        <v>143</v>
      </c>
      <c r="Q2805" s="7">
        <v>377.5</v>
      </c>
    </row>
    <row r="2806" spans="1:19" x14ac:dyDescent="0.2">
      <c r="A2806">
        <v>2805</v>
      </c>
      <c r="B2806" s="1">
        <v>40795</v>
      </c>
      <c r="C2806" t="s">
        <v>28</v>
      </c>
      <c r="D2806" s="7">
        <v>57</v>
      </c>
      <c r="E2806" s="7">
        <v>9</v>
      </c>
      <c r="F2806" s="7">
        <f t="shared" si="44"/>
        <v>6</v>
      </c>
      <c r="G2806" s="7" t="str">
        <f>LOOKUP(H2806,[1]startdates!$A$2:$A$10,[1]startdates!$B$2:$B$10)</f>
        <v>FMr</v>
      </c>
      <c r="H2806">
        <v>7</v>
      </c>
      <c r="M2806" s="7">
        <v>307.5</v>
      </c>
      <c r="N2806" s="7">
        <v>280.7</v>
      </c>
      <c r="O2806" s="7">
        <v>151.80000000000001</v>
      </c>
      <c r="Q2806" s="7">
        <v>340.7</v>
      </c>
    </row>
    <row r="2807" spans="1:19" x14ac:dyDescent="0.2">
      <c r="A2807">
        <v>2806</v>
      </c>
      <c r="B2807" s="1">
        <v>40795</v>
      </c>
      <c r="C2807" t="s">
        <v>28</v>
      </c>
      <c r="D2807" s="7">
        <v>57</v>
      </c>
      <c r="E2807" s="7">
        <v>9</v>
      </c>
      <c r="F2807" s="7">
        <f t="shared" si="44"/>
        <v>6</v>
      </c>
      <c r="G2807" s="7" t="str">
        <f>LOOKUP(H2807,[1]startdates!$A$2:$A$10,[1]startdates!$B$2:$B$10)</f>
        <v>FMr</v>
      </c>
      <c r="H2807">
        <v>7</v>
      </c>
      <c r="M2807" s="7">
        <v>302.3</v>
      </c>
      <c r="N2807" s="7">
        <v>248.4</v>
      </c>
      <c r="O2807" s="7">
        <v>153.80000000000001</v>
      </c>
      <c r="Q2807" s="7">
        <v>354.7</v>
      </c>
    </row>
    <row r="2808" spans="1:19" x14ac:dyDescent="0.2">
      <c r="A2808">
        <v>2807</v>
      </c>
      <c r="B2808" s="1">
        <v>40795</v>
      </c>
      <c r="C2808" t="s">
        <v>28</v>
      </c>
      <c r="D2808" s="7">
        <v>57</v>
      </c>
      <c r="E2808" s="7">
        <v>9</v>
      </c>
      <c r="F2808" s="7">
        <f t="shared" si="44"/>
        <v>6</v>
      </c>
      <c r="G2808" s="7" t="str">
        <f>LOOKUP(H2808,[1]startdates!$A$2:$A$10,[1]startdates!$B$2:$B$10)</f>
        <v>FMr</v>
      </c>
      <c r="H2808">
        <v>7</v>
      </c>
      <c r="M2808" s="7">
        <v>320.8</v>
      </c>
      <c r="N2808" s="7">
        <v>258.60000000000002</v>
      </c>
      <c r="O2808" s="7">
        <v>176.9</v>
      </c>
    </row>
    <row r="2809" spans="1:19" x14ac:dyDescent="0.2">
      <c r="A2809">
        <v>2808</v>
      </c>
      <c r="B2809" s="1">
        <v>40795</v>
      </c>
      <c r="C2809" t="s">
        <v>28</v>
      </c>
      <c r="D2809" s="7">
        <v>57</v>
      </c>
      <c r="E2809" s="7">
        <v>9</v>
      </c>
      <c r="F2809" s="7">
        <f t="shared" si="44"/>
        <v>6</v>
      </c>
      <c r="G2809" s="7" t="str">
        <f>LOOKUP(H2809,[1]startdates!$A$2:$A$10,[1]startdates!$B$2:$B$10)</f>
        <v>FMr</v>
      </c>
      <c r="H2809">
        <v>7</v>
      </c>
      <c r="M2809" s="7">
        <v>365.6</v>
      </c>
      <c r="N2809" s="7">
        <v>247.4</v>
      </c>
      <c r="O2809" s="7">
        <v>163.5</v>
      </c>
    </row>
    <row r="2810" spans="1:19" x14ac:dyDescent="0.2">
      <c r="A2810">
        <v>2809</v>
      </c>
      <c r="B2810" s="1">
        <v>40795</v>
      </c>
      <c r="C2810" t="s">
        <v>28</v>
      </c>
      <c r="D2810" s="7">
        <v>57</v>
      </c>
      <c r="E2810" s="7">
        <v>9</v>
      </c>
      <c r="F2810" s="7">
        <f t="shared" si="44"/>
        <v>6</v>
      </c>
      <c r="G2810" s="7" t="str">
        <f>LOOKUP(H2810,[1]startdates!$A$2:$A$10,[1]startdates!$B$2:$B$10)</f>
        <v>FMr</v>
      </c>
      <c r="H2810">
        <v>7</v>
      </c>
      <c r="M2810" s="7">
        <v>373.9</v>
      </c>
      <c r="N2810" s="7">
        <v>216.6</v>
      </c>
      <c r="O2810" s="7">
        <v>157.4</v>
      </c>
    </row>
    <row r="2811" spans="1:19" x14ac:dyDescent="0.2">
      <c r="A2811">
        <v>2810</v>
      </c>
      <c r="B2811" s="1">
        <v>40795</v>
      </c>
      <c r="C2811" t="s">
        <v>28</v>
      </c>
      <c r="D2811" s="7">
        <v>57</v>
      </c>
      <c r="E2811" s="7">
        <v>9</v>
      </c>
      <c r="F2811" s="7">
        <f t="shared" si="44"/>
        <v>6</v>
      </c>
      <c r="G2811" s="7" t="str">
        <f>LOOKUP(H2811,[1]startdates!$A$2:$A$10,[1]startdates!$B$2:$B$10)</f>
        <v>FMr</v>
      </c>
      <c r="H2811">
        <v>7</v>
      </c>
      <c r="N2811" s="7">
        <v>255.3</v>
      </c>
    </row>
    <row r="2812" spans="1:19" x14ac:dyDescent="0.2">
      <c r="A2812">
        <v>2811</v>
      </c>
      <c r="B2812" s="1">
        <v>40795</v>
      </c>
      <c r="C2812" t="s">
        <v>28</v>
      </c>
      <c r="D2812" s="7">
        <v>57</v>
      </c>
      <c r="E2812" s="7">
        <v>9</v>
      </c>
      <c r="F2812" s="7">
        <f t="shared" si="44"/>
        <v>6</v>
      </c>
      <c r="G2812" s="7" t="str">
        <f>LOOKUP(H2812,[1]startdates!$A$2:$A$10,[1]startdates!$B$2:$B$10)</f>
        <v>C</v>
      </c>
      <c r="H2812">
        <v>8</v>
      </c>
      <c r="I2812" s="7">
        <v>673</v>
      </c>
      <c r="J2812" s="7">
        <v>602</v>
      </c>
      <c r="K2812" s="7">
        <v>614</v>
      </c>
      <c r="L2812" s="7">
        <v>460</v>
      </c>
      <c r="M2812" s="7">
        <v>333</v>
      </c>
      <c r="N2812" s="7">
        <v>248</v>
      </c>
      <c r="O2812" s="7">
        <v>168</v>
      </c>
      <c r="S2812" s="7">
        <v>250</v>
      </c>
    </row>
    <row r="2813" spans="1:19" x14ac:dyDescent="0.2">
      <c r="A2813">
        <v>2812</v>
      </c>
      <c r="B2813" s="1">
        <v>40795</v>
      </c>
      <c r="C2813" t="s">
        <v>28</v>
      </c>
      <c r="D2813" s="7">
        <v>57</v>
      </c>
      <c r="E2813" s="7">
        <v>9</v>
      </c>
      <c r="F2813" s="7">
        <f t="shared" si="44"/>
        <v>6</v>
      </c>
      <c r="G2813" s="7" t="str">
        <f>LOOKUP(H2813,[1]startdates!$A$2:$A$10,[1]startdates!$B$2:$B$10)</f>
        <v>C</v>
      </c>
      <c r="H2813">
        <v>8</v>
      </c>
      <c r="I2813" s="7">
        <v>749</v>
      </c>
      <c r="J2813" s="7">
        <v>564</v>
      </c>
      <c r="K2813" s="7">
        <v>600</v>
      </c>
      <c r="L2813" s="7">
        <v>414</v>
      </c>
      <c r="M2813" s="7">
        <v>305</v>
      </c>
      <c r="N2813" s="7">
        <v>222</v>
      </c>
      <c r="O2813" s="7">
        <v>170</v>
      </c>
      <c r="S2813" s="7">
        <v>306</v>
      </c>
    </row>
    <row r="2814" spans="1:19" x14ac:dyDescent="0.2">
      <c r="A2814">
        <v>2813</v>
      </c>
      <c r="B2814" s="1">
        <v>40795</v>
      </c>
      <c r="C2814" t="s">
        <v>28</v>
      </c>
      <c r="D2814" s="7">
        <v>57</v>
      </c>
      <c r="E2814" s="7">
        <v>9</v>
      </c>
      <c r="F2814" s="7">
        <f t="shared" si="44"/>
        <v>6</v>
      </c>
      <c r="G2814" s="7" t="str">
        <f>LOOKUP(H2814,[1]startdates!$A$2:$A$10,[1]startdates!$B$2:$B$10)</f>
        <v>C</v>
      </c>
      <c r="H2814">
        <v>8</v>
      </c>
      <c r="I2814" s="7">
        <v>824</v>
      </c>
      <c r="J2814" s="7">
        <v>630</v>
      </c>
      <c r="K2814" s="7">
        <v>710</v>
      </c>
      <c r="M2814" s="7">
        <v>386</v>
      </c>
      <c r="N2814" s="7">
        <v>216</v>
      </c>
      <c r="O2814" s="7">
        <v>184</v>
      </c>
    </row>
    <row r="2815" spans="1:19" x14ac:dyDescent="0.2">
      <c r="A2815">
        <v>2814</v>
      </c>
      <c r="B2815" s="1">
        <v>40795</v>
      </c>
      <c r="C2815" t="s">
        <v>28</v>
      </c>
      <c r="D2815" s="7">
        <v>57</v>
      </c>
      <c r="E2815" s="7">
        <v>9</v>
      </c>
      <c r="F2815" s="7">
        <f t="shared" si="44"/>
        <v>6</v>
      </c>
      <c r="G2815" s="7" t="str">
        <f>LOOKUP(H2815,[1]startdates!$A$2:$A$10,[1]startdates!$B$2:$B$10)</f>
        <v>C</v>
      </c>
      <c r="H2815">
        <v>8</v>
      </c>
      <c r="I2815" s="7">
        <v>643</v>
      </c>
      <c r="M2815" s="7">
        <v>300</v>
      </c>
      <c r="N2815" s="7">
        <v>255</v>
      </c>
      <c r="O2815" s="7">
        <v>187</v>
      </c>
    </row>
    <row r="2816" spans="1:19" x14ac:dyDescent="0.2">
      <c r="A2816">
        <v>2815</v>
      </c>
      <c r="B2816" s="1">
        <v>40795</v>
      </c>
      <c r="C2816" t="s">
        <v>28</v>
      </c>
      <c r="D2816" s="7">
        <v>57</v>
      </c>
      <c r="E2816" s="7">
        <v>9</v>
      </c>
      <c r="F2816" s="7">
        <f t="shared" si="44"/>
        <v>6</v>
      </c>
      <c r="G2816" s="7" t="str">
        <f>LOOKUP(H2816,[1]startdates!$A$2:$A$10,[1]startdates!$B$2:$B$10)</f>
        <v>C</v>
      </c>
      <c r="H2816">
        <v>8</v>
      </c>
      <c r="I2816" s="7">
        <v>577</v>
      </c>
      <c r="M2816" s="7">
        <v>352</v>
      </c>
      <c r="N2816" s="7">
        <v>229</v>
      </c>
      <c r="O2816" s="7">
        <v>145</v>
      </c>
    </row>
    <row r="2817" spans="1:21" x14ac:dyDescent="0.2">
      <c r="A2817">
        <v>2816</v>
      </c>
      <c r="B2817" s="1">
        <v>40795</v>
      </c>
      <c r="C2817" t="s">
        <v>28</v>
      </c>
      <c r="D2817" s="7">
        <v>57</v>
      </c>
      <c r="E2817" s="7">
        <v>9</v>
      </c>
      <c r="F2817" s="7">
        <f t="shared" si="44"/>
        <v>6</v>
      </c>
      <c r="G2817" s="7" t="str">
        <f>LOOKUP(H2817,[1]startdates!$A$2:$A$10,[1]startdates!$B$2:$B$10)</f>
        <v>C</v>
      </c>
      <c r="H2817">
        <v>8</v>
      </c>
      <c r="M2817" s="7">
        <v>358</v>
      </c>
      <c r="N2817" s="7">
        <v>245</v>
      </c>
      <c r="O2817" s="7">
        <v>181</v>
      </c>
    </row>
    <row r="2818" spans="1:21" x14ac:dyDescent="0.2">
      <c r="A2818">
        <v>2817</v>
      </c>
      <c r="B2818" s="1">
        <v>40795</v>
      </c>
      <c r="C2818" t="s">
        <v>28</v>
      </c>
      <c r="D2818" s="7">
        <v>57</v>
      </c>
      <c r="E2818" s="7">
        <v>9</v>
      </c>
      <c r="F2818" s="7">
        <f t="shared" si="44"/>
        <v>6</v>
      </c>
      <c r="G2818" s="7" t="str">
        <f>LOOKUP(H2818,[1]startdates!$A$2:$A$10,[1]startdates!$B$2:$B$10)</f>
        <v>C</v>
      </c>
      <c r="H2818">
        <v>8</v>
      </c>
      <c r="M2818" s="7">
        <v>319</v>
      </c>
      <c r="N2818" s="7">
        <v>227</v>
      </c>
      <c r="O2818" s="7">
        <v>180</v>
      </c>
    </row>
    <row r="2819" spans="1:21" x14ac:dyDescent="0.2">
      <c r="A2819">
        <v>2818</v>
      </c>
      <c r="B2819" s="1">
        <v>40795</v>
      </c>
      <c r="C2819" t="s">
        <v>28</v>
      </c>
      <c r="D2819" s="7">
        <v>57</v>
      </c>
      <c r="E2819" s="7">
        <v>9</v>
      </c>
      <c r="F2819" s="7">
        <f t="shared" si="44"/>
        <v>6</v>
      </c>
      <c r="G2819" s="7" t="str">
        <f>LOOKUP(H2819,[1]startdates!$A$2:$A$10,[1]startdates!$B$2:$B$10)</f>
        <v>C</v>
      </c>
      <c r="H2819">
        <v>8</v>
      </c>
      <c r="M2819" s="7">
        <v>329</v>
      </c>
      <c r="N2819" s="7">
        <v>223</v>
      </c>
      <c r="O2819" s="7">
        <v>166</v>
      </c>
    </row>
    <row r="2820" spans="1:21" x14ac:dyDescent="0.2">
      <c r="A2820">
        <v>2819</v>
      </c>
      <c r="B2820" s="1">
        <v>40795</v>
      </c>
      <c r="C2820" t="s">
        <v>28</v>
      </c>
      <c r="D2820" s="7">
        <v>57</v>
      </c>
      <c r="E2820" s="7">
        <v>9</v>
      </c>
      <c r="F2820" s="7">
        <f t="shared" si="44"/>
        <v>6</v>
      </c>
      <c r="G2820" s="7" t="str">
        <f>LOOKUP(H2820,[1]startdates!$A$2:$A$10,[1]startdates!$B$2:$B$10)</f>
        <v>C</v>
      </c>
      <c r="H2820">
        <v>8</v>
      </c>
      <c r="M2820" s="7">
        <v>329</v>
      </c>
      <c r="N2820" s="7">
        <v>246</v>
      </c>
      <c r="O2820" s="7">
        <v>197</v>
      </c>
    </row>
    <row r="2821" spans="1:21" x14ac:dyDescent="0.2">
      <c r="A2821">
        <v>2820</v>
      </c>
      <c r="B2821" s="1">
        <v>40795</v>
      </c>
      <c r="C2821" t="s">
        <v>28</v>
      </c>
      <c r="D2821" s="7">
        <v>57</v>
      </c>
      <c r="E2821" s="7">
        <v>9</v>
      </c>
      <c r="F2821" s="7">
        <f t="shared" si="44"/>
        <v>6</v>
      </c>
      <c r="G2821" s="7" t="str">
        <f>LOOKUP(H2821,[1]startdates!$A$2:$A$10,[1]startdates!$B$2:$B$10)</f>
        <v>C</v>
      </c>
      <c r="H2821">
        <v>8</v>
      </c>
      <c r="M2821" s="7">
        <v>321</v>
      </c>
    </row>
    <row r="2822" spans="1:21" x14ac:dyDescent="0.2">
      <c r="A2822">
        <v>2821</v>
      </c>
      <c r="B2822" s="1">
        <v>40795</v>
      </c>
      <c r="C2822" t="s">
        <v>24</v>
      </c>
      <c r="D2822" s="7">
        <v>57</v>
      </c>
      <c r="E2822" s="7">
        <v>9</v>
      </c>
      <c r="F2822" s="7">
        <f t="shared" si="44"/>
        <v>6</v>
      </c>
      <c r="G2822" s="7" t="str">
        <f>LOOKUP(H2822,[1]startdates!$A$2:$A$10,[1]startdates!$B$2:$B$10)</f>
        <v>FMr</v>
      </c>
      <c r="H2822">
        <v>9</v>
      </c>
      <c r="I2822" s="7">
        <v>500</v>
      </c>
      <c r="J2822" s="7">
        <v>549.79999999999995</v>
      </c>
      <c r="K2822" s="7">
        <v>632.6</v>
      </c>
      <c r="L2822" s="7">
        <v>458</v>
      </c>
      <c r="M2822" s="7">
        <v>371.5</v>
      </c>
      <c r="N2822" s="7">
        <v>231.2</v>
      </c>
      <c r="O2822" s="7">
        <v>173.8</v>
      </c>
      <c r="P2822" s="7">
        <v>503.8</v>
      </c>
      <c r="Q2822" s="7">
        <v>342.6</v>
      </c>
      <c r="R2822" s="7">
        <v>297.89999999999998</v>
      </c>
      <c r="S2822" s="7">
        <v>284.2</v>
      </c>
    </row>
    <row r="2823" spans="1:21" x14ac:dyDescent="0.2">
      <c r="A2823">
        <v>2822</v>
      </c>
      <c r="B2823" s="1">
        <v>40795</v>
      </c>
      <c r="C2823" t="s">
        <v>24</v>
      </c>
      <c r="D2823" s="7">
        <v>57</v>
      </c>
      <c r="E2823" s="7">
        <v>9</v>
      </c>
      <c r="F2823" s="7">
        <f t="shared" si="44"/>
        <v>6</v>
      </c>
      <c r="G2823" s="7" t="str">
        <f>LOOKUP(H2823,[1]startdates!$A$2:$A$10,[1]startdates!$B$2:$B$10)</f>
        <v>FMr</v>
      </c>
      <c r="H2823">
        <v>9</v>
      </c>
      <c r="I2823" s="7">
        <v>674.5</v>
      </c>
      <c r="K2823" s="7">
        <v>469</v>
      </c>
      <c r="L2823" s="7">
        <v>462.2</v>
      </c>
      <c r="M2823" s="7">
        <v>370.6</v>
      </c>
      <c r="N2823" s="7">
        <v>187.7</v>
      </c>
      <c r="O2823" s="7">
        <v>177.3</v>
      </c>
      <c r="P2823" s="7">
        <v>462.4</v>
      </c>
      <c r="Q2823" s="7">
        <v>344.7</v>
      </c>
      <c r="S2823" s="7">
        <v>284.5</v>
      </c>
    </row>
    <row r="2824" spans="1:21" x14ac:dyDescent="0.2">
      <c r="A2824">
        <v>2823</v>
      </c>
      <c r="B2824" s="1">
        <v>40795</v>
      </c>
      <c r="C2824" t="s">
        <v>24</v>
      </c>
      <c r="D2824" s="7">
        <v>57</v>
      </c>
      <c r="E2824" s="7">
        <v>9</v>
      </c>
      <c r="F2824" s="7">
        <f t="shared" si="44"/>
        <v>6</v>
      </c>
      <c r="G2824" s="7" t="str">
        <f>LOOKUP(H2824,[1]startdates!$A$2:$A$10,[1]startdates!$B$2:$B$10)</f>
        <v>FMr</v>
      </c>
      <c r="H2824">
        <v>9</v>
      </c>
      <c r="I2824" s="7">
        <v>636.20000000000005</v>
      </c>
      <c r="K2824" s="7">
        <v>505.3</v>
      </c>
      <c r="L2824" s="7">
        <v>484</v>
      </c>
      <c r="M2824" s="7">
        <v>335.8</v>
      </c>
      <c r="N2824" s="7">
        <v>270</v>
      </c>
      <c r="O2824" s="7">
        <v>207.4</v>
      </c>
      <c r="Q2824" s="7">
        <v>357.9</v>
      </c>
    </row>
    <row r="2825" spans="1:21" x14ac:dyDescent="0.2">
      <c r="A2825">
        <v>2824</v>
      </c>
      <c r="B2825" s="1">
        <v>40795</v>
      </c>
      <c r="C2825" t="s">
        <v>24</v>
      </c>
      <c r="D2825" s="7">
        <v>57</v>
      </c>
      <c r="E2825" s="7">
        <v>9</v>
      </c>
      <c r="F2825" s="7">
        <f t="shared" si="44"/>
        <v>6</v>
      </c>
      <c r="G2825" s="7" t="str">
        <f>LOOKUP(H2825,[1]startdates!$A$2:$A$10,[1]startdates!$B$2:$B$10)</f>
        <v>FMr</v>
      </c>
      <c r="H2825">
        <v>9</v>
      </c>
      <c r="I2825" s="7">
        <v>582.5</v>
      </c>
      <c r="K2825" s="7">
        <v>502.6</v>
      </c>
      <c r="L2825" s="7">
        <v>479</v>
      </c>
      <c r="M2825" s="7">
        <v>339.4</v>
      </c>
      <c r="N2825" s="7">
        <v>282.89999999999998</v>
      </c>
      <c r="O2825" s="7">
        <v>196.1</v>
      </c>
      <c r="Q2825" s="7">
        <v>360.9</v>
      </c>
    </row>
    <row r="2826" spans="1:21" x14ac:dyDescent="0.2">
      <c r="A2826">
        <v>2825</v>
      </c>
      <c r="B2826" s="1">
        <v>40795</v>
      </c>
      <c r="C2826" t="s">
        <v>24</v>
      </c>
      <c r="D2826" s="7">
        <v>57</v>
      </c>
      <c r="E2826" s="7">
        <v>9</v>
      </c>
      <c r="F2826" s="7">
        <f t="shared" si="44"/>
        <v>6</v>
      </c>
      <c r="G2826" s="7" t="str">
        <f>LOOKUP(H2826,[1]startdates!$A$2:$A$10,[1]startdates!$B$2:$B$10)</f>
        <v>FMr</v>
      </c>
      <c r="H2826">
        <v>9</v>
      </c>
      <c r="I2826" s="7">
        <v>666</v>
      </c>
      <c r="K2826" s="7">
        <v>556.6</v>
      </c>
      <c r="M2826" s="7">
        <v>352.6</v>
      </c>
      <c r="N2826" s="7">
        <v>276</v>
      </c>
      <c r="O2826" s="7">
        <v>192</v>
      </c>
      <c r="Q2826" s="7">
        <v>326.2</v>
      </c>
    </row>
    <row r="2827" spans="1:21" x14ac:dyDescent="0.2">
      <c r="A2827">
        <v>2826</v>
      </c>
      <c r="B2827" s="1">
        <v>40795</v>
      </c>
      <c r="C2827" t="s">
        <v>24</v>
      </c>
      <c r="D2827" s="7">
        <v>57</v>
      </c>
      <c r="E2827" s="7">
        <v>9</v>
      </c>
      <c r="F2827" s="7">
        <f t="shared" si="44"/>
        <v>6</v>
      </c>
      <c r="G2827" s="7" t="str">
        <f>LOOKUP(H2827,[1]startdates!$A$2:$A$10,[1]startdates!$B$2:$B$10)</f>
        <v>FMr</v>
      </c>
      <c r="H2827">
        <v>9</v>
      </c>
      <c r="I2827" s="7">
        <v>544.9</v>
      </c>
      <c r="M2827" s="7">
        <v>310.8</v>
      </c>
      <c r="N2827" s="7">
        <v>263.60000000000002</v>
      </c>
      <c r="O2827" s="7">
        <v>175</v>
      </c>
    </row>
    <row r="2828" spans="1:21" x14ac:dyDescent="0.2">
      <c r="A2828">
        <v>2827</v>
      </c>
      <c r="B2828" s="1">
        <v>40795</v>
      </c>
      <c r="C2828" t="s">
        <v>24</v>
      </c>
      <c r="D2828" s="7">
        <v>57</v>
      </c>
      <c r="E2828" s="7">
        <v>9</v>
      </c>
      <c r="F2828" s="7">
        <f t="shared" si="44"/>
        <v>6</v>
      </c>
      <c r="G2828" s="7" t="str">
        <f>LOOKUP(H2828,[1]startdates!$A$2:$A$10,[1]startdates!$B$2:$B$10)</f>
        <v>FMr</v>
      </c>
      <c r="H2828">
        <v>9</v>
      </c>
      <c r="I2828" s="7">
        <v>671.6</v>
      </c>
      <c r="M2828" s="7">
        <v>300.8</v>
      </c>
      <c r="N2828" s="7">
        <v>232.9</v>
      </c>
      <c r="O2828" s="7">
        <v>170</v>
      </c>
    </row>
    <row r="2829" spans="1:21" x14ac:dyDescent="0.2">
      <c r="A2829">
        <v>2828</v>
      </c>
      <c r="B2829" s="1">
        <v>40795</v>
      </c>
      <c r="C2829" t="s">
        <v>24</v>
      </c>
      <c r="D2829" s="7">
        <v>57</v>
      </c>
      <c r="E2829" s="7">
        <v>9</v>
      </c>
      <c r="F2829" s="7">
        <f t="shared" si="44"/>
        <v>6</v>
      </c>
      <c r="G2829" s="7" t="str">
        <f>LOOKUP(H2829,[1]startdates!$A$2:$A$10,[1]startdates!$B$2:$B$10)</f>
        <v>FMr</v>
      </c>
      <c r="H2829">
        <v>9</v>
      </c>
      <c r="M2829" s="7">
        <v>375.5</v>
      </c>
      <c r="N2829" s="7">
        <v>181.9</v>
      </c>
      <c r="O2829" s="7">
        <v>165.5</v>
      </c>
    </row>
    <row r="2830" spans="1:21" x14ac:dyDescent="0.2">
      <c r="A2830">
        <v>2829</v>
      </c>
      <c r="B2830" s="1">
        <v>40795</v>
      </c>
      <c r="C2830" t="s">
        <v>24</v>
      </c>
      <c r="D2830" s="7">
        <v>57</v>
      </c>
      <c r="E2830" s="7">
        <v>9</v>
      </c>
      <c r="F2830" s="7">
        <f t="shared" si="44"/>
        <v>6</v>
      </c>
      <c r="G2830" s="7" t="str">
        <f>LOOKUP(H2830,[1]startdates!$A$2:$A$10,[1]startdates!$B$2:$B$10)</f>
        <v>FMr</v>
      </c>
      <c r="H2830">
        <v>9</v>
      </c>
      <c r="M2830" s="7">
        <v>384</v>
      </c>
      <c r="N2830" s="7">
        <v>221.4</v>
      </c>
      <c r="O2830" s="7">
        <v>156</v>
      </c>
    </row>
    <row r="2831" spans="1:21" x14ac:dyDescent="0.2">
      <c r="A2831">
        <v>2830</v>
      </c>
      <c r="B2831" s="1">
        <v>40795</v>
      </c>
      <c r="C2831" t="s">
        <v>24</v>
      </c>
      <c r="D2831" s="7">
        <v>57</v>
      </c>
      <c r="E2831" s="7">
        <v>9</v>
      </c>
      <c r="F2831" s="7">
        <f t="shared" si="44"/>
        <v>6</v>
      </c>
      <c r="G2831" s="7" t="str">
        <f>LOOKUP(H2831,[1]startdates!$A$2:$A$10,[1]startdates!$B$2:$B$10)</f>
        <v>FMr</v>
      </c>
      <c r="H2831">
        <v>9</v>
      </c>
      <c r="M2831" s="7">
        <v>385.3</v>
      </c>
      <c r="N2831" s="7">
        <v>294.60000000000002</v>
      </c>
      <c r="O2831" s="7">
        <v>168.1</v>
      </c>
    </row>
    <row r="2832" spans="1:21" x14ac:dyDescent="0.2">
      <c r="A2832">
        <v>2831</v>
      </c>
      <c r="B2832" s="1">
        <v>40799</v>
      </c>
      <c r="C2832" t="s">
        <v>28</v>
      </c>
      <c r="D2832" s="7">
        <v>61</v>
      </c>
      <c r="E2832" s="7">
        <v>10</v>
      </c>
      <c r="F2832" s="7">
        <f t="shared" si="44"/>
        <v>3</v>
      </c>
      <c r="G2832" s="7" t="str">
        <f>LOOKUP(H2832,[1]startdates!$A$2:$A$10,[1]startdates!$B$2:$B$10)</f>
        <v>SMr</v>
      </c>
      <c r="H2832">
        <v>1</v>
      </c>
      <c r="I2832" s="7">
        <v>777.2</v>
      </c>
      <c r="J2832" s="7">
        <v>558.20000000000005</v>
      </c>
      <c r="K2832" s="7">
        <v>624.1</v>
      </c>
      <c r="L2832" s="7">
        <v>448.9</v>
      </c>
      <c r="M2832" s="7">
        <v>339.4</v>
      </c>
      <c r="N2832" s="7">
        <v>257.7</v>
      </c>
      <c r="O2832" s="7">
        <v>158.1</v>
      </c>
      <c r="P2832" s="7">
        <v>488.1</v>
      </c>
      <c r="Q2832" s="7">
        <v>354.7</v>
      </c>
      <c r="S2832" s="7">
        <v>272.5</v>
      </c>
      <c r="U2832" s="7">
        <v>582.29999999999995</v>
      </c>
    </row>
    <row r="2833" spans="1:21" x14ac:dyDescent="0.2">
      <c r="A2833">
        <v>2832</v>
      </c>
      <c r="B2833" s="1">
        <v>40799</v>
      </c>
      <c r="C2833" t="s">
        <v>28</v>
      </c>
      <c r="D2833" s="7">
        <v>61</v>
      </c>
      <c r="E2833" s="7">
        <v>10</v>
      </c>
      <c r="F2833" s="7">
        <f t="shared" si="44"/>
        <v>3</v>
      </c>
      <c r="G2833" s="7" t="str">
        <f>LOOKUP(H2833,[1]startdates!$A$2:$A$10,[1]startdates!$B$2:$B$10)</f>
        <v>SMr</v>
      </c>
      <c r="H2833">
        <v>1</v>
      </c>
      <c r="I2833" s="7">
        <v>655</v>
      </c>
      <c r="J2833" s="7">
        <v>579.70000000000005</v>
      </c>
      <c r="K2833" s="7">
        <v>568.1</v>
      </c>
      <c r="L2833" s="7">
        <v>465.7</v>
      </c>
      <c r="M2833" s="7">
        <v>309.39999999999998</v>
      </c>
      <c r="N2833" s="7">
        <v>231.1</v>
      </c>
      <c r="O2833" s="7">
        <v>172.5</v>
      </c>
      <c r="P2833" s="7">
        <v>434.9</v>
      </c>
      <c r="Q2833" s="7">
        <v>330.7</v>
      </c>
      <c r="S2833" s="7">
        <v>286.8</v>
      </c>
      <c r="U2833" s="7">
        <v>524.29999999999995</v>
      </c>
    </row>
    <row r="2834" spans="1:21" x14ac:dyDescent="0.2">
      <c r="A2834">
        <v>2833</v>
      </c>
      <c r="B2834" s="1">
        <v>40799</v>
      </c>
      <c r="C2834" t="s">
        <v>28</v>
      </c>
      <c r="D2834" s="7">
        <v>61</v>
      </c>
      <c r="E2834" s="7">
        <v>10</v>
      </c>
      <c r="F2834" s="7">
        <f t="shared" si="44"/>
        <v>3</v>
      </c>
      <c r="G2834" s="7" t="str">
        <f>LOOKUP(H2834,[1]startdates!$A$2:$A$10,[1]startdates!$B$2:$B$10)</f>
        <v>SMr</v>
      </c>
      <c r="H2834">
        <v>1</v>
      </c>
      <c r="I2834" s="7">
        <v>596.79999999999995</v>
      </c>
      <c r="J2834" s="7">
        <v>506.7</v>
      </c>
      <c r="K2834" s="7">
        <v>505.3</v>
      </c>
      <c r="L2834" s="7">
        <v>403.1</v>
      </c>
      <c r="M2834" s="7">
        <v>334.7</v>
      </c>
      <c r="N2834" s="7">
        <v>207.4</v>
      </c>
      <c r="O2834" s="7">
        <v>176.7</v>
      </c>
      <c r="U2834" s="7">
        <v>428.5</v>
      </c>
    </row>
    <row r="2835" spans="1:21" x14ac:dyDescent="0.2">
      <c r="A2835">
        <v>2834</v>
      </c>
      <c r="B2835" s="1">
        <v>40799</v>
      </c>
      <c r="C2835" t="s">
        <v>28</v>
      </c>
      <c r="D2835" s="7">
        <v>61</v>
      </c>
      <c r="E2835" s="7">
        <v>10</v>
      </c>
      <c r="F2835" s="7">
        <f t="shared" si="44"/>
        <v>3</v>
      </c>
      <c r="G2835" s="7" t="str">
        <f>LOOKUP(H2835,[1]startdates!$A$2:$A$10,[1]startdates!$B$2:$B$10)</f>
        <v>SMr</v>
      </c>
      <c r="H2835">
        <v>1</v>
      </c>
      <c r="I2835" s="7">
        <v>659</v>
      </c>
      <c r="J2835" s="7">
        <v>542.6</v>
      </c>
      <c r="M2835" s="7">
        <v>363.8</v>
      </c>
      <c r="N2835" s="7">
        <v>243</v>
      </c>
      <c r="O2835" s="7">
        <v>172.5</v>
      </c>
      <c r="U2835" s="7">
        <v>604.9</v>
      </c>
    </row>
    <row r="2836" spans="1:21" x14ac:dyDescent="0.2">
      <c r="A2836">
        <v>2835</v>
      </c>
      <c r="B2836" s="1">
        <v>40799</v>
      </c>
      <c r="C2836" t="s">
        <v>28</v>
      </c>
      <c r="D2836" s="7">
        <v>61</v>
      </c>
      <c r="E2836" s="7">
        <v>10</v>
      </c>
      <c r="F2836" s="7">
        <f t="shared" si="44"/>
        <v>3</v>
      </c>
      <c r="G2836" s="7" t="str">
        <f>LOOKUP(H2836,[1]startdates!$A$2:$A$10,[1]startdates!$B$2:$B$10)</f>
        <v>SMr</v>
      </c>
      <c r="H2836">
        <v>1</v>
      </c>
      <c r="I2836" s="7">
        <v>583.5</v>
      </c>
      <c r="M2836" s="7">
        <v>353.5</v>
      </c>
      <c r="N2836" s="7">
        <v>281.39999999999998</v>
      </c>
      <c r="O2836" s="7">
        <v>171.9</v>
      </c>
    </row>
    <row r="2837" spans="1:21" x14ac:dyDescent="0.2">
      <c r="A2837">
        <v>2836</v>
      </c>
      <c r="B2837" s="1">
        <v>40799</v>
      </c>
      <c r="C2837" t="s">
        <v>28</v>
      </c>
      <c r="D2837" s="7">
        <v>61</v>
      </c>
      <c r="E2837" s="7">
        <v>10</v>
      </c>
      <c r="F2837" s="7">
        <f t="shared" si="44"/>
        <v>3</v>
      </c>
      <c r="G2837" s="7" t="str">
        <f>LOOKUP(H2837,[1]startdates!$A$2:$A$10,[1]startdates!$B$2:$B$10)</f>
        <v>SMr</v>
      </c>
      <c r="H2837">
        <v>1</v>
      </c>
      <c r="I2837" s="7">
        <v>579.1</v>
      </c>
      <c r="M2837" s="7">
        <v>316.3</v>
      </c>
      <c r="N2837" s="7">
        <v>243</v>
      </c>
      <c r="O2837" s="7">
        <v>179.8</v>
      </c>
    </row>
    <row r="2838" spans="1:21" x14ac:dyDescent="0.2">
      <c r="A2838">
        <v>2837</v>
      </c>
      <c r="B2838" s="1">
        <v>40799</v>
      </c>
      <c r="C2838" t="s">
        <v>28</v>
      </c>
      <c r="D2838" s="7">
        <v>61</v>
      </c>
      <c r="E2838" s="7">
        <v>10</v>
      </c>
      <c r="F2838" s="7">
        <f t="shared" si="44"/>
        <v>3</v>
      </c>
      <c r="G2838" s="7" t="str">
        <f>LOOKUP(H2838,[1]startdates!$A$2:$A$10,[1]startdates!$B$2:$B$10)</f>
        <v>SMr</v>
      </c>
      <c r="H2838">
        <v>1</v>
      </c>
      <c r="I2838" s="7">
        <v>727</v>
      </c>
      <c r="M2838" s="7">
        <v>290.10000000000002</v>
      </c>
      <c r="N2838" s="7">
        <v>245.8</v>
      </c>
      <c r="O2838" s="7">
        <v>163.5</v>
      </c>
    </row>
    <row r="2839" spans="1:21" x14ac:dyDescent="0.2">
      <c r="A2839">
        <v>2838</v>
      </c>
      <c r="B2839" s="1">
        <v>40799</v>
      </c>
      <c r="C2839" t="s">
        <v>28</v>
      </c>
      <c r="D2839" s="7">
        <v>61</v>
      </c>
      <c r="E2839" s="7">
        <v>10</v>
      </c>
      <c r="F2839" s="7">
        <f t="shared" si="44"/>
        <v>3</v>
      </c>
      <c r="G2839" s="7" t="str">
        <f>LOOKUP(H2839,[1]startdates!$A$2:$A$10,[1]startdates!$B$2:$B$10)</f>
        <v>SMr</v>
      </c>
      <c r="H2839">
        <v>1</v>
      </c>
      <c r="I2839" s="7">
        <v>643</v>
      </c>
      <c r="M2839" s="7">
        <v>366.8</v>
      </c>
      <c r="N2839" s="7">
        <v>253.4</v>
      </c>
      <c r="O2839" s="7">
        <v>158.1</v>
      </c>
    </row>
    <row r="2840" spans="1:21" x14ac:dyDescent="0.2">
      <c r="A2840">
        <v>2839</v>
      </c>
      <c r="B2840" s="1">
        <v>40799</v>
      </c>
      <c r="C2840" t="s">
        <v>28</v>
      </c>
      <c r="D2840" s="7">
        <v>61</v>
      </c>
      <c r="E2840" s="7">
        <v>10</v>
      </c>
      <c r="F2840" s="7">
        <f t="shared" si="44"/>
        <v>3</v>
      </c>
      <c r="G2840" s="7" t="str">
        <f>LOOKUP(H2840,[1]startdates!$A$2:$A$10,[1]startdates!$B$2:$B$10)</f>
        <v>SMr</v>
      </c>
      <c r="H2840">
        <v>1</v>
      </c>
      <c r="M2840" s="7">
        <v>368.8</v>
      </c>
      <c r="N2840" s="7">
        <v>230</v>
      </c>
      <c r="O2840" s="7">
        <v>177.9</v>
      </c>
    </row>
    <row r="2841" spans="1:21" x14ac:dyDescent="0.2">
      <c r="A2841">
        <v>2840</v>
      </c>
      <c r="B2841" s="1">
        <v>40799</v>
      </c>
      <c r="C2841" t="s">
        <v>28</v>
      </c>
      <c r="D2841" s="7">
        <v>61</v>
      </c>
      <c r="E2841" s="7">
        <v>10</v>
      </c>
      <c r="F2841" s="7">
        <f t="shared" si="44"/>
        <v>3</v>
      </c>
      <c r="G2841" s="7" t="str">
        <f>LOOKUP(H2841,[1]startdates!$A$2:$A$10,[1]startdates!$B$2:$B$10)</f>
        <v>SMr</v>
      </c>
      <c r="H2841">
        <v>1</v>
      </c>
      <c r="M2841" s="7">
        <v>317.7</v>
      </c>
      <c r="N2841" s="7">
        <v>243.8</v>
      </c>
      <c r="O2841" s="7">
        <v>160.80000000000001</v>
      </c>
    </row>
    <row r="2842" spans="1:21" x14ac:dyDescent="0.2">
      <c r="A2842">
        <v>2841</v>
      </c>
      <c r="B2842" s="1">
        <v>40799</v>
      </c>
      <c r="C2842" t="s">
        <v>28</v>
      </c>
      <c r="D2842" s="7">
        <v>61</v>
      </c>
      <c r="E2842" s="7">
        <v>10</v>
      </c>
      <c r="F2842" s="7">
        <f t="shared" si="44"/>
        <v>3</v>
      </c>
      <c r="G2842" s="7" t="str">
        <f>LOOKUP(H2842,[1]startdates!$A$2:$A$10,[1]startdates!$B$2:$B$10)</f>
        <v>SMr</v>
      </c>
      <c r="H2842">
        <v>1</v>
      </c>
      <c r="M2842" s="7">
        <v>355.9</v>
      </c>
      <c r="O2842" s="7">
        <v>157.6</v>
      </c>
    </row>
    <row r="2843" spans="1:21" x14ac:dyDescent="0.2">
      <c r="A2843">
        <v>2842</v>
      </c>
      <c r="B2843" s="1">
        <v>40799</v>
      </c>
      <c r="C2843" t="s">
        <v>28</v>
      </c>
      <c r="D2843" s="7">
        <v>61</v>
      </c>
      <c r="E2843" s="7">
        <v>10</v>
      </c>
      <c r="F2843" s="7">
        <f t="shared" si="44"/>
        <v>3</v>
      </c>
      <c r="G2843" s="7" t="str">
        <f>LOOKUP(H2843,[1]startdates!$A$2:$A$10,[1]startdates!$B$2:$B$10)</f>
        <v>SMr</v>
      </c>
      <c r="H2843">
        <v>1</v>
      </c>
      <c r="M2843" s="7">
        <v>373.3</v>
      </c>
    </row>
    <row r="2844" spans="1:21" x14ac:dyDescent="0.2">
      <c r="A2844">
        <v>2843</v>
      </c>
      <c r="B2844" s="1">
        <v>40799</v>
      </c>
      <c r="C2844" t="s">
        <v>24</v>
      </c>
      <c r="D2844" s="7">
        <v>61</v>
      </c>
      <c r="E2844" s="7">
        <v>10</v>
      </c>
      <c r="F2844" s="7">
        <f t="shared" si="44"/>
        <v>3</v>
      </c>
      <c r="G2844" s="7" t="str">
        <f>LOOKUP(H2844,[1]startdates!$A$2:$A$10,[1]startdates!$B$2:$B$10)</f>
        <v>SMr</v>
      </c>
      <c r="H2844">
        <v>2</v>
      </c>
      <c r="I2844" s="7">
        <v>626</v>
      </c>
      <c r="J2844" s="7">
        <v>557</v>
      </c>
      <c r="K2844" s="7">
        <v>514</v>
      </c>
      <c r="L2844" s="7">
        <v>408</v>
      </c>
      <c r="M2844" s="7">
        <v>316</v>
      </c>
      <c r="N2844" s="7">
        <v>242</v>
      </c>
      <c r="O2844" s="7">
        <v>183</v>
      </c>
      <c r="U2844" s="7">
        <v>463</v>
      </c>
    </row>
    <row r="2845" spans="1:21" x14ac:dyDescent="0.2">
      <c r="A2845">
        <v>2844</v>
      </c>
      <c r="B2845" s="1">
        <v>40799</v>
      </c>
      <c r="C2845" t="s">
        <v>24</v>
      </c>
      <c r="D2845" s="7">
        <v>61</v>
      </c>
      <c r="E2845" s="7">
        <v>10</v>
      </c>
      <c r="F2845" s="7">
        <f t="shared" si="44"/>
        <v>3</v>
      </c>
      <c r="G2845" s="7" t="str">
        <f>LOOKUP(H2845,[1]startdates!$A$2:$A$10,[1]startdates!$B$2:$B$10)</f>
        <v>SMr</v>
      </c>
      <c r="H2845">
        <v>2</v>
      </c>
      <c r="I2845" s="7">
        <v>510</v>
      </c>
      <c r="J2845" s="7">
        <v>536</v>
      </c>
      <c r="K2845" s="7">
        <v>560</v>
      </c>
      <c r="L2845" s="7">
        <v>413</v>
      </c>
      <c r="M2845" s="7">
        <v>338</v>
      </c>
      <c r="N2845" s="7">
        <v>204</v>
      </c>
      <c r="O2845" s="7">
        <v>201</v>
      </c>
      <c r="U2845" s="7">
        <v>479</v>
      </c>
    </row>
    <row r="2846" spans="1:21" x14ac:dyDescent="0.2">
      <c r="A2846">
        <v>2845</v>
      </c>
      <c r="B2846" s="1">
        <v>40799</v>
      </c>
      <c r="C2846" t="s">
        <v>24</v>
      </c>
      <c r="D2846" s="7">
        <v>61</v>
      </c>
      <c r="E2846" s="7">
        <v>10</v>
      </c>
      <c r="F2846" s="7">
        <f t="shared" si="44"/>
        <v>3</v>
      </c>
      <c r="G2846" s="7" t="str">
        <f>LOOKUP(H2846,[1]startdates!$A$2:$A$10,[1]startdates!$B$2:$B$10)</f>
        <v>SMr</v>
      </c>
      <c r="H2846">
        <v>2</v>
      </c>
      <c r="I2846" s="7">
        <v>673</v>
      </c>
      <c r="K2846" s="7">
        <v>649</v>
      </c>
      <c r="L2846" s="7">
        <v>441</v>
      </c>
      <c r="M2846" s="7">
        <v>281</v>
      </c>
      <c r="N2846" s="7">
        <v>195</v>
      </c>
      <c r="O2846" s="7">
        <v>135</v>
      </c>
      <c r="U2846" s="7">
        <v>495</v>
      </c>
    </row>
    <row r="2847" spans="1:21" x14ac:dyDescent="0.2">
      <c r="A2847">
        <v>2846</v>
      </c>
      <c r="B2847" s="1">
        <v>40799</v>
      </c>
      <c r="C2847" t="s">
        <v>24</v>
      </c>
      <c r="D2847" s="7">
        <v>61</v>
      </c>
      <c r="E2847" s="7">
        <v>10</v>
      </c>
      <c r="F2847" s="7">
        <f t="shared" si="44"/>
        <v>3</v>
      </c>
      <c r="G2847" s="7" t="str">
        <f>LOOKUP(H2847,[1]startdates!$A$2:$A$10,[1]startdates!$B$2:$B$10)</f>
        <v>SMr</v>
      </c>
      <c r="H2847">
        <v>2</v>
      </c>
      <c r="I2847" s="7">
        <v>695</v>
      </c>
      <c r="K2847" s="7">
        <v>573</v>
      </c>
      <c r="L2847" s="7">
        <v>402</v>
      </c>
      <c r="M2847" s="7">
        <v>339</v>
      </c>
      <c r="N2847" s="7">
        <v>212</v>
      </c>
      <c r="O2847" s="7">
        <v>176</v>
      </c>
      <c r="U2847" s="7">
        <v>611</v>
      </c>
    </row>
    <row r="2848" spans="1:21" x14ac:dyDescent="0.2">
      <c r="A2848">
        <v>2847</v>
      </c>
      <c r="B2848" s="1">
        <v>40799</v>
      </c>
      <c r="C2848" t="s">
        <v>24</v>
      </c>
      <c r="D2848" s="7">
        <v>61</v>
      </c>
      <c r="E2848" s="7">
        <v>10</v>
      </c>
      <c r="F2848" s="7">
        <f t="shared" si="44"/>
        <v>3</v>
      </c>
      <c r="G2848" s="7" t="str">
        <f>LOOKUP(H2848,[1]startdates!$A$2:$A$10,[1]startdates!$B$2:$B$10)</f>
        <v>SMr</v>
      </c>
      <c r="H2848">
        <v>2</v>
      </c>
      <c r="I2848" s="7">
        <v>630</v>
      </c>
      <c r="K2848" s="7">
        <v>443</v>
      </c>
      <c r="M2848" s="7">
        <v>323</v>
      </c>
      <c r="N2848" s="7">
        <v>197</v>
      </c>
      <c r="O2848" s="7">
        <v>159</v>
      </c>
      <c r="U2848" s="7">
        <v>609</v>
      </c>
    </row>
    <row r="2849" spans="1:19" x14ac:dyDescent="0.2">
      <c r="A2849">
        <v>2848</v>
      </c>
      <c r="B2849" s="1">
        <v>40799</v>
      </c>
      <c r="C2849" t="s">
        <v>24</v>
      </c>
      <c r="D2849" s="7">
        <v>61</v>
      </c>
      <c r="E2849" s="7">
        <v>10</v>
      </c>
      <c r="F2849" s="7">
        <f t="shared" si="44"/>
        <v>3</v>
      </c>
      <c r="G2849" s="7" t="str">
        <f>LOOKUP(H2849,[1]startdates!$A$2:$A$10,[1]startdates!$B$2:$B$10)</f>
        <v>SMr</v>
      </c>
      <c r="H2849">
        <v>2</v>
      </c>
      <c r="I2849" s="7">
        <v>569</v>
      </c>
      <c r="K2849" s="7">
        <v>601</v>
      </c>
      <c r="M2849" s="7">
        <v>296</v>
      </c>
      <c r="N2849" s="7">
        <v>170</v>
      </c>
      <c r="O2849" s="7">
        <v>167</v>
      </c>
    </row>
    <row r="2850" spans="1:19" x14ac:dyDescent="0.2">
      <c r="A2850">
        <v>2849</v>
      </c>
      <c r="B2850" s="1">
        <v>40799</v>
      </c>
      <c r="C2850" t="s">
        <v>24</v>
      </c>
      <c r="D2850" s="7">
        <v>61</v>
      </c>
      <c r="E2850" s="7">
        <v>10</v>
      </c>
      <c r="F2850" s="7">
        <f t="shared" si="44"/>
        <v>3</v>
      </c>
      <c r="G2850" s="7" t="str">
        <f>LOOKUP(H2850,[1]startdates!$A$2:$A$10,[1]startdates!$B$2:$B$10)</f>
        <v>SMr</v>
      </c>
      <c r="H2850">
        <v>2</v>
      </c>
      <c r="I2850" s="7">
        <v>612</v>
      </c>
      <c r="K2850" s="7">
        <v>526</v>
      </c>
      <c r="M2850" s="7">
        <v>387</v>
      </c>
      <c r="N2850" s="7">
        <v>211</v>
      </c>
      <c r="O2850" s="7">
        <v>201</v>
      </c>
    </row>
    <row r="2851" spans="1:19" x14ac:dyDescent="0.2">
      <c r="A2851">
        <v>2850</v>
      </c>
      <c r="B2851" s="1">
        <v>40799</v>
      </c>
      <c r="C2851" t="s">
        <v>24</v>
      </c>
      <c r="D2851" s="7">
        <v>61</v>
      </c>
      <c r="E2851" s="7">
        <v>10</v>
      </c>
      <c r="F2851" s="7">
        <f t="shared" si="44"/>
        <v>3</v>
      </c>
      <c r="G2851" s="7" t="str">
        <f>LOOKUP(H2851,[1]startdates!$A$2:$A$10,[1]startdates!$B$2:$B$10)</f>
        <v>SMr</v>
      </c>
      <c r="H2851">
        <v>2</v>
      </c>
      <c r="I2851" s="7">
        <v>640</v>
      </c>
      <c r="K2851" s="7">
        <v>560</v>
      </c>
      <c r="N2851" s="7">
        <v>296</v>
      </c>
      <c r="O2851" s="7">
        <v>134</v>
      </c>
    </row>
    <row r="2852" spans="1:19" x14ac:dyDescent="0.2">
      <c r="A2852">
        <v>2851</v>
      </c>
      <c r="B2852" s="1">
        <v>40799</v>
      </c>
      <c r="C2852" t="s">
        <v>24</v>
      </c>
      <c r="D2852" s="7">
        <v>61</v>
      </c>
      <c r="E2852" s="7">
        <v>10</v>
      </c>
      <c r="F2852" s="7">
        <f t="shared" si="44"/>
        <v>3</v>
      </c>
      <c r="G2852" s="7" t="str">
        <f>LOOKUP(H2852,[1]startdates!$A$2:$A$10,[1]startdates!$B$2:$B$10)</f>
        <v>SMr</v>
      </c>
      <c r="H2852">
        <v>2</v>
      </c>
      <c r="K2852" s="7">
        <v>475</v>
      </c>
      <c r="N2852" s="7">
        <v>244</v>
      </c>
      <c r="O2852" s="7">
        <v>153</v>
      </c>
    </row>
    <row r="2853" spans="1:19" x14ac:dyDescent="0.2">
      <c r="A2853">
        <v>2852</v>
      </c>
      <c r="B2853" s="1">
        <v>40799</v>
      </c>
      <c r="C2853" t="s">
        <v>24</v>
      </c>
      <c r="D2853" s="7">
        <v>61</v>
      </c>
      <c r="E2853" s="7">
        <v>10</v>
      </c>
      <c r="F2853" s="7">
        <f t="shared" si="44"/>
        <v>3</v>
      </c>
      <c r="G2853" s="7" t="str">
        <f>LOOKUP(H2853,[1]startdates!$A$2:$A$10,[1]startdates!$B$2:$B$10)</f>
        <v>SMr</v>
      </c>
      <c r="H2853">
        <v>2</v>
      </c>
      <c r="K2853" s="7">
        <v>565</v>
      </c>
    </row>
    <row r="2854" spans="1:19" x14ac:dyDescent="0.2">
      <c r="A2854">
        <v>2853</v>
      </c>
      <c r="B2854" s="1">
        <v>40799</v>
      </c>
      <c r="C2854" t="s">
        <v>24</v>
      </c>
      <c r="D2854" s="7">
        <v>61</v>
      </c>
      <c r="E2854" s="7">
        <v>10</v>
      </c>
      <c r="F2854" s="7">
        <f t="shared" si="44"/>
        <v>3</v>
      </c>
      <c r="G2854" s="7" t="str">
        <f>LOOKUP(H2854,[1]startdates!$A$2:$A$10,[1]startdates!$B$2:$B$10)</f>
        <v>SMr</v>
      </c>
      <c r="H2854">
        <v>2</v>
      </c>
      <c r="K2854" s="7">
        <v>638</v>
      </c>
    </row>
    <row r="2855" spans="1:19" x14ac:dyDescent="0.2">
      <c r="A2855">
        <v>2854</v>
      </c>
      <c r="B2855" s="1">
        <v>40799</v>
      </c>
      <c r="C2855" t="s">
        <v>24</v>
      </c>
      <c r="D2855" s="7">
        <v>61</v>
      </c>
      <c r="E2855" s="7">
        <v>10</v>
      </c>
      <c r="F2855" s="7">
        <f t="shared" si="44"/>
        <v>3</v>
      </c>
      <c r="G2855" s="7" t="str">
        <f>LOOKUP(H2855,[1]startdates!$A$2:$A$10,[1]startdates!$B$2:$B$10)</f>
        <v>SMr</v>
      </c>
      <c r="H2855">
        <v>2</v>
      </c>
      <c r="K2855" s="7">
        <v>372</v>
      </c>
    </row>
    <row r="2856" spans="1:19" x14ac:dyDescent="0.2">
      <c r="A2856">
        <v>2855</v>
      </c>
      <c r="B2856" s="1">
        <v>40799</v>
      </c>
      <c r="C2856" t="s">
        <v>28</v>
      </c>
      <c r="D2856" s="7">
        <v>61</v>
      </c>
      <c r="E2856" s="7">
        <v>10</v>
      </c>
      <c r="F2856" s="7">
        <f t="shared" si="44"/>
        <v>3</v>
      </c>
      <c r="G2856" s="7" t="str">
        <f>LOOKUP(H2856,[1]startdates!$A$2:$A$10,[1]startdates!$B$2:$B$10)</f>
        <v>C</v>
      </c>
      <c r="H2856">
        <v>3</v>
      </c>
      <c r="I2856" s="7">
        <v>787.9</v>
      </c>
      <c r="J2856" s="7">
        <v>619.4</v>
      </c>
      <c r="K2856" s="7">
        <v>577.4</v>
      </c>
      <c r="L2856" s="7">
        <v>414.5</v>
      </c>
      <c r="M2856" s="7">
        <v>329.7</v>
      </c>
      <c r="N2856" s="7">
        <v>226.8</v>
      </c>
      <c r="O2856" s="7">
        <v>151.1</v>
      </c>
      <c r="Q2856" s="7">
        <v>333.4</v>
      </c>
      <c r="R2856" s="7">
        <v>257.2</v>
      </c>
      <c r="S2856" s="7">
        <v>287.3</v>
      </c>
    </row>
    <row r="2857" spans="1:19" x14ac:dyDescent="0.2">
      <c r="A2857">
        <v>2856</v>
      </c>
      <c r="B2857" s="1">
        <v>40799</v>
      </c>
      <c r="C2857" t="s">
        <v>28</v>
      </c>
      <c r="D2857" s="7">
        <v>61</v>
      </c>
      <c r="E2857" s="7">
        <v>10</v>
      </c>
      <c r="F2857" s="7">
        <f t="shared" ref="F2857:F2920" si="45">WEEKDAY(B2857)</f>
        <v>3</v>
      </c>
      <c r="G2857" s="7" t="str">
        <f>LOOKUP(H2857,[1]startdates!$A$2:$A$10,[1]startdates!$B$2:$B$10)</f>
        <v>C</v>
      </c>
      <c r="H2857">
        <v>3</v>
      </c>
      <c r="I2857" s="7">
        <v>738.6</v>
      </c>
      <c r="K2857" s="7">
        <v>609.20000000000005</v>
      </c>
      <c r="L2857" s="7">
        <v>443</v>
      </c>
      <c r="M2857" s="7">
        <v>320.8</v>
      </c>
      <c r="N2857" s="7">
        <v>244.8</v>
      </c>
      <c r="O2857" s="7">
        <v>165.5</v>
      </c>
      <c r="Q2857" s="7">
        <v>382.9</v>
      </c>
      <c r="R2857" s="7">
        <v>258.60000000000002</v>
      </c>
      <c r="S2857" s="7">
        <v>290.5</v>
      </c>
    </row>
    <row r="2858" spans="1:19" x14ac:dyDescent="0.2">
      <c r="A2858">
        <v>2857</v>
      </c>
      <c r="B2858" s="1">
        <v>40799</v>
      </c>
      <c r="C2858" t="s">
        <v>28</v>
      </c>
      <c r="D2858" s="7">
        <v>61</v>
      </c>
      <c r="E2858" s="7">
        <v>10</v>
      </c>
      <c r="F2858" s="7">
        <f t="shared" si="45"/>
        <v>3</v>
      </c>
      <c r="G2858" s="7" t="str">
        <f>LOOKUP(H2858,[1]startdates!$A$2:$A$10,[1]startdates!$B$2:$B$10)</f>
        <v>C</v>
      </c>
      <c r="H2858">
        <v>3</v>
      </c>
      <c r="I2858" s="7">
        <v>767.3</v>
      </c>
      <c r="K2858" s="7">
        <v>590</v>
      </c>
      <c r="M2858" s="7">
        <v>379.1</v>
      </c>
      <c r="N2858" s="7">
        <v>234</v>
      </c>
      <c r="O2858" s="7">
        <v>159</v>
      </c>
      <c r="Q2858" s="7">
        <v>360.8</v>
      </c>
      <c r="S2858" s="7">
        <v>300.5</v>
      </c>
    </row>
    <row r="2859" spans="1:19" x14ac:dyDescent="0.2">
      <c r="A2859">
        <v>2858</v>
      </c>
      <c r="B2859" s="1">
        <v>40799</v>
      </c>
      <c r="C2859" t="s">
        <v>28</v>
      </c>
      <c r="D2859" s="7">
        <v>61</v>
      </c>
      <c r="E2859" s="7">
        <v>10</v>
      </c>
      <c r="F2859" s="7">
        <f t="shared" si="45"/>
        <v>3</v>
      </c>
      <c r="G2859" s="7" t="str">
        <f>LOOKUP(H2859,[1]startdates!$A$2:$A$10,[1]startdates!$B$2:$B$10)</f>
        <v>C</v>
      </c>
      <c r="H2859">
        <v>3</v>
      </c>
      <c r="I2859" s="7">
        <v>735.3</v>
      </c>
      <c r="K2859" s="7">
        <v>423.3</v>
      </c>
      <c r="M2859" s="7">
        <v>352</v>
      </c>
      <c r="N2859" s="7">
        <v>252.1</v>
      </c>
      <c r="O2859" s="7">
        <v>179.3</v>
      </c>
    </row>
    <row r="2860" spans="1:19" x14ac:dyDescent="0.2">
      <c r="A2860">
        <v>2859</v>
      </c>
      <c r="B2860" s="1">
        <v>40799</v>
      </c>
      <c r="C2860" t="s">
        <v>28</v>
      </c>
      <c r="D2860" s="7">
        <v>61</v>
      </c>
      <c r="E2860" s="7">
        <v>10</v>
      </c>
      <c r="F2860" s="7">
        <f t="shared" si="45"/>
        <v>3</v>
      </c>
      <c r="G2860" s="7" t="str">
        <f>LOOKUP(H2860,[1]startdates!$A$2:$A$10,[1]startdates!$B$2:$B$10)</f>
        <v>C</v>
      </c>
      <c r="H2860">
        <v>3</v>
      </c>
      <c r="I2860" s="7">
        <v>719.2</v>
      </c>
      <c r="K2860" s="7">
        <v>503.3</v>
      </c>
      <c r="M2860" s="7">
        <v>342.5</v>
      </c>
      <c r="N2860" s="7">
        <v>169.5</v>
      </c>
      <c r="O2860" s="7">
        <v>148.9</v>
      </c>
    </row>
    <row r="2861" spans="1:19" x14ac:dyDescent="0.2">
      <c r="A2861">
        <v>2860</v>
      </c>
      <c r="B2861" s="1">
        <v>40799</v>
      </c>
      <c r="C2861" t="s">
        <v>28</v>
      </c>
      <c r="D2861" s="7">
        <v>61</v>
      </c>
      <c r="E2861" s="7">
        <v>10</v>
      </c>
      <c r="F2861" s="7">
        <f t="shared" si="45"/>
        <v>3</v>
      </c>
      <c r="G2861" s="7" t="str">
        <f>LOOKUP(H2861,[1]startdates!$A$2:$A$10,[1]startdates!$B$2:$B$10)</f>
        <v>C</v>
      </c>
      <c r="H2861">
        <v>3</v>
      </c>
      <c r="I2861" s="7">
        <v>711.8</v>
      </c>
      <c r="M2861" s="7">
        <v>356.2</v>
      </c>
      <c r="N2861" s="7">
        <v>274</v>
      </c>
      <c r="O2861" s="7">
        <v>156.19999999999999</v>
      </c>
    </row>
    <row r="2862" spans="1:19" x14ac:dyDescent="0.2">
      <c r="A2862">
        <v>2861</v>
      </c>
      <c r="B2862" s="1">
        <v>40799</v>
      </c>
      <c r="C2862" t="s">
        <v>28</v>
      </c>
      <c r="D2862" s="7">
        <v>61</v>
      </c>
      <c r="E2862" s="7">
        <v>10</v>
      </c>
      <c r="F2862" s="7">
        <f t="shared" si="45"/>
        <v>3</v>
      </c>
      <c r="G2862" s="7" t="str">
        <f>LOOKUP(H2862,[1]startdates!$A$2:$A$10,[1]startdates!$B$2:$B$10)</f>
        <v>C</v>
      </c>
      <c r="H2862">
        <v>3</v>
      </c>
      <c r="I2862" s="7">
        <v>648.9</v>
      </c>
      <c r="M2862" s="7">
        <v>274</v>
      </c>
      <c r="N2862" s="7">
        <v>273.89999999999998</v>
      </c>
      <c r="O2862" s="7">
        <v>130.5</v>
      </c>
    </row>
    <row r="2863" spans="1:19" x14ac:dyDescent="0.2">
      <c r="A2863">
        <v>2862</v>
      </c>
      <c r="B2863" s="1">
        <v>40799</v>
      </c>
      <c r="C2863" t="s">
        <v>28</v>
      </c>
      <c r="D2863" s="7">
        <v>61</v>
      </c>
      <c r="E2863" s="7">
        <v>10</v>
      </c>
      <c r="F2863" s="7">
        <f t="shared" si="45"/>
        <v>3</v>
      </c>
      <c r="G2863" s="7" t="str">
        <f>LOOKUP(H2863,[1]startdates!$A$2:$A$10,[1]startdates!$B$2:$B$10)</f>
        <v>C</v>
      </c>
      <c r="H2863">
        <v>3</v>
      </c>
      <c r="I2863" s="7">
        <v>678.9</v>
      </c>
      <c r="M2863" s="7">
        <v>378.5</v>
      </c>
      <c r="N2863" s="7">
        <v>265.5</v>
      </c>
      <c r="O2863" s="7">
        <v>155.30000000000001</v>
      </c>
    </row>
    <row r="2864" spans="1:19" x14ac:dyDescent="0.2">
      <c r="A2864">
        <v>2863</v>
      </c>
      <c r="B2864" s="1">
        <v>40799</v>
      </c>
      <c r="C2864" t="s">
        <v>28</v>
      </c>
      <c r="D2864" s="7">
        <v>61</v>
      </c>
      <c r="E2864" s="7">
        <v>10</v>
      </c>
      <c r="F2864" s="7">
        <f t="shared" si="45"/>
        <v>3</v>
      </c>
      <c r="G2864" s="7" t="str">
        <f>LOOKUP(H2864,[1]startdates!$A$2:$A$10,[1]startdates!$B$2:$B$10)</f>
        <v>C</v>
      </c>
      <c r="H2864">
        <v>3</v>
      </c>
      <c r="I2864" s="7">
        <v>709.3</v>
      </c>
      <c r="M2864" s="7">
        <v>339</v>
      </c>
      <c r="N2864" s="7">
        <v>250.5</v>
      </c>
      <c r="O2864" s="7">
        <v>178.1</v>
      </c>
    </row>
    <row r="2865" spans="1:21" x14ac:dyDescent="0.2">
      <c r="A2865">
        <v>2864</v>
      </c>
      <c r="B2865" s="1">
        <v>40799</v>
      </c>
      <c r="C2865" t="s">
        <v>28</v>
      </c>
      <c r="D2865" s="7">
        <v>61</v>
      </c>
      <c r="E2865" s="7">
        <v>10</v>
      </c>
      <c r="F2865" s="7">
        <f t="shared" si="45"/>
        <v>3</v>
      </c>
      <c r="G2865" s="7" t="str">
        <f>LOOKUP(H2865,[1]startdates!$A$2:$A$10,[1]startdates!$B$2:$B$10)</f>
        <v>C</v>
      </c>
      <c r="H2865">
        <v>3</v>
      </c>
      <c r="I2865" s="7">
        <v>697.4</v>
      </c>
      <c r="M2865" s="7">
        <v>314</v>
      </c>
      <c r="N2865" s="7">
        <v>193.7</v>
      </c>
      <c r="O2865" s="7">
        <v>171.9</v>
      </c>
    </row>
    <row r="2866" spans="1:21" x14ac:dyDescent="0.2">
      <c r="A2866">
        <v>2865</v>
      </c>
      <c r="B2866" s="1">
        <v>40799</v>
      </c>
      <c r="C2866" t="s">
        <v>28</v>
      </c>
      <c r="D2866" s="7">
        <v>61</v>
      </c>
      <c r="E2866" s="7">
        <v>10</v>
      </c>
      <c r="F2866" s="7">
        <f t="shared" si="45"/>
        <v>3</v>
      </c>
      <c r="G2866" s="7" t="str">
        <f>LOOKUP(H2866,[1]startdates!$A$2:$A$10,[1]startdates!$B$2:$B$10)</f>
        <v>C</v>
      </c>
      <c r="H2866">
        <v>3</v>
      </c>
      <c r="N2866" s="7">
        <v>263.10000000000002</v>
      </c>
    </row>
    <row r="2867" spans="1:21" x14ac:dyDescent="0.2">
      <c r="A2867">
        <v>2866</v>
      </c>
      <c r="B2867" s="1">
        <v>40799</v>
      </c>
      <c r="C2867" t="s">
        <v>24</v>
      </c>
      <c r="D2867" s="7">
        <v>61</v>
      </c>
      <c r="E2867" s="7">
        <v>10</v>
      </c>
      <c r="F2867" s="7">
        <f t="shared" si="45"/>
        <v>3</v>
      </c>
      <c r="G2867" s="7" t="str">
        <f>LOOKUP(H2867,[1]startdates!$A$2:$A$10,[1]startdates!$B$2:$B$10)</f>
        <v>SMr</v>
      </c>
      <c r="H2867">
        <v>4</v>
      </c>
      <c r="I2867" s="7">
        <v>668</v>
      </c>
      <c r="J2867" s="7">
        <v>502</v>
      </c>
      <c r="K2867" s="7">
        <v>503</v>
      </c>
      <c r="L2867" s="7">
        <v>416</v>
      </c>
      <c r="M2867" s="7">
        <v>299</v>
      </c>
      <c r="N2867" s="7">
        <v>218</v>
      </c>
      <c r="O2867" s="7">
        <v>180</v>
      </c>
      <c r="P2867" s="7">
        <v>518</v>
      </c>
      <c r="Q2867" s="7">
        <v>296</v>
      </c>
      <c r="U2867" s="7">
        <v>586</v>
      </c>
    </row>
    <row r="2868" spans="1:21" x14ac:dyDescent="0.2">
      <c r="A2868">
        <v>2867</v>
      </c>
      <c r="B2868" s="1">
        <v>40799</v>
      </c>
      <c r="C2868" t="s">
        <v>24</v>
      </c>
      <c r="D2868" s="7">
        <v>61</v>
      </c>
      <c r="E2868" s="7">
        <v>10</v>
      </c>
      <c r="F2868" s="7">
        <f t="shared" si="45"/>
        <v>3</v>
      </c>
      <c r="G2868" s="7" t="str">
        <f>LOOKUP(H2868,[1]startdates!$A$2:$A$10,[1]startdates!$B$2:$B$10)</f>
        <v>SMr</v>
      </c>
      <c r="H2868">
        <v>4</v>
      </c>
      <c r="I2868" s="7">
        <v>471</v>
      </c>
      <c r="J2868" s="7">
        <v>505</v>
      </c>
      <c r="K2868" s="7">
        <v>464</v>
      </c>
      <c r="L2868" s="7">
        <v>366</v>
      </c>
      <c r="M2868" s="7">
        <v>296</v>
      </c>
      <c r="N2868" s="7">
        <v>228</v>
      </c>
      <c r="O2868" s="7">
        <v>153</v>
      </c>
      <c r="P2868" s="7">
        <v>358</v>
      </c>
      <c r="Q2868" s="7">
        <v>271</v>
      </c>
      <c r="U2868" s="7">
        <v>639</v>
      </c>
    </row>
    <row r="2869" spans="1:21" x14ac:dyDescent="0.2">
      <c r="A2869">
        <v>2868</v>
      </c>
      <c r="B2869" s="1">
        <v>40799</v>
      </c>
      <c r="C2869" t="s">
        <v>24</v>
      </c>
      <c r="D2869" s="7">
        <v>61</v>
      </c>
      <c r="E2869" s="7">
        <v>10</v>
      </c>
      <c r="F2869" s="7">
        <f t="shared" si="45"/>
        <v>3</v>
      </c>
      <c r="G2869" s="7" t="str">
        <f>LOOKUP(H2869,[1]startdates!$A$2:$A$10,[1]startdates!$B$2:$B$10)</f>
        <v>SMr</v>
      </c>
      <c r="H2869">
        <v>4</v>
      </c>
      <c r="I2869" s="7">
        <v>548</v>
      </c>
      <c r="K2869" s="7">
        <v>409</v>
      </c>
      <c r="L2869" s="7">
        <v>470</v>
      </c>
      <c r="M2869" s="7">
        <v>293</v>
      </c>
      <c r="N2869" s="7">
        <v>214</v>
      </c>
      <c r="O2869" s="7">
        <v>156</v>
      </c>
      <c r="U2869" s="7">
        <v>580</v>
      </c>
    </row>
    <row r="2870" spans="1:21" x14ac:dyDescent="0.2">
      <c r="A2870">
        <v>2869</v>
      </c>
      <c r="B2870" s="1">
        <v>40799</v>
      </c>
      <c r="C2870" t="s">
        <v>24</v>
      </c>
      <c r="D2870" s="7">
        <v>61</v>
      </c>
      <c r="E2870" s="7">
        <v>10</v>
      </c>
      <c r="F2870" s="7">
        <f t="shared" si="45"/>
        <v>3</v>
      </c>
      <c r="G2870" s="7" t="str">
        <f>LOOKUP(H2870,[1]startdates!$A$2:$A$10,[1]startdates!$B$2:$B$10)</f>
        <v>SMr</v>
      </c>
      <c r="H2870">
        <v>4</v>
      </c>
      <c r="I2870" s="7">
        <v>650</v>
      </c>
      <c r="K2870" s="7">
        <v>464</v>
      </c>
      <c r="L2870" s="7">
        <v>423</v>
      </c>
      <c r="M2870" s="7">
        <v>354</v>
      </c>
      <c r="N2870" s="7">
        <v>242</v>
      </c>
      <c r="O2870" s="7">
        <v>142</v>
      </c>
      <c r="U2870" s="7">
        <v>627</v>
      </c>
    </row>
    <row r="2871" spans="1:21" x14ac:dyDescent="0.2">
      <c r="A2871">
        <v>2870</v>
      </c>
      <c r="B2871" s="1">
        <v>40799</v>
      </c>
      <c r="C2871" t="s">
        <v>24</v>
      </c>
      <c r="D2871" s="7">
        <v>61</v>
      </c>
      <c r="E2871" s="7">
        <v>10</v>
      </c>
      <c r="F2871" s="7">
        <f t="shared" si="45"/>
        <v>3</v>
      </c>
      <c r="G2871" s="7" t="str">
        <f>LOOKUP(H2871,[1]startdates!$A$2:$A$10,[1]startdates!$B$2:$B$10)</f>
        <v>SMr</v>
      </c>
      <c r="H2871">
        <v>4</v>
      </c>
      <c r="I2871" s="7">
        <v>582</v>
      </c>
      <c r="K2871" s="7">
        <v>476</v>
      </c>
      <c r="M2871" s="7">
        <v>271</v>
      </c>
      <c r="N2871" s="7">
        <v>265</v>
      </c>
      <c r="O2871" s="7">
        <v>135</v>
      </c>
      <c r="U2871" s="7">
        <v>527</v>
      </c>
    </row>
    <row r="2872" spans="1:21" x14ac:dyDescent="0.2">
      <c r="A2872">
        <v>2871</v>
      </c>
      <c r="B2872" s="1">
        <v>40799</v>
      </c>
      <c r="C2872" t="s">
        <v>24</v>
      </c>
      <c r="D2872" s="7">
        <v>61</v>
      </c>
      <c r="E2872" s="7">
        <v>10</v>
      </c>
      <c r="F2872" s="7">
        <f t="shared" si="45"/>
        <v>3</v>
      </c>
      <c r="G2872" s="7" t="str">
        <f>LOOKUP(H2872,[1]startdates!$A$2:$A$10,[1]startdates!$B$2:$B$10)</f>
        <v>SMr</v>
      </c>
      <c r="H2872">
        <v>4</v>
      </c>
      <c r="I2872" s="7">
        <v>629</v>
      </c>
      <c r="K2872" s="7">
        <v>486</v>
      </c>
      <c r="M2872" s="7">
        <v>239</v>
      </c>
      <c r="N2872" s="7">
        <v>199</v>
      </c>
      <c r="O2872" s="7">
        <v>148</v>
      </c>
      <c r="U2872" s="7">
        <v>496</v>
      </c>
    </row>
    <row r="2873" spans="1:21" x14ac:dyDescent="0.2">
      <c r="A2873">
        <v>2872</v>
      </c>
      <c r="B2873" s="1">
        <v>40799</v>
      </c>
      <c r="C2873" t="s">
        <v>24</v>
      </c>
      <c r="D2873" s="7">
        <v>61</v>
      </c>
      <c r="E2873" s="7">
        <v>10</v>
      </c>
      <c r="F2873" s="7">
        <f t="shared" si="45"/>
        <v>3</v>
      </c>
      <c r="G2873" s="7" t="str">
        <f>LOOKUP(H2873,[1]startdates!$A$2:$A$10,[1]startdates!$B$2:$B$10)</f>
        <v>SMr</v>
      </c>
      <c r="H2873">
        <v>4</v>
      </c>
      <c r="I2873" s="7">
        <v>655</v>
      </c>
      <c r="K2873" s="7">
        <v>490</v>
      </c>
      <c r="M2873" s="7">
        <v>310</v>
      </c>
      <c r="N2873" s="7">
        <v>204</v>
      </c>
      <c r="O2873" s="7">
        <v>161</v>
      </c>
      <c r="U2873" s="7">
        <v>547</v>
      </c>
    </row>
    <row r="2874" spans="1:21" x14ac:dyDescent="0.2">
      <c r="A2874">
        <v>2873</v>
      </c>
      <c r="B2874" s="1">
        <v>40799</v>
      </c>
      <c r="C2874" t="s">
        <v>24</v>
      </c>
      <c r="D2874" s="7">
        <v>61</v>
      </c>
      <c r="E2874" s="7">
        <v>10</v>
      </c>
      <c r="F2874" s="7">
        <f t="shared" si="45"/>
        <v>3</v>
      </c>
      <c r="G2874" s="7" t="str">
        <f>LOOKUP(H2874,[1]startdates!$A$2:$A$10,[1]startdates!$B$2:$B$10)</f>
        <v>SMr</v>
      </c>
      <c r="H2874">
        <v>4</v>
      </c>
      <c r="I2874" s="7">
        <v>766</v>
      </c>
      <c r="K2874" s="7">
        <v>566</v>
      </c>
      <c r="M2874" s="7">
        <v>349</v>
      </c>
      <c r="N2874" s="7">
        <v>119</v>
      </c>
      <c r="O2874" s="7">
        <v>161</v>
      </c>
      <c r="U2874" s="7">
        <v>565</v>
      </c>
    </row>
    <row r="2875" spans="1:21" x14ac:dyDescent="0.2">
      <c r="A2875">
        <v>2874</v>
      </c>
      <c r="B2875" s="1">
        <v>40799</v>
      </c>
      <c r="C2875" t="s">
        <v>24</v>
      </c>
      <c r="D2875" s="7">
        <v>61</v>
      </c>
      <c r="E2875" s="7">
        <v>10</v>
      </c>
      <c r="F2875" s="7">
        <f t="shared" si="45"/>
        <v>3</v>
      </c>
      <c r="G2875" s="7" t="str">
        <f>LOOKUP(H2875,[1]startdates!$A$2:$A$10,[1]startdates!$B$2:$B$10)</f>
        <v>SMr</v>
      </c>
      <c r="H2875">
        <v>4</v>
      </c>
      <c r="I2875" s="7">
        <v>513</v>
      </c>
      <c r="K2875" s="7">
        <v>494</v>
      </c>
    </row>
    <row r="2876" spans="1:21" x14ac:dyDescent="0.2">
      <c r="A2876">
        <v>2875</v>
      </c>
      <c r="B2876" s="1">
        <v>40799</v>
      </c>
      <c r="C2876" t="s">
        <v>24</v>
      </c>
      <c r="D2876" s="7">
        <v>61</v>
      </c>
      <c r="E2876" s="7">
        <v>10</v>
      </c>
      <c r="F2876" s="7">
        <f t="shared" si="45"/>
        <v>3</v>
      </c>
      <c r="G2876" s="7" t="str">
        <f>LOOKUP(H2876,[1]startdates!$A$2:$A$10,[1]startdates!$B$2:$B$10)</f>
        <v>C</v>
      </c>
      <c r="H2876">
        <v>5</v>
      </c>
      <c r="I2876" s="7">
        <v>699</v>
      </c>
      <c r="J2876" s="7">
        <v>574</v>
      </c>
      <c r="K2876" s="7">
        <v>473</v>
      </c>
      <c r="L2876" s="7">
        <v>409</v>
      </c>
      <c r="M2876" s="7">
        <v>272</v>
      </c>
      <c r="N2876" s="7">
        <v>197</v>
      </c>
      <c r="O2876" s="7">
        <v>167</v>
      </c>
      <c r="Q2876" s="7">
        <v>331</v>
      </c>
    </row>
    <row r="2877" spans="1:21" x14ac:dyDescent="0.2">
      <c r="A2877">
        <v>2876</v>
      </c>
      <c r="B2877" s="1">
        <v>40799</v>
      </c>
      <c r="C2877" t="s">
        <v>24</v>
      </c>
      <c r="D2877" s="7">
        <v>61</v>
      </c>
      <c r="E2877" s="7">
        <v>10</v>
      </c>
      <c r="F2877" s="7">
        <f t="shared" si="45"/>
        <v>3</v>
      </c>
      <c r="G2877" s="7" t="str">
        <f>LOOKUP(H2877,[1]startdates!$A$2:$A$10,[1]startdates!$B$2:$B$10)</f>
        <v>C</v>
      </c>
      <c r="H2877">
        <v>5</v>
      </c>
      <c r="I2877" s="7">
        <v>742</v>
      </c>
      <c r="K2877" s="7">
        <v>490</v>
      </c>
      <c r="L2877" s="7">
        <v>380</v>
      </c>
      <c r="M2877" s="7">
        <v>298</v>
      </c>
      <c r="N2877" s="7">
        <v>201</v>
      </c>
      <c r="O2877" s="7">
        <v>176</v>
      </c>
      <c r="Q2877" s="7">
        <v>331</v>
      </c>
    </row>
    <row r="2878" spans="1:21" x14ac:dyDescent="0.2">
      <c r="A2878">
        <v>2877</v>
      </c>
      <c r="B2878" s="1">
        <v>40799</v>
      </c>
      <c r="C2878" t="s">
        <v>24</v>
      </c>
      <c r="D2878" s="7">
        <v>61</v>
      </c>
      <c r="E2878" s="7">
        <v>10</v>
      </c>
      <c r="F2878" s="7">
        <f t="shared" si="45"/>
        <v>3</v>
      </c>
      <c r="G2878" s="7" t="str">
        <f>LOOKUP(H2878,[1]startdates!$A$2:$A$10,[1]startdates!$B$2:$B$10)</f>
        <v>C</v>
      </c>
      <c r="H2878">
        <v>5</v>
      </c>
      <c r="I2878" s="7">
        <v>678</v>
      </c>
      <c r="K2878" s="7">
        <v>502</v>
      </c>
      <c r="L2878" s="7">
        <v>444</v>
      </c>
      <c r="M2878" s="7">
        <v>298</v>
      </c>
      <c r="N2878" s="7">
        <v>198</v>
      </c>
      <c r="O2878" s="7">
        <v>165</v>
      </c>
    </row>
    <row r="2879" spans="1:21" x14ac:dyDescent="0.2">
      <c r="A2879">
        <v>2878</v>
      </c>
      <c r="B2879" s="1">
        <v>40799</v>
      </c>
      <c r="C2879" t="s">
        <v>24</v>
      </c>
      <c r="D2879" s="7">
        <v>61</v>
      </c>
      <c r="E2879" s="7">
        <v>10</v>
      </c>
      <c r="F2879" s="7">
        <f t="shared" si="45"/>
        <v>3</v>
      </c>
      <c r="G2879" s="7" t="str">
        <f>LOOKUP(H2879,[1]startdates!$A$2:$A$10,[1]startdates!$B$2:$B$10)</f>
        <v>C</v>
      </c>
      <c r="H2879">
        <v>5</v>
      </c>
      <c r="I2879" s="7">
        <v>692</v>
      </c>
      <c r="K2879" s="7">
        <v>634</v>
      </c>
      <c r="L2879" s="7">
        <v>395</v>
      </c>
      <c r="M2879" s="7">
        <v>318</v>
      </c>
      <c r="N2879" s="7">
        <v>207</v>
      </c>
      <c r="O2879" s="7">
        <v>167</v>
      </c>
    </row>
    <row r="2880" spans="1:21" x14ac:dyDescent="0.2">
      <c r="A2880">
        <v>2879</v>
      </c>
      <c r="B2880" s="1">
        <v>40799</v>
      </c>
      <c r="C2880" t="s">
        <v>24</v>
      </c>
      <c r="D2880" s="7">
        <v>61</v>
      </c>
      <c r="E2880" s="7">
        <v>10</v>
      </c>
      <c r="F2880" s="7">
        <f t="shared" si="45"/>
        <v>3</v>
      </c>
      <c r="G2880" s="7" t="str">
        <f>LOOKUP(H2880,[1]startdates!$A$2:$A$10,[1]startdates!$B$2:$B$10)</f>
        <v>C</v>
      </c>
      <c r="H2880">
        <v>5</v>
      </c>
      <c r="I2880" s="7">
        <v>680</v>
      </c>
      <c r="K2880" s="7">
        <v>477</v>
      </c>
      <c r="M2880" s="7">
        <v>308</v>
      </c>
      <c r="N2880" s="7">
        <v>235</v>
      </c>
      <c r="O2880" s="7">
        <v>164</v>
      </c>
    </row>
    <row r="2881" spans="1:20" x14ac:dyDescent="0.2">
      <c r="A2881">
        <v>2880</v>
      </c>
      <c r="B2881" s="1">
        <v>40799</v>
      </c>
      <c r="C2881" t="s">
        <v>24</v>
      </c>
      <c r="D2881" s="7">
        <v>61</v>
      </c>
      <c r="E2881" s="7">
        <v>10</v>
      </c>
      <c r="F2881" s="7">
        <f t="shared" si="45"/>
        <v>3</v>
      </c>
      <c r="G2881" s="7" t="str">
        <f>LOOKUP(H2881,[1]startdates!$A$2:$A$10,[1]startdates!$B$2:$B$10)</f>
        <v>C</v>
      </c>
      <c r="H2881">
        <v>5</v>
      </c>
      <c r="I2881" s="7">
        <v>714</v>
      </c>
      <c r="K2881" s="7">
        <v>499</v>
      </c>
      <c r="M2881" s="7">
        <v>326</v>
      </c>
      <c r="N2881" s="7">
        <v>195</v>
      </c>
      <c r="O2881" s="7">
        <v>172</v>
      </c>
    </row>
    <row r="2882" spans="1:20" x14ac:dyDescent="0.2">
      <c r="A2882">
        <v>2881</v>
      </c>
      <c r="B2882" s="1">
        <v>40799</v>
      </c>
      <c r="C2882" t="s">
        <v>24</v>
      </c>
      <c r="D2882" s="7">
        <v>61</v>
      </c>
      <c r="E2882" s="7">
        <v>10</v>
      </c>
      <c r="F2882" s="7">
        <f t="shared" si="45"/>
        <v>3</v>
      </c>
      <c r="G2882" s="7" t="str">
        <f>LOOKUP(H2882,[1]startdates!$A$2:$A$10,[1]startdates!$B$2:$B$10)</f>
        <v>C</v>
      </c>
      <c r="H2882">
        <v>5</v>
      </c>
      <c r="I2882" s="7">
        <v>692</v>
      </c>
      <c r="M2882" s="7">
        <v>294</v>
      </c>
      <c r="N2882" s="7">
        <v>217</v>
      </c>
      <c r="O2882" s="7">
        <v>180</v>
      </c>
    </row>
    <row r="2883" spans="1:20" x14ac:dyDescent="0.2">
      <c r="A2883">
        <v>2882</v>
      </c>
      <c r="B2883" s="1">
        <v>40799</v>
      </c>
      <c r="C2883" t="s">
        <v>24</v>
      </c>
      <c r="D2883" s="7">
        <v>61</v>
      </c>
      <c r="E2883" s="7">
        <v>10</v>
      </c>
      <c r="F2883" s="7">
        <f t="shared" si="45"/>
        <v>3</v>
      </c>
      <c r="G2883" s="7" t="str">
        <f>LOOKUP(H2883,[1]startdates!$A$2:$A$10,[1]startdates!$B$2:$B$10)</f>
        <v>C</v>
      </c>
      <c r="H2883">
        <v>5</v>
      </c>
      <c r="I2883" s="7">
        <v>706</v>
      </c>
      <c r="O2883" s="7">
        <v>159</v>
      </c>
    </row>
    <row r="2884" spans="1:20" x14ac:dyDescent="0.2">
      <c r="A2884">
        <v>2883</v>
      </c>
      <c r="B2884" s="1">
        <v>40799</v>
      </c>
      <c r="C2884" t="s">
        <v>24</v>
      </c>
      <c r="D2884" s="7">
        <v>61</v>
      </c>
      <c r="E2884" s="7">
        <v>10</v>
      </c>
      <c r="F2884" s="7">
        <f t="shared" si="45"/>
        <v>3</v>
      </c>
      <c r="G2884" s="7" t="str">
        <f>LOOKUP(H2884,[1]startdates!$A$2:$A$10,[1]startdates!$B$2:$B$10)</f>
        <v>C</v>
      </c>
      <c r="H2884">
        <v>5</v>
      </c>
      <c r="I2884" s="7">
        <v>520</v>
      </c>
      <c r="O2884" s="7">
        <v>173</v>
      </c>
    </row>
    <row r="2885" spans="1:20" x14ac:dyDescent="0.2">
      <c r="A2885">
        <v>2884</v>
      </c>
      <c r="B2885" s="1">
        <v>40799</v>
      </c>
      <c r="C2885" t="s">
        <v>24</v>
      </c>
      <c r="D2885" s="7">
        <v>61</v>
      </c>
      <c r="E2885" s="7">
        <v>10</v>
      </c>
      <c r="F2885" s="7">
        <f t="shared" si="45"/>
        <v>3</v>
      </c>
      <c r="G2885" s="7" t="str">
        <f>LOOKUP(H2885,[1]startdates!$A$2:$A$10,[1]startdates!$B$2:$B$10)</f>
        <v>C</v>
      </c>
      <c r="H2885">
        <v>5</v>
      </c>
      <c r="I2885" s="7">
        <v>628</v>
      </c>
    </row>
    <row r="2886" spans="1:20" x14ac:dyDescent="0.2">
      <c r="A2886">
        <v>2885</v>
      </c>
      <c r="B2886" s="1">
        <v>40799</v>
      </c>
      <c r="C2886" t="s">
        <v>24</v>
      </c>
      <c r="D2886" s="7">
        <v>61</v>
      </c>
      <c r="E2886" s="7">
        <v>10</v>
      </c>
      <c r="F2886" s="7">
        <f t="shared" si="45"/>
        <v>3</v>
      </c>
      <c r="G2886" s="7" t="str">
        <f>LOOKUP(H2886,[1]startdates!$A$2:$A$10,[1]startdates!$B$2:$B$10)</f>
        <v>C</v>
      </c>
      <c r="H2886">
        <v>5</v>
      </c>
      <c r="I2886" s="7">
        <v>692</v>
      </c>
    </row>
    <row r="2887" spans="1:20" x14ac:dyDescent="0.2">
      <c r="A2887">
        <v>2886</v>
      </c>
      <c r="B2887" s="1">
        <v>40799</v>
      </c>
      <c r="C2887" t="s">
        <v>24</v>
      </c>
      <c r="D2887" s="7">
        <v>61</v>
      </c>
      <c r="E2887" s="7">
        <v>10</v>
      </c>
      <c r="F2887" s="7">
        <f t="shared" si="45"/>
        <v>3</v>
      </c>
      <c r="G2887" s="7" t="str">
        <f>LOOKUP(H2887,[1]startdates!$A$2:$A$10,[1]startdates!$B$2:$B$10)</f>
        <v>C</v>
      </c>
      <c r="H2887">
        <v>5</v>
      </c>
      <c r="I2887" s="7">
        <v>570</v>
      </c>
    </row>
    <row r="2888" spans="1:20" x14ac:dyDescent="0.2">
      <c r="A2888">
        <v>2887</v>
      </c>
      <c r="B2888" s="1">
        <v>40799</v>
      </c>
      <c r="C2888" t="s">
        <v>28</v>
      </c>
      <c r="D2888" s="7">
        <v>61</v>
      </c>
      <c r="E2888" s="7">
        <v>10</v>
      </c>
      <c r="F2888" s="7">
        <f t="shared" si="45"/>
        <v>3</v>
      </c>
      <c r="G2888" s="7" t="str">
        <f>LOOKUP(H2888,[1]startdates!$A$2:$A$10,[1]startdates!$B$2:$B$10)</f>
        <v>FMr</v>
      </c>
      <c r="H2888">
        <v>6</v>
      </c>
      <c r="I2888" s="7">
        <v>616.1</v>
      </c>
      <c r="J2888" s="7">
        <v>568.5</v>
      </c>
      <c r="K2888" s="7">
        <v>523</v>
      </c>
      <c r="L2888" s="7">
        <v>477.5</v>
      </c>
      <c r="M2888" s="7">
        <v>370</v>
      </c>
      <c r="N2888" s="7">
        <v>192</v>
      </c>
      <c r="O2888" s="7">
        <v>147.5</v>
      </c>
      <c r="P2888" s="7">
        <v>510.8</v>
      </c>
      <c r="Q2888" s="7">
        <v>338.8</v>
      </c>
      <c r="R2888" s="7">
        <v>292.3</v>
      </c>
      <c r="S2888" s="7">
        <v>228.4</v>
      </c>
      <c r="T2888" s="7">
        <v>321.5</v>
      </c>
    </row>
    <row r="2889" spans="1:20" x14ac:dyDescent="0.2">
      <c r="A2889">
        <v>2888</v>
      </c>
      <c r="B2889" s="1">
        <v>40799</v>
      </c>
      <c r="C2889" t="s">
        <v>28</v>
      </c>
      <c r="D2889" s="7">
        <v>61</v>
      </c>
      <c r="E2889" s="7">
        <v>10</v>
      </c>
      <c r="F2889" s="7">
        <f t="shared" si="45"/>
        <v>3</v>
      </c>
      <c r="G2889" s="7" t="str">
        <f>LOOKUP(H2889,[1]startdates!$A$2:$A$10,[1]startdates!$B$2:$B$10)</f>
        <v>FMr</v>
      </c>
      <c r="H2889">
        <v>6</v>
      </c>
      <c r="I2889" s="7">
        <v>585.5</v>
      </c>
      <c r="K2889" s="7">
        <v>578</v>
      </c>
      <c r="L2889" s="7">
        <v>433.7</v>
      </c>
      <c r="M2889" s="7">
        <v>384.7</v>
      </c>
      <c r="N2889" s="7">
        <v>244.8</v>
      </c>
      <c r="O2889" s="7">
        <v>174.6</v>
      </c>
      <c r="P2889" s="7">
        <v>423.9</v>
      </c>
      <c r="Q2889" s="7">
        <v>346.2</v>
      </c>
      <c r="R2889" s="7">
        <v>279.8</v>
      </c>
    </row>
    <row r="2890" spans="1:20" x14ac:dyDescent="0.2">
      <c r="A2890">
        <v>2889</v>
      </c>
      <c r="B2890" s="1">
        <v>40799</v>
      </c>
      <c r="C2890" t="s">
        <v>28</v>
      </c>
      <c r="D2890" s="7">
        <v>61</v>
      </c>
      <c r="E2890" s="7">
        <v>10</v>
      </c>
      <c r="F2890" s="7">
        <f t="shared" si="45"/>
        <v>3</v>
      </c>
      <c r="G2890" s="7" t="str">
        <f>LOOKUP(H2890,[1]startdates!$A$2:$A$10,[1]startdates!$B$2:$B$10)</f>
        <v>FMr</v>
      </c>
      <c r="H2890">
        <v>6</v>
      </c>
      <c r="I2890" s="7">
        <v>604.4</v>
      </c>
      <c r="K2890" s="7">
        <v>505.1</v>
      </c>
      <c r="L2890" s="7">
        <v>462.6</v>
      </c>
      <c r="M2890" s="7">
        <v>339</v>
      </c>
      <c r="N2890" s="7">
        <v>251.3</v>
      </c>
      <c r="O2890" s="7">
        <v>162.69999999999999</v>
      </c>
      <c r="Q2890" s="7">
        <v>337.8</v>
      </c>
      <c r="R2890" s="7">
        <v>266.8</v>
      </c>
    </row>
    <row r="2891" spans="1:20" x14ac:dyDescent="0.2">
      <c r="A2891">
        <v>2890</v>
      </c>
      <c r="B2891" s="1">
        <v>40799</v>
      </c>
      <c r="C2891" t="s">
        <v>28</v>
      </c>
      <c r="D2891" s="7">
        <v>61</v>
      </c>
      <c r="E2891" s="7">
        <v>10</v>
      </c>
      <c r="F2891" s="7">
        <f t="shared" si="45"/>
        <v>3</v>
      </c>
      <c r="G2891" s="7" t="str">
        <f>LOOKUP(H2891,[1]startdates!$A$2:$A$10,[1]startdates!$B$2:$B$10)</f>
        <v>FMr</v>
      </c>
      <c r="H2891">
        <v>6</v>
      </c>
      <c r="I2891" s="7">
        <v>545.1</v>
      </c>
      <c r="K2891" s="7">
        <v>559.70000000000005</v>
      </c>
      <c r="L2891" s="7">
        <v>457.5</v>
      </c>
      <c r="M2891" s="7">
        <v>340</v>
      </c>
      <c r="N2891" s="7">
        <v>263.60000000000002</v>
      </c>
      <c r="O2891" s="7">
        <v>156.5</v>
      </c>
    </row>
    <row r="2892" spans="1:20" x14ac:dyDescent="0.2">
      <c r="A2892">
        <v>2891</v>
      </c>
      <c r="B2892" s="1">
        <v>40799</v>
      </c>
      <c r="C2892" t="s">
        <v>28</v>
      </c>
      <c r="D2892" s="7">
        <v>61</v>
      </c>
      <c r="E2892" s="7">
        <v>10</v>
      </c>
      <c r="F2892" s="7">
        <f t="shared" si="45"/>
        <v>3</v>
      </c>
      <c r="G2892" s="7" t="str">
        <f>LOOKUP(H2892,[1]startdates!$A$2:$A$10,[1]startdates!$B$2:$B$10)</f>
        <v>FMr</v>
      </c>
      <c r="H2892">
        <v>6</v>
      </c>
      <c r="I2892" s="7">
        <v>669.7</v>
      </c>
      <c r="K2892" s="7">
        <v>508.7</v>
      </c>
      <c r="L2892" s="7">
        <v>432.2</v>
      </c>
      <c r="M2892" s="7">
        <v>355.7</v>
      </c>
      <c r="N2892" s="7">
        <v>188.6</v>
      </c>
      <c r="O2892" s="7">
        <v>181.9</v>
      </c>
    </row>
    <row r="2893" spans="1:20" x14ac:dyDescent="0.2">
      <c r="A2893">
        <v>2892</v>
      </c>
      <c r="B2893" s="1">
        <v>40799</v>
      </c>
      <c r="C2893" t="s">
        <v>28</v>
      </c>
      <c r="D2893" s="7">
        <v>61</v>
      </c>
      <c r="E2893" s="7">
        <v>10</v>
      </c>
      <c r="F2893" s="7">
        <f t="shared" si="45"/>
        <v>3</v>
      </c>
      <c r="G2893" s="7" t="str">
        <f>LOOKUP(H2893,[1]startdates!$A$2:$A$10,[1]startdates!$B$2:$B$10)</f>
        <v>FMr</v>
      </c>
      <c r="H2893">
        <v>6</v>
      </c>
      <c r="I2893" s="7">
        <v>760.3</v>
      </c>
      <c r="L2893" s="7">
        <v>434.7</v>
      </c>
      <c r="M2893" s="7">
        <v>312.5</v>
      </c>
      <c r="N2893" s="7">
        <v>219.7</v>
      </c>
      <c r="O2893" s="7">
        <v>171.9</v>
      </c>
    </row>
    <row r="2894" spans="1:20" x14ac:dyDescent="0.2">
      <c r="A2894">
        <v>2893</v>
      </c>
      <c r="B2894" s="1">
        <v>40799</v>
      </c>
      <c r="C2894" t="s">
        <v>28</v>
      </c>
      <c r="D2894" s="7">
        <v>61</v>
      </c>
      <c r="E2894" s="7">
        <v>10</v>
      </c>
      <c r="F2894" s="7">
        <f t="shared" si="45"/>
        <v>3</v>
      </c>
      <c r="G2894" s="7" t="str">
        <f>LOOKUP(H2894,[1]startdates!$A$2:$A$10,[1]startdates!$B$2:$B$10)</f>
        <v>FMr</v>
      </c>
      <c r="H2894">
        <v>6</v>
      </c>
      <c r="I2894" s="7">
        <v>738.6</v>
      </c>
      <c r="M2894" s="7">
        <v>287.2</v>
      </c>
      <c r="N2894" s="7">
        <v>210.9</v>
      </c>
      <c r="O2894" s="7">
        <v>182.9</v>
      </c>
    </row>
    <row r="2895" spans="1:20" x14ac:dyDescent="0.2">
      <c r="A2895">
        <v>2894</v>
      </c>
      <c r="B2895" s="1">
        <v>40799</v>
      </c>
      <c r="C2895" t="s">
        <v>28</v>
      </c>
      <c r="D2895" s="7">
        <v>61</v>
      </c>
      <c r="E2895" s="7">
        <v>10</v>
      </c>
      <c r="F2895" s="7">
        <f t="shared" si="45"/>
        <v>3</v>
      </c>
      <c r="G2895" s="7" t="str">
        <f>LOOKUP(H2895,[1]startdates!$A$2:$A$10,[1]startdates!$B$2:$B$10)</f>
        <v>FMr</v>
      </c>
      <c r="H2895">
        <v>6</v>
      </c>
      <c r="I2895" s="7">
        <v>681.7</v>
      </c>
      <c r="N2895" s="7">
        <v>223.6</v>
      </c>
      <c r="O2895" s="7">
        <v>177</v>
      </c>
    </row>
    <row r="2896" spans="1:20" x14ac:dyDescent="0.2">
      <c r="A2896">
        <v>2895</v>
      </c>
      <c r="B2896" s="1">
        <v>40799</v>
      </c>
      <c r="C2896" t="s">
        <v>28</v>
      </c>
      <c r="D2896" s="7">
        <v>61</v>
      </c>
      <c r="E2896" s="7">
        <v>10</v>
      </c>
      <c r="F2896" s="7">
        <f t="shared" si="45"/>
        <v>3</v>
      </c>
      <c r="G2896" s="7" t="str">
        <f>LOOKUP(H2896,[1]startdates!$A$2:$A$10,[1]startdates!$B$2:$B$10)</f>
        <v>FMr</v>
      </c>
      <c r="H2896">
        <v>6</v>
      </c>
      <c r="I2896" s="7">
        <v>640.1</v>
      </c>
      <c r="N2896" s="7">
        <v>205.4</v>
      </c>
      <c r="O2896" s="7">
        <v>165.5</v>
      </c>
    </row>
    <row r="2897" spans="1:19" x14ac:dyDescent="0.2">
      <c r="A2897">
        <v>2896</v>
      </c>
      <c r="B2897" s="1">
        <v>40799</v>
      </c>
      <c r="C2897" t="s">
        <v>28</v>
      </c>
      <c r="D2897" s="7">
        <v>61</v>
      </c>
      <c r="E2897" s="7">
        <v>10</v>
      </c>
      <c r="F2897" s="7">
        <f t="shared" si="45"/>
        <v>3</v>
      </c>
      <c r="G2897" s="7" t="str">
        <f>LOOKUP(H2897,[1]startdates!$A$2:$A$10,[1]startdates!$B$2:$B$10)</f>
        <v>FMr</v>
      </c>
      <c r="H2897">
        <v>6</v>
      </c>
      <c r="I2897" s="7">
        <v>505.7</v>
      </c>
      <c r="N2897" s="7">
        <v>218.9</v>
      </c>
      <c r="O2897" s="7">
        <v>184.1</v>
      </c>
    </row>
    <row r="2898" spans="1:19" x14ac:dyDescent="0.2">
      <c r="A2898">
        <v>2897</v>
      </c>
      <c r="B2898" s="1">
        <v>40799</v>
      </c>
      <c r="C2898" t="s">
        <v>28</v>
      </c>
      <c r="D2898" s="7">
        <v>61</v>
      </c>
      <c r="E2898" s="7">
        <v>10</v>
      </c>
      <c r="F2898" s="7">
        <f t="shared" si="45"/>
        <v>3</v>
      </c>
      <c r="G2898" s="7" t="str">
        <f>LOOKUP(H2898,[1]startdates!$A$2:$A$10,[1]startdates!$B$2:$B$10)</f>
        <v>FMr</v>
      </c>
      <c r="H2898">
        <v>7</v>
      </c>
      <c r="I2898" s="7">
        <v>593.5</v>
      </c>
      <c r="K2898" s="7">
        <v>561.4</v>
      </c>
      <c r="L2898" s="7">
        <v>411.4</v>
      </c>
      <c r="M2898" s="7">
        <v>349.3</v>
      </c>
      <c r="N2898" s="7">
        <v>279.89999999999998</v>
      </c>
      <c r="O2898" s="7">
        <v>192.7</v>
      </c>
      <c r="P2898" s="7">
        <v>448.4</v>
      </c>
      <c r="Q2898" s="7">
        <v>312.10000000000002</v>
      </c>
      <c r="R2898" s="7">
        <v>257.7</v>
      </c>
      <c r="S2898" s="7">
        <v>246.1</v>
      </c>
    </row>
    <row r="2899" spans="1:19" x14ac:dyDescent="0.2">
      <c r="A2899">
        <v>2898</v>
      </c>
      <c r="B2899" s="1">
        <v>40799</v>
      </c>
      <c r="C2899" t="s">
        <v>28</v>
      </c>
      <c r="D2899" s="7">
        <v>61</v>
      </c>
      <c r="E2899" s="7">
        <v>10</v>
      </c>
      <c r="F2899" s="7">
        <f t="shared" si="45"/>
        <v>3</v>
      </c>
      <c r="G2899" s="7" t="str">
        <f>LOOKUP(H2899,[1]startdates!$A$2:$A$10,[1]startdates!$B$2:$B$10)</f>
        <v>FMr</v>
      </c>
      <c r="H2899">
        <v>7</v>
      </c>
      <c r="I2899" s="7">
        <v>729.1</v>
      </c>
      <c r="K2899" s="7">
        <v>526.1</v>
      </c>
      <c r="L2899" s="7">
        <v>458.7</v>
      </c>
      <c r="M2899" s="7">
        <v>349.1</v>
      </c>
      <c r="N2899" s="7">
        <v>241.2</v>
      </c>
      <c r="O2899" s="7">
        <v>184.1</v>
      </c>
      <c r="Q2899" s="7">
        <v>361.1</v>
      </c>
      <c r="R2899" s="7">
        <v>257.8</v>
      </c>
    </row>
    <row r="2900" spans="1:19" x14ac:dyDescent="0.2">
      <c r="A2900">
        <v>2899</v>
      </c>
      <c r="B2900" s="1">
        <v>40799</v>
      </c>
      <c r="C2900" t="s">
        <v>28</v>
      </c>
      <c r="D2900" s="7">
        <v>61</v>
      </c>
      <c r="E2900" s="7">
        <v>10</v>
      </c>
      <c r="F2900" s="7">
        <f t="shared" si="45"/>
        <v>3</v>
      </c>
      <c r="G2900" s="7" t="str">
        <f>LOOKUP(H2900,[1]startdates!$A$2:$A$10,[1]startdates!$B$2:$B$10)</f>
        <v>FMr</v>
      </c>
      <c r="H2900">
        <v>7</v>
      </c>
      <c r="I2900" s="7">
        <v>558.79999999999995</v>
      </c>
      <c r="K2900" s="7">
        <v>526.9</v>
      </c>
      <c r="L2900" s="7">
        <v>424.9</v>
      </c>
      <c r="M2900" s="7">
        <v>373.3</v>
      </c>
      <c r="N2900" s="7">
        <v>250.4</v>
      </c>
      <c r="O2900" s="7">
        <v>200.3</v>
      </c>
      <c r="Q2900" s="7">
        <v>346.1</v>
      </c>
    </row>
    <row r="2901" spans="1:19" x14ac:dyDescent="0.2">
      <c r="A2901">
        <v>2900</v>
      </c>
      <c r="B2901" s="1">
        <v>40799</v>
      </c>
      <c r="C2901" t="s">
        <v>28</v>
      </c>
      <c r="D2901" s="7">
        <v>61</v>
      </c>
      <c r="E2901" s="7">
        <v>10</v>
      </c>
      <c r="F2901" s="7">
        <f t="shared" si="45"/>
        <v>3</v>
      </c>
      <c r="G2901" s="7" t="str">
        <f>LOOKUP(H2901,[1]startdates!$A$2:$A$10,[1]startdates!$B$2:$B$10)</f>
        <v>FMr</v>
      </c>
      <c r="H2901">
        <v>7</v>
      </c>
      <c r="I2901" s="7">
        <v>615.6</v>
      </c>
      <c r="K2901" s="7">
        <v>555.1</v>
      </c>
      <c r="L2901" s="7">
        <v>413.4</v>
      </c>
      <c r="M2901" s="7">
        <v>300.39999999999998</v>
      </c>
      <c r="N2901" s="7">
        <v>265.10000000000002</v>
      </c>
      <c r="O2901" s="7">
        <v>180.5</v>
      </c>
      <c r="Q2901" s="7">
        <v>348.3</v>
      </c>
    </row>
    <row r="2902" spans="1:19" x14ac:dyDescent="0.2">
      <c r="A2902">
        <v>2901</v>
      </c>
      <c r="B2902" s="1">
        <v>40799</v>
      </c>
      <c r="C2902" t="s">
        <v>28</v>
      </c>
      <c r="D2902" s="7">
        <v>61</v>
      </c>
      <c r="E2902" s="7">
        <v>10</v>
      </c>
      <c r="F2902" s="7">
        <f t="shared" si="45"/>
        <v>3</v>
      </c>
      <c r="G2902" s="7" t="str">
        <f>LOOKUP(H2902,[1]startdates!$A$2:$A$10,[1]startdates!$B$2:$B$10)</f>
        <v>FMr</v>
      </c>
      <c r="H2902">
        <v>7</v>
      </c>
      <c r="I2902" s="7">
        <v>641.29999999999995</v>
      </c>
      <c r="K2902" s="7">
        <v>586.9</v>
      </c>
      <c r="L2902" s="7">
        <v>431.5</v>
      </c>
      <c r="M2902" s="7">
        <v>360.2</v>
      </c>
      <c r="N2902" s="7">
        <v>237.1</v>
      </c>
      <c r="O2902" s="7">
        <v>178.1</v>
      </c>
      <c r="Q2902" s="7">
        <v>333.4</v>
      </c>
    </row>
    <row r="2903" spans="1:19" x14ac:dyDescent="0.2">
      <c r="A2903">
        <v>2902</v>
      </c>
      <c r="B2903" s="1">
        <v>40799</v>
      </c>
      <c r="C2903" t="s">
        <v>28</v>
      </c>
      <c r="D2903" s="7">
        <v>61</v>
      </c>
      <c r="E2903" s="7">
        <v>10</v>
      </c>
      <c r="F2903" s="7">
        <f t="shared" si="45"/>
        <v>3</v>
      </c>
      <c r="G2903" s="7" t="str">
        <f>LOOKUP(H2903,[1]startdates!$A$2:$A$10,[1]startdates!$B$2:$B$10)</f>
        <v>FMr</v>
      </c>
      <c r="H2903">
        <v>7</v>
      </c>
      <c r="I2903" s="7">
        <v>553.6</v>
      </c>
      <c r="K2903" s="7">
        <v>544.9</v>
      </c>
      <c r="M2903" s="7">
        <v>309.39999999999998</v>
      </c>
      <c r="N2903" s="7">
        <v>255.2</v>
      </c>
      <c r="O2903" s="7">
        <v>178.1</v>
      </c>
    </row>
    <row r="2904" spans="1:19" x14ac:dyDescent="0.2">
      <c r="A2904">
        <v>2903</v>
      </c>
      <c r="B2904" s="1">
        <v>40799</v>
      </c>
      <c r="C2904" t="s">
        <v>28</v>
      </c>
      <c r="D2904" s="7">
        <v>61</v>
      </c>
      <c r="E2904" s="7">
        <v>10</v>
      </c>
      <c r="F2904" s="7">
        <f t="shared" si="45"/>
        <v>3</v>
      </c>
      <c r="G2904" s="7" t="str">
        <f>LOOKUP(H2904,[1]startdates!$A$2:$A$10,[1]startdates!$B$2:$B$10)</f>
        <v>FMr</v>
      </c>
      <c r="H2904">
        <v>7</v>
      </c>
      <c r="I2904" s="7">
        <v>505.1</v>
      </c>
      <c r="K2904" s="7">
        <v>521.6</v>
      </c>
      <c r="M2904" s="7">
        <v>385.4</v>
      </c>
      <c r="N2904" s="7">
        <v>243.1</v>
      </c>
      <c r="O2904" s="7">
        <v>197.6</v>
      </c>
    </row>
    <row r="2905" spans="1:19" x14ac:dyDescent="0.2">
      <c r="A2905">
        <v>2904</v>
      </c>
      <c r="B2905" s="1">
        <v>40799</v>
      </c>
      <c r="C2905" t="s">
        <v>28</v>
      </c>
      <c r="D2905" s="7">
        <v>61</v>
      </c>
      <c r="E2905" s="7">
        <v>10</v>
      </c>
      <c r="F2905" s="7">
        <f t="shared" si="45"/>
        <v>3</v>
      </c>
      <c r="G2905" s="7" t="str">
        <f>LOOKUP(H2905,[1]startdates!$A$2:$A$10,[1]startdates!$B$2:$B$10)</f>
        <v>FMr</v>
      </c>
      <c r="H2905">
        <v>7</v>
      </c>
      <c r="I2905" s="7">
        <v>533.6</v>
      </c>
      <c r="M2905" s="7">
        <v>319.7</v>
      </c>
      <c r="N2905" s="7">
        <v>253.4</v>
      </c>
      <c r="O2905" s="7">
        <v>170</v>
      </c>
    </row>
    <row r="2906" spans="1:19" x14ac:dyDescent="0.2">
      <c r="A2906">
        <v>2905</v>
      </c>
      <c r="B2906" s="1">
        <v>40799</v>
      </c>
      <c r="C2906" t="s">
        <v>28</v>
      </c>
      <c r="D2906" s="7">
        <v>61</v>
      </c>
      <c r="E2906" s="7">
        <v>10</v>
      </c>
      <c r="F2906" s="7">
        <f t="shared" si="45"/>
        <v>3</v>
      </c>
      <c r="G2906" s="7" t="str">
        <f>LOOKUP(H2906,[1]startdates!$A$2:$A$10,[1]startdates!$B$2:$B$10)</f>
        <v>FMr</v>
      </c>
      <c r="H2906">
        <v>7</v>
      </c>
      <c r="I2906" s="7">
        <v>622.9</v>
      </c>
      <c r="M2906" s="7">
        <v>294.5</v>
      </c>
      <c r="N2906" s="7">
        <v>229.3</v>
      </c>
      <c r="O2906" s="7">
        <v>159.30000000000001</v>
      </c>
    </row>
    <row r="2907" spans="1:19" x14ac:dyDescent="0.2">
      <c r="A2907">
        <v>2906</v>
      </c>
      <c r="B2907" s="1">
        <v>40799</v>
      </c>
      <c r="C2907" t="s">
        <v>28</v>
      </c>
      <c r="D2907" s="7">
        <v>61</v>
      </c>
      <c r="E2907" s="7">
        <v>10</v>
      </c>
      <c r="F2907" s="7">
        <f t="shared" si="45"/>
        <v>3</v>
      </c>
      <c r="G2907" s="7" t="str">
        <f>LOOKUP(H2907,[1]startdates!$A$2:$A$10,[1]startdates!$B$2:$B$10)</f>
        <v>FMr</v>
      </c>
      <c r="H2907">
        <v>7</v>
      </c>
      <c r="I2907" s="7">
        <v>596.4</v>
      </c>
      <c r="M2907" s="7">
        <v>302.7</v>
      </c>
      <c r="N2907" s="7">
        <v>255.2</v>
      </c>
      <c r="O2907" s="7">
        <v>188.6</v>
      </c>
    </row>
    <row r="2908" spans="1:19" x14ac:dyDescent="0.2">
      <c r="A2908">
        <v>2907</v>
      </c>
      <c r="B2908" s="1">
        <v>40799</v>
      </c>
      <c r="C2908" t="s">
        <v>28</v>
      </c>
      <c r="D2908" s="7">
        <v>61</v>
      </c>
      <c r="E2908" s="7">
        <v>10</v>
      </c>
      <c r="F2908" s="7">
        <f t="shared" si="45"/>
        <v>3</v>
      </c>
      <c r="G2908" s="7" t="str">
        <f>LOOKUP(H2908,[1]startdates!$A$2:$A$10,[1]startdates!$B$2:$B$10)</f>
        <v>FMr</v>
      </c>
      <c r="H2908">
        <v>7</v>
      </c>
      <c r="M2908" s="7">
        <v>316.60000000000002</v>
      </c>
    </row>
    <row r="2909" spans="1:19" x14ac:dyDescent="0.2">
      <c r="A2909">
        <v>2908</v>
      </c>
      <c r="B2909" s="1">
        <v>40799</v>
      </c>
      <c r="C2909" t="s">
        <v>24</v>
      </c>
      <c r="D2909" s="7">
        <v>61</v>
      </c>
      <c r="E2909" s="7">
        <v>10</v>
      </c>
      <c r="F2909" s="7">
        <f t="shared" si="45"/>
        <v>3</v>
      </c>
      <c r="G2909" s="7" t="str">
        <f>LOOKUP(H2909,[1]startdates!$A$2:$A$10,[1]startdates!$B$2:$B$10)</f>
        <v>C</v>
      </c>
      <c r="H2909">
        <v>8</v>
      </c>
      <c r="I2909" s="7">
        <v>653</v>
      </c>
      <c r="J2909" s="7">
        <v>553</v>
      </c>
      <c r="K2909" s="7">
        <v>687</v>
      </c>
      <c r="L2909" s="7">
        <v>346</v>
      </c>
      <c r="M2909" s="7">
        <v>366</v>
      </c>
      <c r="N2909" s="7">
        <v>215</v>
      </c>
      <c r="O2909" s="7">
        <v>187</v>
      </c>
      <c r="P2909" s="7">
        <v>549</v>
      </c>
      <c r="S2909" s="7">
        <v>279</v>
      </c>
    </row>
    <row r="2910" spans="1:19" x14ac:dyDescent="0.2">
      <c r="A2910">
        <v>2909</v>
      </c>
      <c r="B2910" s="1">
        <v>40799</v>
      </c>
      <c r="C2910" t="s">
        <v>24</v>
      </c>
      <c r="D2910" s="7">
        <v>61</v>
      </c>
      <c r="E2910" s="7">
        <v>10</v>
      </c>
      <c r="F2910" s="7">
        <f t="shared" si="45"/>
        <v>3</v>
      </c>
      <c r="G2910" s="7" t="str">
        <f>LOOKUP(H2910,[1]startdates!$A$2:$A$10,[1]startdates!$B$2:$B$10)</f>
        <v>C</v>
      </c>
      <c r="H2910">
        <v>8</v>
      </c>
      <c r="I2910" s="7">
        <v>754</v>
      </c>
      <c r="J2910" s="7">
        <v>563</v>
      </c>
      <c r="K2910" s="7">
        <v>647</v>
      </c>
      <c r="L2910" s="7">
        <v>461</v>
      </c>
      <c r="M2910" s="7">
        <v>322</v>
      </c>
      <c r="N2910" s="7">
        <v>234</v>
      </c>
      <c r="O2910" s="7">
        <v>196</v>
      </c>
    </row>
    <row r="2911" spans="1:19" x14ac:dyDescent="0.2">
      <c r="A2911">
        <v>2910</v>
      </c>
      <c r="B2911" s="1">
        <v>40799</v>
      </c>
      <c r="C2911" t="s">
        <v>24</v>
      </c>
      <c r="D2911" s="7">
        <v>61</v>
      </c>
      <c r="E2911" s="7">
        <v>10</v>
      </c>
      <c r="F2911" s="7">
        <f t="shared" si="45"/>
        <v>3</v>
      </c>
      <c r="G2911" s="7" t="str">
        <f>LOOKUP(H2911,[1]startdates!$A$2:$A$10,[1]startdates!$B$2:$B$10)</f>
        <v>C</v>
      </c>
      <c r="H2911">
        <v>8</v>
      </c>
      <c r="I2911" s="7">
        <v>710</v>
      </c>
      <c r="J2911" s="7">
        <v>582</v>
      </c>
      <c r="K2911" s="7">
        <v>596</v>
      </c>
      <c r="L2911" s="7">
        <v>416</v>
      </c>
      <c r="M2911" s="7">
        <v>345</v>
      </c>
      <c r="N2911" s="7">
        <v>213</v>
      </c>
      <c r="O2911" s="7">
        <v>193</v>
      </c>
    </row>
    <row r="2912" spans="1:19" x14ac:dyDescent="0.2">
      <c r="A2912">
        <v>2911</v>
      </c>
      <c r="B2912" s="1">
        <v>40799</v>
      </c>
      <c r="C2912" t="s">
        <v>24</v>
      </c>
      <c r="D2912" s="7">
        <v>61</v>
      </c>
      <c r="E2912" s="7">
        <v>10</v>
      </c>
      <c r="F2912" s="7">
        <f t="shared" si="45"/>
        <v>3</v>
      </c>
      <c r="G2912" s="7" t="str">
        <f>LOOKUP(H2912,[1]startdates!$A$2:$A$10,[1]startdates!$B$2:$B$10)</f>
        <v>C</v>
      </c>
      <c r="H2912">
        <v>8</v>
      </c>
      <c r="I2912" s="7">
        <v>755</v>
      </c>
      <c r="L2912" s="7">
        <v>413</v>
      </c>
      <c r="M2912" s="7">
        <v>322</v>
      </c>
      <c r="N2912" s="7">
        <v>220</v>
      </c>
      <c r="O2912" s="7">
        <v>181</v>
      </c>
    </row>
    <row r="2913" spans="1:22" x14ac:dyDescent="0.2">
      <c r="A2913">
        <v>2912</v>
      </c>
      <c r="B2913" s="1">
        <v>40799</v>
      </c>
      <c r="C2913" t="s">
        <v>24</v>
      </c>
      <c r="D2913" s="7">
        <v>61</v>
      </c>
      <c r="E2913" s="7">
        <v>10</v>
      </c>
      <c r="F2913" s="7">
        <f t="shared" si="45"/>
        <v>3</v>
      </c>
      <c r="G2913" s="7" t="str">
        <f>LOOKUP(H2913,[1]startdates!$A$2:$A$10,[1]startdates!$B$2:$B$10)</f>
        <v>C</v>
      </c>
      <c r="H2913">
        <v>8</v>
      </c>
      <c r="I2913" s="7">
        <v>648</v>
      </c>
      <c r="L2913" s="7">
        <v>429</v>
      </c>
      <c r="M2913" s="7">
        <v>320</v>
      </c>
      <c r="N2913" s="7">
        <v>208</v>
      </c>
      <c r="O2913" s="7">
        <v>158</v>
      </c>
    </row>
    <row r="2914" spans="1:22" x14ac:dyDescent="0.2">
      <c r="A2914">
        <v>2913</v>
      </c>
      <c r="B2914" s="1">
        <v>40799</v>
      </c>
      <c r="C2914" t="s">
        <v>24</v>
      </c>
      <c r="D2914" s="7">
        <v>61</v>
      </c>
      <c r="E2914" s="7">
        <v>10</v>
      </c>
      <c r="F2914" s="7">
        <f t="shared" si="45"/>
        <v>3</v>
      </c>
      <c r="G2914" s="7" t="str">
        <f>LOOKUP(H2914,[1]startdates!$A$2:$A$10,[1]startdates!$B$2:$B$10)</f>
        <v>C</v>
      </c>
      <c r="H2914">
        <v>8</v>
      </c>
      <c r="I2914" s="7">
        <v>724</v>
      </c>
      <c r="L2914" s="7">
        <v>348</v>
      </c>
      <c r="M2914" s="7">
        <v>313</v>
      </c>
      <c r="N2914" s="7">
        <v>218</v>
      </c>
      <c r="O2914" s="7">
        <v>177</v>
      </c>
    </row>
    <row r="2915" spans="1:22" x14ac:dyDescent="0.2">
      <c r="A2915">
        <v>2914</v>
      </c>
      <c r="B2915" s="1">
        <v>40799</v>
      </c>
      <c r="C2915" t="s">
        <v>24</v>
      </c>
      <c r="D2915" s="7">
        <v>61</v>
      </c>
      <c r="E2915" s="7">
        <v>10</v>
      </c>
      <c r="F2915" s="7">
        <f t="shared" si="45"/>
        <v>3</v>
      </c>
      <c r="G2915" s="7" t="str">
        <f>LOOKUP(H2915,[1]startdates!$A$2:$A$10,[1]startdates!$B$2:$B$10)</f>
        <v>C</v>
      </c>
      <c r="H2915">
        <v>8</v>
      </c>
      <c r="I2915" s="7">
        <v>640</v>
      </c>
      <c r="M2915" s="7">
        <v>245</v>
      </c>
      <c r="N2915" s="7">
        <v>213</v>
      </c>
      <c r="O2915" s="7">
        <v>176</v>
      </c>
    </row>
    <row r="2916" spans="1:22" x14ac:dyDescent="0.2">
      <c r="A2916">
        <v>2915</v>
      </c>
      <c r="B2916" s="1">
        <v>40799</v>
      </c>
      <c r="C2916" t="s">
        <v>24</v>
      </c>
      <c r="D2916" s="7">
        <v>61</v>
      </c>
      <c r="E2916" s="7">
        <v>10</v>
      </c>
      <c r="F2916" s="7">
        <f t="shared" si="45"/>
        <v>3</v>
      </c>
      <c r="G2916" s="7" t="str">
        <f>LOOKUP(H2916,[1]startdates!$A$2:$A$10,[1]startdates!$B$2:$B$10)</f>
        <v>C</v>
      </c>
      <c r="H2916">
        <v>8</v>
      </c>
      <c r="I2916" s="7">
        <v>637</v>
      </c>
      <c r="M2916" s="7">
        <v>297</v>
      </c>
      <c r="N2916" s="7">
        <v>204</v>
      </c>
      <c r="O2916" s="7">
        <v>183</v>
      </c>
    </row>
    <row r="2917" spans="1:22" x14ac:dyDescent="0.2">
      <c r="A2917">
        <v>2916</v>
      </c>
      <c r="B2917" s="1">
        <v>40799</v>
      </c>
      <c r="C2917" t="s">
        <v>24</v>
      </c>
      <c r="D2917" s="7">
        <v>61</v>
      </c>
      <c r="E2917" s="7">
        <v>10</v>
      </c>
      <c r="F2917" s="7">
        <f t="shared" si="45"/>
        <v>3</v>
      </c>
      <c r="G2917" s="7" t="str">
        <f>LOOKUP(H2917,[1]startdates!$A$2:$A$10,[1]startdates!$B$2:$B$10)</f>
        <v>C</v>
      </c>
      <c r="H2917">
        <v>8</v>
      </c>
      <c r="I2917" s="7">
        <v>760</v>
      </c>
      <c r="N2917" s="7">
        <v>215</v>
      </c>
      <c r="O2917" s="7">
        <v>162</v>
      </c>
    </row>
    <row r="2918" spans="1:22" x14ac:dyDescent="0.2">
      <c r="A2918">
        <v>2917</v>
      </c>
      <c r="B2918" s="1">
        <v>40799</v>
      </c>
      <c r="C2918" t="s">
        <v>24</v>
      </c>
      <c r="D2918" s="7">
        <v>61</v>
      </c>
      <c r="E2918" s="7">
        <v>10</v>
      </c>
      <c r="F2918" s="7">
        <f t="shared" si="45"/>
        <v>3</v>
      </c>
      <c r="G2918" s="7" t="str">
        <f>LOOKUP(H2918,[1]startdates!$A$2:$A$10,[1]startdates!$B$2:$B$10)</f>
        <v>C</v>
      </c>
      <c r="H2918">
        <v>8</v>
      </c>
      <c r="I2918" s="7">
        <v>620</v>
      </c>
      <c r="O2918" s="7">
        <v>168</v>
      </c>
    </row>
    <row r="2919" spans="1:22" x14ac:dyDescent="0.2">
      <c r="A2919">
        <v>2918</v>
      </c>
      <c r="B2919" s="1">
        <v>40799</v>
      </c>
      <c r="C2919" t="s">
        <v>24</v>
      </c>
      <c r="D2919" s="7">
        <v>61</v>
      </c>
      <c r="E2919" s="7">
        <v>10</v>
      </c>
      <c r="F2919" s="7">
        <f t="shared" si="45"/>
        <v>3</v>
      </c>
      <c r="G2919" s="7" t="str">
        <f>LOOKUP(H2919,[1]startdates!$A$2:$A$10,[1]startdates!$B$2:$B$10)</f>
        <v>C</v>
      </c>
      <c r="H2919">
        <v>8</v>
      </c>
      <c r="I2919" s="7">
        <v>686</v>
      </c>
    </row>
    <row r="2920" spans="1:22" x14ac:dyDescent="0.2">
      <c r="A2920">
        <v>2919</v>
      </c>
      <c r="B2920" s="1">
        <v>40799</v>
      </c>
      <c r="C2920" t="s">
        <v>24</v>
      </c>
      <c r="D2920" s="7">
        <v>61</v>
      </c>
      <c r="E2920" s="7">
        <v>10</v>
      </c>
      <c r="F2920" s="7">
        <f t="shared" si="45"/>
        <v>3</v>
      </c>
      <c r="G2920" s="7" t="str">
        <f>LOOKUP(H2920,[1]startdates!$A$2:$A$10,[1]startdates!$B$2:$B$10)</f>
        <v>FMr</v>
      </c>
      <c r="H2920">
        <v>9</v>
      </c>
      <c r="I2920" s="7">
        <v>577</v>
      </c>
      <c r="J2920" s="7">
        <v>531</v>
      </c>
      <c r="K2920" s="7">
        <v>525</v>
      </c>
      <c r="L2920" s="7">
        <v>480</v>
      </c>
      <c r="M2920" s="7">
        <v>320</v>
      </c>
      <c r="N2920" s="7">
        <v>190</v>
      </c>
      <c r="O2920" s="7">
        <v>154</v>
      </c>
      <c r="P2920" s="7">
        <v>464</v>
      </c>
      <c r="Q2920" s="7">
        <v>281</v>
      </c>
      <c r="V2920" s="7">
        <v>565</v>
      </c>
    </row>
    <row r="2921" spans="1:22" x14ac:dyDescent="0.2">
      <c r="A2921">
        <v>2920</v>
      </c>
      <c r="B2921" s="1">
        <v>40799</v>
      </c>
      <c r="C2921" t="s">
        <v>24</v>
      </c>
      <c r="D2921" s="7">
        <v>61</v>
      </c>
      <c r="E2921" s="7">
        <v>10</v>
      </c>
      <c r="F2921" s="7">
        <f t="shared" ref="F2921:F2984" si="46">WEEKDAY(B2921)</f>
        <v>3</v>
      </c>
      <c r="G2921" s="7" t="str">
        <f>LOOKUP(H2921,[1]startdates!$A$2:$A$10,[1]startdates!$B$2:$B$10)</f>
        <v>FMr</v>
      </c>
      <c r="H2921">
        <v>9</v>
      </c>
      <c r="I2921" s="7">
        <v>631</v>
      </c>
      <c r="J2921" s="7">
        <v>561</v>
      </c>
      <c r="K2921" s="7">
        <v>548</v>
      </c>
      <c r="L2921" s="7">
        <v>455</v>
      </c>
      <c r="M2921" s="7">
        <v>323</v>
      </c>
      <c r="N2921" s="7">
        <v>199</v>
      </c>
      <c r="O2921" s="7">
        <v>178</v>
      </c>
      <c r="P2921" s="7">
        <v>440</v>
      </c>
      <c r="V2921" s="7">
        <v>563</v>
      </c>
    </row>
    <row r="2922" spans="1:22" x14ac:dyDescent="0.2">
      <c r="A2922">
        <v>2921</v>
      </c>
      <c r="B2922" s="1">
        <v>40799</v>
      </c>
      <c r="C2922" t="s">
        <v>24</v>
      </c>
      <c r="D2922" s="7">
        <v>61</v>
      </c>
      <c r="E2922" s="7">
        <v>10</v>
      </c>
      <c r="F2922" s="7">
        <f t="shared" si="46"/>
        <v>3</v>
      </c>
      <c r="G2922" s="7" t="str">
        <f>LOOKUP(H2922,[1]startdates!$A$2:$A$10,[1]startdates!$B$2:$B$10)</f>
        <v>FMr</v>
      </c>
      <c r="H2922">
        <v>9</v>
      </c>
      <c r="I2922" s="7">
        <v>587</v>
      </c>
      <c r="K2922" s="7">
        <v>576</v>
      </c>
      <c r="L2922" s="7">
        <v>334</v>
      </c>
      <c r="M2922" s="7">
        <v>306</v>
      </c>
      <c r="N2922" s="7">
        <v>225</v>
      </c>
      <c r="O2922" s="7">
        <v>171</v>
      </c>
    </row>
    <row r="2923" spans="1:22" x14ac:dyDescent="0.2">
      <c r="A2923">
        <v>2922</v>
      </c>
      <c r="B2923" s="1">
        <v>40799</v>
      </c>
      <c r="C2923" t="s">
        <v>24</v>
      </c>
      <c r="D2923" s="7">
        <v>61</v>
      </c>
      <c r="E2923" s="7">
        <v>10</v>
      </c>
      <c r="F2923" s="7">
        <f t="shared" si="46"/>
        <v>3</v>
      </c>
      <c r="G2923" s="7" t="str">
        <f>LOOKUP(H2923,[1]startdates!$A$2:$A$10,[1]startdates!$B$2:$B$10)</f>
        <v>FMr</v>
      </c>
      <c r="H2923">
        <v>9</v>
      </c>
      <c r="I2923" s="7">
        <v>617</v>
      </c>
      <c r="K2923" s="7">
        <v>601</v>
      </c>
      <c r="L2923" s="7">
        <v>344</v>
      </c>
      <c r="M2923" s="7">
        <v>253</v>
      </c>
      <c r="N2923" s="7">
        <v>258</v>
      </c>
      <c r="O2923" s="7">
        <v>176</v>
      </c>
    </row>
    <row r="2924" spans="1:22" x14ac:dyDescent="0.2">
      <c r="A2924">
        <v>2923</v>
      </c>
      <c r="B2924" s="1">
        <v>40799</v>
      </c>
      <c r="C2924" t="s">
        <v>24</v>
      </c>
      <c r="D2924" s="7">
        <v>61</v>
      </c>
      <c r="E2924" s="7">
        <v>10</v>
      </c>
      <c r="F2924" s="7">
        <f t="shared" si="46"/>
        <v>3</v>
      </c>
      <c r="G2924" s="7" t="str">
        <f>LOOKUP(H2924,[1]startdates!$A$2:$A$10,[1]startdates!$B$2:$B$10)</f>
        <v>FMr</v>
      </c>
      <c r="H2924">
        <v>9</v>
      </c>
      <c r="I2924" s="7">
        <v>586</v>
      </c>
      <c r="K2924" s="7">
        <v>582</v>
      </c>
      <c r="L2924" s="7">
        <v>449</v>
      </c>
      <c r="M2924" s="7">
        <v>322</v>
      </c>
      <c r="N2924" s="7">
        <v>231</v>
      </c>
      <c r="O2924" s="7">
        <v>192</v>
      </c>
    </row>
    <row r="2925" spans="1:22" x14ac:dyDescent="0.2">
      <c r="A2925">
        <v>2924</v>
      </c>
      <c r="B2925" s="1">
        <v>40799</v>
      </c>
      <c r="C2925" t="s">
        <v>24</v>
      </c>
      <c r="D2925" s="7">
        <v>61</v>
      </c>
      <c r="E2925" s="7">
        <v>10</v>
      </c>
      <c r="F2925" s="7">
        <f t="shared" si="46"/>
        <v>3</v>
      </c>
      <c r="G2925" s="7" t="str">
        <f>LOOKUP(H2925,[1]startdates!$A$2:$A$10,[1]startdates!$B$2:$B$10)</f>
        <v>FMr</v>
      </c>
      <c r="H2925">
        <v>9</v>
      </c>
      <c r="I2925" s="7">
        <v>722</v>
      </c>
      <c r="K2925" s="7">
        <v>500</v>
      </c>
      <c r="N2925" s="7">
        <v>217</v>
      </c>
      <c r="O2925" s="7">
        <v>199</v>
      </c>
    </row>
    <row r="2926" spans="1:22" x14ac:dyDescent="0.2">
      <c r="A2926">
        <v>2925</v>
      </c>
      <c r="B2926" s="1">
        <v>40799</v>
      </c>
      <c r="C2926" t="s">
        <v>24</v>
      </c>
      <c r="D2926" s="7">
        <v>61</v>
      </c>
      <c r="E2926" s="7">
        <v>10</v>
      </c>
      <c r="F2926" s="7">
        <f t="shared" si="46"/>
        <v>3</v>
      </c>
      <c r="G2926" s="7" t="str">
        <f>LOOKUP(H2926,[1]startdates!$A$2:$A$10,[1]startdates!$B$2:$B$10)</f>
        <v>FMr</v>
      </c>
      <c r="H2926">
        <v>9</v>
      </c>
      <c r="I2926" s="7">
        <v>629</v>
      </c>
      <c r="K2926" s="7">
        <v>662</v>
      </c>
      <c r="N2926" s="7">
        <v>199</v>
      </c>
      <c r="O2926" s="7">
        <v>197</v>
      </c>
    </row>
    <row r="2927" spans="1:22" x14ac:dyDescent="0.2">
      <c r="A2927">
        <v>2926</v>
      </c>
      <c r="B2927" s="1">
        <v>40799</v>
      </c>
      <c r="C2927" t="s">
        <v>24</v>
      </c>
      <c r="D2927" s="7">
        <v>61</v>
      </c>
      <c r="E2927" s="7">
        <v>10</v>
      </c>
      <c r="F2927" s="7">
        <f t="shared" si="46"/>
        <v>3</v>
      </c>
      <c r="G2927" s="7" t="str">
        <f>LOOKUP(H2927,[1]startdates!$A$2:$A$10,[1]startdates!$B$2:$B$10)</f>
        <v>FMr</v>
      </c>
      <c r="H2927">
        <v>9</v>
      </c>
      <c r="I2927" s="7">
        <v>617</v>
      </c>
      <c r="K2927" s="7">
        <v>551</v>
      </c>
      <c r="N2927" s="7">
        <v>221</v>
      </c>
    </row>
    <row r="2928" spans="1:22" x14ac:dyDescent="0.2">
      <c r="A2928">
        <v>2927</v>
      </c>
      <c r="B2928" s="1">
        <v>40799</v>
      </c>
      <c r="C2928" t="s">
        <v>24</v>
      </c>
      <c r="D2928" s="7">
        <v>61</v>
      </c>
      <c r="E2928" s="7">
        <v>10</v>
      </c>
      <c r="F2928" s="7">
        <f t="shared" si="46"/>
        <v>3</v>
      </c>
      <c r="G2928" s="7" t="str">
        <f>LOOKUP(H2928,[1]startdates!$A$2:$A$10,[1]startdates!$B$2:$B$10)</f>
        <v>FMr</v>
      </c>
      <c r="H2928">
        <v>9</v>
      </c>
      <c r="K2928" s="7">
        <v>461</v>
      </c>
      <c r="N2928" s="7">
        <v>236</v>
      </c>
    </row>
    <row r="2929" spans="1:20" x14ac:dyDescent="0.2">
      <c r="A2929">
        <v>2928</v>
      </c>
      <c r="B2929" s="1">
        <v>40799</v>
      </c>
      <c r="C2929" t="s">
        <v>24</v>
      </c>
      <c r="D2929" s="7">
        <v>61</v>
      </c>
      <c r="E2929" s="7">
        <v>10</v>
      </c>
      <c r="F2929" s="7">
        <f t="shared" si="46"/>
        <v>3</v>
      </c>
      <c r="G2929" s="7" t="str">
        <f>LOOKUP(H2929,[1]startdates!$A$2:$A$10,[1]startdates!$B$2:$B$10)</f>
        <v>FMr</v>
      </c>
      <c r="H2929">
        <v>9</v>
      </c>
      <c r="K2929" s="7">
        <v>570</v>
      </c>
      <c r="N2929" s="7">
        <v>222</v>
      </c>
    </row>
    <row r="2930" spans="1:20" x14ac:dyDescent="0.2">
      <c r="A2930">
        <v>2929</v>
      </c>
      <c r="B2930" s="1">
        <v>40799</v>
      </c>
      <c r="C2930" t="s">
        <v>24</v>
      </c>
      <c r="D2930" s="7">
        <v>61</v>
      </c>
      <c r="E2930" s="7">
        <v>10</v>
      </c>
      <c r="F2930" s="7">
        <f t="shared" si="46"/>
        <v>3</v>
      </c>
      <c r="G2930" s="7" t="str">
        <f>LOOKUP(H2930,[1]startdates!$A$2:$A$10,[1]startdates!$B$2:$B$10)</f>
        <v>FMr</v>
      </c>
      <c r="H2930">
        <v>9</v>
      </c>
      <c r="K2930" s="7">
        <v>526</v>
      </c>
    </row>
    <row r="2931" spans="1:20" x14ac:dyDescent="0.2">
      <c r="A2931">
        <v>2930</v>
      </c>
      <c r="B2931" s="1">
        <v>40802</v>
      </c>
      <c r="C2931" t="s">
        <v>28</v>
      </c>
      <c r="D2931" s="7">
        <v>64</v>
      </c>
      <c r="E2931" s="7">
        <v>10</v>
      </c>
      <c r="F2931" s="7">
        <f t="shared" si="46"/>
        <v>6</v>
      </c>
      <c r="G2931" s="7" t="str">
        <f>LOOKUP(H2931,[1]startdates!$A$2:$A$10,[1]startdates!$B$2:$B$10)</f>
        <v>SMr</v>
      </c>
      <c r="H2931">
        <v>1</v>
      </c>
      <c r="I2931" s="7">
        <v>568.20000000000005</v>
      </c>
      <c r="J2931" s="7">
        <v>538.29999999999995</v>
      </c>
      <c r="K2931" s="7">
        <v>527.1</v>
      </c>
      <c r="L2931" s="7">
        <v>496.8</v>
      </c>
      <c r="M2931" s="7">
        <v>320.8</v>
      </c>
      <c r="N2931" s="7">
        <v>205.4</v>
      </c>
      <c r="O2931" s="7">
        <v>179.8</v>
      </c>
      <c r="P2931" s="7">
        <v>450.8</v>
      </c>
      <c r="Q2931" s="7">
        <v>365.1</v>
      </c>
      <c r="S2931" s="7">
        <v>288.7</v>
      </c>
      <c r="T2931" s="7">
        <v>327</v>
      </c>
    </row>
    <row r="2932" spans="1:20" x14ac:dyDescent="0.2">
      <c r="A2932">
        <v>2931</v>
      </c>
      <c r="B2932" s="1">
        <v>40802</v>
      </c>
      <c r="C2932" t="s">
        <v>28</v>
      </c>
      <c r="D2932" s="7">
        <v>64</v>
      </c>
      <c r="E2932" s="7">
        <v>10</v>
      </c>
      <c r="F2932" s="7">
        <f t="shared" si="46"/>
        <v>6</v>
      </c>
      <c r="G2932" s="7" t="str">
        <f>LOOKUP(H2932,[1]startdates!$A$2:$A$10,[1]startdates!$B$2:$B$10)</f>
        <v>SMr</v>
      </c>
      <c r="H2932">
        <v>1</v>
      </c>
      <c r="I2932" s="7">
        <v>644.1</v>
      </c>
      <c r="J2932" s="7">
        <v>543.6</v>
      </c>
      <c r="K2932" s="7">
        <v>454</v>
      </c>
      <c r="L2932" s="7">
        <v>410.9</v>
      </c>
      <c r="M2932" s="7">
        <v>359.1</v>
      </c>
      <c r="N2932" s="7">
        <v>226.8</v>
      </c>
      <c r="O2932" s="7">
        <v>185.4</v>
      </c>
      <c r="P2932" s="7">
        <v>453.7</v>
      </c>
      <c r="Q2932" s="7">
        <v>329.7</v>
      </c>
    </row>
    <row r="2933" spans="1:20" x14ac:dyDescent="0.2">
      <c r="A2933">
        <v>2932</v>
      </c>
      <c r="B2933" s="1">
        <v>40802</v>
      </c>
      <c r="C2933" t="s">
        <v>28</v>
      </c>
      <c r="D2933" s="7">
        <v>64</v>
      </c>
      <c r="E2933" s="7">
        <v>10</v>
      </c>
      <c r="F2933" s="7">
        <f t="shared" si="46"/>
        <v>6</v>
      </c>
      <c r="G2933" s="7" t="str">
        <f>LOOKUP(H2933,[1]startdates!$A$2:$A$10,[1]startdates!$B$2:$B$10)</f>
        <v>SMr</v>
      </c>
      <c r="H2933">
        <v>1</v>
      </c>
      <c r="I2933" s="7">
        <v>647.9</v>
      </c>
      <c r="K2933" s="7">
        <v>520.70000000000005</v>
      </c>
      <c r="L2933" s="7">
        <v>428.9</v>
      </c>
      <c r="M2933" s="7">
        <v>318</v>
      </c>
      <c r="N2933" s="7">
        <v>212.4</v>
      </c>
      <c r="O2933" s="7">
        <v>168.2</v>
      </c>
      <c r="P2933" s="7">
        <v>480.9</v>
      </c>
      <c r="Q2933" s="7">
        <v>305.10000000000002</v>
      </c>
    </row>
    <row r="2934" spans="1:20" x14ac:dyDescent="0.2">
      <c r="A2934">
        <v>2933</v>
      </c>
      <c r="B2934" s="1">
        <v>40802</v>
      </c>
      <c r="C2934" t="s">
        <v>28</v>
      </c>
      <c r="D2934" s="7">
        <v>64</v>
      </c>
      <c r="E2934" s="7">
        <v>10</v>
      </c>
      <c r="F2934" s="7">
        <f t="shared" si="46"/>
        <v>6</v>
      </c>
      <c r="G2934" s="7" t="str">
        <f>LOOKUP(H2934,[1]startdates!$A$2:$A$10,[1]startdates!$B$2:$B$10)</f>
        <v>SMr</v>
      </c>
      <c r="H2934">
        <v>1</v>
      </c>
      <c r="I2934" s="7">
        <v>639.4</v>
      </c>
      <c r="K2934" s="7">
        <v>512.4</v>
      </c>
      <c r="L2934" s="7">
        <v>398.2</v>
      </c>
      <c r="M2934" s="7">
        <v>329.7</v>
      </c>
      <c r="N2934" s="7">
        <v>221.4</v>
      </c>
      <c r="O2934" s="7">
        <v>191.4</v>
      </c>
      <c r="P2934" s="7">
        <v>426.9</v>
      </c>
      <c r="Q2934" s="7">
        <v>357.2</v>
      </c>
    </row>
    <row r="2935" spans="1:20" x14ac:dyDescent="0.2">
      <c r="A2935">
        <v>2934</v>
      </c>
      <c r="B2935" s="1">
        <v>40802</v>
      </c>
      <c r="C2935" t="s">
        <v>28</v>
      </c>
      <c r="D2935" s="7">
        <v>64</v>
      </c>
      <c r="E2935" s="7">
        <v>10</v>
      </c>
      <c r="F2935" s="7">
        <f t="shared" si="46"/>
        <v>6</v>
      </c>
      <c r="G2935" s="7" t="str">
        <f>LOOKUP(H2935,[1]startdates!$A$2:$A$10,[1]startdates!$B$2:$B$10)</f>
        <v>SMr</v>
      </c>
      <c r="H2935">
        <v>1</v>
      </c>
      <c r="I2935" s="7">
        <v>645.5</v>
      </c>
      <c r="M2935" s="7">
        <v>339.8</v>
      </c>
      <c r="N2935" s="7">
        <v>284.2</v>
      </c>
      <c r="O2935" s="7">
        <v>167.9</v>
      </c>
      <c r="P2935" s="7">
        <v>427.3</v>
      </c>
    </row>
    <row r="2936" spans="1:20" x14ac:dyDescent="0.2">
      <c r="A2936">
        <v>2935</v>
      </c>
      <c r="B2936" s="1">
        <v>40802</v>
      </c>
      <c r="C2936" t="s">
        <v>28</v>
      </c>
      <c r="D2936" s="7">
        <v>64</v>
      </c>
      <c r="E2936" s="7">
        <v>10</v>
      </c>
      <c r="F2936" s="7">
        <f t="shared" si="46"/>
        <v>6</v>
      </c>
      <c r="G2936" s="7" t="str">
        <f>LOOKUP(H2936,[1]startdates!$A$2:$A$10,[1]startdates!$B$2:$B$10)</f>
        <v>SMr</v>
      </c>
      <c r="H2936">
        <v>1</v>
      </c>
      <c r="I2936" s="7">
        <v>604.79999999999995</v>
      </c>
      <c r="M2936" s="7">
        <v>303.60000000000002</v>
      </c>
      <c r="N2936" s="7">
        <v>184.7</v>
      </c>
      <c r="O2936" s="7">
        <v>163.5</v>
      </c>
    </row>
    <row r="2937" spans="1:20" x14ac:dyDescent="0.2">
      <c r="A2937">
        <v>2936</v>
      </c>
      <c r="B2937" s="1">
        <v>40802</v>
      </c>
      <c r="C2937" t="s">
        <v>28</v>
      </c>
      <c r="D2937" s="7">
        <v>64</v>
      </c>
      <c r="E2937" s="7">
        <v>10</v>
      </c>
      <c r="F2937" s="7">
        <f t="shared" si="46"/>
        <v>6</v>
      </c>
      <c r="G2937" s="7" t="str">
        <f>LOOKUP(H2937,[1]startdates!$A$2:$A$10,[1]startdates!$B$2:$B$10)</f>
        <v>SMr</v>
      </c>
      <c r="H2937">
        <v>1</v>
      </c>
      <c r="I2937" s="7">
        <v>622.5</v>
      </c>
      <c r="M2937" s="7">
        <v>316.3</v>
      </c>
      <c r="N2937" s="7">
        <v>216.7</v>
      </c>
      <c r="O2937" s="7">
        <v>178.1</v>
      </c>
    </row>
    <row r="2938" spans="1:20" x14ac:dyDescent="0.2">
      <c r="A2938">
        <v>2937</v>
      </c>
      <c r="B2938" s="1">
        <v>40802</v>
      </c>
      <c r="C2938" t="s">
        <v>28</v>
      </c>
      <c r="D2938" s="7">
        <v>64</v>
      </c>
      <c r="E2938" s="7">
        <v>10</v>
      </c>
      <c r="F2938" s="7">
        <f t="shared" si="46"/>
        <v>6</v>
      </c>
      <c r="G2938" s="7" t="str">
        <f>LOOKUP(H2938,[1]startdates!$A$2:$A$10,[1]startdates!$B$2:$B$10)</f>
        <v>SMr</v>
      </c>
      <c r="H2938">
        <v>1</v>
      </c>
      <c r="I2938" s="7">
        <v>613.79999999999995</v>
      </c>
      <c r="M2938" s="7">
        <v>333.4</v>
      </c>
      <c r="N2938" s="7">
        <v>218.9</v>
      </c>
      <c r="O2938" s="7">
        <v>147.5</v>
      </c>
    </row>
    <row r="2939" spans="1:20" x14ac:dyDescent="0.2">
      <c r="A2939">
        <v>2938</v>
      </c>
      <c r="B2939" s="1">
        <v>40802</v>
      </c>
      <c r="C2939" t="s">
        <v>28</v>
      </c>
      <c r="D2939" s="7">
        <v>64</v>
      </c>
      <c r="E2939" s="7">
        <v>10</v>
      </c>
      <c r="F2939" s="7">
        <f t="shared" si="46"/>
        <v>6</v>
      </c>
      <c r="G2939" s="7" t="str">
        <f>LOOKUP(H2939,[1]startdates!$A$2:$A$10,[1]startdates!$B$2:$B$10)</f>
        <v>SMr</v>
      </c>
      <c r="H2939">
        <v>1</v>
      </c>
      <c r="M2939" s="7">
        <v>297.8</v>
      </c>
      <c r="N2939" s="7">
        <v>203.7</v>
      </c>
      <c r="O2939" s="7">
        <v>162.69999999999999</v>
      </c>
    </row>
    <row r="2940" spans="1:20" x14ac:dyDescent="0.2">
      <c r="A2940">
        <v>2939</v>
      </c>
      <c r="B2940" s="1">
        <v>40802</v>
      </c>
      <c r="C2940" t="s">
        <v>28</v>
      </c>
      <c r="D2940" s="7">
        <v>64</v>
      </c>
      <c r="E2940" s="7">
        <v>10</v>
      </c>
      <c r="F2940" s="7">
        <f t="shared" si="46"/>
        <v>6</v>
      </c>
      <c r="G2940" s="7" t="str">
        <f>LOOKUP(H2940,[1]startdates!$A$2:$A$10,[1]startdates!$B$2:$B$10)</f>
        <v>SMr</v>
      </c>
      <c r="H2940">
        <v>1</v>
      </c>
      <c r="M2940" s="7">
        <v>299</v>
      </c>
      <c r="N2940" s="7">
        <v>214</v>
      </c>
      <c r="O2940" s="7">
        <v>153.19999999999999</v>
      </c>
    </row>
    <row r="2941" spans="1:20" x14ac:dyDescent="0.2">
      <c r="A2941">
        <v>2940</v>
      </c>
      <c r="B2941" s="1">
        <v>40802</v>
      </c>
      <c r="C2941" t="s">
        <v>24</v>
      </c>
      <c r="D2941" s="7">
        <v>64</v>
      </c>
      <c r="E2941" s="7">
        <v>10</v>
      </c>
      <c r="F2941" s="7">
        <f t="shared" si="46"/>
        <v>6</v>
      </c>
      <c r="G2941" s="7" t="str">
        <f>LOOKUP(H2941,[1]startdates!$A$2:$A$10,[1]startdates!$B$2:$B$10)</f>
        <v>SMr</v>
      </c>
      <c r="H2941">
        <v>2</v>
      </c>
      <c r="M2941" s="7">
        <v>309.60000000000002</v>
      </c>
    </row>
    <row r="2942" spans="1:20" x14ac:dyDescent="0.2">
      <c r="A2942">
        <v>2941</v>
      </c>
      <c r="B2942" s="1">
        <v>40802</v>
      </c>
      <c r="C2942" t="s">
        <v>24</v>
      </c>
      <c r="D2942" s="7">
        <v>64</v>
      </c>
      <c r="E2942" s="7">
        <v>10</v>
      </c>
      <c r="F2942" s="7">
        <f t="shared" si="46"/>
        <v>6</v>
      </c>
      <c r="G2942" s="7" t="str">
        <f>LOOKUP(H2942,[1]startdates!$A$2:$A$10,[1]startdates!$B$2:$B$10)</f>
        <v>SMr</v>
      </c>
      <c r="H2942">
        <v>2</v>
      </c>
      <c r="I2942" s="7">
        <v>622</v>
      </c>
      <c r="J2942" s="7">
        <v>546</v>
      </c>
      <c r="K2942" s="7">
        <v>575</v>
      </c>
      <c r="L2942" s="7">
        <v>461</v>
      </c>
      <c r="M2942" s="7">
        <v>383</v>
      </c>
      <c r="N2942" s="7">
        <v>166</v>
      </c>
      <c r="O2942" s="7">
        <v>136</v>
      </c>
      <c r="P2942" s="7">
        <v>453</v>
      </c>
      <c r="Q2942" s="7">
        <v>292</v>
      </c>
      <c r="R2942" s="7">
        <v>291</v>
      </c>
    </row>
    <row r="2943" spans="1:20" x14ac:dyDescent="0.2">
      <c r="A2943">
        <v>2942</v>
      </c>
      <c r="B2943" s="1">
        <v>40802</v>
      </c>
      <c r="C2943" t="s">
        <v>24</v>
      </c>
      <c r="D2943" s="7">
        <v>64</v>
      </c>
      <c r="E2943" s="7">
        <v>10</v>
      </c>
      <c r="F2943" s="7">
        <f t="shared" si="46"/>
        <v>6</v>
      </c>
      <c r="G2943" s="7" t="str">
        <f>LOOKUP(H2943,[1]startdates!$A$2:$A$10,[1]startdates!$B$2:$B$10)</f>
        <v>SMr</v>
      </c>
      <c r="H2943">
        <v>2</v>
      </c>
      <c r="I2943" s="7">
        <v>636</v>
      </c>
      <c r="J2943" s="7">
        <v>396</v>
      </c>
      <c r="K2943" s="7">
        <v>570</v>
      </c>
      <c r="L2943" s="7">
        <v>500</v>
      </c>
      <c r="M2943" s="7">
        <v>320</v>
      </c>
      <c r="N2943" s="7">
        <v>203</v>
      </c>
      <c r="O2943" s="7">
        <v>146</v>
      </c>
      <c r="P2943" s="7">
        <v>516</v>
      </c>
    </row>
    <row r="2944" spans="1:20" x14ac:dyDescent="0.2">
      <c r="A2944">
        <v>2943</v>
      </c>
      <c r="B2944" s="1">
        <v>40802</v>
      </c>
      <c r="C2944" t="s">
        <v>24</v>
      </c>
      <c r="D2944" s="7">
        <v>64</v>
      </c>
      <c r="E2944" s="7">
        <v>10</v>
      </c>
      <c r="F2944" s="7">
        <f t="shared" si="46"/>
        <v>6</v>
      </c>
      <c r="G2944" s="7" t="str">
        <f>LOOKUP(H2944,[1]startdates!$A$2:$A$10,[1]startdates!$B$2:$B$10)</f>
        <v>SMr</v>
      </c>
      <c r="H2944">
        <v>2</v>
      </c>
      <c r="I2944" s="7">
        <v>517</v>
      </c>
      <c r="J2944" s="7">
        <v>454</v>
      </c>
      <c r="K2944" s="7">
        <v>450</v>
      </c>
      <c r="L2944" s="7">
        <v>483</v>
      </c>
      <c r="M2944" s="7">
        <v>322</v>
      </c>
      <c r="N2944" s="7">
        <v>176</v>
      </c>
      <c r="O2944" s="7">
        <v>143</v>
      </c>
      <c r="P2944" s="7">
        <v>403</v>
      </c>
    </row>
    <row r="2945" spans="1:16" x14ac:dyDescent="0.2">
      <c r="A2945">
        <v>2944</v>
      </c>
      <c r="B2945" s="1">
        <v>40802</v>
      </c>
      <c r="C2945" t="s">
        <v>24</v>
      </c>
      <c r="D2945" s="7">
        <v>64</v>
      </c>
      <c r="E2945" s="7">
        <v>10</v>
      </c>
      <c r="F2945" s="7">
        <f t="shared" si="46"/>
        <v>6</v>
      </c>
      <c r="G2945" s="7" t="str">
        <f>LOOKUP(H2945,[1]startdates!$A$2:$A$10,[1]startdates!$B$2:$B$10)</f>
        <v>SMr</v>
      </c>
      <c r="H2945">
        <v>2</v>
      </c>
      <c r="I2945" s="7">
        <v>472</v>
      </c>
      <c r="J2945" s="7">
        <v>425</v>
      </c>
      <c r="K2945" s="7">
        <v>390</v>
      </c>
      <c r="L2945" s="7">
        <v>391</v>
      </c>
      <c r="M2945" s="7">
        <v>315</v>
      </c>
      <c r="N2945" s="7">
        <v>166</v>
      </c>
      <c r="O2945" s="7">
        <v>128</v>
      </c>
      <c r="P2945" s="7">
        <v>331</v>
      </c>
    </row>
    <row r="2946" spans="1:16" x14ac:dyDescent="0.2">
      <c r="A2946">
        <v>2945</v>
      </c>
      <c r="B2946" s="1">
        <v>40802</v>
      </c>
      <c r="C2946" t="s">
        <v>24</v>
      </c>
      <c r="D2946" s="7">
        <v>64</v>
      </c>
      <c r="E2946" s="7">
        <v>10</v>
      </c>
      <c r="F2946" s="7">
        <f t="shared" si="46"/>
        <v>6</v>
      </c>
      <c r="G2946" s="7" t="str">
        <f>LOOKUP(H2946,[1]startdates!$A$2:$A$10,[1]startdates!$B$2:$B$10)</f>
        <v>SMr</v>
      </c>
      <c r="H2946">
        <v>2</v>
      </c>
      <c r="I2946" s="7">
        <v>516</v>
      </c>
      <c r="K2946" s="7">
        <v>431</v>
      </c>
      <c r="L2946" s="7">
        <v>382</v>
      </c>
      <c r="M2946" s="7">
        <v>291</v>
      </c>
      <c r="N2946" s="7">
        <v>180</v>
      </c>
      <c r="O2946" s="7">
        <v>132</v>
      </c>
      <c r="P2946" s="7">
        <v>358</v>
      </c>
    </row>
    <row r="2947" spans="1:16" x14ac:dyDescent="0.2">
      <c r="A2947">
        <v>2946</v>
      </c>
      <c r="B2947" s="1">
        <v>40802</v>
      </c>
      <c r="C2947" t="s">
        <v>24</v>
      </c>
      <c r="D2947" s="7">
        <v>64</v>
      </c>
      <c r="E2947" s="7">
        <v>10</v>
      </c>
      <c r="F2947" s="7">
        <f t="shared" si="46"/>
        <v>6</v>
      </c>
      <c r="G2947" s="7" t="str">
        <f>LOOKUP(H2947,[1]startdates!$A$2:$A$10,[1]startdates!$B$2:$B$10)</f>
        <v>SMr</v>
      </c>
      <c r="H2947">
        <v>2</v>
      </c>
      <c r="I2947" s="7">
        <v>514</v>
      </c>
      <c r="K2947" s="7">
        <v>321</v>
      </c>
      <c r="M2947" s="7">
        <v>320</v>
      </c>
      <c r="N2947" s="7">
        <v>171</v>
      </c>
      <c r="O2947" s="7">
        <v>142</v>
      </c>
    </row>
    <row r="2948" spans="1:16" x14ac:dyDescent="0.2">
      <c r="A2948">
        <v>2947</v>
      </c>
      <c r="B2948" s="1">
        <v>40802</v>
      </c>
      <c r="C2948" t="s">
        <v>24</v>
      </c>
      <c r="D2948" s="7">
        <v>64</v>
      </c>
      <c r="E2948" s="7">
        <v>10</v>
      </c>
      <c r="F2948" s="7">
        <f t="shared" si="46"/>
        <v>6</v>
      </c>
      <c r="G2948" s="7" t="str">
        <f>LOOKUP(H2948,[1]startdates!$A$2:$A$10,[1]startdates!$B$2:$B$10)</f>
        <v>SMr</v>
      </c>
      <c r="H2948">
        <v>2</v>
      </c>
      <c r="I2948" s="7">
        <v>500</v>
      </c>
      <c r="K2948" s="7">
        <v>304</v>
      </c>
      <c r="M2948" s="7">
        <v>274</v>
      </c>
      <c r="N2948" s="7">
        <v>229</v>
      </c>
      <c r="O2948" s="7">
        <v>127</v>
      </c>
    </row>
    <row r="2949" spans="1:16" x14ac:dyDescent="0.2">
      <c r="A2949">
        <v>2948</v>
      </c>
      <c r="B2949" s="1">
        <v>40802</v>
      </c>
      <c r="C2949" t="s">
        <v>24</v>
      </c>
      <c r="D2949" s="7">
        <v>64</v>
      </c>
      <c r="E2949" s="7">
        <v>10</v>
      </c>
      <c r="F2949" s="7">
        <f t="shared" si="46"/>
        <v>6</v>
      </c>
      <c r="G2949" s="7" t="str">
        <f>LOOKUP(H2949,[1]startdates!$A$2:$A$10,[1]startdates!$B$2:$B$10)</f>
        <v>SMr</v>
      </c>
      <c r="H2949">
        <v>2</v>
      </c>
      <c r="I2949" s="7">
        <v>466</v>
      </c>
      <c r="M2949" s="7">
        <v>278</v>
      </c>
      <c r="N2949" s="7">
        <v>182</v>
      </c>
      <c r="O2949" s="7">
        <v>141</v>
      </c>
    </row>
    <row r="2950" spans="1:16" x14ac:dyDescent="0.2">
      <c r="A2950">
        <v>2949</v>
      </c>
      <c r="B2950" s="1">
        <v>40802</v>
      </c>
      <c r="C2950" t="s">
        <v>24</v>
      </c>
      <c r="D2950" s="7">
        <v>64</v>
      </c>
      <c r="E2950" s="7">
        <v>10</v>
      </c>
      <c r="F2950" s="7">
        <f t="shared" si="46"/>
        <v>6</v>
      </c>
      <c r="G2950" s="7" t="str">
        <f>LOOKUP(H2950,[1]startdates!$A$2:$A$10,[1]startdates!$B$2:$B$10)</f>
        <v>SMr</v>
      </c>
      <c r="H2950">
        <v>2</v>
      </c>
      <c r="I2950" s="7">
        <v>497</v>
      </c>
      <c r="M2950" s="7">
        <v>279</v>
      </c>
      <c r="N2950" s="7">
        <v>190</v>
      </c>
    </row>
    <row r="2951" spans="1:16" x14ac:dyDescent="0.2">
      <c r="A2951">
        <v>2950</v>
      </c>
      <c r="B2951" s="1">
        <v>40802</v>
      </c>
      <c r="C2951" t="s">
        <v>24</v>
      </c>
      <c r="D2951" s="7">
        <v>64</v>
      </c>
      <c r="E2951" s="7">
        <v>10</v>
      </c>
      <c r="F2951" s="7">
        <f t="shared" si="46"/>
        <v>6</v>
      </c>
      <c r="G2951" s="7" t="str">
        <f>LOOKUP(H2951,[1]startdates!$A$2:$A$10,[1]startdates!$B$2:$B$10)</f>
        <v>SMr</v>
      </c>
      <c r="H2951">
        <v>2</v>
      </c>
      <c r="I2951" s="7">
        <v>454</v>
      </c>
      <c r="M2951" s="7">
        <v>232</v>
      </c>
      <c r="N2951" s="7">
        <v>181</v>
      </c>
    </row>
    <row r="2952" spans="1:16" x14ac:dyDescent="0.2">
      <c r="A2952">
        <v>2951</v>
      </c>
      <c r="B2952" s="1">
        <v>40802</v>
      </c>
      <c r="C2952" t="s">
        <v>24</v>
      </c>
      <c r="D2952" s="7">
        <v>64</v>
      </c>
      <c r="E2952" s="7">
        <v>10</v>
      </c>
      <c r="F2952" s="7">
        <f t="shared" si="46"/>
        <v>6</v>
      </c>
      <c r="G2952" s="7" t="str">
        <f>LOOKUP(H2952,[1]startdates!$A$2:$A$10,[1]startdates!$B$2:$B$10)</f>
        <v>SMr</v>
      </c>
      <c r="H2952">
        <v>2</v>
      </c>
      <c r="I2952" s="7">
        <v>520</v>
      </c>
      <c r="M2952" s="7">
        <v>288</v>
      </c>
      <c r="N2952" s="7">
        <v>215</v>
      </c>
    </row>
    <row r="2953" spans="1:16" x14ac:dyDescent="0.2">
      <c r="A2953">
        <v>2952</v>
      </c>
      <c r="B2953" s="1">
        <v>40802</v>
      </c>
      <c r="C2953" t="s">
        <v>24</v>
      </c>
      <c r="D2953" s="7">
        <v>64</v>
      </c>
      <c r="E2953" s="7">
        <v>10</v>
      </c>
      <c r="F2953" s="7">
        <f t="shared" si="46"/>
        <v>6</v>
      </c>
      <c r="G2953" s="7" t="str">
        <f>LOOKUP(H2953,[1]startdates!$A$2:$A$10,[1]startdates!$B$2:$B$10)</f>
        <v>SMr</v>
      </c>
      <c r="H2953">
        <v>2</v>
      </c>
      <c r="I2953" s="7">
        <v>563</v>
      </c>
    </row>
    <row r="2954" spans="1:16" x14ac:dyDescent="0.2">
      <c r="A2954">
        <v>2953</v>
      </c>
      <c r="B2954" s="1">
        <v>40802</v>
      </c>
      <c r="C2954" t="s">
        <v>24</v>
      </c>
      <c r="D2954" s="7">
        <v>64</v>
      </c>
      <c r="E2954" s="7">
        <v>10</v>
      </c>
      <c r="F2954" s="7">
        <f t="shared" si="46"/>
        <v>6</v>
      </c>
      <c r="G2954" s="7" t="str">
        <f>LOOKUP(H2954,[1]startdates!$A$2:$A$10,[1]startdates!$B$2:$B$10)</f>
        <v>SMr</v>
      </c>
      <c r="H2954">
        <v>2</v>
      </c>
      <c r="I2954" s="7">
        <v>525</v>
      </c>
    </row>
    <row r="2955" spans="1:16" x14ac:dyDescent="0.2">
      <c r="A2955">
        <v>2954</v>
      </c>
      <c r="B2955" s="1">
        <v>40802</v>
      </c>
      <c r="C2955" t="s">
        <v>24</v>
      </c>
      <c r="D2955" s="7">
        <v>64</v>
      </c>
      <c r="E2955" s="7">
        <v>10</v>
      </c>
      <c r="F2955" s="7">
        <f t="shared" si="46"/>
        <v>6</v>
      </c>
      <c r="G2955" s="7" t="str">
        <f>LOOKUP(H2955,[1]startdates!$A$2:$A$10,[1]startdates!$B$2:$B$10)</f>
        <v>SMr</v>
      </c>
      <c r="H2955">
        <v>2</v>
      </c>
      <c r="I2955" s="7">
        <v>483</v>
      </c>
    </row>
    <row r="2956" spans="1:16" x14ac:dyDescent="0.2">
      <c r="A2956">
        <v>2955</v>
      </c>
      <c r="B2956" s="1">
        <v>40802</v>
      </c>
      <c r="C2956" t="s">
        <v>24</v>
      </c>
      <c r="D2956" s="7">
        <v>64</v>
      </c>
      <c r="E2956" s="7">
        <v>10</v>
      </c>
      <c r="F2956" s="7">
        <f t="shared" si="46"/>
        <v>6</v>
      </c>
      <c r="G2956" s="7" t="str">
        <f>LOOKUP(H2956,[1]startdates!$A$2:$A$10,[1]startdates!$B$2:$B$10)</f>
        <v>C</v>
      </c>
      <c r="H2956">
        <v>3</v>
      </c>
      <c r="I2956" s="7">
        <v>675</v>
      </c>
      <c r="J2956" s="7">
        <v>622</v>
      </c>
      <c r="K2956" s="7">
        <v>547</v>
      </c>
      <c r="L2956" s="7">
        <v>508</v>
      </c>
      <c r="M2956" s="7">
        <v>327</v>
      </c>
      <c r="N2956" s="7">
        <v>264</v>
      </c>
      <c r="O2956" s="7">
        <v>157</v>
      </c>
    </row>
    <row r="2957" spans="1:16" x14ac:dyDescent="0.2">
      <c r="A2957">
        <v>2956</v>
      </c>
      <c r="B2957" s="1">
        <v>40802</v>
      </c>
      <c r="C2957" t="s">
        <v>24</v>
      </c>
      <c r="D2957" s="7">
        <v>64</v>
      </c>
      <c r="E2957" s="7">
        <v>10</v>
      </c>
      <c r="F2957" s="7">
        <f t="shared" si="46"/>
        <v>6</v>
      </c>
      <c r="G2957" s="7" t="str">
        <f>LOOKUP(H2957,[1]startdates!$A$2:$A$10,[1]startdates!$B$2:$B$10)</f>
        <v>C</v>
      </c>
      <c r="H2957">
        <v>3</v>
      </c>
      <c r="I2957" s="7">
        <v>741</v>
      </c>
      <c r="J2957" s="7">
        <v>589</v>
      </c>
      <c r="K2957" s="7">
        <v>553</v>
      </c>
      <c r="L2957" s="7">
        <v>469</v>
      </c>
      <c r="M2957" s="7">
        <v>354</v>
      </c>
      <c r="N2957" s="7">
        <v>262</v>
      </c>
      <c r="O2957" s="7">
        <v>168</v>
      </c>
    </row>
    <row r="2958" spans="1:16" x14ac:dyDescent="0.2">
      <c r="A2958">
        <v>2957</v>
      </c>
      <c r="B2958" s="1">
        <v>40802</v>
      </c>
      <c r="C2958" t="s">
        <v>24</v>
      </c>
      <c r="D2958" s="7">
        <v>64</v>
      </c>
      <c r="E2958" s="7">
        <v>10</v>
      </c>
      <c r="F2958" s="7">
        <f t="shared" si="46"/>
        <v>6</v>
      </c>
      <c r="G2958" s="7" t="str">
        <f>LOOKUP(H2958,[1]startdates!$A$2:$A$10,[1]startdates!$B$2:$B$10)</f>
        <v>C</v>
      </c>
      <c r="H2958">
        <v>3</v>
      </c>
      <c r="I2958" s="7">
        <v>641</v>
      </c>
      <c r="K2958" s="7">
        <v>471</v>
      </c>
      <c r="L2958" s="7">
        <v>448</v>
      </c>
      <c r="M2958" s="7">
        <v>364</v>
      </c>
      <c r="N2958" s="7">
        <v>287</v>
      </c>
      <c r="O2958" s="7">
        <v>214</v>
      </c>
    </row>
    <row r="2959" spans="1:16" x14ac:dyDescent="0.2">
      <c r="A2959">
        <v>2958</v>
      </c>
      <c r="B2959" s="1">
        <v>40802</v>
      </c>
      <c r="C2959" t="s">
        <v>24</v>
      </c>
      <c r="D2959" s="7">
        <v>64</v>
      </c>
      <c r="E2959" s="7">
        <v>10</v>
      </c>
      <c r="F2959" s="7">
        <f t="shared" si="46"/>
        <v>6</v>
      </c>
      <c r="G2959" s="7" t="str">
        <f>LOOKUP(H2959,[1]startdates!$A$2:$A$10,[1]startdates!$B$2:$B$10)</f>
        <v>C</v>
      </c>
      <c r="H2959">
        <v>3</v>
      </c>
      <c r="I2959" s="7">
        <v>488</v>
      </c>
      <c r="K2959" s="7">
        <v>633</v>
      </c>
      <c r="L2959" s="7">
        <v>491</v>
      </c>
      <c r="M2959" s="7">
        <v>324</v>
      </c>
      <c r="N2959" s="7">
        <v>265</v>
      </c>
      <c r="O2959" s="7">
        <v>196</v>
      </c>
    </row>
    <row r="2960" spans="1:16" x14ac:dyDescent="0.2">
      <c r="A2960">
        <v>2959</v>
      </c>
      <c r="B2960" s="1">
        <v>40802</v>
      </c>
      <c r="C2960" t="s">
        <v>24</v>
      </c>
      <c r="D2960" s="7">
        <v>64</v>
      </c>
      <c r="E2960" s="7">
        <v>10</v>
      </c>
      <c r="F2960" s="7">
        <f t="shared" si="46"/>
        <v>6</v>
      </c>
      <c r="G2960" s="7" t="str">
        <f>LOOKUP(H2960,[1]startdates!$A$2:$A$10,[1]startdates!$B$2:$B$10)</f>
        <v>C</v>
      </c>
      <c r="H2960">
        <v>3</v>
      </c>
      <c r="I2960" s="7">
        <v>572</v>
      </c>
      <c r="K2960" s="7">
        <v>479</v>
      </c>
      <c r="L2960" s="7">
        <v>488</v>
      </c>
      <c r="M2960" s="7">
        <v>350</v>
      </c>
      <c r="N2960" s="7">
        <v>277</v>
      </c>
      <c r="O2960" s="7">
        <v>196</v>
      </c>
    </row>
    <row r="2961" spans="1:19" x14ac:dyDescent="0.2">
      <c r="A2961">
        <v>2960</v>
      </c>
      <c r="B2961" s="1">
        <v>40802</v>
      </c>
      <c r="C2961" t="s">
        <v>24</v>
      </c>
      <c r="D2961" s="7">
        <v>64</v>
      </c>
      <c r="E2961" s="7">
        <v>10</v>
      </c>
      <c r="F2961" s="7">
        <f t="shared" si="46"/>
        <v>6</v>
      </c>
      <c r="G2961" s="7" t="str">
        <f>LOOKUP(H2961,[1]startdates!$A$2:$A$10,[1]startdates!$B$2:$B$10)</f>
        <v>C</v>
      </c>
      <c r="H2961">
        <v>3</v>
      </c>
      <c r="I2961" s="7">
        <v>703</v>
      </c>
      <c r="K2961" s="7">
        <v>433</v>
      </c>
      <c r="M2961" s="7">
        <v>331</v>
      </c>
      <c r="N2961" s="7">
        <v>227</v>
      </c>
      <c r="O2961" s="7">
        <v>195</v>
      </c>
    </row>
    <row r="2962" spans="1:19" x14ac:dyDescent="0.2">
      <c r="A2962">
        <v>2961</v>
      </c>
      <c r="B2962" s="1">
        <v>40802</v>
      </c>
      <c r="C2962" t="s">
        <v>24</v>
      </c>
      <c r="D2962" s="7">
        <v>64</v>
      </c>
      <c r="E2962" s="7">
        <v>10</v>
      </c>
      <c r="F2962" s="7">
        <f t="shared" si="46"/>
        <v>6</v>
      </c>
      <c r="G2962" s="7" t="str">
        <f>LOOKUP(H2962,[1]startdates!$A$2:$A$10,[1]startdates!$B$2:$B$10)</f>
        <v>C</v>
      </c>
      <c r="H2962">
        <v>3</v>
      </c>
      <c r="I2962" s="7">
        <v>720</v>
      </c>
      <c r="K2962" s="7">
        <v>584</v>
      </c>
      <c r="M2962" s="7">
        <v>336</v>
      </c>
      <c r="N2962" s="7">
        <v>247</v>
      </c>
      <c r="O2962" s="7">
        <v>215</v>
      </c>
    </row>
    <row r="2963" spans="1:19" x14ac:dyDescent="0.2">
      <c r="A2963">
        <v>2962</v>
      </c>
      <c r="B2963" s="1">
        <v>40802</v>
      </c>
      <c r="C2963" t="s">
        <v>24</v>
      </c>
      <c r="D2963" s="7">
        <v>64</v>
      </c>
      <c r="E2963" s="7">
        <v>10</v>
      </c>
      <c r="F2963" s="7">
        <f t="shared" si="46"/>
        <v>6</v>
      </c>
      <c r="G2963" s="7" t="str">
        <f>LOOKUP(H2963,[1]startdates!$A$2:$A$10,[1]startdates!$B$2:$B$10)</f>
        <v>C</v>
      </c>
      <c r="H2963">
        <v>3</v>
      </c>
      <c r="K2963" s="7">
        <v>497</v>
      </c>
      <c r="M2963" s="7">
        <v>337</v>
      </c>
      <c r="N2963" s="7">
        <v>273</v>
      </c>
      <c r="O2963" s="7">
        <v>200</v>
      </c>
    </row>
    <row r="2964" spans="1:19" x14ac:dyDescent="0.2">
      <c r="A2964">
        <v>2963</v>
      </c>
      <c r="B2964" s="1">
        <v>40802</v>
      </c>
      <c r="C2964" t="s">
        <v>24</v>
      </c>
      <c r="D2964" s="7">
        <v>64</v>
      </c>
      <c r="E2964" s="7">
        <v>10</v>
      </c>
      <c r="F2964" s="7">
        <f t="shared" si="46"/>
        <v>6</v>
      </c>
      <c r="G2964" s="7" t="str">
        <f>LOOKUP(H2964,[1]startdates!$A$2:$A$10,[1]startdates!$B$2:$B$10)</f>
        <v>C</v>
      </c>
      <c r="H2964">
        <v>3</v>
      </c>
      <c r="K2964" s="7">
        <v>608</v>
      </c>
      <c r="N2964" s="7">
        <v>241</v>
      </c>
      <c r="O2964" s="7">
        <v>195</v>
      </c>
    </row>
    <row r="2965" spans="1:19" x14ac:dyDescent="0.2">
      <c r="A2965">
        <v>2964</v>
      </c>
      <c r="B2965" s="1">
        <v>40802</v>
      </c>
      <c r="C2965" t="s">
        <v>24</v>
      </c>
      <c r="D2965" s="7">
        <v>64</v>
      </c>
      <c r="E2965" s="7">
        <v>10</v>
      </c>
      <c r="F2965" s="7">
        <f t="shared" si="46"/>
        <v>6</v>
      </c>
      <c r="G2965" s="7" t="str">
        <f>LOOKUP(H2965,[1]startdates!$A$2:$A$10,[1]startdates!$B$2:$B$10)</f>
        <v>C</v>
      </c>
      <c r="H2965">
        <v>3</v>
      </c>
      <c r="O2965" s="7">
        <v>210</v>
      </c>
    </row>
    <row r="2966" spans="1:19" x14ac:dyDescent="0.2">
      <c r="A2966">
        <v>2965</v>
      </c>
      <c r="B2966" s="1">
        <v>40802</v>
      </c>
      <c r="C2966" t="s">
        <v>24</v>
      </c>
      <c r="D2966" s="7">
        <v>64</v>
      </c>
      <c r="E2966" s="7">
        <v>10</v>
      </c>
      <c r="F2966" s="7">
        <f t="shared" si="46"/>
        <v>6</v>
      </c>
      <c r="G2966" s="7" t="str">
        <f>LOOKUP(H2966,[1]startdates!$A$2:$A$10,[1]startdates!$B$2:$B$10)</f>
        <v>SMr</v>
      </c>
      <c r="H2966">
        <v>4</v>
      </c>
      <c r="I2966" s="7">
        <v>622</v>
      </c>
      <c r="J2966" s="7">
        <v>594</v>
      </c>
      <c r="K2966" s="7">
        <v>544</v>
      </c>
      <c r="L2966" s="7">
        <v>401</v>
      </c>
      <c r="M2966" s="7">
        <v>345</v>
      </c>
      <c r="N2966" s="7">
        <v>261</v>
      </c>
      <c r="O2966" s="7">
        <v>253</v>
      </c>
      <c r="R2966" s="7">
        <v>276</v>
      </c>
    </row>
    <row r="2967" spans="1:19" x14ac:dyDescent="0.2">
      <c r="A2967">
        <v>2966</v>
      </c>
      <c r="B2967" s="1">
        <v>40802</v>
      </c>
      <c r="C2967" t="s">
        <v>24</v>
      </c>
      <c r="D2967" s="7">
        <v>64</v>
      </c>
      <c r="E2967" s="7">
        <v>10</v>
      </c>
      <c r="F2967" s="7">
        <f t="shared" si="46"/>
        <v>6</v>
      </c>
      <c r="G2967" s="7" t="str">
        <f>LOOKUP(H2967,[1]startdates!$A$2:$A$10,[1]startdates!$B$2:$B$10)</f>
        <v>SMr</v>
      </c>
      <c r="H2967">
        <v>4</v>
      </c>
      <c r="I2967" s="7">
        <v>784</v>
      </c>
      <c r="J2967" s="7">
        <v>593</v>
      </c>
      <c r="K2967" s="7">
        <v>481</v>
      </c>
      <c r="L2967" s="7">
        <v>400</v>
      </c>
      <c r="M2967" s="7">
        <v>315</v>
      </c>
      <c r="N2967" s="7">
        <v>274</v>
      </c>
      <c r="O2967" s="7">
        <v>177</v>
      </c>
    </row>
    <row r="2968" spans="1:19" x14ac:dyDescent="0.2">
      <c r="A2968">
        <v>2967</v>
      </c>
      <c r="B2968" s="1">
        <v>40802</v>
      </c>
      <c r="C2968" t="s">
        <v>24</v>
      </c>
      <c r="D2968" s="7">
        <v>64</v>
      </c>
      <c r="E2968" s="7">
        <v>10</v>
      </c>
      <c r="F2968" s="7">
        <f t="shared" si="46"/>
        <v>6</v>
      </c>
      <c r="G2968" s="7" t="str">
        <f>LOOKUP(H2968,[1]startdates!$A$2:$A$10,[1]startdates!$B$2:$B$10)</f>
        <v>SMr</v>
      </c>
      <c r="H2968">
        <v>4</v>
      </c>
      <c r="I2968" s="7">
        <v>839</v>
      </c>
      <c r="J2968" s="7">
        <v>591</v>
      </c>
      <c r="K2968" s="7">
        <v>692</v>
      </c>
      <c r="L2968" s="7">
        <v>432</v>
      </c>
      <c r="M2968" s="7">
        <v>354</v>
      </c>
      <c r="N2968" s="7">
        <v>251</v>
      </c>
      <c r="O2968" s="7">
        <v>187</v>
      </c>
    </row>
    <row r="2969" spans="1:19" x14ac:dyDescent="0.2">
      <c r="A2969">
        <v>2968</v>
      </c>
      <c r="B2969" s="1">
        <v>40802</v>
      </c>
      <c r="C2969" t="s">
        <v>24</v>
      </c>
      <c r="D2969" s="7">
        <v>64</v>
      </c>
      <c r="E2969" s="7">
        <v>10</v>
      </c>
      <c r="F2969" s="7">
        <f t="shared" si="46"/>
        <v>6</v>
      </c>
      <c r="G2969" s="7" t="str">
        <f>LOOKUP(H2969,[1]startdates!$A$2:$A$10,[1]startdates!$B$2:$B$10)</f>
        <v>SMr</v>
      </c>
      <c r="H2969">
        <v>4</v>
      </c>
      <c r="I2969" s="7">
        <v>638</v>
      </c>
      <c r="K2969" s="7">
        <v>651</v>
      </c>
      <c r="L2969" s="7">
        <v>552</v>
      </c>
      <c r="M2969" s="7">
        <v>334</v>
      </c>
      <c r="N2969" s="7">
        <v>268</v>
      </c>
      <c r="O2969" s="7">
        <v>210</v>
      </c>
    </row>
    <row r="2970" spans="1:19" x14ac:dyDescent="0.2">
      <c r="A2970">
        <v>2969</v>
      </c>
      <c r="B2970" s="1">
        <v>40802</v>
      </c>
      <c r="C2970" t="s">
        <v>24</v>
      </c>
      <c r="D2970" s="7">
        <v>64</v>
      </c>
      <c r="E2970" s="7">
        <v>10</v>
      </c>
      <c r="F2970" s="7">
        <f t="shared" si="46"/>
        <v>6</v>
      </c>
      <c r="G2970" s="7" t="str">
        <f>LOOKUP(H2970,[1]startdates!$A$2:$A$10,[1]startdates!$B$2:$B$10)</f>
        <v>SMr</v>
      </c>
      <c r="H2970">
        <v>4</v>
      </c>
      <c r="I2970" s="7">
        <v>691</v>
      </c>
      <c r="K2970" s="7">
        <v>478</v>
      </c>
      <c r="L2970" s="7">
        <v>501</v>
      </c>
      <c r="M2970" s="7">
        <v>333</v>
      </c>
      <c r="N2970" s="7">
        <v>279</v>
      </c>
      <c r="O2970" s="7">
        <v>190</v>
      </c>
    </row>
    <row r="2971" spans="1:19" x14ac:dyDescent="0.2">
      <c r="A2971">
        <v>2970</v>
      </c>
      <c r="B2971" s="1">
        <v>40802</v>
      </c>
      <c r="C2971" t="s">
        <v>24</v>
      </c>
      <c r="D2971" s="7">
        <v>64</v>
      </c>
      <c r="E2971" s="7">
        <v>10</v>
      </c>
      <c r="F2971" s="7">
        <f t="shared" si="46"/>
        <v>6</v>
      </c>
      <c r="G2971" s="7" t="str">
        <f>LOOKUP(H2971,[1]startdates!$A$2:$A$10,[1]startdates!$B$2:$B$10)</f>
        <v>SMr</v>
      </c>
      <c r="H2971">
        <v>4</v>
      </c>
      <c r="I2971" s="7">
        <v>620</v>
      </c>
      <c r="K2971" s="7">
        <v>549</v>
      </c>
      <c r="L2971" s="7">
        <v>480</v>
      </c>
      <c r="M2971" s="7">
        <v>333</v>
      </c>
      <c r="N2971" s="7">
        <v>244</v>
      </c>
      <c r="O2971" s="7">
        <v>212</v>
      </c>
    </row>
    <row r="2972" spans="1:19" x14ac:dyDescent="0.2">
      <c r="A2972">
        <v>2971</v>
      </c>
      <c r="B2972" s="1">
        <v>40802</v>
      </c>
      <c r="C2972" t="s">
        <v>24</v>
      </c>
      <c r="D2972" s="7">
        <v>64</v>
      </c>
      <c r="E2972" s="7">
        <v>10</v>
      </c>
      <c r="F2972" s="7">
        <f t="shared" si="46"/>
        <v>6</v>
      </c>
      <c r="G2972" s="7" t="str">
        <f>LOOKUP(H2972,[1]startdates!$A$2:$A$10,[1]startdates!$B$2:$B$10)</f>
        <v>SMr</v>
      </c>
      <c r="H2972">
        <v>4</v>
      </c>
      <c r="I2972" s="7">
        <v>694</v>
      </c>
      <c r="K2972" s="7">
        <v>598</v>
      </c>
      <c r="L2972" s="7">
        <v>421</v>
      </c>
      <c r="M2972" s="7">
        <v>382</v>
      </c>
      <c r="N2972" s="7">
        <v>281</v>
      </c>
      <c r="O2972" s="7">
        <v>183</v>
      </c>
    </row>
    <row r="2973" spans="1:19" x14ac:dyDescent="0.2">
      <c r="A2973">
        <v>2972</v>
      </c>
      <c r="B2973" s="1">
        <v>40802</v>
      </c>
      <c r="C2973" t="s">
        <v>24</v>
      </c>
      <c r="D2973" s="7">
        <v>64</v>
      </c>
      <c r="E2973" s="7">
        <v>10</v>
      </c>
      <c r="F2973" s="7">
        <f t="shared" si="46"/>
        <v>6</v>
      </c>
      <c r="G2973" s="7" t="str">
        <f>LOOKUP(H2973,[1]startdates!$A$2:$A$10,[1]startdates!$B$2:$B$10)</f>
        <v>SMr</v>
      </c>
      <c r="H2973">
        <v>4</v>
      </c>
      <c r="K2973" s="7">
        <v>610</v>
      </c>
      <c r="M2973" s="7">
        <v>317</v>
      </c>
      <c r="N2973" s="7">
        <v>276</v>
      </c>
    </row>
    <row r="2974" spans="1:19" x14ac:dyDescent="0.2">
      <c r="A2974">
        <v>2973</v>
      </c>
      <c r="B2974" s="1">
        <v>40802</v>
      </c>
      <c r="C2974" t="s">
        <v>24</v>
      </c>
      <c r="D2974" s="7">
        <v>64</v>
      </c>
      <c r="E2974" s="7">
        <v>10</v>
      </c>
      <c r="F2974" s="7">
        <f t="shared" si="46"/>
        <v>6</v>
      </c>
      <c r="G2974" s="7" t="str">
        <f>LOOKUP(H2974,[1]startdates!$A$2:$A$10,[1]startdates!$B$2:$B$10)</f>
        <v>SMr</v>
      </c>
      <c r="H2974">
        <v>4</v>
      </c>
      <c r="K2974" s="7">
        <v>580</v>
      </c>
      <c r="N2974" s="7">
        <v>275</v>
      </c>
    </row>
    <row r="2975" spans="1:19" x14ac:dyDescent="0.2">
      <c r="A2975">
        <v>2974</v>
      </c>
      <c r="B2975" s="1">
        <v>40802</v>
      </c>
      <c r="C2975" t="s">
        <v>24</v>
      </c>
      <c r="D2975" s="7">
        <v>64</v>
      </c>
      <c r="E2975" s="7">
        <v>10</v>
      </c>
      <c r="F2975" s="7">
        <f t="shared" si="46"/>
        <v>6</v>
      </c>
      <c r="G2975" s="7" t="str">
        <f>LOOKUP(H2975,[1]startdates!$A$2:$A$10,[1]startdates!$B$2:$B$10)</f>
        <v>SMr</v>
      </c>
      <c r="H2975">
        <v>4</v>
      </c>
      <c r="K2975" s="7">
        <v>574</v>
      </c>
    </row>
    <row r="2976" spans="1:19" x14ac:dyDescent="0.2">
      <c r="A2976">
        <v>2975</v>
      </c>
      <c r="B2976" s="1">
        <v>40802</v>
      </c>
      <c r="C2976" t="s">
        <v>28</v>
      </c>
      <c r="D2976" s="7">
        <v>64</v>
      </c>
      <c r="E2976" s="7">
        <v>10</v>
      </c>
      <c r="F2976" s="7">
        <f t="shared" si="46"/>
        <v>6</v>
      </c>
      <c r="G2976" s="7" t="str">
        <f>LOOKUP(H2976,[1]startdates!$A$2:$A$10,[1]startdates!$B$2:$B$10)</f>
        <v>C</v>
      </c>
      <c r="H2976">
        <v>5</v>
      </c>
      <c r="I2976" s="7">
        <v>668.5</v>
      </c>
      <c r="K2976" s="7">
        <v>541.6</v>
      </c>
      <c r="L2976" s="7">
        <v>408.3</v>
      </c>
      <c r="M2976" s="7">
        <v>326.10000000000002</v>
      </c>
      <c r="N2976" s="7">
        <v>251.9</v>
      </c>
      <c r="O2976" s="7">
        <v>153.19999999999999</v>
      </c>
      <c r="P2976" s="7">
        <v>492.2</v>
      </c>
      <c r="Q2976" s="7">
        <v>339</v>
      </c>
      <c r="R2976" s="7">
        <v>221.4</v>
      </c>
      <c r="S2976" s="7">
        <v>260.2</v>
      </c>
    </row>
    <row r="2977" spans="1:19" x14ac:dyDescent="0.2">
      <c r="A2977">
        <v>2976</v>
      </c>
      <c r="B2977" s="1">
        <v>40802</v>
      </c>
      <c r="C2977" t="s">
        <v>28</v>
      </c>
      <c r="D2977" s="7">
        <v>64</v>
      </c>
      <c r="E2977" s="7">
        <v>10</v>
      </c>
      <c r="F2977" s="7">
        <f t="shared" si="46"/>
        <v>6</v>
      </c>
      <c r="G2977" s="7" t="str">
        <f>LOOKUP(H2977,[1]startdates!$A$2:$A$10,[1]startdates!$B$2:$B$10)</f>
        <v>C</v>
      </c>
      <c r="H2977">
        <v>5</v>
      </c>
      <c r="I2977" s="7">
        <v>664.2</v>
      </c>
      <c r="K2977" s="7">
        <v>574.79999999999995</v>
      </c>
      <c r="L2977" s="7">
        <v>421.7</v>
      </c>
      <c r="M2977" s="7">
        <v>354.2</v>
      </c>
      <c r="N2977" s="7">
        <v>255.2</v>
      </c>
      <c r="O2977" s="7">
        <v>156.5</v>
      </c>
      <c r="P2977" s="7">
        <v>419.3</v>
      </c>
      <c r="Q2977" s="7">
        <v>355.4</v>
      </c>
      <c r="R2977" s="7">
        <v>251.9</v>
      </c>
      <c r="S2977" s="7">
        <v>295.39999999999998</v>
      </c>
    </row>
    <row r="2978" spans="1:19" x14ac:dyDescent="0.2">
      <c r="A2978">
        <v>2977</v>
      </c>
      <c r="B2978" s="1">
        <v>40802</v>
      </c>
      <c r="C2978" t="s">
        <v>28</v>
      </c>
      <c r="D2978" s="7">
        <v>64</v>
      </c>
      <c r="E2978" s="7">
        <v>10</v>
      </c>
      <c r="F2978" s="7">
        <f t="shared" si="46"/>
        <v>6</v>
      </c>
      <c r="G2978" s="7" t="str">
        <f>LOOKUP(H2978,[1]startdates!$A$2:$A$10,[1]startdates!$B$2:$B$10)</f>
        <v>C</v>
      </c>
      <c r="H2978">
        <v>5</v>
      </c>
      <c r="I2978" s="7">
        <v>619.6</v>
      </c>
      <c r="K2978" s="7">
        <v>547.29999999999995</v>
      </c>
      <c r="L2978" s="7">
        <v>406.1</v>
      </c>
      <c r="M2978" s="7">
        <v>292.3</v>
      </c>
      <c r="N2978" s="7">
        <v>268</v>
      </c>
      <c r="O2978" s="7">
        <v>197.9</v>
      </c>
      <c r="R2978" s="7">
        <v>257.2</v>
      </c>
    </row>
    <row r="2979" spans="1:19" x14ac:dyDescent="0.2">
      <c r="A2979">
        <v>2978</v>
      </c>
      <c r="B2979" s="1">
        <v>40802</v>
      </c>
      <c r="C2979" t="s">
        <v>28</v>
      </c>
      <c r="D2979" s="7">
        <v>64</v>
      </c>
      <c r="E2979" s="7">
        <v>10</v>
      </c>
      <c r="F2979" s="7">
        <f t="shared" si="46"/>
        <v>6</v>
      </c>
      <c r="G2979" s="7" t="str">
        <f>LOOKUP(H2979,[1]startdates!$A$2:$A$10,[1]startdates!$B$2:$B$10)</f>
        <v>C</v>
      </c>
      <c r="H2979">
        <v>5</v>
      </c>
      <c r="I2979" s="7">
        <v>600.9</v>
      </c>
      <c r="K2979" s="7">
        <v>648.1</v>
      </c>
      <c r="L2979" s="7">
        <v>497.8</v>
      </c>
      <c r="M2979" s="7">
        <v>312.8</v>
      </c>
      <c r="N2979" s="7">
        <v>262.8</v>
      </c>
      <c r="O2979" s="7">
        <v>163.5</v>
      </c>
      <c r="R2979" s="7">
        <v>282.2</v>
      </c>
    </row>
    <row r="2980" spans="1:19" x14ac:dyDescent="0.2">
      <c r="A2980">
        <v>2979</v>
      </c>
      <c r="B2980" s="1">
        <v>40802</v>
      </c>
      <c r="C2980" t="s">
        <v>28</v>
      </c>
      <c r="D2980" s="7">
        <v>64</v>
      </c>
      <c r="E2980" s="7">
        <v>10</v>
      </c>
      <c r="F2980" s="7">
        <f t="shared" si="46"/>
        <v>6</v>
      </c>
      <c r="G2980" s="7" t="str">
        <f>LOOKUP(H2980,[1]startdates!$A$2:$A$10,[1]startdates!$B$2:$B$10)</f>
        <v>C</v>
      </c>
      <c r="H2980">
        <v>5</v>
      </c>
      <c r="I2980" s="7">
        <v>644.1</v>
      </c>
      <c r="K2980" s="7">
        <v>527.9</v>
      </c>
      <c r="L2980" s="7">
        <v>471.3</v>
      </c>
      <c r="M2980" s="7">
        <v>334.9</v>
      </c>
      <c r="N2980" s="7">
        <v>258.60000000000002</v>
      </c>
      <c r="O2980" s="7">
        <v>151.80000000000001</v>
      </c>
    </row>
    <row r="2981" spans="1:19" x14ac:dyDescent="0.2">
      <c r="A2981">
        <v>2980</v>
      </c>
      <c r="B2981" s="1">
        <v>40802</v>
      </c>
      <c r="C2981" t="s">
        <v>28</v>
      </c>
      <c r="D2981" s="7">
        <v>64</v>
      </c>
      <c r="E2981" s="7">
        <v>10</v>
      </c>
      <c r="F2981" s="7">
        <f t="shared" si="46"/>
        <v>6</v>
      </c>
      <c r="G2981" s="7" t="str">
        <f>LOOKUP(H2981,[1]startdates!$A$2:$A$10,[1]startdates!$B$2:$B$10)</f>
        <v>C</v>
      </c>
      <c r="H2981">
        <v>5</v>
      </c>
      <c r="I2981" s="7">
        <v>704.6</v>
      </c>
      <c r="L2981" s="7">
        <v>454</v>
      </c>
      <c r="M2981" s="7">
        <v>292</v>
      </c>
      <c r="N2981" s="7">
        <v>206.2</v>
      </c>
      <c r="O2981" s="7">
        <v>177</v>
      </c>
    </row>
    <row r="2982" spans="1:19" x14ac:dyDescent="0.2">
      <c r="A2982">
        <v>2981</v>
      </c>
      <c r="B2982" s="1">
        <v>40802</v>
      </c>
      <c r="C2982" t="s">
        <v>28</v>
      </c>
      <c r="D2982" s="7">
        <v>64</v>
      </c>
      <c r="E2982" s="7">
        <v>10</v>
      </c>
      <c r="F2982" s="7">
        <f t="shared" si="46"/>
        <v>6</v>
      </c>
      <c r="G2982" s="7" t="str">
        <f>LOOKUP(H2982,[1]startdates!$A$2:$A$10,[1]startdates!$B$2:$B$10)</f>
        <v>C</v>
      </c>
      <c r="H2982">
        <v>5</v>
      </c>
      <c r="I2982" s="7">
        <v>547.29999999999995</v>
      </c>
      <c r="M2982" s="7">
        <v>266.10000000000002</v>
      </c>
      <c r="N2982" s="7">
        <v>282.2</v>
      </c>
      <c r="O2982" s="7">
        <v>169.4</v>
      </c>
    </row>
    <row r="2983" spans="1:19" x14ac:dyDescent="0.2">
      <c r="A2983">
        <v>2982</v>
      </c>
      <c r="B2983" s="1">
        <v>40802</v>
      </c>
      <c r="C2983" t="s">
        <v>28</v>
      </c>
      <c r="D2983" s="7">
        <v>64</v>
      </c>
      <c r="E2983" s="7">
        <v>10</v>
      </c>
      <c r="F2983" s="7">
        <f t="shared" si="46"/>
        <v>6</v>
      </c>
      <c r="G2983" s="7" t="str">
        <f>LOOKUP(H2983,[1]startdates!$A$2:$A$10,[1]startdates!$B$2:$B$10)</f>
        <v>C</v>
      </c>
      <c r="H2983">
        <v>5</v>
      </c>
      <c r="I2983" s="7">
        <v>599</v>
      </c>
      <c r="M2983" s="7">
        <v>338.5</v>
      </c>
      <c r="N2983" s="7">
        <v>296</v>
      </c>
      <c r="O2983" s="7">
        <v>175</v>
      </c>
    </row>
    <row r="2984" spans="1:19" x14ac:dyDescent="0.2">
      <c r="A2984">
        <v>2983</v>
      </c>
      <c r="B2984" s="1">
        <v>40802</v>
      </c>
      <c r="C2984" t="s">
        <v>28</v>
      </c>
      <c r="D2984" s="7">
        <v>64</v>
      </c>
      <c r="E2984" s="7">
        <v>10</v>
      </c>
      <c r="F2984" s="7">
        <f t="shared" si="46"/>
        <v>6</v>
      </c>
      <c r="G2984" s="7" t="str">
        <f>LOOKUP(H2984,[1]startdates!$A$2:$A$10,[1]startdates!$B$2:$B$10)</f>
        <v>C</v>
      </c>
      <c r="H2984">
        <v>5</v>
      </c>
      <c r="N2984" s="7">
        <v>257.2</v>
      </c>
      <c r="O2984" s="7">
        <v>174.6</v>
      </c>
    </row>
    <row r="2985" spans="1:19" x14ac:dyDescent="0.2">
      <c r="A2985">
        <v>2984</v>
      </c>
      <c r="B2985" s="1">
        <v>40802</v>
      </c>
      <c r="C2985" t="s">
        <v>28</v>
      </c>
      <c r="D2985" s="7">
        <v>64</v>
      </c>
      <c r="E2985" s="7">
        <v>10</v>
      </c>
      <c r="F2985" s="7">
        <f t="shared" ref="F2985:F3048" si="47">WEEKDAY(B2985)</f>
        <v>6</v>
      </c>
      <c r="G2985" s="7" t="str">
        <f>LOOKUP(H2985,[1]startdates!$A$2:$A$10,[1]startdates!$B$2:$B$10)</f>
        <v>C</v>
      </c>
      <c r="H2985">
        <v>5</v>
      </c>
      <c r="N2985" s="7">
        <v>245.2</v>
      </c>
      <c r="O2985" s="7">
        <v>160.80000000000001</v>
      </c>
    </row>
    <row r="2986" spans="1:19" x14ac:dyDescent="0.2">
      <c r="A2986">
        <v>2985</v>
      </c>
      <c r="B2986" s="1">
        <v>40802</v>
      </c>
      <c r="C2986" t="s">
        <v>28</v>
      </c>
      <c r="D2986" s="7">
        <v>64</v>
      </c>
      <c r="E2986" s="7">
        <v>10</v>
      </c>
      <c r="F2986" s="7">
        <f t="shared" si="47"/>
        <v>6</v>
      </c>
      <c r="G2986" s="7" t="str">
        <f>LOOKUP(H2986,[1]startdates!$A$2:$A$10,[1]startdates!$B$2:$B$10)</f>
        <v>C</v>
      </c>
      <c r="H2986">
        <v>5</v>
      </c>
      <c r="N2986" s="7">
        <v>264.39999999999998</v>
      </c>
      <c r="O2986" s="7">
        <v>164.7</v>
      </c>
    </row>
    <row r="2987" spans="1:19" x14ac:dyDescent="0.2">
      <c r="A2987">
        <v>2986</v>
      </c>
      <c r="B2987" s="1">
        <v>40802</v>
      </c>
      <c r="C2987" t="s">
        <v>28</v>
      </c>
      <c r="D2987" s="7">
        <v>64</v>
      </c>
      <c r="E2987" s="7">
        <v>10</v>
      </c>
      <c r="F2987" s="7">
        <f t="shared" si="47"/>
        <v>6</v>
      </c>
      <c r="G2987" s="7" t="str">
        <f>LOOKUP(H2987,[1]startdates!$A$2:$A$10,[1]startdates!$B$2:$B$10)</f>
        <v>FMr</v>
      </c>
      <c r="H2987">
        <v>6</v>
      </c>
      <c r="I2987" s="7">
        <v>599</v>
      </c>
      <c r="K2987" s="7">
        <v>532.9</v>
      </c>
      <c r="L2987" s="7">
        <v>428.4</v>
      </c>
      <c r="M2987" s="7">
        <v>326.2</v>
      </c>
      <c r="N2987" s="7">
        <v>263.10000000000002</v>
      </c>
      <c r="O2987" s="7">
        <v>155.30000000000001</v>
      </c>
      <c r="P2987" s="7">
        <v>438.2</v>
      </c>
      <c r="Q2987" s="7">
        <v>314.8</v>
      </c>
      <c r="R2987" s="7">
        <v>243.1</v>
      </c>
      <c r="S2987" s="7">
        <v>251.7</v>
      </c>
    </row>
    <row r="2988" spans="1:19" x14ac:dyDescent="0.2">
      <c r="A2988">
        <v>2987</v>
      </c>
      <c r="B2988" s="1">
        <v>40802</v>
      </c>
      <c r="C2988" t="s">
        <v>28</v>
      </c>
      <c r="D2988" s="7">
        <v>64</v>
      </c>
      <c r="E2988" s="7">
        <v>10</v>
      </c>
      <c r="F2988" s="7">
        <f t="shared" si="47"/>
        <v>6</v>
      </c>
      <c r="G2988" s="7" t="str">
        <f>LOOKUP(H2988,[1]startdates!$A$2:$A$10,[1]startdates!$B$2:$B$10)</f>
        <v>FMr</v>
      </c>
      <c r="H2988">
        <v>6</v>
      </c>
      <c r="I2988" s="7">
        <v>657.5</v>
      </c>
      <c r="K2988" s="7">
        <v>585.79999999999995</v>
      </c>
      <c r="L2988" s="7">
        <v>442.4</v>
      </c>
      <c r="M2988" s="7">
        <v>347.6</v>
      </c>
      <c r="N2988" s="7">
        <v>260.5</v>
      </c>
      <c r="O2988" s="7">
        <v>178.1</v>
      </c>
      <c r="P2988" s="7">
        <v>480.8</v>
      </c>
      <c r="Q2988" s="7">
        <v>340.4</v>
      </c>
    </row>
    <row r="2989" spans="1:19" x14ac:dyDescent="0.2">
      <c r="A2989">
        <v>2988</v>
      </c>
      <c r="B2989" s="1">
        <v>40802</v>
      </c>
      <c r="C2989" t="s">
        <v>28</v>
      </c>
      <c r="D2989" s="7">
        <v>64</v>
      </c>
      <c r="E2989" s="7">
        <v>10</v>
      </c>
      <c r="F2989" s="7">
        <f t="shared" si="47"/>
        <v>6</v>
      </c>
      <c r="G2989" s="7" t="str">
        <f>LOOKUP(H2989,[1]startdates!$A$2:$A$10,[1]startdates!$B$2:$B$10)</f>
        <v>FMr</v>
      </c>
      <c r="H2989">
        <v>6</v>
      </c>
      <c r="I2989" s="7">
        <v>720.4</v>
      </c>
      <c r="K2989" s="7">
        <v>531.1</v>
      </c>
      <c r="L2989" s="7">
        <v>420</v>
      </c>
      <c r="M2989" s="7">
        <v>349.8</v>
      </c>
      <c r="N2989" s="7">
        <v>307.5</v>
      </c>
      <c r="O2989" s="7">
        <v>161.69999999999999</v>
      </c>
      <c r="P2989" s="7">
        <v>434.5</v>
      </c>
    </row>
    <row r="2990" spans="1:19" x14ac:dyDescent="0.2">
      <c r="A2990">
        <v>2989</v>
      </c>
      <c r="B2990" s="1">
        <v>40802</v>
      </c>
      <c r="C2990" t="s">
        <v>28</v>
      </c>
      <c r="D2990" s="7">
        <v>64</v>
      </c>
      <c r="E2990" s="7">
        <v>10</v>
      </c>
      <c r="F2990" s="7">
        <f t="shared" si="47"/>
        <v>6</v>
      </c>
      <c r="G2990" s="7" t="str">
        <f>LOOKUP(H2990,[1]startdates!$A$2:$A$10,[1]startdates!$B$2:$B$10)</f>
        <v>FMr</v>
      </c>
      <c r="H2990">
        <v>6</v>
      </c>
      <c r="I2990" s="7">
        <v>696.5</v>
      </c>
      <c r="K2990" s="7">
        <v>457.2</v>
      </c>
      <c r="M2990" s="7">
        <v>359.1</v>
      </c>
      <c r="N2990" s="7">
        <v>258.10000000000002</v>
      </c>
      <c r="O2990" s="7">
        <v>155.30000000000001</v>
      </c>
      <c r="P2990" s="7">
        <v>474.2</v>
      </c>
    </row>
    <row r="2991" spans="1:19" x14ac:dyDescent="0.2">
      <c r="A2991">
        <v>2990</v>
      </c>
      <c r="B2991" s="1">
        <v>40802</v>
      </c>
      <c r="C2991" t="s">
        <v>28</v>
      </c>
      <c r="D2991" s="7">
        <v>64</v>
      </c>
      <c r="E2991" s="7">
        <v>10</v>
      </c>
      <c r="F2991" s="7">
        <f t="shared" si="47"/>
        <v>6</v>
      </c>
      <c r="G2991" s="7" t="str">
        <f>LOOKUP(H2991,[1]startdates!$A$2:$A$10,[1]startdates!$B$2:$B$10)</f>
        <v>FMr</v>
      </c>
      <c r="H2991">
        <v>6</v>
      </c>
      <c r="I2991" s="7">
        <v>598.79999999999995</v>
      </c>
      <c r="M2991" s="7">
        <v>317.2</v>
      </c>
      <c r="N2991" s="7">
        <v>214</v>
      </c>
      <c r="O2991" s="7">
        <v>172.5</v>
      </c>
    </row>
    <row r="2992" spans="1:19" x14ac:dyDescent="0.2">
      <c r="A2992">
        <v>2991</v>
      </c>
      <c r="B2992" s="1">
        <v>40802</v>
      </c>
      <c r="C2992" t="s">
        <v>28</v>
      </c>
      <c r="D2992" s="7">
        <v>64</v>
      </c>
      <c r="E2992" s="7">
        <v>10</v>
      </c>
      <c r="F2992" s="7">
        <f t="shared" si="47"/>
        <v>6</v>
      </c>
      <c r="G2992" s="7" t="str">
        <f>LOOKUP(H2992,[1]startdates!$A$2:$A$10,[1]startdates!$B$2:$B$10)</f>
        <v>FMr</v>
      </c>
      <c r="H2992">
        <v>6</v>
      </c>
      <c r="I2992" s="7">
        <v>610.6</v>
      </c>
      <c r="M2992" s="7">
        <v>362.7</v>
      </c>
      <c r="N2992" s="7">
        <v>210.6</v>
      </c>
      <c r="O2992" s="7">
        <v>154.80000000000001</v>
      </c>
    </row>
    <row r="2993" spans="1:17" x14ac:dyDescent="0.2">
      <c r="A2993">
        <v>2992</v>
      </c>
      <c r="B2993" s="1">
        <v>40802</v>
      </c>
      <c r="C2993" t="s">
        <v>28</v>
      </c>
      <c r="D2993" s="7">
        <v>64</v>
      </c>
      <c r="E2993" s="7">
        <v>10</v>
      </c>
      <c r="F2993" s="7">
        <f t="shared" si="47"/>
        <v>6</v>
      </c>
      <c r="G2993" s="7" t="str">
        <f>LOOKUP(H2993,[1]startdates!$A$2:$A$10,[1]startdates!$B$2:$B$10)</f>
        <v>FMr</v>
      </c>
      <c r="H2993">
        <v>6</v>
      </c>
      <c r="I2993" s="7">
        <v>563.20000000000005</v>
      </c>
      <c r="M2993" s="7">
        <v>316.3</v>
      </c>
      <c r="N2993" s="7">
        <v>201</v>
      </c>
      <c r="O2993" s="7">
        <v>170</v>
      </c>
    </row>
    <row r="2994" spans="1:17" x14ac:dyDescent="0.2">
      <c r="A2994">
        <v>2993</v>
      </c>
      <c r="B2994" s="1">
        <v>40802</v>
      </c>
      <c r="C2994" t="s">
        <v>28</v>
      </c>
      <c r="D2994" s="7">
        <v>64</v>
      </c>
      <c r="E2994" s="7">
        <v>10</v>
      </c>
      <c r="F2994" s="7">
        <f t="shared" si="47"/>
        <v>6</v>
      </c>
      <c r="G2994" s="7" t="str">
        <f>LOOKUP(H2994,[1]startdates!$A$2:$A$10,[1]startdates!$B$2:$B$10)</f>
        <v>FMr</v>
      </c>
      <c r="H2994">
        <v>6</v>
      </c>
      <c r="I2994" s="7">
        <v>666.2</v>
      </c>
      <c r="M2994" s="7">
        <v>293.2</v>
      </c>
      <c r="N2994" s="7">
        <v>234.9</v>
      </c>
      <c r="O2994" s="7">
        <v>184.7</v>
      </c>
    </row>
    <row r="2995" spans="1:17" x14ac:dyDescent="0.2">
      <c r="A2995">
        <v>2994</v>
      </c>
      <c r="B2995" s="1">
        <v>40802</v>
      </c>
      <c r="C2995" t="s">
        <v>28</v>
      </c>
      <c r="D2995" s="7">
        <v>64</v>
      </c>
      <c r="E2995" s="7">
        <v>10</v>
      </c>
      <c r="F2995" s="7">
        <f t="shared" si="47"/>
        <v>6</v>
      </c>
      <c r="G2995" s="7" t="str">
        <f>LOOKUP(H2995,[1]startdates!$A$2:$A$10,[1]startdates!$B$2:$B$10)</f>
        <v>FMr</v>
      </c>
      <c r="H2995">
        <v>6</v>
      </c>
      <c r="I2995" s="7">
        <v>606.6</v>
      </c>
      <c r="N2995" s="7">
        <v>266</v>
      </c>
      <c r="O2995" s="7">
        <v>154.80000000000001</v>
      </c>
    </row>
    <row r="2996" spans="1:17" x14ac:dyDescent="0.2">
      <c r="A2996">
        <v>2995</v>
      </c>
      <c r="B2996" s="1">
        <v>40802</v>
      </c>
      <c r="C2996" t="s">
        <v>28</v>
      </c>
      <c r="D2996" s="7">
        <v>64</v>
      </c>
      <c r="E2996" s="7">
        <v>10</v>
      </c>
      <c r="F2996" s="7">
        <f t="shared" si="47"/>
        <v>6</v>
      </c>
      <c r="G2996" s="7" t="str">
        <f>LOOKUP(H2996,[1]startdates!$A$2:$A$10,[1]startdates!$B$2:$B$10)</f>
        <v>FMr</v>
      </c>
      <c r="H2996">
        <v>6</v>
      </c>
      <c r="N2996" s="7">
        <v>232.5</v>
      </c>
      <c r="O2996" s="7">
        <v>184.7</v>
      </c>
    </row>
    <row r="2997" spans="1:17" x14ac:dyDescent="0.2">
      <c r="A2997">
        <v>2996</v>
      </c>
      <c r="B2997" s="1">
        <v>40802</v>
      </c>
      <c r="C2997" t="s">
        <v>28</v>
      </c>
      <c r="D2997" s="7">
        <v>64</v>
      </c>
      <c r="E2997" s="7">
        <v>10</v>
      </c>
      <c r="F2997" s="7">
        <f t="shared" si="47"/>
        <v>6</v>
      </c>
      <c r="G2997" s="7" t="str">
        <f>LOOKUP(H2997,[1]startdates!$A$2:$A$10,[1]startdates!$B$2:$B$10)</f>
        <v>FMr</v>
      </c>
      <c r="H2997">
        <v>6</v>
      </c>
      <c r="N2997" s="7">
        <v>200</v>
      </c>
      <c r="O2997" s="7">
        <v>174.6</v>
      </c>
    </row>
    <row r="2998" spans="1:17" x14ac:dyDescent="0.2">
      <c r="A2998">
        <v>2997</v>
      </c>
      <c r="B2998" s="1">
        <v>40802</v>
      </c>
      <c r="C2998" t="s">
        <v>28</v>
      </c>
      <c r="D2998" s="7">
        <v>64</v>
      </c>
      <c r="E2998" s="7">
        <v>10</v>
      </c>
      <c r="F2998" s="7">
        <f t="shared" si="47"/>
        <v>6</v>
      </c>
      <c r="G2998" s="7" t="str">
        <f>LOOKUP(H2998,[1]startdates!$A$2:$A$10,[1]startdates!$B$2:$B$10)</f>
        <v>FMr</v>
      </c>
      <c r="H2998">
        <v>6</v>
      </c>
      <c r="N2998" s="7">
        <v>208.4</v>
      </c>
    </row>
    <row r="2999" spans="1:17" x14ac:dyDescent="0.2">
      <c r="A2999">
        <v>2998</v>
      </c>
      <c r="B2999" s="1">
        <v>40802</v>
      </c>
      <c r="C2999" t="s">
        <v>28</v>
      </c>
      <c r="D2999" s="7">
        <v>64</v>
      </c>
      <c r="E2999" s="7">
        <v>10</v>
      </c>
      <c r="F2999" s="7">
        <f t="shared" si="47"/>
        <v>6</v>
      </c>
      <c r="G2999" s="7" t="str">
        <f>LOOKUP(H2999,[1]startdates!$A$2:$A$10,[1]startdates!$B$2:$B$10)</f>
        <v>FMr</v>
      </c>
      <c r="H2999">
        <v>6</v>
      </c>
      <c r="N2999" s="7">
        <v>231.2</v>
      </c>
    </row>
    <row r="3000" spans="1:17" x14ac:dyDescent="0.2">
      <c r="A3000">
        <v>2999</v>
      </c>
      <c r="B3000" s="1">
        <v>40802</v>
      </c>
      <c r="C3000" t="s">
        <v>28</v>
      </c>
      <c r="D3000" s="7">
        <v>64</v>
      </c>
      <c r="E3000" s="7">
        <v>10</v>
      </c>
      <c r="F3000" s="7">
        <f t="shared" si="47"/>
        <v>6</v>
      </c>
      <c r="G3000" s="7" t="str">
        <f>LOOKUP(H3000,[1]startdates!$A$2:$A$10,[1]startdates!$B$2:$B$10)</f>
        <v>FMr</v>
      </c>
      <c r="H3000">
        <v>6</v>
      </c>
      <c r="N3000" s="7">
        <v>280.2</v>
      </c>
    </row>
    <row r="3001" spans="1:17" x14ac:dyDescent="0.2">
      <c r="A3001">
        <v>3000</v>
      </c>
      <c r="B3001" s="1">
        <v>40802</v>
      </c>
      <c r="C3001" t="s">
        <v>28</v>
      </c>
      <c r="D3001" s="7">
        <v>64</v>
      </c>
      <c r="E3001" s="7">
        <v>10</v>
      </c>
      <c r="F3001" s="7">
        <f t="shared" si="47"/>
        <v>6</v>
      </c>
      <c r="G3001" s="7" t="str">
        <f>LOOKUP(H3001,[1]startdates!$A$2:$A$10,[1]startdates!$B$2:$B$10)</f>
        <v>FMr</v>
      </c>
      <c r="H3001">
        <v>6</v>
      </c>
      <c r="N3001" s="7">
        <v>280.39999999999998</v>
      </c>
    </row>
    <row r="3002" spans="1:17" x14ac:dyDescent="0.2">
      <c r="A3002">
        <v>3001</v>
      </c>
      <c r="B3002" s="1">
        <v>40802</v>
      </c>
      <c r="C3002" t="s">
        <v>24</v>
      </c>
      <c r="D3002" s="7">
        <v>64</v>
      </c>
      <c r="E3002" s="7">
        <v>10</v>
      </c>
      <c r="F3002" s="7">
        <f t="shared" si="47"/>
        <v>6</v>
      </c>
      <c r="G3002" s="7" t="str">
        <f>LOOKUP(H3002,[1]startdates!$A$2:$A$10,[1]startdates!$B$2:$B$10)</f>
        <v>FMr</v>
      </c>
      <c r="H3002">
        <v>7</v>
      </c>
      <c r="I3002" s="7">
        <v>577</v>
      </c>
      <c r="K3002" s="7">
        <v>454</v>
      </c>
      <c r="L3002" s="7">
        <v>479</v>
      </c>
      <c r="M3002" s="7">
        <v>294</v>
      </c>
      <c r="N3002" s="7">
        <v>187</v>
      </c>
      <c r="O3002" s="7">
        <v>197</v>
      </c>
      <c r="P3002" s="7">
        <v>476</v>
      </c>
      <c r="Q3002" s="7">
        <v>369</v>
      </c>
    </row>
    <row r="3003" spans="1:17" x14ac:dyDescent="0.2">
      <c r="A3003">
        <v>3002</v>
      </c>
      <c r="B3003" s="1">
        <v>40802</v>
      </c>
      <c r="C3003" t="s">
        <v>24</v>
      </c>
      <c r="D3003" s="7">
        <v>64</v>
      </c>
      <c r="E3003" s="7">
        <v>10</v>
      </c>
      <c r="F3003" s="7">
        <f t="shared" si="47"/>
        <v>6</v>
      </c>
      <c r="G3003" s="7" t="str">
        <f>LOOKUP(H3003,[1]startdates!$A$2:$A$10,[1]startdates!$B$2:$B$10)</f>
        <v>FMr</v>
      </c>
      <c r="H3003">
        <v>7</v>
      </c>
      <c r="I3003" s="7">
        <v>625</v>
      </c>
      <c r="K3003" s="7">
        <v>454</v>
      </c>
      <c r="L3003" s="7">
        <v>396</v>
      </c>
      <c r="M3003" s="7">
        <v>313</v>
      </c>
      <c r="N3003" s="7">
        <v>199</v>
      </c>
      <c r="O3003" s="7">
        <v>154</v>
      </c>
      <c r="P3003" s="7">
        <v>430</v>
      </c>
    </row>
    <row r="3004" spans="1:17" x14ac:dyDescent="0.2">
      <c r="A3004">
        <v>3003</v>
      </c>
      <c r="B3004" s="1">
        <v>40802</v>
      </c>
      <c r="C3004" t="s">
        <v>24</v>
      </c>
      <c r="D3004" s="7">
        <v>64</v>
      </c>
      <c r="E3004" s="7">
        <v>10</v>
      </c>
      <c r="F3004" s="7">
        <f t="shared" si="47"/>
        <v>6</v>
      </c>
      <c r="G3004" s="7" t="str">
        <f>LOOKUP(H3004,[1]startdates!$A$2:$A$10,[1]startdates!$B$2:$B$10)</f>
        <v>FMr</v>
      </c>
      <c r="H3004">
        <v>7</v>
      </c>
      <c r="I3004" s="7">
        <v>571</v>
      </c>
      <c r="K3004" s="7">
        <v>408</v>
      </c>
      <c r="L3004" s="7">
        <v>384</v>
      </c>
      <c r="M3004" s="7">
        <v>320</v>
      </c>
      <c r="N3004" s="7">
        <v>230</v>
      </c>
      <c r="O3004" s="7">
        <v>166</v>
      </c>
    </row>
    <row r="3005" spans="1:17" x14ac:dyDescent="0.2">
      <c r="A3005">
        <v>3004</v>
      </c>
      <c r="B3005" s="1">
        <v>40802</v>
      </c>
      <c r="C3005" t="s">
        <v>24</v>
      </c>
      <c r="D3005" s="7">
        <v>64</v>
      </c>
      <c r="E3005" s="7">
        <v>10</v>
      </c>
      <c r="F3005" s="7">
        <f t="shared" si="47"/>
        <v>6</v>
      </c>
      <c r="G3005" s="7" t="str">
        <f>LOOKUP(H3005,[1]startdates!$A$2:$A$10,[1]startdates!$B$2:$B$10)</f>
        <v>FMr</v>
      </c>
      <c r="H3005">
        <v>7</v>
      </c>
      <c r="I3005" s="7">
        <v>538</v>
      </c>
      <c r="K3005" s="7">
        <v>511</v>
      </c>
      <c r="L3005" s="7">
        <v>390</v>
      </c>
      <c r="M3005" s="7">
        <v>307</v>
      </c>
      <c r="N3005" s="7">
        <v>208</v>
      </c>
      <c r="O3005" s="7">
        <v>179</v>
      </c>
    </row>
    <row r="3006" spans="1:17" x14ac:dyDescent="0.2">
      <c r="A3006">
        <v>3005</v>
      </c>
      <c r="B3006" s="1">
        <v>40802</v>
      </c>
      <c r="C3006" t="s">
        <v>24</v>
      </c>
      <c r="D3006" s="7">
        <v>64</v>
      </c>
      <c r="E3006" s="7">
        <v>10</v>
      </c>
      <c r="F3006" s="7">
        <f t="shared" si="47"/>
        <v>6</v>
      </c>
      <c r="G3006" s="7" t="str">
        <f>LOOKUP(H3006,[1]startdates!$A$2:$A$10,[1]startdates!$B$2:$B$10)</f>
        <v>FMr</v>
      </c>
      <c r="H3006">
        <v>7</v>
      </c>
      <c r="I3006" s="7">
        <v>560</v>
      </c>
      <c r="K3006" s="7">
        <v>455</v>
      </c>
      <c r="L3006" s="7">
        <v>383</v>
      </c>
      <c r="M3006" s="7">
        <v>296</v>
      </c>
      <c r="N3006" s="7">
        <v>239</v>
      </c>
      <c r="O3006" s="7">
        <v>171</v>
      </c>
    </row>
    <row r="3007" spans="1:17" x14ac:dyDescent="0.2">
      <c r="A3007">
        <v>3006</v>
      </c>
      <c r="B3007" s="1">
        <v>40802</v>
      </c>
      <c r="C3007" t="s">
        <v>24</v>
      </c>
      <c r="D3007" s="7">
        <v>64</v>
      </c>
      <c r="E3007" s="7">
        <v>10</v>
      </c>
      <c r="F3007" s="7">
        <f t="shared" si="47"/>
        <v>6</v>
      </c>
      <c r="G3007" s="7" t="str">
        <f>LOOKUP(H3007,[1]startdates!$A$2:$A$10,[1]startdates!$B$2:$B$10)</f>
        <v>FMr</v>
      </c>
      <c r="H3007">
        <v>7</v>
      </c>
      <c r="I3007" s="7">
        <v>571</v>
      </c>
      <c r="K3007" s="7">
        <v>527</v>
      </c>
      <c r="L3007" s="7">
        <v>419</v>
      </c>
      <c r="M3007" s="7">
        <v>326</v>
      </c>
      <c r="N3007" s="7">
        <v>208</v>
      </c>
      <c r="O3007" s="7">
        <v>171</v>
      </c>
    </row>
    <row r="3008" spans="1:17" x14ac:dyDescent="0.2">
      <c r="A3008">
        <v>3007</v>
      </c>
      <c r="B3008" s="1">
        <v>40802</v>
      </c>
      <c r="C3008" t="s">
        <v>24</v>
      </c>
      <c r="D3008" s="7">
        <v>64</v>
      </c>
      <c r="E3008" s="7">
        <v>10</v>
      </c>
      <c r="F3008" s="7">
        <f t="shared" si="47"/>
        <v>6</v>
      </c>
      <c r="G3008" s="7" t="str">
        <f>LOOKUP(H3008,[1]startdates!$A$2:$A$10,[1]startdates!$B$2:$B$10)</f>
        <v>FMr</v>
      </c>
      <c r="H3008">
        <v>7</v>
      </c>
      <c r="I3008" s="7">
        <v>710</v>
      </c>
      <c r="K3008" s="7">
        <v>497</v>
      </c>
      <c r="L3008" s="7">
        <v>383</v>
      </c>
      <c r="M3008" s="7">
        <v>313</v>
      </c>
      <c r="N3008" s="7">
        <v>201</v>
      </c>
      <c r="O3008" s="7">
        <v>187</v>
      </c>
    </row>
    <row r="3009" spans="1:19" x14ac:dyDescent="0.2">
      <c r="A3009">
        <v>3008</v>
      </c>
      <c r="B3009" s="1">
        <v>40802</v>
      </c>
      <c r="C3009" t="s">
        <v>24</v>
      </c>
      <c r="D3009" s="7">
        <v>64</v>
      </c>
      <c r="E3009" s="7">
        <v>10</v>
      </c>
      <c r="F3009" s="7">
        <f t="shared" si="47"/>
        <v>6</v>
      </c>
      <c r="G3009" s="7" t="str">
        <f>LOOKUP(H3009,[1]startdates!$A$2:$A$10,[1]startdates!$B$2:$B$10)</f>
        <v>FMr</v>
      </c>
      <c r="H3009">
        <v>7</v>
      </c>
      <c r="I3009" s="7">
        <v>580</v>
      </c>
      <c r="K3009" s="7">
        <v>569</v>
      </c>
      <c r="L3009" s="7">
        <v>377</v>
      </c>
      <c r="M3009" s="7">
        <v>267</v>
      </c>
      <c r="N3009" s="7">
        <v>233</v>
      </c>
    </row>
    <row r="3010" spans="1:19" x14ac:dyDescent="0.2">
      <c r="A3010">
        <v>3009</v>
      </c>
      <c r="B3010" s="1">
        <v>40802</v>
      </c>
      <c r="C3010" t="s">
        <v>24</v>
      </c>
      <c r="D3010" s="7">
        <v>64</v>
      </c>
      <c r="E3010" s="7">
        <v>10</v>
      </c>
      <c r="F3010" s="7">
        <f t="shared" si="47"/>
        <v>6</v>
      </c>
      <c r="G3010" s="7" t="str">
        <f>LOOKUP(H3010,[1]startdates!$A$2:$A$10,[1]startdates!$B$2:$B$10)</f>
        <v>FMr</v>
      </c>
      <c r="H3010">
        <v>7</v>
      </c>
      <c r="I3010" s="7">
        <v>709</v>
      </c>
      <c r="K3010" s="7">
        <v>629</v>
      </c>
    </row>
    <row r="3011" spans="1:19" x14ac:dyDescent="0.2">
      <c r="A3011">
        <v>3010</v>
      </c>
      <c r="B3011" s="1">
        <v>40802</v>
      </c>
      <c r="C3011" t="s">
        <v>24</v>
      </c>
      <c r="D3011" s="7">
        <v>64</v>
      </c>
      <c r="E3011" s="7">
        <v>10</v>
      </c>
      <c r="F3011" s="7">
        <f t="shared" si="47"/>
        <v>6</v>
      </c>
      <c r="G3011" s="7" t="str">
        <f>LOOKUP(H3011,[1]startdates!$A$2:$A$10,[1]startdates!$B$2:$B$10)</f>
        <v>FMr</v>
      </c>
      <c r="H3011">
        <v>7</v>
      </c>
      <c r="I3011" s="7">
        <v>661</v>
      </c>
      <c r="K3011" s="7">
        <v>544</v>
      </c>
    </row>
    <row r="3012" spans="1:19" x14ac:dyDescent="0.2">
      <c r="A3012">
        <v>3011</v>
      </c>
      <c r="B3012" s="1">
        <v>40802</v>
      </c>
      <c r="C3012" t="s">
        <v>24</v>
      </c>
      <c r="D3012" s="7">
        <v>64</v>
      </c>
      <c r="E3012" s="7">
        <v>10</v>
      </c>
      <c r="F3012" s="7">
        <f t="shared" si="47"/>
        <v>6</v>
      </c>
      <c r="G3012" s="7" t="str">
        <f>LOOKUP(H3012,[1]startdates!$A$2:$A$10,[1]startdates!$B$2:$B$10)</f>
        <v>FMr</v>
      </c>
      <c r="H3012">
        <v>7</v>
      </c>
      <c r="I3012" s="7">
        <v>561</v>
      </c>
    </row>
    <row r="3013" spans="1:19" x14ac:dyDescent="0.2">
      <c r="A3013">
        <v>3012</v>
      </c>
      <c r="B3013" s="1">
        <v>40802</v>
      </c>
      <c r="C3013" t="s">
        <v>24</v>
      </c>
      <c r="D3013" s="7">
        <v>64</v>
      </c>
      <c r="E3013" s="7">
        <v>10</v>
      </c>
      <c r="F3013" s="7">
        <f t="shared" si="47"/>
        <v>6</v>
      </c>
      <c r="G3013" s="7" t="str">
        <f>LOOKUP(H3013,[1]startdates!$A$2:$A$10,[1]startdates!$B$2:$B$10)</f>
        <v>FMr</v>
      </c>
      <c r="H3013">
        <v>7</v>
      </c>
      <c r="I3013" s="7">
        <v>577</v>
      </c>
    </row>
    <row r="3014" spans="1:19" x14ac:dyDescent="0.2">
      <c r="A3014">
        <v>3013</v>
      </c>
      <c r="B3014" s="1">
        <v>40802</v>
      </c>
      <c r="C3014" t="s">
        <v>24</v>
      </c>
      <c r="D3014" s="7">
        <v>64</v>
      </c>
      <c r="E3014" s="7">
        <v>10</v>
      </c>
      <c r="F3014" s="7">
        <f t="shared" si="47"/>
        <v>6</v>
      </c>
      <c r="G3014" s="7" t="str">
        <f>LOOKUP(H3014,[1]startdates!$A$2:$A$10,[1]startdates!$B$2:$B$10)</f>
        <v>FMr</v>
      </c>
      <c r="H3014">
        <v>7</v>
      </c>
      <c r="I3014" s="7">
        <v>659</v>
      </c>
    </row>
    <row r="3015" spans="1:19" x14ac:dyDescent="0.2">
      <c r="A3015">
        <v>3014</v>
      </c>
      <c r="B3015" s="1">
        <v>40802</v>
      </c>
      <c r="C3015" t="s">
        <v>24</v>
      </c>
      <c r="D3015" s="7">
        <v>64</v>
      </c>
      <c r="E3015" s="7">
        <v>10</v>
      </c>
      <c r="F3015" s="7">
        <f t="shared" si="47"/>
        <v>6</v>
      </c>
      <c r="G3015" s="7" t="str">
        <f>LOOKUP(H3015,[1]startdates!$A$2:$A$10,[1]startdates!$B$2:$B$10)</f>
        <v>C</v>
      </c>
      <c r="H3015">
        <v>8</v>
      </c>
      <c r="I3015" s="7">
        <v>667</v>
      </c>
      <c r="J3015" s="7">
        <v>530</v>
      </c>
      <c r="K3015" s="7">
        <v>568</v>
      </c>
      <c r="L3015" s="7">
        <v>373</v>
      </c>
      <c r="M3015" s="7">
        <v>268</v>
      </c>
      <c r="N3015" s="7">
        <v>214</v>
      </c>
      <c r="O3015" s="7">
        <v>181</v>
      </c>
      <c r="S3015" s="7">
        <v>265</v>
      </c>
    </row>
    <row r="3016" spans="1:19" x14ac:dyDescent="0.2">
      <c r="A3016">
        <v>3015</v>
      </c>
      <c r="B3016" s="1">
        <v>40802</v>
      </c>
      <c r="C3016" t="s">
        <v>24</v>
      </c>
      <c r="D3016" s="7">
        <v>64</v>
      </c>
      <c r="E3016" s="7">
        <v>10</v>
      </c>
      <c r="F3016" s="7">
        <f t="shared" si="47"/>
        <v>6</v>
      </c>
      <c r="G3016" s="7" t="str">
        <f>LOOKUP(H3016,[1]startdates!$A$2:$A$10,[1]startdates!$B$2:$B$10)</f>
        <v>C</v>
      </c>
      <c r="H3016">
        <v>8</v>
      </c>
      <c r="I3016" s="7">
        <v>643</v>
      </c>
      <c r="J3016" s="7">
        <v>533</v>
      </c>
      <c r="K3016" s="7">
        <v>680</v>
      </c>
      <c r="L3016" s="7">
        <v>410</v>
      </c>
      <c r="M3016" s="7">
        <v>270</v>
      </c>
      <c r="N3016" s="7">
        <v>236</v>
      </c>
      <c r="O3016" s="7">
        <v>150</v>
      </c>
      <c r="S3016" s="7">
        <v>310</v>
      </c>
    </row>
    <row r="3017" spans="1:19" x14ac:dyDescent="0.2">
      <c r="A3017">
        <v>3016</v>
      </c>
      <c r="B3017" s="1">
        <v>40802</v>
      </c>
      <c r="C3017" t="s">
        <v>24</v>
      </c>
      <c r="D3017" s="7">
        <v>64</v>
      </c>
      <c r="E3017" s="7">
        <v>10</v>
      </c>
      <c r="F3017" s="7">
        <f t="shared" si="47"/>
        <v>6</v>
      </c>
      <c r="G3017" s="7" t="str">
        <f>LOOKUP(H3017,[1]startdates!$A$2:$A$10,[1]startdates!$B$2:$B$10)</f>
        <v>C</v>
      </c>
      <c r="H3017">
        <v>8</v>
      </c>
      <c r="I3017" s="7">
        <v>694</v>
      </c>
      <c r="J3017" s="7">
        <v>560</v>
      </c>
      <c r="K3017" s="7">
        <v>511</v>
      </c>
      <c r="L3017" s="7">
        <v>380</v>
      </c>
      <c r="M3017" s="7">
        <v>341</v>
      </c>
      <c r="N3017" s="7">
        <v>190</v>
      </c>
      <c r="O3017" s="7">
        <v>171</v>
      </c>
    </row>
    <row r="3018" spans="1:19" x14ac:dyDescent="0.2">
      <c r="A3018">
        <v>3017</v>
      </c>
      <c r="B3018" s="1">
        <v>40802</v>
      </c>
      <c r="C3018" t="s">
        <v>24</v>
      </c>
      <c r="D3018" s="7">
        <v>64</v>
      </c>
      <c r="E3018" s="7">
        <v>10</v>
      </c>
      <c r="F3018" s="7">
        <f t="shared" si="47"/>
        <v>6</v>
      </c>
      <c r="G3018" s="7" t="str">
        <f>LOOKUP(H3018,[1]startdates!$A$2:$A$10,[1]startdates!$B$2:$B$10)</f>
        <v>C</v>
      </c>
      <c r="H3018">
        <v>8</v>
      </c>
      <c r="I3018" s="7">
        <v>667</v>
      </c>
      <c r="K3018" s="7">
        <v>508</v>
      </c>
      <c r="L3018" s="7">
        <v>370</v>
      </c>
      <c r="M3018" s="7">
        <v>284</v>
      </c>
      <c r="N3018" s="7">
        <v>210</v>
      </c>
      <c r="O3018" s="7">
        <v>174</v>
      </c>
    </row>
    <row r="3019" spans="1:19" x14ac:dyDescent="0.2">
      <c r="A3019">
        <v>3018</v>
      </c>
      <c r="B3019" s="1">
        <v>40802</v>
      </c>
      <c r="C3019" t="s">
        <v>24</v>
      </c>
      <c r="D3019" s="7">
        <v>64</v>
      </c>
      <c r="E3019" s="7">
        <v>10</v>
      </c>
      <c r="F3019" s="7">
        <f t="shared" si="47"/>
        <v>6</v>
      </c>
      <c r="G3019" s="7" t="str">
        <f>LOOKUP(H3019,[1]startdates!$A$2:$A$10,[1]startdates!$B$2:$B$10)</f>
        <v>C</v>
      </c>
      <c r="H3019">
        <v>8</v>
      </c>
      <c r="I3019" s="7">
        <v>620</v>
      </c>
      <c r="K3019" s="7">
        <v>717</v>
      </c>
      <c r="L3019" s="7">
        <v>406</v>
      </c>
      <c r="M3019" s="7">
        <v>306</v>
      </c>
      <c r="N3019" s="7">
        <v>191</v>
      </c>
      <c r="O3019" s="7">
        <v>171</v>
      </c>
    </row>
    <row r="3020" spans="1:19" x14ac:dyDescent="0.2">
      <c r="A3020">
        <v>3019</v>
      </c>
      <c r="B3020" s="1">
        <v>40802</v>
      </c>
      <c r="C3020" t="s">
        <v>24</v>
      </c>
      <c r="D3020" s="7">
        <v>64</v>
      </c>
      <c r="E3020" s="7">
        <v>10</v>
      </c>
      <c r="F3020" s="7">
        <f t="shared" si="47"/>
        <v>6</v>
      </c>
      <c r="G3020" s="7" t="str">
        <f>LOOKUP(H3020,[1]startdates!$A$2:$A$10,[1]startdates!$B$2:$B$10)</f>
        <v>C</v>
      </c>
      <c r="H3020">
        <v>8</v>
      </c>
      <c r="I3020" s="7">
        <v>714</v>
      </c>
      <c r="M3020" s="7">
        <v>300</v>
      </c>
      <c r="N3020" s="7">
        <v>224</v>
      </c>
      <c r="O3020" s="7">
        <v>145</v>
      </c>
    </row>
    <row r="3021" spans="1:19" x14ac:dyDescent="0.2">
      <c r="A3021">
        <v>3020</v>
      </c>
      <c r="B3021" s="1">
        <v>40802</v>
      </c>
      <c r="C3021" t="s">
        <v>24</v>
      </c>
      <c r="D3021" s="7">
        <v>64</v>
      </c>
      <c r="E3021" s="7">
        <v>10</v>
      </c>
      <c r="F3021" s="7">
        <f t="shared" si="47"/>
        <v>6</v>
      </c>
      <c r="G3021" s="7" t="str">
        <f>LOOKUP(H3021,[1]startdates!$A$2:$A$10,[1]startdates!$B$2:$B$10)</f>
        <v>C</v>
      </c>
      <c r="H3021">
        <v>8</v>
      </c>
      <c r="I3021" s="7">
        <v>707</v>
      </c>
      <c r="M3021" s="7">
        <v>328</v>
      </c>
      <c r="N3021" s="7">
        <v>217</v>
      </c>
      <c r="O3021" s="7">
        <v>175</v>
      </c>
    </row>
    <row r="3022" spans="1:19" x14ac:dyDescent="0.2">
      <c r="A3022">
        <v>3021</v>
      </c>
      <c r="B3022" s="1">
        <v>40802</v>
      </c>
      <c r="C3022" t="s">
        <v>24</v>
      </c>
      <c r="D3022" s="7">
        <v>64</v>
      </c>
      <c r="E3022" s="7">
        <v>10</v>
      </c>
      <c r="F3022" s="7">
        <f t="shared" si="47"/>
        <v>6</v>
      </c>
      <c r="G3022" s="7" t="str">
        <f>LOOKUP(H3022,[1]startdates!$A$2:$A$10,[1]startdates!$B$2:$B$10)</f>
        <v>C</v>
      </c>
      <c r="H3022">
        <v>8</v>
      </c>
      <c r="I3022" s="7">
        <v>688</v>
      </c>
      <c r="O3022" s="7">
        <v>190</v>
      </c>
    </row>
    <row r="3023" spans="1:19" x14ac:dyDescent="0.2">
      <c r="A3023">
        <v>3022</v>
      </c>
      <c r="B3023" s="1">
        <v>40802</v>
      </c>
      <c r="C3023" t="s">
        <v>24</v>
      </c>
      <c r="D3023" s="7">
        <v>64</v>
      </c>
      <c r="E3023" s="7">
        <v>10</v>
      </c>
      <c r="F3023" s="7">
        <f t="shared" si="47"/>
        <v>6</v>
      </c>
      <c r="G3023" s="7" t="str">
        <f>LOOKUP(H3023,[1]startdates!$A$2:$A$10,[1]startdates!$B$2:$B$10)</f>
        <v>C</v>
      </c>
      <c r="H3023">
        <v>8</v>
      </c>
      <c r="I3023" s="7">
        <v>679</v>
      </c>
      <c r="O3023" s="7">
        <v>172</v>
      </c>
    </row>
    <row r="3024" spans="1:19" x14ac:dyDescent="0.2">
      <c r="A3024">
        <v>3023</v>
      </c>
      <c r="B3024" s="1">
        <v>40802</v>
      </c>
      <c r="C3024" t="s">
        <v>24</v>
      </c>
      <c r="D3024" s="7">
        <v>64</v>
      </c>
      <c r="E3024" s="7">
        <v>10</v>
      </c>
      <c r="F3024" s="7">
        <f t="shared" si="47"/>
        <v>6</v>
      </c>
      <c r="G3024" s="7" t="str">
        <f>LOOKUP(H3024,[1]startdates!$A$2:$A$10,[1]startdates!$B$2:$B$10)</f>
        <v>C</v>
      </c>
      <c r="H3024">
        <v>8</v>
      </c>
      <c r="I3024" s="7">
        <v>663</v>
      </c>
    </row>
    <row r="3025" spans="1:21" x14ac:dyDescent="0.2">
      <c r="A3025">
        <v>3024</v>
      </c>
      <c r="B3025" s="1">
        <v>40802</v>
      </c>
      <c r="C3025" t="s">
        <v>24</v>
      </c>
      <c r="D3025" s="7">
        <v>64</v>
      </c>
      <c r="E3025" s="7">
        <v>10</v>
      </c>
      <c r="F3025" s="7">
        <f t="shared" si="47"/>
        <v>6</v>
      </c>
      <c r="G3025" s="7" t="str">
        <f>LOOKUP(H3025,[1]startdates!$A$2:$A$10,[1]startdates!$B$2:$B$10)</f>
        <v>C</v>
      </c>
      <c r="H3025">
        <v>8</v>
      </c>
      <c r="I3025" s="7">
        <v>656</v>
      </c>
    </row>
    <row r="3026" spans="1:21" x14ac:dyDescent="0.2">
      <c r="A3026">
        <v>3025</v>
      </c>
      <c r="B3026" s="1">
        <v>40802</v>
      </c>
      <c r="C3026" t="s">
        <v>28</v>
      </c>
      <c r="D3026" s="7">
        <v>64</v>
      </c>
      <c r="E3026" s="7">
        <v>10</v>
      </c>
      <c r="F3026" s="7">
        <f t="shared" si="47"/>
        <v>6</v>
      </c>
      <c r="G3026" s="7" t="str">
        <f>LOOKUP(H3026,[1]startdates!$A$2:$A$10,[1]startdates!$B$2:$B$10)</f>
        <v>FMr</v>
      </c>
      <c r="H3026">
        <v>9</v>
      </c>
      <c r="I3026" s="7">
        <v>606</v>
      </c>
      <c r="J3026" s="7">
        <v>560.1</v>
      </c>
      <c r="K3026" s="7">
        <v>561.70000000000005</v>
      </c>
      <c r="L3026" s="7">
        <v>454.4</v>
      </c>
      <c r="M3026" s="7">
        <v>333.9</v>
      </c>
      <c r="N3026" s="7">
        <v>235.6</v>
      </c>
      <c r="O3026" s="7">
        <v>167.9</v>
      </c>
      <c r="P3026" s="7">
        <v>401.8</v>
      </c>
      <c r="R3026" s="7">
        <v>246.1</v>
      </c>
      <c r="S3026" s="7">
        <v>276.7</v>
      </c>
    </row>
    <row r="3027" spans="1:21" x14ac:dyDescent="0.2">
      <c r="A3027">
        <v>3026</v>
      </c>
      <c r="B3027" s="1">
        <v>40802</v>
      </c>
      <c r="C3027" t="s">
        <v>28</v>
      </c>
      <c r="D3027" s="7">
        <v>64</v>
      </c>
      <c r="E3027" s="7">
        <v>10</v>
      </c>
      <c r="F3027" s="7">
        <f t="shared" si="47"/>
        <v>6</v>
      </c>
      <c r="G3027" s="7" t="str">
        <f>LOOKUP(H3027,[1]startdates!$A$2:$A$10,[1]startdates!$B$2:$B$10)</f>
        <v>FMr</v>
      </c>
      <c r="H3027">
        <v>9</v>
      </c>
      <c r="I3027" s="7">
        <v>565.9</v>
      </c>
      <c r="J3027" s="7">
        <v>580</v>
      </c>
      <c r="K3027" s="7">
        <v>415.3</v>
      </c>
      <c r="L3027" s="7">
        <v>466.3</v>
      </c>
      <c r="M3027" s="7">
        <v>340.5</v>
      </c>
      <c r="N3027" s="7">
        <v>244.8</v>
      </c>
      <c r="O3027" s="7">
        <v>179.6</v>
      </c>
      <c r="P3027" s="7">
        <v>466.3</v>
      </c>
      <c r="R3027" s="7">
        <v>228.4</v>
      </c>
      <c r="S3027" s="7">
        <v>250.8</v>
      </c>
    </row>
    <row r="3028" spans="1:21" x14ac:dyDescent="0.2">
      <c r="A3028">
        <v>3027</v>
      </c>
      <c r="B3028" s="1">
        <v>40802</v>
      </c>
      <c r="C3028" t="s">
        <v>28</v>
      </c>
      <c r="D3028" s="7">
        <v>64</v>
      </c>
      <c r="E3028" s="7">
        <v>10</v>
      </c>
      <c r="F3028" s="7">
        <f t="shared" si="47"/>
        <v>6</v>
      </c>
      <c r="G3028" s="7" t="str">
        <f>LOOKUP(H3028,[1]startdates!$A$2:$A$10,[1]startdates!$B$2:$B$10)</f>
        <v>FMr</v>
      </c>
      <c r="H3028">
        <v>9</v>
      </c>
      <c r="I3028" s="7">
        <v>580.79999999999995</v>
      </c>
      <c r="K3028" s="7">
        <v>562</v>
      </c>
      <c r="L3028" s="7">
        <v>449.2</v>
      </c>
      <c r="M3028" s="7">
        <v>330</v>
      </c>
      <c r="N3028" s="7">
        <v>239.8</v>
      </c>
      <c r="O3028" s="7">
        <v>182.9</v>
      </c>
      <c r="P3028" s="7">
        <v>427.1</v>
      </c>
      <c r="R3028" s="7">
        <v>261.5</v>
      </c>
    </row>
    <row r="3029" spans="1:21" x14ac:dyDescent="0.2">
      <c r="A3029">
        <v>3028</v>
      </c>
      <c r="B3029" s="1">
        <v>40802</v>
      </c>
      <c r="C3029" t="s">
        <v>28</v>
      </c>
      <c r="D3029" s="7">
        <v>64</v>
      </c>
      <c r="E3029" s="7">
        <v>10</v>
      </c>
      <c r="F3029" s="7">
        <f t="shared" si="47"/>
        <v>6</v>
      </c>
      <c r="G3029" s="7" t="str">
        <f>LOOKUP(H3029,[1]startdates!$A$2:$A$10,[1]startdates!$B$2:$B$10)</f>
        <v>FMr</v>
      </c>
      <c r="H3029">
        <v>9</v>
      </c>
      <c r="I3029" s="7">
        <v>593.70000000000005</v>
      </c>
      <c r="K3029" s="7">
        <v>561.20000000000005</v>
      </c>
      <c r="L3029" s="7">
        <v>481.4</v>
      </c>
      <c r="M3029" s="7">
        <v>337.9</v>
      </c>
      <c r="N3029" s="7">
        <v>185.4</v>
      </c>
      <c r="O3029" s="7">
        <v>166.1</v>
      </c>
    </row>
    <row r="3030" spans="1:21" x14ac:dyDescent="0.2">
      <c r="A3030">
        <v>3029</v>
      </c>
      <c r="B3030" s="1">
        <v>40802</v>
      </c>
      <c r="C3030" t="s">
        <v>28</v>
      </c>
      <c r="D3030" s="7">
        <v>64</v>
      </c>
      <c r="E3030" s="7">
        <v>10</v>
      </c>
      <c r="F3030" s="7">
        <f t="shared" si="47"/>
        <v>6</v>
      </c>
      <c r="G3030" s="7" t="str">
        <f>LOOKUP(H3030,[1]startdates!$A$2:$A$10,[1]startdates!$B$2:$B$10)</f>
        <v>FMr</v>
      </c>
      <c r="H3030">
        <v>9</v>
      </c>
      <c r="I3030" s="7">
        <v>699.6</v>
      </c>
      <c r="K3030" s="7">
        <v>606.6</v>
      </c>
      <c r="L3030" s="7">
        <v>456.6</v>
      </c>
      <c r="M3030" s="7">
        <v>282.2</v>
      </c>
      <c r="N3030" s="7">
        <v>234.8</v>
      </c>
      <c r="O3030" s="7">
        <v>186.4</v>
      </c>
    </row>
    <row r="3031" spans="1:21" x14ac:dyDescent="0.2">
      <c r="A3031">
        <v>3030</v>
      </c>
      <c r="B3031" s="1">
        <v>40802</v>
      </c>
      <c r="C3031" t="s">
        <v>28</v>
      </c>
      <c r="D3031" s="7">
        <v>64</v>
      </c>
      <c r="E3031" s="7">
        <v>10</v>
      </c>
      <c r="F3031" s="7">
        <f t="shared" si="47"/>
        <v>6</v>
      </c>
      <c r="G3031" s="7" t="str">
        <f>LOOKUP(H3031,[1]startdates!$A$2:$A$10,[1]startdates!$B$2:$B$10)</f>
        <v>FMr</v>
      </c>
      <c r="H3031">
        <v>9</v>
      </c>
      <c r="I3031" s="7">
        <v>560.1</v>
      </c>
      <c r="L3031" s="7">
        <v>468</v>
      </c>
      <c r="M3031" s="7">
        <v>357.2</v>
      </c>
      <c r="N3031" s="7">
        <v>206.3</v>
      </c>
      <c r="O3031" s="7">
        <v>162</v>
      </c>
    </row>
    <row r="3032" spans="1:21" x14ac:dyDescent="0.2">
      <c r="A3032">
        <v>3031</v>
      </c>
      <c r="B3032" s="1">
        <v>40802</v>
      </c>
      <c r="C3032" t="s">
        <v>28</v>
      </c>
      <c r="D3032" s="7">
        <v>64</v>
      </c>
      <c r="E3032" s="7">
        <v>10</v>
      </c>
      <c r="F3032" s="7">
        <f t="shared" si="47"/>
        <v>6</v>
      </c>
      <c r="G3032" s="7" t="str">
        <f>LOOKUP(H3032,[1]startdates!$A$2:$A$10,[1]startdates!$B$2:$B$10)</f>
        <v>FMr</v>
      </c>
      <c r="H3032">
        <v>9</v>
      </c>
      <c r="I3032" s="7">
        <v>628.29999999999995</v>
      </c>
      <c r="N3032" s="7">
        <v>236.7</v>
      </c>
      <c r="O3032" s="7">
        <v>198.3</v>
      </c>
    </row>
    <row r="3033" spans="1:21" x14ac:dyDescent="0.2">
      <c r="A3033">
        <v>3032</v>
      </c>
      <c r="B3033" s="1">
        <v>40802</v>
      </c>
      <c r="C3033" t="s">
        <v>28</v>
      </c>
      <c r="D3033" s="7">
        <v>64</v>
      </c>
      <c r="E3033" s="7">
        <v>10</v>
      </c>
      <c r="F3033" s="7">
        <f t="shared" si="47"/>
        <v>6</v>
      </c>
      <c r="G3033" s="7" t="str">
        <f>LOOKUP(H3033,[1]startdates!$A$2:$A$10,[1]startdates!$B$2:$B$10)</f>
        <v>FMr</v>
      </c>
      <c r="H3033">
        <v>9</v>
      </c>
      <c r="I3033" s="7">
        <v>586.4</v>
      </c>
      <c r="N3033" s="7">
        <v>188.7</v>
      </c>
      <c r="O3033" s="7">
        <v>175</v>
      </c>
    </row>
    <row r="3034" spans="1:21" x14ac:dyDescent="0.2">
      <c r="A3034">
        <v>3033</v>
      </c>
      <c r="B3034" s="1">
        <v>40802</v>
      </c>
      <c r="C3034" t="s">
        <v>28</v>
      </c>
      <c r="D3034" s="7">
        <v>64</v>
      </c>
      <c r="E3034" s="7">
        <v>10</v>
      </c>
      <c r="F3034" s="7">
        <f t="shared" si="47"/>
        <v>6</v>
      </c>
      <c r="G3034" s="7" t="str">
        <f>LOOKUP(H3034,[1]startdates!$A$2:$A$10,[1]startdates!$B$2:$B$10)</f>
        <v>FMr</v>
      </c>
      <c r="H3034">
        <v>9</v>
      </c>
      <c r="I3034" s="7">
        <v>605.29999999999995</v>
      </c>
      <c r="N3034" s="7">
        <v>229.3</v>
      </c>
      <c r="O3034" s="7">
        <v>175</v>
      </c>
    </row>
    <row r="3035" spans="1:21" x14ac:dyDescent="0.2">
      <c r="A3035">
        <v>3034</v>
      </c>
      <c r="B3035" s="1">
        <v>40802</v>
      </c>
      <c r="C3035" t="s">
        <v>28</v>
      </c>
      <c r="D3035" s="7">
        <v>64</v>
      </c>
      <c r="E3035" s="7">
        <v>10</v>
      </c>
      <c r="F3035" s="7">
        <f t="shared" si="47"/>
        <v>6</v>
      </c>
      <c r="G3035" s="7" t="str">
        <f>LOOKUP(H3035,[1]startdates!$A$2:$A$10,[1]startdates!$B$2:$B$10)</f>
        <v>FMr</v>
      </c>
      <c r="H3035">
        <v>9</v>
      </c>
      <c r="I3035" s="7">
        <v>549.9</v>
      </c>
      <c r="N3035" s="7">
        <v>209.3</v>
      </c>
      <c r="O3035" s="7">
        <v>169.5</v>
      </c>
    </row>
    <row r="3036" spans="1:21" x14ac:dyDescent="0.2">
      <c r="A3036">
        <v>3035</v>
      </c>
      <c r="B3036" s="1">
        <v>40802</v>
      </c>
      <c r="C3036" t="s">
        <v>28</v>
      </c>
      <c r="D3036" s="7">
        <v>64</v>
      </c>
      <c r="E3036" s="7">
        <v>10</v>
      </c>
      <c r="F3036" s="7">
        <f t="shared" si="47"/>
        <v>6</v>
      </c>
      <c r="G3036" s="7" t="str">
        <f>LOOKUP(H3036,[1]startdates!$A$2:$A$10,[1]startdates!$B$2:$B$10)</f>
        <v>FMr</v>
      </c>
      <c r="H3036">
        <v>9</v>
      </c>
      <c r="I3036" s="7">
        <v>567.20000000000005</v>
      </c>
    </row>
    <row r="3037" spans="1:21" x14ac:dyDescent="0.2">
      <c r="A3037">
        <v>3036</v>
      </c>
      <c r="B3037" s="1">
        <v>40802</v>
      </c>
      <c r="C3037" t="s">
        <v>28</v>
      </c>
      <c r="D3037" s="7">
        <v>64</v>
      </c>
      <c r="E3037" s="7">
        <v>10</v>
      </c>
      <c r="F3037" s="7">
        <f t="shared" si="47"/>
        <v>6</v>
      </c>
      <c r="G3037" s="7" t="str">
        <f>LOOKUP(H3037,[1]startdates!$A$2:$A$10,[1]startdates!$B$2:$B$10)</f>
        <v>FMr</v>
      </c>
      <c r="H3037">
        <v>9</v>
      </c>
      <c r="I3037" s="7">
        <v>589.29999999999995</v>
      </c>
    </row>
    <row r="3038" spans="1:21" x14ac:dyDescent="0.2">
      <c r="A3038">
        <v>3037</v>
      </c>
      <c r="B3038" s="1">
        <v>40806</v>
      </c>
      <c r="C3038" t="s">
        <v>28</v>
      </c>
      <c r="D3038" s="7">
        <v>68</v>
      </c>
      <c r="E3038" s="7">
        <v>11</v>
      </c>
      <c r="F3038" s="7">
        <f t="shared" si="47"/>
        <v>3</v>
      </c>
      <c r="G3038" s="7" t="str">
        <f>LOOKUP(H3038,[1]startdates!$A$2:$A$10,[1]startdates!$B$2:$B$10)</f>
        <v>SMr</v>
      </c>
      <c r="H3038">
        <v>1</v>
      </c>
      <c r="I3038" s="7">
        <v>670.4</v>
      </c>
      <c r="J3038" s="7">
        <v>521.1</v>
      </c>
      <c r="K3038" s="7">
        <v>477</v>
      </c>
      <c r="L3038" s="7">
        <v>430.2</v>
      </c>
      <c r="M3038" s="7">
        <v>317.39999999999998</v>
      </c>
      <c r="N3038" s="7">
        <v>206.3</v>
      </c>
      <c r="O3038" s="7">
        <v>140.1</v>
      </c>
      <c r="P3038" s="7">
        <v>486.9</v>
      </c>
      <c r="Q3038" s="7">
        <v>372.1</v>
      </c>
      <c r="S3038" s="7">
        <v>288.7</v>
      </c>
      <c r="U3038" s="7">
        <v>570.4</v>
      </c>
    </row>
    <row r="3039" spans="1:21" x14ac:dyDescent="0.2">
      <c r="A3039">
        <v>3038</v>
      </c>
      <c r="B3039" s="1">
        <v>40806</v>
      </c>
      <c r="C3039" t="s">
        <v>28</v>
      </c>
      <c r="D3039" s="7">
        <v>68</v>
      </c>
      <c r="E3039" s="7">
        <v>11</v>
      </c>
      <c r="F3039" s="7">
        <f t="shared" si="47"/>
        <v>3</v>
      </c>
      <c r="G3039" s="7" t="str">
        <f>LOOKUP(H3039,[1]startdates!$A$2:$A$10,[1]startdates!$B$2:$B$10)</f>
        <v>SMr</v>
      </c>
      <c r="H3039">
        <v>1</v>
      </c>
      <c r="I3039" s="7">
        <v>588.9</v>
      </c>
      <c r="J3039" s="7">
        <v>524.1</v>
      </c>
      <c r="K3039" s="7">
        <v>477.2</v>
      </c>
      <c r="L3039" s="7">
        <v>415</v>
      </c>
      <c r="M3039" s="7">
        <v>338.7</v>
      </c>
      <c r="N3039" s="7">
        <v>187.7</v>
      </c>
      <c r="O3039" s="7">
        <v>166.1</v>
      </c>
      <c r="P3039" s="7">
        <v>465.7</v>
      </c>
      <c r="Q3039" s="7">
        <v>352</v>
      </c>
      <c r="S3039" s="7">
        <v>206.7</v>
      </c>
      <c r="U3039" s="7">
        <v>471.3</v>
      </c>
    </row>
    <row r="3040" spans="1:21" x14ac:dyDescent="0.2">
      <c r="A3040">
        <v>3039</v>
      </c>
      <c r="B3040" s="1">
        <v>40806</v>
      </c>
      <c r="C3040" t="s">
        <v>28</v>
      </c>
      <c r="D3040" s="7">
        <v>68</v>
      </c>
      <c r="E3040" s="7">
        <v>11</v>
      </c>
      <c r="F3040" s="7">
        <f t="shared" si="47"/>
        <v>3</v>
      </c>
      <c r="G3040" s="7" t="str">
        <f>LOOKUP(H3040,[1]startdates!$A$2:$A$10,[1]startdates!$B$2:$B$10)</f>
        <v>SMr</v>
      </c>
      <c r="H3040">
        <v>1</v>
      </c>
      <c r="I3040" s="7">
        <v>606</v>
      </c>
      <c r="J3040" s="7">
        <v>537.70000000000005</v>
      </c>
      <c r="K3040" s="7">
        <v>458.5</v>
      </c>
      <c r="L3040" s="7">
        <v>475.4</v>
      </c>
      <c r="M3040" s="7">
        <v>371.8</v>
      </c>
      <c r="N3040" s="7">
        <v>206.7</v>
      </c>
      <c r="O3040" s="7">
        <v>177</v>
      </c>
      <c r="Q3040" s="7">
        <v>307.60000000000002</v>
      </c>
      <c r="S3040" s="7">
        <v>260.3</v>
      </c>
      <c r="U3040" s="7">
        <v>369.1</v>
      </c>
    </row>
    <row r="3041" spans="1:21" x14ac:dyDescent="0.2">
      <c r="A3041">
        <v>3040</v>
      </c>
      <c r="B3041" s="1">
        <v>40806</v>
      </c>
      <c r="C3041" t="s">
        <v>28</v>
      </c>
      <c r="D3041" s="7">
        <v>68</v>
      </c>
      <c r="E3041" s="7">
        <v>11</v>
      </c>
      <c r="F3041" s="7">
        <f t="shared" si="47"/>
        <v>3</v>
      </c>
      <c r="G3041" s="7" t="str">
        <f>LOOKUP(H3041,[1]startdates!$A$2:$A$10,[1]startdates!$B$2:$B$10)</f>
        <v>SMr</v>
      </c>
      <c r="H3041">
        <v>1</v>
      </c>
      <c r="I3041" s="7">
        <v>650.9</v>
      </c>
      <c r="L3041" s="7">
        <v>411.4</v>
      </c>
      <c r="M3041" s="7">
        <v>337.9</v>
      </c>
      <c r="N3041" s="7">
        <v>265.5</v>
      </c>
      <c r="O3041" s="7">
        <v>192</v>
      </c>
      <c r="Q3041" s="7">
        <v>356.9</v>
      </c>
      <c r="S3041" s="7">
        <v>243.1</v>
      </c>
    </row>
    <row r="3042" spans="1:21" x14ac:dyDescent="0.2">
      <c r="A3042">
        <v>3041</v>
      </c>
      <c r="B3042" s="1">
        <v>40806</v>
      </c>
      <c r="C3042" t="s">
        <v>28</v>
      </c>
      <c r="D3042" s="7">
        <v>68</v>
      </c>
      <c r="E3042" s="7">
        <v>11</v>
      </c>
      <c r="F3042" s="7">
        <f t="shared" si="47"/>
        <v>3</v>
      </c>
      <c r="G3042" s="7" t="str">
        <f>LOOKUP(H3042,[1]startdates!$A$2:$A$10,[1]startdates!$B$2:$B$10)</f>
        <v>SMr</v>
      </c>
      <c r="H3042">
        <v>1</v>
      </c>
      <c r="I3042" s="7">
        <v>687.3</v>
      </c>
      <c r="L3042" s="7">
        <v>414.6</v>
      </c>
      <c r="M3042" s="7">
        <v>324.10000000000002</v>
      </c>
      <c r="N3042" s="7">
        <v>250.8</v>
      </c>
      <c r="O3042" s="7">
        <v>173.8</v>
      </c>
      <c r="Q3042" s="7">
        <v>374.1</v>
      </c>
      <c r="S3042" s="7">
        <v>250.5</v>
      </c>
    </row>
    <row r="3043" spans="1:21" x14ac:dyDescent="0.2">
      <c r="A3043">
        <v>3042</v>
      </c>
      <c r="B3043" s="1">
        <v>40806</v>
      </c>
      <c r="C3043" t="s">
        <v>28</v>
      </c>
      <c r="D3043" s="7">
        <v>68</v>
      </c>
      <c r="E3043" s="7">
        <v>11</v>
      </c>
      <c r="F3043" s="7">
        <f t="shared" si="47"/>
        <v>3</v>
      </c>
      <c r="G3043" s="7" t="str">
        <f>LOOKUP(H3043,[1]startdates!$A$2:$A$10,[1]startdates!$B$2:$B$10)</f>
        <v>SMr</v>
      </c>
      <c r="H3043">
        <v>1</v>
      </c>
      <c r="I3043" s="7">
        <v>644</v>
      </c>
      <c r="M3043" s="7">
        <v>323.5</v>
      </c>
      <c r="N3043" s="7">
        <v>228.7</v>
      </c>
      <c r="O3043" s="7">
        <v>179.2</v>
      </c>
      <c r="Q3043" s="7">
        <v>340.7</v>
      </c>
      <c r="S3043" s="7">
        <v>265.5</v>
      </c>
    </row>
    <row r="3044" spans="1:21" x14ac:dyDescent="0.2">
      <c r="A3044">
        <v>3043</v>
      </c>
      <c r="B3044" s="1">
        <v>40806</v>
      </c>
      <c r="C3044" t="s">
        <v>28</v>
      </c>
      <c r="D3044" s="7">
        <v>68</v>
      </c>
      <c r="E3044" s="7">
        <v>11</v>
      </c>
      <c r="F3044" s="7">
        <f t="shared" si="47"/>
        <v>3</v>
      </c>
      <c r="G3044" s="7" t="str">
        <f>LOOKUP(H3044,[1]startdates!$A$2:$A$10,[1]startdates!$B$2:$B$10)</f>
        <v>SMr</v>
      </c>
      <c r="H3044">
        <v>1</v>
      </c>
      <c r="I3044" s="7">
        <v>757.3</v>
      </c>
      <c r="M3044" s="7">
        <v>309.10000000000002</v>
      </c>
      <c r="N3044" s="7">
        <v>298.2</v>
      </c>
      <c r="O3044" s="7">
        <v>191.4</v>
      </c>
    </row>
    <row r="3045" spans="1:21" x14ac:dyDescent="0.2">
      <c r="A3045">
        <v>3044</v>
      </c>
      <c r="B3045" s="1">
        <v>40806</v>
      </c>
      <c r="C3045" t="s">
        <v>28</v>
      </c>
      <c r="D3045" s="7">
        <v>68</v>
      </c>
      <c r="E3045" s="7">
        <v>11</v>
      </c>
      <c r="F3045" s="7">
        <f t="shared" si="47"/>
        <v>3</v>
      </c>
      <c r="G3045" s="7" t="str">
        <f>LOOKUP(H3045,[1]startdates!$A$2:$A$10,[1]startdates!$B$2:$B$10)</f>
        <v>SMr</v>
      </c>
      <c r="H3045">
        <v>1</v>
      </c>
      <c r="I3045" s="7">
        <v>629.4</v>
      </c>
      <c r="M3045" s="7">
        <v>320.8</v>
      </c>
      <c r="N3045" s="7">
        <v>265.5</v>
      </c>
      <c r="O3045" s="7">
        <v>156</v>
      </c>
    </row>
    <row r="3046" spans="1:21" x14ac:dyDescent="0.2">
      <c r="A3046">
        <v>3045</v>
      </c>
      <c r="B3046" s="1">
        <v>40806</v>
      </c>
      <c r="C3046" t="s">
        <v>28</v>
      </c>
      <c r="D3046" s="7">
        <v>68</v>
      </c>
      <c r="E3046" s="7">
        <v>11</v>
      </c>
      <c r="F3046" s="7">
        <f t="shared" si="47"/>
        <v>3</v>
      </c>
      <c r="G3046" s="7" t="str">
        <f>LOOKUP(H3046,[1]startdates!$A$2:$A$10,[1]startdates!$B$2:$B$10)</f>
        <v>SMr</v>
      </c>
      <c r="H3046">
        <v>1</v>
      </c>
      <c r="I3046" s="7">
        <v>589.5</v>
      </c>
      <c r="M3046" s="7">
        <v>289.8</v>
      </c>
      <c r="N3046" s="7">
        <v>239.5</v>
      </c>
      <c r="O3046" s="7">
        <v>169.4</v>
      </c>
    </row>
    <row r="3047" spans="1:21" x14ac:dyDescent="0.2">
      <c r="A3047">
        <v>3046</v>
      </c>
      <c r="B3047" s="1">
        <v>40806</v>
      </c>
      <c r="C3047" t="s">
        <v>28</v>
      </c>
      <c r="D3047" s="7">
        <v>68</v>
      </c>
      <c r="E3047" s="7">
        <v>11</v>
      </c>
      <c r="F3047" s="7">
        <f t="shared" si="47"/>
        <v>3</v>
      </c>
      <c r="G3047" s="7" t="str">
        <f>LOOKUP(H3047,[1]startdates!$A$2:$A$10,[1]startdates!$B$2:$B$10)</f>
        <v>SMr</v>
      </c>
      <c r="H3047">
        <v>1</v>
      </c>
      <c r="I3047" s="7">
        <v>687.4</v>
      </c>
      <c r="N3047" s="7">
        <v>284.10000000000002</v>
      </c>
      <c r="O3047" s="7">
        <v>170</v>
      </c>
    </row>
    <row r="3048" spans="1:21" x14ac:dyDescent="0.2">
      <c r="A3048">
        <v>3047</v>
      </c>
      <c r="B3048" s="1">
        <v>40806</v>
      </c>
      <c r="C3048" t="s">
        <v>28</v>
      </c>
      <c r="D3048" s="7">
        <v>68</v>
      </c>
      <c r="E3048" s="7">
        <v>11</v>
      </c>
      <c r="F3048" s="7">
        <f t="shared" si="47"/>
        <v>3</v>
      </c>
      <c r="G3048" s="7" t="str">
        <f>LOOKUP(H3048,[1]startdates!$A$2:$A$10,[1]startdates!$B$2:$B$10)</f>
        <v>SMr</v>
      </c>
      <c r="H3048">
        <v>1</v>
      </c>
      <c r="I3048" s="7">
        <v>579</v>
      </c>
      <c r="N3048" s="7">
        <v>277.2</v>
      </c>
    </row>
    <row r="3049" spans="1:21" x14ac:dyDescent="0.2">
      <c r="A3049">
        <v>3048</v>
      </c>
      <c r="B3049" s="1">
        <v>40806</v>
      </c>
      <c r="C3049" t="s">
        <v>24</v>
      </c>
      <c r="D3049" s="7">
        <v>68</v>
      </c>
      <c r="E3049" s="7">
        <v>11</v>
      </c>
      <c r="F3049" s="7">
        <f t="shared" ref="F3049:F3112" si="48">WEEKDAY(B3049)</f>
        <v>3</v>
      </c>
      <c r="G3049" s="7" t="str">
        <f>LOOKUP(H3049,[1]startdates!$A$2:$A$10,[1]startdates!$B$2:$B$10)</f>
        <v>SMr</v>
      </c>
      <c r="H3049">
        <v>2</v>
      </c>
      <c r="I3049" s="7">
        <v>575</v>
      </c>
      <c r="J3049" s="7">
        <v>528</v>
      </c>
      <c r="K3049" s="7">
        <v>530</v>
      </c>
      <c r="L3049" s="7">
        <v>430</v>
      </c>
      <c r="M3049" s="7">
        <v>325</v>
      </c>
      <c r="N3049" s="7">
        <v>278</v>
      </c>
      <c r="O3049" s="7">
        <v>167</v>
      </c>
      <c r="P3049" s="7">
        <v>504</v>
      </c>
      <c r="Q3049" s="7">
        <v>400</v>
      </c>
      <c r="R3049" s="7">
        <v>255</v>
      </c>
      <c r="S3049" s="7">
        <v>262</v>
      </c>
      <c r="U3049" s="7">
        <v>493</v>
      </c>
    </row>
    <row r="3050" spans="1:21" x14ac:dyDescent="0.2">
      <c r="A3050">
        <v>3049</v>
      </c>
      <c r="B3050" s="1">
        <v>40806</v>
      </c>
      <c r="C3050" t="s">
        <v>24</v>
      </c>
      <c r="D3050" s="7">
        <v>68</v>
      </c>
      <c r="E3050" s="7">
        <v>11</v>
      </c>
      <c r="F3050" s="7">
        <f t="shared" si="48"/>
        <v>3</v>
      </c>
      <c r="G3050" s="7" t="str">
        <f>LOOKUP(H3050,[1]startdates!$A$2:$A$10,[1]startdates!$B$2:$B$10)</f>
        <v>SMr</v>
      </c>
      <c r="H3050">
        <v>2</v>
      </c>
      <c r="I3050" s="7">
        <v>647</v>
      </c>
      <c r="J3050" s="7">
        <v>505</v>
      </c>
      <c r="K3050" s="7">
        <v>526</v>
      </c>
      <c r="L3050" s="7">
        <v>466</v>
      </c>
      <c r="M3050" s="7">
        <v>346</v>
      </c>
      <c r="N3050" s="7">
        <v>238</v>
      </c>
      <c r="O3050" s="7">
        <v>180</v>
      </c>
      <c r="P3050" s="7">
        <v>507</v>
      </c>
      <c r="Q3050" s="7">
        <v>434</v>
      </c>
      <c r="R3050" s="7">
        <v>266</v>
      </c>
      <c r="S3050" s="7">
        <v>287</v>
      </c>
      <c r="U3050" s="7">
        <v>624</v>
      </c>
    </row>
    <row r="3051" spans="1:21" x14ac:dyDescent="0.2">
      <c r="A3051">
        <v>3050</v>
      </c>
      <c r="B3051" s="1">
        <v>40806</v>
      </c>
      <c r="C3051" t="s">
        <v>24</v>
      </c>
      <c r="D3051" s="7">
        <v>68</v>
      </c>
      <c r="E3051" s="7">
        <v>11</v>
      </c>
      <c r="F3051" s="7">
        <f t="shared" si="48"/>
        <v>3</v>
      </c>
      <c r="G3051" s="7" t="str">
        <f>LOOKUP(H3051,[1]startdates!$A$2:$A$10,[1]startdates!$B$2:$B$10)</f>
        <v>SMr</v>
      </c>
      <c r="H3051">
        <v>2</v>
      </c>
      <c r="I3051" s="7">
        <v>740</v>
      </c>
      <c r="J3051" s="7">
        <v>494</v>
      </c>
      <c r="K3051" s="7">
        <v>479</v>
      </c>
      <c r="L3051" s="7">
        <v>375</v>
      </c>
      <c r="M3051" s="7">
        <v>345</v>
      </c>
      <c r="N3051" s="7">
        <v>249</v>
      </c>
      <c r="O3051" s="7">
        <v>178</v>
      </c>
      <c r="Q3051" s="7">
        <v>370</v>
      </c>
      <c r="R3051" s="7">
        <v>308</v>
      </c>
      <c r="S3051" s="7">
        <v>299</v>
      </c>
      <c r="U3051" s="7">
        <v>527</v>
      </c>
    </row>
    <row r="3052" spans="1:21" x14ac:dyDescent="0.2">
      <c r="A3052">
        <v>3051</v>
      </c>
      <c r="B3052" s="1">
        <v>40806</v>
      </c>
      <c r="C3052" t="s">
        <v>24</v>
      </c>
      <c r="D3052" s="7">
        <v>68</v>
      </c>
      <c r="E3052" s="7">
        <v>11</v>
      </c>
      <c r="F3052" s="7">
        <f t="shared" si="48"/>
        <v>3</v>
      </c>
      <c r="G3052" s="7" t="str">
        <f>LOOKUP(H3052,[1]startdates!$A$2:$A$10,[1]startdates!$B$2:$B$10)</f>
        <v>SMr</v>
      </c>
      <c r="H3052">
        <v>2</v>
      </c>
      <c r="I3052" s="7">
        <v>657</v>
      </c>
      <c r="J3052" s="7">
        <v>488</v>
      </c>
      <c r="K3052" s="7">
        <v>487</v>
      </c>
      <c r="L3052" s="7">
        <v>425</v>
      </c>
      <c r="M3052" s="7">
        <v>310</v>
      </c>
      <c r="N3052" s="7">
        <v>232</v>
      </c>
      <c r="O3052" s="7">
        <v>145</v>
      </c>
      <c r="R3052" s="7">
        <v>284</v>
      </c>
      <c r="U3052" s="7">
        <v>556</v>
      </c>
    </row>
    <row r="3053" spans="1:21" x14ac:dyDescent="0.2">
      <c r="A3053">
        <v>3052</v>
      </c>
      <c r="B3053" s="1">
        <v>40806</v>
      </c>
      <c r="C3053" t="s">
        <v>24</v>
      </c>
      <c r="D3053" s="7">
        <v>68</v>
      </c>
      <c r="E3053" s="7">
        <v>11</v>
      </c>
      <c r="F3053" s="7">
        <f t="shared" si="48"/>
        <v>3</v>
      </c>
      <c r="G3053" s="7" t="str">
        <f>LOOKUP(H3053,[1]startdates!$A$2:$A$10,[1]startdates!$B$2:$B$10)</f>
        <v>SMr</v>
      </c>
      <c r="H3053">
        <v>2</v>
      </c>
      <c r="I3053" s="7">
        <v>602</v>
      </c>
      <c r="J3053" s="7">
        <v>579</v>
      </c>
      <c r="L3053" s="7">
        <v>519</v>
      </c>
      <c r="M3053" s="7">
        <v>290</v>
      </c>
      <c r="N3053" s="7">
        <v>242</v>
      </c>
      <c r="O3053" s="7">
        <v>159</v>
      </c>
      <c r="U3053" s="7">
        <v>588</v>
      </c>
    </row>
    <row r="3054" spans="1:21" x14ac:dyDescent="0.2">
      <c r="A3054">
        <v>3053</v>
      </c>
      <c r="B3054" s="1">
        <v>40806</v>
      </c>
      <c r="C3054" t="s">
        <v>24</v>
      </c>
      <c r="D3054" s="7">
        <v>68</v>
      </c>
      <c r="E3054" s="7">
        <v>11</v>
      </c>
      <c r="F3054" s="7">
        <f t="shared" si="48"/>
        <v>3</v>
      </c>
      <c r="G3054" s="7" t="str">
        <f>LOOKUP(H3054,[1]startdates!$A$2:$A$10,[1]startdates!$B$2:$B$10)</f>
        <v>SMr</v>
      </c>
      <c r="H3054">
        <v>2</v>
      </c>
      <c r="I3054" s="7">
        <v>617</v>
      </c>
      <c r="M3054" s="7">
        <v>331</v>
      </c>
      <c r="N3054" s="7">
        <v>222</v>
      </c>
      <c r="O3054" s="7">
        <v>185</v>
      </c>
    </row>
    <row r="3055" spans="1:21" x14ac:dyDescent="0.2">
      <c r="A3055">
        <v>3054</v>
      </c>
      <c r="B3055" s="1">
        <v>40806</v>
      </c>
      <c r="C3055" t="s">
        <v>24</v>
      </c>
      <c r="D3055" s="7">
        <v>68</v>
      </c>
      <c r="E3055" s="7">
        <v>11</v>
      </c>
      <c r="F3055" s="7">
        <f t="shared" si="48"/>
        <v>3</v>
      </c>
      <c r="G3055" s="7" t="str">
        <f>LOOKUP(H3055,[1]startdates!$A$2:$A$10,[1]startdates!$B$2:$B$10)</f>
        <v>SMr</v>
      </c>
      <c r="H3055">
        <v>2</v>
      </c>
      <c r="I3055" s="7">
        <v>495</v>
      </c>
      <c r="M3055" s="7">
        <v>392</v>
      </c>
      <c r="N3055" s="7">
        <v>220</v>
      </c>
      <c r="O3055" s="7">
        <v>144</v>
      </c>
    </row>
    <row r="3056" spans="1:21" x14ac:dyDescent="0.2">
      <c r="A3056">
        <v>3055</v>
      </c>
      <c r="B3056" s="1">
        <v>40806</v>
      </c>
      <c r="C3056" t="s">
        <v>24</v>
      </c>
      <c r="D3056" s="7">
        <v>68</v>
      </c>
      <c r="E3056" s="7">
        <v>11</v>
      </c>
      <c r="F3056" s="7">
        <f t="shared" si="48"/>
        <v>3</v>
      </c>
      <c r="G3056" s="7" t="str">
        <f>LOOKUP(H3056,[1]startdates!$A$2:$A$10,[1]startdates!$B$2:$B$10)</f>
        <v>SMr</v>
      </c>
      <c r="H3056">
        <v>2</v>
      </c>
      <c r="I3056" s="7">
        <v>547</v>
      </c>
      <c r="M3056" s="7">
        <v>327</v>
      </c>
      <c r="N3056" s="7">
        <v>269</v>
      </c>
      <c r="O3056" s="7">
        <v>196</v>
      </c>
    </row>
    <row r="3057" spans="1:21" x14ac:dyDescent="0.2">
      <c r="A3057">
        <v>3056</v>
      </c>
      <c r="B3057" s="1">
        <v>40806</v>
      </c>
      <c r="C3057" t="s">
        <v>24</v>
      </c>
      <c r="D3057" s="7">
        <v>68</v>
      </c>
      <c r="E3057" s="7">
        <v>11</v>
      </c>
      <c r="F3057" s="7">
        <f t="shared" si="48"/>
        <v>3</v>
      </c>
      <c r="G3057" s="7" t="str">
        <f>LOOKUP(H3057,[1]startdates!$A$2:$A$10,[1]startdates!$B$2:$B$10)</f>
        <v>SMr</v>
      </c>
      <c r="H3057">
        <v>2</v>
      </c>
      <c r="I3057" s="7">
        <v>558</v>
      </c>
      <c r="M3057" s="7">
        <v>346</v>
      </c>
      <c r="N3057" s="7">
        <v>268</v>
      </c>
      <c r="O3057" s="7">
        <v>161</v>
      </c>
    </row>
    <row r="3058" spans="1:21" x14ac:dyDescent="0.2">
      <c r="A3058">
        <v>3057</v>
      </c>
      <c r="B3058" s="1">
        <v>40806</v>
      </c>
      <c r="C3058" t="s">
        <v>24</v>
      </c>
      <c r="D3058" s="7">
        <v>68</v>
      </c>
      <c r="E3058" s="7">
        <v>11</v>
      </c>
      <c r="F3058" s="7">
        <f t="shared" si="48"/>
        <v>3</v>
      </c>
      <c r="G3058" s="7" t="str">
        <f>LOOKUP(H3058,[1]startdates!$A$2:$A$10,[1]startdates!$B$2:$B$10)</f>
        <v>SMr</v>
      </c>
      <c r="H3058">
        <v>2</v>
      </c>
      <c r="I3058" s="7">
        <v>503</v>
      </c>
      <c r="M3058" s="7">
        <v>333</v>
      </c>
      <c r="N3058" s="7">
        <v>218</v>
      </c>
      <c r="O3058" s="7">
        <v>193</v>
      </c>
    </row>
    <row r="3059" spans="1:21" x14ac:dyDescent="0.2">
      <c r="A3059">
        <v>3058</v>
      </c>
      <c r="B3059" s="1">
        <v>40806</v>
      </c>
      <c r="C3059" t="s">
        <v>24</v>
      </c>
      <c r="D3059" s="7">
        <v>68</v>
      </c>
      <c r="E3059" s="7">
        <v>11</v>
      </c>
      <c r="F3059" s="7">
        <f t="shared" si="48"/>
        <v>3</v>
      </c>
      <c r="G3059" s="7" t="str">
        <f>LOOKUP(H3059,[1]startdates!$A$2:$A$10,[1]startdates!$B$2:$B$10)</f>
        <v>SMr</v>
      </c>
      <c r="H3059">
        <v>2</v>
      </c>
      <c r="I3059" s="7">
        <v>504</v>
      </c>
      <c r="M3059" s="7">
        <v>334</v>
      </c>
      <c r="N3059" s="7">
        <v>193</v>
      </c>
    </row>
    <row r="3060" spans="1:21" x14ac:dyDescent="0.2">
      <c r="A3060">
        <v>3059</v>
      </c>
      <c r="B3060" s="1">
        <v>40806</v>
      </c>
      <c r="C3060" t="s">
        <v>24</v>
      </c>
      <c r="D3060" s="7">
        <v>68</v>
      </c>
      <c r="E3060" s="7">
        <v>11</v>
      </c>
      <c r="F3060" s="7">
        <f t="shared" si="48"/>
        <v>3</v>
      </c>
      <c r="G3060" s="7" t="str">
        <f>LOOKUP(H3060,[1]startdates!$A$2:$A$10,[1]startdates!$B$2:$B$10)</f>
        <v>SMr</v>
      </c>
      <c r="H3060">
        <v>2</v>
      </c>
      <c r="I3060" s="7">
        <v>663</v>
      </c>
    </row>
    <row r="3061" spans="1:21" x14ac:dyDescent="0.2">
      <c r="A3061">
        <v>3060</v>
      </c>
      <c r="B3061" s="1">
        <v>40806</v>
      </c>
      <c r="C3061" t="s">
        <v>28</v>
      </c>
      <c r="D3061" s="7">
        <v>68</v>
      </c>
      <c r="E3061" s="7">
        <v>11</v>
      </c>
      <c r="F3061" s="7">
        <f t="shared" si="48"/>
        <v>3</v>
      </c>
      <c r="G3061" s="7" t="str">
        <f>LOOKUP(H3061,[1]startdates!$A$2:$A$10,[1]startdates!$B$2:$B$10)</f>
        <v>C</v>
      </c>
      <c r="H3061">
        <v>3</v>
      </c>
      <c r="I3061" s="7">
        <v>670.1</v>
      </c>
      <c r="J3061" s="7">
        <v>566.6</v>
      </c>
      <c r="K3061" s="7">
        <v>521.9</v>
      </c>
      <c r="L3061" s="7">
        <v>470.9</v>
      </c>
      <c r="M3061" s="7">
        <v>349.2</v>
      </c>
      <c r="N3061" s="7">
        <v>245.2</v>
      </c>
      <c r="O3061" s="7">
        <v>188.2</v>
      </c>
      <c r="P3061" s="7">
        <v>467.6</v>
      </c>
      <c r="Q3061" s="7">
        <v>368.2</v>
      </c>
      <c r="R3061" s="7">
        <v>260.3</v>
      </c>
      <c r="S3061" s="7">
        <v>321.60000000000002</v>
      </c>
    </row>
    <row r="3062" spans="1:21" x14ac:dyDescent="0.2">
      <c r="A3062">
        <v>3061</v>
      </c>
      <c r="B3062" s="1">
        <v>40806</v>
      </c>
      <c r="C3062" t="s">
        <v>28</v>
      </c>
      <c r="D3062" s="7">
        <v>68</v>
      </c>
      <c r="E3062" s="7">
        <v>11</v>
      </c>
      <c r="F3062" s="7">
        <f t="shared" si="48"/>
        <v>3</v>
      </c>
      <c r="G3062" s="7" t="str">
        <f>LOOKUP(H3062,[1]startdates!$A$2:$A$10,[1]startdates!$B$2:$B$10)</f>
        <v>C</v>
      </c>
      <c r="H3062">
        <v>3</v>
      </c>
      <c r="I3062" s="7">
        <v>649.70000000000005</v>
      </c>
      <c r="J3062" s="7">
        <v>622.9</v>
      </c>
      <c r="K3062" s="7">
        <v>567.6</v>
      </c>
      <c r="L3062" s="7">
        <v>432</v>
      </c>
      <c r="M3062" s="7">
        <v>335.8</v>
      </c>
      <c r="N3062" s="7">
        <v>250.5</v>
      </c>
      <c r="O3062" s="7">
        <v>177</v>
      </c>
      <c r="Q3062" s="7">
        <v>387</v>
      </c>
      <c r="R3062" s="7">
        <v>257.7</v>
      </c>
      <c r="S3062" s="7">
        <v>313.3</v>
      </c>
    </row>
    <row r="3063" spans="1:21" x14ac:dyDescent="0.2">
      <c r="A3063">
        <v>3062</v>
      </c>
      <c r="B3063" s="1">
        <v>40806</v>
      </c>
      <c r="C3063" t="s">
        <v>28</v>
      </c>
      <c r="D3063" s="7">
        <v>68</v>
      </c>
      <c r="E3063" s="7">
        <v>11</v>
      </c>
      <c r="F3063" s="7">
        <f t="shared" si="48"/>
        <v>3</v>
      </c>
      <c r="G3063" s="7" t="str">
        <f>LOOKUP(H3063,[1]startdates!$A$2:$A$10,[1]startdates!$B$2:$B$10)</f>
        <v>C</v>
      </c>
      <c r="H3063">
        <v>3</v>
      </c>
      <c r="I3063" s="7">
        <v>647.70000000000005</v>
      </c>
      <c r="K3063" s="7">
        <v>550.1</v>
      </c>
      <c r="L3063" s="7">
        <v>485.5</v>
      </c>
      <c r="M3063" s="7">
        <v>317.7</v>
      </c>
      <c r="N3063" s="7">
        <v>209.6</v>
      </c>
      <c r="O3063" s="7">
        <v>177.3</v>
      </c>
      <c r="Q3063" s="7">
        <v>392.5</v>
      </c>
    </row>
    <row r="3064" spans="1:21" x14ac:dyDescent="0.2">
      <c r="A3064">
        <v>3063</v>
      </c>
      <c r="B3064" s="1">
        <v>40806</v>
      </c>
      <c r="C3064" t="s">
        <v>28</v>
      </c>
      <c r="D3064" s="7">
        <v>68</v>
      </c>
      <c r="E3064" s="7">
        <v>11</v>
      </c>
      <c r="F3064" s="7">
        <f t="shared" si="48"/>
        <v>3</v>
      </c>
      <c r="G3064" s="7" t="str">
        <f>LOOKUP(H3064,[1]startdates!$A$2:$A$10,[1]startdates!$B$2:$B$10)</f>
        <v>C</v>
      </c>
      <c r="H3064">
        <v>3</v>
      </c>
      <c r="I3064" s="7">
        <v>545.29999999999995</v>
      </c>
      <c r="K3064" s="7">
        <v>511.5</v>
      </c>
      <c r="L3064" s="7">
        <v>490.2</v>
      </c>
      <c r="M3064" s="7">
        <v>309.39999999999998</v>
      </c>
      <c r="N3064" s="7">
        <v>266.7</v>
      </c>
      <c r="O3064" s="7">
        <v>179.8</v>
      </c>
      <c r="Q3064" s="7">
        <v>302.3</v>
      </c>
    </row>
    <row r="3065" spans="1:21" x14ac:dyDescent="0.2">
      <c r="A3065">
        <v>3064</v>
      </c>
      <c r="B3065" s="1">
        <v>40806</v>
      </c>
      <c r="C3065" t="s">
        <v>28</v>
      </c>
      <c r="D3065" s="7">
        <v>68</v>
      </c>
      <c r="E3065" s="7">
        <v>11</v>
      </c>
      <c r="F3065" s="7">
        <f t="shared" si="48"/>
        <v>3</v>
      </c>
      <c r="G3065" s="7" t="str">
        <f>LOOKUP(H3065,[1]startdates!$A$2:$A$10,[1]startdates!$B$2:$B$10)</f>
        <v>C</v>
      </c>
      <c r="H3065">
        <v>3</v>
      </c>
      <c r="I3065" s="7">
        <v>591.1</v>
      </c>
      <c r="K3065" s="7">
        <v>567.70000000000005</v>
      </c>
      <c r="L3065" s="7">
        <v>409.4</v>
      </c>
      <c r="M3065" s="7">
        <v>314.60000000000002</v>
      </c>
      <c r="N3065" s="7">
        <v>284.7</v>
      </c>
      <c r="O3065" s="7">
        <v>184.5</v>
      </c>
    </row>
    <row r="3066" spans="1:21" x14ac:dyDescent="0.2">
      <c r="A3066">
        <v>3065</v>
      </c>
      <c r="B3066" s="1">
        <v>40806</v>
      </c>
      <c r="C3066" t="s">
        <v>28</v>
      </c>
      <c r="D3066" s="7">
        <v>68</v>
      </c>
      <c r="E3066" s="7">
        <v>11</v>
      </c>
      <c r="F3066" s="7">
        <f t="shared" si="48"/>
        <v>3</v>
      </c>
      <c r="G3066" s="7" t="str">
        <f>LOOKUP(H3066,[1]startdates!$A$2:$A$10,[1]startdates!$B$2:$B$10)</f>
        <v>C</v>
      </c>
      <c r="H3066">
        <v>3</v>
      </c>
      <c r="I3066" s="7">
        <v>729</v>
      </c>
      <c r="L3066" s="7">
        <v>488</v>
      </c>
      <c r="M3066" s="7">
        <v>327</v>
      </c>
      <c r="N3066" s="7">
        <v>258.7</v>
      </c>
      <c r="O3066" s="7">
        <v>172.4</v>
      </c>
    </row>
    <row r="3067" spans="1:21" x14ac:dyDescent="0.2">
      <c r="A3067">
        <v>3066</v>
      </c>
      <c r="B3067" s="1">
        <v>40806</v>
      </c>
      <c r="C3067" t="s">
        <v>28</v>
      </c>
      <c r="D3067" s="7">
        <v>68</v>
      </c>
      <c r="E3067" s="7">
        <v>11</v>
      </c>
      <c r="F3067" s="7">
        <f t="shared" si="48"/>
        <v>3</v>
      </c>
      <c r="G3067" s="7" t="str">
        <f>LOOKUP(H3067,[1]startdates!$A$2:$A$10,[1]startdates!$B$2:$B$10)</f>
        <v>C</v>
      </c>
      <c r="H3067">
        <v>3</v>
      </c>
      <c r="I3067" s="7">
        <v>668.5</v>
      </c>
      <c r="M3067" s="7">
        <v>361.1</v>
      </c>
      <c r="N3067" s="7">
        <v>267.60000000000002</v>
      </c>
      <c r="O3067" s="7">
        <v>161.5</v>
      </c>
    </row>
    <row r="3068" spans="1:21" x14ac:dyDescent="0.2">
      <c r="A3068">
        <v>3067</v>
      </c>
      <c r="B3068" s="1">
        <v>40806</v>
      </c>
      <c r="C3068" t="s">
        <v>28</v>
      </c>
      <c r="D3068" s="7">
        <v>68</v>
      </c>
      <c r="E3068" s="7">
        <v>11</v>
      </c>
      <c r="F3068" s="7">
        <f t="shared" si="48"/>
        <v>3</v>
      </c>
      <c r="G3068" s="7" t="str">
        <f>LOOKUP(H3068,[1]startdates!$A$2:$A$10,[1]startdates!$B$2:$B$10)</f>
        <v>C</v>
      </c>
      <c r="H3068">
        <v>3</v>
      </c>
      <c r="I3068" s="7">
        <v>652</v>
      </c>
      <c r="M3068" s="7">
        <v>365.6</v>
      </c>
      <c r="N3068" s="7">
        <v>222</v>
      </c>
      <c r="O3068" s="7">
        <v>179.2</v>
      </c>
    </row>
    <row r="3069" spans="1:21" x14ac:dyDescent="0.2">
      <c r="A3069">
        <v>3068</v>
      </c>
      <c r="B3069" s="1">
        <v>40806</v>
      </c>
      <c r="C3069" t="s">
        <v>28</v>
      </c>
      <c r="D3069" s="7">
        <v>68</v>
      </c>
      <c r="E3069" s="7">
        <v>11</v>
      </c>
      <c r="F3069" s="7">
        <f t="shared" si="48"/>
        <v>3</v>
      </c>
      <c r="G3069" s="7" t="str">
        <f>LOOKUP(H3069,[1]startdates!$A$2:$A$10,[1]startdates!$B$2:$B$10)</f>
        <v>C</v>
      </c>
      <c r="H3069">
        <v>3</v>
      </c>
      <c r="I3069" s="7">
        <v>768.1</v>
      </c>
      <c r="M3069" s="7">
        <v>337.8</v>
      </c>
      <c r="N3069" s="7">
        <v>250.5</v>
      </c>
      <c r="O3069" s="7">
        <v>161.5</v>
      </c>
    </row>
    <row r="3070" spans="1:21" x14ac:dyDescent="0.2">
      <c r="A3070">
        <v>3069</v>
      </c>
      <c r="B3070" s="1">
        <v>40806</v>
      </c>
      <c r="C3070" t="s">
        <v>28</v>
      </c>
      <c r="D3070" s="7">
        <v>68</v>
      </c>
      <c r="E3070" s="7">
        <v>11</v>
      </c>
      <c r="F3070" s="7">
        <f t="shared" si="48"/>
        <v>3</v>
      </c>
      <c r="G3070" s="7" t="str">
        <f>LOOKUP(H3070,[1]startdates!$A$2:$A$10,[1]startdates!$B$2:$B$10)</f>
        <v>C</v>
      </c>
      <c r="H3070">
        <v>3</v>
      </c>
      <c r="M3070" s="7">
        <v>338.8</v>
      </c>
      <c r="N3070" s="7">
        <v>228.4</v>
      </c>
      <c r="O3070" s="7">
        <v>182.9</v>
      </c>
    </row>
    <row r="3071" spans="1:21" x14ac:dyDescent="0.2">
      <c r="A3071">
        <v>3070</v>
      </c>
      <c r="B3071" s="1">
        <v>40806</v>
      </c>
      <c r="C3071" t="s">
        <v>28</v>
      </c>
      <c r="D3071" s="7">
        <v>68</v>
      </c>
      <c r="E3071" s="7">
        <v>11</v>
      </c>
      <c r="F3071" s="7">
        <f t="shared" si="48"/>
        <v>3</v>
      </c>
      <c r="G3071" s="7" t="str">
        <f>LOOKUP(H3071,[1]startdates!$A$2:$A$10,[1]startdates!$B$2:$B$10)</f>
        <v>SMr</v>
      </c>
      <c r="H3071">
        <v>4</v>
      </c>
      <c r="I3071" s="7">
        <v>519.70000000000005</v>
      </c>
      <c r="J3071" s="7">
        <v>552.29999999999995</v>
      </c>
      <c r="K3071" s="7">
        <v>547.29999999999995</v>
      </c>
      <c r="L3071" s="7">
        <v>455.2</v>
      </c>
      <c r="M3071" s="7">
        <v>346.2</v>
      </c>
      <c r="N3071" s="7">
        <v>203.7</v>
      </c>
      <c r="O3071" s="7">
        <v>157.6</v>
      </c>
      <c r="Q3071" s="7">
        <v>363.7</v>
      </c>
      <c r="R3071" s="7">
        <v>240.4</v>
      </c>
      <c r="S3071" s="7">
        <v>282.2</v>
      </c>
      <c r="U3071" s="7">
        <v>505.3</v>
      </c>
    </row>
    <row r="3072" spans="1:21" x14ac:dyDescent="0.2">
      <c r="A3072">
        <v>3071</v>
      </c>
      <c r="B3072" s="1">
        <v>40806</v>
      </c>
      <c r="C3072" t="s">
        <v>28</v>
      </c>
      <c r="D3072" s="7">
        <v>68</v>
      </c>
      <c r="E3072" s="7">
        <v>11</v>
      </c>
      <c r="F3072" s="7">
        <f t="shared" si="48"/>
        <v>3</v>
      </c>
      <c r="G3072" s="7" t="str">
        <f>LOOKUP(H3072,[1]startdates!$A$2:$A$10,[1]startdates!$B$2:$B$10)</f>
        <v>SMr</v>
      </c>
      <c r="H3072">
        <v>4</v>
      </c>
      <c r="I3072" s="7">
        <v>609.4</v>
      </c>
      <c r="J3072" s="7">
        <v>591.1</v>
      </c>
      <c r="K3072" s="7">
        <v>547.29999999999995</v>
      </c>
      <c r="L3072" s="7">
        <v>466.8</v>
      </c>
      <c r="M3072" s="7">
        <v>302.7</v>
      </c>
      <c r="N3072" s="7">
        <v>297.2</v>
      </c>
      <c r="O3072" s="7">
        <v>156.5</v>
      </c>
      <c r="Q3072" s="7">
        <v>397.7</v>
      </c>
      <c r="S3072" s="7">
        <v>267.60000000000002</v>
      </c>
      <c r="U3072" s="7">
        <v>473.2</v>
      </c>
    </row>
    <row r="3073" spans="1:21" x14ac:dyDescent="0.2">
      <c r="A3073">
        <v>3072</v>
      </c>
      <c r="B3073" s="1">
        <v>40806</v>
      </c>
      <c r="C3073" t="s">
        <v>28</v>
      </c>
      <c r="D3073" s="7">
        <v>68</v>
      </c>
      <c r="E3073" s="7">
        <v>11</v>
      </c>
      <c r="F3073" s="7">
        <f t="shared" si="48"/>
        <v>3</v>
      </c>
      <c r="G3073" s="7" t="str">
        <f>LOOKUP(H3073,[1]startdates!$A$2:$A$10,[1]startdates!$B$2:$B$10)</f>
        <v>SMr</v>
      </c>
      <c r="H3073">
        <v>4</v>
      </c>
      <c r="I3073" s="7">
        <v>518</v>
      </c>
      <c r="K3073" s="7">
        <v>554.6</v>
      </c>
      <c r="L3073" s="7">
        <v>417.1</v>
      </c>
      <c r="M3073" s="7">
        <v>306.5</v>
      </c>
      <c r="N3073" s="7">
        <v>243.9</v>
      </c>
      <c r="O3073" s="7">
        <v>144.69999999999999</v>
      </c>
      <c r="Q3073" s="7">
        <v>361.1</v>
      </c>
      <c r="U3073" s="7">
        <v>666.2</v>
      </c>
    </row>
    <row r="3074" spans="1:21" x14ac:dyDescent="0.2">
      <c r="A3074">
        <v>3073</v>
      </c>
      <c r="B3074" s="1">
        <v>40806</v>
      </c>
      <c r="C3074" t="s">
        <v>28</v>
      </c>
      <c r="D3074" s="7">
        <v>68</v>
      </c>
      <c r="E3074" s="7">
        <v>11</v>
      </c>
      <c r="F3074" s="7">
        <f t="shared" si="48"/>
        <v>3</v>
      </c>
      <c r="G3074" s="7" t="str">
        <f>LOOKUP(H3074,[1]startdates!$A$2:$A$10,[1]startdates!$B$2:$B$10)</f>
        <v>SMr</v>
      </c>
      <c r="H3074">
        <v>4</v>
      </c>
      <c r="I3074" s="7">
        <v>526.1</v>
      </c>
      <c r="K3074" s="7">
        <v>427</v>
      </c>
      <c r="L3074" s="7">
        <v>406.7</v>
      </c>
      <c r="M3074" s="7">
        <v>387.5</v>
      </c>
      <c r="N3074" s="7">
        <v>251.7</v>
      </c>
      <c r="O3074" s="7">
        <v>141.6</v>
      </c>
      <c r="U3074" s="7">
        <v>552.5</v>
      </c>
    </row>
    <row r="3075" spans="1:21" x14ac:dyDescent="0.2">
      <c r="A3075">
        <v>3074</v>
      </c>
      <c r="B3075" s="1">
        <v>40806</v>
      </c>
      <c r="C3075" t="s">
        <v>28</v>
      </c>
      <c r="D3075" s="7">
        <v>68</v>
      </c>
      <c r="E3075" s="7">
        <v>11</v>
      </c>
      <c r="F3075" s="7">
        <f t="shared" si="48"/>
        <v>3</v>
      </c>
      <c r="G3075" s="7" t="str">
        <f>LOOKUP(H3075,[1]startdates!$A$2:$A$10,[1]startdates!$B$2:$B$10)</f>
        <v>SMr</v>
      </c>
      <c r="H3075">
        <v>4</v>
      </c>
      <c r="I3075" s="7">
        <v>590.20000000000005</v>
      </c>
      <c r="K3075" s="7">
        <v>422</v>
      </c>
      <c r="L3075" s="7">
        <v>428.1</v>
      </c>
      <c r="M3075" s="7">
        <v>364.5</v>
      </c>
      <c r="N3075" s="7">
        <v>232.9</v>
      </c>
      <c r="O3075" s="7">
        <v>175.6</v>
      </c>
      <c r="U3075" s="7">
        <v>486.7</v>
      </c>
    </row>
    <row r="3076" spans="1:21" x14ac:dyDescent="0.2">
      <c r="A3076">
        <v>3075</v>
      </c>
      <c r="B3076" s="1">
        <v>40806</v>
      </c>
      <c r="C3076" t="s">
        <v>28</v>
      </c>
      <c r="D3076" s="7">
        <v>68</v>
      </c>
      <c r="E3076" s="7">
        <v>11</v>
      </c>
      <c r="F3076" s="7">
        <f t="shared" si="48"/>
        <v>3</v>
      </c>
      <c r="G3076" s="7" t="str">
        <f>LOOKUP(H3076,[1]startdates!$A$2:$A$10,[1]startdates!$B$2:$B$10)</f>
        <v>SMr</v>
      </c>
      <c r="H3076">
        <v>4</v>
      </c>
      <c r="I3076" s="7">
        <v>617.20000000000005</v>
      </c>
      <c r="M3076" s="7">
        <v>339</v>
      </c>
      <c r="N3076" s="7">
        <v>221.5</v>
      </c>
      <c r="O3076" s="7">
        <v>164.7</v>
      </c>
      <c r="U3076" s="7">
        <v>673.1</v>
      </c>
    </row>
    <row r="3077" spans="1:21" x14ac:dyDescent="0.2">
      <c r="A3077">
        <v>3076</v>
      </c>
      <c r="B3077" s="1">
        <v>40806</v>
      </c>
      <c r="C3077" t="s">
        <v>28</v>
      </c>
      <c r="D3077" s="7">
        <v>68</v>
      </c>
      <c r="E3077" s="7">
        <v>11</v>
      </c>
      <c r="F3077" s="7">
        <f t="shared" si="48"/>
        <v>3</v>
      </c>
      <c r="G3077" s="7" t="str">
        <f>LOOKUP(H3077,[1]startdates!$A$2:$A$10,[1]startdates!$B$2:$B$10)</f>
        <v>SMr</v>
      </c>
      <c r="H3077">
        <v>4</v>
      </c>
      <c r="I3077" s="7">
        <v>607.20000000000005</v>
      </c>
      <c r="M3077" s="7">
        <v>368.2</v>
      </c>
      <c r="N3077" s="7">
        <v>265.60000000000002</v>
      </c>
      <c r="O3077" s="7">
        <v>176.7</v>
      </c>
    </row>
    <row r="3078" spans="1:21" x14ac:dyDescent="0.2">
      <c r="A3078">
        <v>3077</v>
      </c>
      <c r="B3078" s="1">
        <v>40806</v>
      </c>
      <c r="C3078" t="s">
        <v>28</v>
      </c>
      <c r="D3078" s="7">
        <v>68</v>
      </c>
      <c r="E3078" s="7">
        <v>11</v>
      </c>
      <c r="F3078" s="7">
        <f t="shared" si="48"/>
        <v>3</v>
      </c>
      <c r="G3078" s="7" t="str">
        <f>LOOKUP(H3078,[1]startdates!$A$2:$A$10,[1]startdates!$B$2:$B$10)</f>
        <v>SMr</v>
      </c>
      <c r="H3078">
        <v>4</v>
      </c>
      <c r="I3078" s="7">
        <v>595</v>
      </c>
      <c r="M3078" s="7">
        <v>392.2</v>
      </c>
      <c r="N3078" s="7">
        <v>214.7</v>
      </c>
      <c r="O3078" s="7">
        <v>182.9</v>
      </c>
    </row>
    <row r="3079" spans="1:21" x14ac:dyDescent="0.2">
      <c r="A3079">
        <v>3078</v>
      </c>
      <c r="B3079" s="1">
        <v>40806</v>
      </c>
      <c r="C3079" t="s">
        <v>28</v>
      </c>
      <c r="D3079" s="7">
        <v>68</v>
      </c>
      <c r="E3079" s="7">
        <v>11</v>
      </c>
      <c r="F3079" s="7">
        <f t="shared" si="48"/>
        <v>3</v>
      </c>
      <c r="G3079" s="7" t="str">
        <f>LOOKUP(H3079,[1]startdates!$A$2:$A$10,[1]startdates!$B$2:$B$10)</f>
        <v>SMr</v>
      </c>
      <c r="H3079">
        <v>4</v>
      </c>
      <c r="I3079" s="7">
        <v>504.7</v>
      </c>
      <c r="M3079" s="7">
        <v>348.3</v>
      </c>
      <c r="N3079" s="7">
        <v>212.4</v>
      </c>
      <c r="O3079" s="7">
        <v>153.80000000000001</v>
      </c>
    </row>
    <row r="3080" spans="1:21" x14ac:dyDescent="0.2">
      <c r="A3080">
        <v>3079</v>
      </c>
      <c r="B3080" s="1">
        <v>40806</v>
      </c>
      <c r="C3080" t="s">
        <v>28</v>
      </c>
      <c r="D3080" s="7">
        <v>68</v>
      </c>
      <c r="E3080" s="7">
        <v>11</v>
      </c>
      <c r="F3080" s="7">
        <f t="shared" si="48"/>
        <v>3</v>
      </c>
      <c r="G3080" s="7" t="str">
        <f>LOOKUP(H3080,[1]startdates!$A$2:$A$10,[1]startdates!$B$2:$B$10)</f>
        <v>SMr</v>
      </c>
      <c r="H3080">
        <v>4</v>
      </c>
      <c r="I3080" s="7">
        <v>638</v>
      </c>
      <c r="M3080" s="7">
        <v>296</v>
      </c>
      <c r="N3080" s="7">
        <v>228.7</v>
      </c>
    </row>
    <row r="3081" spans="1:21" x14ac:dyDescent="0.2">
      <c r="A3081">
        <v>3080</v>
      </c>
      <c r="B3081" s="1">
        <v>40806</v>
      </c>
      <c r="C3081" t="s">
        <v>28</v>
      </c>
      <c r="D3081" s="7">
        <v>68</v>
      </c>
      <c r="E3081" s="7">
        <v>11</v>
      </c>
      <c r="F3081" s="7">
        <f t="shared" si="48"/>
        <v>3</v>
      </c>
      <c r="G3081" s="7" t="str">
        <f>LOOKUP(H3081,[1]startdates!$A$2:$A$10,[1]startdates!$B$2:$B$10)</f>
        <v>SMr</v>
      </c>
      <c r="H3081">
        <v>4</v>
      </c>
      <c r="I3081" s="7">
        <v>599.4</v>
      </c>
      <c r="M3081" s="7">
        <v>368.8</v>
      </c>
    </row>
    <row r="3082" spans="1:21" x14ac:dyDescent="0.2">
      <c r="A3082">
        <v>3081</v>
      </c>
      <c r="B3082" s="1">
        <v>40806</v>
      </c>
      <c r="C3082" t="s">
        <v>24</v>
      </c>
      <c r="D3082" s="7">
        <v>68</v>
      </c>
      <c r="E3082" s="7">
        <v>11</v>
      </c>
      <c r="F3082" s="7">
        <f t="shared" si="48"/>
        <v>3</v>
      </c>
      <c r="G3082" s="7" t="str">
        <f>LOOKUP(H3082,[1]startdates!$A$2:$A$10,[1]startdates!$B$2:$B$10)</f>
        <v>C</v>
      </c>
      <c r="H3082">
        <v>5</v>
      </c>
      <c r="I3082" s="7">
        <v>656</v>
      </c>
      <c r="J3082" s="7">
        <v>568</v>
      </c>
      <c r="K3082" s="7">
        <v>549</v>
      </c>
      <c r="L3082" s="7">
        <v>434</v>
      </c>
      <c r="M3082" s="7">
        <v>321</v>
      </c>
      <c r="N3082" s="7">
        <v>227</v>
      </c>
      <c r="O3082" s="7">
        <v>161</v>
      </c>
      <c r="P3082" s="7">
        <v>468</v>
      </c>
      <c r="Q3082" s="7">
        <v>393</v>
      </c>
      <c r="R3082" s="7">
        <v>281</v>
      </c>
    </row>
    <row r="3083" spans="1:21" x14ac:dyDescent="0.2">
      <c r="A3083">
        <v>3082</v>
      </c>
      <c r="B3083" s="1">
        <v>40806</v>
      </c>
      <c r="C3083" t="s">
        <v>24</v>
      </c>
      <c r="D3083" s="7">
        <v>68</v>
      </c>
      <c r="E3083" s="7">
        <v>11</v>
      </c>
      <c r="F3083" s="7">
        <f t="shared" si="48"/>
        <v>3</v>
      </c>
      <c r="G3083" s="7" t="str">
        <f>LOOKUP(H3083,[1]startdates!$A$2:$A$10,[1]startdates!$B$2:$B$10)</f>
        <v>C</v>
      </c>
      <c r="H3083">
        <v>5</v>
      </c>
      <c r="I3083" s="7">
        <v>598</v>
      </c>
      <c r="J3083" s="7">
        <v>542</v>
      </c>
      <c r="K3083" s="7">
        <v>538</v>
      </c>
      <c r="L3083" s="7">
        <v>453</v>
      </c>
      <c r="M3083" s="7">
        <v>321</v>
      </c>
      <c r="N3083" s="7">
        <v>201</v>
      </c>
      <c r="O3083" s="7">
        <v>154</v>
      </c>
      <c r="Q3083" s="7">
        <v>363</v>
      </c>
    </row>
    <row r="3084" spans="1:21" x14ac:dyDescent="0.2">
      <c r="A3084">
        <v>3083</v>
      </c>
      <c r="B3084" s="1">
        <v>40806</v>
      </c>
      <c r="C3084" t="s">
        <v>24</v>
      </c>
      <c r="D3084" s="7">
        <v>68</v>
      </c>
      <c r="E3084" s="7">
        <v>11</v>
      </c>
      <c r="F3084" s="7">
        <f t="shared" si="48"/>
        <v>3</v>
      </c>
      <c r="G3084" s="7" t="str">
        <f>LOOKUP(H3084,[1]startdates!$A$2:$A$10,[1]startdates!$B$2:$B$10)</f>
        <v>C</v>
      </c>
      <c r="H3084">
        <v>5</v>
      </c>
      <c r="I3084" s="7">
        <v>457</v>
      </c>
      <c r="J3084" s="7">
        <v>469</v>
      </c>
      <c r="K3084" s="7">
        <v>421</v>
      </c>
      <c r="L3084" s="7">
        <v>432</v>
      </c>
      <c r="M3084" s="7">
        <v>279</v>
      </c>
      <c r="N3084" s="7">
        <v>226</v>
      </c>
      <c r="O3084" s="7">
        <v>197</v>
      </c>
      <c r="Q3084" s="7">
        <v>348</v>
      </c>
    </row>
    <row r="3085" spans="1:21" x14ac:dyDescent="0.2">
      <c r="A3085">
        <v>3084</v>
      </c>
      <c r="B3085" s="1">
        <v>40806</v>
      </c>
      <c r="C3085" t="s">
        <v>24</v>
      </c>
      <c r="D3085" s="7">
        <v>68</v>
      </c>
      <c r="E3085" s="7">
        <v>11</v>
      </c>
      <c r="F3085" s="7">
        <f t="shared" si="48"/>
        <v>3</v>
      </c>
      <c r="G3085" s="7" t="str">
        <f>LOOKUP(H3085,[1]startdates!$A$2:$A$10,[1]startdates!$B$2:$B$10)</f>
        <v>C</v>
      </c>
      <c r="H3085">
        <v>5</v>
      </c>
      <c r="I3085" s="7">
        <v>510</v>
      </c>
      <c r="K3085" s="7">
        <v>393</v>
      </c>
      <c r="L3085" s="7">
        <v>410</v>
      </c>
      <c r="M3085" s="7">
        <v>271</v>
      </c>
      <c r="N3085" s="7">
        <v>287</v>
      </c>
      <c r="O3085" s="7">
        <v>164</v>
      </c>
      <c r="Q3085" s="7">
        <v>365</v>
      </c>
    </row>
    <row r="3086" spans="1:21" x14ac:dyDescent="0.2">
      <c r="A3086">
        <v>3085</v>
      </c>
      <c r="B3086" s="1">
        <v>40806</v>
      </c>
      <c r="C3086" t="s">
        <v>24</v>
      </c>
      <c r="D3086" s="7">
        <v>68</v>
      </c>
      <c r="E3086" s="7">
        <v>11</v>
      </c>
      <c r="F3086" s="7">
        <f t="shared" si="48"/>
        <v>3</v>
      </c>
      <c r="G3086" s="7" t="str">
        <f>LOOKUP(H3086,[1]startdates!$A$2:$A$10,[1]startdates!$B$2:$B$10)</f>
        <v>C</v>
      </c>
      <c r="H3086">
        <v>5</v>
      </c>
      <c r="I3086" s="7">
        <v>737</v>
      </c>
      <c r="K3086" s="7">
        <v>533</v>
      </c>
      <c r="M3086" s="7">
        <v>308</v>
      </c>
      <c r="N3086" s="7">
        <v>178</v>
      </c>
      <c r="O3086" s="7">
        <v>149</v>
      </c>
    </row>
    <row r="3087" spans="1:21" x14ac:dyDescent="0.2">
      <c r="A3087">
        <v>3086</v>
      </c>
      <c r="B3087" s="1">
        <v>40806</v>
      </c>
      <c r="C3087" t="s">
        <v>24</v>
      </c>
      <c r="D3087" s="7">
        <v>68</v>
      </c>
      <c r="E3087" s="7">
        <v>11</v>
      </c>
      <c r="F3087" s="7">
        <f t="shared" si="48"/>
        <v>3</v>
      </c>
      <c r="G3087" s="7" t="str">
        <f>LOOKUP(H3087,[1]startdates!$A$2:$A$10,[1]startdates!$B$2:$B$10)</f>
        <v>C</v>
      </c>
      <c r="H3087">
        <v>5</v>
      </c>
      <c r="I3087" s="7">
        <v>587</v>
      </c>
      <c r="K3087" s="7">
        <v>577</v>
      </c>
      <c r="M3087" s="7">
        <v>392</v>
      </c>
      <c r="N3087" s="7">
        <v>232</v>
      </c>
      <c r="O3087" s="7">
        <v>170</v>
      </c>
    </row>
    <row r="3088" spans="1:21" x14ac:dyDescent="0.2">
      <c r="A3088">
        <v>3087</v>
      </c>
      <c r="B3088" s="1">
        <v>40806</v>
      </c>
      <c r="C3088" t="s">
        <v>24</v>
      </c>
      <c r="D3088" s="7">
        <v>68</v>
      </c>
      <c r="E3088" s="7">
        <v>11</v>
      </c>
      <c r="F3088" s="7">
        <f t="shared" si="48"/>
        <v>3</v>
      </c>
      <c r="G3088" s="7" t="str">
        <f>LOOKUP(H3088,[1]startdates!$A$2:$A$10,[1]startdates!$B$2:$B$10)</f>
        <v>C</v>
      </c>
      <c r="H3088">
        <v>5</v>
      </c>
      <c r="I3088" s="7">
        <v>697</v>
      </c>
      <c r="K3088" s="7">
        <v>600</v>
      </c>
      <c r="M3088" s="7">
        <v>370</v>
      </c>
      <c r="N3088" s="7">
        <v>241</v>
      </c>
      <c r="O3088" s="7">
        <v>159</v>
      </c>
    </row>
    <row r="3089" spans="1:18" x14ac:dyDescent="0.2">
      <c r="A3089">
        <v>3088</v>
      </c>
      <c r="B3089" s="1">
        <v>40806</v>
      </c>
      <c r="C3089" t="s">
        <v>24</v>
      </c>
      <c r="D3089" s="7">
        <v>68</v>
      </c>
      <c r="E3089" s="7">
        <v>11</v>
      </c>
      <c r="F3089" s="7">
        <f t="shared" si="48"/>
        <v>3</v>
      </c>
      <c r="G3089" s="7" t="str">
        <f>LOOKUP(H3089,[1]startdates!$A$2:$A$10,[1]startdates!$B$2:$B$10)</f>
        <v>C</v>
      </c>
      <c r="H3089">
        <v>5</v>
      </c>
      <c r="I3089" s="7">
        <v>498</v>
      </c>
      <c r="M3089" s="7">
        <v>264</v>
      </c>
      <c r="N3089" s="7">
        <v>216</v>
      </c>
      <c r="O3089" s="7">
        <v>172</v>
      </c>
    </row>
    <row r="3090" spans="1:18" x14ac:dyDescent="0.2">
      <c r="A3090">
        <v>3089</v>
      </c>
      <c r="B3090" s="1">
        <v>40806</v>
      </c>
      <c r="C3090" t="s">
        <v>24</v>
      </c>
      <c r="D3090" s="7">
        <v>68</v>
      </c>
      <c r="E3090" s="7">
        <v>11</v>
      </c>
      <c r="F3090" s="7">
        <f t="shared" si="48"/>
        <v>3</v>
      </c>
      <c r="G3090" s="7" t="str">
        <f>LOOKUP(H3090,[1]startdates!$A$2:$A$10,[1]startdates!$B$2:$B$10)</f>
        <v>C</v>
      </c>
      <c r="H3090">
        <v>5</v>
      </c>
      <c r="I3090" s="7">
        <v>565</v>
      </c>
      <c r="M3090" s="7">
        <v>284</v>
      </c>
      <c r="N3090" s="7">
        <v>193</v>
      </c>
      <c r="O3090" s="7">
        <v>180</v>
      </c>
    </row>
    <row r="3091" spans="1:18" x14ac:dyDescent="0.2">
      <c r="A3091">
        <v>3090</v>
      </c>
      <c r="B3091" s="1">
        <v>40806</v>
      </c>
      <c r="C3091" t="s">
        <v>24</v>
      </c>
      <c r="D3091" s="7">
        <v>68</v>
      </c>
      <c r="E3091" s="7">
        <v>11</v>
      </c>
      <c r="F3091" s="7">
        <f t="shared" si="48"/>
        <v>3</v>
      </c>
      <c r="G3091" s="7" t="str">
        <f>LOOKUP(H3091,[1]startdates!$A$2:$A$10,[1]startdates!$B$2:$B$10)</f>
        <v>C</v>
      </c>
      <c r="H3091">
        <v>5</v>
      </c>
      <c r="I3091" s="7">
        <v>568</v>
      </c>
      <c r="M3091" s="7">
        <v>298</v>
      </c>
      <c r="O3091" s="7">
        <v>173</v>
      </c>
    </row>
    <row r="3092" spans="1:18" x14ac:dyDescent="0.2">
      <c r="A3092">
        <v>3091</v>
      </c>
      <c r="B3092" s="1">
        <v>40806</v>
      </c>
      <c r="C3092" t="s">
        <v>24</v>
      </c>
      <c r="D3092" s="7">
        <v>68</v>
      </c>
      <c r="E3092" s="7">
        <v>11</v>
      </c>
      <c r="F3092" s="7">
        <f t="shared" si="48"/>
        <v>3</v>
      </c>
      <c r="G3092" s="7" t="str">
        <f>LOOKUP(H3092,[1]startdates!$A$2:$A$10,[1]startdates!$B$2:$B$10)</f>
        <v>C</v>
      </c>
      <c r="H3092">
        <v>5</v>
      </c>
      <c r="I3092" s="7">
        <v>544</v>
      </c>
      <c r="O3092" s="7">
        <v>172</v>
      </c>
    </row>
    <row r="3093" spans="1:18" x14ac:dyDescent="0.2">
      <c r="A3093">
        <v>3092</v>
      </c>
      <c r="B3093" s="1">
        <v>40806</v>
      </c>
      <c r="C3093" t="s">
        <v>24</v>
      </c>
      <c r="D3093" s="7">
        <v>68</v>
      </c>
      <c r="E3093" s="7">
        <v>11</v>
      </c>
      <c r="F3093" s="7">
        <f t="shared" si="48"/>
        <v>3</v>
      </c>
      <c r="G3093" s="7" t="str">
        <f>LOOKUP(H3093,[1]startdates!$A$2:$A$10,[1]startdates!$B$2:$B$10)</f>
        <v>C</v>
      </c>
      <c r="H3093">
        <v>5</v>
      </c>
      <c r="I3093" s="7">
        <v>576</v>
      </c>
    </row>
    <row r="3094" spans="1:18" x14ac:dyDescent="0.2">
      <c r="A3094">
        <v>3093</v>
      </c>
      <c r="B3094" s="1">
        <v>40806</v>
      </c>
      <c r="C3094" t="s">
        <v>24</v>
      </c>
      <c r="D3094" s="7">
        <v>68</v>
      </c>
      <c r="E3094" s="7">
        <v>11</v>
      </c>
      <c r="F3094" s="7">
        <f t="shared" si="48"/>
        <v>3</v>
      </c>
      <c r="G3094" s="7" t="str">
        <f>LOOKUP(H3094,[1]startdates!$A$2:$A$10,[1]startdates!$B$2:$B$10)</f>
        <v>C</v>
      </c>
      <c r="H3094">
        <v>5</v>
      </c>
      <c r="I3094" s="7">
        <v>695</v>
      </c>
    </row>
    <row r="3095" spans="1:18" x14ac:dyDescent="0.2">
      <c r="A3095">
        <v>3094</v>
      </c>
      <c r="B3095" s="1">
        <v>40806</v>
      </c>
      <c r="C3095" t="s">
        <v>24</v>
      </c>
      <c r="D3095" s="7">
        <v>68</v>
      </c>
      <c r="E3095" s="7">
        <v>11</v>
      </c>
      <c r="F3095" s="7">
        <f t="shared" si="48"/>
        <v>3</v>
      </c>
      <c r="G3095" s="7" t="str">
        <f>LOOKUP(H3095,[1]startdates!$A$2:$A$10,[1]startdates!$B$2:$B$10)</f>
        <v>C</v>
      </c>
      <c r="H3095">
        <v>5</v>
      </c>
      <c r="I3095" s="7">
        <v>625</v>
      </c>
    </row>
    <row r="3096" spans="1:18" x14ac:dyDescent="0.2">
      <c r="A3096">
        <v>3095</v>
      </c>
      <c r="B3096" s="1">
        <v>40806</v>
      </c>
      <c r="C3096" t="s">
        <v>24</v>
      </c>
      <c r="D3096" s="7">
        <v>68</v>
      </c>
      <c r="E3096" s="7">
        <v>11</v>
      </c>
      <c r="F3096" s="7">
        <f t="shared" si="48"/>
        <v>3</v>
      </c>
      <c r="G3096" s="7" t="str">
        <f>LOOKUP(H3096,[1]startdates!$A$2:$A$10,[1]startdates!$B$2:$B$10)</f>
        <v>FMr</v>
      </c>
      <c r="H3096">
        <v>6</v>
      </c>
      <c r="I3096" s="7">
        <v>626</v>
      </c>
      <c r="K3096" s="7">
        <v>595</v>
      </c>
      <c r="L3096" s="7">
        <v>515</v>
      </c>
      <c r="M3096" s="7">
        <v>321</v>
      </c>
      <c r="N3096" s="7">
        <v>200</v>
      </c>
      <c r="O3096" s="7">
        <v>179</v>
      </c>
      <c r="P3096" s="7">
        <v>436</v>
      </c>
      <c r="Q3096" s="7">
        <v>338</v>
      </c>
      <c r="R3096" s="7">
        <v>277</v>
      </c>
    </row>
    <row r="3097" spans="1:18" x14ac:dyDescent="0.2">
      <c r="A3097">
        <v>3096</v>
      </c>
      <c r="B3097" s="1">
        <v>40806</v>
      </c>
      <c r="C3097" t="s">
        <v>24</v>
      </c>
      <c r="D3097" s="7">
        <v>68</v>
      </c>
      <c r="E3097" s="7">
        <v>11</v>
      </c>
      <c r="F3097" s="7">
        <f t="shared" si="48"/>
        <v>3</v>
      </c>
      <c r="G3097" s="7" t="str">
        <f>LOOKUP(H3097,[1]startdates!$A$2:$A$10,[1]startdates!$B$2:$B$10)</f>
        <v>FMr</v>
      </c>
      <c r="H3097">
        <v>6</v>
      </c>
      <c r="I3097" s="7">
        <v>483</v>
      </c>
      <c r="K3097" s="7">
        <v>611</v>
      </c>
      <c r="L3097" s="7">
        <v>516</v>
      </c>
      <c r="M3097" s="7">
        <v>358</v>
      </c>
      <c r="N3097" s="7">
        <v>236</v>
      </c>
      <c r="O3097" s="7">
        <v>159</v>
      </c>
      <c r="P3097" s="7">
        <v>481</v>
      </c>
      <c r="Q3097" s="7">
        <v>395</v>
      </c>
    </row>
    <row r="3098" spans="1:18" x14ac:dyDescent="0.2">
      <c r="A3098">
        <v>3097</v>
      </c>
      <c r="B3098" s="1">
        <v>40806</v>
      </c>
      <c r="C3098" t="s">
        <v>24</v>
      </c>
      <c r="D3098" s="7">
        <v>68</v>
      </c>
      <c r="E3098" s="7">
        <v>11</v>
      </c>
      <c r="F3098" s="7">
        <f t="shared" si="48"/>
        <v>3</v>
      </c>
      <c r="G3098" s="7" t="str">
        <f>LOOKUP(H3098,[1]startdates!$A$2:$A$10,[1]startdates!$B$2:$B$10)</f>
        <v>FMr</v>
      </c>
      <c r="H3098">
        <v>6</v>
      </c>
      <c r="I3098" s="7">
        <v>635</v>
      </c>
      <c r="K3098" s="7">
        <v>584</v>
      </c>
      <c r="L3098" s="7">
        <v>353</v>
      </c>
      <c r="M3098" s="7">
        <v>300</v>
      </c>
      <c r="N3098" s="7">
        <v>249</v>
      </c>
      <c r="O3098" s="7">
        <v>174</v>
      </c>
    </row>
    <row r="3099" spans="1:18" x14ac:dyDescent="0.2">
      <c r="A3099">
        <v>3098</v>
      </c>
      <c r="B3099" s="1">
        <v>40806</v>
      </c>
      <c r="C3099" t="s">
        <v>24</v>
      </c>
      <c r="D3099" s="7">
        <v>68</v>
      </c>
      <c r="E3099" s="7">
        <v>11</v>
      </c>
      <c r="F3099" s="7">
        <f t="shared" si="48"/>
        <v>3</v>
      </c>
      <c r="G3099" s="7" t="str">
        <f>LOOKUP(H3099,[1]startdates!$A$2:$A$10,[1]startdates!$B$2:$B$10)</f>
        <v>FMr</v>
      </c>
      <c r="H3099">
        <v>6</v>
      </c>
      <c r="I3099" s="7">
        <v>529</v>
      </c>
      <c r="K3099" s="7">
        <v>543</v>
      </c>
      <c r="L3099" s="7">
        <v>499</v>
      </c>
      <c r="M3099" s="7">
        <v>339</v>
      </c>
      <c r="N3099" s="7">
        <v>200</v>
      </c>
      <c r="O3099" s="7">
        <v>188</v>
      </c>
    </row>
    <row r="3100" spans="1:18" x14ac:dyDescent="0.2">
      <c r="A3100">
        <v>3099</v>
      </c>
      <c r="B3100" s="1">
        <v>40806</v>
      </c>
      <c r="C3100" t="s">
        <v>24</v>
      </c>
      <c r="D3100" s="7">
        <v>68</v>
      </c>
      <c r="E3100" s="7">
        <v>11</v>
      </c>
      <c r="F3100" s="7">
        <f t="shared" si="48"/>
        <v>3</v>
      </c>
      <c r="G3100" s="7" t="str">
        <f>LOOKUP(H3100,[1]startdates!$A$2:$A$10,[1]startdates!$B$2:$B$10)</f>
        <v>FMr</v>
      </c>
      <c r="H3100">
        <v>6</v>
      </c>
      <c r="I3100" s="7">
        <v>687</v>
      </c>
      <c r="K3100" s="7">
        <v>573</v>
      </c>
      <c r="L3100" s="7">
        <v>453</v>
      </c>
      <c r="M3100" s="7">
        <v>316</v>
      </c>
      <c r="N3100" s="7">
        <v>244</v>
      </c>
      <c r="O3100" s="7">
        <v>179</v>
      </c>
    </row>
    <row r="3101" spans="1:18" x14ac:dyDescent="0.2">
      <c r="A3101">
        <v>3100</v>
      </c>
      <c r="B3101" s="1">
        <v>40806</v>
      </c>
      <c r="C3101" t="s">
        <v>24</v>
      </c>
      <c r="D3101" s="7">
        <v>68</v>
      </c>
      <c r="E3101" s="7">
        <v>11</v>
      </c>
      <c r="F3101" s="7">
        <f t="shared" si="48"/>
        <v>3</v>
      </c>
      <c r="G3101" s="7" t="str">
        <f>LOOKUP(H3101,[1]startdates!$A$2:$A$10,[1]startdates!$B$2:$B$10)</f>
        <v>FMr</v>
      </c>
      <c r="H3101">
        <v>6</v>
      </c>
      <c r="I3101" s="7">
        <v>647</v>
      </c>
      <c r="K3101" s="7">
        <v>553</v>
      </c>
      <c r="L3101" s="7">
        <v>505</v>
      </c>
      <c r="M3101" s="7">
        <v>310</v>
      </c>
      <c r="N3101" s="7">
        <v>193</v>
      </c>
      <c r="O3101" s="7">
        <v>179</v>
      </c>
    </row>
    <row r="3102" spans="1:18" x14ac:dyDescent="0.2">
      <c r="A3102">
        <v>3101</v>
      </c>
      <c r="B3102" s="1">
        <v>40806</v>
      </c>
      <c r="C3102" t="s">
        <v>24</v>
      </c>
      <c r="D3102" s="7">
        <v>68</v>
      </c>
      <c r="E3102" s="7">
        <v>11</v>
      </c>
      <c r="F3102" s="7">
        <f t="shared" si="48"/>
        <v>3</v>
      </c>
      <c r="G3102" s="7" t="str">
        <f>LOOKUP(H3102,[1]startdates!$A$2:$A$10,[1]startdates!$B$2:$B$10)</f>
        <v>FMr</v>
      </c>
      <c r="H3102">
        <v>6</v>
      </c>
      <c r="I3102" s="7">
        <v>701</v>
      </c>
      <c r="K3102" s="7">
        <v>494</v>
      </c>
      <c r="M3102" s="7">
        <v>330</v>
      </c>
      <c r="N3102" s="7">
        <v>224</v>
      </c>
      <c r="O3102" s="7">
        <v>167</v>
      </c>
    </row>
    <row r="3103" spans="1:18" x14ac:dyDescent="0.2">
      <c r="A3103">
        <v>3102</v>
      </c>
      <c r="B3103" s="1">
        <v>40806</v>
      </c>
      <c r="C3103" t="s">
        <v>24</v>
      </c>
      <c r="D3103" s="7">
        <v>68</v>
      </c>
      <c r="E3103" s="7">
        <v>11</v>
      </c>
      <c r="F3103" s="7">
        <f t="shared" si="48"/>
        <v>3</v>
      </c>
      <c r="G3103" s="7" t="str">
        <f>LOOKUP(H3103,[1]startdates!$A$2:$A$10,[1]startdates!$B$2:$B$10)</f>
        <v>FMr</v>
      </c>
      <c r="H3103">
        <v>6</v>
      </c>
      <c r="I3103" s="7">
        <v>588</v>
      </c>
      <c r="K3103" s="7">
        <v>566</v>
      </c>
      <c r="M3103" s="7">
        <v>371</v>
      </c>
      <c r="N3103" s="7">
        <v>240</v>
      </c>
      <c r="O3103" s="7">
        <v>179</v>
      </c>
    </row>
    <row r="3104" spans="1:18" x14ac:dyDescent="0.2">
      <c r="A3104">
        <v>3103</v>
      </c>
      <c r="B3104" s="1">
        <v>40806</v>
      </c>
      <c r="C3104" t="s">
        <v>24</v>
      </c>
      <c r="D3104" s="7">
        <v>68</v>
      </c>
      <c r="E3104" s="7">
        <v>11</v>
      </c>
      <c r="F3104" s="7">
        <f t="shared" si="48"/>
        <v>3</v>
      </c>
      <c r="G3104" s="7" t="str">
        <f>LOOKUP(H3104,[1]startdates!$A$2:$A$10,[1]startdates!$B$2:$B$10)</f>
        <v>FMr</v>
      </c>
      <c r="H3104">
        <v>6</v>
      </c>
      <c r="I3104" s="7">
        <v>620</v>
      </c>
      <c r="K3104" s="7">
        <v>495</v>
      </c>
      <c r="M3104" s="7">
        <v>305</v>
      </c>
      <c r="N3104" s="7">
        <v>256</v>
      </c>
    </row>
    <row r="3105" spans="1:19" x14ac:dyDescent="0.2">
      <c r="A3105">
        <v>3104</v>
      </c>
      <c r="B3105" s="1">
        <v>40806</v>
      </c>
      <c r="C3105" t="s">
        <v>24</v>
      </c>
      <c r="D3105" s="7">
        <v>68</v>
      </c>
      <c r="E3105" s="7">
        <v>11</v>
      </c>
      <c r="F3105" s="7">
        <f t="shared" si="48"/>
        <v>3</v>
      </c>
      <c r="G3105" s="7" t="str">
        <f>LOOKUP(H3105,[1]startdates!$A$2:$A$10,[1]startdates!$B$2:$B$10)</f>
        <v>FMr</v>
      </c>
      <c r="H3105">
        <v>6</v>
      </c>
      <c r="I3105" s="7">
        <v>620</v>
      </c>
      <c r="K3105" s="7">
        <v>533</v>
      </c>
      <c r="N3105" s="7">
        <v>216</v>
      </c>
    </row>
    <row r="3106" spans="1:19" x14ac:dyDescent="0.2">
      <c r="A3106">
        <v>3105</v>
      </c>
      <c r="B3106" s="1">
        <v>40806</v>
      </c>
      <c r="C3106" t="s">
        <v>24</v>
      </c>
      <c r="D3106" s="7">
        <v>68</v>
      </c>
      <c r="E3106" s="7">
        <v>11</v>
      </c>
      <c r="F3106" s="7">
        <f t="shared" si="48"/>
        <v>3</v>
      </c>
      <c r="G3106" s="7" t="str">
        <f>LOOKUP(H3106,[1]startdates!$A$2:$A$10,[1]startdates!$B$2:$B$10)</f>
        <v>FMr</v>
      </c>
      <c r="H3106">
        <v>6</v>
      </c>
      <c r="I3106" s="7">
        <v>587</v>
      </c>
      <c r="N3106" s="7">
        <v>193</v>
      </c>
    </row>
    <row r="3107" spans="1:19" x14ac:dyDescent="0.2">
      <c r="A3107">
        <v>3106</v>
      </c>
      <c r="B3107" s="1">
        <v>40806</v>
      </c>
      <c r="C3107" t="s">
        <v>24</v>
      </c>
      <c r="D3107" s="7">
        <v>68</v>
      </c>
      <c r="E3107" s="7">
        <v>11</v>
      </c>
      <c r="F3107" s="7">
        <f t="shared" si="48"/>
        <v>3</v>
      </c>
      <c r="G3107" s="7" t="str">
        <f>LOOKUP(H3107,[1]startdates!$A$2:$A$10,[1]startdates!$B$2:$B$10)</f>
        <v>FMr</v>
      </c>
      <c r="H3107">
        <v>6</v>
      </c>
      <c r="I3107" s="7">
        <v>692</v>
      </c>
    </row>
    <row r="3108" spans="1:19" x14ac:dyDescent="0.2">
      <c r="A3108">
        <v>3107</v>
      </c>
      <c r="B3108" s="1">
        <v>40806</v>
      </c>
      <c r="C3108" t="s">
        <v>24</v>
      </c>
      <c r="D3108" s="7">
        <v>68</v>
      </c>
      <c r="E3108" s="7">
        <v>11</v>
      </c>
      <c r="F3108" s="7">
        <f t="shared" si="48"/>
        <v>3</v>
      </c>
      <c r="G3108" s="7" t="str">
        <f>LOOKUP(H3108,[1]startdates!$A$2:$A$10,[1]startdates!$B$2:$B$10)</f>
        <v>FMr</v>
      </c>
      <c r="H3108">
        <v>6</v>
      </c>
      <c r="I3108" s="7">
        <v>698</v>
      </c>
    </row>
    <row r="3109" spans="1:19" x14ac:dyDescent="0.2">
      <c r="A3109">
        <v>3108</v>
      </c>
      <c r="B3109" s="1">
        <v>40806</v>
      </c>
      <c r="C3109" t="s">
        <v>24</v>
      </c>
      <c r="D3109" s="7">
        <v>68</v>
      </c>
      <c r="E3109" s="7">
        <v>11</v>
      </c>
      <c r="F3109" s="7">
        <f t="shared" si="48"/>
        <v>3</v>
      </c>
      <c r="G3109" s="7" t="str">
        <f>LOOKUP(H3109,[1]startdates!$A$2:$A$10,[1]startdates!$B$2:$B$10)</f>
        <v>FMr</v>
      </c>
      <c r="H3109">
        <v>6</v>
      </c>
      <c r="I3109" s="7">
        <v>638</v>
      </c>
    </row>
    <row r="3110" spans="1:19" x14ac:dyDescent="0.2">
      <c r="A3110">
        <v>3109</v>
      </c>
      <c r="B3110" s="1">
        <v>40806</v>
      </c>
      <c r="C3110" t="s">
        <v>24</v>
      </c>
      <c r="D3110" s="7">
        <v>68</v>
      </c>
      <c r="E3110" s="7">
        <v>11</v>
      </c>
      <c r="F3110" s="7">
        <f t="shared" si="48"/>
        <v>3</v>
      </c>
      <c r="G3110" s="7" t="str">
        <f>LOOKUP(H3110,[1]startdates!$A$2:$A$10,[1]startdates!$B$2:$B$10)</f>
        <v>FMr</v>
      </c>
      <c r="H3110">
        <v>6</v>
      </c>
      <c r="I3110" s="7">
        <v>513</v>
      </c>
    </row>
    <row r="3111" spans="1:19" x14ac:dyDescent="0.2">
      <c r="A3111">
        <v>3110</v>
      </c>
      <c r="B3111" s="1">
        <v>40806</v>
      </c>
      <c r="C3111" t="s">
        <v>28</v>
      </c>
      <c r="D3111" s="7">
        <v>68</v>
      </c>
      <c r="E3111" s="7">
        <v>11</v>
      </c>
      <c r="F3111" s="7">
        <f t="shared" si="48"/>
        <v>3</v>
      </c>
      <c r="G3111" s="7" t="str">
        <f>LOOKUP(H3111,[1]startdates!$A$2:$A$10,[1]startdates!$B$2:$B$10)</f>
        <v>FMr</v>
      </c>
      <c r="H3111">
        <v>7</v>
      </c>
      <c r="I3111" s="7">
        <v>677.6</v>
      </c>
      <c r="K3111" s="7">
        <v>505.7</v>
      </c>
      <c r="L3111" s="7">
        <v>468.5</v>
      </c>
      <c r="M3111" s="7">
        <v>343.2</v>
      </c>
      <c r="N3111" s="7">
        <v>278.39999999999998</v>
      </c>
      <c r="O3111" s="7">
        <v>166.6</v>
      </c>
      <c r="P3111" s="7">
        <v>440.6</v>
      </c>
      <c r="R3111" s="7">
        <v>272.39999999999998</v>
      </c>
      <c r="S3111" s="7">
        <v>285.89999999999998</v>
      </c>
    </row>
    <row r="3112" spans="1:19" x14ac:dyDescent="0.2">
      <c r="A3112">
        <v>3111</v>
      </c>
      <c r="B3112" s="1">
        <v>40806</v>
      </c>
      <c r="C3112" t="s">
        <v>28</v>
      </c>
      <c r="D3112" s="7">
        <v>68</v>
      </c>
      <c r="E3112" s="7">
        <v>11</v>
      </c>
      <c r="F3112" s="7">
        <f t="shared" si="48"/>
        <v>3</v>
      </c>
      <c r="G3112" s="7" t="str">
        <f>LOOKUP(H3112,[1]startdates!$A$2:$A$10,[1]startdates!$B$2:$B$10)</f>
        <v>FMr</v>
      </c>
      <c r="H3112">
        <v>7</v>
      </c>
      <c r="I3112" s="7">
        <v>634.29999999999995</v>
      </c>
      <c r="K3112" s="7">
        <v>471.8</v>
      </c>
      <c r="L3112" s="7">
        <v>405.3</v>
      </c>
      <c r="M3112" s="7">
        <v>317.7</v>
      </c>
      <c r="N3112" s="7">
        <v>249.2</v>
      </c>
      <c r="O3112" s="7">
        <v>164.7</v>
      </c>
      <c r="P3112" s="7">
        <v>395.2</v>
      </c>
      <c r="R3112" s="7">
        <v>226.8</v>
      </c>
      <c r="S3112" s="7">
        <v>271.60000000000002</v>
      </c>
    </row>
    <row r="3113" spans="1:19" x14ac:dyDescent="0.2">
      <c r="A3113">
        <v>3112</v>
      </c>
      <c r="B3113" s="1">
        <v>40806</v>
      </c>
      <c r="C3113" t="s">
        <v>28</v>
      </c>
      <c r="D3113" s="7">
        <v>68</v>
      </c>
      <c r="E3113" s="7">
        <v>11</v>
      </c>
      <c r="F3113" s="7">
        <f t="shared" ref="F3113:F3176" si="49">WEEKDAY(B3113)</f>
        <v>3</v>
      </c>
      <c r="G3113" s="7" t="str">
        <f>LOOKUP(H3113,[1]startdates!$A$2:$A$10,[1]startdates!$B$2:$B$10)</f>
        <v>FMr</v>
      </c>
      <c r="H3113">
        <v>7</v>
      </c>
      <c r="I3113" s="7">
        <v>651.4</v>
      </c>
      <c r="K3113" s="7">
        <v>499.2</v>
      </c>
      <c r="L3113" s="7">
        <v>469.9</v>
      </c>
      <c r="M3113" s="7">
        <v>314.8</v>
      </c>
      <c r="N3113" s="7">
        <v>210.9</v>
      </c>
      <c r="O3113" s="7">
        <v>167.9</v>
      </c>
      <c r="R3113" s="7">
        <v>258.7</v>
      </c>
    </row>
    <row r="3114" spans="1:19" x14ac:dyDescent="0.2">
      <c r="A3114">
        <v>3113</v>
      </c>
      <c r="B3114" s="1">
        <v>40806</v>
      </c>
      <c r="C3114" t="s">
        <v>28</v>
      </c>
      <c r="D3114" s="7">
        <v>68</v>
      </c>
      <c r="E3114" s="7">
        <v>11</v>
      </c>
      <c r="F3114" s="7">
        <f t="shared" si="49"/>
        <v>3</v>
      </c>
      <c r="G3114" s="7" t="str">
        <f>LOOKUP(H3114,[1]startdates!$A$2:$A$10,[1]startdates!$B$2:$B$10)</f>
        <v>FMr</v>
      </c>
      <c r="H3114">
        <v>7</v>
      </c>
      <c r="I3114" s="7">
        <v>534.29999999999995</v>
      </c>
      <c r="K3114" s="7">
        <v>498.3</v>
      </c>
      <c r="L3114" s="7">
        <v>494.7</v>
      </c>
      <c r="M3114" s="7">
        <v>380.4</v>
      </c>
      <c r="N3114" s="7">
        <v>271.5</v>
      </c>
      <c r="O3114" s="7">
        <v>162.19999999999999</v>
      </c>
      <c r="R3114" s="7">
        <v>300.60000000000002</v>
      </c>
    </row>
    <row r="3115" spans="1:19" x14ac:dyDescent="0.2">
      <c r="A3115">
        <v>3114</v>
      </c>
      <c r="B3115" s="1">
        <v>40806</v>
      </c>
      <c r="C3115" t="s">
        <v>28</v>
      </c>
      <c r="D3115" s="7">
        <v>68</v>
      </c>
      <c r="E3115" s="7">
        <v>11</v>
      </c>
      <c r="F3115" s="7">
        <f t="shared" si="49"/>
        <v>3</v>
      </c>
      <c r="G3115" s="7" t="str">
        <f>LOOKUP(H3115,[1]startdates!$A$2:$A$10,[1]startdates!$B$2:$B$10)</f>
        <v>FMr</v>
      </c>
      <c r="H3115">
        <v>7</v>
      </c>
      <c r="I3115" s="7">
        <v>538</v>
      </c>
      <c r="K3115" s="7">
        <v>548.29999999999995</v>
      </c>
      <c r="L3115" s="7">
        <v>441.8</v>
      </c>
      <c r="M3115" s="7">
        <v>385.8</v>
      </c>
      <c r="N3115" s="7">
        <v>205.1</v>
      </c>
      <c r="O3115" s="7">
        <v>182.9</v>
      </c>
    </row>
    <row r="3116" spans="1:19" x14ac:dyDescent="0.2">
      <c r="A3116">
        <v>3115</v>
      </c>
      <c r="B3116" s="1">
        <v>40806</v>
      </c>
      <c r="C3116" t="s">
        <v>28</v>
      </c>
      <c r="D3116" s="7">
        <v>68</v>
      </c>
      <c r="E3116" s="7">
        <v>11</v>
      </c>
      <c r="F3116" s="7">
        <f t="shared" si="49"/>
        <v>3</v>
      </c>
      <c r="G3116" s="7" t="str">
        <f>LOOKUP(H3116,[1]startdates!$A$2:$A$10,[1]startdates!$B$2:$B$10)</f>
        <v>FMr</v>
      </c>
      <c r="H3116">
        <v>7</v>
      </c>
      <c r="I3116" s="7">
        <v>576.5</v>
      </c>
      <c r="K3116" s="7">
        <v>494.2</v>
      </c>
      <c r="L3116" s="7">
        <v>406.6</v>
      </c>
      <c r="M3116" s="7">
        <v>310.7</v>
      </c>
      <c r="N3116" s="7">
        <v>207.9</v>
      </c>
      <c r="O3116" s="7">
        <v>155.30000000000001</v>
      </c>
    </row>
    <row r="3117" spans="1:19" x14ac:dyDescent="0.2">
      <c r="A3117">
        <v>3116</v>
      </c>
      <c r="B3117" s="1">
        <v>40806</v>
      </c>
      <c r="C3117" t="s">
        <v>28</v>
      </c>
      <c r="D3117" s="7">
        <v>68</v>
      </c>
      <c r="E3117" s="7">
        <v>11</v>
      </c>
      <c r="F3117" s="7">
        <f t="shared" si="49"/>
        <v>3</v>
      </c>
      <c r="G3117" s="7" t="str">
        <f>LOOKUP(H3117,[1]startdates!$A$2:$A$10,[1]startdates!$B$2:$B$10)</f>
        <v>FMr</v>
      </c>
      <c r="H3117">
        <v>7</v>
      </c>
      <c r="I3117" s="7">
        <v>502.7</v>
      </c>
      <c r="L3117" s="7">
        <v>419.7</v>
      </c>
      <c r="M3117" s="7">
        <v>312.8</v>
      </c>
      <c r="N3117" s="7">
        <v>214</v>
      </c>
      <c r="O3117" s="7">
        <v>192.7</v>
      </c>
    </row>
    <row r="3118" spans="1:19" x14ac:dyDescent="0.2">
      <c r="A3118">
        <v>3117</v>
      </c>
      <c r="B3118" s="1">
        <v>40806</v>
      </c>
      <c r="C3118" t="s">
        <v>28</v>
      </c>
      <c r="D3118" s="7">
        <v>68</v>
      </c>
      <c r="E3118" s="7">
        <v>11</v>
      </c>
      <c r="F3118" s="7">
        <f t="shared" si="49"/>
        <v>3</v>
      </c>
      <c r="G3118" s="7" t="str">
        <f>LOOKUP(H3118,[1]startdates!$A$2:$A$10,[1]startdates!$B$2:$B$10)</f>
        <v>FMr</v>
      </c>
      <c r="H3118">
        <v>7</v>
      </c>
      <c r="I3118" s="7">
        <v>516.1</v>
      </c>
      <c r="L3118" s="7">
        <v>454.6</v>
      </c>
      <c r="M3118" s="7">
        <v>357.2</v>
      </c>
      <c r="N3118" s="7">
        <v>236.1</v>
      </c>
      <c r="O3118" s="7">
        <v>171.9</v>
      </c>
    </row>
    <row r="3119" spans="1:19" x14ac:dyDescent="0.2">
      <c r="A3119">
        <v>3118</v>
      </c>
      <c r="B3119" s="1">
        <v>40806</v>
      </c>
      <c r="C3119" t="s">
        <v>28</v>
      </c>
      <c r="D3119" s="7">
        <v>68</v>
      </c>
      <c r="E3119" s="7">
        <v>11</v>
      </c>
      <c r="F3119" s="7">
        <f t="shared" si="49"/>
        <v>3</v>
      </c>
      <c r="G3119" s="7" t="str">
        <f>LOOKUP(H3119,[1]startdates!$A$2:$A$10,[1]startdates!$B$2:$B$10)</f>
        <v>FMr</v>
      </c>
      <c r="H3119">
        <v>7</v>
      </c>
      <c r="I3119" s="7">
        <v>620.1</v>
      </c>
      <c r="L3119" s="7">
        <v>439.5</v>
      </c>
      <c r="M3119" s="7">
        <v>383</v>
      </c>
      <c r="N3119" s="7">
        <v>169.5</v>
      </c>
      <c r="O3119" s="7">
        <v>171.3</v>
      </c>
    </row>
    <row r="3120" spans="1:19" x14ac:dyDescent="0.2">
      <c r="A3120">
        <v>3119</v>
      </c>
      <c r="B3120" s="1">
        <v>40806</v>
      </c>
      <c r="C3120" t="s">
        <v>28</v>
      </c>
      <c r="D3120" s="7">
        <v>68</v>
      </c>
      <c r="E3120" s="7">
        <v>11</v>
      </c>
      <c r="F3120" s="7">
        <f t="shared" si="49"/>
        <v>3</v>
      </c>
      <c r="G3120" s="7" t="str">
        <f>LOOKUP(H3120,[1]startdates!$A$2:$A$10,[1]startdates!$B$2:$B$10)</f>
        <v>FMr</v>
      </c>
      <c r="H3120">
        <v>7</v>
      </c>
      <c r="I3120" s="7">
        <v>546</v>
      </c>
      <c r="N3120" s="7">
        <v>215.6</v>
      </c>
      <c r="O3120" s="7">
        <v>178.2</v>
      </c>
    </row>
    <row r="3121" spans="1:22" x14ac:dyDescent="0.2">
      <c r="A3121">
        <v>3120</v>
      </c>
      <c r="B3121" s="1">
        <v>40806</v>
      </c>
      <c r="C3121" t="s">
        <v>28</v>
      </c>
      <c r="D3121" s="7">
        <v>68</v>
      </c>
      <c r="E3121" s="7">
        <v>11</v>
      </c>
      <c r="F3121" s="7">
        <f t="shared" si="49"/>
        <v>3</v>
      </c>
      <c r="G3121" s="7" t="str">
        <f>LOOKUP(H3121,[1]startdates!$A$2:$A$10,[1]startdates!$B$2:$B$10)</f>
        <v>FMr</v>
      </c>
      <c r="H3121">
        <v>7</v>
      </c>
      <c r="I3121" s="7">
        <v>569</v>
      </c>
    </row>
    <row r="3122" spans="1:22" x14ac:dyDescent="0.2">
      <c r="A3122">
        <v>3121</v>
      </c>
      <c r="B3122" s="1">
        <v>40806</v>
      </c>
      <c r="C3122" t="s">
        <v>28</v>
      </c>
      <c r="D3122" s="7">
        <v>68</v>
      </c>
      <c r="E3122" s="7">
        <v>11</v>
      </c>
      <c r="F3122" s="7">
        <f t="shared" si="49"/>
        <v>3</v>
      </c>
      <c r="G3122" s="7" t="str">
        <f>LOOKUP(H3122,[1]startdates!$A$2:$A$10,[1]startdates!$B$2:$B$10)</f>
        <v>FMr</v>
      </c>
      <c r="H3122">
        <v>7</v>
      </c>
      <c r="I3122" s="7">
        <v>569.79999999999995</v>
      </c>
    </row>
    <row r="3123" spans="1:22" x14ac:dyDescent="0.2">
      <c r="A3123">
        <v>3122</v>
      </c>
      <c r="B3123" s="1">
        <v>40806</v>
      </c>
      <c r="C3123" t="s">
        <v>24</v>
      </c>
      <c r="D3123" s="7">
        <v>68</v>
      </c>
      <c r="E3123" s="7">
        <v>11</v>
      </c>
      <c r="F3123" s="7">
        <f t="shared" si="49"/>
        <v>3</v>
      </c>
      <c r="G3123" s="7" t="str">
        <f>LOOKUP(H3123,[1]startdates!$A$2:$A$10,[1]startdates!$B$2:$B$10)</f>
        <v>C</v>
      </c>
      <c r="H3123">
        <v>8</v>
      </c>
      <c r="I3123" s="7">
        <v>656</v>
      </c>
      <c r="J3123" s="7">
        <v>493</v>
      </c>
      <c r="K3123" s="7">
        <v>630</v>
      </c>
      <c r="L3123" s="7">
        <v>358</v>
      </c>
      <c r="M3123" s="7">
        <v>315</v>
      </c>
      <c r="N3123" s="7">
        <v>240</v>
      </c>
      <c r="O3123" s="7">
        <v>201</v>
      </c>
      <c r="P3123" s="7">
        <v>507</v>
      </c>
      <c r="R3123" s="7">
        <v>277</v>
      </c>
      <c r="S3123" s="7">
        <v>303</v>
      </c>
    </row>
    <row r="3124" spans="1:22" x14ac:dyDescent="0.2">
      <c r="A3124">
        <v>3123</v>
      </c>
      <c r="B3124" s="1">
        <v>40806</v>
      </c>
      <c r="C3124" t="s">
        <v>24</v>
      </c>
      <c r="D3124" s="7">
        <v>68</v>
      </c>
      <c r="E3124" s="7">
        <v>11</v>
      </c>
      <c r="F3124" s="7">
        <f t="shared" si="49"/>
        <v>3</v>
      </c>
      <c r="G3124" s="7" t="str">
        <f>LOOKUP(H3124,[1]startdates!$A$2:$A$10,[1]startdates!$B$2:$B$10)</f>
        <v>C</v>
      </c>
      <c r="H3124">
        <v>8</v>
      </c>
      <c r="I3124" s="7">
        <v>660</v>
      </c>
      <c r="K3124" s="7">
        <v>517</v>
      </c>
      <c r="L3124" s="7">
        <v>457</v>
      </c>
      <c r="M3124" s="7">
        <v>331</v>
      </c>
      <c r="N3124" s="7">
        <v>214</v>
      </c>
      <c r="O3124" s="7">
        <v>187</v>
      </c>
      <c r="P3124" s="7">
        <v>544</v>
      </c>
      <c r="R3124" s="7">
        <v>299</v>
      </c>
      <c r="S3124" s="7">
        <v>244</v>
      </c>
    </row>
    <row r="3125" spans="1:22" x14ac:dyDescent="0.2">
      <c r="A3125">
        <v>3124</v>
      </c>
      <c r="B3125" s="1">
        <v>40806</v>
      </c>
      <c r="C3125" t="s">
        <v>24</v>
      </c>
      <c r="D3125" s="7">
        <v>68</v>
      </c>
      <c r="E3125" s="7">
        <v>11</v>
      </c>
      <c r="F3125" s="7">
        <f t="shared" si="49"/>
        <v>3</v>
      </c>
      <c r="G3125" s="7" t="str">
        <f>LOOKUP(H3125,[1]startdates!$A$2:$A$10,[1]startdates!$B$2:$B$10)</f>
        <v>C</v>
      </c>
      <c r="H3125">
        <v>8</v>
      </c>
      <c r="I3125" s="7">
        <v>631</v>
      </c>
      <c r="K3125" s="7">
        <v>610</v>
      </c>
      <c r="L3125" s="7">
        <v>385</v>
      </c>
      <c r="M3125" s="7">
        <v>353</v>
      </c>
      <c r="N3125" s="7">
        <v>232</v>
      </c>
      <c r="O3125" s="7">
        <v>203</v>
      </c>
      <c r="R3125" s="7">
        <v>290</v>
      </c>
      <c r="S3125" s="7">
        <v>317</v>
      </c>
    </row>
    <row r="3126" spans="1:22" x14ac:dyDescent="0.2">
      <c r="A3126">
        <v>3125</v>
      </c>
      <c r="B3126" s="1">
        <v>40806</v>
      </c>
      <c r="C3126" t="s">
        <v>24</v>
      </c>
      <c r="D3126" s="7">
        <v>68</v>
      </c>
      <c r="E3126" s="7">
        <v>11</v>
      </c>
      <c r="F3126" s="7">
        <f t="shared" si="49"/>
        <v>3</v>
      </c>
      <c r="G3126" s="7" t="str">
        <f>LOOKUP(H3126,[1]startdates!$A$2:$A$10,[1]startdates!$B$2:$B$10)</f>
        <v>C</v>
      </c>
      <c r="H3126">
        <v>8</v>
      </c>
      <c r="I3126" s="7">
        <v>644</v>
      </c>
      <c r="K3126" s="7">
        <v>577</v>
      </c>
      <c r="L3126" s="7">
        <v>358</v>
      </c>
      <c r="M3126" s="7">
        <v>351</v>
      </c>
      <c r="N3126" s="7">
        <v>259</v>
      </c>
      <c r="O3126" s="7">
        <v>172</v>
      </c>
      <c r="R3126" s="7">
        <v>275</v>
      </c>
    </row>
    <row r="3127" spans="1:22" x14ac:dyDescent="0.2">
      <c r="A3127">
        <v>3126</v>
      </c>
      <c r="B3127" s="1">
        <v>40806</v>
      </c>
      <c r="C3127" t="s">
        <v>24</v>
      </c>
      <c r="D3127" s="7">
        <v>68</v>
      </c>
      <c r="E3127" s="7">
        <v>11</v>
      </c>
      <c r="F3127" s="7">
        <f t="shared" si="49"/>
        <v>3</v>
      </c>
      <c r="G3127" s="7" t="str">
        <f>LOOKUP(H3127,[1]startdates!$A$2:$A$10,[1]startdates!$B$2:$B$10)</f>
        <v>C</v>
      </c>
      <c r="H3127">
        <v>8</v>
      </c>
      <c r="I3127" s="7">
        <v>587</v>
      </c>
      <c r="M3127" s="7">
        <v>333</v>
      </c>
      <c r="N3127" s="7">
        <v>252</v>
      </c>
      <c r="O3127" s="7">
        <v>168</v>
      </c>
    </row>
    <row r="3128" spans="1:22" x14ac:dyDescent="0.2">
      <c r="A3128">
        <v>3127</v>
      </c>
      <c r="B3128" s="1">
        <v>40806</v>
      </c>
      <c r="C3128" t="s">
        <v>24</v>
      </c>
      <c r="D3128" s="7">
        <v>68</v>
      </c>
      <c r="E3128" s="7">
        <v>11</v>
      </c>
      <c r="F3128" s="7">
        <f t="shared" si="49"/>
        <v>3</v>
      </c>
      <c r="G3128" s="7" t="str">
        <f>LOOKUP(H3128,[1]startdates!$A$2:$A$10,[1]startdates!$B$2:$B$10)</f>
        <v>C</v>
      </c>
      <c r="H3128">
        <v>8</v>
      </c>
      <c r="I3128" s="7">
        <v>663</v>
      </c>
      <c r="M3128" s="7">
        <v>299</v>
      </c>
      <c r="N3128" s="7">
        <v>228</v>
      </c>
      <c r="O3128" s="7">
        <v>197</v>
      </c>
    </row>
    <row r="3129" spans="1:22" x14ac:dyDescent="0.2">
      <c r="A3129">
        <v>3128</v>
      </c>
      <c r="B3129" s="1">
        <v>40806</v>
      </c>
      <c r="C3129" t="s">
        <v>24</v>
      </c>
      <c r="D3129" s="7">
        <v>68</v>
      </c>
      <c r="E3129" s="7">
        <v>11</v>
      </c>
      <c r="F3129" s="7">
        <f t="shared" si="49"/>
        <v>3</v>
      </c>
      <c r="G3129" s="7" t="str">
        <f>LOOKUP(H3129,[1]startdates!$A$2:$A$10,[1]startdates!$B$2:$B$10)</f>
        <v>C</v>
      </c>
      <c r="H3129">
        <v>8</v>
      </c>
      <c r="I3129" s="7">
        <v>640</v>
      </c>
      <c r="M3129" s="7">
        <v>368</v>
      </c>
      <c r="N3129" s="7">
        <v>197</v>
      </c>
      <c r="O3129" s="7">
        <v>191</v>
      </c>
    </row>
    <row r="3130" spans="1:22" x14ac:dyDescent="0.2">
      <c r="A3130">
        <v>3129</v>
      </c>
      <c r="B3130" s="1">
        <v>40806</v>
      </c>
      <c r="C3130" t="s">
        <v>24</v>
      </c>
      <c r="D3130" s="7">
        <v>68</v>
      </c>
      <c r="E3130" s="7">
        <v>11</v>
      </c>
      <c r="F3130" s="7">
        <f t="shared" si="49"/>
        <v>3</v>
      </c>
      <c r="G3130" s="7" t="str">
        <f>LOOKUP(H3130,[1]startdates!$A$2:$A$10,[1]startdates!$B$2:$B$10)</f>
        <v>C</v>
      </c>
      <c r="H3130">
        <v>8</v>
      </c>
      <c r="I3130" s="7">
        <v>565</v>
      </c>
      <c r="M3130" s="7">
        <v>347</v>
      </c>
      <c r="N3130" s="7">
        <v>201</v>
      </c>
      <c r="O3130" s="7">
        <v>186</v>
      </c>
    </row>
    <row r="3131" spans="1:22" x14ac:dyDescent="0.2">
      <c r="A3131">
        <v>3130</v>
      </c>
      <c r="B3131" s="1">
        <v>40806</v>
      </c>
      <c r="C3131" t="s">
        <v>24</v>
      </c>
      <c r="D3131" s="7">
        <v>68</v>
      </c>
      <c r="E3131" s="7">
        <v>11</v>
      </c>
      <c r="F3131" s="7">
        <f t="shared" si="49"/>
        <v>3</v>
      </c>
      <c r="G3131" s="7" t="str">
        <f>LOOKUP(H3131,[1]startdates!$A$2:$A$10,[1]startdates!$B$2:$B$10)</f>
        <v>C</v>
      </c>
      <c r="H3131">
        <v>8</v>
      </c>
      <c r="I3131" s="7">
        <v>712</v>
      </c>
      <c r="M3131" s="7">
        <v>365</v>
      </c>
      <c r="N3131" s="7">
        <v>270</v>
      </c>
      <c r="O3131" s="7">
        <v>177</v>
      </c>
    </row>
    <row r="3132" spans="1:22" x14ac:dyDescent="0.2">
      <c r="A3132">
        <v>3131</v>
      </c>
      <c r="B3132" s="1">
        <v>40806</v>
      </c>
      <c r="C3132" t="s">
        <v>24</v>
      </c>
      <c r="D3132" s="7">
        <v>68</v>
      </c>
      <c r="E3132" s="7">
        <v>11</v>
      </c>
      <c r="F3132" s="7">
        <f t="shared" si="49"/>
        <v>3</v>
      </c>
      <c r="G3132" s="7" t="str">
        <f>LOOKUP(H3132,[1]startdates!$A$2:$A$10,[1]startdates!$B$2:$B$10)</f>
        <v>C</v>
      </c>
      <c r="H3132">
        <v>8</v>
      </c>
      <c r="I3132" s="7">
        <v>674</v>
      </c>
      <c r="M3132" s="7">
        <v>364</v>
      </c>
      <c r="N3132" s="7">
        <v>247</v>
      </c>
      <c r="O3132" s="7">
        <v>177</v>
      </c>
    </row>
    <row r="3133" spans="1:22" x14ac:dyDescent="0.2">
      <c r="A3133">
        <v>3132</v>
      </c>
      <c r="B3133" s="1">
        <v>40806</v>
      </c>
      <c r="C3133" t="s">
        <v>24</v>
      </c>
      <c r="D3133" s="7">
        <v>68</v>
      </c>
      <c r="E3133" s="7">
        <v>11</v>
      </c>
      <c r="F3133" s="7">
        <f t="shared" si="49"/>
        <v>3</v>
      </c>
      <c r="G3133" s="7" t="str">
        <f>LOOKUP(H3133,[1]startdates!$A$2:$A$10,[1]startdates!$B$2:$B$10)</f>
        <v>C</v>
      </c>
      <c r="H3133">
        <v>8</v>
      </c>
      <c r="I3133" s="7">
        <v>646</v>
      </c>
      <c r="O3133" s="7">
        <v>170</v>
      </c>
    </row>
    <row r="3134" spans="1:22" x14ac:dyDescent="0.2">
      <c r="A3134">
        <v>3133</v>
      </c>
      <c r="B3134" s="1">
        <v>40806</v>
      </c>
      <c r="C3134" t="s">
        <v>24</v>
      </c>
      <c r="D3134" s="7">
        <v>68</v>
      </c>
      <c r="E3134" s="7">
        <v>11</v>
      </c>
      <c r="F3134" s="7">
        <f t="shared" si="49"/>
        <v>3</v>
      </c>
      <c r="G3134" s="7" t="str">
        <f>LOOKUP(H3134,[1]startdates!$A$2:$A$10,[1]startdates!$B$2:$B$10)</f>
        <v>C</v>
      </c>
      <c r="H3134">
        <v>8</v>
      </c>
      <c r="I3134" s="7">
        <v>682</v>
      </c>
    </row>
    <row r="3135" spans="1:22" x14ac:dyDescent="0.2">
      <c r="A3135">
        <v>3134</v>
      </c>
      <c r="B3135" s="1">
        <v>40806</v>
      </c>
      <c r="C3135" t="s">
        <v>24</v>
      </c>
      <c r="D3135" s="7">
        <v>68</v>
      </c>
      <c r="E3135" s="7">
        <v>11</v>
      </c>
      <c r="F3135" s="7">
        <f t="shared" si="49"/>
        <v>3</v>
      </c>
      <c r="G3135" s="7" t="str">
        <f>LOOKUP(H3135,[1]startdates!$A$2:$A$10,[1]startdates!$B$2:$B$10)</f>
        <v>C</v>
      </c>
      <c r="H3135">
        <v>8</v>
      </c>
      <c r="I3135" s="7">
        <v>562</v>
      </c>
    </row>
    <row r="3136" spans="1:22" x14ac:dyDescent="0.2">
      <c r="A3136">
        <v>3135</v>
      </c>
      <c r="B3136" s="1">
        <v>40806</v>
      </c>
      <c r="C3136" t="s">
        <v>24</v>
      </c>
      <c r="D3136" s="7">
        <v>68</v>
      </c>
      <c r="E3136" s="7">
        <v>11</v>
      </c>
      <c r="F3136" s="7">
        <f t="shared" si="49"/>
        <v>3</v>
      </c>
      <c r="G3136" s="7" t="str">
        <f>LOOKUP(H3136,[1]startdates!$A$2:$A$10,[1]startdates!$B$2:$B$10)</f>
        <v>FMr</v>
      </c>
      <c r="H3136">
        <v>9</v>
      </c>
      <c r="I3136" s="7">
        <v>531</v>
      </c>
      <c r="J3136" s="7">
        <v>607</v>
      </c>
      <c r="K3136" s="7">
        <v>519</v>
      </c>
      <c r="L3136" s="7">
        <v>437</v>
      </c>
      <c r="M3136" s="7">
        <v>311</v>
      </c>
      <c r="N3136" s="7">
        <v>266</v>
      </c>
      <c r="O3136" s="7">
        <v>190</v>
      </c>
      <c r="P3136" s="7">
        <v>487</v>
      </c>
      <c r="Q3136" s="7">
        <v>395</v>
      </c>
      <c r="R3136" s="7">
        <v>310</v>
      </c>
      <c r="V3136" s="7">
        <v>546</v>
      </c>
    </row>
    <row r="3137" spans="1:20" x14ac:dyDescent="0.2">
      <c r="A3137">
        <v>3136</v>
      </c>
      <c r="B3137" s="1">
        <v>40806</v>
      </c>
      <c r="C3137" t="s">
        <v>24</v>
      </c>
      <c r="D3137" s="7">
        <v>68</v>
      </c>
      <c r="E3137" s="7">
        <v>11</v>
      </c>
      <c r="F3137" s="7">
        <f t="shared" si="49"/>
        <v>3</v>
      </c>
      <c r="G3137" s="7" t="str">
        <f>LOOKUP(H3137,[1]startdates!$A$2:$A$10,[1]startdates!$B$2:$B$10)</f>
        <v>FMr</v>
      </c>
      <c r="H3137">
        <v>9</v>
      </c>
      <c r="I3137" s="7">
        <v>741</v>
      </c>
      <c r="K3137" s="7">
        <v>569</v>
      </c>
      <c r="L3137" s="7">
        <v>484</v>
      </c>
      <c r="M3137" s="7">
        <v>306</v>
      </c>
      <c r="N3137" s="7">
        <v>287</v>
      </c>
      <c r="O3137" s="7">
        <v>219</v>
      </c>
      <c r="P3137" s="7">
        <v>508</v>
      </c>
      <c r="Q3137" s="7">
        <v>324</v>
      </c>
      <c r="R3137" s="7">
        <v>303</v>
      </c>
    </row>
    <row r="3138" spans="1:20" x14ac:dyDescent="0.2">
      <c r="A3138">
        <v>3137</v>
      </c>
      <c r="B3138" s="1">
        <v>40806</v>
      </c>
      <c r="C3138" t="s">
        <v>24</v>
      </c>
      <c r="D3138" s="7">
        <v>68</v>
      </c>
      <c r="E3138" s="7">
        <v>11</v>
      </c>
      <c r="F3138" s="7">
        <f t="shared" si="49"/>
        <v>3</v>
      </c>
      <c r="G3138" s="7" t="str">
        <f>LOOKUP(H3138,[1]startdates!$A$2:$A$10,[1]startdates!$B$2:$B$10)</f>
        <v>FMr</v>
      </c>
      <c r="H3138">
        <v>9</v>
      </c>
      <c r="I3138" s="7">
        <v>578</v>
      </c>
      <c r="K3138" s="7">
        <v>561</v>
      </c>
      <c r="L3138" s="7">
        <v>440</v>
      </c>
      <c r="M3138" s="7">
        <v>314</v>
      </c>
      <c r="N3138" s="7">
        <v>249</v>
      </c>
      <c r="O3138" s="7">
        <v>155</v>
      </c>
      <c r="Q3138" s="7">
        <v>378</v>
      </c>
    </row>
    <row r="3139" spans="1:20" x14ac:dyDescent="0.2">
      <c r="A3139">
        <v>3138</v>
      </c>
      <c r="B3139" s="1">
        <v>40806</v>
      </c>
      <c r="C3139" t="s">
        <v>24</v>
      </c>
      <c r="D3139" s="7">
        <v>68</v>
      </c>
      <c r="E3139" s="7">
        <v>11</v>
      </c>
      <c r="F3139" s="7">
        <f t="shared" si="49"/>
        <v>3</v>
      </c>
      <c r="G3139" s="7" t="str">
        <f>LOOKUP(H3139,[1]startdates!$A$2:$A$10,[1]startdates!$B$2:$B$10)</f>
        <v>FMr</v>
      </c>
      <c r="H3139">
        <v>9</v>
      </c>
      <c r="I3139" s="7">
        <v>525</v>
      </c>
      <c r="K3139" s="7">
        <v>617</v>
      </c>
      <c r="L3139" s="7">
        <v>428</v>
      </c>
      <c r="M3139" s="7">
        <v>313</v>
      </c>
      <c r="N3139" s="7">
        <v>245</v>
      </c>
      <c r="O3139" s="7">
        <v>182</v>
      </c>
    </row>
    <row r="3140" spans="1:20" x14ac:dyDescent="0.2">
      <c r="A3140">
        <v>3139</v>
      </c>
      <c r="B3140" s="1">
        <v>40806</v>
      </c>
      <c r="C3140" t="s">
        <v>24</v>
      </c>
      <c r="D3140" s="7">
        <v>68</v>
      </c>
      <c r="E3140" s="7">
        <v>11</v>
      </c>
      <c r="F3140" s="7">
        <f t="shared" si="49"/>
        <v>3</v>
      </c>
      <c r="G3140" s="7" t="str">
        <f>LOOKUP(H3140,[1]startdates!$A$2:$A$10,[1]startdates!$B$2:$B$10)</f>
        <v>FMr</v>
      </c>
      <c r="H3140">
        <v>9</v>
      </c>
      <c r="I3140" s="7">
        <v>668</v>
      </c>
      <c r="K3140" s="7">
        <v>387</v>
      </c>
      <c r="L3140" s="7">
        <v>399</v>
      </c>
      <c r="M3140" s="7">
        <v>352</v>
      </c>
      <c r="N3140" s="7">
        <v>208</v>
      </c>
      <c r="O3140" s="7">
        <v>182</v>
      </c>
    </row>
    <row r="3141" spans="1:20" x14ac:dyDescent="0.2">
      <c r="A3141">
        <v>3140</v>
      </c>
      <c r="B3141" s="1">
        <v>40806</v>
      </c>
      <c r="C3141" t="s">
        <v>24</v>
      </c>
      <c r="D3141" s="7">
        <v>68</v>
      </c>
      <c r="E3141" s="7">
        <v>11</v>
      </c>
      <c r="F3141" s="7">
        <f t="shared" si="49"/>
        <v>3</v>
      </c>
      <c r="G3141" s="7" t="str">
        <f>LOOKUP(H3141,[1]startdates!$A$2:$A$10,[1]startdates!$B$2:$B$10)</f>
        <v>FMr</v>
      </c>
      <c r="H3141">
        <v>9</v>
      </c>
      <c r="I3141" s="7">
        <v>559</v>
      </c>
      <c r="K3141" s="7">
        <v>589</v>
      </c>
      <c r="L3141" s="7">
        <v>465</v>
      </c>
      <c r="M3141" s="7">
        <v>312</v>
      </c>
      <c r="N3141" s="7">
        <v>265</v>
      </c>
      <c r="O3141" s="7">
        <v>207</v>
      </c>
    </row>
    <row r="3142" spans="1:20" x14ac:dyDescent="0.2">
      <c r="A3142">
        <v>3141</v>
      </c>
      <c r="B3142" s="1">
        <v>40806</v>
      </c>
      <c r="C3142" t="s">
        <v>24</v>
      </c>
      <c r="D3142" s="7">
        <v>68</v>
      </c>
      <c r="E3142" s="7">
        <v>11</v>
      </c>
      <c r="F3142" s="7">
        <f t="shared" si="49"/>
        <v>3</v>
      </c>
      <c r="G3142" s="7" t="str">
        <f>LOOKUP(H3142,[1]startdates!$A$2:$A$10,[1]startdates!$B$2:$B$10)</f>
        <v>FMr</v>
      </c>
      <c r="H3142">
        <v>9</v>
      </c>
      <c r="I3142" s="7">
        <v>612</v>
      </c>
      <c r="K3142" s="7">
        <v>634</v>
      </c>
      <c r="M3142" s="7">
        <v>371</v>
      </c>
      <c r="N3142" s="7">
        <v>204</v>
      </c>
      <c r="O3142" s="7">
        <v>189</v>
      </c>
    </row>
    <row r="3143" spans="1:20" x14ac:dyDescent="0.2">
      <c r="A3143">
        <v>3142</v>
      </c>
      <c r="B3143" s="1">
        <v>40806</v>
      </c>
      <c r="C3143" t="s">
        <v>24</v>
      </c>
      <c r="D3143" s="7">
        <v>68</v>
      </c>
      <c r="E3143" s="7">
        <v>11</v>
      </c>
      <c r="F3143" s="7">
        <f t="shared" si="49"/>
        <v>3</v>
      </c>
      <c r="G3143" s="7" t="str">
        <f>LOOKUP(H3143,[1]startdates!$A$2:$A$10,[1]startdates!$B$2:$B$10)</f>
        <v>FMr</v>
      </c>
      <c r="H3143">
        <v>9</v>
      </c>
      <c r="I3143" s="7">
        <v>596</v>
      </c>
      <c r="M3143" s="7">
        <v>333</v>
      </c>
      <c r="N3143" s="7">
        <v>274</v>
      </c>
      <c r="O3143" s="7">
        <v>180</v>
      </c>
    </row>
    <row r="3144" spans="1:20" x14ac:dyDescent="0.2">
      <c r="A3144">
        <v>3143</v>
      </c>
      <c r="B3144" s="1">
        <v>40806</v>
      </c>
      <c r="C3144" t="s">
        <v>24</v>
      </c>
      <c r="D3144" s="7">
        <v>68</v>
      </c>
      <c r="E3144" s="7">
        <v>11</v>
      </c>
      <c r="F3144" s="7">
        <f t="shared" si="49"/>
        <v>3</v>
      </c>
      <c r="G3144" s="7" t="str">
        <f>LOOKUP(H3144,[1]startdates!$A$2:$A$10,[1]startdates!$B$2:$B$10)</f>
        <v>FMr</v>
      </c>
      <c r="H3144">
        <v>9</v>
      </c>
      <c r="I3144" s="7">
        <v>696</v>
      </c>
      <c r="O3144" s="7">
        <v>209</v>
      </c>
    </row>
    <row r="3145" spans="1:20" x14ac:dyDescent="0.2">
      <c r="A3145">
        <v>3144</v>
      </c>
      <c r="B3145" s="1">
        <v>40806</v>
      </c>
      <c r="C3145" t="s">
        <v>24</v>
      </c>
      <c r="D3145" s="7">
        <v>68</v>
      </c>
      <c r="E3145" s="7">
        <v>11</v>
      </c>
      <c r="F3145" s="7">
        <f t="shared" si="49"/>
        <v>3</v>
      </c>
      <c r="G3145" s="7" t="str">
        <f>LOOKUP(H3145,[1]startdates!$A$2:$A$10,[1]startdates!$B$2:$B$10)</f>
        <v>FMr</v>
      </c>
      <c r="H3145">
        <v>9</v>
      </c>
      <c r="I3145" s="7">
        <v>567</v>
      </c>
      <c r="O3145" s="7">
        <v>207</v>
      </c>
    </row>
    <row r="3146" spans="1:20" x14ac:dyDescent="0.2">
      <c r="A3146">
        <v>3145</v>
      </c>
      <c r="B3146" s="1">
        <v>40806</v>
      </c>
      <c r="C3146" t="s">
        <v>24</v>
      </c>
      <c r="D3146" s="7">
        <v>68</v>
      </c>
      <c r="E3146" s="7">
        <v>11</v>
      </c>
      <c r="F3146" s="7">
        <f t="shared" si="49"/>
        <v>3</v>
      </c>
      <c r="G3146" s="7" t="str">
        <f>LOOKUP(H3146,[1]startdates!$A$2:$A$10,[1]startdates!$B$2:$B$10)</f>
        <v>FMr</v>
      </c>
      <c r="H3146">
        <v>9</v>
      </c>
      <c r="I3146" s="7">
        <v>559</v>
      </c>
    </row>
    <row r="3147" spans="1:20" x14ac:dyDescent="0.2">
      <c r="A3147">
        <v>3146</v>
      </c>
      <c r="B3147" s="1">
        <v>40806</v>
      </c>
      <c r="C3147" t="s">
        <v>24</v>
      </c>
      <c r="D3147" s="7">
        <v>68</v>
      </c>
      <c r="E3147" s="7">
        <v>11</v>
      </c>
      <c r="F3147" s="7">
        <f t="shared" si="49"/>
        <v>3</v>
      </c>
      <c r="G3147" s="7" t="str">
        <f>LOOKUP(H3147,[1]startdates!$A$2:$A$10,[1]startdates!$B$2:$B$10)</f>
        <v>FMr</v>
      </c>
      <c r="H3147">
        <v>9</v>
      </c>
      <c r="I3147" s="7">
        <v>736</v>
      </c>
    </row>
    <row r="3148" spans="1:20" x14ac:dyDescent="0.2">
      <c r="A3148">
        <v>3147</v>
      </c>
      <c r="B3148" s="1">
        <v>40809</v>
      </c>
      <c r="C3148" t="s">
        <v>24</v>
      </c>
      <c r="D3148" s="7">
        <v>71</v>
      </c>
      <c r="E3148" s="7">
        <v>11</v>
      </c>
      <c r="F3148" s="7">
        <f t="shared" si="49"/>
        <v>6</v>
      </c>
      <c r="G3148" s="7" t="str">
        <f>LOOKUP(H3148,[1]startdates!$A$2:$A$10,[1]startdates!$B$2:$B$10)</f>
        <v>SMr</v>
      </c>
      <c r="H3148">
        <v>1</v>
      </c>
      <c r="I3148" s="7">
        <v>654.4</v>
      </c>
      <c r="J3148" s="7">
        <v>540.70000000000005</v>
      </c>
      <c r="K3148" s="7">
        <v>471.2</v>
      </c>
      <c r="L3148" s="7">
        <v>415.3</v>
      </c>
      <c r="M3148" s="7">
        <v>313.2</v>
      </c>
      <c r="N3148" s="7">
        <v>180.4</v>
      </c>
      <c r="O3148" s="7">
        <v>189.2</v>
      </c>
      <c r="P3148" s="7">
        <v>471.3</v>
      </c>
      <c r="Q3148" s="7">
        <v>382.7</v>
      </c>
      <c r="R3148" s="7">
        <v>261.39999999999998</v>
      </c>
      <c r="S3148" s="7">
        <v>269.7</v>
      </c>
      <c r="T3148" s="7">
        <v>349.2</v>
      </c>
    </row>
    <row r="3149" spans="1:20" x14ac:dyDescent="0.2">
      <c r="A3149">
        <v>3148</v>
      </c>
      <c r="B3149" s="1">
        <v>40809</v>
      </c>
      <c r="C3149" t="s">
        <v>24</v>
      </c>
      <c r="D3149" s="7">
        <v>71</v>
      </c>
      <c r="E3149" s="7">
        <v>11</v>
      </c>
      <c r="F3149" s="7">
        <f t="shared" si="49"/>
        <v>6</v>
      </c>
      <c r="G3149" s="7" t="str">
        <f>LOOKUP(H3149,[1]startdates!$A$2:$A$10,[1]startdates!$B$2:$B$10)</f>
        <v>SMr</v>
      </c>
      <c r="H3149">
        <v>1</v>
      </c>
      <c r="I3149" s="7">
        <v>509.5</v>
      </c>
      <c r="J3149" s="7">
        <v>489.1</v>
      </c>
      <c r="K3149" s="7">
        <v>510.7</v>
      </c>
      <c r="L3149" s="7">
        <v>462.7</v>
      </c>
      <c r="M3149" s="7">
        <v>308.60000000000002</v>
      </c>
      <c r="N3149" s="7">
        <v>228.2</v>
      </c>
      <c r="O3149" s="7">
        <v>172.6</v>
      </c>
      <c r="P3149" s="7">
        <v>520.9</v>
      </c>
      <c r="Q3149" s="7">
        <v>357.4</v>
      </c>
      <c r="R3149" s="7">
        <v>278.7</v>
      </c>
      <c r="S3149" s="7">
        <v>279.89999999999998</v>
      </c>
    </row>
    <row r="3150" spans="1:20" x14ac:dyDescent="0.2">
      <c r="A3150">
        <v>3149</v>
      </c>
      <c r="B3150" s="1">
        <v>40809</v>
      </c>
      <c r="C3150" t="s">
        <v>24</v>
      </c>
      <c r="D3150" s="7">
        <v>71</v>
      </c>
      <c r="E3150" s="7">
        <v>11</v>
      </c>
      <c r="F3150" s="7">
        <f t="shared" si="49"/>
        <v>6</v>
      </c>
      <c r="G3150" s="7" t="str">
        <f>LOOKUP(H3150,[1]startdates!$A$2:$A$10,[1]startdates!$B$2:$B$10)</f>
        <v>SMr</v>
      </c>
      <c r="H3150">
        <v>1</v>
      </c>
      <c r="I3150" s="7">
        <v>601.4</v>
      </c>
      <c r="J3150" s="7">
        <v>516.9</v>
      </c>
      <c r="L3150" s="7">
        <v>449.2</v>
      </c>
      <c r="M3150" s="7">
        <v>323.7</v>
      </c>
      <c r="N3150" s="7">
        <v>202.6</v>
      </c>
      <c r="O3150" s="7">
        <v>192.8</v>
      </c>
      <c r="P3150" s="7">
        <v>460.2</v>
      </c>
      <c r="R3150" s="7">
        <v>255.7</v>
      </c>
      <c r="S3150" s="7">
        <v>307.60000000000002</v>
      </c>
    </row>
    <row r="3151" spans="1:20" x14ac:dyDescent="0.2">
      <c r="A3151">
        <v>3150</v>
      </c>
      <c r="B3151" s="1">
        <v>40809</v>
      </c>
      <c r="C3151" t="s">
        <v>24</v>
      </c>
      <c r="D3151" s="7">
        <v>71</v>
      </c>
      <c r="E3151" s="7">
        <v>11</v>
      </c>
      <c r="F3151" s="7">
        <f t="shared" si="49"/>
        <v>6</v>
      </c>
      <c r="G3151" s="7" t="str">
        <f>LOOKUP(H3151,[1]startdates!$A$2:$A$10,[1]startdates!$B$2:$B$10)</f>
        <v>SMr</v>
      </c>
      <c r="H3151">
        <v>1</v>
      </c>
      <c r="I3151" s="7">
        <v>641.1</v>
      </c>
      <c r="J3151" s="7">
        <v>511.5</v>
      </c>
      <c r="L3151" s="7">
        <v>378.9</v>
      </c>
      <c r="M3151" s="7">
        <v>300</v>
      </c>
      <c r="N3151" s="7">
        <v>232.4</v>
      </c>
      <c r="O3151" s="7">
        <v>163</v>
      </c>
      <c r="P3151" s="7">
        <v>419.8</v>
      </c>
      <c r="S3151" s="7">
        <v>274.2</v>
      </c>
    </row>
    <row r="3152" spans="1:20" x14ac:dyDescent="0.2">
      <c r="A3152">
        <v>3151</v>
      </c>
      <c r="B3152" s="1">
        <v>40809</v>
      </c>
      <c r="C3152" t="s">
        <v>24</v>
      </c>
      <c r="D3152" s="7">
        <v>71</v>
      </c>
      <c r="E3152" s="7">
        <v>11</v>
      </c>
      <c r="F3152" s="7">
        <f t="shared" si="49"/>
        <v>6</v>
      </c>
      <c r="G3152" s="7" t="str">
        <f>LOOKUP(H3152,[1]startdates!$A$2:$A$10,[1]startdates!$B$2:$B$10)</f>
        <v>SMr</v>
      </c>
      <c r="H3152">
        <v>1</v>
      </c>
      <c r="I3152" s="7">
        <v>622.4</v>
      </c>
      <c r="M3152" s="7">
        <v>313.5</v>
      </c>
      <c r="N3152" s="7">
        <v>195.7</v>
      </c>
      <c r="O3152" s="7">
        <v>169.7</v>
      </c>
      <c r="P3152" s="7">
        <v>473.3</v>
      </c>
      <c r="S3152" s="7">
        <v>272.8</v>
      </c>
    </row>
    <row r="3153" spans="1:19" x14ac:dyDescent="0.2">
      <c r="A3153">
        <v>3152</v>
      </c>
      <c r="B3153" s="1">
        <v>40809</v>
      </c>
      <c r="C3153" t="s">
        <v>24</v>
      </c>
      <c r="D3153" s="7">
        <v>71</v>
      </c>
      <c r="E3153" s="7">
        <v>11</v>
      </c>
      <c r="F3153" s="7">
        <f t="shared" si="49"/>
        <v>6</v>
      </c>
      <c r="G3153" s="7" t="str">
        <f>LOOKUP(H3153,[1]startdates!$A$2:$A$10,[1]startdates!$B$2:$B$10)</f>
        <v>SMr</v>
      </c>
      <c r="H3153">
        <v>1</v>
      </c>
      <c r="I3153" s="7">
        <v>696.4</v>
      </c>
      <c r="M3153" s="7">
        <v>335.8</v>
      </c>
      <c r="N3153" s="7">
        <v>212.5</v>
      </c>
      <c r="O3153" s="7">
        <v>184.4</v>
      </c>
      <c r="P3153" s="7">
        <v>497.4</v>
      </c>
      <c r="S3153" s="7">
        <v>280</v>
      </c>
    </row>
    <row r="3154" spans="1:19" x14ac:dyDescent="0.2">
      <c r="A3154">
        <v>3153</v>
      </c>
      <c r="B3154" s="1">
        <v>40809</v>
      </c>
      <c r="C3154" t="s">
        <v>24</v>
      </c>
      <c r="D3154" s="7">
        <v>71</v>
      </c>
      <c r="E3154" s="7">
        <v>11</v>
      </c>
      <c r="F3154" s="7">
        <f t="shared" si="49"/>
        <v>6</v>
      </c>
      <c r="G3154" s="7" t="str">
        <f>LOOKUP(H3154,[1]startdates!$A$2:$A$10,[1]startdates!$B$2:$B$10)</f>
        <v>SMr</v>
      </c>
      <c r="H3154">
        <v>1</v>
      </c>
      <c r="I3154" s="7">
        <v>737.4</v>
      </c>
      <c r="M3154" s="7">
        <v>293.2</v>
      </c>
      <c r="N3154" s="7">
        <v>238.1</v>
      </c>
      <c r="O3154" s="7">
        <v>178.6</v>
      </c>
    </row>
    <row r="3155" spans="1:19" x14ac:dyDescent="0.2">
      <c r="A3155">
        <v>3154</v>
      </c>
      <c r="B3155" s="1">
        <v>40809</v>
      </c>
      <c r="C3155" t="s">
        <v>24</v>
      </c>
      <c r="D3155" s="7">
        <v>71</v>
      </c>
      <c r="E3155" s="7">
        <v>11</v>
      </c>
      <c r="F3155" s="7">
        <f t="shared" si="49"/>
        <v>6</v>
      </c>
      <c r="G3155" s="7" t="str">
        <f>LOOKUP(H3155,[1]startdates!$A$2:$A$10,[1]startdates!$B$2:$B$10)</f>
        <v>SMr</v>
      </c>
      <c r="H3155">
        <v>1</v>
      </c>
      <c r="I3155" s="7">
        <v>656.6</v>
      </c>
      <c r="M3155" s="7">
        <v>307.5</v>
      </c>
      <c r="N3155" s="7">
        <v>230.6</v>
      </c>
      <c r="O3155" s="7">
        <v>173.1</v>
      </c>
    </row>
    <row r="3156" spans="1:19" x14ac:dyDescent="0.2">
      <c r="A3156">
        <v>3155</v>
      </c>
      <c r="B3156" s="1">
        <v>40809</v>
      </c>
      <c r="C3156" t="s">
        <v>24</v>
      </c>
      <c r="D3156" s="7">
        <v>71</v>
      </c>
      <c r="E3156" s="7">
        <v>11</v>
      </c>
      <c r="F3156" s="7">
        <f t="shared" si="49"/>
        <v>6</v>
      </c>
      <c r="G3156" s="7" t="str">
        <f>LOOKUP(H3156,[1]startdates!$A$2:$A$10,[1]startdates!$B$2:$B$10)</f>
        <v>SMr</v>
      </c>
      <c r="H3156">
        <v>1</v>
      </c>
      <c r="I3156" s="7">
        <v>646</v>
      </c>
      <c r="M3156" s="7">
        <v>308.8</v>
      </c>
      <c r="N3156" s="7">
        <v>271.8</v>
      </c>
      <c r="O3156" s="7">
        <v>173.7</v>
      </c>
    </row>
    <row r="3157" spans="1:19" x14ac:dyDescent="0.2">
      <c r="A3157">
        <v>3156</v>
      </c>
      <c r="B3157" s="1">
        <v>40809</v>
      </c>
      <c r="C3157" t="s">
        <v>24</v>
      </c>
      <c r="D3157" s="7">
        <v>71</v>
      </c>
      <c r="E3157" s="7">
        <v>11</v>
      </c>
      <c r="F3157" s="7">
        <f t="shared" si="49"/>
        <v>6</v>
      </c>
      <c r="G3157" s="7" t="str">
        <f>LOOKUP(H3157,[1]startdates!$A$2:$A$10,[1]startdates!$B$2:$B$10)</f>
        <v>SMr</v>
      </c>
      <c r="H3157">
        <v>1</v>
      </c>
      <c r="I3157" s="7">
        <v>649</v>
      </c>
      <c r="M3157" s="7">
        <v>331.1</v>
      </c>
      <c r="N3157" s="7">
        <v>217.3</v>
      </c>
      <c r="O3157" s="7">
        <v>199.6</v>
      </c>
    </row>
    <row r="3158" spans="1:19" x14ac:dyDescent="0.2">
      <c r="A3158">
        <v>3157</v>
      </c>
      <c r="B3158" s="1">
        <v>40809</v>
      </c>
      <c r="C3158" t="s">
        <v>24</v>
      </c>
      <c r="D3158" s="7">
        <v>71</v>
      </c>
      <c r="E3158" s="7">
        <v>11</v>
      </c>
      <c r="F3158" s="7">
        <f t="shared" si="49"/>
        <v>6</v>
      </c>
      <c r="G3158" s="7" t="str">
        <f>LOOKUP(H3158,[1]startdates!$A$2:$A$10,[1]startdates!$B$2:$B$10)</f>
        <v>SMr</v>
      </c>
      <c r="H3158">
        <v>1</v>
      </c>
      <c r="I3158" s="7">
        <v>551.5</v>
      </c>
      <c r="O3158" s="7">
        <v>190.1</v>
      </c>
    </row>
    <row r="3159" spans="1:19" x14ac:dyDescent="0.2">
      <c r="A3159">
        <v>3158</v>
      </c>
      <c r="B3159" s="1">
        <v>40809</v>
      </c>
      <c r="C3159" t="s">
        <v>24</v>
      </c>
      <c r="D3159" s="7">
        <v>71</v>
      </c>
      <c r="E3159" s="7">
        <v>11</v>
      </c>
      <c r="F3159" s="7">
        <f t="shared" si="49"/>
        <v>6</v>
      </c>
      <c r="G3159" s="7" t="str">
        <f>LOOKUP(H3159,[1]startdates!$A$2:$A$10,[1]startdates!$B$2:$B$10)</f>
        <v>SMr</v>
      </c>
      <c r="H3159">
        <v>1</v>
      </c>
      <c r="I3159" s="7">
        <v>648.5</v>
      </c>
      <c r="O3159" s="7">
        <v>171.6</v>
      </c>
    </row>
    <row r="3160" spans="1:19" x14ac:dyDescent="0.2">
      <c r="A3160">
        <v>3159</v>
      </c>
      <c r="B3160" s="1">
        <v>40809</v>
      </c>
      <c r="C3160" t="s">
        <v>24</v>
      </c>
      <c r="D3160" s="7">
        <v>71</v>
      </c>
      <c r="E3160" s="7">
        <v>11</v>
      </c>
      <c r="F3160" s="7">
        <f t="shared" si="49"/>
        <v>6</v>
      </c>
      <c r="G3160" s="7" t="str">
        <f>LOOKUP(H3160,[1]startdates!$A$2:$A$10,[1]startdates!$B$2:$B$10)</f>
        <v>SMr</v>
      </c>
      <c r="H3160">
        <v>1</v>
      </c>
      <c r="I3160" s="7">
        <v>682.6</v>
      </c>
      <c r="O3160" s="7">
        <v>190.2</v>
      </c>
    </row>
    <row r="3161" spans="1:19" x14ac:dyDescent="0.2">
      <c r="A3161">
        <v>3160</v>
      </c>
      <c r="B3161" s="1">
        <v>40809</v>
      </c>
      <c r="C3161" t="s">
        <v>24</v>
      </c>
      <c r="D3161" s="7">
        <v>71</v>
      </c>
      <c r="E3161" s="7">
        <v>11</v>
      </c>
      <c r="F3161" s="7">
        <f t="shared" si="49"/>
        <v>6</v>
      </c>
      <c r="G3161" s="7" t="str">
        <f>LOOKUP(H3161,[1]startdates!$A$2:$A$10,[1]startdates!$B$2:$B$10)</f>
        <v>SMr</v>
      </c>
      <c r="H3161">
        <v>1</v>
      </c>
      <c r="I3161" s="7">
        <v>671.5</v>
      </c>
    </row>
    <row r="3162" spans="1:19" x14ac:dyDescent="0.2">
      <c r="A3162">
        <v>3161</v>
      </c>
      <c r="B3162" s="1">
        <v>40809</v>
      </c>
      <c r="C3162" t="s">
        <v>28</v>
      </c>
      <c r="D3162" s="7">
        <v>71</v>
      </c>
      <c r="E3162" s="7">
        <v>11</v>
      </c>
      <c r="F3162" s="7">
        <f t="shared" si="49"/>
        <v>6</v>
      </c>
      <c r="G3162" s="7" t="str">
        <f>LOOKUP(H3162,[1]startdates!$A$2:$A$10,[1]startdates!$B$2:$B$10)</f>
        <v>SMr</v>
      </c>
      <c r="H3162">
        <v>2</v>
      </c>
      <c r="I3162" s="7">
        <v>609.70000000000005</v>
      </c>
      <c r="J3162" s="7">
        <v>590.20000000000005</v>
      </c>
      <c r="K3162" s="7">
        <v>555.4</v>
      </c>
      <c r="L3162" s="7">
        <v>454.9</v>
      </c>
      <c r="M3162" s="7">
        <v>324.7</v>
      </c>
      <c r="N3162" s="7">
        <v>273.3</v>
      </c>
      <c r="O3162" s="7">
        <v>178.1</v>
      </c>
      <c r="P3162" s="7">
        <v>500</v>
      </c>
      <c r="Q3162" s="7">
        <v>356.3</v>
      </c>
      <c r="S3162" s="7">
        <v>253.9</v>
      </c>
    </row>
    <row r="3163" spans="1:19" x14ac:dyDescent="0.2">
      <c r="A3163">
        <v>3162</v>
      </c>
      <c r="B3163" s="1">
        <v>40809</v>
      </c>
      <c r="C3163" t="s">
        <v>28</v>
      </c>
      <c r="D3163" s="7">
        <v>71</v>
      </c>
      <c r="E3163" s="7">
        <v>11</v>
      </c>
      <c r="F3163" s="7">
        <f t="shared" si="49"/>
        <v>6</v>
      </c>
      <c r="G3163" s="7" t="str">
        <f>LOOKUP(H3163,[1]startdates!$A$2:$A$10,[1]startdates!$B$2:$B$10)</f>
        <v>SMr</v>
      </c>
      <c r="H3163">
        <v>2</v>
      </c>
      <c r="I3163" s="7">
        <v>686.2</v>
      </c>
      <c r="J3163" s="7">
        <v>587.70000000000005</v>
      </c>
      <c r="K3163" s="7">
        <v>547.29999999999995</v>
      </c>
      <c r="L3163" s="7">
        <v>465.7</v>
      </c>
      <c r="M3163" s="7">
        <v>316.7</v>
      </c>
      <c r="N3163" s="7">
        <v>250.1</v>
      </c>
      <c r="O3163" s="7">
        <v>164.7</v>
      </c>
      <c r="P3163" s="7">
        <v>428.1</v>
      </c>
      <c r="Q3163" s="7">
        <v>368.2</v>
      </c>
      <c r="S3163" s="7">
        <v>234</v>
      </c>
    </row>
    <row r="3164" spans="1:19" x14ac:dyDescent="0.2">
      <c r="A3164">
        <v>3163</v>
      </c>
      <c r="B3164" s="1">
        <v>40809</v>
      </c>
      <c r="C3164" t="s">
        <v>28</v>
      </c>
      <c r="D3164" s="7">
        <v>71</v>
      </c>
      <c r="E3164" s="7">
        <v>11</v>
      </c>
      <c r="F3164" s="7">
        <f t="shared" si="49"/>
        <v>6</v>
      </c>
      <c r="G3164" s="7" t="str">
        <f>LOOKUP(H3164,[1]startdates!$A$2:$A$10,[1]startdates!$B$2:$B$10)</f>
        <v>SMr</v>
      </c>
      <c r="H3164">
        <v>2</v>
      </c>
      <c r="I3164" s="7">
        <v>648.70000000000005</v>
      </c>
      <c r="K3164" s="7">
        <v>518</v>
      </c>
      <c r="L3164" s="7">
        <v>465.7</v>
      </c>
      <c r="M3164" s="7">
        <v>349.1</v>
      </c>
      <c r="N3164" s="7">
        <v>250.4</v>
      </c>
      <c r="O3164" s="7">
        <v>177.3</v>
      </c>
      <c r="S3164" s="7">
        <v>257.8</v>
      </c>
    </row>
    <row r="3165" spans="1:19" x14ac:dyDescent="0.2">
      <c r="A3165">
        <v>3164</v>
      </c>
      <c r="B3165" s="1">
        <v>40809</v>
      </c>
      <c r="C3165" t="s">
        <v>28</v>
      </c>
      <c r="D3165" s="7">
        <v>71</v>
      </c>
      <c r="E3165" s="7">
        <v>11</v>
      </c>
      <c r="F3165" s="7">
        <f t="shared" si="49"/>
        <v>6</v>
      </c>
      <c r="G3165" s="7" t="str">
        <f>LOOKUP(H3165,[1]startdates!$A$2:$A$10,[1]startdates!$B$2:$B$10)</f>
        <v>SMr</v>
      </c>
      <c r="H3165">
        <v>2</v>
      </c>
      <c r="I3165" s="7">
        <v>575.1</v>
      </c>
      <c r="K3165" s="7">
        <v>510.7</v>
      </c>
      <c r="L3165" s="7">
        <v>488.1</v>
      </c>
      <c r="M3165" s="7">
        <v>350.1</v>
      </c>
      <c r="N3165" s="7">
        <v>224.8</v>
      </c>
      <c r="O3165" s="7">
        <v>177.3</v>
      </c>
    </row>
    <row r="3166" spans="1:19" x14ac:dyDescent="0.2">
      <c r="A3166">
        <v>3165</v>
      </c>
      <c r="B3166" s="1">
        <v>40809</v>
      </c>
      <c r="C3166" t="s">
        <v>28</v>
      </c>
      <c r="D3166" s="7">
        <v>71</v>
      </c>
      <c r="E3166" s="7">
        <v>11</v>
      </c>
      <c r="F3166" s="7">
        <f t="shared" si="49"/>
        <v>6</v>
      </c>
      <c r="G3166" s="7" t="str">
        <f>LOOKUP(H3166,[1]startdates!$A$2:$A$10,[1]startdates!$B$2:$B$10)</f>
        <v>SMr</v>
      </c>
      <c r="H3166">
        <v>2</v>
      </c>
      <c r="I3166" s="7">
        <v>633.6</v>
      </c>
      <c r="K3166" s="7">
        <v>501.2</v>
      </c>
      <c r="L3166" s="7">
        <v>444.9</v>
      </c>
      <c r="M3166" s="7">
        <v>357.2</v>
      </c>
      <c r="N3166" s="7">
        <v>265.10000000000002</v>
      </c>
      <c r="O3166" s="7">
        <v>189.3</v>
      </c>
    </row>
    <row r="3167" spans="1:19" x14ac:dyDescent="0.2">
      <c r="A3167">
        <v>3166</v>
      </c>
      <c r="B3167" s="1">
        <v>40809</v>
      </c>
      <c r="C3167" t="s">
        <v>28</v>
      </c>
      <c r="D3167" s="7">
        <v>71</v>
      </c>
      <c r="E3167" s="7">
        <v>11</v>
      </c>
      <c r="F3167" s="7">
        <f t="shared" si="49"/>
        <v>6</v>
      </c>
      <c r="G3167" s="7" t="str">
        <f>LOOKUP(H3167,[1]startdates!$A$2:$A$10,[1]startdates!$B$2:$B$10)</f>
        <v>SMr</v>
      </c>
      <c r="H3167">
        <v>2</v>
      </c>
      <c r="I3167" s="7">
        <v>666.5</v>
      </c>
      <c r="K3167" s="7">
        <v>482</v>
      </c>
      <c r="L3167" s="7">
        <v>434.5</v>
      </c>
      <c r="M3167" s="7">
        <v>312.60000000000002</v>
      </c>
      <c r="N3167" s="7">
        <v>222.9</v>
      </c>
      <c r="O3167" s="7">
        <v>134.4</v>
      </c>
    </row>
    <row r="3168" spans="1:19" x14ac:dyDescent="0.2">
      <c r="A3168">
        <v>3167</v>
      </c>
      <c r="B3168" s="1">
        <v>40809</v>
      </c>
      <c r="C3168" t="s">
        <v>28</v>
      </c>
      <c r="D3168" s="7">
        <v>71</v>
      </c>
      <c r="E3168" s="7">
        <v>11</v>
      </c>
      <c r="F3168" s="7">
        <f t="shared" si="49"/>
        <v>6</v>
      </c>
      <c r="G3168" s="7" t="str">
        <f>LOOKUP(H3168,[1]startdates!$A$2:$A$10,[1]startdates!$B$2:$B$10)</f>
        <v>SMr</v>
      </c>
      <c r="H3168">
        <v>2</v>
      </c>
      <c r="I3168" s="7">
        <v>611.9</v>
      </c>
      <c r="L3168" s="7">
        <v>474.1</v>
      </c>
      <c r="M3168" s="7">
        <v>348.9</v>
      </c>
      <c r="N3168" s="7">
        <v>205.4</v>
      </c>
      <c r="O3168" s="7">
        <v>159</v>
      </c>
    </row>
    <row r="3169" spans="1:19" x14ac:dyDescent="0.2">
      <c r="A3169">
        <v>3168</v>
      </c>
      <c r="B3169" s="1">
        <v>40809</v>
      </c>
      <c r="C3169" t="s">
        <v>28</v>
      </c>
      <c r="D3169" s="7">
        <v>71</v>
      </c>
      <c r="E3169" s="7">
        <v>11</v>
      </c>
      <c r="F3169" s="7">
        <f t="shared" si="49"/>
        <v>6</v>
      </c>
      <c r="G3169" s="7" t="str">
        <f>LOOKUP(H3169,[1]startdates!$A$2:$A$10,[1]startdates!$B$2:$B$10)</f>
        <v>SMr</v>
      </c>
      <c r="H3169">
        <v>2</v>
      </c>
      <c r="I3169" s="7">
        <v>619.6</v>
      </c>
      <c r="M3169" s="7">
        <v>292.3</v>
      </c>
      <c r="N3169" s="7">
        <v>264</v>
      </c>
      <c r="O3169" s="7">
        <v>170</v>
      </c>
    </row>
    <row r="3170" spans="1:19" x14ac:dyDescent="0.2">
      <c r="A3170">
        <v>3169</v>
      </c>
      <c r="B3170" s="1">
        <v>40809</v>
      </c>
      <c r="C3170" t="s">
        <v>28</v>
      </c>
      <c r="D3170" s="7">
        <v>71</v>
      </c>
      <c r="E3170" s="7">
        <v>11</v>
      </c>
      <c r="F3170" s="7">
        <f t="shared" si="49"/>
        <v>6</v>
      </c>
      <c r="G3170" s="7" t="str">
        <f>LOOKUP(H3170,[1]startdates!$A$2:$A$10,[1]startdates!$B$2:$B$10)</f>
        <v>SMr</v>
      </c>
      <c r="H3170">
        <v>2</v>
      </c>
      <c r="I3170" s="7">
        <v>555.4</v>
      </c>
      <c r="M3170" s="7">
        <v>320</v>
      </c>
      <c r="N3170" s="7">
        <v>243.8</v>
      </c>
      <c r="O3170" s="7">
        <v>181.9</v>
      </c>
    </row>
    <row r="3171" spans="1:19" x14ac:dyDescent="0.2">
      <c r="A3171">
        <v>3170</v>
      </c>
      <c r="B3171" s="1">
        <v>40809</v>
      </c>
      <c r="C3171" t="s">
        <v>28</v>
      </c>
      <c r="D3171" s="7">
        <v>71</v>
      </c>
      <c r="E3171" s="7">
        <v>11</v>
      </c>
      <c r="F3171" s="7">
        <f t="shared" si="49"/>
        <v>6</v>
      </c>
      <c r="G3171" s="7" t="str">
        <f>LOOKUP(H3171,[1]startdates!$A$2:$A$10,[1]startdates!$B$2:$B$10)</f>
        <v>SMr</v>
      </c>
      <c r="H3171">
        <v>2</v>
      </c>
      <c r="I3171" s="7">
        <v>625</v>
      </c>
      <c r="M3171" s="7">
        <v>335.3</v>
      </c>
      <c r="N3171" s="7">
        <v>216.7</v>
      </c>
      <c r="O3171" s="7">
        <v>170</v>
      </c>
    </row>
    <row r="3172" spans="1:19" x14ac:dyDescent="0.2">
      <c r="A3172">
        <v>3171</v>
      </c>
      <c r="B3172" s="1">
        <v>40809</v>
      </c>
      <c r="C3172" t="s">
        <v>28</v>
      </c>
      <c r="D3172" s="7">
        <v>71</v>
      </c>
      <c r="E3172" s="7">
        <v>11</v>
      </c>
      <c r="F3172" s="7">
        <f t="shared" si="49"/>
        <v>6</v>
      </c>
      <c r="G3172" s="7" t="str">
        <f>LOOKUP(H3172,[1]startdates!$A$2:$A$10,[1]startdates!$B$2:$B$10)</f>
        <v>SMr</v>
      </c>
      <c r="H3172">
        <v>2</v>
      </c>
      <c r="I3172" s="7">
        <v>699.6</v>
      </c>
      <c r="M3172" s="7">
        <v>320.8</v>
      </c>
    </row>
    <row r="3173" spans="1:19" x14ac:dyDescent="0.2">
      <c r="A3173">
        <v>3172</v>
      </c>
      <c r="B3173" s="1">
        <v>40809</v>
      </c>
      <c r="C3173" t="s">
        <v>28</v>
      </c>
      <c r="D3173" s="7">
        <v>71</v>
      </c>
      <c r="E3173" s="7">
        <v>11</v>
      </c>
      <c r="F3173" s="7">
        <f t="shared" si="49"/>
        <v>6</v>
      </c>
      <c r="G3173" s="7" t="str">
        <f>LOOKUP(H3173,[1]startdates!$A$2:$A$10,[1]startdates!$B$2:$B$10)</f>
        <v>SMr</v>
      </c>
      <c r="H3173">
        <v>2</v>
      </c>
      <c r="M3173" s="7">
        <v>316.2</v>
      </c>
    </row>
    <row r="3174" spans="1:19" x14ac:dyDescent="0.2">
      <c r="A3174">
        <v>3173</v>
      </c>
      <c r="B3174" s="1">
        <v>40809</v>
      </c>
      <c r="C3174" t="s">
        <v>28</v>
      </c>
      <c r="D3174" s="7">
        <v>71</v>
      </c>
      <c r="E3174" s="7">
        <v>11</v>
      </c>
      <c r="F3174" s="7">
        <f t="shared" si="49"/>
        <v>6</v>
      </c>
      <c r="G3174" s="7" t="str">
        <f>LOOKUP(H3174,[1]startdates!$A$2:$A$10,[1]startdates!$B$2:$B$10)</f>
        <v>SMr</v>
      </c>
      <c r="H3174">
        <v>2</v>
      </c>
      <c r="M3174" s="7">
        <v>388</v>
      </c>
    </row>
    <row r="3175" spans="1:19" x14ac:dyDescent="0.2">
      <c r="A3175">
        <v>3174</v>
      </c>
      <c r="B3175" s="1">
        <v>40809</v>
      </c>
      <c r="C3175" t="s">
        <v>28</v>
      </c>
      <c r="D3175" s="7">
        <v>71</v>
      </c>
      <c r="E3175" s="7">
        <v>11</v>
      </c>
      <c r="F3175" s="7">
        <f t="shared" si="49"/>
        <v>6</v>
      </c>
      <c r="G3175" s="7" t="str">
        <f>LOOKUP(H3175,[1]startdates!$A$2:$A$10,[1]startdates!$B$2:$B$10)</f>
        <v>C</v>
      </c>
      <c r="H3175">
        <v>3</v>
      </c>
      <c r="I3175" s="7">
        <v>652.70000000000005</v>
      </c>
      <c r="J3175" s="7">
        <v>574.4</v>
      </c>
      <c r="K3175" s="7">
        <v>495.3</v>
      </c>
      <c r="L3175" s="7">
        <v>456.5</v>
      </c>
      <c r="M3175" s="7">
        <v>371.8</v>
      </c>
      <c r="N3175" s="7">
        <v>230.5</v>
      </c>
      <c r="O3175" s="7">
        <v>164.7</v>
      </c>
      <c r="P3175" s="7">
        <v>529.6</v>
      </c>
      <c r="Q3175" s="7">
        <v>312.39999999999998</v>
      </c>
      <c r="R3175" s="7">
        <v>269.60000000000002</v>
      </c>
      <c r="S3175" s="7">
        <v>300.5</v>
      </c>
    </row>
    <row r="3176" spans="1:19" x14ac:dyDescent="0.2">
      <c r="A3176">
        <v>3175</v>
      </c>
      <c r="B3176" s="1">
        <v>40809</v>
      </c>
      <c r="C3176" t="s">
        <v>28</v>
      </c>
      <c r="D3176" s="7">
        <v>71</v>
      </c>
      <c r="E3176" s="7">
        <v>11</v>
      </c>
      <c r="F3176" s="7">
        <f t="shared" si="49"/>
        <v>6</v>
      </c>
      <c r="G3176" s="7" t="str">
        <f>LOOKUP(H3176,[1]startdates!$A$2:$A$10,[1]startdates!$B$2:$B$10)</f>
        <v>C</v>
      </c>
      <c r="H3176">
        <v>3</v>
      </c>
      <c r="I3176" s="7">
        <v>607.4</v>
      </c>
      <c r="K3176" s="7">
        <v>594.79999999999995</v>
      </c>
      <c r="L3176" s="7">
        <v>473.7</v>
      </c>
      <c r="M3176" s="7">
        <v>356.5</v>
      </c>
      <c r="N3176" s="7">
        <v>244.8</v>
      </c>
      <c r="O3176" s="7">
        <v>159.30000000000001</v>
      </c>
      <c r="P3176" s="7">
        <v>526.9</v>
      </c>
      <c r="Q3176" s="7">
        <v>361</v>
      </c>
      <c r="R3176" s="7">
        <v>265.5</v>
      </c>
    </row>
    <row r="3177" spans="1:19" x14ac:dyDescent="0.2">
      <c r="A3177">
        <v>3176</v>
      </c>
      <c r="B3177" s="1">
        <v>40809</v>
      </c>
      <c r="C3177" t="s">
        <v>28</v>
      </c>
      <c r="D3177" s="7">
        <v>71</v>
      </c>
      <c r="E3177" s="7">
        <v>11</v>
      </c>
      <c r="F3177" s="7">
        <f t="shared" ref="F3177:F3240" si="50">WEEKDAY(B3177)</f>
        <v>6</v>
      </c>
      <c r="G3177" s="7" t="str">
        <f>LOOKUP(H3177,[1]startdates!$A$2:$A$10,[1]startdates!$B$2:$B$10)</f>
        <v>C</v>
      </c>
      <c r="H3177">
        <v>3</v>
      </c>
      <c r="I3177" s="7">
        <v>698</v>
      </c>
      <c r="K3177" s="7">
        <v>562.4</v>
      </c>
      <c r="L3177" s="7">
        <v>469.9</v>
      </c>
      <c r="M3177" s="7">
        <v>327</v>
      </c>
      <c r="N3177" s="7">
        <v>214.7</v>
      </c>
      <c r="O3177" s="7">
        <v>159</v>
      </c>
      <c r="R3177" s="7">
        <v>263.39999999999998</v>
      </c>
    </row>
    <row r="3178" spans="1:19" x14ac:dyDescent="0.2">
      <c r="A3178">
        <v>3177</v>
      </c>
      <c r="B3178" s="1">
        <v>40809</v>
      </c>
      <c r="C3178" t="s">
        <v>28</v>
      </c>
      <c r="D3178" s="7">
        <v>71</v>
      </c>
      <c r="E3178" s="7">
        <v>11</v>
      </c>
      <c r="F3178" s="7">
        <f t="shared" si="50"/>
        <v>6</v>
      </c>
      <c r="G3178" s="7" t="str">
        <f>LOOKUP(H3178,[1]startdates!$A$2:$A$10,[1]startdates!$B$2:$B$10)</f>
        <v>C</v>
      </c>
      <c r="H3178">
        <v>3</v>
      </c>
      <c r="I3178" s="7">
        <v>520.5</v>
      </c>
      <c r="K3178" s="7">
        <v>544.70000000000005</v>
      </c>
      <c r="L3178" s="7">
        <v>436.2</v>
      </c>
      <c r="M3178" s="7">
        <v>324.3</v>
      </c>
      <c r="N3178" s="7">
        <v>222.9</v>
      </c>
      <c r="O3178" s="7">
        <v>177.9</v>
      </c>
      <c r="R3178" s="7">
        <v>266.7</v>
      </c>
    </row>
    <row r="3179" spans="1:19" x14ac:dyDescent="0.2">
      <c r="A3179">
        <v>3178</v>
      </c>
      <c r="B3179" s="1">
        <v>40809</v>
      </c>
      <c r="C3179" t="s">
        <v>28</v>
      </c>
      <c r="D3179" s="7">
        <v>71</v>
      </c>
      <c r="E3179" s="7">
        <v>11</v>
      </c>
      <c r="F3179" s="7">
        <f t="shared" si="50"/>
        <v>6</v>
      </c>
      <c r="G3179" s="7" t="str">
        <f>LOOKUP(H3179,[1]startdates!$A$2:$A$10,[1]startdates!$B$2:$B$10)</f>
        <v>C</v>
      </c>
      <c r="H3179">
        <v>3</v>
      </c>
      <c r="I3179" s="7">
        <v>666.8</v>
      </c>
      <c r="K3179" s="7">
        <v>566.4</v>
      </c>
      <c r="M3179" s="7">
        <v>389.9</v>
      </c>
      <c r="N3179" s="7">
        <v>294.3</v>
      </c>
      <c r="O3179" s="7">
        <v>178.2</v>
      </c>
    </row>
    <row r="3180" spans="1:19" x14ac:dyDescent="0.2">
      <c r="A3180">
        <v>3179</v>
      </c>
      <c r="B3180" s="1">
        <v>40809</v>
      </c>
      <c r="C3180" t="s">
        <v>28</v>
      </c>
      <c r="D3180" s="7">
        <v>71</v>
      </c>
      <c r="E3180" s="7">
        <v>11</v>
      </c>
      <c r="F3180" s="7">
        <f t="shared" si="50"/>
        <v>6</v>
      </c>
      <c r="G3180" s="7" t="str">
        <f>LOOKUP(H3180,[1]startdates!$A$2:$A$10,[1]startdates!$B$2:$B$10)</f>
        <v>C</v>
      </c>
      <c r="H3180">
        <v>3</v>
      </c>
      <c r="I3180" s="7">
        <v>607.20000000000005</v>
      </c>
      <c r="M3180" s="7">
        <v>342.6</v>
      </c>
      <c r="N3180" s="7">
        <v>206.7</v>
      </c>
      <c r="O3180" s="7">
        <v>163.5</v>
      </c>
    </row>
    <row r="3181" spans="1:19" x14ac:dyDescent="0.2">
      <c r="A3181">
        <v>3180</v>
      </c>
      <c r="B3181" s="1">
        <v>40809</v>
      </c>
      <c r="C3181" t="s">
        <v>28</v>
      </c>
      <c r="D3181" s="7">
        <v>71</v>
      </c>
      <c r="E3181" s="7">
        <v>11</v>
      </c>
      <c r="F3181" s="7">
        <f t="shared" si="50"/>
        <v>6</v>
      </c>
      <c r="G3181" s="7" t="str">
        <f>LOOKUP(H3181,[1]startdates!$A$2:$A$10,[1]startdates!$B$2:$B$10)</f>
        <v>C</v>
      </c>
      <c r="H3181">
        <v>3</v>
      </c>
      <c r="I3181" s="7">
        <v>558.20000000000005</v>
      </c>
      <c r="M3181" s="7">
        <v>354.7</v>
      </c>
      <c r="N3181" s="7">
        <v>234</v>
      </c>
      <c r="O3181" s="7">
        <v>172.5</v>
      </c>
    </row>
    <row r="3182" spans="1:19" x14ac:dyDescent="0.2">
      <c r="A3182">
        <v>3181</v>
      </c>
      <c r="B3182" s="1">
        <v>40809</v>
      </c>
      <c r="C3182" t="s">
        <v>28</v>
      </c>
      <c r="D3182" s="7">
        <v>71</v>
      </c>
      <c r="E3182" s="7">
        <v>11</v>
      </c>
      <c r="F3182" s="7">
        <f t="shared" si="50"/>
        <v>6</v>
      </c>
      <c r="G3182" s="7" t="str">
        <f>LOOKUP(H3182,[1]startdates!$A$2:$A$10,[1]startdates!$B$2:$B$10)</f>
        <v>C</v>
      </c>
      <c r="H3182">
        <v>3</v>
      </c>
      <c r="I3182" s="7">
        <v>532</v>
      </c>
      <c r="M3182" s="7">
        <v>360.9</v>
      </c>
      <c r="N3182" s="7">
        <v>221</v>
      </c>
      <c r="O3182" s="7">
        <v>164.7</v>
      </c>
    </row>
    <row r="3183" spans="1:19" x14ac:dyDescent="0.2">
      <c r="A3183">
        <v>3182</v>
      </c>
      <c r="B3183" s="1">
        <v>40809</v>
      </c>
      <c r="C3183" t="s">
        <v>28</v>
      </c>
      <c r="D3183" s="7">
        <v>71</v>
      </c>
      <c r="E3183" s="7">
        <v>11</v>
      </c>
      <c r="F3183" s="7">
        <f t="shared" si="50"/>
        <v>6</v>
      </c>
      <c r="G3183" s="7" t="str">
        <f>LOOKUP(H3183,[1]startdates!$A$2:$A$10,[1]startdates!$B$2:$B$10)</f>
        <v>C</v>
      </c>
      <c r="H3183">
        <v>3</v>
      </c>
      <c r="I3183" s="7">
        <v>577.20000000000005</v>
      </c>
      <c r="N3183" s="7">
        <v>191.4</v>
      </c>
      <c r="O3183" s="7">
        <v>169.5</v>
      </c>
    </row>
    <row r="3184" spans="1:19" x14ac:dyDescent="0.2">
      <c r="A3184">
        <v>3183</v>
      </c>
      <c r="B3184" s="1">
        <v>40809</v>
      </c>
      <c r="C3184" t="s">
        <v>28</v>
      </c>
      <c r="D3184" s="7">
        <v>71</v>
      </c>
      <c r="E3184" s="7">
        <v>11</v>
      </c>
      <c r="F3184" s="7">
        <f t="shared" si="50"/>
        <v>6</v>
      </c>
      <c r="G3184" s="7" t="str">
        <f>LOOKUP(H3184,[1]startdates!$A$2:$A$10,[1]startdates!$B$2:$B$10)</f>
        <v>C</v>
      </c>
      <c r="H3184">
        <v>3</v>
      </c>
      <c r="I3184" s="7">
        <v>555.70000000000005</v>
      </c>
      <c r="N3184" s="7">
        <v>224.4</v>
      </c>
      <c r="O3184" s="7">
        <v>169.5</v>
      </c>
    </row>
    <row r="3185" spans="1:19" x14ac:dyDescent="0.2">
      <c r="A3185">
        <v>3184</v>
      </c>
      <c r="B3185" s="1">
        <v>40809</v>
      </c>
      <c r="C3185" t="s">
        <v>28</v>
      </c>
      <c r="D3185" s="7">
        <v>71</v>
      </c>
      <c r="E3185" s="7">
        <v>11</v>
      </c>
      <c r="F3185" s="7">
        <f t="shared" si="50"/>
        <v>6</v>
      </c>
      <c r="G3185" s="7" t="str">
        <f>LOOKUP(H3185,[1]startdates!$A$2:$A$10,[1]startdates!$B$2:$B$10)</f>
        <v>C</v>
      </c>
      <c r="H3185">
        <v>3</v>
      </c>
      <c r="O3185" s="7">
        <v>157.6</v>
      </c>
    </row>
    <row r="3186" spans="1:19" x14ac:dyDescent="0.2">
      <c r="A3186">
        <v>3185</v>
      </c>
      <c r="B3186" s="1">
        <v>40809</v>
      </c>
      <c r="C3186" t="s">
        <v>24</v>
      </c>
      <c r="D3186" s="7">
        <v>71</v>
      </c>
      <c r="E3186" s="7">
        <v>11</v>
      </c>
      <c r="F3186" s="7">
        <f t="shared" si="50"/>
        <v>6</v>
      </c>
      <c r="G3186" s="7" t="str">
        <f>LOOKUP(H3186,[1]startdates!$A$2:$A$10,[1]startdates!$B$2:$B$10)</f>
        <v>SMr</v>
      </c>
      <c r="H3186">
        <v>4</v>
      </c>
      <c r="I3186" s="7">
        <v>648</v>
      </c>
      <c r="J3186" s="7">
        <v>522.79999999999995</v>
      </c>
      <c r="K3186" s="7">
        <v>573.6</v>
      </c>
      <c r="L3186" s="7">
        <v>357.8</v>
      </c>
      <c r="M3186" s="7">
        <v>266.7</v>
      </c>
      <c r="N3186" s="7">
        <v>216.6</v>
      </c>
      <c r="O3186" s="7">
        <v>149.1</v>
      </c>
      <c r="P3186" s="7">
        <v>504.1</v>
      </c>
      <c r="Q3186" s="7">
        <v>341.7</v>
      </c>
      <c r="R3186" s="7">
        <v>273.3</v>
      </c>
      <c r="S3186" s="7">
        <v>280.39999999999998</v>
      </c>
    </row>
    <row r="3187" spans="1:19" x14ac:dyDescent="0.2">
      <c r="A3187">
        <v>3186</v>
      </c>
      <c r="B3187" s="1">
        <v>40809</v>
      </c>
      <c r="C3187" t="s">
        <v>24</v>
      </c>
      <c r="D3187" s="7">
        <v>71</v>
      </c>
      <c r="E3187" s="7">
        <v>11</v>
      </c>
      <c r="F3187" s="7">
        <f t="shared" si="50"/>
        <v>6</v>
      </c>
      <c r="G3187" s="7" t="str">
        <f>LOOKUP(H3187,[1]startdates!$A$2:$A$10,[1]startdates!$B$2:$B$10)</f>
        <v>SMr</v>
      </c>
      <c r="H3187">
        <v>4</v>
      </c>
      <c r="I3187" s="7">
        <v>628.29999999999995</v>
      </c>
      <c r="J3187" s="7">
        <v>556.5</v>
      </c>
      <c r="K3187" s="7">
        <v>552.29999999999995</v>
      </c>
      <c r="L3187" s="7">
        <v>428.8</v>
      </c>
      <c r="M3187" s="7">
        <v>320.7</v>
      </c>
      <c r="N3187" s="7">
        <v>248.7</v>
      </c>
      <c r="O3187" s="7">
        <v>174.6</v>
      </c>
      <c r="Q3187" s="7">
        <v>370</v>
      </c>
      <c r="R3187" s="7">
        <v>270.8</v>
      </c>
    </row>
    <row r="3188" spans="1:19" x14ac:dyDescent="0.2">
      <c r="A3188">
        <v>3187</v>
      </c>
      <c r="B3188" s="1">
        <v>40809</v>
      </c>
      <c r="C3188" t="s">
        <v>24</v>
      </c>
      <c r="D3188" s="7">
        <v>71</v>
      </c>
      <c r="E3188" s="7">
        <v>11</v>
      </c>
      <c r="F3188" s="7">
        <f t="shared" si="50"/>
        <v>6</v>
      </c>
      <c r="G3188" s="7" t="str">
        <f>LOOKUP(H3188,[1]startdates!$A$2:$A$10,[1]startdates!$B$2:$B$10)</f>
        <v>SMr</v>
      </c>
      <c r="H3188">
        <v>4</v>
      </c>
      <c r="I3188" s="7">
        <v>648.20000000000005</v>
      </c>
      <c r="J3188" s="7">
        <v>603.79999999999995</v>
      </c>
      <c r="K3188" s="7">
        <v>608</v>
      </c>
      <c r="L3188" s="7">
        <v>452.6</v>
      </c>
      <c r="M3188" s="7">
        <v>324.8</v>
      </c>
      <c r="N3188" s="7">
        <v>224.9</v>
      </c>
      <c r="O3188" s="7">
        <v>156.80000000000001</v>
      </c>
      <c r="R3188" s="7">
        <v>252.9</v>
      </c>
    </row>
    <row r="3189" spans="1:19" x14ac:dyDescent="0.2">
      <c r="A3189">
        <v>3188</v>
      </c>
      <c r="B3189" s="1">
        <v>40809</v>
      </c>
      <c r="C3189" t="s">
        <v>24</v>
      </c>
      <c r="D3189" s="7">
        <v>71</v>
      </c>
      <c r="E3189" s="7">
        <v>11</v>
      </c>
      <c r="F3189" s="7">
        <f t="shared" si="50"/>
        <v>6</v>
      </c>
      <c r="G3189" s="7" t="str">
        <f>LOOKUP(H3189,[1]startdates!$A$2:$A$10,[1]startdates!$B$2:$B$10)</f>
        <v>SMr</v>
      </c>
      <c r="H3189">
        <v>4</v>
      </c>
      <c r="I3189" s="7">
        <v>665</v>
      </c>
      <c r="K3189" s="7">
        <v>467.9</v>
      </c>
      <c r="M3189" s="7">
        <v>290</v>
      </c>
      <c r="N3189" s="7">
        <v>212.5</v>
      </c>
      <c r="O3189" s="7">
        <v>175.8</v>
      </c>
    </row>
    <row r="3190" spans="1:19" x14ac:dyDescent="0.2">
      <c r="A3190">
        <v>3189</v>
      </c>
      <c r="B3190" s="1">
        <v>40809</v>
      </c>
      <c r="C3190" t="s">
        <v>24</v>
      </c>
      <c r="D3190" s="7">
        <v>71</v>
      </c>
      <c r="E3190" s="7">
        <v>11</v>
      </c>
      <c r="F3190" s="7">
        <f t="shared" si="50"/>
        <v>6</v>
      </c>
      <c r="G3190" s="7" t="str">
        <f>LOOKUP(H3190,[1]startdates!$A$2:$A$10,[1]startdates!$B$2:$B$10)</f>
        <v>SMr</v>
      </c>
      <c r="H3190">
        <v>4</v>
      </c>
      <c r="I3190" s="7">
        <v>526.1</v>
      </c>
      <c r="K3190" s="7">
        <v>519.29999999999995</v>
      </c>
      <c r="M3190" s="7">
        <v>296.5</v>
      </c>
      <c r="N3190" s="7">
        <v>249.2</v>
      </c>
      <c r="O3190" s="7">
        <v>184.9</v>
      </c>
    </row>
    <row r="3191" spans="1:19" x14ac:dyDescent="0.2">
      <c r="A3191">
        <v>3190</v>
      </c>
      <c r="B3191" s="1">
        <v>40809</v>
      </c>
      <c r="C3191" t="s">
        <v>24</v>
      </c>
      <c r="D3191" s="7">
        <v>71</v>
      </c>
      <c r="E3191" s="7">
        <v>11</v>
      </c>
      <c r="F3191" s="7">
        <f t="shared" si="50"/>
        <v>6</v>
      </c>
      <c r="G3191" s="7" t="str">
        <f>LOOKUP(H3191,[1]startdates!$A$2:$A$10,[1]startdates!$B$2:$B$10)</f>
        <v>SMr</v>
      </c>
      <c r="H3191">
        <v>4</v>
      </c>
      <c r="I3191" s="7">
        <v>613.20000000000005</v>
      </c>
      <c r="K3191" s="7">
        <v>408.2</v>
      </c>
      <c r="M3191" s="7">
        <v>332.3</v>
      </c>
      <c r="N3191" s="7">
        <v>250.8</v>
      </c>
      <c r="O3191" s="7">
        <v>191.1</v>
      </c>
    </row>
    <row r="3192" spans="1:19" x14ac:dyDescent="0.2">
      <c r="A3192">
        <v>3191</v>
      </c>
      <c r="B3192" s="1">
        <v>40809</v>
      </c>
      <c r="C3192" t="s">
        <v>24</v>
      </c>
      <c r="D3192" s="7">
        <v>71</v>
      </c>
      <c r="E3192" s="7">
        <v>11</v>
      </c>
      <c r="F3192" s="7">
        <f t="shared" si="50"/>
        <v>6</v>
      </c>
      <c r="G3192" s="7" t="str">
        <f>LOOKUP(H3192,[1]startdates!$A$2:$A$10,[1]startdates!$B$2:$B$10)</f>
        <v>SMr</v>
      </c>
      <c r="H3192">
        <v>4</v>
      </c>
      <c r="I3192" s="7">
        <v>588.29999999999995</v>
      </c>
      <c r="K3192" s="7">
        <v>557.1</v>
      </c>
      <c r="M3192" s="7">
        <v>296.5</v>
      </c>
      <c r="N3192" s="7">
        <v>253.3</v>
      </c>
      <c r="O3192" s="7">
        <v>173.7</v>
      </c>
    </row>
    <row r="3193" spans="1:19" x14ac:dyDescent="0.2">
      <c r="A3193">
        <v>3192</v>
      </c>
      <c r="B3193" s="1">
        <v>40809</v>
      </c>
      <c r="C3193" t="s">
        <v>24</v>
      </c>
      <c r="D3193" s="7">
        <v>71</v>
      </c>
      <c r="E3193" s="7">
        <v>11</v>
      </c>
      <c r="F3193" s="7">
        <f t="shared" si="50"/>
        <v>6</v>
      </c>
      <c r="G3193" s="7" t="str">
        <f>LOOKUP(H3193,[1]startdates!$A$2:$A$10,[1]startdates!$B$2:$B$10)</f>
        <v>SMr</v>
      </c>
      <c r="H3193">
        <v>4</v>
      </c>
      <c r="I3193" s="7">
        <v>615.1</v>
      </c>
      <c r="K3193" s="7">
        <v>475.7</v>
      </c>
      <c r="M3193" s="7">
        <v>327.7</v>
      </c>
      <c r="N3193" s="7">
        <v>262.5</v>
      </c>
      <c r="O3193" s="7">
        <v>159.80000000000001</v>
      </c>
    </row>
    <row r="3194" spans="1:19" x14ac:dyDescent="0.2">
      <c r="A3194">
        <v>3193</v>
      </c>
      <c r="B3194" s="1">
        <v>40809</v>
      </c>
      <c r="C3194" t="s">
        <v>24</v>
      </c>
      <c r="D3194" s="7">
        <v>71</v>
      </c>
      <c r="E3194" s="7">
        <v>11</v>
      </c>
      <c r="F3194" s="7">
        <f t="shared" si="50"/>
        <v>6</v>
      </c>
      <c r="G3194" s="7" t="str">
        <f>LOOKUP(H3194,[1]startdates!$A$2:$A$10,[1]startdates!$B$2:$B$10)</f>
        <v>SMr</v>
      </c>
      <c r="H3194">
        <v>4</v>
      </c>
      <c r="I3194" s="7">
        <v>643.70000000000005</v>
      </c>
      <c r="K3194" s="7">
        <v>575.1</v>
      </c>
      <c r="M3194" s="7">
        <v>346.3</v>
      </c>
      <c r="O3194" s="7">
        <v>171.3</v>
      </c>
    </row>
    <row r="3195" spans="1:19" x14ac:dyDescent="0.2">
      <c r="A3195">
        <v>3194</v>
      </c>
      <c r="B3195" s="1">
        <v>40809</v>
      </c>
      <c r="C3195" t="s">
        <v>24</v>
      </c>
      <c r="D3195" s="7">
        <v>71</v>
      </c>
      <c r="E3195" s="7">
        <v>11</v>
      </c>
      <c r="F3195" s="7">
        <f t="shared" si="50"/>
        <v>6</v>
      </c>
      <c r="G3195" s="7" t="str">
        <f>LOOKUP(H3195,[1]startdates!$A$2:$A$10,[1]startdates!$B$2:$B$10)</f>
        <v>SMr</v>
      </c>
      <c r="H3195">
        <v>4</v>
      </c>
      <c r="M3195" s="7">
        <v>360.3</v>
      </c>
      <c r="O3195" s="7">
        <v>164.2</v>
      </c>
    </row>
    <row r="3196" spans="1:19" x14ac:dyDescent="0.2">
      <c r="A3196">
        <v>3195</v>
      </c>
      <c r="B3196" s="1">
        <v>40809</v>
      </c>
      <c r="C3196" t="s">
        <v>24</v>
      </c>
      <c r="D3196" s="7">
        <v>71</v>
      </c>
      <c r="E3196" s="7">
        <v>11</v>
      </c>
      <c r="F3196" s="7">
        <f t="shared" si="50"/>
        <v>6</v>
      </c>
      <c r="G3196" s="7" t="str">
        <f>LOOKUP(H3196,[1]startdates!$A$2:$A$10,[1]startdates!$B$2:$B$10)</f>
        <v>SMr</v>
      </c>
      <c r="H3196">
        <v>4</v>
      </c>
      <c r="O3196" s="7">
        <v>171.9</v>
      </c>
    </row>
    <row r="3197" spans="1:19" x14ac:dyDescent="0.2">
      <c r="A3197">
        <v>3196</v>
      </c>
      <c r="B3197" s="1">
        <v>40809</v>
      </c>
      <c r="C3197" t="s">
        <v>24</v>
      </c>
      <c r="D3197" s="7">
        <v>71</v>
      </c>
      <c r="E3197" s="7">
        <v>11</v>
      </c>
      <c r="F3197" s="7">
        <f t="shared" si="50"/>
        <v>6</v>
      </c>
      <c r="G3197" s="7" t="str">
        <f>LOOKUP(H3197,[1]startdates!$A$2:$A$10,[1]startdates!$B$2:$B$10)</f>
        <v>C</v>
      </c>
      <c r="H3197">
        <v>5</v>
      </c>
      <c r="I3197" s="7">
        <v>562.9</v>
      </c>
      <c r="J3197" s="7">
        <v>607.5</v>
      </c>
      <c r="K3197" s="7">
        <v>563.6</v>
      </c>
      <c r="L3197" s="7">
        <v>433.8</v>
      </c>
      <c r="M3197" s="7">
        <v>338.7</v>
      </c>
      <c r="N3197" s="7">
        <v>245.8</v>
      </c>
      <c r="O3197" s="7">
        <v>154.1</v>
      </c>
      <c r="Q3197" s="7">
        <v>372.7</v>
      </c>
      <c r="R3197" s="7">
        <v>242.2</v>
      </c>
      <c r="S3197" s="7">
        <v>258.10000000000002</v>
      </c>
    </row>
    <row r="3198" spans="1:19" x14ac:dyDescent="0.2">
      <c r="A3198">
        <v>3197</v>
      </c>
      <c r="B3198" s="1">
        <v>40809</v>
      </c>
      <c r="C3198" t="s">
        <v>24</v>
      </c>
      <c r="D3198" s="7">
        <v>71</v>
      </c>
      <c r="E3198" s="7">
        <v>11</v>
      </c>
      <c r="F3198" s="7">
        <f t="shared" si="50"/>
        <v>6</v>
      </c>
      <c r="G3198" s="7" t="str">
        <f>LOOKUP(H3198,[1]startdates!$A$2:$A$10,[1]startdates!$B$2:$B$10)</f>
        <v>C</v>
      </c>
      <c r="H3198">
        <v>5</v>
      </c>
      <c r="I3198" s="7">
        <v>664.3</v>
      </c>
      <c r="J3198" s="7">
        <v>514.20000000000005</v>
      </c>
      <c r="K3198" s="7">
        <v>512</v>
      </c>
      <c r="L3198" s="7">
        <v>473.3</v>
      </c>
      <c r="M3198" s="7">
        <v>342.8</v>
      </c>
      <c r="N3198" s="7">
        <v>221.7</v>
      </c>
      <c r="O3198" s="7">
        <v>188.9</v>
      </c>
      <c r="Q3198" s="7">
        <v>348.4</v>
      </c>
      <c r="R3198" s="7">
        <v>269</v>
      </c>
    </row>
    <row r="3199" spans="1:19" x14ac:dyDescent="0.2">
      <c r="A3199">
        <v>3198</v>
      </c>
      <c r="B3199" s="1">
        <v>40809</v>
      </c>
      <c r="C3199" t="s">
        <v>24</v>
      </c>
      <c r="D3199" s="7">
        <v>71</v>
      </c>
      <c r="E3199" s="7">
        <v>11</v>
      </c>
      <c r="F3199" s="7">
        <f t="shared" si="50"/>
        <v>6</v>
      </c>
      <c r="G3199" s="7" t="str">
        <f>LOOKUP(H3199,[1]startdates!$A$2:$A$10,[1]startdates!$B$2:$B$10)</f>
        <v>C</v>
      </c>
      <c r="H3199">
        <v>5</v>
      </c>
      <c r="I3199" s="7">
        <v>598</v>
      </c>
      <c r="J3199" s="7">
        <v>560.70000000000005</v>
      </c>
      <c r="K3199" s="7">
        <v>538.20000000000005</v>
      </c>
      <c r="L3199" s="7">
        <v>405.1</v>
      </c>
      <c r="M3199" s="7">
        <v>340.8</v>
      </c>
      <c r="N3199" s="7">
        <v>259</v>
      </c>
      <c r="O3199" s="7">
        <v>172.4</v>
      </c>
      <c r="Q3199" s="7">
        <v>340.3</v>
      </c>
    </row>
    <row r="3200" spans="1:19" x14ac:dyDescent="0.2">
      <c r="A3200">
        <v>3199</v>
      </c>
      <c r="B3200" s="1">
        <v>40809</v>
      </c>
      <c r="C3200" t="s">
        <v>24</v>
      </c>
      <c r="D3200" s="7">
        <v>71</v>
      </c>
      <c r="E3200" s="7">
        <v>11</v>
      </c>
      <c r="F3200" s="7">
        <f t="shared" si="50"/>
        <v>6</v>
      </c>
      <c r="G3200" s="7" t="str">
        <f>LOOKUP(H3200,[1]startdates!$A$2:$A$10,[1]startdates!$B$2:$B$10)</f>
        <v>C</v>
      </c>
      <c r="H3200">
        <v>5</v>
      </c>
      <c r="I3200" s="7">
        <v>638.5</v>
      </c>
      <c r="J3200" s="7">
        <v>583.1</v>
      </c>
      <c r="K3200" s="7">
        <v>555.6</v>
      </c>
      <c r="L3200" s="7">
        <v>435.4</v>
      </c>
      <c r="M3200" s="7">
        <v>292</v>
      </c>
      <c r="N3200" s="7">
        <v>255.5</v>
      </c>
      <c r="O3200" s="7">
        <v>188.3</v>
      </c>
      <c r="Q3200" s="7">
        <v>381.5</v>
      </c>
    </row>
    <row r="3201" spans="1:19" x14ac:dyDescent="0.2">
      <c r="A3201">
        <v>3200</v>
      </c>
      <c r="B3201" s="1">
        <v>40809</v>
      </c>
      <c r="C3201" t="s">
        <v>24</v>
      </c>
      <c r="D3201" s="7">
        <v>71</v>
      </c>
      <c r="E3201" s="7">
        <v>11</v>
      </c>
      <c r="F3201" s="7">
        <f t="shared" si="50"/>
        <v>6</v>
      </c>
      <c r="G3201" s="7" t="str">
        <f>LOOKUP(H3201,[1]startdates!$A$2:$A$10,[1]startdates!$B$2:$B$10)</f>
        <v>C</v>
      </c>
      <c r="H3201">
        <v>5</v>
      </c>
      <c r="I3201" s="7">
        <v>637.5</v>
      </c>
      <c r="K3201" s="7">
        <v>640.1</v>
      </c>
      <c r="M3201" s="7">
        <v>324.7</v>
      </c>
      <c r="O3201" s="7">
        <v>161.69999999999999</v>
      </c>
    </row>
    <row r="3202" spans="1:19" x14ac:dyDescent="0.2">
      <c r="A3202">
        <v>3201</v>
      </c>
      <c r="B3202" s="1">
        <v>40809</v>
      </c>
      <c r="C3202" t="s">
        <v>24</v>
      </c>
      <c r="D3202" s="7">
        <v>71</v>
      </c>
      <c r="E3202" s="7">
        <v>11</v>
      </c>
      <c r="F3202" s="7">
        <f t="shared" si="50"/>
        <v>6</v>
      </c>
      <c r="G3202" s="7" t="str">
        <f>LOOKUP(H3202,[1]startdates!$A$2:$A$10,[1]startdates!$B$2:$B$10)</f>
        <v>C</v>
      </c>
      <c r="H3202">
        <v>5</v>
      </c>
      <c r="I3202" s="7">
        <v>653.6</v>
      </c>
      <c r="K3202" s="7">
        <v>566</v>
      </c>
      <c r="M3202" s="7">
        <v>288.10000000000002</v>
      </c>
      <c r="O3202" s="7">
        <v>187.8</v>
      </c>
    </row>
    <row r="3203" spans="1:19" x14ac:dyDescent="0.2">
      <c r="A3203">
        <v>3202</v>
      </c>
      <c r="B3203" s="1">
        <v>40809</v>
      </c>
      <c r="C3203" t="s">
        <v>24</v>
      </c>
      <c r="D3203" s="7">
        <v>71</v>
      </c>
      <c r="E3203" s="7">
        <v>11</v>
      </c>
      <c r="F3203" s="7">
        <f t="shared" si="50"/>
        <v>6</v>
      </c>
      <c r="G3203" s="7" t="str">
        <f>LOOKUP(H3203,[1]startdates!$A$2:$A$10,[1]startdates!$B$2:$B$10)</f>
        <v>C</v>
      </c>
      <c r="H3203">
        <v>5</v>
      </c>
      <c r="I3203" s="7">
        <v>671.1</v>
      </c>
      <c r="M3203" s="7">
        <v>373.7</v>
      </c>
      <c r="O3203" s="7">
        <v>148.6</v>
      </c>
    </row>
    <row r="3204" spans="1:19" x14ac:dyDescent="0.2">
      <c r="A3204">
        <v>3203</v>
      </c>
      <c r="B3204" s="1">
        <v>40809</v>
      </c>
      <c r="C3204" t="s">
        <v>24</v>
      </c>
      <c r="D3204" s="7">
        <v>71</v>
      </c>
      <c r="E3204" s="7">
        <v>11</v>
      </c>
      <c r="F3204" s="7">
        <f t="shared" si="50"/>
        <v>6</v>
      </c>
      <c r="G3204" s="7" t="str">
        <f>LOOKUP(H3204,[1]startdates!$A$2:$A$10,[1]startdates!$B$2:$B$10)</f>
        <v>C</v>
      </c>
      <c r="H3204">
        <v>5</v>
      </c>
      <c r="O3204" s="7">
        <v>178.7</v>
      </c>
    </row>
    <row r="3205" spans="1:19" x14ac:dyDescent="0.2">
      <c r="A3205">
        <v>3204</v>
      </c>
      <c r="B3205" s="1">
        <v>40809</v>
      </c>
      <c r="C3205" t="s">
        <v>24</v>
      </c>
      <c r="D3205" s="7">
        <v>71</v>
      </c>
      <c r="E3205" s="7">
        <v>11</v>
      </c>
      <c r="F3205" s="7">
        <f t="shared" si="50"/>
        <v>6</v>
      </c>
      <c r="G3205" s="7" t="str">
        <f>LOOKUP(H3205,[1]startdates!$A$2:$A$10,[1]startdates!$B$2:$B$10)</f>
        <v>C</v>
      </c>
      <c r="H3205">
        <v>5</v>
      </c>
      <c r="O3205" s="7">
        <v>143.80000000000001</v>
      </c>
    </row>
    <row r="3206" spans="1:19" x14ac:dyDescent="0.2">
      <c r="A3206">
        <v>3205</v>
      </c>
      <c r="B3206" s="1">
        <v>40809</v>
      </c>
      <c r="C3206" t="s">
        <v>24</v>
      </c>
      <c r="D3206" s="7">
        <v>71</v>
      </c>
      <c r="E3206" s="7">
        <v>11</v>
      </c>
      <c r="F3206" s="7">
        <f t="shared" si="50"/>
        <v>6</v>
      </c>
      <c r="G3206" s="7" t="str">
        <f>LOOKUP(H3206,[1]startdates!$A$2:$A$10,[1]startdates!$B$2:$B$10)</f>
        <v>C</v>
      </c>
      <c r="H3206">
        <v>5</v>
      </c>
      <c r="O3206" s="7">
        <v>163</v>
      </c>
    </row>
    <row r="3207" spans="1:19" x14ac:dyDescent="0.2">
      <c r="A3207">
        <v>3206</v>
      </c>
      <c r="B3207" s="1">
        <v>40809</v>
      </c>
      <c r="C3207" t="s">
        <v>24</v>
      </c>
      <c r="D3207" s="7">
        <v>71</v>
      </c>
      <c r="E3207" s="7">
        <v>11</v>
      </c>
      <c r="F3207" s="7">
        <f t="shared" si="50"/>
        <v>6</v>
      </c>
      <c r="G3207" s="7" t="str">
        <f>LOOKUP(H3207,[1]startdates!$A$2:$A$10,[1]startdates!$B$2:$B$10)</f>
        <v>C</v>
      </c>
      <c r="H3207">
        <v>5</v>
      </c>
      <c r="O3207" s="7">
        <v>177.7</v>
      </c>
    </row>
    <row r="3208" spans="1:19" x14ac:dyDescent="0.2">
      <c r="A3208">
        <v>3207</v>
      </c>
      <c r="B3208" s="1">
        <v>40809</v>
      </c>
      <c r="C3208" t="s">
        <v>28</v>
      </c>
      <c r="D3208" s="7">
        <v>71</v>
      </c>
      <c r="E3208" s="7">
        <v>11</v>
      </c>
      <c r="F3208" s="7">
        <f t="shared" si="50"/>
        <v>6</v>
      </c>
      <c r="G3208" s="7" t="str">
        <f>LOOKUP(H3208,[1]startdates!$A$2:$A$10,[1]startdates!$B$2:$B$10)</f>
        <v>FMr</v>
      </c>
      <c r="H3208">
        <v>6</v>
      </c>
      <c r="I3208" s="7">
        <v>611.20000000000005</v>
      </c>
      <c r="J3208" s="7">
        <v>596.4</v>
      </c>
      <c r="K3208" s="7">
        <v>502.7</v>
      </c>
      <c r="L3208" s="7">
        <v>427.5</v>
      </c>
      <c r="M3208" s="7">
        <v>334</v>
      </c>
      <c r="N3208" s="7">
        <v>220.7</v>
      </c>
      <c r="O3208" s="7">
        <v>156.5</v>
      </c>
      <c r="P3208" s="7">
        <v>500.7</v>
      </c>
      <c r="Q3208" s="7">
        <v>354.1</v>
      </c>
      <c r="R3208" s="7">
        <v>254.3</v>
      </c>
      <c r="S3208" s="7">
        <v>216.6</v>
      </c>
    </row>
    <row r="3209" spans="1:19" x14ac:dyDescent="0.2">
      <c r="A3209">
        <v>3208</v>
      </c>
      <c r="B3209" s="1">
        <v>40809</v>
      </c>
      <c r="C3209" t="s">
        <v>28</v>
      </c>
      <c r="D3209" s="7">
        <v>71</v>
      </c>
      <c r="E3209" s="7">
        <v>11</v>
      </c>
      <c r="F3209" s="7">
        <f t="shared" si="50"/>
        <v>6</v>
      </c>
      <c r="G3209" s="7" t="str">
        <f>LOOKUP(H3209,[1]startdates!$A$2:$A$10,[1]startdates!$B$2:$B$10)</f>
        <v>FMr</v>
      </c>
      <c r="H3209">
        <v>6</v>
      </c>
      <c r="I3209" s="7">
        <v>684</v>
      </c>
      <c r="K3209" s="7">
        <v>575.70000000000005</v>
      </c>
      <c r="L3209" s="7">
        <v>418.6</v>
      </c>
      <c r="M3209" s="7">
        <v>339.8</v>
      </c>
      <c r="N3209" s="7">
        <v>235.7</v>
      </c>
      <c r="O3209" s="7">
        <v>181.9</v>
      </c>
      <c r="P3209" s="7">
        <v>442.4</v>
      </c>
      <c r="S3209" s="7">
        <v>245.8</v>
      </c>
    </row>
    <row r="3210" spans="1:19" x14ac:dyDescent="0.2">
      <c r="A3210">
        <v>3209</v>
      </c>
      <c r="B3210" s="1">
        <v>40809</v>
      </c>
      <c r="C3210" t="s">
        <v>28</v>
      </c>
      <c r="D3210" s="7">
        <v>71</v>
      </c>
      <c r="E3210" s="7">
        <v>11</v>
      </c>
      <c r="F3210" s="7">
        <f t="shared" si="50"/>
        <v>6</v>
      </c>
      <c r="G3210" s="7" t="str">
        <f>LOOKUP(H3210,[1]startdates!$A$2:$A$10,[1]startdates!$B$2:$B$10)</f>
        <v>FMr</v>
      </c>
      <c r="H3210">
        <v>6</v>
      </c>
      <c r="I3210" s="7">
        <v>557.29999999999995</v>
      </c>
      <c r="K3210" s="7">
        <v>584</v>
      </c>
      <c r="L3210" s="7">
        <v>448.3</v>
      </c>
      <c r="M3210" s="7">
        <v>386.1</v>
      </c>
      <c r="N3210" s="7">
        <v>271.5</v>
      </c>
      <c r="O3210" s="7">
        <v>178.2</v>
      </c>
    </row>
    <row r="3211" spans="1:19" x14ac:dyDescent="0.2">
      <c r="A3211">
        <v>3210</v>
      </c>
      <c r="B3211" s="1">
        <v>40809</v>
      </c>
      <c r="C3211" t="s">
        <v>28</v>
      </c>
      <c r="D3211" s="7">
        <v>71</v>
      </c>
      <c r="E3211" s="7">
        <v>11</v>
      </c>
      <c r="F3211" s="7">
        <f t="shared" si="50"/>
        <v>6</v>
      </c>
      <c r="G3211" s="7" t="str">
        <f>LOOKUP(H3211,[1]startdates!$A$2:$A$10,[1]startdates!$B$2:$B$10)</f>
        <v>FMr</v>
      </c>
      <c r="H3211">
        <v>6</v>
      </c>
      <c r="I3211" s="7">
        <v>654.4</v>
      </c>
      <c r="K3211" s="7">
        <v>471.3</v>
      </c>
      <c r="L3211" s="7">
        <v>423.3</v>
      </c>
      <c r="M3211" s="7">
        <v>334.7</v>
      </c>
      <c r="N3211" s="7">
        <v>231.2</v>
      </c>
      <c r="O3211" s="7">
        <v>145.19999999999999</v>
      </c>
    </row>
    <row r="3212" spans="1:19" x14ac:dyDescent="0.2">
      <c r="A3212">
        <v>3211</v>
      </c>
      <c r="B3212" s="1">
        <v>40809</v>
      </c>
      <c r="C3212" t="s">
        <v>28</v>
      </c>
      <c r="D3212" s="7">
        <v>71</v>
      </c>
      <c r="E3212" s="7">
        <v>11</v>
      </c>
      <c r="F3212" s="7">
        <f t="shared" si="50"/>
        <v>6</v>
      </c>
      <c r="G3212" s="7" t="str">
        <f>LOOKUP(H3212,[1]startdates!$A$2:$A$10,[1]startdates!$B$2:$B$10)</f>
        <v>FMr</v>
      </c>
      <c r="H3212">
        <v>6</v>
      </c>
      <c r="I3212" s="7">
        <v>572.79999999999995</v>
      </c>
      <c r="K3212" s="7">
        <v>533.29999999999995</v>
      </c>
      <c r="L3212" s="7">
        <v>425.4</v>
      </c>
      <c r="M3212" s="7">
        <v>299</v>
      </c>
      <c r="N3212" s="7">
        <v>204.7</v>
      </c>
      <c r="O3212" s="7">
        <v>192.7</v>
      </c>
    </row>
    <row r="3213" spans="1:19" x14ac:dyDescent="0.2">
      <c r="A3213">
        <v>3212</v>
      </c>
      <c r="B3213" s="1">
        <v>40809</v>
      </c>
      <c r="C3213" t="s">
        <v>28</v>
      </c>
      <c r="D3213" s="7">
        <v>71</v>
      </c>
      <c r="E3213" s="7">
        <v>11</v>
      </c>
      <c r="F3213" s="7">
        <f t="shared" si="50"/>
        <v>6</v>
      </c>
      <c r="G3213" s="7" t="str">
        <f>LOOKUP(H3213,[1]startdates!$A$2:$A$10,[1]startdates!$B$2:$B$10)</f>
        <v>FMr</v>
      </c>
      <c r="H3213">
        <v>6</v>
      </c>
      <c r="I3213" s="7">
        <v>625.4</v>
      </c>
      <c r="L3213" s="7">
        <v>486.5</v>
      </c>
      <c r="M3213" s="7">
        <v>359.9</v>
      </c>
      <c r="N3213" s="7">
        <v>232.9</v>
      </c>
      <c r="O3213" s="7">
        <v>184.7</v>
      </c>
    </row>
    <row r="3214" spans="1:19" x14ac:dyDescent="0.2">
      <c r="A3214">
        <v>3213</v>
      </c>
      <c r="B3214" s="1">
        <v>40809</v>
      </c>
      <c r="C3214" t="s">
        <v>28</v>
      </c>
      <c r="D3214" s="7">
        <v>71</v>
      </c>
      <c r="E3214" s="7">
        <v>11</v>
      </c>
      <c r="F3214" s="7">
        <f t="shared" si="50"/>
        <v>6</v>
      </c>
      <c r="G3214" s="7" t="str">
        <f>LOOKUP(H3214,[1]startdates!$A$2:$A$10,[1]startdates!$B$2:$B$10)</f>
        <v>FMr</v>
      </c>
      <c r="H3214">
        <v>6</v>
      </c>
      <c r="I3214" s="7">
        <v>676</v>
      </c>
      <c r="L3214" s="7">
        <v>484.1</v>
      </c>
      <c r="M3214" s="7">
        <v>339</v>
      </c>
      <c r="N3214" s="7">
        <v>230</v>
      </c>
      <c r="O3214" s="7">
        <v>165.5</v>
      </c>
    </row>
    <row r="3215" spans="1:19" x14ac:dyDescent="0.2">
      <c r="A3215">
        <v>3214</v>
      </c>
      <c r="B3215" s="1">
        <v>40809</v>
      </c>
      <c r="C3215" t="s">
        <v>28</v>
      </c>
      <c r="D3215" s="7">
        <v>71</v>
      </c>
      <c r="E3215" s="7">
        <v>11</v>
      </c>
      <c r="F3215" s="7">
        <f t="shared" si="50"/>
        <v>6</v>
      </c>
      <c r="G3215" s="7" t="str">
        <f>LOOKUP(H3215,[1]startdates!$A$2:$A$10,[1]startdates!$B$2:$B$10)</f>
        <v>FMr</v>
      </c>
      <c r="H3215">
        <v>6</v>
      </c>
      <c r="I3215" s="7">
        <v>629.4</v>
      </c>
      <c r="M3215" s="7">
        <v>362.7</v>
      </c>
      <c r="N3215" s="7">
        <v>235.7</v>
      </c>
      <c r="O3215" s="7">
        <v>179.8</v>
      </c>
    </row>
    <row r="3216" spans="1:19" x14ac:dyDescent="0.2">
      <c r="A3216">
        <v>3215</v>
      </c>
      <c r="B3216" s="1">
        <v>40809</v>
      </c>
      <c r="C3216" t="s">
        <v>28</v>
      </c>
      <c r="D3216" s="7">
        <v>71</v>
      </c>
      <c r="E3216" s="7">
        <v>11</v>
      </c>
      <c r="F3216" s="7">
        <f t="shared" si="50"/>
        <v>6</v>
      </c>
      <c r="G3216" s="7" t="str">
        <f>LOOKUP(H3216,[1]startdates!$A$2:$A$10,[1]startdates!$B$2:$B$10)</f>
        <v>FMr</v>
      </c>
      <c r="H3216">
        <v>6</v>
      </c>
      <c r="I3216" s="7">
        <v>536.9</v>
      </c>
      <c r="M3216" s="7">
        <v>326.8</v>
      </c>
      <c r="N3216" s="7">
        <v>197.6</v>
      </c>
      <c r="O3216" s="7">
        <v>144.69999999999999</v>
      </c>
    </row>
    <row r="3217" spans="1:19" x14ac:dyDescent="0.2">
      <c r="A3217">
        <v>3216</v>
      </c>
      <c r="B3217" s="1">
        <v>40809</v>
      </c>
      <c r="C3217" t="s">
        <v>28</v>
      </c>
      <c r="D3217" s="7">
        <v>71</v>
      </c>
      <c r="E3217" s="7">
        <v>11</v>
      </c>
      <c r="F3217" s="7">
        <f t="shared" si="50"/>
        <v>6</v>
      </c>
      <c r="G3217" s="7" t="str">
        <f>LOOKUP(H3217,[1]startdates!$A$2:$A$10,[1]startdates!$B$2:$B$10)</f>
        <v>FMr</v>
      </c>
      <c r="H3217">
        <v>6</v>
      </c>
      <c r="I3217" s="7">
        <v>609.20000000000005</v>
      </c>
      <c r="M3217" s="7">
        <v>365.6</v>
      </c>
      <c r="N3217" s="7">
        <v>230.5</v>
      </c>
      <c r="O3217" s="7">
        <v>167.9</v>
      </c>
    </row>
    <row r="3218" spans="1:19" x14ac:dyDescent="0.2">
      <c r="A3218">
        <v>3217</v>
      </c>
      <c r="B3218" s="1">
        <v>40809</v>
      </c>
      <c r="C3218" t="s">
        <v>28</v>
      </c>
      <c r="D3218" s="7">
        <v>71</v>
      </c>
      <c r="E3218" s="7">
        <v>11</v>
      </c>
      <c r="F3218" s="7">
        <f t="shared" si="50"/>
        <v>6</v>
      </c>
      <c r="G3218" s="7" t="str">
        <f>LOOKUP(H3218,[1]startdates!$A$2:$A$10,[1]startdates!$B$2:$B$10)</f>
        <v>FMr</v>
      </c>
      <c r="H3218">
        <v>6</v>
      </c>
      <c r="I3218" s="7">
        <v>513.79999999999995</v>
      </c>
    </row>
    <row r="3219" spans="1:19" x14ac:dyDescent="0.2">
      <c r="A3219">
        <v>3218</v>
      </c>
      <c r="B3219" s="1">
        <v>40809</v>
      </c>
      <c r="C3219" t="s">
        <v>24</v>
      </c>
      <c r="D3219" s="7">
        <v>71</v>
      </c>
      <c r="E3219" s="7">
        <v>11</v>
      </c>
      <c r="F3219" s="7">
        <f t="shared" si="50"/>
        <v>6</v>
      </c>
      <c r="G3219" s="7" t="str">
        <f>LOOKUP(H3219,[1]startdates!$A$2:$A$10,[1]startdates!$B$2:$B$10)</f>
        <v>FMr</v>
      </c>
      <c r="H3219">
        <v>7</v>
      </c>
      <c r="I3219" s="7">
        <v>601.9</v>
      </c>
      <c r="J3219" s="7">
        <v>530.70000000000005</v>
      </c>
      <c r="K3219" s="7">
        <v>479</v>
      </c>
      <c r="L3219" s="7">
        <v>456.5</v>
      </c>
      <c r="M3219" s="7">
        <v>362.3</v>
      </c>
      <c r="N3219" s="7">
        <v>235.9</v>
      </c>
      <c r="O3219" s="7">
        <v>186.2</v>
      </c>
      <c r="P3219" s="7">
        <v>480.8</v>
      </c>
      <c r="Q3219" s="7">
        <v>393.7</v>
      </c>
      <c r="R3219" s="7">
        <v>332.7</v>
      </c>
      <c r="S3219" s="7">
        <v>286.89999999999998</v>
      </c>
    </row>
    <row r="3220" spans="1:19" x14ac:dyDescent="0.2">
      <c r="A3220">
        <v>3219</v>
      </c>
      <c r="B3220" s="1">
        <v>40809</v>
      </c>
      <c r="C3220" t="s">
        <v>24</v>
      </c>
      <c r="D3220" s="7">
        <v>71</v>
      </c>
      <c r="E3220" s="7">
        <v>11</v>
      </c>
      <c r="F3220" s="7">
        <f t="shared" si="50"/>
        <v>6</v>
      </c>
      <c r="G3220" s="7" t="str">
        <f>LOOKUP(H3220,[1]startdates!$A$2:$A$10,[1]startdates!$B$2:$B$10)</f>
        <v>FMr</v>
      </c>
      <c r="H3220">
        <v>7</v>
      </c>
      <c r="I3220" s="7">
        <v>661.2</v>
      </c>
      <c r="K3220" s="7">
        <v>560</v>
      </c>
      <c r="L3220" s="7">
        <v>458.8</v>
      </c>
      <c r="M3220" s="7">
        <v>323.3</v>
      </c>
      <c r="N3220" s="7">
        <v>233.8</v>
      </c>
      <c r="O3220" s="7">
        <v>182.8</v>
      </c>
      <c r="P3220" s="7">
        <v>472.8</v>
      </c>
      <c r="Q3220" s="7">
        <v>331.1</v>
      </c>
      <c r="R3220" s="7">
        <v>259.60000000000002</v>
      </c>
      <c r="S3220" s="7">
        <v>265.10000000000002</v>
      </c>
    </row>
    <row r="3221" spans="1:19" x14ac:dyDescent="0.2">
      <c r="A3221">
        <v>3220</v>
      </c>
      <c r="B3221" s="1">
        <v>40809</v>
      </c>
      <c r="C3221" t="s">
        <v>24</v>
      </c>
      <c r="D3221" s="7">
        <v>71</v>
      </c>
      <c r="E3221" s="7">
        <v>11</v>
      </c>
      <c r="F3221" s="7">
        <f t="shared" si="50"/>
        <v>6</v>
      </c>
      <c r="G3221" s="7" t="str">
        <f>LOOKUP(H3221,[1]startdates!$A$2:$A$10,[1]startdates!$B$2:$B$10)</f>
        <v>FMr</v>
      </c>
      <c r="H3221">
        <v>7</v>
      </c>
      <c r="I3221" s="7">
        <v>606.1</v>
      </c>
      <c r="K3221" s="7">
        <v>533.70000000000005</v>
      </c>
      <c r="L3221" s="7">
        <v>450.4</v>
      </c>
      <c r="M3221" s="7">
        <v>279</v>
      </c>
      <c r="N3221" s="7">
        <v>196.8</v>
      </c>
      <c r="O3221" s="7">
        <v>182.2</v>
      </c>
      <c r="P3221" s="7">
        <v>508.3</v>
      </c>
      <c r="Q3221" s="7">
        <v>415.3</v>
      </c>
      <c r="S3221" s="7">
        <v>256.89999999999998</v>
      </c>
    </row>
    <row r="3222" spans="1:19" x14ac:dyDescent="0.2">
      <c r="A3222">
        <v>3221</v>
      </c>
      <c r="B3222" s="1">
        <v>40809</v>
      </c>
      <c r="C3222" t="s">
        <v>24</v>
      </c>
      <c r="D3222" s="7">
        <v>71</v>
      </c>
      <c r="E3222" s="7">
        <v>11</v>
      </c>
      <c r="F3222" s="7">
        <f t="shared" si="50"/>
        <v>6</v>
      </c>
      <c r="G3222" s="7" t="str">
        <f>LOOKUP(H3222,[1]startdates!$A$2:$A$10,[1]startdates!$B$2:$B$10)</f>
        <v>FMr</v>
      </c>
      <c r="H3222">
        <v>7</v>
      </c>
      <c r="I3222" s="7">
        <v>711.3</v>
      </c>
      <c r="K3222" s="7">
        <v>485.4</v>
      </c>
      <c r="L3222" s="7">
        <v>433.4</v>
      </c>
      <c r="M3222" s="7">
        <v>341.3</v>
      </c>
      <c r="N3222" s="7">
        <v>258.5</v>
      </c>
      <c r="O3222" s="7">
        <v>194</v>
      </c>
      <c r="P3222" s="7">
        <v>508.6</v>
      </c>
      <c r="S3222" s="7">
        <v>267.2</v>
      </c>
    </row>
    <row r="3223" spans="1:19" x14ac:dyDescent="0.2">
      <c r="A3223">
        <v>3222</v>
      </c>
      <c r="B3223" s="1">
        <v>40809</v>
      </c>
      <c r="C3223" t="s">
        <v>24</v>
      </c>
      <c r="D3223" s="7">
        <v>71</v>
      </c>
      <c r="E3223" s="7">
        <v>11</v>
      </c>
      <c r="F3223" s="7">
        <f t="shared" si="50"/>
        <v>6</v>
      </c>
      <c r="G3223" s="7" t="str">
        <f>LOOKUP(H3223,[1]startdates!$A$2:$A$10,[1]startdates!$B$2:$B$10)</f>
        <v>FMr</v>
      </c>
      <c r="H3223">
        <v>7</v>
      </c>
      <c r="I3223" s="7">
        <v>668.6</v>
      </c>
      <c r="K3223" s="7">
        <v>569.4</v>
      </c>
      <c r="M3223" s="7">
        <v>363.7</v>
      </c>
      <c r="N3223" s="7">
        <v>220.9</v>
      </c>
      <c r="O3223" s="7">
        <v>176.5</v>
      </c>
    </row>
    <row r="3224" spans="1:19" x14ac:dyDescent="0.2">
      <c r="A3224">
        <v>3223</v>
      </c>
      <c r="B3224" s="1">
        <v>40809</v>
      </c>
      <c r="C3224" t="s">
        <v>24</v>
      </c>
      <c r="D3224" s="7">
        <v>71</v>
      </c>
      <c r="E3224" s="7">
        <v>11</v>
      </c>
      <c r="F3224" s="7">
        <f t="shared" si="50"/>
        <v>6</v>
      </c>
      <c r="G3224" s="7" t="str">
        <f>LOOKUP(H3224,[1]startdates!$A$2:$A$10,[1]startdates!$B$2:$B$10)</f>
        <v>FMr</v>
      </c>
      <c r="H3224">
        <v>7</v>
      </c>
      <c r="I3224" s="7">
        <v>619.9</v>
      </c>
      <c r="K3224" s="7">
        <v>544</v>
      </c>
      <c r="N3224" s="7">
        <v>218.3</v>
      </c>
      <c r="O3224" s="7">
        <v>170.2</v>
      </c>
    </row>
    <row r="3225" spans="1:19" x14ac:dyDescent="0.2">
      <c r="A3225">
        <v>3224</v>
      </c>
      <c r="B3225" s="1">
        <v>40809</v>
      </c>
      <c r="C3225" t="s">
        <v>24</v>
      </c>
      <c r="D3225" s="7">
        <v>71</v>
      </c>
      <c r="E3225" s="7">
        <v>11</v>
      </c>
      <c r="F3225" s="7">
        <f t="shared" si="50"/>
        <v>6</v>
      </c>
      <c r="G3225" s="7" t="str">
        <f>LOOKUP(H3225,[1]startdates!$A$2:$A$10,[1]startdates!$B$2:$B$10)</f>
        <v>FMr</v>
      </c>
      <c r="H3225">
        <v>7</v>
      </c>
      <c r="I3225" s="7">
        <v>544</v>
      </c>
      <c r="K3225" s="7">
        <v>510.9</v>
      </c>
      <c r="N3225" s="7">
        <v>244.1</v>
      </c>
      <c r="O3225" s="7">
        <v>158.30000000000001</v>
      </c>
    </row>
    <row r="3226" spans="1:19" x14ac:dyDescent="0.2">
      <c r="A3226">
        <v>3225</v>
      </c>
      <c r="B3226" s="1">
        <v>40809</v>
      </c>
      <c r="C3226" t="s">
        <v>24</v>
      </c>
      <c r="D3226" s="7">
        <v>71</v>
      </c>
      <c r="E3226" s="7">
        <v>11</v>
      </c>
      <c r="F3226" s="7">
        <f t="shared" si="50"/>
        <v>6</v>
      </c>
      <c r="G3226" s="7" t="str">
        <f>LOOKUP(H3226,[1]startdates!$A$2:$A$10,[1]startdates!$B$2:$B$10)</f>
        <v>FMr</v>
      </c>
      <c r="H3226">
        <v>7</v>
      </c>
      <c r="I3226" s="7">
        <v>675.1</v>
      </c>
      <c r="K3226" s="7">
        <v>478.8</v>
      </c>
      <c r="N3226" s="7">
        <v>220.7</v>
      </c>
      <c r="O3226" s="7">
        <v>154.6</v>
      </c>
    </row>
    <row r="3227" spans="1:19" x14ac:dyDescent="0.2">
      <c r="A3227">
        <v>3226</v>
      </c>
      <c r="B3227" s="1">
        <v>40809</v>
      </c>
      <c r="C3227" t="s">
        <v>24</v>
      </c>
      <c r="D3227" s="7">
        <v>71</v>
      </c>
      <c r="E3227" s="7">
        <v>11</v>
      </c>
      <c r="F3227" s="7">
        <f t="shared" si="50"/>
        <v>6</v>
      </c>
      <c r="G3227" s="7" t="str">
        <f>LOOKUP(H3227,[1]startdates!$A$2:$A$10,[1]startdates!$B$2:$B$10)</f>
        <v>FMr</v>
      </c>
      <c r="H3227">
        <v>7</v>
      </c>
      <c r="I3227" s="7">
        <v>538</v>
      </c>
      <c r="K3227" s="7">
        <v>498.7</v>
      </c>
      <c r="N3227" s="7">
        <v>222.4</v>
      </c>
      <c r="O3227" s="7">
        <v>202.6</v>
      </c>
    </row>
    <row r="3228" spans="1:19" x14ac:dyDescent="0.2">
      <c r="A3228">
        <v>3227</v>
      </c>
      <c r="B3228" s="1">
        <v>40809</v>
      </c>
      <c r="C3228" t="s">
        <v>24</v>
      </c>
      <c r="D3228" s="7">
        <v>71</v>
      </c>
      <c r="E3228" s="7">
        <v>11</v>
      </c>
      <c r="F3228" s="7">
        <f t="shared" si="50"/>
        <v>6</v>
      </c>
      <c r="G3228" s="7" t="str">
        <f>LOOKUP(H3228,[1]startdates!$A$2:$A$10,[1]startdates!$B$2:$B$10)</f>
        <v>FMr</v>
      </c>
      <c r="H3228">
        <v>7</v>
      </c>
      <c r="I3228" s="7">
        <v>623.29999999999995</v>
      </c>
      <c r="K3228" s="7">
        <v>566.1</v>
      </c>
      <c r="N3228" s="7">
        <v>212.7</v>
      </c>
      <c r="O3228" s="7">
        <v>172.5</v>
      </c>
    </row>
    <row r="3229" spans="1:19" x14ac:dyDescent="0.2">
      <c r="A3229">
        <v>3228</v>
      </c>
      <c r="B3229" s="1">
        <v>40809</v>
      </c>
      <c r="C3229" t="s">
        <v>24</v>
      </c>
      <c r="D3229" s="7">
        <v>71</v>
      </c>
      <c r="E3229" s="7">
        <v>11</v>
      </c>
      <c r="F3229" s="7">
        <f t="shared" si="50"/>
        <v>6</v>
      </c>
      <c r="G3229" s="7" t="str">
        <f>LOOKUP(H3229,[1]startdates!$A$2:$A$10,[1]startdates!$B$2:$B$10)</f>
        <v>FMr</v>
      </c>
      <c r="H3229">
        <v>7</v>
      </c>
      <c r="I3229" s="7">
        <v>581.4</v>
      </c>
      <c r="N3229" s="7">
        <v>230.7</v>
      </c>
      <c r="O3229" s="7">
        <v>164.9</v>
      </c>
    </row>
    <row r="3230" spans="1:19" x14ac:dyDescent="0.2">
      <c r="A3230">
        <v>3229</v>
      </c>
      <c r="B3230" s="1">
        <v>40809</v>
      </c>
      <c r="C3230" t="s">
        <v>24</v>
      </c>
      <c r="D3230" s="7">
        <v>71</v>
      </c>
      <c r="E3230" s="7">
        <v>11</v>
      </c>
      <c r="F3230" s="7">
        <f t="shared" si="50"/>
        <v>6</v>
      </c>
      <c r="G3230" s="7" t="str">
        <f>LOOKUP(H3230,[1]startdates!$A$2:$A$10,[1]startdates!$B$2:$B$10)</f>
        <v>FMr</v>
      </c>
      <c r="H3230">
        <v>7</v>
      </c>
      <c r="I3230" s="7">
        <v>578.79999999999995</v>
      </c>
      <c r="O3230" s="7">
        <v>184.9</v>
      </c>
    </row>
    <row r="3231" spans="1:19" x14ac:dyDescent="0.2">
      <c r="A3231">
        <v>3230</v>
      </c>
      <c r="B3231" s="1">
        <v>40809</v>
      </c>
      <c r="C3231" t="s">
        <v>28</v>
      </c>
      <c r="D3231" s="7">
        <v>71</v>
      </c>
      <c r="E3231" s="7">
        <v>11</v>
      </c>
      <c r="F3231" s="7">
        <f t="shared" si="50"/>
        <v>6</v>
      </c>
      <c r="G3231" s="7" t="str">
        <f>LOOKUP(H3231,[1]startdates!$A$2:$A$10,[1]startdates!$B$2:$B$10)</f>
        <v>C</v>
      </c>
      <c r="H3231">
        <v>8</v>
      </c>
      <c r="I3231" s="7">
        <v>682.6</v>
      </c>
      <c r="J3231" s="7">
        <v>577.5</v>
      </c>
      <c r="K3231" s="7">
        <v>537.70000000000005</v>
      </c>
      <c r="L3231" s="7">
        <v>498.3</v>
      </c>
      <c r="M3231" s="7">
        <v>328.4</v>
      </c>
      <c r="N3231" s="7">
        <v>273.2</v>
      </c>
      <c r="O3231" s="7">
        <v>161.69999999999999</v>
      </c>
      <c r="S3231" s="7">
        <v>277.89999999999998</v>
      </c>
    </row>
    <row r="3232" spans="1:19" x14ac:dyDescent="0.2">
      <c r="A3232">
        <v>3231</v>
      </c>
      <c r="B3232" s="1">
        <v>40809</v>
      </c>
      <c r="C3232" t="s">
        <v>28</v>
      </c>
      <c r="D3232" s="7">
        <v>71</v>
      </c>
      <c r="E3232" s="7">
        <v>11</v>
      </c>
      <c r="F3232" s="7">
        <f t="shared" si="50"/>
        <v>6</v>
      </c>
      <c r="G3232" s="7" t="str">
        <f>LOOKUP(H3232,[1]startdates!$A$2:$A$10,[1]startdates!$B$2:$B$10)</f>
        <v>C</v>
      </c>
      <c r="H3232">
        <v>8</v>
      </c>
      <c r="I3232" s="7">
        <v>647</v>
      </c>
      <c r="J3232" s="7">
        <v>527.1</v>
      </c>
      <c r="K3232" s="7">
        <v>422.5</v>
      </c>
      <c r="L3232" s="7">
        <v>427.7</v>
      </c>
      <c r="M3232" s="7">
        <v>333.4</v>
      </c>
      <c r="N3232" s="7">
        <v>285.89999999999998</v>
      </c>
      <c r="O3232" s="7">
        <v>162.69999999999999</v>
      </c>
      <c r="S3232" s="7">
        <v>309.39999999999998</v>
      </c>
    </row>
    <row r="3233" spans="1:19" x14ac:dyDescent="0.2">
      <c r="A3233">
        <v>3232</v>
      </c>
      <c r="B3233" s="1">
        <v>40809</v>
      </c>
      <c r="C3233" t="s">
        <v>28</v>
      </c>
      <c r="D3233" s="7">
        <v>71</v>
      </c>
      <c r="E3233" s="7">
        <v>11</v>
      </c>
      <c r="F3233" s="7">
        <f t="shared" si="50"/>
        <v>6</v>
      </c>
      <c r="G3233" s="7" t="str">
        <f>LOOKUP(H3233,[1]startdates!$A$2:$A$10,[1]startdates!$B$2:$B$10)</f>
        <v>C</v>
      </c>
      <c r="H3233">
        <v>8</v>
      </c>
      <c r="I3233" s="7">
        <v>610.29999999999995</v>
      </c>
      <c r="K3233" s="7">
        <v>660.3</v>
      </c>
      <c r="M3233" s="7">
        <v>307.2</v>
      </c>
      <c r="N3233" s="7">
        <v>266.8</v>
      </c>
      <c r="O3233" s="7">
        <v>153.80000000000001</v>
      </c>
      <c r="S3233" s="7">
        <v>273.3</v>
      </c>
    </row>
    <row r="3234" spans="1:19" x14ac:dyDescent="0.2">
      <c r="A3234">
        <v>3233</v>
      </c>
      <c r="B3234" s="1">
        <v>40809</v>
      </c>
      <c r="C3234" t="s">
        <v>28</v>
      </c>
      <c r="D3234" s="7">
        <v>71</v>
      </c>
      <c r="E3234" s="7">
        <v>11</v>
      </c>
      <c r="F3234" s="7">
        <f t="shared" si="50"/>
        <v>6</v>
      </c>
      <c r="G3234" s="7" t="str">
        <f>LOOKUP(H3234,[1]startdates!$A$2:$A$10,[1]startdates!$B$2:$B$10)</f>
        <v>C</v>
      </c>
      <c r="H3234">
        <v>8</v>
      </c>
      <c r="I3234" s="7">
        <v>671.9</v>
      </c>
      <c r="K3234" s="7">
        <v>661.9</v>
      </c>
      <c r="M3234" s="7">
        <v>353.8</v>
      </c>
      <c r="N3234" s="7">
        <v>225.4</v>
      </c>
      <c r="O3234" s="7">
        <v>162.69999999999999</v>
      </c>
      <c r="S3234" s="7">
        <v>272.5</v>
      </c>
    </row>
    <row r="3235" spans="1:19" x14ac:dyDescent="0.2">
      <c r="A3235">
        <v>3234</v>
      </c>
      <c r="B3235" s="1">
        <v>40809</v>
      </c>
      <c r="C3235" t="s">
        <v>28</v>
      </c>
      <c r="D3235" s="7">
        <v>71</v>
      </c>
      <c r="E3235" s="7">
        <v>11</v>
      </c>
      <c r="F3235" s="7">
        <f t="shared" si="50"/>
        <v>6</v>
      </c>
      <c r="G3235" s="7" t="str">
        <f>LOOKUP(H3235,[1]startdates!$A$2:$A$10,[1]startdates!$B$2:$B$10)</f>
        <v>C</v>
      </c>
      <c r="H3235">
        <v>8</v>
      </c>
      <c r="I3235" s="7">
        <v>724</v>
      </c>
      <c r="K3235" s="7">
        <v>668.6</v>
      </c>
      <c r="M3235" s="7">
        <v>302.3</v>
      </c>
      <c r="N3235" s="7">
        <v>219.7</v>
      </c>
      <c r="O3235" s="7">
        <v>150.19999999999999</v>
      </c>
      <c r="S3235" s="7">
        <v>258.7</v>
      </c>
    </row>
    <row r="3236" spans="1:19" x14ac:dyDescent="0.2">
      <c r="A3236">
        <v>3235</v>
      </c>
      <c r="B3236" s="1">
        <v>40809</v>
      </c>
      <c r="C3236" t="s">
        <v>28</v>
      </c>
      <c r="D3236" s="7">
        <v>71</v>
      </c>
      <c r="E3236" s="7">
        <v>11</v>
      </c>
      <c r="F3236" s="7">
        <f t="shared" si="50"/>
        <v>6</v>
      </c>
      <c r="G3236" s="7" t="str">
        <f>LOOKUP(H3236,[1]startdates!$A$2:$A$10,[1]startdates!$B$2:$B$10)</f>
        <v>C</v>
      </c>
      <c r="H3236">
        <v>8</v>
      </c>
      <c r="I3236" s="7">
        <v>726.9</v>
      </c>
      <c r="M3236" s="7">
        <v>341.7</v>
      </c>
      <c r="N3236" s="7">
        <v>234.8</v>
      </c>
      <c r="O3236" s="7">
        <v>163.5</v>
      </c>
      <c r="S3236" s="7">
        <v>309.10000000000002</v>
      </c>
    </row>
    <row r="3237" spans="1:19" x14ac:dyDescent="0.2">
      <c r="A3237">
        <v>3236</v>
      </c>
      <c r="B3237" s="1">
        <v>40809</v>
      </c>
      <c r="C3237" t="s">
        <v>28</v>
      </c>
      <c r="D3237" s="7">
        <v>71</v>
      </c>
      <c r="E3237" s="7">
        <v>11</v>
      </c>
      <c r="F3237" s="7">
        <f t="shared" si="50"/>
        <v>6</v>
      </c>
      <c r="G3237" s="7" t="str">
        <f>LOOKUP(H3237,[1]startdates!$A$2:$A$10,[1]startdates!$B$2:$B$10)</f>
        <v>C</v>
      </c>
      <c r="H3237">
        <v>8</v>
      </c>
      <c r="I3237" s="7">
        <v>780.8</v>
      </c>
      <c r="M3237" s="7">
        <v>318.60000000000002</v>
      </c>
      <c r="N3237" s="7">
        <v>288.8</v>
      </c>
      <c r="O3237" s="7">
        <v>164.7</v>
      </c>
      <c r="S3237" s="7">
        <v>286.8</v>
      </c>
    </row>
    <row r="3238" spans="1:19" x14ac:dyDescent="0.2">
      <c r="A3238">
        <v>3237</v>
      </c>
      <c r="B3238" s="1">
        <v>40809</v>
      </c>
      <c r="C3238" t="s">
        <v>28</v>
      </c>
      <c r="D3238" s="7">
        <v>71</v>
      </c>
      <c r="E3238" s="7">
        <v>11</v>
      </c>
      <c r="F3238" s="7">
        <f t="shared" si="50"/>
        <v>6</v>
      </c>
      <c r="G3238" s="7" t="str">
        <f>LOOKUP(H3238,[1]startdates!$A$2:$A$10,[1]startdates!$B$2:$B$10)</f>
        <v>C</v>
      </c>
      <c r="H3238">
        <v>8</v>
      </c>
      <c r="I3238" s="7">
        <v>523</v>
      </c>
      <c r="M3238" s="7">
        <v>310.39999999999998</v>
      </c>
      <c r="N3238" s="7">
        <v>247</v>
      </c>
      <c r="O3238" s="7">
        <v>166.1</v>
      </c>
      <c r="S3238" s="7">
        <v>302.3</v>
      </c>
    </row>
    <row r="3239" spans="1:19" x14ac:dyDescent="0.2">
      <c r="A3239">
        <v>3238</v>
      </c>
      <c r="B3239" s="1">
        <v>40809</v>
      </c>
      <c r="C3239" t="s">
        <v>28</v>
      </c>
      <c r="D3239" s="7">
        <v>71</v>
      </c>
      <c r="E3239" s="7">
        <v>11</v>
      </c>
      <c r="F3239" s="7">
        <f t="shared" si="50"/>
        <v>6</v>
      </c>
      <c r="G3239" s="7" t="str">
        <f>LOOKUP(H3239,[1]startdates!$A$2:$A$10,[1]startdates!$B$2:$B$10)</f>
        <v>C</v>
      </c>
      <c r="H3239">
        <v>8</v>
      </c>
      <c r="M3239" s="7">
        <v>348</v>
      </c>
      <c r="N3239" s="7">
        <v>250.8</v>
      </c>
      <c r="O3239" s="7">
        <v>167.9</v>
      </c>
    </row>
    <row r="3240" spans="1:19" x14ac:dyDescent="0.2">
      <c r="A3240">
        <v>3239</v>
      </c>
      <c r="B3240" s="1">
        <v>40809</v>
      </c>
      <c r="C3240" t="s">
        <v>28</v>
      </c>
      <c r="D3240" s="7">
        <v>71</v>
      </c>
      <c r="E3240" s="7">
        <v>11</v>
      </c>
      <c r="F3240" s="7">
        <f t="shared" si="50"/>
        <v>6</v>
      </c>
      <c r="G3240" s="7" t="str">
        <f>LOOKUP(H3240,[1]startdates!$A$2:$A$10,[1]startdates!$B$2:$B$10)</f>
        <v>C</v>
      </c>
      <c r="H3240">
        <v>8</v>
      </c>
      <c r="M3240" s="7">
        <v>339.4</v>
      </c>
      <c r="N3240" s="7">
        <v>236.7</v>
      </c>
      <c r="O3240" s="7">
        <v>184.7</v>
      </c>
    </row>
    <row r="3241" spans="1:19" x14ac:dyDescent="0.2">
      <c r="A3241">
        <v>3240</v>
      </c>
      <c r="B3241" s="1">
        <v>40809</v>
      </c>
      <c r="C3241" t="s">
        <v>28</v>
      </c>
      <c r="D3241" s="7">
        <v>71</v>
      </c>
      <c r="E3241" s="7">
        <v>11</v>
      </c>
      <c r="F3241" s="7">
        <f t="shared" ref="F3241:F3304" si="51">WEEKDAY(B3241)</f>
        <v>6</v>
      </c>
      <c r="G3241" s="7" t="str">
        <f>LOOKUP(H3241,[1]startdates!$A$2:$A$10,[1]startdates!$B$2:$B$10)</f>
        <v>C</v>
      </c>
      <c r="H3241">
        <v>8</v>
      </c>
      <c r="M3241" s="7">
        <v>370</v>
      </c>
    </row>
    <row r="3242" spans="1:19" x14ac:dyDescent="0.2">
      <c r="A3242">
        <v>3241</v>
      </c>
      <c r="B3242" s="1">
        <v>40809</v>
      </c>
      <c r="C3242" t="s">
        <v>28</v>
      </c>
      <c r="D3242" s="7">
        <v>71</v>
      </c>
      <c r="E3242" s="7">
        <v>11</v>
      </c>
      <c r="F3242" s="7">
        <f t="shared" si="51"/>
        <v>6</v>
      </c>
      <c r="G3242" s="7" t="str">
        <f>LOOKUP(H3242,[1]startdates!$A$2:$A$10,[1]startdates!$B$2:$B$10)</f>
        <v>C</v>
      </c>
      <c r="H3242">
        <v>8</v>
      </c>
      <c r="M3242" s="7">
        <v>359.6</v>
      </c>
    </row>
    <row r="3243" spans="1:19" x14ac:dyDescent="0.2">
      <c r="A3243">
        <v>3242</v>
      </c>
      <c r="B3243" s="1">
        <v>40809</v>
      </c>
      <c r="C3243" t="s">
        <v>24</v>
      </c>
      <c r="D3243" s="7">
        <v>71</v>
      </c>
      <c r="E3243" s="7">
        <v>11</v>
      </c>
      <c r="F3243" s="7">
        <f t="shared" si="51"/>
        <v>6</v>
      </c>
      <c r="G3243" s="7" t="str">
        <f>LOOKUP(H3243,[1]startdates!$A$2:$A$10,[1]startdates!$B$2:$B$10)</f>
        <v>FMr</v>
      </c>
      <c r="H3243">
        <v>9</v>
      </c>
      <c r="I3243" s="7">
        <v>719.9</v>
      </c>
      <c r="J3243" s="7">
        <v>538.6</v>
      </c>
      <c r="K3243" s="7">
        <v>626.4</v>
      </c>
      <c r="L3243" s="7">
        <v>438.5</v>
      </c>
      <c r="M3243" s="7">
        <v>339.5</v>
      </c>
      <c r="N3243" s="7">
        <v>228.7</v>
      </c>
      <c r="O3243" s="7">
        <v>187.7</v>
      </c>
      <c r="P3243" s="7">
        <v>482</v>
      </c>
      <c r="Q3243" s="7">
        <v>368.3</v>
      </c>
      <c r="R3243" s="7">
        <v>276.39999999999998</v>
      </c>
    </row>
    <row r="3244" spans="1:19" x14ac:dyDescent="0.2">
      <c r="A3244">
        <v>3243</v>
      </c>
      <c r="B3244" s="1">
        <v>40809</v>
      </c>
      <c r="C3244" t="s">
        <v>24</v>
      </c>
      <c r="D3244" s="7">
        <v>71</v>
      </c>
      <c r="E3244" s="7">
        <v>11</v>
      </c>
      <c r="F3244" s="7">
        <f t="shared" si="51"/>
        <v>6</v>
      </c>
      <c r="G3244" s="7" t="str">
        <f>LOOKUP(H3244,[1]startdates!$A$2:$A$10,[1]startdates!$B$2:$B$10)</f>
        <v>FMr</v>
      </c>
      <c r="H3244">
        <v>9</v>
      </c>
      <c r="I3244" s="7">
        <v>630.6</v>
      </c>
      <c r="K3244" s="7">
        <v>572.79999999999995</v>
      </c>
      <c r="L3244" s="7">
        <v>402.9</v>
      </c>
      <c r="M3244" s="7">
        <v>361.7</v>
      </c>
      <c r="N3244" s="7">
        <v>278.60000000000002</v>
      </c>
      <c r="O3244" s="7">
        <v>207</v>
      </c>
      <c r="Q3244" s="7">
        <v>406.1</v>
      </c>
      <c r="R3244" s="7">
        <v>301</v>
      </c>
    </row>
    <row r="3245" spans="1:19" x14ac:dyDescent="0.2">
      <c r="A3245">
        <v>3244</v>
      </c>
      <c r="B3245" s="1">
        <v>40809</v>
      </c>
      <c r="C3245" t="s">
        <v>24</v>
      </c>
      <c r="D3245" s="7">
        <v>71</v>
      </c>
      <c r="E3245" s="7">
        <v>11</v>
      </c>
      <c r="F3245" s="7">
        <f t="shared" si="51"/>
        <v>6</v>
      </c>
      <c r="G3245" s="7" t="str">
        <f>LOOKUP(H3245,[1]startdates!$A$2:$A$10,[1]startdates!$B$2:$B$10)</f>
        <v>FMr</v>
      </c>
      <c r="H3245">
        <v>9</v>
      </c>
      <c r="I3245" s="7">
        <v>640.4</v>
      </c>
      <c r="K3245" s="7">
        <v>534.20000000000005</v>
      </c>
      <c r="L3245" s="7">
        <v>344.8</v>
      </c>
      <c r="M3245" s="7">
        <v>342.8</v>
      </c>
      <c r="N3245" s="7">
        <v>214.5</v>
      </c>
      <c r="O3245" s="7">
        <v>175.5</v>
      </c>
      <c r="R3245" s="7">
        <v>293.7</v>
      </c>
    </row>
    <row r="3246" spans="1:19" x14ac:dyDescent="0.2">
      <c r="A3246">
        <v>3245</v>
      </c>
      <c r="B3246" s="1">
        <v>40809</v>
      </c>
      <c r="C3246" t="s">
        <v>24</v>
      </c>
      <c r="D3246" s="7">
        <v>71</v>
      </c>
      <c r="E3246" s="7">
        <v>11</v>
      </c>
      <c r="F3246" s="7">
        <f t="shared" si="51"/>
        <v>6</v>
      </c>
      <c r="G3246" s="7" t="str">
        <f>LOOKUP(H3246,[1]startdates!$A$2:$A$10,[1]startdates!$B$2:$B$10)</f>
        <v>FMr</v>
      </c>
      <c r="H3246">
        <v>9</v>
      </c>
      <c r="I3246" s="7">
        <v>530.6</v>
      </c>
      <c r="K3246" s="7">
        <v>665.3</v>
      </c>
      <c r="L3246" s="7">
        <v>462.8</v>
      </c>
      <c r="M3246" s="7">
        <v>252.5</v>
      </c>
      <c r="N3246" s="7">
        <v>231.9</v>
      </c>
      <c r="O3246" s="7">
        <v>172.5</v>
      </c>
      <c r="R3246" s="7">
        <v>273.7</v>
      </c>
    </row>
    <row r="3247" spans="1:19" x14ac:dyDescent="0.2">
      <c r="A3247">
        <v>3246</v>
      </c>
      <c r="B3247" s="1">
        <v>40809</v>
      </c>
      <c r="C3247" t="s">
        <v>24</v>
      </c>
      <c r="D3247" s="7">
        <v>71</v>
      </c>
      <c r="E3247" s="7">
        <v>11</v>
      </c>
      <c r="F3247" s="7">
        <f t="shared" si="51"/>
        <v>6</v>
      </c>
      <c r="G3247" s="7" t="str">
        <f>LOOKUP(H3247,[1]startdates!$A$2:$A$10,[1]startdates!$B$2:$B$10)</f>
        <v>FMr</v>
      </c>
      <c r="H3247">
        <v>9</v>
      </c>
      <c r="I3247" s="7">
        <v>508.9</v>
      </c>
      <c r="K3247" s="7">
        <v>591.70000000000005</v>
      </c>
      <c r="L3247" s="7">
        <v>380.4</v>
      </c>
      <c r="M3247" s="7">
        <v>271.2</v>
      </c>
      <c r="N3247" s="7">
        <v>236.3</v>
      </c>
      <c r="O3247" s="7">
        <v>195.7</v>
      </c>
    </row>
    <row r="3248" spans="1:19" x14ac:dyDescent="0.2">
      <c r="A3248">
        <v>3247</v>
      </c>
      <c r="B3248" s="1">
        <v>40809</v>
      </c>
      <c r="C3248" t="s">
        <v>24</v>
      </c>
      <c r="D3248" s="7">
        <v>71</v>
      </c>
      <c r="E3248" s="7">
        <v>11</v>
      </c>
      <c r="F3248" s="7">
        <f t="shared" si="51"/>
        <v>6</v>
      </c>
      <c r="G3248" s="7" t="str">
        <f>LOOKUP(H3248,[1]startdates!$A$2:$A$10,[1]startdates!$B$2:$B$10)</f>
        <v>FMr</v>
      </c>
      <c r="H3248">
        <v>9</v>
      </c>
      <c r="I3248" s="7">
        <v>658</v>
      </c>
      <c r="K3248" s="7">
        <v>626.20000000000005</v>
      </c>
      <c r="M3248" s="7">
        <v>247.7</v>
      </c>
      <c r="N3248" s="7">
        <v>218.7</v>
      </c>
      <c r="O3248" s="7">
        <v>179.5</v>
      </c>
    </row>
    <row r="3249" spans="1:21" x14ac:dyDescent="0.2">
      <c r="A3249">
        <v>3248</v>
      </c>
      <c r="B3249" s="1">
        <v>40809</v>
      </c>
      <c r="C3249" t="s">
        <v>24</v>
      </c>
      <c r="D3249" s="7">
        <v>71</v>
      </c>
      <c r="E3249" s="7">
        <v>11</v>
      </c>
      <c r="F3249" s="7">
        <f t="shared" si="51"/>
        <v>6</v>
      </c>
      <c r="G3249" s="7" t="str">
        <f>LOOKUP(H3249,[1]startdates!$A$2:$A$10,[1]startdates!$B$2:$B$10)</f>
        <v>FMr</v>
      </c>
      <c r="H3249">
        <v>9</v>
      </c>
      <c r="I3249" s="7">
        <v>647.70000000000005</v>
      </c>
      <c r="K3249" s="7">
        <v>454.1</v>
      </c>
      <c r="N3249" s="7">
        <v>207.5</v>
      </c>
      <c r="O3249" s="7">
        <v>151.4</v>
      </c>
    </row>
    <row r="3250" spans="1:21" x14ac:dyDescent="0.2">
      <c r="A3250">
        <v>3249</v>
      </c>
      <c r="B3250" s="1">
        <v>40809</v>
      </c>
      <c r="C3250" t="s">
        <v>24</v>
      </c>
      <c r="D3250" s="7">
        <v>71</v>
      </c>
      <c r="E3250" s="7">
        <v>11</v>
      </c>
      <c r="F3250" s="7">
        <f t="shared" si="51"/>
        <v>6</v>
      </c>
      <c r="G3250" s="7" t="str">
        <f>LOOKUP(H3250,[1]startdates!$A$2:$A$10,[1]startdates!$B$2:$B$10)</f>
        <v>FMr</v>
      </c>
      <c r="H3250">
        <v>9</v>
      </c>
      <c r="I3250" s="7">
        <v>627.79999999999995</v>
      </c>
      <c r="K3250" s="7">
        <v>568.4</v>
      </c>
      <c r="N3250" s="7">
        <v>209.3</v>
      </c>
      <c r="O3250" s="7">
        <v>185.7</v>
      </c>
    </row>
    <row r="3251" spans="1:21" x14ac:dyDescent="0.2">
      <c r="A3251">
        <v>3250</v>
      </c>
      <c r="B3251" s="1">
        <v>40809</v>
      </c>
      <c r="C3251" t="s">
        <v>24</v>
      </c>
      <c r="D3251" s="7">
        <v>71</v>
      </c>
      <c r="E3251" s="7">
        <v>11</v>
      </c>
      <c r="F3251" s="7">
        <f t="shared" si="51"/>
        <v>6</v>
      </c>
      <c r="G3251" s="7" t="str">
        <f>LOOKUP(H3251,[1]startdates!$A$2:$A$10,[1]startdates!$B$2:$B$10)</f>
        <v>FMr</v>
      </c>
      <c r="H3251">
        <v>9</v>
      </c>
      <c r="I3251" s="7">
        <v>610.70000000000005</v>
      </c>
      <c r="K3251" s="7">
        <v>653</v>
      </c>
      <c r="N3251" s="7">
        <v>259</v>
      </c>
      <c r="O3251" s="7">
        <v>173.7</v>
      </c>
    </row>
    <row r="3252" spans="1:21" x14ac:dyDescent="0.2">
      <c r="A3252">
        <v>3251</v>
      </c>
      <c r="B3252" s="1">
        <v>40809</v>
      </c>
      <c r="C3252" t="s">
        <v>24</v>
      </c>
      <c r="D3252" s="7">
        <v>71</v>
      </c>
      <c r="E3252" s="7">
        <v>11</v>
      </c>
      <c r="F3252" s="7">
        <f t="shared" si="51"/>
        <v>6</v>
      </c>
      <c r="G3252" s="7" t="str">
        <f>LOOKUP(H3252,[1]startdates!$A$2:$A$10,[1]startdates!$B$2:$B$10)</f>
        <v>FMr</v>
      </c>
      <c r="H3252">
        <v>9</v>
      </c>
      <c r="I3252" s="7">
        <v>727.4</v>
      </c>
      <c r="K3252" s="7">
        <v>474.8</v>
      </c>
      <c r="N3252" s="7">
        <v>234.9</v>
      </c>
      <c r="O3252" s="7">
        <v>171.3</v>
      </c>
    </row>
    <row r="3253" spans="1:21" x14ac:dyDescent="0.2">
      <c r="A3253">
        <v>3252</v>
      </c>
      <c r="B3253" s="1">
        <v>40809</v>
      </c>
      <c r="C3253" t="s">
        <v>24</v>
      </c>
      <c r="D3253" s="7">
        <v>71</v>
      </c>
      <c r="E3253" s="7">
        <v>11</v>
      </c>
      <c r="F3253" s="7">
        <f t="shared" si="51"/>
        <v>6</v>
      </c>
      <c r="G3253" s="7" t="str">
        <f>LOOKUP(H3253,[1]startdates!$A$2:$A$10,[1]startdates!$B$2:$B$10)</f>
        <v>FMr</v>
      </c>
      <c r="H3253">
        <v>9</v>
      </c>
      <c r="I3253" s="7">
        <v>684.6</v>
      </c>
      <c r="K3253" s="7">
        <v>551.79999999999995</v>
      </c>
      <c r="N3253" s="7">
        <v>205.3</v>
      </c>
      <c r="O3253" s="7">
        <v>173.3</v>
      </c>
    </row>
    <row r="3254" spans="1:21" x14ac:dyDescent="0.2">
      <c r="A3254">
        <v>3253</v>
      </c>
      <c r="B3254" s="1">
        <v>40809</v>
      </c>
      <c r="C3254" t="s">
        <v>24</v>
      </c>
      <c r="D3254" s="7">
        <v>71</v>
      </c>
      <c r="E3254" s="7">
        <v>11</v>
      </c>
      <c r="F3254" s="7">
        <f t="shared" si="51"/>
        <v>6</v>
      </c>
      <c r="G3254" s="7" t="str">
        <f>LOOKUP(H3254,[1]startdates!$A$2:$A$10,[1]startdates!$B$2:$B$10)</f>
        <v>FMr</v>
      </c>
      <c r="H3254">
        <v>9</v>
      </c>
      <c r="K3254" s="7">
        <v>586.70000000000005</v>
      </c>
    </row>
    <row r="3255" spans="1:21" x14ac:dyDescent="0.2">
      <c r="A3255">
        <v>3254</v>
      </c>
      <c r="B3255" s="1">
        <v>40809</v>
      </c>
      <c r="C3255" t="s">
        <v>24</v>
      </c>
      <c r="D3255" s="7">
        <v>71</v>
      </c>
      <c r="E3255" s="7">
        <v>11</v>
      </c>
      <c r="F3255" s="7">
        <f t="shared" si="51"/>
        <v>6</v>
      </c>
      <c r="G3255" s="7" t="str">
        <f>LOOKUP(H3255,[1]startdates!$A$2:$A$10,[1]startdates!$B$2:$B$10)</f>
        <v>FMr</v>
      </c>
      <c r="H3255">
        <v>9</v>
      </c>
      <c r="K3255" s="7">
        <v>572.4</v>
      </c>
    </row>
    <row r="3256" spans="1:21" x14ac:dyDescent="0.2">
      <c r="A3256">
        <v>3255</v>
      </c>
      <c r="B3256" s="1">
        <v>40809</v>
      </c>
      <c r="C3256" t="s">
        <v>24</v>
      </c>
      <c r="D3256" s="7">
        <v>71</v>
      </c>
      <c r="E3256" s="7">
        <v>11</v>
      </c>
      <c r="F3256" s="7">
        <f t="shared" si="51"/>
        <v>6</v>
      </c>
      <c r="G3256" s="7" t="str">
        <f>LOOKUP(H3256,[1]startdates!$A$2:$A$10,[1]startdates!$B$2:$B$10)</f>
        <v>FMr</v>
      </c>
      <c r="H3256">
        <v>9</v>
      </c>
      <c r="K3256" s="7">
        <v>595.5</v>
      </c>
    </row>
    <row r="3257" spans="1:21" x14ac:dyDescent="0.2">
      <c r="A3257">
        <v>3256</v>
      </c>
      <c r="B3257" s="1">
        <v>40813</v>
      </c>
      <c r="C3257" t="s">
        <v>28</v>
      </c>
      <c r="D3257" s="7">
        <v>75</v>
      </c>
      <c r="E3257" s="7">
        <v>12</v>
      </c>
      <c r="F3257" s="7">
        <f t="shared" si="51"/>
        <v>3</v>
      </c>
      <c r="G3257" s="7" t="str">
        <f>LOOKUP(H3257,[1]startdates!$A$2:$A$10,[1]startdates!$B$2:$B$10)</f>
        <v>SMr</v>
      </c>
      <c r="H3257">
        <v>1</v>
      </c>
      <c r="I3257" s="7">
        <v>645.20000000000005</v>
      </c>
      <c r="J3257" s="7">
        <v>526.9</v>
      </c>
      <c r="K3257" s="7">
        <v>546.4</v>
      </c>
      <c r="L3257" s="7">
        <v>432.2</v>
      </c>
      <c r="M3257" s="7">
        <v>333.9</v>
      </c>
      <c r="N3257" s="7">
        <v>237.7</v>
      </c>
      <c r="O3257" s="7">
        <v>163.5</v>
      </c>
      <c r="P3257" s="7">
        <v>473.8</v>
      </c>
      <c r="Q3257" s="7">
        <v>310.7</v>
      </c>
      <c r="R3257" s="7">
        <v>259.39999999999998</v>
      </c>
      <c r="S3257" s="7">
        <v>258.10000000000002</v>
      </c>
      <c r="U3257" s="7">
        <v>540.5</v>
      </c>
    </row>
    <row r="3258" spans="1:21" x14ac:dyDescent="0.2">
      <c r="A3258">
        <v>3257</v>
      </c>
      <c r="B3258" s="1">
        <v>40813</v>
      </c>
      <c r="C3258" t="s">
        <v>28</v>
      </c>
      <c r="D3258" s="7">
        <v>75</v>
      </c>
      <c r="E3258" s="7">
        <v>12</v>
      </c>
      <c r="F3258" s="7">
        <f t="shared" si="51"/>
        <v>3</v>
      </c>
      <c r="G3258" s="7" t="str">
        <f>LOOKUP(H3258,[1]startdates!$A$2:$A$10,[1]startdates!$B$2:$B$10)</f>
        <v>SMr</v>
      </c>
      <c r="H3258">
        <v>1</v>
      </c>
      <c r="I3258" s="7">
        <v>637.70000000000005</v>
      </c>
      <c r="J3258" s="7">
        <v>475.4</v>
      </c>
      <c r="K3258" s="7">
        <v>488.9</v>
      </c>
      <c r="L3258" s="7">
        <v>450.1</v>
      </c>
      <c r="M3258" s="7">
        <v>379.1</v>
      </c>
      <c r="N3258" s="7">
        <v>220.7</v>
      </c>
      <c r="O3258" s="7">
        <v>172.5</v>
      </c>
      <c r="P3258" s="7">
        <v>435.4</v>
      </c>
      <c r="Q3258" s="7">
        <v>319.7</v>
      </c>
      <c r="R3258" s="7">
        <v>262.8</v>
      </c>
      <c r="S3258" s="7">
        <v>276.39999999999998</v>
      </c>
      <c r="U3258" s="7">
        <v>581.1</v>
      </c>
    </row>
    <row r="3259" spans="1:21" x14ac:dyDescent="0.2">
      <c r="A3259">
        <v>3258</v>
      </c>
      <c r="B3259" s="1">
        <v>40813</v>
      </c>
      <c r="C3259" t="s">
        <v>28</v>
      </c>
      <c r="D3259" s="7">
        <v>75</v>
      </c>
      <c r="E3259" s="7">
        <v>12</v>
      </c>
      <c r="F3259" s="7">
        <f t="shared" si="51"/>
        <v>3</v>
      </c>
      <c r="G3259" s="7" t="str">
        <f>LOOKUP(H3259,[1]startdates!$A$2:$A$10,[1]startdates!$B$2:$B$10)</f>
        <v>SMr</v>
      </c>
      <c r="H3259">
        <v>1</v>
      </c>
      <c r="I3259" s="7">
        <v>657.4</v>
      </c>
      <c r="J3259" s="7">
        <v>511.5</v>
      </c>
      <c r="K3259" s="7">
        <v>620.1</v>
      </c>
      <c r="L3259" s="7">
        <v>458</v>
      </c>
      <c r="M3259" s="7">
        <v>382</v>
      </c>
      <c r="N3259" s="7">
        <v>215.1</v>
      </c>
      <c r="O3259" s="7">
        <v>164.7</v>
      </c>
      <c r="Q3259" s="7">
        <v>312.60000000000002</v>
      </c>
      <c r="R3259" s="7">
        <v>270</v>
      </c>
      <c r="S3259" s="7">
        <v>266.89999999999998</v>
      </c>
    </row>
    <row r="3260" spans="1:21" x14ac:dyDescent="0.2">
      <c r="A3260">
        <v>3259</v>
      </c>
      <c r="B3260" s="1">
        <v>40813</v>
      </c>
      <c r="C3260" t="s">
        <v>28</v>
      </c>
      <c r="D3260" s="7">
        <v>75</v>
      </c>
      <c r="E3260" s="7">
        <v>12</v>
      </c>
      <c r="F3260" s="7">
        <f t="shared" si="51"/>
        <v>3</v>
      </c>
      <c r="G3260" s="7" t="str">
        <f>LOOKUP(H3260,[1]startdates!$A$2:$A$10,[1]startdates!$B$2:$B$10)</f>
        <v>SMr</v>
      </c>
      <c r="H3260">
        <v>1</v>
      </c>
      <c r="I3260" s="7">
        <v>658.6</v>
      </c>
      <c r="L3260" s="7">
        <v>460.3</v>
      </c>
      <c r="M3260" s="7">
        <v>364.6</v>
      </c>
      <c r="N3260" s="7">
        <v>244.8</v>
      </c>
      <c r="O3260" s="7">
        <v>176.7</v>
      </c>
      <c r="R3260" s="7">
        <v>280.7</v>
      </c>
      <c r="S3260" s="7">
        <v>276</v>
      </c>
    </row>
    <row r="3261" spans="1:21" x14ac:dyDescent="0.2">
      <c r="A3261">
        <v>3260</v>
      </c>
      <c r="B3261" s="1">
        <v>40813</v>
      </c>
      <c r="C3261" t="s">
        <v>28</v>
      </c>
      <c r="D3261" s="7">
        <v>75</v>
      </c>
      <c r="E3261" s="7">
        <v>12</v>
      </c>
      <c r="F3261" s="7">
        <f t="shared" si="51"/>
        <v>3</v>
      </c>
      <c r="G3261" s="7" t="str">
        <f>LOOKUP(H3261,[1]startdates!$A$2:$A$10,[1]startdates!$B$2:$B$10)</f>
        <v>SMr</v>
      </c>
      <c r="H3261">
        <v>1</v>
      </c>
      <c r="I3261" s="7">
        <v>656.7</v>
      </c>
      <c r="L3261" s="7">
        <v>484.3</v>
      </c>
      <c r="M3261" s="7">
        <v>339</v>
      </c>
      <c r="N3261" s="7">
        <v>230.2</v>
      </c>
      <c r="O3261" s="7">
        <v>151.80000000000001</v>
      </c>
      <c r="R3261" s="7">
        <v>288.7</v>
      </c>
    </row>
    <row r="3262" spans="1:21" x14ac:dyDescent="0.2">
      <c r="A3262">
        <v>3261</v>
      </c>
      <c r="B3262" s="1">
        <v>40813</v>
      </c>
      <c r="C3262" t="s">
        <v>28</v>
      </c>
      <c r="D3262" s="7">
        <v>75</v>
      </c>
      <c r="E3262" s="7">
        <v>12</v>
      </c>
      <c r="F3262" s="7">
        <f t="shared" si="51"/>
        <v>3</v>
      </c>
      <c r="G3262" s="7" t="str">
        <f>LOOKUP(H3262,[1]startdates!$A$2:$A$10,[1]startdates!$B$2:$B$10)</f>
        <v>SMr</v>
      </c>
      <c r="H3262">
        <v>1</v>
      </c>
      <c r="I3262" s="7">
        <v>619</v>
      </c>
      <c r="M3262" s="7">
        <v>343.2</v>
      </c>
      <c r="N3262" s="7">
        <v>260.5</v>
      </c>
      <c r="O3262" s="7">
        <v>157.6</v>
      </c>
    </row>
    <row r="3263" spans="1:21" x14ac:dyDescent="0.2">
      <c r="A3263">
        <v>3262</v>
      </c>
      <c r="B3263" s="1">
        <v>40813</v>
      </c>
      <c r="C3263" t="s">
        <v>28</v>
      </c>
      <c r="D3263" s="7">
        <v>75</v>
      </c>
      <c r="E3263" s="7">
        <v>12</v>
      </c>
      <c r="F3263" s="7">
        <f t="shared" si="51"/>
        <v>3</v>
      </c>
      <c r="G3263" s="7" t="str">
        <f>LOOKUP(H3263,[1]startdates!$A$2:$A$10,[1]startdates!$B$2:$B$10)</f>
        <v>SMr</v>
      </c>
      <c r="H3263">
        <v>1</v>
      </c>
      <c r="I3263" s="7">
        <v>698.1</v>
      </c>
      <c r="M3263" s="7">
        <v>325.10000000000002</v>
      </c>
      <c r="N3263" s="7">
        <v>271.5</v>
      </c>
      <c r="O3263" s="7">
        <v>172.5</v>
      </c>
    </row>
    <row r="3264" spans="1:21" x14ac:dyDescent="0.2">
      <c r="A3264">
        <v>3263</v>
      </c>
      <c r="B3264" s="1">
        <v>40813</v>
      </c>
      <c r="C3264" t="s">
        <v>28</v>
      </c>
      <c r="D3264" s="7">
        <v>75</v>
      </c>
      <c r="E3264" s="7">
        <v>12</v>
      </c>
      <c r="F3264" s="7">
        <f t="shared" si="51"/>
        <v>3</v>
      </c>
      <c r="G3264" s="7" t="str">
        <f>LOOKUP(H3264,[1]startdates!$A$2:$A$10,[1]startdates!$B$2:$B$10)</f>
        <v>SMr</v>
      </c>
      <c r="H3264">
        <v>1</v>
      </c>
      <c r="I3264" s="7">
        <v>680.9</v>
      </c>
      <c r="M3264" s="7">
        <v>309.7</v>
      </c>
      <c r="N3264" s="7">
        <v>235.3</v>
      </c>
      <c r="O3264" s="7">
        <v>176.9</v>
      </c>
    </row>
    <row r="3265" spans="1:21" x14ac:dyDescent="0.2">
      <c r="A3265">
        <v>3264</v>
      </c>
      <c r="B3265" s="1">
        <v>40813</v>
      </c>
      <c r="C3265" t="s">
        <v>28</v>
      </c>
      <c r="D3265" s="7">
        <v>75</v>
      </c>
      <c r="E3265" s="7">
        <v>12</v>
      </c>
      <c r="F3265" s="7">
        <f t="shared" si="51"/>
        <v>3</v>
      </c>
      <c r="G3265" s="7" t="str">
        <f>LOOKUP(H3265,[1]startdates!$A$2:$A$10,[1]startdates!$B$2:$B$10)</f>
        <v>SMr</v>
      </c>
      <c r="H3265">
        <v>1</v>
      </c>
      <c r="I3265" s="7">
        <v>696</v>
      </c>
      <c r="M3265" s="7">
        <v>307.60000000000002</v>
      </c>
      <c r="N3265" s="7">
        <v>219.7</v>
      </c>
      <c r="O3265" s="7">
        <v>176.7</v>
      </c>
    </row>
    <row r="3266" spans="1:21" x14ac:dyDescent="0.2">
      <c r="A3266">
        <v>3265</v>
      </c>
      <c r="B3266" s="1">
        <v>40813</v>
      </c>
      <c r="C3266" t="s">
        <v>28</v>
      </c>
      <c r="D3266" s="7">
        <v>75</v>
      </c>
      <c r="E3266" s="7">
        <v>12</v>
      </c>
      <c r="F3266" s="7">
        <f t="shared" si="51"/>
        <v>3</v>
      </c>
      <c r="G3266" s="7" t="str">
        <f>LOOKUP(H3266,[1]startdates!$A$2:$A$10,[1]startdates!$B$2:$B$10)</f>
        <v>SMr</v>
      </c>
      <c r="H3266">
        <v>1</v>
      </c>
      <c r="I3266" s="7">
        <v>553.20000000000005</v>
      </c>
      <c r="M3266" s="7">
        <v>313.3</v>
      </c>
      <c r="N3266" s="7">
        <v>232.9</v>
      </c>
      <c r="O3266" s="7">
        <v>177.3</v>
      </c>
    </row>
    <row r="3267" spans="1:21" x14ac:dyDescent="0.2">
      <c r="A3267">
        <v>3266</v>
      </c>
      <c r="B3267" s="1">
        <v>40813</v>
      </c>
      <c r="C3267" t="s">
        <v>28</v>
      </c>
      <c r="D3267" s="7">
        <v>75</v>
      </c>
      <c r="E3267" s="7">
        <v>12</v>
      </c>
      <c r="F3267" s="7">
        <f t="shared" si="51"/>
        <v>3</v>
      </c>
      <c r="G3267" s="7" t="str">
        <f>LOOKUP(H3267,[1]startdates!$A$2:$A$10,[1]startdates!$B$2:$B$10)</f>
        <v>SMr</v>
      </c>
      <c r="H3267">
        <v>1</v>
      </c>
      <c r="M3267" s="7">
        <v>325.10000000000002</v>
      </c>
      <c r="O3267" s="7">
        <v>166.9</v>
      </c>
    </row>
    <row r="3268" spans="1:21" x14ac:dyDescent="0.2">
      <c r="A3268">
        <v>3267</v>
      </c>
      <c r="B3268" s="1">
        <v>40813</v>
      </c>
      <c r="C3268" t="s">
        <v>24</v>
      </c>
      <c r="D3268" s="7">
        <v>75</v>
      </c>
      <c r="E3268" s="7">
        <v>12</v>
      </c>
      <c r="F3268" s="7">
        <f t="shared" si="51"/>
        <v>3</v>
      </c>
      <c r="G3268" s="7" t="str">
        <f>LOOKUP(H3268,[1]startdates!$A$2:$A$10,[1]startdates!$B$2:$B$10)</f>
        <v>SMr</v>
      </c>
      <c r="H3268">
        <v>2</v>
      </c>
      <c r="I3268" s="7">
        <v>644.6</v>
      </c>
      <c r="J3268" s="7">
        <v>604.6</v>
      </c>
      <c r="K3268" s="7">
        <v>499</v>
      </c>
      <c r="L3268" s="7">
        <v>468</v>
      </c>
      <c r="M3268" s="7">
        <v>328.8</v>
      </c>
      <c r="N3268" s="7">
        <v>292</v>
      </c>
      <c r="O3268" s="7">
        <v>193.5</v>
      </c>
      <c r="P3268" s="7">
        <v>461.8</v>
      </c>
      <c r="Q3268" s="7">
        <v>408.8</v>
      </c>
      <c r="R3268" s="7">
        <v>318.89999999999998</v>
      </c>
      <c r="S3268" s="7">
        <v>306.89999999999998</v>
      </c>
      <c r="U3268" s="7">
        <v>516.79999999999995</v>
      </c>
    </row>
    <row r="3269" spans="1:21" x14ac:dyDescent="0.2">
      <c r="A3269">
        <v>3268</v>
      </c>
      <c r="B3269" s="1">
        <v>40813</v>
      </c>
      <c r="C3269" t="s">
        <v>24</v>
      </c>
      <c r="D3269" s="7">
        <v>75</v>
      </c>
      <c r="E3269" s="7">
        <v>12</v>
      </c>
      <c r="F3269" s="7">
        <f t="shared" si="51"/>
        <v>3</v>
      </c>
      <c r="G3269" s="7" t="str">
        <f>LOOKUP(H3269,[1]startdates!$A$2:$A$10,[1]startdates!$B$2:$B$10)</f>
        <v>SMr</v>
      </c>
      <c r="H3269">
        <v>2</v>
      </c>
      <c r="I3269" s="7">
        <v>557.6</v>
      </c>
      <c r="J3269" s="7">
        <v>592.79999999999995</v>
      </c>
      <c r="K3269" s="7">
        <v>525.20000000000005</v>
      </c>
      <c r="L3269" s="7">
        <v>419.3</v>
      </c>
      <c r="M3269" s="7">
        <v>350.8</v>
      </c>
      <c r="N3269" s="7">
        <v>209.9</v>
      </c>
      <c r="O3269" s="7">
        <v>180.6</v>
      </c>
      <c r="P3269" s="7">
        <v>514.4</v>
      </c>
      <c r="R3269" s="7">
        <v>316.8</v>
      </c>
      <c r="S3269" s="7">
        <v>252.9</v>
      </c>
      <c r="U3269" s="7">
        <v>557</v>
      </c>
    </row>
    <row r="3270" spans="1:21" x14ac:dyDescent="0.2">
      <c r="A3270">
        <v>3269</v>
      </c>
      <c r="B3270" s="1">
        <v>40813</v>
      </c>
      <c r="C3270" t="s">
        <v>24</v>
      </c>
      <c r="D3270" s="7">
        <v>75</v>
      </c>
      <c r="E3270" s="7">
        <v>12</v>
      </c>
      <c r="F3270" s="7">
        <f t="shared" si="51"/>
        <v>3</v>
      </c>
      <c r="G3270" s="7" t="str">
        <f>LOOKUP(H3270,[1]startdates!$A$2:$A$10,[1]startdates!$B$2:$B$10)</f>
        <v>SMr</v>
      </c>
      <c r="H3270">
        <v>2</v>
      </c>
      <c r="I3270" s="7">
        <v>612.9</v>
      </c>
      <c r="J3270" s="7">
        <v>604.4</v>
      </c>
      <c r="K3270" s="7">
        <v>442.4</v>
      </c>
      <c r="L3270" s="7">
        <v>443.6</v>
      </c>
      <c r="M3270" s="7">
        <v>340.3</v>
      </c>
      <c r="N3270" s="7">
        <v>237.5</v>
      </c>
      <c r="O3270" s="7">
        <v>197.9</v>
      </c>
      <c r="R3270" s="7">
        <v>285.8</v>
      </c>
      <c r="S3270" s="7">
        <v>273.60000000000002</v>
      </c>
      <c r="U3270" s="7">
        <v>508.7</v>
      </c>
    </row>
    <row r="3271" spans="1:21" x14ac:dyDescent="0.2">
      <c r="A3271">
        <v>3270</v>
      </c>
      <c r="B3271" s="1">
        <v>40813</v>
      </c>
      <c r="C3271" t="s">
        <v>24</v>
      </c>
      <c r="D3271" s="7">
        <v>75</v>
      </c>
      <c r="E3271" s="7">
        <v>12</v>
      </c>
      <c r="F3271" s="7">
        <f t="shared" si="51"/>
        <v>3</v>
      </c>
      <c r="G3271" s="7" t="str">
        <f>LOOKUP(H3271,[1]startdates!$A$2:$A$10,[1]startdates!$B$2:$B$10)</f>
        <v>SMr</v>
      </c>
      <c r="H3271">
        <v>2</v>
      </c>
      <c r="I3271" s="7">
        <v>631.29999999999995</v>
      </c>
      <c r="K3271" s="7">
        <v>508.9</v>
      </c>
      <c r="L3271" s="7">
        <v>433.4</v>
      </c>
      <c r="M3271" s="7">
        <v>357.2</v>
      </c>
      <c r="N3271" s="7">
        <v>234.5</v>
      </c>
      <c r="O3271" s="7">
        <v>177</v>
      </c>
      <c r="S3271" s="7">
        <v>263.5</v>
      </c>
      <c r="U3271" s="7">
        <v>557.4</v>
      </c>
    </row>
    <row r="3272" spans="1:21" x14ac:dyDescent="0.2">
      <c r="A3272">
        <v>3271</v>
      </c>
      <c r="B3272" s="1">
        <v>40813</v>
      </c>
      <c r="C3272" t="s">
        <v>24</v>
      </c>
      <c r="D3272" s="7">
        <v>75</v>
      </c>
      <c r="E3272" s="7">
        <v>12</v>
      </c>
      <c r="F3272" s="7">
        <f t="shared" si="51"/>
        <v>3</v>
      </c>
      <c r="G3272" s="7" t="str">
        <f>LOOKUP(H3272,[1]startdates!$A$2:$A$10,[1]startdates!$B$2:$B$10)</f>
        <v>SMr</v>
      </c>
      <c r="H3272">
        <v>2</v>
      </c>
      <c r="I3272" s="7">
        <v>677.8</v>
      </c>
      <c r="K3272" s="7">
        <v>604.1</v>
      </c>
      <c r="M3272" s="7">
        <v>314.3</v>
      </c>
      <c r="N3272" s="7">
        <v>284.89999999999998</v>
      </c>
      <c r="O3272" s="7">
        <v>165.3</v>
      </c>
      <c r="S3272" s="7">
        <v>258.60000000000002</v>
      </c>
      <c r="U3272" s="7">
        <v>467.6</v>
      </c>
    </row>
    <row r="3273" spans="1:21" x14ac:dyDescent="0.2">
      <c r="A3273">
        <v>3272</v>
      </c>
      <c r="B3273" s="1">
        <v>40813</v>
      </c>
      <c r="C3273" t="s">
        <v>24</v>
      </c>
      <c r="D3273" s="7">
        <v>75</v>
      </c>
      <c r="E3273" s="7">
        <v>12</v>
      </c>
      <c r="F3273" s="7">
        <f t="shared" si="51"/>
        <v>3</v>
      </c>
      <c r="G3273" s="7" t="str">
        <f>LOOKUP(H3273,[1]startdates!$A$2:$A$10,[1]startdates!$B$2:$B$10)</f>
        <v>SMr</v>
      </c>
      <c r="H3273">
        <v>2</v>
      </c>
      <c r="I3273" s="7">
        <v>662.4</v>
      </c>
      <c r="K3273" s="7">
        <v>582.6</v>
      </c>
      <c r="M3273" s="7">
        <v>359</v>
      </c>
      <c r="N3273" s="7">
        <v>238.4</v>
      </c>
      <c r="O3273" s="7">
        <v>145.9</v>
      </c>
      <c r="S3273" s="7">
        <v>248.6</v>
      </c>
    </row>
    <row r="3274" spans="1:21" x14ac:dyDescent="0.2">
      <c r="A3274">
        <v>3273</v>
      </c>
      <c r="B3274" s="1">
        <v>40813</v>
      </c>
      <c r="C3274" t="s">
        <v>24</v>
      </c>
      <c r="D3274" s="7">
        <v>75</v>
      </c>
      <c r="E3274" s="7">
        <v>12</v>
      </c>
      <c r="F3274" s="7">
        <f t="shared" si="51"/>
        <v>3</v>
      </c>
      <c r="G3274" s="7" t="str">
        <f>LOOKUP(H3274,[1]startdates!$A$2:$A$10,[1]startdates!$B$2:$B$10)</f>
        <v>SMr</v>
      </c>
      <c r="H3274">
        <v>2</v>
      </c>
      <c r="I3274" s="7">
        <v>694.9</v>
      </c>
      <c r="M3274" s="7">
        <v>337.8</v>
      </c>
      <c r="N3274" s="7">
        <v>258.10000000000002</v>
      </c>
      <c r="O3274" s="7">
        <v>185.2</v>
      </c>
      <c r="S3274" s="7">
        <v>261.8</v>
      </c>
    </row>
    <row r="3275" spans="1:21" x14ac:dyDescent="0.2">
      <c r="A3275">
        <v>3274</v>
      </c>
      <c r="B3275" s="1">
        <v>40813</v>
      </c>
      <c r="C3275" t="s">
        <v>24</v>
      </c>
      <c r="D3275" s="7">
        <v>75</v>
      </c>
      <c r="E3275" s="7">
        <v>12</v>
      </c>
      <c r="F3275" s="7">
        <f t="shared" si="51"/>
        <v>3</v>
      </c>
      <c r="G3275" s="7" t="str">
        <f>LOOKUP(H3275,[1]startdates!$A$2:$A$10,[1]startdates!$B$2:$B$10)</f>
        <v>SMr</v>
      </c>
      <c r="H3275">
        <v>2</v>
      </c>
      <c r="I3275" s="7">
        <v>530.79999999999995</v>
      </c>
      <c r="M3275" s="7">
        <v>343.8</v>
      </c>
      <c r="N3275" s="7">
        <v>252.9</v>
      </c>
      <c r="O3275" s="7">
        <v>168.3</v>
      </c>
      <c r="S3275" s="7">
        <v>276.10000000000002</v>
      </c>
    </row>
    <row r="3276" spans="1:21" x14ac:dyDescent="0.2">
      <c r="A3276">
        <v>3275</v>
      </c>
      <c r="B3276" s="1">
        <v>40813</v>
      </c>
      <c r="C3276" t="s">
        <v>24</v>
      </c>
      <c r="D3276" s="7">
        <v>75</v>
      </c>
      <c r="E3276" s="7">
        <v>12</v>
      </c>
      <c r="F3276" s="7">
        <f t="shared" si="51"/>
        <v>3</v>
      </c>
      <c r="G3276" s="7" t="str">
        <f>LOOKUP(H3276,[1]startdates!$A$2:$A$10,[1]startdates!$B$2:$B$10)</f>
        <v>SMr</v>
      </c>
      <c r="H3276">
        <v>2</v>
      </c>
      <c r="I3276" s="7">
        <v>663.9</v>
      </c>
      <c r="M3276" s="7">
        <v>349.1</v>
      </c>
      <c r="N3276" s="7">
        <v>270.89999999999998</v>
      </c>
      <c r="O3276" s="7">
        <v>162.4</v>
      </c>
    </row>
    <row r="3277" spans="1:21" x14ac:dyDescent="0.2">
      <c r="A3277">
        <v>3276</v>
      </c>
      <c r="B3277" s="1">
        <v>40813</v>
      </c>
      <c r="C3277" t="s">
        <v>24</v>
      </c>
      <c r="D3277" s="7">
        <v>75</v>
      </c>
      <c r="E3277" s="7">
        <v>12</v>
      </c>
      <c r="F3277" s="7">
        <f t="shared" si="51"/>
        <v>3</v>
      </c>
      <c r="G3277" s="7" t="str">
        <f>LOOKUP(H3277,[1]startdates!$A$2:$A$10,[1]startdates!$B$2:$B$10)</f>
        <v>SMr</v>
      </c>
      <c r="H3277">
        <v>2</v>
      </c>
      <c r="N3277" s="7">
        <v>265.5</v>
      </c>
      <c r="O3277" s="7">
        <v>162.4</v>
      </c>
    </row>
    <row r="3278" spans="1:21" x14ac:dyDescent="0.2">
      <c r="A3278">
        <v>3277</v>
      </c>
      <c r="B3278" s="1">
        <v>40813</v>
      </c>
      <c r="C3278" t="s">
        <v>24</v>
      </c>
      <c r="D3278" s="7">
        <v>75</v>
      </c>
      <c r="E3278" s="7">
        <v>12</v>
      </c>
      <c r="F3278" s="7">
        <f t="shared" si="51"/>
        <v>3</v>
      </c>
      <c r="G3278" s="7" t="str">
        <f>LOOKUP(H3278,[1]startdates!$A$2:$A$10,[1]startdates!$B$2:$B$10)</f>
        <v>SMr</v>
      </c>
      <c r="H3278">
        <v>2</v>
      </c>
      <c r="O3278" s="7">
        <v>168.9</v>
      </c>
    </row>
    <row r="3279" spans="1:21" x14ac:dyDescent="0.2">
      <c r="A3279">
        <v>3278</v>
      </c>
      <c r="B3279" s="1">
        <v>40813</v>
      </c>
      <c r="C3279" t="s">
        <v>24</v>
      </c>
      <c r="D3279" s="7">
        <v>75</v>
      </c>
      <c r="E3279" s="7">
        <v>12</v>
      </c>
      <c r="F3279" s="7">
        <f t="shared" si="51"/>
        <v>3</v>
      </c>
      <c r="G3279" s="7" t="str">
        <f>LOOKUP(H3279,[1]startdates!$A$2:$A$10,[1]startdates!$B$2:$B$10)</f>
        <v>SMr</v>
      </c>
      <c r="H3279">
        <v>2</v>
      </c>
      <c r="O3279" s="7">
        <v>188.2</v>
      </c>
    </row>
    <row r="3280" spans="1:21" x14ac:dyDescent="0.2">
      <c r="A3280">
        <v>3279</v>
      </c>
      <c r="B3280" s="1">
        <v>40813</v>
      </c>
      <c r="C3280" t="s">
        <v>24</v>
      </c>
      <c r="D3280" s="7">
        <v>75</v>
      </c>
      <c r="E3280" s="7">
        <v>12</v>
      </c>
      <c r="F3280" s="7">
        <f t="shared" si="51"/>
        <v>3</v>
      </c>
      <c r="G3280" s="7" t="str">
        <f>LOOKUP(H3280,[1]startdates!$A$2:$A$10,[1]startdates!$B$2:$B$10)</f>
        <v>C</v>
      </c>
      <c r="H3280">
        <v>3</v>
      </c>
      <c r="I3280" s="7">
        <v>565.5</v>
      </c>
      <c r="J3280" s="7">
        <v>638.6</v>
      </c>
      <c r="K3280" s="7">
        <v>606.20000000000005</v>
      </c>
      <c r="L3280" s="7">
        <v>481.8</v>
      </c>
      <c r="M3280" s="7">
        <v>398.3</v>
      </c>
      <c r="N3280" s="7">
        <v>248.2</v>
      </c>
      <c r="O3280" s="7">
        <v>209.2</v>
      </c>
      <c r="P3280" s="7">
        <v>467.1</v>
      </c>
      <c r="Q3280" s="7">
        <v>362.3</v>
      </c>
      <c r="R3280" s="7">
        <v>275.10000000000002</v>
      </c>
      <c r="S3280" s="7">
        <v>306.3</v>
      </c>
    </row>
    <row r="3281" spans="1:21" x14ac:dyDescent="0.2">
      <c r="A3281">
        <v>3280</v>
      </c>
      <c r="B3281" s="1">
        <v>40813</v>
      </c>
      <c r="C3281" t="s">
        <v>24</v>
      </c>
      <c r="D3281" s="7">
        <v>75</v>
      </c>
      <c r="E3281" s="7">
        <v>12</v>
      </c>
      <c r="F3281" s="7">
        <f t="shared" si="51"/>
        <v>3</v>
      </c>
      <c r="G3281" s="7" t="str">
        <f>LOOKUP(H3281,[1]startdates!$A$2:$A$10,[1]startdates!$B$2:$B$10)</f>
        <v>C</v>
      </c>
      <c r="H3281">
        <v>3</v>
      </c>
      <c r="I3281" s="7">
        <v>676.5</v>
      </c>
      <c r="K3281" s="7">
        <v>578.5</v>
      </c>
      <c r="L3281" s="7">
        <v>548.6</v>
      </c>
      <c r="M3281" s="7">
        <v>392.6</v>
      </c>
      <c r="N3281" s="7">
        <v>231.1</v>
      </c>
      <c r="O3281" s="7">
        <v>188.3</v>
      </c>
      <c r="P3281" s="7">
        <v>476.1</v>
      </c>
      <c r="R3281" s="7">
        <v>291.5</v>
      </c>
      <c r="S3281" s="7">
        <v>314.60000000000002</v>
      </c>
    </row>
    <row r="3282" spans="1:21" x14ac:dyDescent="0.2">
      <c r="A3282">
        <v>3281</v>
      </c>
      <c r="B3282" s="1">
        <v>40813</v>
      </c>
      <c r="C3282" t="s">
        <v>24</v>
      </c>
      <c r="D3282" s="7">
        <v>75</v>
      </c>
      <c r="E3282" s="7">
        <v>12</v>
      </c>
      <c r="F3282" s="7">
        <f t="shared" si="51"/>
        <v>3</v>
      </c>
      <c r="G3282" s="7" t="str">
        <f>LOOKUP(H3282,[1]startdates!$A$2:$A$10,[1]startdates!$B$2:$B$10)</f>
        <v>C</v>
      </c>
      <c r="H3282">
        <v>3</v>
      </c>
      <c r="I3282" s="7">
        <v>648.5</v>
      </c>
      <c r="K3282" s="7">
        <v>554.6</v>
      </c>
      <c r="L3282" s="7">
        <v>429.9</v>
      </c>
      <c r="M3282" s="7">
        <v>306.3</v>
      </c>
      <c r="N3282" s="7">
        <v>247.4</v>
      </c>
      <c r="O3282" s="7">
        <v>181.1</v>
      </c>
      <c r="P3282" s="7">
        <v>512.79999999999995</v>
      </c>
    </row>
    <row r="3283" spans="1:21" x14ac:dyDescent="0.2">
      <c r="A3283">
        <v>3282</v>
      </c>
      <c r="B3283" s="1">
        <v>40813</v>
      </c>
      <c r="C3283" t="s">
        <v>24</v>
      </c>
      <c r="D3283" s="7">
        <v>75</v>
      </c>
      <c r="E3283" s="7">
        <v>12</v>
      </c>
      <c r="F3283" s="7">
        <f t="shared" si="51"/>
        <v>3</v>
      </c>
      <c r="G3283" s="7" t="str">
        <f>LOOKUP(H3283,[1]startdates!$A$2:$A$10,[1]startdates!$B$2:$B$10)</f>
        <v>C</v>
      </c>
      <c r="H3283">
        <v>3</v>
      </c>
      <c r="I3283" s="7">
        <v>557.70000000000005</v>
      </c>
      <c r="K3283" s="7">
        <v>534.79999999999995</v>
      </c>
      <c r="L3283" s="7">
        <v>436.4</v>
      </c>
      <c r="M3283" s="7">
        <v>318.39999999999998</v>
      </c>
      <c r="N3283" s="7">
        <v>274.39999999999998</v>
      </c>
      <c r="O3283" s="7">
        <v>202.5</v>
      </c>
    </row>
    <row r="3284" spans="1:21" x14ac:dyDescent="0.2">
      <c r="A3284">
        <v>3283</v>
      </c>
      <c r="B3284" s="1">
        <v>40813</v>
      </c>
      <c r="C3284" t="s">
        <v>24</v>
      </c>
      <c r="D3284" s="7">
        <v>75</v>
      </c>
      <c r="E3284" s="7">
        <v>12</v>
      </c>
      <c r="F3284" s="7">
        <f t="shared" si="51"/>
        <v>3</v>
      </c>
      <c r="G3284" s="7" t="str">
        <f>LOOKUP(H3284,[1]startdates!$A$2:$A$10,[1]startdates!$B$2:$B$10)</f>
        <v>C</v>
      </c>
      <c r="H3284">
        <v>3</v>
      </c>
      <c r="I3284" s="7">
        <v>587.79999999999995</v>
      </c>
      <c r="K3284" s="7">
        <v>530.20000000000005</v>
      </c>
      <c r="L3284" s="7">
        <v>471.3</v>
      </c>
      <c r="M3284" s="7">
        <v>329.4</v>
      </c>
      <c r="N3284" s="7">
        <v>274.8</v>
      </c>
      <c r="O3284" s="7">
        <v>199.3</v>
      </c>
    </row>
    <row r="3285" spans="1:21" x14ac:dyDescent="0.2">
      <c r="A3285">
        <v>3284</v>
      </c>
      <c r="B3285" s="1">
        <v>40813</v>
      </c>
      <c r="C3285" t="s">
        <v>24</v>
      </c>
      <c r="D3285" s="7">
        <v>75</v>
      </c>
      <c r="E3285" s="7">
        <v>12</v>
      </c>
      <c r="F3285" s="7">
        <f t="shared" si="51"/>
        <v>3</v>
      </c>
      <c r="G3285" s="7" t="str">
        <f>LOOKUP(H3285,[1]startdates!$A$2:$A$10,[1]startdates!$B$2:$B$10)</f>
        <v>C</v>
      </c>
      <c r="H3285">
        <v>3</v>
      </c>
      <c r="I3285" s="7">
        <v>640</v>
      </c>
      <c r="K3285" s="7">
        <v>553.29999999999995</v>
      </c>
      <c r="N3285" s="7">
        <v>280</v>
      </c>
      <c r="O3285" s="7">
        <v>172.5</v>
      </c>
    </row>
    <row r="3286" spans="1:21" x14ac:dyDescent="0.2">
      <c r="A3286">
        <v>3285</v>
      </c>
      <c r="B3286" s="1">
        <v>40813</v>
      </c>
      <c r="C3286" t="s">
        <v>24</v>
      </c>
      <c r="D3286" s="7">
        <v>75</v>
      </c>
      <c r="E3286" s="7">
        <v>12</v>
      </c>
      <c r="F3286" s="7">
        <f t="shared" si="51"/>
        <v>3</v>
      </c>
      <c r="G3286" s="7" t="str">
        <f>LOOKUP(H3286,[1]startdates!$A$2:$A$10,[1]startdates!$B$2:$B$10)</f>
        <v>C</v>
      </c>
      <c r="H3286">
        <v>3</v>
      </c>
      <c r="I3286" s="7">
        <v>656.2</v>
      </c>
      <c r="K3286" s="7">
        <v>559.9</v>
      </c>
      <c r="N3286" s="7">
        <v>254.5</v>
      </c>
      <c r="O3286" s="7">
        <v>138.30000000000001</v>
      </c>
    </row>
    <row r="3287" spans="1:21" x14ac:dyDescent="0.2">
      <c r="A3287">
        <v>3286</v>
      </c>
      <c r="B3287" s="1">
        <v>40813</v>
      </c>
      <c r="C3287" t="s">
        <v>24</v>
      </c>
      <c r="D3287" s="7">
        <v>75</v>
      </c>
      <c r="E3287" s="7">
        <v>12</v>
      </c>
      <c r="F3287" s="7">
        <f t="shared" si="51"/>
        <v>3</v>
      </c>
      <c r="G3287" s="7" t="str">
        <f>LOOKUP(H3287,[1]startdates!$A$2:$A$10,[1]startdates!$B$2:$B$10)</f>
        <v>C</v>
      </c>
      <c r="H3287">
        <v>3</v>
      </c>
      <c r="I3287" s="7">
        <v>538.70000000000005</v>
      </c>
      <c r="K3287" s="7">
        <v>516.79999999999995</v>
      </c>
      <c r="N3287" s="7">
        <v>237</v>
      </c>
      <c r="O3287" s="7">
        <v>167</v>
      </c>
    </row>
    <row r="3288" spans="1:21" x14ac:dyDescent="0.2">
      <c r="A3288">
        <v>3287</v>
      </c>
      <c r="B3288" s="1">
        <v>40813</v>
      </c>
      <c r="C3288" t="s">
        <v>24</v>
      </c>
      <c r="D3288" s="7">
        <v>75</v>
      </c>
      <c r="E3288" s="7">
        <v>12</v>
      </c>
      <c r="F3288" s="7">
        <f t="shared" si="51"/>
        <v>3</v>
      </c>
      <c r="G3288" s="7" t="str">
        <f>LOOKUP(H3288,[1]startdates!$A$2:$A$10,[1]startdates!$B$2:$B$10)</f>
        <v>C</v>
      </c>
      <c r="H3288">
        <v>3</v>
      </c>
      <c r="I3288" s="7">
        <v>740.8</v>
      </c>
      <c r="K3288" s="7">
        <v>532.5</v>
      </c>
      <c r="N3288" s="7">
        <v>264.5</v>
      </c>
      <c r="O3288" s="7">
        <v>171.3</v>
      </c>
    </row>
    <row r="3289" spans="1:21" x14ac:dyDescent="0.2">
      <c r="A3289">
        <v>3288</v>
      </c>
      <c r="B3289" s="1">
        <v>40813</v>
      </c>
      <c r="C3289" t="s">
        <v>24</v>
      </c>
      <c r="D3289" s="7">
        <v>75</v>
      </c>
      <c r="E3289" s="7">
        <v>12</v>
      </c>
      <c r="F3289" s="7">
        <f t="shared" si="51"/>
        <v>3</v>
      </c>
      <c r="G3289" s="7" t="str">
        <f>LOOKUP(H3289,[1]startdates!$A$2:$A$10,[1]startdates!$B$2:$B$10)</f>
        <v>C</v>
      </c>
      <c r="H3289">
        <v>3</v>
      </c>
      <c r="I3289" s="7">
        <v>572.9</v>
      </c>
      <c r="K3289" s="7">
        <v>461.7</v>
      </c>
      <c r="N3289" s="7">
        <v>222.9</v>
      </c>
      <c r="O3289" s="7">
        <v>197.9</v>
      </c>
    </row>
    <row r="3290" spans="1:21" x14ac:dyDescent="0.2">
      <c r="A3290">
        <v>3289</v>
      </c>
      <c r="B3290" s="1">
        <v>40813</v>
      </c>
      <c r="C3290" t="s">
        <v>24</v>
      </c>
      <c r="D3290" s="7">
        <v>75</v>
      </c>
      <c r="E3290" s="7">
        <v>12</v>
      </c>
      <c r="F3290" s="7">
        <f t="shared" si="51"/>
        <v>3</v>
      </c>
      <c r="G3290" s="7" t="str">
        <f>LOOKUP(H3290,[1]startdates!$A$2:$A$10,[1]startdates!$B$2:$B$10)</f>
        <v>C</v>
      </c>
      <c r="H3290">
        <v>3</v>
      </c>
      <c r="K3290" s="7">
        <v>562</v>
      </c>
      <c r="N3290" s="7">
        <v>226.8</v>
      </c>
      <c r="O3290" s="7">
        <v>181.9</v>
      </c>
    </row>
    <row r="3291" spans="1:21" x14ac:dyDescent="0.2">
      <c r="A3291">
        <v>3290</v>
      </c>
      <c r="B3291" s="1">
        <v>40813</v>
      </c>
      <c r="C3291" t="s">
        <v>24</v>
      </c>
      <c r="D3291" s="7">
        <v>75</v>
      </c>
      <c r="E3291" s="7">
        <v>12</v>
      </c>
      <c r="F3291" s="7">
        <f t="shared" si="51"/>
        <v>3</v>
      </c>
      <c r="G3291" s="7" t="str">
        <f>LOOKUP(H3291,[1]startdates!$A$2:$A$10,[1]startdates!$B$2:$B$10)</f>
        <v>C</v>
      </c>
      <c r="H3291">
        <v>3</v>
      </c>
      <c r="N3291" s="7">
        <v>218.7</v>
      </c>
    </row>
    <row r="3292" spans="1:21" x14ac:dyDescent="0.2">
      <c r="A3292">
        <v>3291</v>
      </c>
      <c r="B3292" s="1">
        <v>40813</v>
      </c>
      <c r="C3292" t="s">
        <v>24</v>
      </c>
      <c r="D3292" s="7">
        <v>75</v>
      </c>
      <c r="E3292" s="7">
        <v>12</v>
      </c>
      <c r="F3292" s="7">
        <f t="shared" si="51"/>
        <v>3</v>
      </c>
      <c r="G3292" s="7" t="str">
        <f>LOOKUP(H3292,[1]startdates!$A$2:$A$10,[1]startdates!$B$2:$B$10)</f>
        <v>C</v>
      </c>
      <c r="H3292">
        <v>3</v>
      </c>
      <c r="N3292" s="7">
        <v>249.3</v>
      </c>
    </row>
    <row r="3293" spans="1:21" x14ac:dyDescent="0.2">
      <c r="A3293">
        <v>3292</v>
      </c>
      <c r="B3293" s="1">
        <v>40813</v>
      </c>
      <c r="C3293" t="s">
        <v>24</v>
      </c>
      <c r="D3293" s="7">
        <v>75</v>
      </c>
      <c r="E3293" s="7">
        <v>12</v>
      </c>
      <c r="F3293" s="7">
        <f t="shared" si="51"/>
        <v>3</v>
      </c>
      <c r="G3293" s="7" t="str">
        <f>LOOKUP(H3293,[1]startdates!$A$2:$A$10,[1]startdates!$B$2:$B$10)</f>
        <v>C</v>
      </c>
      <c r="H3293">
        <v>3</v>
      </c>
      <c r="N3293" s="7">
        <v>229.6</v>
      </c>
    </row>
    <row r="3294" spans="1:21" x14ac:dyDescent="0.2">
      <c r="A3294">
        <v>3293</v>
      </c>
      <c r="B3294" s="1">
        <v>40813</v>
      </c>
      <c r="C3294" t="s">
        <v>24</v>
      </c>
      <c r="D3294" s="7">
        <v>75</v>
      </c>
      <c r="E3294" s="7">
        <v>12</v>
      </c>
      <c r="F3294" s="7">
        <f t="shared" si="51"/>
        <v>3</v>
      </c>
      <c r="G3294" s="7" t="str">
        <f>LOOKUP(H3294,[1]startdates!$A$2:$A$10,[1]startdates!$B$2:$B$10)</f>
        <v>SMr</v>
      </c>
      <c r="H3294">
        <v>4</v>
      </c>
      <c r="I3294" s="7">
        <v>674.9</v>
      </c>
      <c r="J3294" s="7">
        <v>620.79999999999995</v>
      </c>
      <c r="K3294" s="7">
        <v>489.5</v>
      </c>
      <c r="L3294" s="7">
        <v>397.9</v>
      </c>
      <c r="M3294" s="7">
        <v>335.1</v>
      </c>
      <c r="N3294" s="7">
        <v>200.9</v>
      </c>
      <c r="O3294" s="7">
        <v>178.7</v>
      </c>
      <c r="P3294" s="7">
        <v>489.1</v>
      </c>
      <c r="Q3294" s="7">
        <v>364.5</v>
      </c>
      <c r="T3294" s="7">
        <v>394.7</v>
      </c>
      <c r="U3294" s="7">
        <v>485.3</v>
      </c>
    </row>
    <row r="3295" spans="1:21" x14ac:dyDescent="0.2">
      <c r="A3295">
        <v>3294</v>
      </c>
      <c r="B3295" s="1">
        <v>40813</v>
      </c>
      <c r="C3295" t="s">
        <v>24</v>
      </c>
      <c r="D3295" s="7">
        <v>75</v>
      </c>
      <c r="E3295" s="7">
        <v>12</v>
      </c>
      <c r="F3295" s="7">
        <f t="shared" si="51"/>
        <v>3</v>
      </c>
      <c r="G3295" s="7" t="str">
        <f>LOOKUP(H3295,[1]startdates!$A$2:$A$10,[1]startdates!$B$2:$B$10)</f>
        <v>SMr</v>
      </c>
      <c r="H3295">
        <v>4</v>
      </c>
      <c r="I3295" s="7">
        <v>625.29999999999995</v>
      </c>
      <c r="J3295" s="7">
        <v>576.1</v>
      </c>
      <c r="K3295" s="7">
        <v>388.3</v>
      </c>
      <c r="L3295" s="7">
        <v>411.7</v>
      </c>
      <c r="M3295" s="7">
        <v>327.5</v>
      </c>
      <c r="N3295" s="7">
        <v>247.5</v>
      </c>
      <c r="O3295" s="7">
        <v>182.8</v>
      </c>
      <c r="P3295" s="7">
        <v>487.4</v>
      </c>
      <c r="U3295" s="7">
        <v>539.5</v>
      </c>
    </row>
    <row r="3296" spans="1:21" x14ac:dyDescent="0.2">
      <c r="A3296">
        <v>3295</v>
      </c>
      <c r="B3296" s="1">
        <v>40813</v>
      </c>
      <c r="C3296" t="s">
        <v>24</v>
      </c>
      <c r="D3296" s="7">
        <v>75</v>
      </c>
      <c r="E3296" s="7">
        <v>12</v>
      </c>
      <c r="F3296" s="7">
        <f t="shared" si="51"/>
        <v>3</v>
      </c>
      <c r="G3296" s="7" t="str">
        <f>LOOKUP(H3296,[1]startdates!$A$2:$A$10,[1]startdates!$B$2:$B$10)</f>
        <v>SMr</v>
      </c>
      <c r="H3296">
        <v>4</v>
      </c>
      <c r="I3296" s="7">
        <v>593.5</v>
      </c>
      <c r="K3296" s="7">
        <v>634.79999999999995</v>
      </c>
      <c r="L3296" s="7">
        <v>429.7</v>
      </c>
      <c r="M3296" s="7">
        <v>351.8</v>
      </c>
      <c r="N3296" s="7">
        <v>239.3</v>
      </c>
      <c r="O3296" s="7">
        <v>169.4</v>
      </c>
      <c r="P3296" s="7">
        <v>460.2</v>
      </c>
      <c r="U3296" s="7">
        <v>455.4</v>
      </c>
    </row>
    <row r="3297" spans="1:21" x14ac:dyDescent="0.2">
      <c r="A3297">
        <v>3296</v>
      </c>
      <c r="B3297" s="1">
        <v>40813</v>
      </c>
      <c r="C3297" t="s">
        <v>24</v>
      </c>
      <c r="D3297" s="7">
        <v>75</v>
      </c>
      <c r="E3297" s="7">
        <v>12</v>
      </c>
      <c r="F3297" s="7">
        <f t="shared" si="51"/>
        <v>3</v>
      </c>
      <c r="G3297" s="7" t="str">
        <f>LOOKUP(H3297,[1]startdates!$A$2:$A$10,[1]startdates!$B$2:$B$10)</f>
        <v>SMr</v>
      </c>
      <c r="H3297">
        <v>4</v>
      </c>
      <c r="I3297" s="7">
        <v>667.9</v>
      </c>
      <c r="K3297" s="7">
        <v>594.20000000000005</v>
      </c>
      <c r="L3297" s="7">
        <v>380</v>
      </c>
      <c r="M3297" s="7">
        <v>325.7</v>
      </c>
      <c r="N3297" s="7">
        <v>204.6</v>
      </c>
      <c r="O3297" s="7">
        <v>168.2</v>
      </c>
      <c r="P3297" s="7">
        <v>425.3</v>
      </c>
      <c r="U3297" s="7">
        <v>537.20000000000005</v>
      </c>
    </row>
    <row r="3298" spans="1:21" x14ac:dyDescent="0.2">
      <c r="A3298">
        <v>3297</v>
      </c>
      <c r="B3298" s="1">
        <v>40813</v>
      </c>
      <c r="C3298" t="s">
        <v>24</v>
      </c>
      <c r="D3298" s="7">
        <v>75</v>
      </c>
      <c r="E3298" s="7">
        <v>12</v>
      </c>
      <c r="F3298" s="7">
        <f t="shared" si="51"/>
        <v>3</v>
      </c>
      <c r="G3298" s="7" t="str">
        <f>LOOKUP(H3298,[1]startdates!$A$2:$A$10,[1]startdates!$B$2:$B$10)</f>
        <v>SMr</v>
      </c>
      <c r="H3298">
        <v>4</v>
      </c>
      <c r="I3298" s="7">
        <v>641.6</v>
      </c>
      <c r="K3298" s="7">
        <v>441</v>
      </c>
      <c r="M3298" s="7">
        <v>342.5</v>
      </c>
      <c r="N3298" s="7">
        <v>171.9</v>
      </c>
      <c r="O3298" s="7">
        <v>176.9</v>
      </c>
      <c r="U3298" s="7">
        <v>520.4</v>
      </c>
    </row>
    <row r="3299" spans="1:21" x14ac:dyDescent="0.2">
      <c r="A3299">
        <v>3298</v>
      </c>
      <c r="B3299" s="1">
        <v>40813</v>
      </c>
      <c r="C3299" t="s">
        <v>24</v>
      </c>
      <c r="D3299" s="7">
        <v>75</v>
      </c>
      <c r="E3299" s="7">
        <v>12</v>
      </c>
      <c r="F3299" s="7">
        <f t="shared" si="51"/>
        <v>3</v>
      </c>
      <c r="G3299" s="7" t="str">
        <f>LOOKUP(H3299,[1]startdates!$A$2:$A$10,[1]startdates!$B$2:$B$10)</f>
        <v>SMr</v>
      </c>
      <c r="H3299">
        <v>4</v>
      </c>
      <c r="I3299" s="7">
        <v>589.4</v>
      </c>
      <c r="M3299" s="7">
        <v>323.3</v>
      </c>
      <c r="N3299" s="7">
        <v>195.7</v>
      </c>
      <c r="O3299" s="7">
        <v>166.7</v>
      </c>
      <c r="U3299" s="7">
        <v>531</v>
      </c>
    </row>
    <row r="3300" spans="1:21" x14ac:dyDescent="0.2">
      <c r="A3300">
        <v>3299</v>
      </c>
      <c r="B3300" s="1">
        <v>40813</v>
      </c>
      <c r="C3300" t="s">
        <v>24</v>
      </c>
      <c r="D3300" s="7">
        <v>75</v>
      </c>
      <c r="E3300" s="7">
        <v>12</v>
      </c>
      <c r="F3300" s="7">
        <f t="shared" si="51"/>
        <v>3</v>
      </c>
      <c r="G3300" s="7" t="str">
        <f>LOOKUP(H3300,[1]startdates!$A$2:$A$10,[1]startdates!$B$2:$B$10)</f>
        <v>SMr</v>
      </c>
      <c r="H3300">
        <v>4</v>
      </c>
      <c r="I3300" s="7">
        <v>639.70000000000005</v>
      </c>
      <c r="M3300" s="7">
        <v>330.9</v>
      </c>
      <c r="N3300" s="7">
        <v>236.3</v>
      </c>
      <c r="O3300" s="7">
        <v>135.5</v>
      </c>
      <c r="U3300" s="7">
        <v>561.5</v>
      </c>
    </row>
    <row r="3301" spans="1:21" x14ac:dyDescent="0.2">
      <c r="A3301">
        <v>3300</v>
      </c>
      <c r="B3301" s="1">
        <v>40813</v>
      </c>
      <c r="C3301" t="s">
        <v>24</v>
      </c>
      <c r="D3301" s="7">
        <v>75</v>
      </c>
      <c r="E3301" s="7">
        <v>12</v>
      </c>
      <c r="F3301" s="7">
        <f t="shared" si="51"/>
        <v>3</v>
      </c>
      <c r="G3301" s="7" t="str">
        <f>LOOKUP(H3301,[1]startdates!$A$2:$A$10,[1]startdates!$B$2:$B$10)</f>
        <v>SMr</v>
      </c>
      <c r="H3301">
        <v>4</v>
      </c>
      <c r="I3301" s="7">
        <v>551.20000000000005</v>
      </c>
      <c r="N3301" s="7">
        <v>219</v>
      </c>
      <c r="O3301" s="7">
        <v>181.9</v>
      </c>
      <c r="U3301" s="7">
        <v>544.5</v>
      </c>
    </row>
    <row r="3302" spans="1:21" x14ac:dyDescent="0.2">
      <c r="A3302">
        <v>3301</v>
      </c>
      <c r="B3302" s="1">
        <v>40813</v>
      </c>
      <c r="C3302" t="s">
        <v>24</v>
      </c>
      <c r="D3302" s="7">
        <v>75</v>
      </c>
      <c r="E3302" s="7">
        <v>12</v>
      </c>
      <c r="F3302" s="7">
        <f t="shared" si="51"/>
        <v>3</v>
      </c>
      <c r="G3302" s="7" t="str">
        <f>LOOKUP(H3302,[1]startdates!$A$2:$A$10,[1]startdates!$B$2:$B$10)</f>
        <v>SMr</v>
      </c>
      <c r="H3302">
        <v>4</v>
      </c>
      <c r="I3302" s="7">
        <v>649.20000000000005</v>
      </c>
      <c r="N3302" s="7">
        <v>247.4</v>
      </c>
      <c r="O3302" s="7">
        <v>155.30000000000001</v>
      </c>
      <c r="U3302" s="7">
        <v>539.6</v>
      </c>
    </row>
    <row r="3303" spans="1:21" x14ac:dyDescent="0.2">
      <c r="A3303">
        <v>3302</v>
      </c>
      <c r="B3303" s="1">
        <v>40813</v>
      </c>
      <c r="C3303" t="s">
        <v>24</v>
      </c>
      <c r="D3303" s="7">
        <v>75</v>
      </c>
      <c r="E3303" s="7">
        <v>12</v>
      </c>
      <c r="F3303" s="7">
        <f t="shared" si="51"/>
        <v>3</v>
      </c>
      <c r="G3303" s="7" t="str">
        <f>LOOKUP(H3303,[1]startdates!$A$2:$A$10,[1]startdates!$B$2:$B$10)</f>
        <v>SMr</v>
      </c>
      <c r="H3303">
        <v>4</v>
      </c>
      <c r="I3303" s="7">
        <v>662.9</v>
      </c>
      <c r="N3303" s="7">
        <v>239.3</v>
      </c>
      <c r="O3303" s="7">
        <v>161.4</v>
      </c>
    </row>
    <row r="3304" spans="1:21" x14ac:dyDescent="0.2">
      <c r="A3304">
        <v>3303</v>
      </c>
      <c r="B3304" s="1">
        <v>40813</v>
      </c>
      <c r="C3304" t="s">
        <v>24</v>
      </c>
      <c r="D3304" s="7">
        <v>75</v>
      </c>
      <c r="E3304" s="7">
        <v>12</v>
      </c>
      <c r="F3304" s="7">
        <f t="shared" si="51"/>
        <v>3</v>
      </c>
      <c r="G3304" s="7" t="str">
        <f>LOOKUP(H3304,[1]startdates!$A$2:$A$10,[1]startdates!$B$2:$B$10)</f>
        <v>SMr</v>
      </c>
      <c r="H3304">
        <v>4</v>
      </c>
      <c r="I3304" s="7">
        <v>652</v>
      </c>
      <c r="N3304" s="7">
        <v>215.7</v>
      </c>
    </row>
    <row r="3305" spans="1:21" x14ac:dyDescent="0.2">
      <c r="A3305">
        <v>3304</v>
      </c>
      <c r="B3305" s="1">
        <v>40813</v>
      </c>
      <c r="C3305" t="s">
        <v>24</v>
      </c>
      <c r="D3305" s="7">
        <v>75</v>
      </c>
      <c r="E3305" s="7">
        <v>12</v>
      </c>
      <c r="F3305" s="7">
        <f t="shared" ref="F3305:F3368" si="52">WEEKDAY(B3305)</f>
        <v>3</v>
      </c>
      <c r="G3305" s="7" t="str">
        <f>LOOKUP(H3305,[1]startdates!$A$2:$A$10,[1]startdates!$B$2:$B$10)</f>
        <v>SMr</v>
      </c>
      <c r="H3305">
        <v>4</v>
      </c>
      <c r="I3305" s="7">
        <v>606.6</v>
      </c>
      <c r="N3305" s="7">
        <v>261.2</v>
      </c>
    </row>
    <row r="3306" spans="1:21" x14ac:dyDescent="0.2">
      <c r="A3306">
        <v>3305</v>
      </c>
      <c r="B3306" s="1">
        <v>40813</v>
      </c>
      <c r="C3306" t="s">
        <v>24</v>
      </c>
      <c r="D3306" s="7">
        <v>75</v>
      </c>
      <c r="E3306" s="7">
        <v>12</v>
      </c>
      <c r="F3306" s="7">
        <f t="shared" si="52"/>
        <v>3</v>
      </c>
      <c r="G3306" s="7" t="str">
        <f>LOOKUP(H3306,[1]startdates!$A$2:$A$10,[1]startdates!$B$2:$B$10)</f>
        <v>SMr</v>
      </c>
      <c r="H3306">
        <v>4</v>
      </c>
      <c r="I3306" s="7">
        <v>551.1</v>
      </c>
      <c r="N3306" s="7">
        <v>287.2</v>
      </c>
    </row>
    <row r="3307" spans="1:21" x14ac:dyDescent="0.2">
      <c r="A3307">
        <v>3306</v>
      </c>
      <c r="B3307" s="1">
        <v>40813</v>
      </c>
      <c r="C3307" t="s">
        <v>28</v>
      </c>
      <c r="D3307" s="7">
        <v>75</v>
      </c>
      <c r="E3307" s="7">
        <v>12</v>
      </c>
      <c r="F3307" s="7">
        <f t="shared" si="52"/>
        <v>3</v>
      </c>
      <c r="G3307" s="7" t="str">
        <f>LOOKUP(H3307,[1]startdates!$A$2:$A$10,[1]startdates!$B$2:$B$10)</f>
        <v>C</v>
      </c>
      <c r="H3307">
        <v>5</v>
      </c>
      <c r="I3307" s="7">
        <v>601.5</v>
      </c>
      <c r="J3307" s="7">
        <v>520.79999999999995</v>
      </c>
      <c r="K3307" s="7">
        <v>553.5</v>
      </c>
      <c r="L3307" s="7">
        <v>496</v>
      </c>
      <c r="M3307" s="7">
        <v>317.39999999999998</v>
      </c>
      <c r="N3307" s="7">
        <v>213.7</v>
      </c>
      <c r="O3307" s="7">
        <v>165.5</v>
      </c>
      <c r="P3307" s="7">
        <v>527.1</v>
      </c>
      <c r="Q3307" s="7">
        <v>401</v>
      </c>
      <c r="R3307" s="7">
        <v>268</v>
      </c>
      <c r="S3307" s="7">
        <v>290.10000000000002</v>
      </c>
    </row>
    <row r="3308" spans="1:21" x14ac:dyDescent="0.2">
      <c r="A3308">
        <v>3307</v>
      </c>
      <c r="B3308" s="1">
        <v>40813</v>
      </c>
      <c r="C3308" t="s">
        <v>28</v>
      </c>
      <c r="D3308" s="7">
        <v>75</v>
      </c>
      <c r="E3308" s="7">
        <v>12</v>
      </c>
      <c r="F3308" s="7">
        <f t="shared" si="52"/>
        <v>3</v>
      </c>
      <c r="G3308" s="7" t="str">
        <f>LOOKUP(H3308,[1]startdates!$A$2:$A$10,[1]startdates!$B$2:$B$10)</f>
        <v>C</v>
      </c>
      <c r="H3308">
        <v>5</v>
      </c>
      <c r="I3308" s="7">
        <v>707.9</v>
      </c>
      <c r="K3308" s="7">
        <v>540</v>
      </c>
      <c r="L3308" s="7">
        <v>654.1</v>
      </c>
      <c r="M3308" s="7">
        <v>390.9</v>
      </c>
      <c r="N3308" s="7">
        <v>261.5</v>
      </c>
      <c r="O3308" s="7">
        <v>187.7</v>
      </c>
      <c r="P3308" s="7">
        <v>453</v>
      </c>
      <c r="Q3308" s="7">
        <v>312.60000000000002</v>
      </c>
      <c r="R3308" s="7">
        <v>250.8</v>
      </c>
      <c r="S3308" s="7">
        <v>286.8</v>
      </c>
    </row>
    <row r="3309" spans="1:21" x14ac:dyDescent="0.2">
      <c r="A3309">
        <v>3308</v>
      </c>
      <c r="B3309" s="1">
        <v>40813</v>
      </c>
      <c r="C3309" t="s">
        <v>28</v>
      </c>
      <c r="D3309" s="7">
        <v>75</v>
      </c>
      <c r="E3309" s="7">
        <v>12</v>
      </c>
      <c r="F3309" s="7">
        <f t="shared" si="52"/>
        <v>3</v>
      </c>
      <c r="G3309" s="7" t="str">
        <f>LOOKUP(H3309,[1]startdates!$A$2:$A$10,[1]startdates!$B$2:$B$10)</f>
        <v>C</v>
      </c>
      <c r="H3309">
        <v>5</v>
      </c>
      <c r="I3309" s="7">
        <v>577.4</v>
      </c>
      <c r="K3309" s="7">
        <v>546.4</v>
      </c>
      <c r="L3309" s="7">
        <v>453.5</v>
      </c>
      <c r="M3309" s="7">
        <v>366.3</v>
      </c>
      <c r="N3309" s="7">
        <v>272.39999999999998</v>
      </c>
      <c r="O3309" s="7">
        <v>199.4</v>
      </c>
      <c r="P3309" s="7">
        <v>452.1</v>
      </c>
      <c r="R3309" s="7">
        <v>268</v>
      </c>
    </row>
    <row r="3310" spans="1:21" x14ac:dyDescent="0.2">
      <c r="A3310">
        <v>3309</v>
      </c>
      <c r="B3310" s="1">
        <v>40813</v>
      </c>
      <c r="C3310" t="s">
        <v>28</v>
      </c>
      <c r="D3310" s="7">
        <v>75</v>
      </c>
      <c r="E3310" s="7">
        <v>12</v>
      </c>
      <c r="F3310" s="7">
        <f t="shared" si="52"/>
        <v>3</v>
      </c>
      <c r="G3310" s="7" t="str">
        <f>LOOKUP(H3310,[1]startdates!$A$2:$A$10,[1]startdates!$B$2:$B$10)</f>
        <v>C</v>
      </c>
      <c r="H3310">
        <v>5</v>
      </c>
      <c r="I3310" s="7">
        <v>645.29999999999995</v>
      </c>
      <c r="K3310" s="7">
        <v>542.6</v>
      </c>
      <c r="M3310" s="7">
        <v>341.1</v>
      </c>
      <c r="N3310" s="7">
        <v>241.5</v>
      </c>
      <c r="O3310" s="7">
        <v>200.3</v>
      </c>
      <c r="R3310" s="7">
        <v>253.9</v>
      </c>
    </row>
    <row r="3311" spans="1:21" x14ac:dyDescent="0.2">
      <c r="A3311">
        <v>3310</v>
      </c>
      <c r="B3311" s="1">
        <v>40813</v>
      </c>
      <c r="C3311" t="s">
        <v>28</v>
      </c>
      <c r="D3311" s="7">
        <v>75</v>
      </c>
      <c r="E3311" s="7">
        <v>12</v>
      </c>
      <c r="F3311" s="7">
        <f t="shared" si="52"/>
        <v>3</v>
      </c>
      <c r="G3311" s="7" t="str">
        <f>LOOKUP(H3311,[1]startdates!$A$2:$A$10,[1]startdates!$B$2:$B$10)</f>
        <v>C</v>
      </c>
      <c r="H3311">
        <v>5</v>
      </c>
      <c r="I3311" s="7">
        <v>589.79999999999995</v>
      </c>
      <c r="K3311" s="7">
        <v>541.20000000000005</v>
      </c>
      <c r="M3311" s="7">
        <v>359.5</v>
      </c>
      <c r="N3311" s="7">
        <v>233.9</v>
      </c>
      <c r="O3311" s="7">
        <v>171.3</v>
      </c>
      <c r="R3311" s="7">
        <v>255.6</v>
      </c>
    </row>
    <row r="3312" spans="1:21" x14ac:dyDescent="0.2">
      <c r="A3312">
        <v>3311</v>
      </c>
      <c r="B3312" s="1">
        <v>40813</v>
      </c>
      <c r="C3312" t="s">
        <v>28</v>
      </c>
      <c r="D3312" s="7">
        <v>75</v>
      </c>
      <c r="E3312" s="7">
        <v>12</v>
      </c>
      <c r="F3312" s="7">
        <f t="shared" si="52"/>
        <v>3</v>
      </c>
      <c r="G3312" s="7" t="str">
        <f>LOOKUP(H3312,[1]startdates!$A$2:$A$10,[1]startdates!$B$2:$B$10)</f>
        <v>C</v>
      </c>
      <c r="H3312">
        <v>5</v>
      </c>
      <c r="I3312" s="7">
        <v>592.79999999999995</v>
      </c>
      <c r="M3312" s="7">
        <v>386.1</v>
      </c>
      <c r="N3312" s="7">
        <v>222.6</v>
      </c>
      <c r="O3312" s="7">
        <v>177</v>
      </c>
    </row>
    <row r="3313" spans="1:19" x14ac:dyDescent="0.2">
      <c r="A3313">
        <v>3312</v>
      </c>
      <c r="B3313" s="1">
        <v>40813</v>
      </c>
      <c r="C3313" t="s">
        <v>28</v>
      </c>
      <c r="D3313" s="7">
        <v>75</v>
      </c>
      <c r="E3313" s="7">
        <v>12</v>
      </c>
      <c r="F3313" s="7">
        <f t="shared" si="52"/>
        <v>3</v>
      </c>
      <c r="G3313" s="7" t="str">
        <f>LOOKUP(H3313,[1]startdates!$A$2:$A$10,[1]startdates!$B$2:$B$10)</f>
        <v>C</v>
      </c>
      <c r="H3313">
        <v>5</v>
      </c>
      <c r="I3313" s="7">
        <v>602.9</v>
      </c>
      <c r="M3313" s="7">
        <v>328.7</v>
      </c>
      <c r="N3313" s="7">
        <v>206.3</v>
      </c>
      <c r="O3313" s="7">
        <v>156.19999999999999</v>
      </c>
    </row>
    <row r="3314" spans="1:19" x14ac:dyDescent="0.2">
      <c r="A3314">
        <v>3313</v>
      </c>
      <c r="B3314" s="1">
        <v>40813</v>
      </c>
      <c r="C3314" t="s">
        <v>28</v>
      </c>
      <c r="D3314" s="7">
        <v>75</v>
      </c>
      <c r="E3314" s="7">
        <v>12</v>
      </c>
      <c r="F3314" s="7">
        <f t="shared" si="52"/>
        <v>3</v>
      </c>
      <c r="G3314" s="7" t="str">
        <f>LOOKUP(H3314,[1]startdates!$A$2:$A$10,[1]startdates!$B$2:$B$10)</f>
        <v>C</v>
      </c>
      <c r="H3314">
        <v>5</v>
      </c>
      <c r="I3314" s="7">
        <v>640.4</v>
      </c>
      <c r="M3314" s="7">
        <v>376.2</v>
      </c>
      <c r="N3314" s="7">
        <v>235.7</v>
      </c>
      <c r="O3314" s="7">
        <v>161.5</v>
      </c>
    </row>
    <row r="3315" spans="1:19" x14ac:dyDescent="0.2">
      <c r="A3315">
        <v>3314</v>
      </c>
      <c r="B3315" s="1">
        <v>40813</v>
      </c>
      <c r="C3315" t="s">
        <v>28</v>
      </c>
      <c r="D3315" s="7">
        <v>75</v>
      </c>
      <c r="E3315" s="7">
        <v>12</v>
      </c>
      <c r="F3315" s="7">
        <f t="shared" si="52"/>
        <v>3</v>
      </c>
      <c r="G3315" s="7" t="str">
        <f>LOOKUP(H3315,[1]startdates!$A$2:$A$10,[1]startdates!$B$2:$B$10)</f>
        <v>C</v>
      </c>
      <c r="H3315">
        <v>5</v>
      </c>
      <c r="I3315" s="7">
        <v>633.20000000000005</v>
      </c>
      <c r="M3315" s="7">
        <v>365.1</v>
      </c>
      <c r="N3315" s="7">
        <v>231.1</v>
      </c>
      <c r="O3315" s="7">
        <v>163</v>
      </c>
    </row>
    <row r="3316" spans="1:19" x14ac:dyDescent="0.2">
      <c r="A3316">
        <v>3315</v>
      </c>
      <c r="B3316" s="1">
        <v>40813</v>
      </c>
      <c r="C3316" t="s">
        <v>28</v>
      </c>
      <c r="D3316" s="7">
        <v>75</v>
      </c>
      <c r="E3316" s="7">
        <v>12</v>
      </c>
      <c r="F3316" s="7">
        <f t="shared" si="52"/>
        <v>3</v>
      </c>
      <c r="G3316" s="7" t="str">
        <f>LOOKUP(H3316,[1]startdates!$A$2:$A$10,[1]startdates!$B$2:$B$10)</f>
        <v>C</v>
      </c>
      <c r="H3316">
        <v>5</v>
      </c>
      <c r="I3316" s="7">
        <v>722</v>
      </c>
      <c r="M3316" s="7">
        <v>310.39999999999998</v>
      </c>
      <c r="N3316" s="7">
        <v>271</v>
      </c>
      <c r="O3316" s="7">
        <v>163</v>
      </c>
    </row>
    <row r="3317" spans="1:19" x14ac:dyDescent="0.2">
      <c r="A3317">
        <v>3316</v>
      </c>
      <c r="B3317" s="1">
        <v>40813</v>
      </c>
      <c r="C3317" t="s">
        <v>28</v>
      </c>
      <c r="D3317" s="7">
        <v>75</v>
      </c>
      <c r="E3317" s="7">
        <v>12</v>
      </c>
      <c r="F3317" s="7">
        <f t="shared" si="52"/>
        <v>3</v>
      </c>
      <c r="G3317" s="7" t="str">
        <f>LOOKUP(H3317,[1]startdates!$A$2:$A$10,[1]startdates!$B$2:$B$10)</f>
        <v>C</v>
      </c>
      <c r="H3317">
        <v>5</v>
      </c>
      <c r="I3317" s="7">
        <v>592.9</v>
      </c>
      <c r="M3317" s="7">
        <v>314.60000000000002</v>
      </c>
    </row>
    <row r="3318" spans="1:19" x14ac:dyDescent="0.2">
      <c r="A3318">
        <v>3317</v>
      </c>
      <c r="B3318" s="1">
        <v>40813</v>
      </c>
      <c r="C3318" t="s">
        <v>28</v>
      </c>
      <c r="D3318" s="7">
        <v>75</v>
      </c>
      <c r="E3318" s="7">
        <v>12</v>
      </c>
      <c r="F3318" s="7">
        <f t="shared" si="52"/>
        <v>3</v>
      </c>
      <c r="G3318" s="7" t="str">
        <f>LOOKUP(H3318,[1]startdates!$A$2:$A$10,[1]startdates!$B$2:$B$10)</f>
        <v>C</v>
      </c>
      <c r="H3318">
        <v>5</v>
      </c>
      <c r="M3318" s="7">
        <v>329.1</v>
      </c>
    </row>
    <row r="3319" spans="1:19" x14ac:dyDescent="0.2">
      <c r="A3319">
        <v>3318</v>
      </c>
      <c r="B3319" s="1">
        <v>40813</v>
      </c>
      <c r="C3319" t="s">
        <v>28</v>
      </c>
      <c r="D3319" s="7">
        <v>75</v>
      </c>
      <c r="E3319" s="7">
        <v>12</v>
      </c>
      <c r="F3319" s="7">
        <f t="shared" si="52"/>
        <v>3</v>
      </c>
      <c r="G3319" s="7" t="str">
        <f>LOOKUP(H3319,[1]startdates!$A$2:$A$10,[1]startdates!$B$2:$B$10)</f>
        <v>C</v>
      </c>
      <c r="H3319">
        <v>5</v>
      </c>
      <c r="M3319" s="7">
        <v>375.8</v>
      </c>
    </row>
    <row r="3320" spans="1:19" x14ac:dyDescent="0.2">
      <c r="A3320">
        <v>3319</v>
      </c>
      <c r="B3320" s="1">
        <v>40813</v>
      </c>
      <c r="C3320" t="s">
        <v>24</v>
      </c>
      <c r="D3320" s="7">
        <v>75</v>
      </c>
      <c r="E3320" s="7">
        <v>12</v>
      </c>
      <c r="F3320" s="7">
        <f t="shared" si="52"/>
        <v>3</v>
      </c>
      <c r="G3320" s="7" t="str">
        <f>LOOKUP(H3320,[1]startdates!$A$2:$A$10,[1]startdates!$B$2:$B$10)</f>
        <v>FMr</v>
      </c>
      <c r="H3320">
        <v>6</v>
      </c>
      <c r="I3320" s="7">
        <v>662.8</v>
      </c>
      <c r="J3320" s="7">
        <v>561.9</v>
      </c>
      <c r="K3320" s="7">
        <v>526</v>
      </c>
      <c r="L3320" s="7">
        <v>450.4</v>
      </c>
      <c r="M3320" s="7">
        <v>339.2</v>
      </c>
      <c r="N3320" s="7">
        <v>228.2</v>
      </c>
      <c r="O3320" s="7">
        <v>182.2</v>
      </c>
      <c r="P3320" s="7">
        <v>449.7</v>
      </c>
      <c r="Q3320" s="7">
        <v>416.6</v>
      </c>
      <c r="R3320" s="7">
        <v>270.8</v>
      </c>
      <c r="S3320" s="7">
        <v>270.3</v>
      </c>
    </row>
    <row r="3321" spans="1:19" x14ac:dyDescent="0.2">
      <c r="A3321">
        <v>3320</v>
      </c>
      <c r="B3321" s="1">
        <v>40813</v>
      </c>
      <c r="C3321" t="s">
        <v>24</v>
      </c>
      <c r="D3321" s="7">
        <v>75</v>
      </c>
      <c r="E3321" s="7">
        <v>12</v>
      </c>
      <c r="F3321" s="7">
        <f t="shared" si="52"/>
        <v>3</v>
      </c>
      <c r="G3321" s="7" t="str">
        <f>LOOKUP(H3321,[1]startdates!$A$2:$A$10,[1]startdates!$B$2:$B$10)</f>
        <v>FMr</v>
      </c>
      <c r="H3321">
        <v>6</v>
      </c>
      <c r="I3321" s="7">
        <v>692.5</v>
      </c>
      <c r="K3321" s="7">
        <v>529.4</v>
      </c>
      <c r="L3321" s="7">
        <v>430.2</v>
      </c>
      <c r="M3321" s="7">
        <v>352</v>
      </c>
      <c r="N3321" s="7">
        <v>250.4</v>
      </c>
      <c r="O3321" s="7">
        <v>176.8</v>
      </c>
      <c r="P3321" s="7">
        <v>502</v>
      </c>
      <c r="R3321" s="7">
        <v>268.2</v>
      </c>
    </row>
    <row r="3322" spans="1:19" x14ac:dyDescent="0.2">
      <c r="A3322">
        <v>3321</v>
      </c>
      <c r="B3322" s="1">
        <v>40813</v>
      </c>
      <c r="C3322" t="s">
        <v>24</v>
      </c>
      <c r="D3322" s="7">
        <v>75</v>
      </c>
      <c r="E3322" s="7">
        <v>12</v>
      </c>
      <c r="F3322" s="7">
        <f t="shared" si="52"/>
        <v>3</v>
      </c>
      <c r="G3322" s="7" t="str">
        <f>LOOKUP(H3322,[1]startdates!$A$2:$A$10,[1]startdates!$B$2:$B$10)</f>
        <v>FMr</v>
      </c>
      <c r="H3322">
        <v>6</v>
      </c>
      <c r="I3322" s="7">
        <v>578.5</v>
      </c>
      <c r="K3322" s="7">
        <v>599.5</v>
      </c>
      <c r="L3322" s="7">
        <v>420.5</v>
      </c>
      <c r="M3322" s="7">
        <v>348</v>
      </c>
      <c r="N3322" s="7">
        <v>244.8</v>
      </c>
      <c r="O3322" s="7">
        <v>192.9</v>
      </c>
      <c r="P3322" s="7">
        <v>507.4</v>
      </c>
      <c r="R3322" s="7">
        <v>280.39999999999998</v>
      </c>
    </row>
    <row r="3323" spans="1:19" x14ac:dyDescent="0.2">
      <c r="A3323">
        <v>3322</v>
      </c>
      <c r="B3323" s="1">
        <v>40813</v>
      </c>
      <c r="C3323" t="s">
        <v>24</v>
      </c>
      <c r="D3323" s="7">
        <v>75</v>
      </c>
      <c r="E3323" s="7">
        <v>12</v>
      </c>
      <c r="F3323" s="7">
        <f t="shared" si="52"/>
        <v>3</v>
      </c>
      <c r="G3323" s="7" t="str">
        <f>LOOKUP(H3323,[1]startdates!$A$2:$A$10,[1]startdates!$B$2:$B$10)</f>
        <v>FMr</v>
      </c>
      <c r="H3323">
        <v>6</v>
      </c>
      <c r="I3323" s="7">
        <v>666.6</v>
      </c>
      <c r="K3323" s="7">
        <v>527.5</v>
      </c>
      <c r="L3323" s="7">
        <v>510.6</v>
      </c>
      <c r="M3323" s="7">
        <v>358.9</v>
      </c>
      <c r="N3323" s="7">
        <v>220.6</v>
      </c>
      <c r="O3323" s="7">
        <v>156.30000000000001</v>
      </c>
    </row>
    <row r="3324" spans="1:19" x14ac:dyDescent="0.2">
      <c r="A3324">
        <v>3323</v>
      </c>
      <c r="B3324" s="1">
        <v>40813</v>
      </c>
      <c r="C3324" t="s">
        <v>24</v>
      </c>
      <c r="D3324" s="7">
        <v>75</v>
      </c>
      <c r="E3324" s="7">
        <v>12</v>
      </c>
      <c r="F3324" s="7">
        <f t="shared" si="52"/>
        <v>3</v>
      </c>
      <c r="G3324" s="7" t="str">
        <f>LOOKUP(H3324,[1]startdates!$A$2:$A$10,[1]startdates!$B$2:$B$10)</f>
        <v>FMr</v>
      </c>
      <c r="H3324">
        <v>6</v>
      </c>
      <c r="I3324" s="7">
        <v>608.79999999999995</v>
      </c>
      <c r="K3324" s="7">
        <v>614.9</v>
      </c>
      <c r="L3324" s="7">
        <v>423.1</v>
      </c>
      <c r="M3324" s="7">
        <v>397.9</v>
      </c>
      <c r="N3324" s="7">
        <v>217.7</v>
      </c>
      <c r="O3324" s="7">
        <v>177.7</v>
      </c>
    </row>
    <row r="3325" spans="1:19" x14ac:dyDescent="0.2">
      <c r="A3325">
        <v>3324</v>
      </c>
      <c r="B3325" s="1">
        <v>40813</v>
      </c>
      <c r="C3325" t="s">
        <v>24</v>
      </c>
      <c r="D3325" s="7">
        <v>75</v>
      </c>
      <c r="E3325" s="7">
        <v>12</v>
      </c>
      <c r="F3325" s="7">
        <f t="shared" si="52"/>
        <v>3</v>
      </c>
      <c r="G3325" s="7" t="str">
        <f>LOOKUP(H3325,[1]startdates!$A$2:$A$10,[1]startdates!$B$2:$B$10)</f>
        <v>FMr</v>
      </c>
      <c r="H3325">
        <v>6</v>
      </c>
      <c r="I3325" s="7">
        <v>563.6</v>
      </c>
      <c r="K3325" s="7">
        <v>571.9</v>
      </c>
      <c r="M3325" s="7">
        <v>350.5</v>
      </c>
      <c r="N3325" s="7">
        <v>247.7</v>
      </c>
      <c r="O3325" s="7">
        <v>171.8</v>
      </c>
    </row>
    <row r="3326" spans="1:19" x14ac:dyDescent="0.2">
      <c r="A3326">
        <v>3325</v>
      </c>
      <c r="B3326" s="1">
        <v>40813</v>
      </c>
      <c r="C3326" t="s">
        <v>24</v>
      </c>
      <c r="D3326" s="7">
        <v>75</v>
      </c>
      <c r="E3326" s="7">
        <v>12</v>
      </c>
      <c r="F3326" s="7">
        <f t="shared" si="52"/>
        <v>3</v>
      </c>
      <c r="G3326" s="7" t="str">
        <f>LOOKUP(H3326,[1]startdates!$A$2:$A$10,[1]startdates!$B$2:$B$10)</f>
        <v>FMr</v>
      </c>
      <c r="H3326">
        <v>6</v>
      </c>
      <c r="I3326" s="7">
        <v>591.79999999999995</v>
      </c>
      <c r="K3326" s="7">
        <v>573.29999999999995</v>
      </c>
      <c r="M3326" s="7">
        <v>322</v>
      </c>
      <c r="N3326" s="7">
        <v>303</v>
      </c>
      <c r="O3326" s="7">
        <v>180.1</v>
      </c>
    </row>
    <row r="3327" spans="1:19" x14ac:dyDescent="0.2">
      <c r="A3327">
        <v>3326</v>
      </c>
      <c r="B3327" s="1">
        <v>40813</v>
      </c>
      <c r="C3327" t="s">
        <v>24</v>
      </c>
      <c r="D3327" s="7">
        <v>75</v>
      </c>
      <c r="E3327" s="7">
        <v>12</v>
      </c>
      <c r="F3327" s="7">
        <f t="shared" si="52"/>
        <v>3</v>
      </c>
      <c r="G3327" s="7" t="str">
        <f>LOOKUP(H3327,[1]startdates!$A$2:$A$10,[1]startdates!$B$2:$B$10)</f>
        <v>FMr</v>
      </c>
      <c r="H3327">
        <v>6</v>
      </c>
      <c r="K3327" s="7">
        <v>538.4</v>
      </c>
      <c r="M3327" s="7">
        <v>370.5</v>
      </c>
      <c r="N3327" s="7">
        <v>233.5</v>
      </c>
      <c r="O3327" s="7">
        <v>181.3</v>
      </c>
    </row>
    <row r="3328" spans="1:19" x14ac:dyDescent="0.2">
      <c r="A3328">
        <v>3327</v>
      </c>
      <c r="B3328" s="1">
        <v>40813</v>
      </c>
      <c r="C3328" t="s">
        <v>24</v>
      </c>
      <c r="D3328" s="7">
        <v>75</v>
      </c>
      <c r="E3328" s="7">
        <v>12</v>
      </c>
      <c r="F3328" s="7">
        <f t="shared" si="52"/>
        <v>3</v>
      </c>
      <c r="G3328" s="7" t="str">
        <f>LOOKUP(H3328,[1]startdates!$A$2:$A$10,[1]startdates!$B$2:$B$10)</f>
        <v>FMr</v>
      </c>
      <c r="H3328">
        <v>6</v>
      </c>
      <c r="K3328" s="7">
        <v>425.4</v>
      </c>
      <c r="N3328" s="7">
        <v>231.8</v>
      </c>
      <c r="O3328" s="7">
        <v>141.1</v>
      </c>
    </row>
    <row r="3329" spans="1:17" x14ac:dyDescent="0.2">
      <c r="A3329">
        <v>3328</v>
      </c>
      <c r="B3329" s="1">
        <v>40813</v>
      </c>
      <c r="C3329" t="s">
        <v>24</v>
      </c>
      <c r="D3329" s="7">
        <v>75</v>
      </c>
      <c r="E3329" s="7">
        <v>12</v>
      </c>
      <c r="F3329" s="7">
        <f t="shared" si="52"/>
        <v>3</v>
      </c>
      <c r="G3329" s="7" t="str">
        <f>LOOKUP(H3329,[1]startdates!$A$2:$A$10,[1]startdates!$B$2:$B$10)</f>
        <v>FMr</v>
      </c>
      <c r="H3329">
        <v>6</v>
      </c>
      <c r="K3329" s="7">
        <v>510.9</v>
      </c>
      <c r="N3329" s="7">
        <v>236.1</v>
      </c>
      <c r="O3329" s="7">
        <v>178.9</v>
      </c>
    </row>
    <row r="3330" spans="1:17" x14ac:dyDescent="0.2">
      <c r="A3330">
        <v>3329</v>
      </c>
      <c r="B3330" s="1">
        <v>40813</v>
      </c>
      <c r="C3330" t="s">
        <v>24</v>
      </c>
      <c r="D3330" s="7">
        <v>75</v>
      </c>
      <c r="E3330" s="7">
        <v>12</v>
      </c>
      <c r="F3330" s="7">
        <f t="shared" si="52"/>
        <v>3</v>
      </c>
      <c r="G3330" s="7" t="str">
        <f>LOOKUP(H3330,[1]startdates!$A$2:$A$10,[1]startdates!$B$2:$B$10)</f>
        <v>FMr</v>
      </c>
      <c r="H3330">
        <v>6</v>
      </c>
      <c r="K3330" s="7">
        <v>495.7</v>
      </c>
      <c r="N3330" s="7">
        <v>258.39999999999998</v>
      </c>
      <c r="O3330" s="7">
        <v>202.8</v>
      </c>
    </row>
    <row r="3331" spans="1:17" x14ac:dyDescent="0.2">
      <c r="A3331">
        <v>3330</v>
      </c>
      <c r="B3331" s="1">
        <v>40813</v>
      </c>
      <c r="C3331" t="s">
        <v>24</v>
      </c>
      <c r="D3331" s="7">
        <v>75</v>
      </c>
      <c r="E3331" s="7">
        <v>12</v>
      </c>
      <c r="F3331" s="7">
        <f t="shared" si="52"/>
        <v>3</v>
      </c>
      <c r="G3331" s="7" t="str">
        <f>LOOKUP(H3331,[1]startdates!$A$2:$A$10,[1]startdates!$B$2:$B$10)</f>
        <v>FMr</v>
      </c>
      <c r="H3331">
        <v>6</v>
      </c>
      <c r="N3331" s="7">
        <v>201</v>
      </c>
      <c r="O3331" s="7">
        <v>202.8</v>
      </c>
    </row>
    <row r="3332" spans="1:17" x14ac:dyDescent="0.2">
      <c r="A3332">
        <v>3331</v>
      </c>
      <c r="B3332" s="1">
        <v>40813</v>
      </c>
      <c r="C3332" t="s">
        <v>28</v>
      </c>
      <c r="D3332" s="7">
        <v>75</v>
      </c>
      <c r="E3332" s="7">
        <v>12</v>
      </c>
      <c r="F3332" s="7">
        <f t="shared" si="52"/>
        <v>3</v>
      </c>
      <c r="G3332" s="7" t="str">
        <f>LOOKUP(H3332,[1]startdates!$A$2:$A$10,[1]startdates!$B$2:$B$10)</f>
        <v>FMr</v>
      </c>
      <c r="H3332">
        <v>7</v>
      </c>
      <c r="I3332" s="7">
        <v>548.70000000000005</v>
      </c>
      <c r="J3332" s="7">
        <v>554.70000000000005</v>
      </c>
      <c r="K3332" s="7">
        <v>524</v>
      </c>
      <c r="L3332" s="7">
        <v>477</v>
      </c>
      <c r="M3332" s="7">
        <v>325.10000000000002</v>
      </c>
      <c r="N3332" s="7">
        <v>260.2</v>
      </c>
      <c r="O3332" s="7">
        <v>174.6</v>
      </c>
      <c r="P3332" s="7">
        <v>434.4</v>
      </c>
      <c r="Q3332" s="7">
        <v>330.9</v>
      </c>
    </row>
    <row r="3333" spans="1:17" x14ac:dyDescent="0.2">
      <c r="A3333">
        <v>3332</v>
      </c>
      <c r="B3333" s="1">
        <v>40813</v>
      </c>
      <c r="C3333" t="s">
        <v>28</v>
      </c>
      <c r="D3333" s="7">
        <v>75</v>
      </c>
      <c r="E3333" s="7">
        <v>12</v>
      </c>
      <c r="F3333" s="7">
        <f t="shared" si="52"/>
        <v>3</v>
      </c>
      <c r="G3333" s="7" t="str">
        <f>LOOKUP(H3333,[1]startdates!$A$2:$A$10,[1]startdates!$B$2:$B$10)</f>
        <v>FMr</v>
      </c>
      <c r="H3333">
        <v>7</v>
      </c>
      <c r="I3333" s="7">
        <v>622.4</v>
      </c>
      <c r="K3333" s="7">
        <v>507.8</v>
      </c>
      <c r="L3333" s="7">
        <v>427.1</v>
      </c>
      <c r="M3333" s="7">
        <v>303.3</v>
      </c>
      <c r="N3333" s="7">
        <v>260.3</v>
      </c>
      <c r="O3333" s="7">
        <v>170</v>
      </c>
      <c r="P3333" s="7">
        <v>433.1</v>
      </c>
      <c r="Q3333" s="7">
        <v>389.4</v>
      </c>
    </row>
    <row r="3334" spans="1:17" x14ac:dyDescent="0.2">
      <c r="A3334">
        <v>3333</v>
      </c>
      <c r="B3334" s="1">
        <v>40813</v>
      </c>
      <c r="C3334" t="s">
        <v>28</v>
      </c>
      <c r="D3334" s="7">
        <v>75</v>
      </c>
      <c r="E3334" s="7">
        <v>12</v>
      </c>
      <c r="F3334" s="7">
        <f t="shared" si="52"/>
        <v>3</v>
      </c>
      <c r="G3334" s="7" t="str">
        <f>LOOKUP(H3334,[1]startdates!$A$2:$A$10,[1]startdates!$B$2:$B$10)</f>
        <v>FMr</v>
      </c>
      <c r="H3334">
        <v>7</v>
      </c>
      <c r="I3334" s="7">
        <v>621.29999999999995</v>
      </c>
      <c r="K3334" s="7">
        <v>536.1</v>
      </c>
      <c r="L3334" s="7">
        <v>493.4</v>
      </c>
      <c r="M3334" s="7">
        <v>312.10000000000002</v>
      </c>
      <c r="N3334" s="7">
        <v>235.6</v>
      </c>
      <c r="O3334" s="7">
        <v>161.69999999999999</v>
      </c>
      <c r="P3334" s="7">
        <v>441.1</v>
      </c>
      <c r="Q3334" s="7">
        <v>337.2</v>
      </c>
    </row>
    <row r="3335" spans="1:17" x14ac:dyDescent="0.2">
      <c r="A3335">
        <v>3334</v>
      </c>
      <c r="B3335" s="1">
        <v>40813</v>
      </c>
      <c r="C3335" t="s">
        <v>28</v>
      </c>
      <c r="D3335" s="7">
        <v>75</v>
      </c>
      <c r="E3335" s="7">
        <v>12</v>
      </c>
      <c r="F3335" s="7">
        <f t="shared" si="52"/>
        <v>3</v>
      </c>
      <c r="G3335" s="7" t="str">
        <f>LOOKUP(H3335,[1]startdates!$A$2:$A$10,[1]startdates!$B$2:$B$10)</f>
        <v>FMr</v>
      </c>
      <c r="H3335">
        <v>7</v>
      </c>
      <c r="I3335" s="7">
        <v>714.4</v>
      </c>
      <c r="K3335" s="7">
        <v>557.29999999999995</v>
      </c>
      <c r="L3335" s="7">
        <v>453.7</v>
      </c>
      <c r="M3335" s="7">
        <v>392.8</v>
      </c>
      <c r="N3335" s="7">
        <v>251.3</v>
      </c>
      <c r="O3335" s="7">
        <v>144.69999999999999</v>
      </c>
    </row>
    <row r="3336" spans="1:17" x14ac:dyDescent="0.2">
      <c r="A3336">
        <v>3335</v>
      </c>
      <c r="B3336" s="1">
        <v>40813</v>
      </c>
      <c r="C3336" t="s">
        <v>28</v>
      </c>
      <c r="D3336" s="7">
        <v>75</v>
      </c>
      <c r="E3336" s="7">
        <v>12</v>
      </c>
      <c r="F3336" s="7">
        <f t="shared" si="52"/>
        <v>3</v>
      </c>
      <c r="G3336" s="7" t="str">
        <f>LOOKUP(H3336,[1]startdates!$A$2:$A$10,[1]startdates!$B$2:$B$10)</f>
        <v>FMr</v>
      </c>
      <c r="H3336">
        <v>7</v>
      </c>
      <c r="I3336" s="7">
        <v>638.9</v>
      </c>
      <c r="K3336" s="7">
        <v>557.5</v>
      </c>
      <c r="L3336" s="7">
        <v>464.8</v>
      </c>
      <c r="M3336" s="7">
        <v>339.4</v>
      </c>
      <c r="N3336" s="7">
        <v>276.8</v>
      </c>
      <c r="O3336" s="7">
        <v>140.69999999999999</v>
      </c>
    </row>
    <row r="3337" spans="1:17" x14ac:dyDescent="0.2">
      <c r="A3337">
        <v>3336</v>
      </c>
      <c r="B3337" s="1">
        <v>40813</v>
      </c>
      <c r="C3337" t="s">
        <v>28</v>
      </c>
      <c r="D3337" s="7">
        <v>75</v>
      </c>
      <c r="E3337" s="7">
        <v>12</v>
      </c>
      <c r="F3337" s="7">
        <f t="shared" si="52"/>
        <v>3</v>
      </c>
      <c r="G3337" s="7" t="str">
        <f>LOOKUP(H3337,[1]startdates!$A$2:$A$10,[1]startdates!$B$2:$B$10)</f>
        <v>FMr</v>
      </c>
      <c r="H3337">
        <v>7</v>
      </c>
      <c r="I3337" s="7">
        <v>595.79999999999995</v>
      </c>
      <c r="K3337" s="7">
        <v>454.4</v>
      </c>
      <c r="L3337" s="7">
        <v>436.7</v>
      </c>
      <c r="M3337" s="7">
        <v>293.2</v>
      </c>
      <c r="N3337" s="7">
        <v>234.4</v>
      </c>
      <c r="O3337" s="7">
        <v>177.9</v>
      </c>
    </row>
    <row r="3338" spans="1:17" x14ac:dyDescent="0.2">
      <c r="A3338">
        <v>3337</v>
      </c>
      <c r="B3338" s="1">
        <v>40813</v>
      </c>
      <c r="C3338" t="s">
        <v>28</v>
      </c>
      <c r="D3338" s="7">
        <v>75</v>
      </c>
      <c r="E3338" s="7">
        <v>12</v>
      </c>
      <c r="F3338" s="7">
        <f t="shared" si="52"/>
        <v>3</v>
      </c>
      <c r="G3338" s="7" t="str">
        <f>LOOKUP(H3338,[1]startdates!$A$2:$A$10,[1]startdates!$B$2:$B$10)</f>
        <v>FMr</v>
      </c>
      <c r="H3338">
        <v>7</v>
      </c>
      <c r="I3338" s="7">
        <v>584</v>
      </c>
      <c r="K3338" s="7">
        <v>564.70000000000005</v>
      </c>
      <c r="M3338" s="7">
        <v>368.2</v>
      </c>
      <c r="N3338" s="7">
        <v>221</v>
      </c>
      <c r="O3338" s="7">
        <v>171.9</v>
      </c>
    </row>
    <row r="3339" spans="1:17" x14ac:dyDescent="0.2">
      <c r="A3339">
        <v>3338</v>
      </c>
      <c r="B3339" s="1">
        <v>40813</v>
      </c>
      <c r="C3339" t="s">
        <v>28</v>
      </c>
      <c r="D3339" s="7">
        <v>75</v>
      </c>
      <c r="E3339" s="7">
        <v>12</v>
      </c>
      <c r="F3339" s="7">
        <f t="shared" si="52"/>
        <v>3</v>
      </c>
      <c r="G3339" s="7" t="str">
        <f>LOOKUP(H3339,[1]startdates!$A$2:$A$10,[1]startdates!$B$2:$B$10)</f>
        <v>FMr</v>
      </c>
      <c r="H3339">
        <v>7</v>
      </c>
      <c r="I3339" s="7">
        <v>577.6</v>
      </c>
      <c r="K3339" s="7">
        <v>505.3</v>
      </c>
      <c r="M3339" s="7">
        <v>336.1</v>
      </c>
      <c r="N3339" s="7">
        <v>209.6</v>
      </c>
      <c r="O3339" s="7">
        <v>180.5</v>
      </c>
    </row>
    <row r="3340" spans="1:17" x14ac:dyDescent="0.2">
      <c r="A3340">
        <v>3339</v>
      </c>
      <c r="B3340" s="1">
        <v>40813</v>
      </c>
      <c r="C3340" t="s">
        <v>28</v>
      </c>
      <c r="D3340" s="7">
        <v>75</v>
      </c>
      <c r="E3340" s="7">
        <v>12</v>
      </c>
      <c r="F3340" s="7">
        <f t="shared" si="52"/>
        <v>3</v>
      </c>
      <c r="G3340" s="7" t="str">
        <f>LOOKUP(H3340,[1]startdates!$A$2:$A$10,[1]startdates!$B$2:$B$10)</f>
        <v>FMr</v>
      </c>
      <c r="H3340">
        <v>7</v>
      </c>
      <c r="I3340" s="7">
        <v>641.29999999999995</v>
      </c>
      <c r="M3340" s="7">
        <v>312.39999999999998</v>
      </c>
      <c r="N3340" s="7">
        <v>236.1</v>
      </c>
      <c r="O3340" s="7">
        <v>168.1</v>
      </c>
    </row>
    <row r="3341" spans="1:17" x14ac:dyDescent="0.2">
      <c r="A3341">
        <v>3340</v>
      </c>
      <c r="B3341" s="1">
        <v>40813</v>
      </c>
      <c r="C3341" t="s">
        <v>28</v>
      </c>
      <c r="D3341" s="7">
        <v>75</v>
      </c>
      <c r="E3341" s="7">
        <v>12</v>
      </c>
      <c r="F3341" s="7">
        <f t="shared" si="52"/>
        <v>3</v>
      </c>
      <c r="G3341" s="7" t="str">
        <f>LOOKUP(H3341,[1]startdates!$A$2:$A$10,[1]startdates!$B$2:$B$10)</f>
        <v>FMr</v>
      </c>
      <c r="H3341">
        <v>7</v>
      </c>
      <c r="I3341" s="7">
        <v>549.79999999999995</v>
      </c>
      <c r="M3341" s="7">
        <v>306.39999999999998</v>
      </c>
      <c r="N3341" s="7">
        <v>228.3</v>
      </c>
      <c r="O3341" s="7">
        <v>167.9</v>
      </c>
    </row>
    <row r="3342" spans="1:17" x14ac:dyDescent="0.2">
      <c r="A3342">
        <v>3341</v>
      </c>
      <c r="B3342" s="1">
        <v>40813</v>
      </c>
      <c r="C3342" t="s">
        <v>28</v>
      </c>
      <c r="D3342" s="7">
        <v>75</v>
      </c>
      <c r="E3342" s="7">
        <v>12</v>
      </c>
      <c r="F3342" s="7">
        <f t="shared" si="52"/>
        <v>3</v>
      </c>
      <c r="G3342" s="7" t="str">
        <f>LOOKUP(H3342,[1]startdates!$A$2:$A$10,[1]startdates!$B$2:$B$10)</f>
        <v>FMr</v>
      </c>
      <c r="H3342">
        <v>7</v>
      </c>
      <c r="I3342" s="7">
        <v>601.9</v>
      </c>
      <c r="N3342" s="7">
        <v>192</v>
      </c>
    </row>
    <row r="3343" spans="1:17" x14ac:dyDescent="0.2">
      <c r="A3343">
        <v>3342</v>
      </c>
      <c r="B3343" s="1">
        <v>40813</v>
      </c>
      <c r="C3343" t="s">
        <v>28</v>
      </c>
      <c r="D3343" s="7">
        <v>75</v>
      </c>
      <c r="E3343" s="7">
        <v>12</v>
      </c>
      <c r="F3343" s="7">
        <f t="shared" si="52"/>
        <v>3</v>
      </c>
      <c r="G3343" s="7" t="str">
        <f>LOOKUP(H3343,[1]startdates!$A$2:$A$10,[1]startdates!$B$2:$B$10)</f>
        <v>FMr</v>
      </c>
      <c r="H3343">
        <v>7</v>
      </c>
      <c r="I3343" s="7">
        <v>612.5</v>
      </c>
      <c r="N3343" s="7">
        <v>270</v>
      </c>
    </row>
    <row r="3344" spans="1:17" x14ac:dyDescent="0.2">
      <c r="A3344">
        <v>3343</v>
      </c>
      <c r="B3344" s="1">
        <v>40813</v>
      </c>
      <c r="C3344" t="s">
        <v>28</v>
      </c>
      <c r="D3344" s="7">
        <v>75</v>
      </c>
      <c r="E3344" s="7">
        <v>12</v>
      </c>
      <c r="F3344" s="7">
        <f t="shared" si="52"/>
        <v>3</v>
      </c>
      <c r="G3344" s="7" t="str">
        <f>LOOKUP(H3344,[1]startdates!$A$2:$A$10,[1]startdates!$B$2:$B$10)</f>
        <v>FMr</v>
      </c>
      <c r="H3344">
        <v>7</v>
      </c>
      <c r="I3344" s="7">
        <v>553.4</v>
      </c>
      <c r="N3344" s="7">
        <v>220.9</v>
      </c>
    </row>
    <row r="3345" spans="1:22" x14ac:dyDescent="0.2">
      <c r="A3345">
        <v>3344</v>
      </c>
      <c r="B3345" s="1">
        <v>40813</v>
      </c>
      <c r="C3345" t="s">
        <v>28</v>
      </c>
      <c r="D3345" s="7">
        <v>75</v>
      </c>
      <c r="E3345" s="7">
        <v>12</v>
      </c>
      <c r="F3345" s="7">
        <f t="shared" si="52"/>
        <v>3</v>
      </c>
      <c r="G3345" s="7" t="str">
        <f>LOOKUP(H3345,[1]startdates!$A$2:$A$10,[1]startdates!$B$2:$B$10)</f>
        <v>FMr</v>
      </c>
      <c r="H3345">
        <v>7</v>
      </c>
      <c r="N3345" s="7">
        <v>204.2</v>
      </c>
    </row>
    <row r="3346" spans="1:22" x14ac:dyDescent="0.2">
      <c r="A3346">
        <v>3345</v>
      </c>
      <c r="B3346" s="1">
        <v>40813</v>
      </c>
      <c r="C3346" t="s">
        <v>24</v>
      </c>
      <c r="D3346" s="7">
        <v>75</v>
      </c>
      <c r="E3346" s="7">
        <v>12</v>
      </c>
      <c r="F3346" s="7">
        <f t="shared" si="52"/>
        <v>3</v>
      </c>
      <c r="G3346" s="7" t="str">
        <f>LOOKUP(H3346,[1]startdates!$A$2:$A$10,[1]startdates!$B$2:$B$10)</f>
        <v>C</v>
      </c>
      <c r="H3346">
        <v>8</v>
      </c>
      <c r="I3346" s="7">
        <v>652.1</v>
      </c>
      <c r="J3346" s="7">
        <v>577.4</v>
      </c>
      <c r="K3346" s="7">
        <v>582</v>
      </c>
      <c r="L3346" s="7">
        <v>438.2</v>
      </c>
      <c r="M3346" s="7">
        <v>361.1</v>
      </c>
      <c r="N3346" s="7">
        <v>234.8</v>
      </c>
      <c r="O3346" s="7">
        <v>175.6</v>
      </c>
      <c r="Q3346" s="7">
        <v>365.6</v>
      </c>
      <c r="R3346" s="7">
        <v>246.3</v>
      </c>
      <c r="S3346" s="7">
        <v>313.5</v>
      </c>
    </row>
    <row r="3347" spans="1:22" x14ac:dyDescent="0.2">
      <c r="A3347">
        <v>3346</v>
      </c>
      <c r="B3347" s="1">
        <v>40813</v>
      </c>
      <c r="C3347" t="s">
        <v>24</v>
      </c>
      <c r="D3347" s="7">
        <v>75</v>
      </c>
      <c r="E3347" s="7">
        <v>12</v>
      </c>
      <c r="F3347" s="7">
        <f t="shared" si="52"/>
        <v>3</v>
      </c>
      <c r="G3347" s="7" t="str">
        <f>LOOKUP(H3347,[1]startdates!$A$2:$A$10,[1]startdates!$B$2:$B$10)</f>
        <v>C</v>
      </c>
      <c r="H3347">
        <v>8</v>
      </c>
      <c r="I3347" s="7">
        <v>722.9</v>
      </c>
      <c r="J3347" s="7">
        <v>517.4</v>
      </c>
      <c r="K3347" s="7">
        <v>583.6</v>
      </c>
      <c r="M3347" s="7">
        <v>348.1</v>
      </c>
      <c r="N3347" s="7">
        <v>180</v>
      </c>
      <c r="O3347" s="7">
        <v>185</v>
      </c>
      <c r="R3347" s="7">
        <v>287.3</v>
      </c>
      <c r="S3347" s="7">
        <v>289.39999999999998</v>
      </c>
    </row>
    <row r="3348" spans="1:22" x14ac:dyDescent="0.2">
      <c r="A3348">
        <v>3347</v>
      </c>
      <c r="B3348" s="1">
        <v>40813</v>
      </c>
      <c r="C3348" t="s">
        <v>24</v>
      </c>
      <c r="D3348" s="7">
        <v>75</v>
      </c>
      <c r="E3348" s="7">
        <v>12</v>
      </c>
      <c r="F3348" s="7">
        <f t="shared" si="52"/>
        <v>3</v>
      </c>
      <c r="G3348" s="7" t="str">
        <f>LOOKUP(H3348,[1]startdates!$A$2:$A$10,[1]startdates!$B$2:$B$10)</f>
        <v>C</v>
      </c>
      <c r="H3348">
        <v>8</v>
      </c>
      <c r="I3348" s="7">
        <v>627.20000000000005</v>
      </c>
      <c r="J3348" s="7">
        <v>634.1</v>
      </c>
      <c r="K3348" s="7">
        <v>594.20000000000005</v>
      </c>
      <c r="M3348" s="7">
        <v>356.4</v>
      </c>
      <c r="N3348" s="7">
        <v>260.5</v>
      </c>
      <c r="O3348" s="7">
        <v>166.4</v>
      </c>
      <c r="S3348" s="7">
        <v>304.60000000000002</v>
      </c>
    </row>
    <row r="3349" spans="1:22" x14ac:dyDescent="0.2">
      <c r="A3349">
        <v>3348</v>
      </c>
      <c r="B3349" s="1">
        <v>40813</v>
      </c>
      <c r="C3349" t="s">
        <v>24</v>
      </c>
      <c r="D3349" s="7">
        <v>75</v>
      </c>
      <c r="E3349" s="7">
        <v>12</v>
      </c>
      <c r="F3349" s="7">
        <f t="shared" si="52"/>
        <v>3</v>
      </c>
      <c r="G3349" s="7" t="str">
        <f>LOOKUP(H3349,[1]startdates!$A$2:$A$10,[1]startdates!$B$2:$B$10)</f>
        <v>C</v>
      </c>
      <c r="H3349">
        <v>8</v>
      </c>
      <c r="I3349" s="7">
        <v>730.6</v>
      </c>
      <c r="J3349" s="7">
        <v>550.79999999999995</v>
      </c>
      <c r="K3349" s="7">
        <v>708.1</v>
      </c>
      <c r="M3349" s="7">
        <v>272.7</v>
      </c>
      <c r="N3349" s="7">
        <v>235.7</v>
      </c>
      <c r="O3349" s="7">
        <v>181</v>
      </c>
      <c r="S3349" s="7">
        <v>268.8</v>
      </c>
    </row>
    <row r="3350" spans="1:22" x14ac:dyDescent="0.2">
      <c r="A3350">
        <v>3349</v>
      </c>
      <c r="B3350" s="1">
        <v>40813</v>
      </c>
      <c r="C3350" t="s">
        <v>24</v>
      </c>
      <c r="D3350" s="7">
        <v>75</v>
      </c>
      <c r="E3350" s="7">
        <v>12</v>
      </c>
      <c r="F3350" s="7">
        <f t="shared" si="52"/>
        <v>3</v>
      </c>
      <c r="G3350" s="7" t="str">
        <f>LOOKUP(H3350,[1]startdates!$A$2:$A$10,[1]startdates!$B$2:$B$10)</f>
        <v>C</v>
      </c>
      <c r="H3350">
        <v>8</v>
      </c>
      <c r="I3350" s="7">
        <v>696.7</v>
      </c>
      <c r="K3350" s="7">
        <v>536.4</v>
      </c>
      <c r="M3350" s="7">
        <v>343.2</v>
      </c>
      <c r="N3350" s="7">
        <v>272</v>
      </c>
      <c r="O3350" s="7">
        <v>190.1</v>
      </c>
      <c r="S3350" s="7">
        <v>303.2</v>
      </c>
    </row>
    <row r="3351" spans="1:22" x14ac:dyDescent="0.2">
      <c r="A3351">
        <v>3350</v>
      </c>
      <c r="B3351" s="1">
        <v>40813</v>
      </c>
      <c r="C3351" t="s">
        <v>24</v>
      </c>
      <c r="D3351" s="7">
        <v>75</v>
      </c>
      <c r="E3351" s="7">
        <v>12</v>
      </c>
      <c r="F3351" s="7">
        <f t="shared" si="52"/>
        <v>3</v>
      </c>
      <c r="G3351" s="7" t="str">
        <f>LOOKUP(H3351,[1]startdates!$A$2:$A$10,[1]startdates!$B$2:$B$10)</f>
        <v>C</v>
      </c>
      <c r="H3351">
        <v>8</v>
      </c>
      <c r="I3351" s="7">
        <v>590.29999999999995</v>
      </c>
      <c r="M3351" s="7">
        <v>350.7</v>
      </c>
      <c r="N3351" s="7">
        <v>187.5</v>
      </c>
      <c r="O3351" s="7">
        <v>178.1</v>
      </c>
      <c r="S3351" s="7">
        <v>285</v>
      </c>
    </row>
    <row r="3352" spans="1:22" x14ac:dyDescent="0.2">
      <c r="A3352">
        <v>3351</v>
      </c>
      <c r="B3352" s="1">
        <v>40813</v>
      </c>
      <c r="C3352" t="s">
        <v>24</v>
      </c>
      <c r="D3352" s="7">
        <v>75</v>
      </c>
      <c r="E3352" s="7">
        <v>12</v>
      </c>
      <c r="F3352" s="7">
        <f t="shared" si="52"/>
        <v>3</v>
      </c>
      <c r="G3352" s="7" t="str">
        <f>LOOKUP(H3352,[1]startdates!$A$2:$A$10,[1]startdates!$B$2:$B$10)</f>
        <v>C</v>
      </c>
      <c r="H3352">
        <v>8</v>
      </c>
      <c r="M3352" s="7">
        <v>308</v>
      </c>
      <c r="N3352" s="7">
        <v>218.9</v>
      </c>
      <c r="O3352" s="7">
        <v>178.1</v>
      </c>
    </row>
    <row r="3353" spans="1:22" x14ac:dyDescent="0.2">
      <c r="A3353">
        <v>3352</v>
      </c>
      <c r="B3353" s="1">
        <v>40813</v>
      </c>
      <c r="C3353" t="s">
        <v>24</v>
      </c>
      <c r="D3353" s="7">
        <v>75</v>
      </c>
      <c r="E3353" s="7">
        <v>12</v>
      </c>
      <c r="F3353" s="7">
        <f t="shared" si="52"/>
        <v>3</v>
      </c>
      <c r="G3353" s="7" t="str">
        <f>LOOKUP(H3353,[1]startdates!$A$2:$A$10,[1]startdates!$B$2:$B$10)</f>
        <v>C</v>
      </c>
      <c r="H3353">
        <v>8</v>
      </c>
      <c r="M3353" s="7">
        <v>329.4</v>
      </c>
      <c r="N3353" s="7">
        <v>202.5</v>
      </c>
      <c r="O3353" s="7">
        <v>200.9</v>
      </c>
    </row>
    <row r="3354" spans="1:22" x14ac:dyDescent="0.2">
      <c r="A3354">
        <v>3353</v>
      </c>
      <c r="B3354" s="1">
        <v>40813</v>
      </c>
      <c r="C3354" t="s">
        <v>24</v>
      </c>
      <c r="D3354" s="7">
        <v>75</v>
      </c>
      <c r="E3354" s="7">
        <v>12</v>
      </c>
      <c r="F3354" s="7">
        <f t="shared" si="52"/>
        <v>3</v>
      </c>
      <c r="G3354" s="7" t="str">
        <f>LOOKUP(H3354,[1]startdates!$A$2:$A$10,[1]startdates!$B$2:$B$10)</f>
        <v>C</v>
      </c>
      <c r="H3354">
        <v>8</v>
      </c>
      <c r="N3354" s="7">
        <v>207.4</v>
      </c>
      <c r="O3354" s="7">
        <v>184.7</v>
      </c>
    </row>
    <row r="3355" spans="1:22" x14ac:dyDescent="0.2">
      <c r="A3355">
        <v>3354</v>
      </c>
      <c r="B3355" s="1">
        <v>40813</v>
      </c>
      <c r="C3355" t="s">
        <v>24</v>
      </c>
      <c r="D3355" s="7">
        <v>75</v>
      </c>
      <c r="E3355" s="7">
        <v>12</v>
      </c>
      <c r="F3355" s="7">
        <f t="shared" si="52"/>
        <v>3</v>
      </c>
      <c r="G3355" s="7" t="str">
        <f>LOOKUP(H3355,[1]startdates!$A$2:$A$10,[1]startdates!$B$2:$B$10)</f>
        <v>C</v>
      </c>
      <c r="H3355">
        <v>8</v>
      </c>
      <c r="N3355" s="7">
        <v>251.9</v>
      </c>
      <c r="O3355" s="7">
        <v>175</v>
      </c>
    </row>
    <row r="3356" spans="1:22" x14ac:dyDescent="0.2">
      <c r="A3356">
        <v>3355</v>
      </c>
      <c r="B3356" s="1">
        <v>40813</v>
      </c>
      <c r="C3356" t="s">
        <v>24</v>
      </c>
      <c r="D3356" s="7">
        <v>75</v>
      </c>
      <c r="E3356" s="7">
        <v>12</v>
      </c>
      <c r="F3356" s="7">
        <f t="shared" si="52"/>
        <v>3</v>
      </c>
      <c r="G3356" s="7" t="str">
        <f>LOOKUP(H3356,[1]startdates!$A$2:$A$10,[1]startdates!$B$2:$B$10)</f>
        <v>C</v>
      </c>
      <c r="H3356">
        <v>8</v>
      </c>
      <c r="N3356" s="7">
        <v>269</v>
      </c>
    </row>
    <row r="3357" spans="1:22" x14ac:dyDescent="0.2">
      <c r="A3357">
        <v>3356</v>
      </c>
      <c r="B3357" s="1">
        <v>40813</v>
      </c>
      <c r="C3357" t="s">
        <v>28</v>
      </c>
      <c r="D3357" s="7">
        <v>75</v>
      </c>
      <c r="E3357" s="7">
        <v>12</v>
      </c>
      <c r="F3357" s="7">
        <f t="shared" si="52"/>
        <v>3</v>
      </c>
      <c r="G3357" s="7" t="str">
        <f>LOOKUP(H3357,[1]startdates!$A$2:$A$10,[1]startdates!$B$2:$B$10)</f>
        <v>FMr</v>
      </c>
      <c r="H3357">
        <v>9</v>
      </c>
      <c r="I3357" s="7">
        <v>589.4</v>
      </c>
      <c r="J3357" s="7">
        <v>563.9</v>
      </c>
      <c r="K3357" s="7">
        <v>459.6</v>
      </c>
      <c r="L3357" s="7">
        <v>439.3</v>
      </c>
      <c r="M3357" s="7">
        <v>300.60000000000002</v>
      </c>
      <c r="N3357" s="7">
        <v>294.5</v>
      </c>
      <c r="O3357" s="7">
        <v>158.4</v>
      </c>
      <c r="P3357" s="7">
        <v>442.1</v>
      </c>
      <c r="Q3357" s="7">
        <v>361</v>
      </c>
      <c r="R3357" s="7">
        <v>297.2</v>
      </c>
      <c r="V3357" s="7">
        <v>552</v>
      </c>
    </row>
    <row r="3358" spans="1:22" x14ac:dyDescent="0.2">
      <c r="A3358">
        <v>3357</v>
      </c>
      <c r="B3358" s="1">
        <v>40813</v>
      </c>
      <c r="C3358" t="s">
        <v>28</v>
      </c>
      <c r="D3358" s="7">
        <v>75</v>
      </c>
      <c r="E3358" s="7">
        <v>12</v>
      </c>
      <c r="F3358" s="7">
        <f t="shared" si="52"/>
        <v>3</v>
      </c>
      <c r="G3358" s="7" t="str">
        <f>LOOKUP(H3358,[1]startdates!$A$2:$A$10,[1]startdates!$B$2:$B$10)</f>
        <v>FMr</v>
      </c>
      <c r="H3358">
        <v>9</v>
      </c>
      <c r="I3358" s="7">
        <v>578.5</v>
      </c>
      <c r="K3358" s="7">
        <v>563.6</v>
      </c>
      <c r="L3358" s="7">
        <v>419.3</v>
      </c>
      <c r="M3358" s="7">
        <v>379.1</v>
      </c>
      <c r="N3358" s="7">
        <v>191.4</v>
      </c>
      <c r="O3358" s="7">
        <v>146.6</v>
      </c>
      <c r="P3358" s="7">
        <v>405.1</v>
      </c>
      <c r="Q3358" s="7">
        <v>323</v>
      </c>
      <c r="R3358" s="7">
        <v>260.2</v>
      </c>
    </row>
    <row r="3359" spans="1:22" x14ac:dyDescent="0.2">
      <c r="A3359">
        <v>3358</v>
      </c>
      <c r="B3359" s="1">
        <v>40813</v>
      </c>
      <c r="C3359" t="s">
        <v>28</v>
      </c>
      <c r="D3359" s="7">
        <v>75</v>
      </c>
      <c r="E3359" s="7">
        <v>12</v>
      </c>
      <c r="F3359" s="7">
        <f t="shared" si="52"/>
        <v>3</v>
      </c>
      <c r="G3359" s="7" t="str">
        <f>LOOKUP(H3359,[1]startdates!$A$2:$A$10,[1]startdates!$B$2:$B$10)</f>
        <v>FMr</v>
      </c>
      <c r="H3359">
        <v>9</v>
      </c>
      <c r="I3359" s="7">
        <v>622.20000000000005</v>
      </c>
      <c r="K3359" s="7">
        <v>529.6</v>
      </c>
      <c r="M3359" s="7">
        <v>309.39999999999998</v>
      </c>
      <c r="N3359" s="7">
        <v>276.8</v>
      </c>
      <c r="O3359" s="7">
        <v>174.6</v>
      </c>
    </row>
    <row r="3360" spans="1:22" x14ac:dyDescent="0.2">
      <c r="A3360">
        <v>3359</v>
      </c>
      <c r="B3360" s="1">
        <v>40813</v>
      </c>
      <c r="C3360" t="s">
        <v>28</v>
      </c>
      <c r="D3360" s="7">
        <v>75</v>
      </c>
      <c r="E3360" s="7">
        <v>12</v>
      </c>
      <c r="F3360" s="7">
        <f t="shared" si="52"/>
        <v>3</v>
      </c>
      <c r="G3360" s="7" t="str">
        <f>LOOKUP(H3360,[1]startdates!$A$2:$A$10,[1]startdates!$B$2:$B$10)</f>
        <v>FMr</v>
      </c>
      <c r="H3360">
        <v>9</v>
      </c>
      <c r="I3360" s="7">
        <v>560.6</v>
      </c>
      <c r="K3360" s="7">
        <v>505.1</v>
      </c>
      <c r="M3360" s="7">
        <v>352.4</v>
      </c>
      <c r="N3360" s="7">
        <v>217.7</v>
      </c>
      <c r="O3360" s="7">
        <v>196.1</v>
      </c>
    </row>
    <row r="3361" spans="1:19" x14ac:dyDescent="0.2">
      <c r="A3361">
        <v>3360</v>
      </c>
      <c r="B3361" s="1">
        <v>40813</v>
      </c>
      <c r="C3361" t="s">
        <v>28</v>
      </c>
      <c r="D3361" s="7">
        <v>75</v>
      </c>
      <c r="E3361" s="7">
        <v>12</v>
      </c>
      <c r="F3361" s="7">
        <f t="shared" si="52"/>
        <v>3</v>
      </c>
      <c r="G3361" s="7" t="str">
        <f>LOOKUP(H3361,[1]startdates!$A$2:$A$10,[1]startdates!$B$2:$B$10)</f>
        <v>FMr</v>
      </c>
      <c r="H3361">
        <v>9</v>
      </c>
      <c r="I3361" s="7">
        <v>642.4</v>
      </c>
      <c r="K3361" s="7">
        <v>469</v>
      </c>
      <c r="M3361" s="7">
        <v>349.3</v>
      </c>
      <c r="N3361" s="7">
        <v>243.7</v>
      </c>
      <c r="O3361" s="7">
        <v>177</v>
      </c>
    </row>
    <row r="3362" spans="1:19" x14ac:dyDescent="0.2">
      <c r="A3362">
        <v>3361</v>
      </c>
      <c r="B3362" s="1">
        <v>40813</v>
      </c>
      <c r="C3362" t="s">
        <v>28</v>
      </c>
      <c r="D3362" s="7">
        <v>75</v>
      </c>
      <c r="E3362" s="7">
        <v>12</v>
      </c>
      <c r="F3362" s="7">
        <f t="shared" si="52"/>
        <v>3</v>
      </c>
      <c r="G3362" s="7" t="str">
        <f>LOOKUP(H3362,[1]startdates!$A$2:$A$10,[1]startdates!$B$2:$B$10)</f>
        <v>FMr</v>
      </c>
      <c r="H3362">
        <v>9</v>
      </c>
      <c r="I3362" s="7">
        <v>604.29999999999995</v>
      </c>
      <c r="M3362" s="7">
        <v>333.4</v>
      </c>
      <c r="N3362" s="7">
        <v>211</v>
      </c>
      <c r="O3362" s="7">
        <v>157.4</v>
      </c>
    </row>
    <row r="3363" spans="1:19" x14ac:dyDescent="0.2">
      <c r="A3363">
        <v>3362</v>
      </c>
      <c r="B3363" s="1">
        <v>40813</v>
      </c>
      <c r="C3363" t="s">
        <v>28</v>
      </c>
      <c r="D3363" s="7">
        <v>75</v>
      </c>
      <c r="E3363" s="7">
        <v>12</v>
      </c>
      <c r="F3363" s="7">
        <f t="shared" si="52"/>
        <v>3</v>
      </c>
      <c r="G3363" s="7" t="str">
        <f>LOOKUP(H3363,[1]startdates!$A$2:$A$10,[1]startdates!$B$2:$B$10)</f>
        <v>FMr</v>
      </c>
      <c r="H3363">
        <v>9</v>
      </c>
      <c r="I3363" s="7">
        <v>605.4</v>
      </c>
      <c r="M3363" s="7">
        <v>375.2</v>
      </c>
      <c r="N3363" s="7">
        <v>200.3</v>
      </c>
      <c r="O3363" s="7">
        <v>157.4</v>
      </c>
    </row>
    <row r="3364" spans="1:19" x14ac:dyDescent="0.2">
      <c r="A3364">
        <v>3363</v>
      </c>
      <c r="B3364" s="1">
        <v>40813</v>
      </c>
      <c r="C3364" t="s">
        <v>28</v>
      </c>
      <c r="D3364" s="7">
        <v>75</v>
      </c>
      <c r="E3364" s="7">
        <v>12</v>
      </c>
      <c r="F3364" s="7">
        <f t="shared" si="52"/>
        <v>3</v>
      </c>
      <c r="G3364" s="7" t="str">
        <f>LOOKUP(H3364,[1]startdates!$A$2:$A$10,[1]startdates!$B$2:$B$10)</f>
        <v>FMr</v>
      </c>
      <c r="H3364">
        <v>9</v>
      </c>
      <c r="I3364" s="7">
        <v>508.1</v>
      </c>
      <c r="M3364" s="7">
        <v>363.8</v>
      </c>
      <c r="N3364" s="7">
        <v>207.5</v>
      </c>
      <c r="O3364" s="7">
        <v>169.4</v>
      </c>
    </row>
    <row r="3365" spans="1:19" x14ac:dyDescent="0.2">
      <c r="A3365">
        <v>3364</v>
      </c>
      <c r="B3365" s="1">
        <v>40813</v>
      </c>
      <c r="C3365" t="s">
        <v>28</v>
      </c>
      <c r="D3365" s="7">
        <v>75</v>
      </c>
      <c r="E3365" s="7">
        <v>12</v>
      </c>
      <c r="F3365" s="7">
        <f t="shared" si="52"/>
        <v>3</v>
      </c>
      <c r="G3365" s="7" t="str">
        <f>LOOKUP(H3365,[1]startdates!$A$2:$A$10,[1]startdates!$B$2:$B$10)</f>
        <v>FMr</v>
      </c>
      <c r="H3365">
        <v>9</v>
      </c>
      <c r="I3365" s="7">
        <v>536.1</v>
      </c>
      <c r="M3365" s="7">
        <v>354.1</v>
      </c>
      <c r="N3365" s="7">
        <v>253</v>
      </c>
      <c r="O3365" s="7">
        <v>207.4</v>
      </c>
    </row>
    <row r="3366" spans="1:19" x14ac:dyDescent="0.2">
      <c r="A3366">
        <v>3365</v>
      </c>
      <c r="B3366" s="1">
        <v>40813</v>
      </c>
      <c r="C3366" t="s">
        <v>28</v>
      </c>
      <c r="D3366" s="7">
        <v>75</v>
      </c>
      <c r="E3366" s="7">
        <v>12</v>
      </c>
      <c r="F3366" s="7">
        <f t="shared" si="52"/>
        <v>3</v>
      </c>
      <c r="G3366" s="7" t="str">
        <f>LOOKUP(H3366,[1]startdates!$A$2:$A$10,[1]startdates!$B$2:$B$10)</f>
        <v>FMr</v>
      </c>
      <c r="H3366">
        <v>9</v>
      </c>
      <c r="I3366" s="7">
        <v>651.9</v>
      </c>
      <c r="M3366" s="7">
        <v>382.7</v>
      </c>
      <c r="N3366" s="7">
        <v>224</v>
      </c>
      <c r="O3366" s="7">
        <v>164.7</v>
      </c>
    </row>
    <row r="3367" spans="1:19" x14ac:dyDescent="0.2">
      <c r="A3367">
        <v>3366</v>
      </c>
      <c r="B3367" s="1">
        <v>40813</v>
      </c>
      <c r="C3367" t="s">
        <v>28</v>
      </c>
      <c r="D3367" s="7">
        <v>75</v>
      </c>
      <c r="E3367" s="7">
        <v>12</v>
      </c>
      <c r="F3367" s="7">
        <f t="shared" si="52"/>
        <v>3</v>
      </c>
      <c r="G3367" s="7" t="str">
        <f>LOOKUP(H3367,[1]startdates!$A$2:$A$10,[1]startdates!$B$2:$B$10)</f>
        <v>FMr</v>
      </c>
      <c r="H3367">
        <v>9</v>
      </c>
      <c r="M3367" s="7">
        <v>363.8</v>
      </c>
    </row>
    <row r="3368" spans="1:19" x14ac:dyDescent="0.2">
      <c r="A3368">
        <v>3367</v>
      </c>
      <c r="B3368" s="1">
        <v>40816</v>
      </c>
      <c r="C3368" t="s">
        <v>24</v>
      </c>
      <c r="D3368" s="7">
        <v>78</v>
      </c>
      <c r="E3368" s="7">
        <v>12</v>
      </c>
      <c r="F3368" s="7">
        <f t="shared" si="52"/>
        <v>6</v>
      </c>
      <c r="G3368" s="7" t="str">
        <f>LOOKUP(H3368,[1]startdates!$A$2:$A$10,[1]startdates!$B$2:$B$10)</f>
        <v>SMr</v>
      </c>
      <c r="H3368">
        <v>1</v>
      </c>
      <c r="I3368" s="7">
        <v>576.29999999999995</v>
      </c>
      <c r="J3368" s="7">
        <v>552</v>
      </c>
      <c r="K3368" s="7">
        <v>541.70000000000005</v>
      </c>
      <c r="L3368" s="7">
        <v>411.5</v>
      </c>
      <c r="M3368" s="7">
        <v>330</v>
      </c>
      <c r="N3368" s="7">
        <v>199.1</v>
      </c>
      <c r="O3368" s="7">
        <v>170.8</v>
      </c>
      <c r="P3368" s="7">
        <v>413.7</v>
      </c>
      <c r="Q3368" s="7">
        <v>333.3</v>
      </c>
      <c r="R3368" s="7">
        <v>225.3</v>
      </c>
      <c r="S3368" s="7">
        <v>255.7</v>
      </c>
    </row>
    <row r="3369" spans="1:19" x14ac:dyDescent="0.2">
      <c r="A3369">
        <v>3368</v>
      </c>
      <c r="B3369" s="1">
        <v>40816</v>
      </c>
      <c r="C3369" t="s">
        <v>24</v>
      </c>
      <c r="D3369" s="7">
        <v>78</v>
      </c>
      <c r="E3369" s="7">
        <v>12</v>
      </c>
      <c r="F3369" s="7">
        <f t="shared" ref="F3369:F3432" si="53">WEEKDAY(B3369)</f>
        <v>6</v>
      </c>
      <c r="G3369" s="7" t="str">
        <f>LOOKUP(H3369,[1]startdates!$A$2:$A$10,[1]startdates!$B$2:$B$10)</f>
        <v>SMr</v>
      </c>
      <c r="H3369">
        <v>1</v>
      </c>
      <c r="I3369" s="7">
        <v>683.7</v>
      </c>
      <c r="J3369" s="7">
        <v>523</v>
      </c>
      <c r="K3369" s="7">
        <v>547.5</v>
      </c>
      <c r="L3369" s="7">
        <v>456.7</v>
      </c>
      <c r="M3369" s="7">
        <v>291.7</v>
      </c>
      <c r="N3369" s="7">
        <v>227.3</v>
      </c>
      <c r="O3369" s="7">
        <v>184.1</v>
      </c>
      <c r="P3369" s="7">
        <v>522.20000000000005</v>
      </c>
      <c r="Q3369" s="7">
        <v>373.4</v>
      </c>
      <c r="R3369" s="7">
        <v>275.39999999999998</v>
      </c>
    </row>
    <row r="3370" spans="1:19" x14ac:dyDescent="0.2">
      <c r="A3370">
        <v>3369</v>
      </c>
      <c r="B3370" s="1">
        <v>40816</v>
      </c>
      <c r="C3370" t="s">
        <v>24</v>
      </c>
      <c r="D3370" s="7">
        <v>78</v>
      </c>
      <c r="E3370" s="7">
        <v>12</v>
      </c>
      <c r="F3370" s="7">
        <f t="shared" si="53"/>
        <v>6</v>
      </c>
      <c r="G3370" s="7" t="str">
        <f>LOOKUP(H3370,[1]startdates!$A$2:$A$10,[1]startdates!$B$2:$B$10)</f>
        <v>SMr</v>
      </c>
      <c r="H3370">
        <v>1</v>
      </c>
      <c r="I3370" s="7">
        <v>717.5</v>
      </c>
      <c r="J3370" s="7">
        <v>552.29999999999995</v>
      </c>
      <c r="K3370" s="7">
        <v>467.3</v>
      </c>
      <c r="L3370" s="7">
        <v>389.4</v>
      </c>
      <c r="M3370" s="7">
        <v>250.4</v>
      </c>
      <c r="N3370" s="7">
        <v>252</v>
      </c>
      <c r="O3370" s="7">
        <v>170</v>
      </c>
      <c r="P3370" s="7">
        <v>416.7</v>
      </c>
      <c r="R3370" s="7">
        <v>261.39999999999998</v>
      </c>
    </row>
    <row r="3371" spans="1:19" x14ac:dyDescent="0.2">
      <c r="A3371">
        <v>3370</v>
      </c>
      <c r="B3371" s="1">
        <v>40816</v>
      </c>
      <c r="C3371" t="s">
        <v>24</v>
      </c>
      <c r="D3371" s="7">
        <v>78</v>
      </c>
      <c r="E3371" s="7">
        <v>12</v>
      </c>
      <c r="F3371" s="7">
        <f t="shared" si="53"/>
        <v>6</v>
      </c>
      <c r="G3371" s="7" t="str">
        <f>LOOKUP(H3371,[1]startdates!$A$2:$A$10,[1]startdates!$B$2:$B$10)</f>
        <v>SMr</v>
      </c>
      <c r="H3371">
        <v>1</v>
      </c>
      <c r="I3371" s="7">
        <v>588.4</v>
      </c>
      <c r="K3371" s="7">
        <v>578.6</v>
      </c>
      <c r="L3371" s="7">
        <v>475.6</v>
      </c>
      <c r="M3371" s="7">
        <v>353.5</v>
      </c>
      <c r="N3371" s="7">
        <v>228.4</v>
      </c>
      <c r="O3371" s="7">
        <v>180.7</v>
      </c>
      <c r="P3371" s="7">
        <v>402.4</v>
      </c>
    </row>
    <row r="3372" spans="1:19" x14ac:dyDescent="0.2">
      <c r="A3372">
        <v>3371</v>
      </c>
      <c r="B3372" s="1">
        <v>40816</v>
      </c>
      <c r="C3372" t="s">
        <v>24</v>
      </c>
      <c r="D3372" s="7">
        <v>78</v>
      </c>
      <c r="E3372" s="7">
        <v>12</v>
      </c>
      <c r="F3372" s="7">
        <f t="shared" si="53"/>
        <v>6</v>
      </c>
      <c r="G3372" s="7" t="str">
        <f>LOOKUP(H3372,[1]startdates!$A$2:$A$10,[1]startdates!$B$2:$B$10)</f>
        <v>SMr</v>
      </c>
      <c r="H3372">
        <v>1</v>
      </c>
      <c r="I3372" s="7">
        <v>623.9</v>
      </c>
      <c r="K3372" s="7">
        <v>565.5</v>
      </c>
      <c r="M3372" s="7">
        <v>257.60000000000002</v>
      </c>
      <c r="N3372" s="7">
        <v>221.2</v>
      </c>
      <c r="O3372" s="7">
        <v>186.4</v>
      </c>
      <c r="P3372" s="7">
        <v>357.9</v>
      </c>
    </row>
    <row r="3373" spans="1:19" x14ac:dyDescent="0.2">
      <c r="A3373">
        <v>3372</v>
      </c>
      <c r="B3373" s="1">
        <v>40816</v>
      </c>
      <c r="C3373" t="s">
        <v>24</v>
      </c>
      <c r="D3373" s="7">
        <v>78</v>
      </c>
      <c r="E3373" s="7">
        <v>12</v>
      </c>
      <c r="F3373" s="7">
        <f t="shared" si="53"/>
        <v>6</v>
      </c>
      <c r="G3373" s="7" t="str">
        <f>LOOKUP(H3373,[1]startdates!$A$2:$A$10,[1]startdates!$B$2:$B$10)</f>
        <v>SMr</v>
      </c>
      <c r="H3373">
        <v>1</v>
      </c>
      <c r="I3373" s="7">
        <v>627.29999999999995</v>
      </c>
      <c r="K3373" s="7">
        <v>575.4</v>
      </c>
      <c r="M3373" s="7">
        <v>283.3</v>
      </c>
      <c r="N3373" s="7">
        <v>205.3</v>
      </c>
      <c r="O3373" s="7">
        <v>195.7</v>
      </c>
    </row>
    <row r="3374" spans="1:19" x14ac:dyDescent="0.2">
      <c r="A3374">
        <v>3373</v>
      </c>
      <c r="B3374" s="1">
        <v>40816</v>
      </c>
      <c r="C3374" t="s">
        <v>24</v>
      </c>
      <c r="D3374" s="7">
        <v>78</v>
      </c>
      <c r="E3374" s="7">
        <v>12</v>
      </c>
      <c r="F3374" s="7">
        <f t="shared" si="53"/>
        <v>6</v>
      </c>
      <c r="G3374" s="7" t="str">
        <f>LOOKUP(H3374,[1]startdates!$A$2:$A$10,[1]startdates!$B$2:$B$10)</f>
        <v>SMr</v>
      </c>
      <c r="H3374">
        <v>1</v>
      </c>
      <c r="I3374" s="7">
        <v>683.9</v>
      </c>
      <c r="M3374" s="7">
        <v>301.89999999999998</v>
      </c>
      <c r="N3374" s="7">
        <v>257.7</v>
      </c>
      <c r="O3374" s="7">
        <v>194.4</v>
      </c>
    </row>
    <row r="3375" spans="1:19" x14ac:dyDescent="0.2">
      <c r="A3375">
        <v>3374</v>
      </c>
      <c r="B3375" s="1">
        <v>40816</v>
      </c>
      <c r="C3375" t="s">
        <v>24</v>
      </c>
      <c r="D3375" s="7">
        <v>78</v>
      </c>
      <c r="E3375" s="7">
        <v>12</v>
      </c>
      <c r="F3375" s="7">
        <f t="shared" si="53"/>
        <v>6</v>
      </c>
      <c r="G3375" s="7" t="str">
        <f>LOOKUP(H3375,[1]startdates!$A$2:$A$10,[1]startdates!$B$2:$B$10)</f>
        <v>SMr</v>
      </c>
      <c r="H3375">
        <v>1</v>
      </c>
      <c r="I3375" s="7">
        <v>600.79999999999995</v>
      </c>
      <c r="M3375" s="7">
        <v>328.8</v>
      </c>
      <c r="N3375" s="7">
        <v>254.1</v>
      </c>
      <c r="O3375" s="7">
        <v>174.6</v>
      </c>
    </row>
    <row r="3376" spans="1:19" x14ac:dyDescent="0.2">
      <c r="A3376">
        <v>3375</v>
      </c>
      <c r="B3376" s="1">
        <v>40816</v>
      </c>
      <c r="C3376" t="s">
        <v>24</v>
      </c>
      <c r="D3376" s="7">
        <v>78</v>
      </c>
      <c r="E3376" s="7">
        <v>12</v>
      </c>
      <c r="F3376" s="7">
        <f t="shared" si="53"/>
        <v>6</v>
      </c>
      <c r="G3376" s="7" t="str">
        <f>LOOKUP(H3376,[1]startdates!$A$2:$A$10,[1]startdates!$B$2:$B$10)</f>
        <v>SMr</v>
      </c>
      <c r="H3376">
        <v>1</v>
      </c>
      <c r="I3376" s="7">
        <v>653.5</v>
      </c>
      <c r="M3376" s="7">
        <v>289.5</v>
      </c>
      <c r="N3376" s="7">
        <v>266.39999999999998</v>
      </c>
    </row>
    <row r="3377" spans="1:19" x14ac:dyDescent="0.2">
      <c r="A3377">
        <v>3376</v>
      </c>
      <c r="B3377" s="1">
        <v>40816</v>
      </c>
      <c r="C3377" t="s">
        <v>24</v>
      </c>
      <c r="D3377" s="7">
        <v>78</v>
      </c>
      <c r="E3377" s="7">
        <v>12</v>
      </c>
      <c r="F3377" s="7">
        <f t="shared" si="53"/>
        <v>6</v>
      </c>
      <c r="G3377" s="7" t="str">
        <f>LOOKUP(H3377,[1]startdates!$A$2:$A$10,[1]startdates!$B$2:$B$10)</f>
        <v>SMr</v>
      </c>
      <c r="H3377">
        <v>1</v>
      </c>
      <c r="I3377" s="7">
        <v>697.2</v>
      </c>
      <c r="M3377" s="7">
        <v>265.7</v>
      </c>
      <c r="N3377" s="7">
        <v>257.2</v>
      </c>
    </row>
    <row r="3378" spans="1:19" x14ac:dyDescent="0.2">
      <c r="A3378">
        <v>3377</v>
      </c>
      <c r="B3378" s="1">
        <v>40816</v>
      </c>
      <c r="C3378" t="s">
        <v>24</v>
      </c>
      <c r="D3378" s="7">
        <v>78</v>
      </c>
      <c r="E3378" s="7">
        <v>12</v>
      </c>
      <c r="F3378" s="7">
        <f t="shared" si="53"/>
        <v>6</v>
      </c>
      <c r="G3378" s="7" t="str">
        <f>LOOKUP(H3378,[1]startdates!$A$2:$A$10,[1]startdates!$B$2:$B$10)</f>
        <v>SMr</v>
      </c>
      <c r="H3378">
        <v>1</v>
      </c>
      <c r="I3378" s="7">
        <v>729.1</v>
      </c>
      <c r="M3378" s="7">
        <v>354.7</v>
      </c>
    </row>
    <row r="3379" spans="1:19" x14ac:dyDescent="0.2">
      <c r="A3379">
        <v>3378</v>
      </c>
      <c r="B3379" s="1">
        <v>40816</v>
      </c>
      <c r="C3379" t="s">
        <v>28</v>
      </c>
      <c r="D3379" s="7">
        <v>78</v>
      </c>
      <c r="E3379" s="7">
        <v>12</v>
      </c>
      <c r="F3379" s="7">
        <f t="shared" si="53"/>
        <v>6</v>
      </c>
      <c r="G3379" s="7" t="str">
        <f>LOOKUP(H3379,[1]startdates!$A$2:$A$10,[1]startdates!$B$2:$B$10)</f>
        <v>SMr</v>
      </c>
      <c r="H3379">
        <v>2</v>
      </c>
      <c r="I3379" s="7">
        <v>546.70000000000005</v>
      </c>
      <c r="J3379" s="7">
        <v>565.9</v>
      </c>
      <c r="K3379" s="7">
        <v>554.4</v>
      </c>
      <c r="L3379" s="7">
        <v>412.4</v>
      </c>
      <c r="M3379" s="7">
        <v>388.8</v>
      </c>
      <c r="N3379" s="7">
        <v>217.6</v>
      </c>
      <c r="O3379" s="7">
        <v>165.5</v>
      </c>
      <c r="P3379" s="7">
        <v>488.1</v>
      </c>
      <c r="Q3379" s="7">
        <v>343.8</v>
      </c>
      <c r="S3379" s="7">
        <v>291.8</v>
      </c>
    </row>
    <row r="3380" spans="1:19" x14ac:dyDescent="0.2">
      <c r="A3380">
        <v>3379</v>
      </c>
      <c r="B3380" s="1">
        <v>40816</v>
      </c>
      <c r="C3380" t="s">
        <v>28</v>
      </c>
      <c r="D3380" s="7">
        <v>78</v>
      </c>
      <c r="E3380" s="7">
        <v>12</v>
      </c>
      <c r="F3380" s="7">
        <f t="shared" si="53"/>
        <v>6</v>
      </c>
      <c r="G3380" s="7" t="str">
        <f>LOOKUP(H3380,[1]startdates!$A$2:$A$10,[1]startdates!$B$2:$B$10)</f>
        <v>SMr</v>
      </c>
      <c r="H3380">
        <v>2</v>
      </c>
      <c r="I3380" s="7">
        <v>575.1</v>
      </c>
      <c r="J3380" s="7">
        <v>604.1</v>
      </c>
      <c r="K3380" s="7">
        <v>538.70000000000005</v>
      </c>
      <c r="L3380" s="7">
        <v>428.4</v>
      </c>
      <c r="M3380" s="7">
        <v>380.4</v>
      </c>
      <c r="N3380" s="7">
        <v>254.3</v>
      </c>
      <c r="O3380" s="7">
        <v>166.9</v>
      </c>
      <c r="P3380" s="7">
        <v>423.3</v>
      </c>
      <c r="S3380" s="7">
        <v>257.60000000000002</v>
      </c>
    </row>
    <row r="3381" spans="1:19" x14ac:dyDescent="0.2">
      <c r="A3381">
        <v>3380</v>
      </c>
      <c r="B3381" s="1">
        <v>40816</v>
      </c>
      <c r="C3381" t="s">
        <v>28</v>
      </c>
      <c r="D3381" s="7">
        <v>78</v>
      </c>
      <c r="E3381" s="7">
        <v>12</v>
      </c>
      <c r="F3381" s="7">
        <f t="shared" si="53"/>
        <v>6</v>
      </c>
      <c r="G3381" s="7" t="str">
        <f>LOOKUP(H3381,[1]startdates!$A$2:$A$10,[1]startdates!$B$2:$B$10)</f>
        <v>SMr</v>
      </c>
      <c r="H3381">
        <v>2</v>
      </c>
      <c r="I3381" s="7">
        <v>521.6</v>
      </c>
      <c r="K3381" s="7">
        <v>510.7</v>
      </c>
      <c r="L3381" s="7">
        <v>400.1</v>
      </c>
      <c r="M3381" s="7">
        <v>324.3</v>
      </c>
      <c r="N3381" s="7">
        <v>293.2</v>
      </c>
      <c r="O3381" s="7">
        <v>177</v>
      </c>
      <c r="P3381" s="7">
        <v>470.5</v>
      </c>
      <c r="S3381" s="7">
        <v>277.2</v>
      </c>
    </row>
    <row r="3382" spans="1:19" x14ac:dyDescent="0.2">
      <c r="A3382">
        <v>3381</v>
      </c>
      <c r="B3382" s="1">
        <v>40816</v>
      </c>
      <c r="C3382" t="s">
        <v>28</v>
      </c>
      <c r="D3382" s="7">
        <v>78</v>
      </c>
      <c r="E3382" s="7">
        <v>12</v>
      </c>
      <c r="F3382" s="7">
        <f t="shared" si="53"/>
        <v>6</v>
      </c>
      <c r="G3382" s="7" t="str">
        <f>LOOKUP(H3382,[1]startdates!$A$2:$A$10,[1]startdates!$B$2:$B$10)</f>
        <v>SMr</v>
      </c>
      <c r="H3382">
        <v>2</v>
      </c>
      <c r="I3382" s="7">
        <v>649.70000000000005</v>
      </c>
      <c r="K3382" s="7">
        <v>567.4</v>
      </c>
      <c r="L3382" s="7">
        <v>461</v>
      </c>
      <c r="M3382" s="7">
        <v>375.5</v>
      </c>
      <c r="N3382" s="7">
        <v>294.89999999999998</v>
      </c>
      <c r="O3382" s="7">
        <v>179.8</v>
      </c>
      <c r="P3382" s="7">
        <v>458.5</v>
      </c>
      <c r="S3382" s="7">
        <v>251.3</v>
      </c>
    </row>
    <row r="3383" spans="1:19" x14ac:dyDescent="0.2">
      <c r="A3383">
        <v>3382</v>
      </c>
      <c r="B3383" s="1">
        <v>40816</v>
      </c>
      <c r="C3383" t="s">
        <v>28</v>
      </c>
      <c r="D3383" s="7">
        <v>78</v>
      </c>
      <c r="E3383" s="7">
        <v>12</v>
      </c>
      <c r="F3383" s="7">
        <f t="shared" si="53"/>
        <v>6</v>
      </c>
      <c r="G3383" s="7" t="str">
        <f>LOOKUP(H3383,[1]startdates!$A$2:$A$10,[1]startdates!$B$2:$B$10)</f>
        <v>SMr</v>
      </c>
      <c r="H3383">
        <v>2</v>
      </c>
      <c r="I3383" s="7">
        <v>550.20000000000005</v>
      </c>
      <c r="L3383" s="7">
        <v>421.8</v>
      </c>
      <c r="M3383" s="7">
        <v>343.5</v>
      </c>
      <c r="N3383" s="7">
        <v>258.60000000000002</v>
      </c>
      <c r="O3383" s="7">
        <v>164.7</v>
      </c>
      <c r="P3383" s="7">
        <v>429</v>
      </c>
      <c r="S3383" s="7">
        <v>265.5</v>
      </c>
    </row>
    <row r="3384" spans="1:19" x14ac:dyDescent="0.2">
      <c r="A3384">
        <v>3383</v>
      </c>
      <c r="B3384" s="1">
        <v>40816</v>
      </c>
      <c r="C3384" t="s">
        <v>28</v>
      </c>
      <c r="D3384" s="7">
        <v>78</v>
      </c>
      <c r="E3384" s="7">
        <v>12</v>
      </c>
      <c r="F3384" s="7">
        <f t="shared" si="53"/>
        <v>6</v>
      </c>
      <c r="G3384" s="7" t="str">
        <f>LOOKUP(H3384,[1]startdates!$A$2:$A$10,[1]startdates!$B$2:$B$10)</f>
        <v>SMr</v>
      </c>
      <c r="H3384">
        <v>2</v>
      </c>
      <c r="I3384" s="7">
        <v>694.9</v>
      </c>
      <c r="L3384" s="7">
        <v>453.7</v>
      </c>
      <c r="M3384" s="7">
        <v>381</v>
      </c>
      <c r="N3384" s="7">
        <v>265.10000000000002</v>
      </c>
      <c r="O3384" s="7">
        <v>157.4</v>
      </c>
      <c r="P3384" s="7">
        <v>419.1</v>
      </c>
      <c r="S3384" s="7">
        <v>276</v>
      </c>
    </row>
    <row r="3385" spans="1:19" x14ac:dyDescent="0.2">
      <c r="A3385">
        <v>3384</v>
      </c>
      <c r="B3385" s="1">
        <v>40816</v>
      </c>
      <c r="C3385" t="s">
        <v>28</v>
      </c>
      <c r="D3385" s="7">
        <v>78</v>
      </c>
      <c r="E3385" s="7">
        <v>12</v>
      </c>
      <c r="F3385" s="7">
        <f t="shared" si="53"/>
        <v>6</v>
      </c>
      <c r="G3385" s="7" t="str">
        <f>LOOKUP(H3385,[1]startdates!$A$2:$A$10,[1]startdates!$B$2:$B$10)</f>
        <v>SMr</v>
      </c>
      <c r="H3385">
        <v>2</v>
      </c>
      <c r="I3385" s="7">
        <v>582.29999999999995</v>
      </c>
      <c r="L3385" s="7">
        <v>480.7</v>
      </c>
      <c r="M3385" s="7">
        <v>309.60000000000002</v>
      </c>
      <c r="N3385" s="7">
        <v>291.60000000000002</v>
      </c>
      <c r="O3385" s="7">
        <v>161.5</v>
      </c>
    </row>
    <row r="3386" spans="1:19" x14ac:dyDescent="0.2">
      <c r="A3386">
        <v>3385</v>
      </c>
      <c r="B3386" s="1">
        <v>40816</v>
      </c>
      <c r="C3386" t="s">
        <v>28</v>
      </c>
      <c r="D3386" s="7">
        <v>78</v>
      </c>
      <c r="E3386" s="7">
        <v>12</v>
      </c>
      <c r="F3386" s="7">
        <f t="shared" si="53"/>
        <v>6</v>
      </c>
      <c r="G3386" s="7" t="str">
        <f>LOOKUP(H3386,[1]startdates!$A$2:$A$10,[1]startdates!$B$2:$B$10)</f>
        <v>SMr</v>
      </c>
      <c r="H3386">
        <v>2</v>
      </c>
      <c r="I3386" s="7">
        <v>682.3</v>
      </c>
      <c r="L3386" s="7">
        <v>406.7</v>
      </c>
      <c r="M3386" s="7">
        <v>349.2</v>
      </c>
      <c r="N3386" s="7">
        <v>280.2</v>
      </c>
      <c r="O3386" s="7">
        <v>163</v>
      </c>
    </row>
    <row r="3387" spans="1:19" x14ac:dyDescent="0.2">
      <c r="A3387">
        <v>3386</v>
      </c>
      <c r="B3387" s="1">
        <v>40816</v>
      </c>
      <c r="C3387" t="s">
        <v>28</v>
      </c>
      <c r="D3387" s="7">
        <v>78</v>
      </c>
      <c r="E3387" s="7">
        <v>12</v>
      </c>
      <c r="F3387" s="7">
        <f t="shared" si="53"/>
        <v>6</v>
      </c>
      <c r="G3387" s="7" t="str">
        <f>LOOKUP(H3387,[1]startdates!$A$2:$A$10,[1]startdates!$B$2:$B$10)</f>
        <v>SMr</v>
      </c>
      <c r="H3387">
        <v>2</v>
      </c>
      <c r="I3387" s="7">
        <v>569.29999999999995</v>
      </c>
      <c r="M3387" s="7">
        <v>306.39999999999998</v>
      </c>
      <c r="N3387" s="7">
        <v>239.7</v>
      </c>
      <c r="O3387" s="7">
        <v>165.5</v>
      </c>
    </row>
    <row r="3388" spans="1:19" x14ac:dyDescent="0.2">
      <c r="A3388">
        <v>3387</v>
      </c>
      <c r="B3388" s="1">
        <v>40816</v>
      </c>
      <c r="C3388" t="s">
        <v>28</v>
      </c>
      <c r="D3388" s="7">
        <v>78</v>
      </c>
      <c r="E3388" s="7">
        <v>12</v>
      </c>
      <c r="F3388" s="7">
        <f t="shared" si="53"/>
        <v>6</v>
      </c>
      <c r="G3388" s="7" t="str">
        <f>LOOKUP(H3388,[1]startdates!$A$2:$A$10,[1]startdates!$B$2:$B$10)</f>
        <v>SMr</v>
      </c>
      <c r="H3388">
        <v>2</v>
      </c>
      <c r="M3388" s="7">
        <v>349.2</v>
      </c>
      <c r="N3388" s="7">
        <v>243</v>
      </c>
      <c r="O3388" s="7">
        <v>165.5</v>
      </c>
    </row>
    <row r="3389" spans="1:19" x14ac:dyDescent="0.2">
      <c r="A3389">
        <v>3388</v>
      </c>
      <c r="B3389" s="1">
        <v>40816</v>
      </c>
      <c r="C3389" t="s">
        <v>28</v>
      </c>
      <c r="D3389" s="7">
        <v>78</v>
      </c>
      <c r="E3389" s="7">
        <v>12</v>
      </c>
      <c r="F3389" s="7">
        <f t="shared" si="53"/>
        <v>6</v>
      </c>
      <c r="G3389" s="7" t="str">
        <f>LOOKUP(H3389,[1]startdates!$A$2:$A$10,[1]startdates!$B$2:$B$10)</f>
        <v>SMr</v>
      </c>
      <c r="H3389">
        <v>2</v>
      </c>
      <c r="M3389" s="7">
        <v>369.7</v>
      </c>
      <c r="N3389" s="7">
        <v>287.3</v>
      </c>
    </row>
    <row r="3390" spans="1:19" x14ac:dyDescent="0.2">
      <c r="A3390">
        <v>3389</v>
      </c>
      <c r="B3390" s="1">
        <v>40816</v>
      </c>
      <c r="C3390" t="s">
        <v>28</v>
      </c>
      <c r="D3390" s="7">
        <v>78</v>
      </c>
      <c r="E3390" s="7">
        <v>12</v>
      </c>
      <c r="F3390" s="7">
        <f t="shared" si="53"/>
        <v>6</v>
      </c>
      <c r="G3390" s="7" t="str">
        <f>LOOKUP(H3390,[1]startdates!$A$2:$A$10,[1]startdates!$B$2:$B$10)</f>
        <v>SMr</v>
      </c>
      <c r="H3390">
        <v>2</v>
      </c>
      <c r="M3390" s="7">
        <v>360.8</v>
      </c>
    </row>
    <row r="3391" spans="1:19" x14ac:dyDescent="0.2">
      <c r="A3391">
        <v>3390</v>
      </c>
      <c r="B3391" s="1">
        <v>40816</v>
      </c>
      <c r="C3391" t="s">
        <v>28</v>
      </c>
      <c r="D3391" s="7">
        <v>78</v>
      </c>
      <c r="E3391" s="7">
        <v>12</v>
      </c>
      <c r="F3391" s="7">
        <f t="shared" si="53"/>
        <v>6</v>
      </c>
      <c r="G3391" s="7" t="str">
        <f>LOOKUP(H3391,[1]startdates!$A$2:$A$10,[1]startdates!$B$2:$B$10)</f>
        <v>SMr</v>
      </c>
      <c r="H3391">
        <v>2</v>
      </c>
      <c r="M3391" s="7">
        <v>338.5</v>
      </c>
    </row>
    <row r="3392" spans="1:19" x14ac:dyDescent="0.2">
      <c r="A3392">
        <v>3391</v>
      </c>
      <c r="B3392" s="1">
        <v>40816</v>
      </c>
      <c r="C3392" t="s">
        <v>28</v>
      </c>
      <c r="D3392" s="7">
        <v>78</v>
      </c>
      <c r="E3392" s="7">
        <v>12</v>
      </c>
      <c r="F3392" s="7">
        <f t="shared" si="53"/>
        <v>6</v>
      </c>
      <c r="G3392" s="7" t="str">
        <f>LOOKUP(H3392,[1]startdates!$A$2:$A$10,[1]startdates!$B$2:$B$10)</f>
        <v>SMr</v>
      </c>
      <c r="H3392">
        <v>2</v>
      </c>
      <c r="M3392" s="7">
        <v>346.1</v>
      </c>
    </row>
    <row r="3393" spans="1:19" x14ac:dyDescent="0.2">
      <c r="A3393">
        <v>3392</v>
      </c>
      <c r="B3393" s="1">
        <v>40816</v>
      </c>
      <c r="C3393" t="s">
        <v>28</v>
      </c>
      <c r="D3393" s="7">
        <v>78</v>
      </c>
      <c r="E3393" s="7">
        <v>12</v>
      </c>
      <c r="F3393" s="7">
        <f t="shared" si="53"/>
        <v>6</v>
      </c>
      <c r="G3393" s="7" t="str">
        <f>LOOKUP(H3393,[1]startdates!$A$2:$A$10,[1]startdates!$B$2:$B$10)</f>
        <v>C</v>
      </c>
      <c r="H3393">
        <v>3</v>
      </c>
      <c r="I3393" s="7">
        <v>583</v>
      </c>
      <c r="K3393" s="7">
        <v>569</v>
      </c>
      <c r="L3393" s="7">
        <v>449.6</v>
      </c>
      <c r="M3393" s="7">
        <v>378.5</v>
      </c>
      <c r="N3393" s="7">
        <v>268.2</v>
      </c>
      <c r="O3393" s="7">
        <v>186.3</v>
      </c>
      <c r="Q3393" s="7">
        <v>355.4</v>
      </c>
      <c r="R3393" s="7">
        <v>291.8</v>
      </c>
      <c r="S3393" s="7">
        <v>318</v>
      </c>
    </row>
    <row r="3394" spans="1:19" x14ac:dyDescent="0.2">
      <c r="A3394">
        <v>3393</v>
      </c>
      <c r="B3394" s="1">
        <v>40816</v>
      </c>
      <c r="C3394" t="s">
        <v>28</v>
      </c>
      <c r="D3394" s="7">
        <v>78</v>
      </c>
      <c r="E3394" s="7">
        <v>12</v>
      </c>
      <c r="F3394" s="7">
        <f t="shared" si="53"/>
        <v>6</v>
      </c>
      <c r="G3394" s="7" t="str">
        <f>LOOKUP(H3394,[1]startdates!$A$2:$A$10,[1]startdates!$B$2:$B$10)</f>
        <v>C</v>
      </c>
      <c r="H3394">
        <v>3</v>
      </c>
      <c r="I3394" s="7">
        <v>632.29999999999995</v>
      </c>
      <c r="K3394" s="7">
        <v>543.70000000000005</v>
      </c>
      <c r="L3394" s="7">
        <v>495.3</v>
      </c>
      <c r="M3394" s="7">
        <v>318.8</v>
      </c>
      <c r="N3394" s="7">
        <v>219.2</v>
      </c>
      <c r="O3394" s="7">
        <v>171.6</v>
      </c>
      <c r="Q3394" s="7">
        <v>347.3</v>
      </c>
      <c r="R3394" s="7">
        <v>257.7</v>
      </c>
      <c r="S3394" s="7">
        <v>291.8</v>
      </c>
    </row>
    <row r="3395" spans="1:19" x14ac:dyDescent="0.2">
      <c r="A3395">
        <v>3394</v>
      </c>
      <c r="B3395" s="1">
        <v>40816</v>
      </c>
      <c r="C3395" t="s">
        <v>28</v>
      </c>
      <c r="D3395" s="7">
        <v>78</v>
      </c>
      <c r="E3395" s="7">
        <v>12</v>
      </c>
      <c r="F3395" s="7">
        <f t="shared" si="53"/>
        <v>6</v>
      </c>
      <c r="G3395" s="7" t="str">
        <f>LOOKUP(H3395,[1]startdates!$A$2:$A$10,[1]startdates!$B$2:$B$10)</f>
        <v>C</v>
      </c>
      <c r="H3395">
        <v>3</v>
      </c>
      <c r="I3395" s="7">
        <v>623.6</v>
      </c>
      <c r="K3395" s="7">
        <v>530.20000000000005</v>
      </c>
      <c r="L3395" s="7">
        <v>412</v>
      </c>
      <c r="M3395" s="7">
        <v>345.1</v>
      </c>
      <c r="N3395" s="7">
        <v>243.8</v>
      </c>
      <c r="O3395" s="7">
        <v>174.9</v>
      </c>
      <c r="R3395" s="7">
        <v>273.2</v>
      </c>
      <c r="S3395" s="7">
        <v>319.7</v>
      </c>
    </row>
    <row r="3396" spans="1:19" x14ac:dyDescent="0.2">
      <c r="A3396">
        <v>3395</v>
      </c>
      <c r="B3396" s="1">
        <v>40816</v>
      </c>
      <c r="C3396" t="s">
        <v>28</v>
      </c>
      <c r="D3396" s="7">
        <v>78</v>
      </c>
      <c r="E3396" s="7">
        <v>12</v>
      </c>
      <c r="F3396" s="7">
        <f t="shared" si="53"/>
        <v>6</v>
      </c>
      <c r="G3396" s="7" t="str">
        <f>LOOKUP(H3396,[1]startdates!$A$2:$A$10,[1]startdates!$B$2:$B$10)</f>
        <v>C</v>
      </c>
      <c r="H3396">
        <v>3</v>
      </c>
      <c r="I3396" s="7">
        <v>632.70000000000005</v>
      </c>
      <c r="K3396" s="7">
        <v>490.2</v>
      </c>
      <c r="L3396" s="7">
        <v>407.3</v>
      </c>
      <c r="M3396" s="7">
        <v>326.8</v>
      </c>
      <c r="N3396" s="7">
        <v>242.1</v>
      </c>
      <c r="O3396" s="7">
        <v>156.30000000000001</v>
      </c>
    </row>
    <row r="3397" spans="1:19" x14ac:dyDescent="0.2">
      <c r="A3397">
        <v>3396</v>
      </c>
      <c r="B3397" s="1">
        <v>40816</v>
      </c>
      <c r="C3397" t="s">
        <v>28</v>
      </c>
      <c r="D3397" s="7">
        <v>78</v>
      </c>
      <c r="E3397" s="7">
        <v>12</v>
      </c>
      <c r="F3397" s="7">
        <f t="shared" si="53"/>
        <v>6</v>
      </c>
      <c r="G3397" s="7" t="str">
        <f>LOOKUP(H3397,[1]startdates!$A$2:$A$10,[1]startdates!$B$2:$B$10)</f>
        <v>C</v>
      </c>
      <c r="H3397">
        <v>3</v>
      </c>
      <c r="I3397" s="7">
        <v>540.29999999999995</v>
      </c>
      <c r="K3397" s="7">
        <v>546.1</v>
      </c>
      <c r="L3397" s="7">
        <v>478.2</v>
      </c>
      <c r="M3397" s="7">
        <v>302</v>
      </c>
      <c r="N3397" s="7">
        <v>261.5</v>
      </c>
      <c r="O3397" s="7">
        <v>166.7</v>
      </c>
    </row>
    <row r="3398" spans="1:19" x14ac:dyDescent="0.2">
      <c r="A3398">
        <v>3397</v>
      </c>
      <c r="B3398" s="1">
        <v>40816</v>
      </c>
      <c r="C3398" t="s">
        <v>28</v>
      </c>
      <c r="D3398" s="7">
        <v>78</v>
      </c>
      <c r="E3398" s="7">
        <v>12</v>
      </c>
      <c r="F3398" s="7">
        <f t="shared" si="53"/>
        <v>6</v>
      </c>
      <c r="G3398" s="7" t="str">
        <f>LOOKUP(H3398,[1]startdates!$A$2:$A$10,[1]startdates!$B$2:$B$10)</f>
        <v>C</v>
      </c>
      <c r="H3398">
        <v>3</v>
      </c>
      <c r="I3398" s="7">
        <v>507.7</v>
      </c>
      <c r="K3398" s="7">
        <v>577.20000000000005</v>
      </c>
      <c r="M3398" s="7">
        <v>314.60000000000002</v>
      </c>
      <c r="N3398" s="7">
        <v>253.3</v>
      </c>
      <c r="O3398" s="7">
        <v>169.9</v>
      </c>
    </row>
    <row r="3399" spans="1:19" x14ac:dyDescent="0.2">
      <c r="A3399">
        <v>3398</v>
      </c>
      <c r="B3399" s="1">
        <v>40816</v>
      </c>
      <c r="C3399" t="s">
        <v>28</v>
      </c>
      <c r="D3399" s="7">
        <v>78</v>
      </c>
      <c r="E3399" s="7">
        <v>12</v>
      </c>
      <c r="F3399" s="7">
        <f t="shared" si="53"/>
        <v>6</v>
      </c>
      <c r="G3399" s="7" t="str">
        <f>LOOKUP(H3399,[1]startdates!$A$2:$A$10,[1]startdates!$B$2:$B$10)</f>
        <v>C</v>
      </c>
      <c r="H3399">
        <v>3</v>
      </c>
      <c r="I3399" s="7">
        <v>623.9</v>
      </c>
      <c r="M3399" s="7">
        <v>388.9</v>
      </c>
      <c r="N3399" s="7">
        <v>224</v>
      </c>
      <c r="O3399" s="7">
        <v>159.30000000000001</v>
      </c>
    </row>
    <row r="3400" spans="1:19" x14ac:dyDescent="0.2">
      <c r="A3400">
        <v>3399</v>
      </c>
      <c r="B3400" s="1">
        <v>40816</v>
      </c>
      <c r="C3400" t="s">
        <v>28</v>
      </c>
      <c r="D3400" s="7">
        <v>78</v>
      </c>
      <c r="E3400" s="7">
        <v>12</v>
      </c>
      <c r="F3400" s="7">
        <f t="shared" si="53"/>
        <v>6</v>
      </c>
      <c r="G3400" s="7" t="str">
        <f>LOOKUP(H3400,[1]startdates!$A$2:$A$10,[1]startdates!$B$2:$B$10)</f>
        <v>C</v>
      </c>
      <c r="H3400">
        <v>3</v>
      </c>
      <c r="I3400" s="7">
        <v>592.20000000000005</v>
      </c>
      <c r="M3400" s="7">
        <v>359.6</v>
      </c>
      <c r="N3400" s="7">
        <v>230.6</v>
      </c>
      <c r="O3400" s="7">
        <v>174.4</v>
      </c>
    </row>
    <row r="3401" spans="1:19" x14ac:dyDescent="0.2">
      <c r="A3401">
        <v>3400</v>
      </c>
      <c r="B3401" s="1">
        <v>40816</v>
      </c>
      <c r="C3401" t="s">
        <v>28</v>
      </c>
      <c r="D3401" s="7">
        <v>78</v>
      </c>
      <c r="E3401" s="7">
        <v>12</v>
      </c>
      <c r="F3401" s="7">
        <f t="shared" si="53"/>
        <v>6</v>
      </c>
      <c r="G3401" s="7" t="str">
        <f>LOOKUP(H3401,[1]startdates!$A$2:$A$10,[1]startdates!$B$2:$B$10)</f>
        <v>C</v>
      </c>
      <c r="H3401">
        <v>3</v>
      </c>
      <c r="I3401" s="7">
        <v>645.5</v>
      </c>
      <c r="M3401" s="7">
        <v>375.5</v>
      </c>
      <c r="N3401" s="7">
        <v>293.2</v>
      </c>
      <c r="O3401" s="7">
        <v>178.9</v>
      </c>
    </row>
    <row r="3402" spans="1:19" x14ac:dyDescent="0.2">
      <c r="A3402">
        <v>3401</v>
      </c>
      <c r="B3402" s="1">
        <v>40816</v>
      </c>
      <c r="C3402" t="s">
        <v>28</v>
      </c>
      <c r="D3402" s="7">
        <v>78</v>
      </c>
      <c r="E3402" s="7">
        <v>12</v>
      </c>
      <c r="F3402" s="7">
        <f t="shared" si="53"/>
        <v>6</v>
      </c>
      <c r="G3402" s="7" t="str">
        <f>LOOKUP(H3402,[1]startdates!$A$2:$A$10,[1]startdates!$B$2:$B$10)</f>
        <v>C</v>
      </c>
      <c r="H3402">
        <v>3</v>
      </c>
      <c r="I3402" s="7">
        <v>527.1</v>
      </c>
      <c r="M3402" s="7">
        <v>365.6</v>
      </c>
      <c r="N3402" s="7">
        <v>295.39999999999998</v>
      </c>
      <c r="O3402" s="7">
        <v>181.3</v>
      </c>
    </row>
    <row r="3403" spans="1:19" x14ac:dyDescent="0.2">
      <c r="A3403">
        <v>3402</v>
      </c>
      <c r="B3403" s="1">
        <v>40816</v>
      </c>
      <c r="C3403" t="s">
        <v>28</v>
      </c>
      <c r="D3403" s="7">
        <v>78</v>
      </c>
      <c r="E3403" s="7">
        <v>12</v>
      </c>
      <c r="F3403" s="7">
        <f t="shared" si="53"/>
        <v>6</v>
      </c>
      <c r="G3403" s="7" t="str">
        <f>LOOKUP(H3403,[1]startdates!$A$2:$A$10,[1]startdates!$B$2:$B$10)</f>
        <v>C</v>
      </c>
      <c r="H3403">
        <v>3</v>
      </c>
      <c r="I3403" s="7">
        <v>531</v>
      </c>
      <c r="N3403" s="7">
        <v>264</v>
      </c>
    </row>
    <row r="3404" spans="1:19" x14ac:dyDescent="0.2">
      <c r="A3404">
        <v>3403</v>
      </c>
      <c r="B3404" s="1">
        <v>40816</v>
      </c>
      <c r="C3404" t="s">
        <v>28</v>
      </c>
      <c r="D3404" s="7">
        <v>78</v>
      </c>
      <c r="E3404" s="7">
        <v>12</v>
      </c>
      <c r="F3404" s="7">
        <f t="shared" si="53"/>
        <v>6</v>
      </c>
      <c r="G3404" s="7" t="str">
        <f>LOOKUP(H3404,[1]startdates!$A$2:$A$10,[1]startdates!$B$2:$B$10)</f>
        <v>C</v>
      </c>
      <c r="H3404">
        <v>3</v>
      </c>
      <c r="N3404" s="7">
        <v>287.60000000000002</v>
      </c>
    </row>
    <row r="3405" spans="1:19" x14ac:dyDescent="0.2">
      <c r="A3405">
        <v>3404</v>
      </c>
      <c r="B3405" s="1">
        <v>40816</v>
      </c>
      <c r="C3405" t="s">
        <v>24</v>
      </c>
      <c r="D3405" s="7">
        <v>78</v>
      </c>
      <c r="E3405" s="7">
        <v>12</v>
      </c>
      <c r="F3405" s="7">
        <f t="shared" si="53"/>
        <v>6</v>
      </c>
      <c r="G3405" s="7" t="str">
        <f>LOOKUP(H3405,[1]startdates!$A$2:$A$10,[1]startdates!$B$2:$B$10)</f>
        <v>SMr</v>
      </c>
      <c r="H3405">
        <v>4</v>
      </c>
      <c r="I3405" s="7">
        <v>626.70000000000005</v>
      </c>
      <c r="J3405" s="7">
        <v>618.70000000000005</v>
      </c>
      <c r="K3405" s="7">
        <v>554.4</v>
      </c>
      <c r="L3405" s="7">
        <v>458.1</v>
      </c>
      <c r="M3405" s="7">
        <v>354.2</v>
      </c>
      <c r="N3405" s="7">
        <v>170.8</v>
      </c>
      <c r="O3405" s="7">
        <v>167.7</v>
      </c>
      <c r="P3405" s="7">
        <v>436.3</v>
      </c>
      <c r="Q3405" s="7">
        <v>372.7</v>
      </c>
      <c r="S3405" s="7">
        <v>224</v>
      </c>
    </row>
    <row r="3406" spans="1:19" x14ac:dyDescent="0.2">
      <c r="A3406">
        <v>3405</v>
      </c>
      <c r="B3406" s="1">
        <v>40816</v>
      </c>
      <c r="C3406" t="s">
        <v>24</v>
      </c>
      <c r="D3406" s="7">
        <v>78</v>
      </c>
      <c r="E3406" s="7">
        <v>12</v>
      </c>
      <c r="F3406" s="7">
        <f t="shared" si="53"/>
        <v>6</v>
      </c>
      <c r="G3406" s="7" t="str">
        <f>LOOKUP(H3406,[1]startdates!$A$2:$A$10,[1]startdates!$B$2:$B$10)</f>
        <v>SMr</v>
      </c>
      <c r="H3406">
        <v>4</v>
      </c>
      <c r="I3406" s="7">
        <v>633.20000000000005</v>
      </c>
      <c r="J3406" s="7">
        <v>540.29999999999995</v>
      </c>
      <c r="K3406" s="7">
        <v>462.4</v>
      </c>
      <c r="L3406" s="7">
        <v>414.1</v>
      </c>
      <c r="M3406" s="7">
        <v>380.9</v>
      </c>
      <c r="N3406" s="7">
        <v>203.7</v>
      </c>
      <c r="O3406" s="7">
        <v>188.2</v>
      </c>
      <c r="P3406" s="7">
        <v>471.6</v>
      </c>
      <c r="Q3406" s="7">
        <v>330.2</v>
      </c>
    </row>
    <row r="3407" spans="1:19" x14ac:dyDescent="0.2">
      <c r="A3407">
        <v>3406</v>
      </c>
      <c r="B3407" s="1">
        <v>40816</v>
      </c>
      <c r="C3407" t="s">
        <v>24</v>
      </c>
      <c r="D3407" s="7">
        <v>78</v>
      </c>
      <c r="E3407" s="7">
        <v>12</v>
      </c>
      <c r="F3407" s="7">
        <f t="shared" si="53"/>
        <v>6</v>
      </c>
      <c r="G3407" s="7" t="str">
        <f>LOOKUP(H3407,[1]startdates!$A$2:$A$10,[1]startdates!$B$2:$B$10)</f>
        <v>SMr</v>
      </c>
      <c r="H3407">
        <v>4</v>
      </c>
      <c r="I3407" s="7">
        <v>622.20000000000005</v>
      </c>
      <c r="K3407" s="7">
        <v>462.4</v>
      </c>
      <c r="L3407" s="7">
        <v>449.6</v>
      </c>
      <c r="M3407" s="7">
        <v>325.89999999999998</v>
      </c>
      <c r="N3407" s="7">
        <v>241.2</v>
      </c>
      <c r="O3407" s="7">
        <v>182.8</v>
      </c>
      <c r="P3407" s="7">
        <v>448.5</v>
      </c>
      <c r="Q3407" s="7">
        <v>408.4</v>
      </c>
    </row>
    <row r="3408" spans="1:19" x14ac:dyDescent="0.2">
      <c r="A3408">
        <v>3407</v>
      </c>
      <c r="B3408" s="1">
        <v>40816</v>
      </c>
      <c r="C3408" t="s">
        <v>24</v>
      </c>
      <c r="D3408" s="7">
        <v>78</v>
      </c>
      <c r="E3408" s="7">
        <v>12</v>
      </c>
      <c r="F3408" s="7">
        <f t="shared" si="53"/>
        <v>6</v>
      </c>
      <c r="G3408" s="7" t="str">
        <f>LOOKUP(H3408,[1]startdates!$A$2:$A$10,[1]startdates!$B$2:$B$10)</f>
        <v>SMr</v>
      </c>
      <c r="H3408">
        <v>4</v>
      </c>
      <c r="I3408" s="7">
        <v>542.79999999999995</v>
      </c>
      <c r="K3408" s="7">
        <v>583.5</v>
      </c>
      <c r="L3408" s="7">
        <v>458.5</v>
      </c>
      <c r="M3408" s="7">
        <v>319.7</v>
      </c>
      <c r="N3408" s="7">
        <v>218.9</v>
      </c>
      <c r="O3408" s="7">
        <v>178.6</v>
      </c>
      <c r="Q3408" s="7">
        <v>372</v>
      </c>
    </row>
    <row r="3409" spans="1:19" x14ac:dyDescent="0.2">
      <c r="A3409">
        <v>3408</v>
      </c>
      <c r="B3409" s="1">
        <v>40816</v>
      </c>
      <c r="C3409" t="s">
        <v>24</v>
      </c>
      <c r="D3409" s="7">
        <v>78</v>
      </c>
      <c r="E3409" s="7">
        <v>12</v>
      </c>
      <c r="F3409" s="7">
        <f t="shared" si="53"/>
        <v>6</v>
      </c>
      <c r="G3409" s="7" t="str">
        <f>LOOKUP(H3409,[1]startdates!$A$2:$A$10,[1]startdates!$B$2:$B$10)</f>
        <v>SMr</v>
      </c>
      <c r="H3409">
        <v>4</v>
      </c>
      <c r="I3409" s="7">
        <v>601</v>
      </c>
      <c r="K3409" s="7">
        <v>539.6</v>
      </c>
      <c r="M3409" s="7">
        <v>287.60000000000002</v>
      </c>
      <c r="N3409" s="7">
        <v>243.7</v>
      </c>
      <c r="O3409" s="7">
        <v>195.7</v>
      </c>
      <c r="Q3409" s="7">
        <v>367.7</v>
      </c>
    </row>
    <row r="3410" spans="1:19" x14ac:dyDescent="0.2">
      <c r="A3410">
        <v>3409</v>
      </c>
      <c r="B3410" s="1">
        <v>40816</v>
      </c>
      <c r="C3410" t="s">
        <v>24</v>
      </c>
      <c r="D3410" s="7">
        <v>78</v>
      </c>
      <c r="E3410" s="7">
        <v>12</v>
      </c>
      <c r="F3410" s="7">
        <f t="shared" si="53"/>
        <v>6</v>
      </c>
      <c r="G3410" s="7" t="str">
        <f>LOOKUP(H3410,[1]startdates!$A$2:$A$10,[1]startdates!$B$2:$B$10)</f>
        <v>SMr</v>
      </c>
      <c r="H3410">
        <v>4</v>
      </c>
      <c r="I3410" s="7">
        <v>580</v>
      </c>
      <c r="K3410" s="7">
        <v>479.6</v>
      </c>
      <c r="M3410" s="7">
        <v>385.9</v>
      </c>
      <c r="N3410" s="7">
        <v>265.10000000000002</v>
      </c>
      <c r="O3410" s="7">
        <v>198.5</v>
      </c>
    </row>
    <row r="3411" spans="1:19" x14ac:dyDescent="0.2">
      <c r="A3411">
        <v>3410</v>
      </c>
      <c r="B3411" s="1">
        <v>40816</v>
      </c>
      <c r="C3411" t="s">
        <v>24</v>
      </c>
      <c r="D3411" s="7">
        <v>78</v>
      </c>
      <c r="E3411" s="7">
        <v>12</v>
      </c>
      <c r="F3411" s="7">
        <f t="shared" si="53"/>
        <v>6</v>
      </c>
      <c r="G3411" s="7" t="str">
        <f>LOOKUP(H3411,[1]startdates!$A$2:$A$10,[1]startdates!$B$2:$B$10)</f>
        <v>SMr</v>
      </c>
      <c r="H3411">
        <v>4</v>
      </c>
      <c r="I3411" s="7">
        <v>568.5</v>
      </c>
      <c r="K3411" s="7">
        <v>469.7</v>
      </c>
      <c r="M3411" s="7">
        <v>299.3</v>
      </c>
      <c r="N3411" s="7">
        <v>216.1</v>
      </c>
      <c r="O3411" s="7">
        <v>185.4</v>
      </c>
    </row>
    <row r="3412" spans="1:19" x14ac:dyDescent="0.2">
      <c r="A3412">
        <v>3411</v>
      </c>
      <c r="B3412" s="1">
        <v>40816</v>
      </c>
      <c r="C3412" t="s">
        <v>24</v>
      </c>
      <c r="D3412" s="7">
        <v>78</v>
      </c>
      <c r="E3412" s="7">
        <v>12</v>
      </c>
      <c r="F3412" s="7">
        <f t="shared" si="53"/>
        <v>6</v>
      </c>
      <c r="G3412" s="7" t="str">
        <f>LOOKUP(H3412,[1]startdates!$A$2:$A$10,[1]startdates!$B$2:$B$10)</f>
        <v>SMr</v>
      </c>
      <c r="H3412">
        <v>4</v>
      </c>
      <c r="I3412" s="7">
        <v>746</v>
      </c>
      <c r="K3412" s="7">
        <v>535.1</v>
      </c>
      <c r="M3412" s="7">
        <v>363.7</v>
      </c>
      <c r="N3412" s="7">
        <v>247.5</v>
      </c>
      <c r="O3412" s="7">
        <v>184.9</v>
      </c>
    </row>
    <row r="3413" spans="1:19" x14ac:dyDescent="0.2">
      <c r="A3413">
        <v>3412</v>
      </c>
      <c r="B3413" s="1">
        <v>40816</v>
      </c>
      <c r="C3413" t="s">
        <v>24</v>
      </c>
      <c r="D3413" s="7">
        <v>78</v>
      </c>
      <c r="E3413" s="7">
        <v>12</v>
      </c>
      <c r="F3413" s="7">
        <f t="shared" si="53"/>
        <v>6</v>
      </c>
      <c r="G3413" s="7" t="str">
        <f>LOOKUP(H3413,[1]startdates!$A$2:$A$10,[1]startdates!$B$2:$B$10)</f>
        <v>SMr</v>
      </c>
      <c r="H3413">
        <v>4</v>
      </c>
      <c r="I3413" s="7">
        <v>586</v>
      </c>
      <c r="K3413" s="7">
        <v>476.1</v>
      </c>
      <c r="M3413" s="7">
        <v>294.7</v>
      </c>
      <c r="N3413" s="7">
        <v>254.2</v>
      </c>
      <c r="O3413" s="7">
        <v>171.9</v>
      </c>
    </row>
    <row r="3414" spans="1:19" x14ac:dyDescent="0.2">
      <c r="A3414">
        <v>3413</v>
      </c>
      <c r="B3414" s="1">
        <v>40816</v>
      </c>
      <c r="C3414" t="s">
        <v>24</v>
      </c>
      <c r="D3414" s="7">
        <v>78</v>
      </c>
      <c r="E3414" s="7">
        <v>12</v>
      </c>
      <c r="F3414" s="7">
        <f t="shared" si="53"/>
        <v>6</v>
      </c>
      <c r="G3414" s="7" t="str">
        <f>LOOKUP(H3414,[1]startdates!$A$2:$A$10,[1]startdates!$B$2:$B$10)</f>
        <v>SMr</v>
      </c>
      <c r="H3414">
        <v>4</v>
      </c>
      <c r="I3414" s="7">
        <v>578</v>
      </c>
      <c r="K3414" s="7">
        <v>467.6</v>
      </c>
      <c r="M3414" s="7">
        <v>322.39999999999998</v>
      </c>
      <c r="N3414" s="7">
        <v>254.8</v>
      </c>
      <c r="O3414" s="7">
        <v>177.7</v>
      </c>
    </row>
    <row r="3415" spans="1:19" x14ac:dyDescent="0.2">
      <c r="A3415">
        <v>3414</v>
      </c>
      <c r="B3415" s="1">
        <v>40816</v>
      </c>
      <c r="C3415" t="s">
        <v>24</v>
      </c>
      <c r="D3415" s="7">
        <v>78</v>
      </c>
      <c r="E3415" s="7">
        <v>12</v>
      </c>
      <c r="F3415" s="7">
        <f t="shared" si="53"/>
        <v>6</v>
      </c>
      <c r="G3415" s="7" t="str">
        <f>LOOKUP(H3415,[1]startdates!$A$2:$A$10,[1]startdates!$B$2:$B$10)</f>
        <v>SMr</v>
      </c>
      <c r="H3415">
        <v>4</v>
      </c>
      <c r="I3415" s="7">
        <v>605.1</v>
      </c>
      <c r="O3415" s="7">
        <v>177.7</v>
      </c>
    </row>
    <row r="3416" spans="1:19" x14ac:dyDescent="0.2">
      <c r="A3416">
        <v>3415</v>
      </c>
      <c r="B3416" s="1">
        <v>40816</v>
      </c>
      <c r="C3416" t="s">
        <v>24</v>
      </c>
      <c r="D3416" s="7">
        <v>78</v>
      </c>
      <c r="E3416" s="7">
        <v>12</v>
      </c>
      <c r="F3416" s="7">
        <f t="shared" si="53"/>
        <v>6</v>
      </c>
      <c r="G3416" s="7" t="str">
        <f>LOOKUP(H3416,[1]startdates!$A$2:$A$10,[1]startdates!$B$2:$B$10)</f>
        <v>C</v>
      </c>
      <c r="H3416">
        <v>5</v>
      </c>
      <c r="I3416" s="7">
        <v>664.8</v>
      </c>
      <c r="J3416" s="7">
        <v>567.5</v>
      </c>
      <c r="K3416" s="7">
        <v>483.2</v>
      </c>
      <c r="L3416" s="7">
        <v>463.7</v>
      </c>
      <c r="M3416" s="7">
        <v>300</v>
      </c>
      <c r="N3416" s="7">
        <v>199.6</v>
      </c>
      <c r="O3416" s="7">
        <v>188.9</v>
      </c>
      <c r="P3416" s="7">
        <v>517.70000000000005</v>
      </c>
      <c r="Q3416" s="7">
        <v>342.6</v>
      </c>
      <c r="R3416" s="7">
        <v>271.5</v>
      </c>
      <c r="S3416" s="7">
        <v>260.3</v>
      </c>
    </row>
    <row r="3417" spans="1:19" x14ac:dyDescent="0.2">
      <c r="A3417">
        <v>3416</v>
      </c>
      <c r="B3417" s="1">
        <v>40816</v>
      </c>
      <c r="C3417" t="s">
        <v>24</v>
      </c>
      <c r="D3417" s="7">
        <v>78</v>
      </c>
      <c r="E3417" s="7">
        <v>12</v>
      </c>
      <c r="F3417" s="7">
        <f t="shared" si="53"/>
        <v>6</v>
      </c>
      <c r="G3417" s="7" t="str">
        <f>LOOKUP(H3417,[1]startdates!$A$2:$A$10,[1]startdates!$B$2:$B$10)</f>
        <v>C</v>
      </c>
      <c r="H3417">
        <v>5</v>
      </c>
      <c r="I3417" s="7">
        <v>646.29999999999995</v>
      </c>
      <c r="K3417" s="7">
        <v>587.79999999999995</v>
      </c>
      <c r="L3417" s="7">
        <v>405.3</v>
      </c>
      <c r="M3417" s="7">
        <v>257.89999999999998</v>
      </c>
      <c r="N3417" s="7">
        <v>180.4</v>
      </c>
      <c r="O3417" s="7">
        <v>165.8</v>
      </c>
      <c r="Q3417" s="7">
        <v>328.1</v>
      </c>
    </row>
    <row r="3418" spans="1:19" x14ac:dyDescent="0.2">
      <c r="A3418">
        <v>3417</v>
      </c>
      <c r="B3418" s="1">
        <v>40816</v>
      </c>
      <c r="C3418" t="s">
        <v>24</v>
      </c>
      <c r="D3418" s="7">
        <v>78</v>
      </c>
      <c r="E3418" s="7">
        <v>12</v>
      </c>
      <c r="F3418" s="7">
        <f t="shared" si="53"/>
        <v>6</v>
      </c>
      <c r="G3418" s="7" t="str">
        <f>LOOKUP(H3418,[1]startdates!$A$2:$A$10,[1]startdates!$B$2:$B$10)</f>
        <v>C</v>
      </c>
      <c r="H3418">
        <v>5</v>
      </c>
      <c r="I3418" s="7">
        <v>615.4</v>
      </c>
      <c r="K3418" s="7">
        <v>584.70000000000005</v>
      </c>
      <c r="L3418" s="7">
        <v>436</v>
      </c>
      <c r="M3418" s="7">
        <v>288.10000000000002</v>
      </c>
      <c r="N3418" s="7">
        <v>232.4</v>
      </c>
      <c r="O3418" s="7">
        <v>176.8</v>
      </c>
    </row>
    <row r="3419" spans="1:19" x14ac:dyDescent="0.2">
      <c r="A3419">
        <v>3418</v>
      </c>
      <c r="B3419" s="1">
        <v>40816</v>
      </c>
      <c r="C3419" t="s">
        <v>24</v>
      </c>
      <c r="D3419" s="7">
        <v>78</v>
      </c>
      <c r="E3419" s="7">
        <v>12</v>
      </c>
      <c r="F3419" s="7">
        <f t="shared" si="53"/>
        <v>6</v>
      </c>
      <c r="G3419" s="7" t="str">
        <f>LOOKUP(H3419,[1]startdates!$A$2:$A$10,[1]startdates!$B$2:$B$10)</f>
        <v>C</v>
      </c>
      <c r="H3419">
        <v>5</v>
      </c>
      <c r="I3419" s="7">
        <v>577</v>
      </c>
      <c r="K3419" s="7">
        <v>526.9</v>
      </c>
      <c r="L3419" s="7">
        <v>472.8</v>
      </c>
      <c r="M3419" s="7">
        <v>309.5</v>
      </c>
      <c r="N3419" s="7">
        <v>224.1</v>
      </c>
      <c r="O3419" s="7">
        <v>186.1</v>
      </c>
    </row>
    <row r="3420" spans="1:19" x14ac:dyDescent="0.2">
      <c r="A3420">
        <v>3419</v>
      </c>
      <c r="B3420" s="1">
        <v>40816</v>
      </c>
      <c r="C3420" t="s">
        <v>24</v>
      </c>
      <c r="D3420" s="7">
        <v>78</v>
      </c>
      <c r="E3420" s="7">
        <v>12</v>
      </c>
      <c r="F3420" s="7">
        <f t="shared" si="53"/>
        <v>6</v>
      </c>
      <c r="G3420" s="7" t="str">
        <f>LOOKUP(H3420,[1]startdates!$A$2:$A$10,[1]startdates!$B$2:$B$10)</f>
        <v>C</v>
      </c>
      <c r="H3420">
        <v>5</v>
      </c>
      <c r="I3420" s="7">
        <v>610.1</v>
      </c>
      <c r="K3420" s="7">
        <v>541.20000000000005</v>
      </c>
      <c r="L3420" s="7">
        <v>407.8</v>
      </c>
      <c r="M3420" s="7">
        <v>333.8</v>
      </c>
      <c r="N3420" s="7">
        <v>245.2</v>
      </c>
      <c r="O3420" s="7">
        <v>164.4</v>
      </c>
    </row>
    <row r="3421" spans="1:19" x14ac:dyDescent="0.2">
      <c r="A3421">
        <v>3420</v>
      </c>
      <c r="B3421" s="1">
        <v>40816</v>
      </c>
      <c r="C3421" t="s">
        <v>24</v>
      </c>
      <c r="D3421" s="7">
        <v>78</v>
      </c>
      <c r="E3421" s="7">
        <v>12</v>
      </c>
      <c r="F3421" s="7">
        <f t="shared" si="53"/>
        <v>6</v>
      </c>
      <c r="G3421" s="7" t="str">
        <f>LOOKUP(H3421,[1]startdates!$A$2:$A$10,[1]startdates!$B$2:$B$10)</f>
        <v>C</v>
      </c>
      <c r="H3421">
        <v>5</v>
      </c>
      <c r="I3421" s="7">
        <v>664.9</v>
      </c>
      <c r="K3421" s="7">
        <v>635.20000000000005</v>
      </c>
      <c r="M3421" s="7">
        <v>282.7</v>
      </c>
      <c r="N3421" s="7">
        <v>262</v>
      </c>
      <c r="O3421" s="7">
        <v>154.5</v>
      </c>
    </row>
    <row r="3422" spans="1:19" x14ac:dyDescent="0.2">
      <c r="A3422">
        <v>3421</v>
      </c>
      <c r="B3422" s="1">
        <v>40816</v>
      </c>
      <c r="C3422" t="s">
        <v>24</v>
      </c>
      <c r="D3422" s="7">
        <v>78</v>
      </c>
      <c r="E3422" s="7">
        <v>12</v>
      </c>
      <c r="F3422" s="7">
        <f t="shared" si="53"/>
        <v>6</v>
      </c>
      <c r="G3422" s="7" t="str">
        <f>LOOKUP(H3422,[1]startdates!$A$2:$A$10,[1]startdates!$B$2:$B$10)</f>
        <v>C</v>
      </c>
      <c r="H3422">
        <v>5</v>
      </c>
      <c r="I3422" s="7">
        <v>648.29999999999995</v>
      </c>
      <c r="K3422" s="7">
        <v>432.4</v>
      </c>
      <c r="M3422" s="7">
        <v>283.2</v>
      </c>
      <c r="N3422" s="7">
        <v>203.7</v>
      </c>
      <c r="O3422" s="7">
        <v>187.7</v>
      </c>
    </row>
    <row r="3423" spans="1:19" x14ac:dyDescent="0.2">
      <c r="A3423">
        <v>3422</v>
      </c>
      <c r="B3423" s="1">
        <v>40816</v>
      </c>
      <c r="C3423" t="s">
        <v>24</v>
      </c>
      <c r="D3423" s="7">
        <v>78</v>
      </c>
      <c r="E3423" s="7">
        <v>12</v>
      </c>
      <c r="F3423" s="7">
        <f t="shared" si="53"/>
        <v>6</v>
      </c>
      <c r="G3423" s="7" t="str">
        <f>LOOKUP(H3423,[1]startdates!$A$2:$A$10,[1]startdates!$B$2:$B$10)</f>
        <v>C</v>
      </c>
      <c r="H3423">
        <v>5</v>
      </c>
      <c r="K3423" s="7">
        <v>388.6</v>
      </c>
      <c r="M3423" s="7">
        <v>262.5</v>
      </c>
      <c r="N3423" s="7">
        <v>197.9</v>
      </c>
      <c r="O3423" s="7">
        <v>174.6</v>
      </c>
    </row>
    <row r="3424" spans="1:19" x14ac:dyDescent="0.2">
      <c r="A3424">
        <v>3423</v>
      </c>
      <c r="B3424" s="1">
        <v>40816</v>
      </c>
      <c r="C3424" t="s">
        <v>24</v>
      </c>
      <c r="D3424" s="7">
        <v>78</v>
      </c>
      <c r="E3424" s="7">
        <v>12</v>
      </c>
      <c r="F3424" s="7">
        <f t="shared" si="53"/>
        <v>6</v>
      </c>
      <c r="G3424" s="7" t="str">
        <f>LOOKUP(H3424,[1]startdates!$A$2:$A$10,[1]startdates!$B$2:$B$10)</f>
        <v>C</v>
      </c>
      <c r="H3424">
        <v>5</v>
      </c>
      <c r="K3424" s="7">
        <v>605.6</v>
      </c>
      <c r="M3424" s="7">
        <v>314.5</v>
      </c>
      <c r="N3424" s="7">
        <v>190.5</v>
      </c>
      <c r="O3424" s="7">
        <v>176</v>
      </c>
    </row>
    <row r="3425" spans="1:19" x14ac:dyDescent="0.2">
      <c r="A3425">
        <v>3424</v>
      </c>
      <c r="B3425" s="1">
        <v>40816</v>
      </c>
      <c r="C3425" t="s">
        <v>24</v>
      </c>
      <c r="D3425" s="7">
        <v>78</v>
      </c>
      <c r="E3425" s="7">
        <v>12</v>
      </c>
      <c r="F3425" s="7">
        <f t="shared" si="53"/>
        <v>6</v>
      </c>
      <c r="G3425" s="7" t="str">
        <f>LOOKUP(H3425,[1]startdates!$A$2:$A$10,[1]startdates!$B$2:$B$10)</f>
        <v>C</v>
      </c>
      <c r="H3425">
        <v>5</v>
      </c>
      <c r="M3425" s="7">
        <v>292.60000000000002</v>
      </c>
      <c r="N3425" s="7">
        <v>259.3</v>
      </c>
      <c r="O3425" s="7">
        <v>199.3</v>
      </c>
    </row>
    <row r="3426" spans="1:19" x14ac:dyDescent="0.2">
      <c r="A3426">
        <v>3425</v>
      </c>
      <c r="B3426" s="1">
        <v>40816</v>
      </c>
      <c r="C3426" t="s">
        <v>24</v>
      </c>
      <c r="D3426" s="7">
        <v>78</v>
      </c>
      <c r="E3426" s="7">
        <v>12</v>
      </c>
      <c r="F3426" s="7">
        <f t="shared" si="53"/>
        <v>6</v>
      </c>
      <c r="G3426" s="7" t="str">
        <f>LOOKUP(H3426,[1]startdates!$A$2:$A$10,[1]startdates!$B$2:$B$10)</f>
        <v>C</v>
      </c>
      <c r="H3426">
        <v>5</v>
      </c>
      <c r="O3426" s="7">
        <v>171.3</v>
      </c>
    </row>
    <row r="3427" spans="1:19" x14ac:dyDescent="0.2">
      <c r="A3427">
        <v>3426</v>
      </c>
      <c r="B3427" s="1">
        <v>40816</v>
      </c>
      <c r="C3427" t="s">
        <v>24</v>
      </c>
      <c r="D3427" s="7">
        <v>78</v>
      </c>
      <c r="E3427" s="7">
        <v>12</v>
      </c>
      <c r="F3427" s="7">
        <f t="shared" si="53"/>
        <v>6</v>
      </c>
      <c r="G3427" s="7" t="str">
        <f>LOOKUP(H3427,[1]startdates!$A$2:$A$10,[1]startdates!$B$2:$B$10)</f>
        <v>C</v>
      </c>
      <c r="H3427">
        <v>5</v>
      </c>
      <c r="O3427" s="7">
        <v>175.5</v>
      </c>
    </row>
    <row r="3428" spans="1:19" x14ac:dyDescent="0.2">
      <c r="A3428">
        <v>3427</v>
      </c>
      <c r="B3428" s="1">
        <v>40816</v>
      </c>
      <c r="C3428" t="s">
        <v>24</v>
      </c>
      <c r="D3428" s="7">
        <v>78</v>
      </c>
      <c r="E3428" s="7">
        <v>12</v>
      </c>
      <c r="F3428" s="7">
        <f t="shared" si="53"/>
        <v>6</v>
      </c>
      <c r="G3428" s="7" t="str">
        <f>LOOKUP(H3428,[1]startdates!$A$2:$A$10,[1]startdates!$B$2:$B$10)</f>
        <v>FMr</v>
      </c>
      <c r="H3428">
        <v>6</v>
      </c>
      <c r="I3428" s="7">
        <v>633.70000000000005</v>
      </c>
      <c r="J3428" s="7">
        <v>518.1</v>
      </c>
      <c r="K3428" s="7">
        <v>440.4</v>
      </c>
      <c r="L3428" s="7">
        <v>425.6</v>
      </c>
      <c r="N3428" s="7">
        <v>275.39999999999998</v>
      </c>
      <c r="O3428" s="7">
        <v>144.80000000000001</v>
      </c>
      <c r="P3428" s="7">
        <v>447.3</v>
      </c>
      <c r="Q3428" s="7">
        <v>355.8</v>
      </c>
      <c r="R3428" s="7">
        <v>284.10000000000002</v>
      </c>
      <c r="S3428" s="7">
        <v>265.5</v>
      </c>
    </row>
    <row r="3429" spans="1:19" x14ac:dyDescent="0.2">
      <c r="A3429">
        <v>3428</v>
      </c>
      <c r="B3429" s="1">
        <v>40816</v>
      </c>
      <c r="C3429" t="s">
        <v>24</v>
      </c>
      <c r="D3429" s="7">
        <v>78</v>
      </c>
      <c r="E3429" s="7">
        <v>12</v>
      </c>
      <c r="F3429" s="7">
        <f t="shared" si="53"/>
        <v>6</v>
      </c>
      <c r="G3429" s="7" t="str">
        <f>LOOKUP(H3429,[1]startdates!$A$2:$A$10,[1]startdates!$B$2:$B$10)</f>
        <v>FMr</v>
      </c>
      <c r="H3429">
        <v>6</v>
      </c>
      <c r="I3429" s="7">
        <v>609.6</v>
      </c>
      <c r="K3429" s="7">
        <v>385</v>
      </c>
      <c r="L3429" s="7">
        <v>405.3</v>
      </c>
      <c r="N3429" s="7">
        <v>251.3</v>
      </c>
      <c r="O3429" s="7">
        <v>166</v>
      </c>
    </row>
    <row r="3430" spans="1:19" x14ac:dyDescent="0.2">
      <c r="A3430">
        <v>3429</v>
      </c>
      <c r="B3430" s="1">
        <v>40816</v>
      </c>
      <c r="C3430" t="s">
        <v>24</v>
      </c>
      <c r="D3430" s="7">
        <v>78</v>
      </c>
      <c r="E3430" s="7">
        <v>12</v>
      </c>
      <c r="F3430" s="7">
        <f t="shared" si="53"/>
        <v>6</v>
      </c>
      <c r="G3430" s="7" t="str">
        <f>LOOKUP(H3430,[1]startdates!$A$2:$A$10,[1]startdates!$B$2:$B$10)</f>
        <v>FMr</v>
      </c>
      <c r="H3430">
        <v>6</v>
      </c>
      <c r="I3430" s="7">
        <v>607.79999999999995</v>
      </c>
      <c r="K3430" s="7">
        <v>459.9</v>
      </c>
      <c r="L3430" s="7">
        <v>426.2</v>
      </c>
      <c r="N3430" s="7">
        <v>221.2</v>
      </c>
    </row>
    <row r="3431" spans="1:19" x14ac:dyDescent="0.2">
      <c r="A3431">
        <v>3430</v>
      </c>
      <c r="B3431" s="1">
        <v>40816</v>
      </c>
      <c r="C3431" t="s">
        <v>24</v>
      </c>
      <c r="D3431" s="7">
        <v>78</v>
      </c>
      <c r="E3431" s="7">
        <v>12</v>
      </c>
      <c r="F3431" s="7">
        <f t="shared" si="53"/>
        <v>6</v>
      </c>
      <c r="G3431" s="7" t="str">
        <f>LOOKUP(H3431,[1]startdates!$A$2:$A$10,[1]startdates!$B$2:$B$10)</f>
        <v>FMr</v>
      </c>
      <c r="H3431">
        <v>6</v>
      </c>
      <c r="I3431" s="7">
        <v>561.79999999999995</v>
      </c>
      <c r="K3431" s="7">
        <v>511.5</v>
      </c>
      <c r="L3431" s="7">
        <v>363</v>
      </c>
      <c r="N3431" s="7">
        <v>251.3</v>
      </c>
    </row>
    <row r="3432" spans="1:19" x14ac:dyDescent="0.2">
      <c r="A3432">
        <v>3431</v>
      </c>
      <c r="B3432" s="1">
        <v>40816</v>
      </c>
      <c r="C3432" t="s">
        <v>24</v>
      </c>
      <c r="D3432" s="7">
        <v>78</v>
      </c>
      <c r="E3432" s="7">
        <v>12</v>
      </c>
      <c r="F3432" s="7">
        <f t="shared" si="53"/>
        <v>6</v>
      </c>
      <c r="G3432" s="7" t="str">
        <f>LOOKUP(H3432,[1]startdates!$A$2:$A$10,[1]startdates!$B$2:$B$10)</f>
        <v>FMr</v>
      </c>
      <c r="H3432">
        <v>6</v>
      </c>
      <c r="I3432" s="7">
        <v>518.1</v>
      </c>
      <c r="K3432" s="7">
        <v>454.4</v>
      </c>
      <c r="L3432" s="7">
        <v>436.5</v>
      </c>
      <c r="N3432" s="7">
        <v>240.9</v>
      </c>
    </row>
    <row r="3433" spans="1:19" x14ac:dyDescent="0.2">
      <c r="A3433">
        <v>3432</v>
      </c>
      <c r="B3433" s="1">
        <v>40816</v>
      </c>
      <c r="C3433" t="s">
        <v>24</v>
      </c>
      <c r="D3433" s="7">
        <v>78</v>
      </c>
      <c r="E3433" s="7">
        <v>12</v>
      </c>
      <c r="F3433" s="7">
        <f t="shared" ref="F3433:F3496" si="54">WEEKDAY(B3433)</f>
        <v>6</v>
      </c>
      <c r="G3433" s="7" t="str">
        <f>LOOKUP(H3433,[1]startdates!$A$2:$A$10,[1]startdates!$B$2:$B$10)</f>
        <v>FMr</v>
      </c>
      <c r="H3433">
        <v>6</v>
      </c>
      <c r="I3433" s="7">
        <v>589.9</v>
      </c>
      <c r="K3433" s="7">
        <v>574.4</v>
      </c>
      <c r="N3433" s="7">
        <v>255.6</v>
      </c>
    </row>
    <row r="3434" spans="1:19" x14ac:dyDescent="0.2">
      <c r="A3434">
        <v>3433</v>
      </c>
      <c r="B3434" s="1">
        <v>40816</v>
      </c>
      <c r="C3434" t="s">
        <v>24</v>
      </c>
      <c r="D3434" s="7">
        <v>78</v>
      </c>
      <c r="E3434" s="7">
        <v>12</v>
      </c>
      <c r="F3434" s="7">
        <f t="shared" si="54"/>
        <v>6</v>
      </c>
      <c r="G3434" s="7" t="str">
        <f>LOOKUP(H3434,[1]startdates!$A$2:$A$10,[1]startdates!$B$2:$B$10)</f>
        <v>FMr</v>
      </c>
      <c r="H3434">
        <v>6</v>
      </c>
      <c r="N3434" s="7">
        <v>230.6</v>
      </c>
    </row>
    <row r="3435" spans="1:19" x14ac:dyDescent="0.2">
      <c r="A3435">
        <v>3434</v>
      </c>
      <c r="B3435" s="1">
        <v>40816</v>
      </c>
      <c r="C3435" t="s">
        <v>24</v>
      </c>
      <c r="D3435" s="7">
        <v>78</v>
      </c>
      <c r="E3435" s="7">
        <v>12</v>
      </c>
      <c r="F3435" s="7">
        <f t="shared" si="54"/>
        <v>6</v>
      </c>
      <c r="G3435" s="7" t="str">
        <f>LOOKUP(H3435,[1]startdates!$A$2:$A$10,[1]startdates!$B$2:$B$10)</f>
        <v>FMr</v>
      </c>
      <c r="H3435">
        <v>6</v>
      </c>
      <c r="N3435" s="7">
        <v>245.7</v>
      </c>
    </row>
    <row r="3436" spans="1:19" x14ac:dyDescent="0.2">
      <c r="A3436">
        <v>3435</v>
      </c>
      <c r="B3436" s="1">
        <v>40816</v>
      </c>
      <c r="C3436" t="s">
        <v>24</v>
      </c>
      <c r="D3436" s="7">
        <v>78</v>
      </c>
      <c r="E3436" s="7">
        <v>12</v>
      </c>
      <c r="F3436" s="7">
        <f t="shared" si="54"/>
        <v>6</v>
      </c>
      <c r="G3436" s="7" t="str">
        <f>LOOKUP(H3436,[1]startdates!$A$2:$A$10,[1]startdates!$B$2:$B$10)</f>
        <v>FMr</v>
      </c>
      <c r="H3436">
        <v>6</v>
      </c>
      <c r="N3436" s="7">
        <v>235.9</v>
      </c>
    </row>
    <row r="3437" spans="1:19" x14ac:dyDescent="0.2">
      <c r="A3437">
        <v>3436</v>
      </c>
      <c r="B3437" s="1">
        <v>40816</v>
      </c>
      <c r="C3437" t="s">
        <v>24</v>
      </c>
      <c r="D3437" s="7">
        <v>78</v>
      </c>
      <c r="E3437" s="7">
        <v>12</v>
      </c>
      <c r="F3437" s="7">
        <f t="shared" si="54"/>
        <v>6</v>
      </c>
      <c r="G3437" s="7" t="str">
        <f>LOOKUP(H3437,[1]startdates!$A$2:$A$10,[1]startdates!$B$2:$B$10)</f>
        <v>FMr</v>
      </c>
      <c r="H3437">
        <v>6</v>
      </c>
      <c r="N3437" s="7">
        <v>248.9</v>
      </c>
    </row>
    <row r="3438" spans="1:19" x14ac:dyDescent="0.2">
      <c r="A3438">
        <v>3437</v>
      </c>
      <c r="B3438" s="1">
        <v>40816</v>
      </c>
      <c r="C3438" t="s">
        <v>24</v>
      </c>
      <c r="D3438" s="7">
        <v>78</v>
      </c>
      <c r="E3438" s="7">
        <v>12</v>
      </c>
      <c r="F3438" s="7">
        <f t="shared" si="54"/>
        <v>6</v>
      </c>
      <c r="G3438" s="7" t="str">
        <f>LOOKUP(H3438,[1]startdates!$A$2:$A$10,[1]startdates!$B$2:$B$10)</f>
        <v>FMr</v>
      </c>
      <c r="H3438">
        <v>6</v>
      </c>
      <c r="N3438" s="7">
        <v>220.6</v>
      </c>
    </row>
    <row r="3439" spans="1:19" x14ac:dyDescent="0.2">
      <c r="A3439">
        <v>3438</v>
      </c>
      <c r="B3439" s="1">
        <v>40816</v>
      </c>
      <c r="C3439" t="s">
        <v>24</v>
      </c>
      <c r="D3439" s="7">
        <v>78</v>
      </c>
      <c r="E3439" s="7">
        <v>12</v>
      </c>
      <c r="F3439" s="7">
        <f t="shared" si="54"/>
        <v>6</v>
      </c>
      <c r="G3439" s="7" t="str">
        <f>LOOKUP(H3439,[1]startdates!$A$2:$A$10,[1]startdates!$B$2:$B$10)</f>
        <v>FMr</v>
      </c>
      <c r="H3439">
        <v>6</v>
      </c>
      <c r="N3439" s="7">
        <v>249</v>
      </c>
    </row>
    <row r="3440" spans="1:19" x14ac:dyDescent="0.2">
      <c r="A3440">
        <v>3439</v>
      </c>
      <c r="B3440" s="1">
        <v>40816</v>
      </c>
      <c r="C3440" t="s">
        <v>24</v>
      </c>
      <c r="D3440" s="7">
        <v>78</v>
      </c>
      <c r="E3440" s="7">
        <v>12</v>
      </c>
      <c r="F3440" s="7">
        <f t="shared" si="54"/>
        <v>6</v>
      </c>
      <c r="G3440" s="7" t="str">
        <f>LOOKUP(H3440,[1]startdates!$A$2:$A$10,[1]startdates!$B$2:$B$10)</f>
        <v>FMr</v>
      </c>
      <c r="H3440">
        <v>6</v>
      </c>
      <c r="N3440" s="7">
        <v>226.9</v>
      </c>
    </row>
    <row r="3441" spans="1:19" x14ac:dyDescent="0.2">
      <c r="A3441">
        <v>3440</v>
      </c>
      <c r="B3441" s="1">
        <v>40816</v>
      </c>
      <c r="C3441" t="s">
        <v>28</v>
      </c>
      <c r="D3441" s="7">
        <v>78</v>
      </c>
      <c r="E3441" s="7">
        <v>12</v>
      </c>
      <c r="F3441" s="7">
        <f t="shared" si="54"/>
        <v>6</v>
      </c>
      <c r="G3441" s="7" t="str">
        <f>LOOKUP(H3441,[1]startdates!$A$2:$A$10,[1]startdates!$B$2:$B$10)</f>
        <v>FMr</v>
      </c>
      <c r="H3441">
        <v>7</v>
      </c>
      <c r="I3441" s="7">
        <v>556</v>
      </c>
      <c r="J3441" s="7">
        <v>514.4</v>
      </c>
      <c r="K3441" s="7">
        <v>517.9</v>
      </c>
      <c r="L3441" s="7">
        <v>400.6</v>
      </c>
      <c r="M3441" s="7">
        <v>296.8</v>
      </c>
      <c r="N3441" s="7">
        <v>265.5</v>
      </c>
      <c r="O3441" s="7">
        <v>186.3</v>
      </c>
      <c r="P3441" s="7">
        <v>419.8</v>
      </c>
      <c r="Q3441" s="7">
        <v>316.8</v>
      </c>
      <c r="R3441" s="7">
        <v>265.60000000000002</v>
      </c>
      <c r="S3441" s="7">
        <v>257.7</v>
      </c>
    </row>
    <row r="3442" spans="1:19" x14ac:dyDescent="0.2">
      <c r="A3442">
        <v>3441</v>
      </c>
      <c r="B3442" s="1">
        <v>40816</v>
      </c>
      <c r="C3442" t="s">
        <v>28</v>
      </c>
      <c r="D3442" s="7">
        <v>78</v>
      </c>
      <c r="E3442" s="7">
        <v>12</v>
      </c>
      <c r="F3442" s="7">
        <f t="shared" si="54"/>
        <v>6</v>
      </c>
      <c r="G3442" s="7" t="str">
        <f>LOOKUP(H3442,[1]startdates!$A$2:$A$10,[1]startdates!$B$2:$B$10)</f>
        <v>FMr</v>
      </c>
      <c r="H3442">
        <v>7</v>
      </c>
      <c r="I3442" s="7">
        <v>604</v>
      </c>
      <c r="K3442" s="7">
        <v>472.8</v>
      </c>
      <c r="L3442" s="7">
        <v>464.4</v>
      </c>
      <c r="M3442" s="7">
        <v>383</v>
      </c>
      <c r="N3442" s="7">
        <v>177.3</v>
      </c>
      <c r="O3442" s="7">
        <v>182.9</v>
      </c>
      <c r="P3442" s="7">
        <v>453.3</v>
      </c>
    </row>
    <row r="3443" spans="1:19" x14ac:dyDescent="0.2">
      <c r="A3443">
        <v>3442</v>
      </c>
      <c r="B3443" s="1">
        <v>40816</v>
      </c>
      <c r="C3443" t="s">
        <v>28</v>
      </c>
      <c r="D3443" s="7">
        <v>78</v>
      </c>
      <c r="E3443" s="7">
        <v>12</v>
      </c>
      <c r="F3443" s="7">
        <f t="shared" si="54"/>
        <v>6</v>
      </c>
      <c r="G3443" s="7" t="str">
        <f>LOOKUP(H3443,[1]startdates!$A$2:$A$10,[1]startdates!$B$2:$B$10)</f>
        <v>FMr</v>
      </c>
      <c r="H3443">
        <v>7</v>
      </c>
      <c r="I3443" s="7">
        <v>564.70000000000005</v>
      </c>
      <c r="K3443" s="7">
        <v>496.5</v>
      </c>
      <c r="L3443" s="7">
        <v>486.3</v>
      </c>
      <c r="M3443" s="7">
        <v>395.8</v>
      </c>
      <c r="N3443" s="7">
        <v>232.9</v>
      </c>
      <c r="O3443" s="7">
        <v>167.9</v>
      </c>
    </row>
    <row r="3444" spans="1:19" x14ac:dyDescent="0.2">
      <c r="A3444">
        <v>3443</v>
      </c>
      <c r="B3444" s="1">
        <v>40816</v>
      </c>
      <c r="C3444" t="s">
        <v>28</v>
      </c>
      <c r="D3444" s="7">
        <v>78</v>
      </c>
      <c r="E3444" s="7">
        <v>12</v>
      </c>
      <c r="F3444" s="7">
        <f t="shared" si="54"/>
        <v>6</v>
      </c>
      <c r="G3444" s="7" t="str">
        <f>LOOKUP(H3444,[1]startdates!$A$2:$A$10,[1]startdates!$B$2:$B$10)</f>
        <v>FMr</v>
      </c>
      <c r="H3444">
        <v>7</v>
      </c>
      <c r="I3444" s="7">
        <v>575.1</v>
      </c>
      <c r="K3444" s="7">
        <v>473.4</v>
      </c>
      <c r="L3444" s="7">
        <v>444.9</v>
      </c>
      <c r="M3444" s="7">
        <v>310.7</v>
      </c>
      <c r="N3444" s="7">
        <v>237.1</v>
      </c>
      <c r="O3444" s="7">
        <v>156.5</v>
      </c>
    </row>
    <row r="3445" spans="1:19" x14ac:dyDescent="0.2">
      <c r="A3445">
        <v>3444</v>
      </c>
      <c r="B3445" s="1">
        <v>40816</v>
      </c>
      <c r="C3445" t="s">
        <v>28</v>
      </c>
      <c r="D3445" s="7">
        <v>78</v>
      </c>
      <c r="E3445" s="7">
        <v>12</v>
      </c>
      <c r="F3445" s="7">
        <f t="shared" si="54"/>
        <v>6</v>
      </c>
      <c r="G3445" s="7" t="str">
        <f>LOOKUP(H3445,[1]startdates!$A$2:$A$10,[1]startdates!$B$2:$B$10)</f>
        <v>FMr</v>
      </c>
      <c r="H3445">
        <v>7</v>
      </c>
      <c r="I3445" s="7">
        <v>598.70000000000005</v>
      </c>
      <c r="K3445" s="7">
        <v>530.20000000000005</v>
      </c>
      <c r="L3445" s="7">
        <v>456.5</v>
      </c>
      <c r="M3445" s="7">
        <v>300.39999999999998</v>
      </c>
      <c r="N3445" s="7">
        <v>218.9</v>
      </c>
      <c r="O3445" s="7">
        <v>169.4</v>
      </c>
    </row>
    <row r="3446" spans="1:19" x14ac:dyDescent="0.2">
      <c r="A3446">
        <v>3445</v>
      </c>
      <c r="B3446" s="1">
        <v>40816</v>
      </c>
      <c r="C3446" t="s">
        <v>28</v>
      </c>
      <c r="D3446" s="7">
        <v>78</v>
      </c>
      <c r="E3446" s="7">
        <v>12</v>
      </c>
      <c r="F3446" s="7">
        <f t="shared" si="54"/>
        <v>6</v>
      </c>
      <c r="G3446" s="7" t="str">
        <f>LOOKUP(H3446,[1]startdates!$A$2:$A$10,[1]startdates!$B$2:$B$10)</f>
        <v>FMr</v>
      </c>
      <c r="H3446">
        <v>7</v>
      </c>
      <c r="I3446" s="7">
        <v>505.3</v>
      </c>
      <c r="K3446" s="7">
        <v>507.2</v>
      </c>
      <c r="L3446" s="7">
        <v>428.9</v>
      </c>
      <c r="M3446" s="7">
        <v>344.7</v>
      </c>
      <c r="N3446" s="7">
        <v>206.3</v>
      </c>
      <c r="O3446" s="7">
        <v>147.30000000000001</v>
      </c>
    </row>
    <row r="3447" spans="1:19" x14ac:dyDescent="0.2">
      <c r="A3447">
        <v>3446</v>
      </c>
      <c r="B3447" s="1">
        <v>40816</v>
      </c>
      <c r="C3447" t="s">
        <v>28</v>
      </c>
      <c r="D3447" s="7">
        <v>78</v>
      </c>
      <c r="E3447" s="7">
        <v>12</v>
      </c>
      <c r="F3447" s="7">
        <f t="shared" si="54"/>
        <v>6</v>
      </c>
      <c r="G3447" s="7" t="str">
        <f>LOOKUP(H3447,[1]startdates!$A$2:$A$10,[1]startdates!$B$2:$B$10)</f>
        <v>FMr</v>
      </c>
      <c r="H3447">
        <v>7</v>
      </c>
      <c r="I3447" s="7">
        <v>598</v>
      </c>
      <c r="M3447" s="7">
        <v>316.2</v>
      </c>
      <c r="N3447" s="7">
        <v>196.5</v>
      </c>
      <c r="O3447" s="7">
        <v>175</v>
      </c>
    </row>
    <row r="3448" spans="1:19" x14ac:dyDescent="0.2">
      <c r="A3448">
        <v>3447</v>
      </c>
      <c r="B3448" s="1">
        <v>40816</v>
      </c>
      <c r="C3448" t="s">
        <v>28</v>
      </c>
      <c r="D3448" s="7">
        <v>78</v>
      </c>
      <c r="E3448" s="7">
        <v>12</v>
      </c>
      <c r="F3448" s="7">
        <f t="shared" si="54"/>
        <v>6</v>
      </c>
      <c r="G3448" s="7" t="str">
        <f>LOOKUP(H3448,[1]startdates!$A$2:$A$10,[1]startdates!$B$2:$B$10)</f>
        <v>FMr</v>
      </c>
      <c r="H3448">
        <v>7</v>
      </c>
      <c r="I3448" s="7">
        <v>708.5</v>
      </c>
      <c r="M3448" s="7">
        <v>321</v>
      </c>
      <c r="N3448" s="7">
        <v>239.8</v>
      </c>
      <c r="O3448" s="7">
        <v>188.6</v>
      </c>
    </row>
    <row r="3449" spans="1:19" x14ac:dyDescent="0.2">
      <c r="A3449">
        <v>3448</v>
      </c>
      <c r="B3449" s="1">
        <v>40816</v>
      </c>
      <c r="C3449" t="s">
        <v>28</v>
      </c>
      <c r="D3449" s="7">
        <v>78</v>
      </c>
      <c r="E3449" s="7">
        <v>12</v>
      </c>
      <c r="F3449" s="7">
        <f t="shared" si="54"/>
        <v>6</v>
      </c>
      <c r="G3449" s="7" t="str">
        <f>LOOKUP(H3449,[1]startdates!$A$2:$A$10,[1]startdates!$B$2:$B$10)</f>
        <v>FMr</v>
      </c>
      <c r="H3449">
        <v>7</v>
      </c>
      <c r="I3449" s="7">
        <v>556.20000000000005</v>
      </c>
      <c r="M3449" s="7">
        <v>375</v>
      </c>
      <c r="N3449" s="7">
        <v>229.3</v>
      </c>
      <c r="O3449" s="7">
        <v>179.8</v>
      </c>
    </row>
    <row r="3450" spans="1:19" x14ac:dyDescent="0.2">
      <c r="A3450">
        <v>3449</v>
      </c>
      <c r="B3450" s="1">
        <v>40816</v>
      </c>
      <c r="C3450" t="s">
        <v>28</v>
      </c>
      <c r="D3450" s="7">
        <v>78</v>
      </c>
      <c r="E3450" s="7">
        <v>12</v>
      </c>
      <c r="F3450" s="7">
        <f t="shared" si="54"/>
        <v>6</v>
      </c>
      <c r="G3450" s="7" t="str">
        <f>LOOKUP(H3450,[1]startdates!$A$2:$A$10,[1]startdates!$B$2:$B$10)</f>
        <v>FMr</v>
      </c>
      <c r="H3450">
        <v>7</v>
      </c>
      <c r="I3450" s="7">
        <v>605.9</v>
      </c>
      <c r="M3450" s="7">
        <v>294.3</v>
      </c>
      <c r="N3450" s="7">
        <v>208.3</v>
      </c>
      <c r="O3450" s="7">
        <v>162.19999999999999</v>
      </c>
    </row>
    <row r="3451" spans="1:19" x14ac:dyDescent="0.2">
      <c r="A3451">
        <v>3450</v>
      </c>
      <c r="B3451" s="1">
        <v>40816</v>
      </c>
      <c r="C3451" t="s">
        <v>28</v>
      </c>
      <c r="D3451" s="7">
        <v>78</v>
      </c>
      <c r="E3451" s="7">
        <v>12</v>
      </c>
      <c r="F3451" s="7">
        <f t="shared" si="54"/>
        <v>6</v>
      </c>
      <c r="G3451" s="7" t="str">
        <f>LOOKUP(H3451,[1]startdates!$A$2:$A$10,[1]startdates!$B$2:$B$10)</f>
        <v>FMr</v>
      </c>
      <c r="H3451">
        <v>7</v>
      </c>
      <c r="I3451" s="7">
        <v>536.9</v>
      </c>
    </row>
    <row r="3452" spans="1:19" x14ac:dyDescent="0.2">
      <c r="A3452">
        <v>3451</v>
      </c>
      <c r="B3452" s="1">
        <v>40816</v>
      </c>
      <c r="C3452" t="s">
        <v>28</v>
      </c>
      <c r="D3452" s="7">
        <v>78</v>
      </c>
      <c r="E3452" s="7">
        <v>12</v>
      </c>
      <c r="F3452" s="7">
        <f t="shared" si="54"/>
        <v>6</v>
      </c>
      <c r="G3452" s="7" t="str">
        <f>LOOKUP(H3452,[1]startdates!$A$2:$A$10,[1]startdates!$B$2:$B$10)</f>
        <v>FMr</v>
      </c>
      <c r="H3452">
        <v>7</v>
      </c>
      <c r="I3452" s="7">
        <v>564.70000000000005</v>
      </c>
    </row>
    <row r="3453" spans="1:19" x14ac:dyDescent="0.2">
      <c r="A3453">
        <v>3452</v>
      </c>
      <c r="B3453" s="1">
        <v>40816</v>
      </c>
      <c r="C3453" t="s">
        <v>28</v>
      </c>
      <c r="D3453" s="7">
        <v>78</v>
      </c>
      <c r="E3453" s="7">
        <v>12</v>
      </c>
      <c r="F3453" s="7">
        <f t="shared" si="54"/>
        <v>6</v>
      </c>
      <c r="G3453" s="7" t="str">
        <f>LOOKUP(H3453,[1]startdates!$A$2:$A$10,[1]startdates!$B$2:$B$10)</f>
        <v>FMr</v>
      </c>
      <c r="H3453">
        <v>7</v>
      </c>
      <c r="I3453" s="7">
        <v>617.5</v>
      </c>
    </row>
    <row r="3454" spans="1:19" x14ac:dyDescent="0.2">
      <c r="A3454">
        <v>3453</v>
      </c>
      <c r="B3454" s="1">
        <v>40816</v>
      </c>
      <c r="C3454" t="s">
        <v>24</v>
      </c>
      <c r="D3454" s="7">
        <v>78</v>
      </c>
      <c r="E3454" s="7">
        <v>12</v>
      </c>
      <c r="F3454" s="7">
        <f t="shared" si="54"/>
        <v>6</v>
      </c>
      <c r="G3454" s="7" t="str">
        <f>LOOKUP(H3454,[1]startdates!$A$2:$A$10,[1]startdates!$B$2:$B$10)</f>
        <v>C</v>
      </c>
      <c r="H3454">
        <v>8</v>
      </c>
      <c r="I3454" s="7">
        <v>659.1</v>
      </c>
      <c r="J3454" s="7">
        <v>600.9</v>
      </c>
      <c r="K3454" s="7">
        <v>577.20000000000005</v>
      </c>
      <c r="L3454" s="7">
        <v>414.6</v>
      </c>
      <c r="M3454" s="7">
        <v>318.60000000000002</v>
      </c>
      <c r="N3454" s="7">
        <v>242.7</v>
      </c>
      <c r="O3454" s="7">
        <v>192.2</v>
      </c>
      <c r="Q3454" s="7">
        <v>410.9</v>
      </c>
      <c r="S3454" s="7">
        <v>280.39999999999998</v>
      </c>
    </row>
    <row r="3455" spans="1:19" x14ac:dyDescent="0.2">
      <c r="A3455">
        <v>3454</v>
      </c>
      <c r="B3455" s="1">
        <v>40816</v>
      </c>
      <c r="C3455" t="s">
        <v>24</v>
      </c>
      <c r="D3455" s="7">
        <v>78</v>
      </c>
      <c r="E3455" s="7">
        <v>12</v>
      </c>
      <c r="F3455" s="7">
        <f t="shared" si="54"/>
        <v>6</v>
      </c>
      <c r="G3455" s="7" t="str">
        <f>LOOKUP(H3455,[1]startdates!$A$2:$A$10,[1]startdates!$B$2:$B$10)</f>
        <v>C</v>
      </c>
      <c r="H3455">
        <v>8</v>
      </c>
      <c r="I3455" s="7">
        <v>668.4</v>
      </c>
      <c r="J3455" s="7">
        <v>528.70000000000005</v>
      </c>
      <c r="K3455" s="7">
        <v>687.3</v>
      </c>
      <c r="L3455" s="7">
        <v>364.7</v>
      </c>
      <c r="M3455" s="7">
        <v>367.6</v>
      </c>
      <c r="N3455" s="7">
        <v>195.7</v>
      </c>
      <c r="O3455" s="7">
        <v>158.30000000000001</v>
      </c>
      <c r="S3455" s="7">
        <v>270.8</v>
      </c>
    </row>
    <row r="3456" spans="1:19" x14ac:dyDescent="0.2">
      <c r="A3456">
        <v>3455</v>
      </c>
      <c r="B3456" s="1">
        <v>40816</v>
      </c>
      <c r="C3456" t="s">
        <v>24</v>
      </c>
      <c r="D3456" s="7">
        <v>78</v>
      </c>
      <c r="E3456" s="7">
        <v>12</v>
      </c>
      <c r="F3456" s="7">
        <f t="shared" si="54"/>
        <v>6</v>
      </c>
      <c r="G3456" s="7" t="str">
        <f>LOOKUP(H3456,[1]startdates!$A$2:$A$10,[1]startdates!$B$2:$B$10)</f>
        <v>C</v>
      </c>
      <c r="H3456">
        <v>8</v>
      </c>
      <c r="I3456" s="7">
        <v>543</v>
      </c>
      <c r="K3456" s="7">
        <v>552</v>
      </c>
      <c r="L3456" s="7">
        <v>382.1</v>
      </c>
      <c r="M3456" s="7">
        <v>316.60000000000002</v>
      </c>
      <c r="N3456" s="7">
        <v>217.8</v>
      </c>
      <c r="O3456" s="7">
        <v>163.5</v>
      </c>
      <c r="S3456" s="7">
        <v>313.3</v>
      </c>
    </row>
    <row r="3457" spans="1:19" x14ac:dyDescent="0.2">
      <c r="A3457">
        <v>3456</v>
      </c>
      <c r="B3457" s="1">
        <v>40816</v>
      </c>
      <c r="C3457" t="s">
        <v>24</v>
      </c>
      <c r="D3457" s="7">
        <v>78</v>
      </c>
      <c r="E3457" s="7">
        <v>12</v>
      </c>
      <c r="F3457" s="7">
        <f t="shared" si="54"/>
        <v>6</v>
      </c>
      <c r="G3457" s="7" t="str">
        <f>LOOKUP(H3457,[1]startdates!$A$2:$A$10,[1]startdates!$B$2:$B$10)</f>
        <v>C</v>
      </c>
      <c r="H3457">
        <v>8</v>
      </c>
      <c r="I3457" s="7">
        <v>655.7</v>
      </c>
      <c r="K3457" s="7">
        <v>422.4</v>
      </c>
      <c r="L3457" s="7">
        <v>357.7</v>
      </c>
      <c r="M3457" s="7">
        <v>336.7</v>
      </c>
      <c r="N3457" s="7">
        <v>211</v>
      </c>
      <c r="O3457" s="7">
        <v>181.3</v>
      </c>
      <c r="S3457" s="7">
        <v>276.7</v>
      </c>
    </row>
    <row r="3458" spans="1:19" x14ac:dyDescent="0.2">
      <c r="A3458">
        <v>3457</v>
      </c>
      <c r="B3458" s="1">
        <v>40816</v>
      </c>
      <c r="C3458" t="s">
        <v>24</v>
      </c>
      <c r="D3458" s="7">
        <v>78</v>
      </c>
      <c r="E3458" s="7">
        <v>12</v>
      </c>
      <c r="F3458" s="7">
        <f t="shared" si="54"/>
        <v>6</v>
      </c>
      <c r="G3458" s="7" t="str">
        <f>LOOKUP(H3458,[1]startdates!$A$2:$A$10,[1]startdates!$B$2:$B$10)</f>
        <v>C</v>
      </c>
      <c r="H3458">
        <v>8</v>
      </c>
      <c r="I3458" s="7">
        <v>701.5</v>
      </c>
      <c r="K3458" s="7">
        <v>606.6</v>
      </c>
      <c r="L3458" s="7">
        <v>400.1</v>
      </c>
      <c r="M3458" s="7">
        <v>335</v>
      </c>
      <c r="N3458" s="7">
        <v>216.6</v>
      </c>
      <c r="O3458" s="7">
        <v>202.6</v>
      </c>
      <c r="S3458" s="7">
        <v>287.2</v>
      </c>
    </row>
    <row r="3459" spans="1:19" x14ac:dyDescent="0.2">
      <c r="A3459">
        <v>3458</v>
      </c>
      <c r="B3459" s="1">
        <v>40816</v>
      </c>
      <c r="C3459" t="s">
        <v>24</v>
      </c>
      <c r="D3459" s="7">
        <v>78</v>
      </c>
      <c r="E3459" s="7">
        <v>12</v>
      </c>
      <c r="F3459" s="7">
        <f t="shared" si="54"/>
        <v>6</v>
      </c>
      <c r="G3459" s="7" t="str">
        <f>LOOKUP(H3459,[1]startdates!$A$2:$A$10,[1]startdates!$B$2:$B$10)</f>
        <v>C</v>
      </c>
      <c r="H3459">
        <v>8</v>
      </c>
      <c r="I3459" s="7">
        <v>659.2</v>
      </c>
      <c r="K3459" s="7">
        <v>482.7</v>
      </c>
      <c r="L3459" s="7">
        <v>462.6</v>
      </c>
      <c r="M3459" s="7">
        <v>338.5</v>
      </c>
      <c r="N3459" s="7">
        <v>218.9</v>
      </c>
      <c r="O3459" s="7">
        <v>182.8</v>
      </c>
      <c r="S3459" s="7">
        <v>304.2</v>
      </c>
    </row>
    <row r="3460" spans="1:19" x14ac:dyDescent="0.2">
      <c r="A3460">
        <v>3459</v>
      </c>
      <c r="B3460" s="1">
        <v>40816</v>
      </c>
      <c r="C3460" t="s">
        <v>24</v>
      </c>
      <c r="D3460" s="7">
        <v>78</v>
      </c>
      <c r="E3460" s="7">
        <v>12</v>
      </c>
      <c r="F3460" s="7">
        <f t="shared" si="54"/>
        <v>6</v>
      </c>
      <c r="G3460" s="7" t="str">
        <f>LOOKUP(H3460,[1]startdates!$A$2:$A$10,[1]startdates!$B$2:$B$10)</f>
        <v>C</v>
      </c>
      <c r="H3460">
        <v>8</v>
      </c>
      <c r="I3460" s="7">
        <v>668.1</v>
      </c>
      <c r="K3460" s="7">
        <v>576.79999999999995</v>
      </c>
      <c r="L3460" s="7">
        <v>423.5</v>
      </c>
      <c r="M3460" s="7">
        <v>327.2</v>
      </c>
      <c r="N3460" s="7">
        <v>275.39999999999998</v>
      </c>
      <c r="O3460" s="7">
        <v>202.5</v>
      </c>
    </row>
    <row r="3461" spans="1:19" x14ac:dyDescent="0.2">
      <c r="A3461">
        <v>3460</v>
      </c>
      <c r="B3461" s="1">
        <v>40816</v>
      </c>
      <c r="C3461" t="s">
        <v>24</v>
      </c>
      <c r="D3461" s="7">
        <v>78</v>
      </c>
      <c r="E3461" s="7">
        <v>12</v>
      </c>
      <c r="F3461" s="7">
        <f t="shared" si="54"/>
        <v>6</v>
      </c>
      <c r="G3461" s="7" t="str">
        <f>LOOKUP(H3461,[1]startdates!$A$2:$A$10,[1]startdates!$B$2:$B$10)</f>
        <v>C</v>
      </c>
      <c r="H3461">
        <v>8</v>
      </c>
      <c r="I3461" s="7">
        <v>692.3</v>
      </c>
      <c r="K3461" s="7">
        <v>541.70000000000005</v>
      </c>
      <c r="L3461" s="7">
        <v>543.70000000000005</v>
      </c>
      <c r="M3461" s="7">
        <v>396.5</v>
      </c>
      <c r="N3461" s="7">
        <v>247.1</v>
      </c>
      <c r="O3461" s="7">
        <v>172.9</v>
      </c>
    </row>
    <row r="3462" spans="1:19" x14ac:dyDescent="0.2">
      <c r="A3462">
        <v>3461</v>
      </c>
      <c r="B3462" s="1">
        <v>40816</v>
      </c>
      <c r="C3462" t="s">
        <v>24</v>
      </c>
      <c r="D3462" s="7">
        <v>78</v>
      </c>
      <c r="E3462" s="7">
        <v>12</v>
      </c>
      <c r="F3462" s="7">
        <f t="shared" si="54"/>
        <v>6</v>
      </c>
      <c r="G3462" s="7" t="str">
        <f>LOOKUP(H3462,[1]startdates!$A$2:$A$10,[1]startdates!$B$2:$B$10)</f>
        <v>C</v>
      </c>
      <c r="H3462">
        <v>8</v>
      </c>
      <c r="K3462" s="7">
        <v>600.79999999999995</v>
      </c>
      <c r="L3462" s="7">
        <v>405.3</v>
      </c>
      <c r="N3462" s="7">
        <v>253.9</v>
      </c>
      <c r="O3462" s="7">
        <v>187</v>
      </c>
    </row>
    <row r="3463" spans="1:19" x14ac:dyDescent="0.2">
      <c r="A3463">
        <v>3462</v>
      </c>
      <c r="B3463" s="1">
        <v>40816</v>
      </c>
      <c r="C3463" t="s">
        <v>24</v>
      </c>
      <c r="D3463" s="7">
        <v>78</v>
      </c>
      <c r="E3463" s="7">
        <v>12</v>
      </c>
      <c r="F3463" s="7">
        <f t="shared" si="54"/>
        <v>6</v>
      </c>
      <c r="G3463" s="7" t="str">
        <f>LOOKUP(H3463,[1]startdates!$A$2:$A$10,[1]startdates!$B$2:$B$10)</f>
        <v>C</v>
      </c>
      <c r="H3463">
        <v>8</v>
      </c>
      <c r="K3463" s="7">
        <v>677.1</v>
      </c>
      <c r="N3463" s="7">
        <v>256.39999999999998</v>
      </c>
      <c r="O3463" s="7">
        <v>214</v>
      </c>
    </row>
    <row r="3464" spans="1:19" x14ac:dyDescent="0.2">
      <c r="A3464">
        <v>3463</v>
      </c>
      <c r="B3464" s="1">
        <v>40816</v>
      </c>
      <c r="C3464" t="s">
        <v>24</v>
      </c>
      <c r="D3464" s="7">
        <v>78</v>
      </c>
      <c r="E3464" s="7">
        <v>12</v>
      </c>
      <c r="F3464" s="7">
        <f t="shared" si="54"/>
        <v>6</v>
      </c>
      <c r="G3464" s="7" t="str">
        <f>LOOKUP(H3464,[1]startdates!$A$2:$A$10,[1]startdates!$B$2:$B$10)</f>
        <v>C</v>
      </c>
      <c r="H3464">
        <v>8</v>
      </c>
      <c r="N3464" s="7">
        <v>290</v>
      </c>
    </row>
    <row r="3465" spans="1:19" x14ac:dyDescent="0.2">
      <c r="A3465">
        <v>3464</v>
      </c>
      <c r="B3465" s="1">
        <v>40816</v>
      </c>
      <c r="C3465" t="s">
        <v>28</v>
      </c>
      <c r="D3465" s="7">
        <v>78</v>
      </c>
      <c r="E3465" s="7">
        <v>12</v>
      </c>
      <c r="F3465" s="7">
        <f t="shared" si="54"/>
        <v>6</v>
      </c>
      <c r="G3465" s="7" t="str">
        <f>LOOKUP(H3465,[1]startdates!$A$2:$A$10,[1]startdates!$B$2:$B$10)</f>
        <v>FMr</v>
      </c>
      <c r="H3465">
        <v>9</v>
      </c>
      <c r="I3465" s="7">
        <v>656.4</v>
      </c>
      <c r="J3465" s="7">
        <v>573.6</v>
      </c>
      <c r="K3465" s="7">
        <v>531.4</v>
      </c>
      <c r="L3465" s="7">
        <v>449.7</v>
      </c>
      <c r="M3465" s="7">
        <v>305.10000000000002</v>
      </c>
      <c r="N3465" s="7">
        <v>218.9</v>
      </c>
      <c r="O3465" s="7">
        <v>184.2</v>
      </c>
      <c r="Q3465" s="7">
        <v>338.7</v>
      </c>
      <c r="R3465" s="7">
        <v>245.2</v>
      </c>
      <c r="S3465" s="7">
        <v>277.3</v>
      </c>
    </row>
    <row r="3466" spans="1:19" x14ac:dyDescent="0.2">
      <c r="A3466">
        <v>3465</v>
      </c>
      <c r="B3466" s="1">
        <v>40816</v>
      </c>
      <c r="C3466" t="s">
        <v>28</v>
      </c>
      <c r="D3466" s="7">
        <v>78</v>
      </c>
      <c r="E3466" s="7">
        <v>12</v>
      </c>
      <c r="F3466" s="7">
        <f t="shared" si="54"/>
        <v>6</v>
      </c>
      <c r="G3466" s="7" t="str">
        <f>LOOKUP(H3466,[1]startdates!$A$2:$A$10,[1]startdates!$B$2:$B$10)</f>
        <v>FMr</v>
      </c>
      <c r="H3466">
        <v>9</v>
      </c>
      <c r="I3466" s="7">
        <v>664.5</v>
      </c>
      <c r="K3466" s="7">
        <v>563.6</v>
      </c>
      <c r="L3466" s="7">
        <v>436.2</v>
      </c>
      <c r="M3466" s="7">
        <v>356.5</v>
      </c>
      <c r="N3466" s="7">
        <v>233.9</v>
      </c>
      <c r="O3466" s="7">
        <v>192</v>
      </c>
      <c r="R3466" s="7">
        <v>257.60000000000002</v>
      </c>
      <c r="S3466" s="7">
        <v>271</v>
      </c>
    </row>
    <row r="3467" spans="1:19" x14ac:dyDescent="0.2">
      <c r="A3467">
        <v>3466</v>
      </c>
      <c r="B3467" s="1">
        <v>40816</v>
      </c>
      <c r="C3467" t="s">
        <v>28</v>
      </c>
      <c r="D3467" s="7">
        <v>78</v>
      </c>
      <c r="E3467" s="7">
        <v>12</v>
      </c>
      <c r="F3467" s="7">
        <f t="shared" si="54"/>
        <v>6</v>
      </c>
      <c r="G3467" s="7" t="str">
        <f>LOOKUP(H3467,[1]startdates!$A$2:$A$10,[1]startdates!$B$2:$B$10)</f>
        <v>FMr</v>
      </c>
      <c r="H3467">
        <v>9</v>
      </c>
      <c r="I3467" s="7">
        <v>586.20000000000005</v>
      </c>
      <c r="K3467" s="7">
        <v>513.4</v>
      </c>
      <c r="L3467" s="7">
        <v>451.3</v>
      </c>
      <c r="M3467" s="7">
        <v>302.7</v>
      </c>
      <c r="N3467" s="7">
        <v>251.9</v>
      </c>
      <c r="O3467" s="7">
        <v>188.6</v>
      </c>
      <c r="R3467" s="7">
        <v>238.9</v>
      </c>
    </row>
    <row r="3468" spans="1:19" x14ac:dyDescent="0.2">
      <c r="A3468">
        <v>3467</v>
      </c>
      <c r="B3468" s="1">
        <v>40816</v>
      </c>
      <c r="C3468" t="s">
        <v>28</v>
      </c>
      <c r="D3468" s="7">
        <v>78</v>
      </c>
      <c r="E3468" s="7">
        <v>12</v>
      </c>
      <c r="F3468" s="7">
        <f t="shared" si="54"/>
        <v>6</v>
      </c>
      <c r="G3468" s="7" t="str">
        <f>LOOKUP(H3468,[1]startdates!$A$2:$A$10,[1]startdates!$B$2:$B$10)</f>
        <v>FMr</v>
      </c>
      <c r="H3468">
        <v>9</v>
      </c>
      <c r="I3468" s="7">
        <v>671.4</v>
      </c>
      <c r="K3468" s="7">
        <v>535.1</v>
      </c>
      <c r="L3468" s="7">
        <v>430.1</v>
      </c>
      <c r="M3468" s="7">
        <v>362.7</v>
      </c>
      <c r="N3468" s="7">
        <v>225.4</v>
      </c>
      <c r="O3468" s="7">
        <v>171.3</v>
      </c>
      <c r="R3468" s="7">
        <v>282.89999999999998</v>
      </c>
    </row>
    <row r="3469" spans="1:19" x14ac:dyDescent="0.2">
      <c r="A3469">
        <v>3468</v>
      </c>
      <c r="B3469" s="1">
        <v>40816</v>
      </c>
      <c r="C3469" t="s">
        <v>28</v>
      </c>
      <c r="D3469" s="7">
        <v>78</v>
      </c>
      <c r="E3469" s="7">
        <v>12</v>
      </c>
      <c r="F3469" s="7">
        <f t="shared" si="54"/>
        <v>6</v>
      </c>
      <c r="G3469" s="7" t="str">
        <f>LOOKUP(H3469,[1]startdates!$A$2:$A$10,[1]startdates!$B$2:$B$10)</f>
        <v>FMr</v>
      </c>
      <c r="H3469">
        <v>9</v>
      </c>
      <c r="I3469" s="7">
        <v>589.5</v>
      </c>
      <c r="K3469" s="7">
        <v>500.8</v>
      </c>
      <c r="L3469" s="7">
        <v>408.5</v>
      </c>
      <c r="M3469" s="7">
        <v>321</v>
      </c>
      <c r="N3469" s="7">
        <v>265.5</v>
      </c>
      <c r="O3469" s="7">
        <v>182.2</v>
      </c>
    </row>
    <row r="3470" spans="1:19" x14ac:dyDescent="0.2">
      <c r="A3470">
        <v>3469</v>
      </c>
      <c r="B3470" s="1">
        <v>40816</v>
      </c>
      <c r="C3470" t="s">
        <v>28</v>
      </c>
      <c r="D3470" s="7">
        <v>78</v>
      </c>
      <c r="E3470" s="7">
        <v>12</v>
      </c>
      <c r="F3470" s="7">
        <f t="shared" si="54"/>
        <v>6</v>
      </c>
      <c r="G3470" s="7" t="str">
        <f>LOOKUP(H3470,[1]startdates!$A$2:$A$10,[1]startdates!$B$2:$B$10)</f>
        <v>FMr</v>
      </c>
      <c r="H3470">
        <v>9</v>
      </c>
      <c r="I3470" s="7">
        <v>704.5</v>
      </c>
      <c r="K3470" s="7">
        <v>655.8</v>
      </c>
      <c r="L3470" s="7">
        <v>405.1</v>
      </c>
      <c r="M3470" s="7">
        <v>330.9</v>
      </c>
      <c r="N3470" s="7">
        <v>271.5</v>
      </c>
      <c r="O3470" s="7">
        <v>170</v>
      </c>
    </row>
    <row r="3471" spans="1:19" x14ac:dyDescent="0.2">
      <c r="A3471">
        <v>3470</v>
      </c>
      <c r="B3471" s="1">
        <v>40816</v>
      </c>
      <c r="C3471" t="s">
        <v>28</v>
      </c>
      <c r="D3471" s="7">
        <v>78</v>
      </c>
      <c r="E3471" s="7">
        <v>12</v>
      </c>
      <c r="F3471" s="7">
        <f t="shared" si="54"/>
        <v>6</v>
      </c>
      <c r="G3471" s="7" t="str">
        <f>LOOKUP(H3471,[1]startdates!$A$2:$A$10,[1]startdates!$B$2:$B$10)</f>
        <v>FMr</v>
      </c>
      <c r="H3471">
        <v>9</v>
      </c>
      <c r="I3471" s="7">
        <v>665.5</v>
      </c>
      <c r="L3471" s="7">
        <v>474.1</v>
      </c>
      <c r="M3471" s="7">
        <v>334.3</v>
      </c>
      <c r="N3471" s="7">
        <v>293.2</v>
      </c>
      <c r="O3471" s="7">
        <v>187.7</v>
      </c>
    </row>
    <row r="3472" spans="1:19" x14ac:dyDescent="0.2">
      <c r="A3472">
        <v>3471</v>
      </c>
      <c r="B3472" s="1">
        <v>40816</v>
      </c>
      <c r="C3472" t="s">
        <v>28</v>
      </c>
      <c r="D3472" s="7">
        <v>78</v>
      </c>
      <c r="E3472" s="7">
        <v>12</v>
      </c>
      <c r="F3472" s="7">
        <f t="shared" si="54"/>
        <v>6</v>
      </c>
      <c r="G3472" s="7" t="str">
        <f>LOOKUP(H3472,[1]startdates!$A$2:$A$10,[1]startdates!$B$2:$B$10)</f>
        <v>FMr</v>
      </c>
      <c r="H3472">
        <v>9</v>
      </c>
      <c r="I3472" s="7">
        <v>582.5</v>
      </c>
      <c r="L3472" s="7">
        <v>437.9</v>
      </c>
      <c r="M3472" s="7">
        <v>355.9</v>
      </c>
      <c r="N3472" s="7">
        <v>192</v>
      </c>
      <c r="O3472" s="7">
        <v>175</v>
      </c>
    </row>
    <row r="3473" spans="1:21" x14ac:dyDescent="0.2">
      <c r="A3473">
        <v>3472</v>
      </c>
      <c r="B3473" s="1">
        <v>40816</v>
      </c>
      <c r="C3473" t="s">
        <v>28</v>
      </c>
      <c r="D3473" s="7">
        <v>78</v>
      </c>
      <c r="E3473" s="7">
        <v>12</v>
      </c>
      <c r="F3473" s="7">
        <f t="shared" si="54"/>
        <v>6</v>
      </c>
      <c r="G3473" s="7" t="str">
        <f>LOOKUP(H3473,[1]startdates!$A$2:$A$10,[1]startdates!$B$2:$B$10)</f>
        <v>FMr</v>
      </c>
      <c r="H3473">
        <v>9</v>
      </c>
      <c r="I3473" s="7">
        <v>633.9</v>
      </c>
      <c r="M3473" s="7">
        <v>326.10000000000002</v>
      </c>
      <c r="N3473" s="7">
        <v>215.1</v>
      </c>
      <c r="O3473" s="7">
        <v>185.4</v>
      </c>
    </row>
    <row r="3474" spans="1:21" x14ac:dyDescent="0.2">
      <c r="A3474">
        <v>3473</v>
      </c>
      <c r="B3474" s="1">
        <v>40816</v>
      </c>
      <c r="C3474" t="s">
        <v>28</v>
      </c>
      <c r="D3474" s="7">
        <v>78</v>
      </c>
      <c r="E3474" s="7">
        <v>12</v>
      </c>
      <c r="F3474" s="7">
        <f t="shared" si="54"/>
        <v>6</v>
      </c>
      <c r="G3474" s="7" t="str">
        <f>LOOKUP(H3474,[1]startdates!$A$2:$A$10,[1]startdates!$B$2:$B$10)</f>
        <v>FMr</v>
      </c>
      <c r="H3474">
        <v>9</v>
      </c>
      <c r="I3474" s="7">
        <v>559.1</v>
      </c>
      <c r="M3474" s="7">
        <v>316.7</v>
      </c>
      <c r="N3474" s="7">
        <v>203.7</v>
      </c>
      <c r="O3474" s="7">
        <v>175</v>
      </c>
    </row>
    <row r="3475" spans="1:21" x14ac:dyDescent="0.2">
      <c r="A3475">
        <v>3474</v>
      </c>
      <c r="B3475" s="1">
        <v>40816</v>
      </c>
      <c r="C3475" t="s">
        <v>28</v>
      </c>
      <c r="D3475" s="7">
        <v>78</v>
      </c>
      <c r="E3475" s="7">
        <v>12</v>
      </c>
      <c r="F3475" s="7">
        <f t="shared" si="54"/>
        <v>6</v>
      </c>
      <c r="G3475" s="7" t="str">
        <f>LOOKUP(H3475,[1]startdates!$A$2:$A$10,[1]startdates!$B$2:$B$10)</f>
        <v>FMr</v>
      </c>
      <c r="H3475">
        <v>9</v>
      </c>
      <c r="I3475" s="7">
        <v>639.4</v>
      </c>
      <c r="M3475" s="7">
        <v>375.5</v>
      </c>
      <c r="N3475" s="7">
        <v>201</v>
      </c>
    </row>
    <row r="3476" spans="1:21" x14ac:dyDescent="0.2">
      <c r="A3476">
        <v>3475</v>
      </c>
      <c r="B3476" s="1">
        <v>40820</v>
      </c>
      <c r="C3476" t="s">
        <v>24</v>
      </c>
      <c r="D3476" s="7">
        <v>82</v>
      </c>
      <c r="E3476" s="7">
        <v>13</v>
      </c>
      <c r="F3476" s="7">
        <f t="shared" si="54"/>
        <v>3</v>
      </c>
      <c r="G3476" s="7" t="str">
        <f>LOOKUP(H3476,[1]startdates!$A$2:$A$10,[1]startdates!$B$2:$B$10)</f>
        <v>SMr</v>
      </c>
      <c r="H3476">
        <v>1</v>
      </c>
      <c r="I3476" s="7">
        <v>702.9</v>
      </c>
      <c r="J3476" s="7">
        <v>532.70000000000005</v>
      </c>
      <c r="K3476" s="7">
        <v>583.29999999999995</v>
      </c>
      <c r="L3476" s="7">
        <v>480.8</v>
      </c>
      <c r="M3476" s="7">
        <v>369.8</v>
      </c>
      <c r="N3476" s="7">
        <v>218.7</v>
      </c>
      <c r="O3476" s="7">
        <v>171.3</v>
      </c>
      <c r="P3476" s="7">
        <v>477</v>
      </c>
      <c r="R3476" s="7">
        <v>251.7</v>
      </c>
      <c r="S3476" s="7">
        <v>314.39999999999998</v>
      </c>
      <c r="T3476" s="7">
        <v>366.8</v>
      </c>
      <c r="U3476" s="7">
        <v>499.9</v>
      </c>
    </row>
    <row r="3477" spans="1:21" x14ac:dyDescent="0.2">
      <c r="A3477">
        <v>3476</v>
      </c>
      <c r="B3477" s="1">
        <v>40820</v>
      </c>
      <c r="C3477" t="s">
        <v>24</v>
      </c>
      <c r="D3477" s="7">
        <v>82</v>
      </c>
      <c r="E3477" s="7">
        <v>13</v>
      </c>
      <c r="F3477" s="7">
        <f t="shared" si="54"/>
        <v>3</v>
      </c>
      <c r="G3477" s="7" t="str">
        <f>LOOKUP(H3477,[1]startdates!$A$2:$A$10,[1]startdates!$B$2:$B$10)</f>
        <v>SMr</v>
      </c>
      <c r="H3477">
        <v>1</v>
      </c>
      <c r="I3477" s="7">
        <v>636.5</v>
      </c>
      <c r="J3477" s="7">
        <v>570.79999999999995</v>
      </c>
      <c r="K3477" s="7">
        <v>497.7</v>
      </c>
      <c r="L3477" s="7">
        <v>413.4</v>
      </c>
      <c r="M3477" s="7">
        <v>331.9</v>
      </c>
      <c r="N3477" s="7">
        <v>229.9</v>
      </c>
      <c r="O3477" s="7">
        <v>155.30000000000001</v>
      </c>
      <c r="P3477" s="7">
        <v>569.79999999999995</v>
      </c>
      <c r="R3477" s="7">
        <v>263.10000000000002</v>
      </c>
      <c r="S3477" s="7">
        <v>259.10000000000002</v>
      </c>
      <c r="U3477" s="7">
        <v>539.20000000000005</v>
      </c>
    </row>
    <row r="3478" spans="1:21" x14ac:dyDescent="0.2">
      <c r="A3478">
        <v>3477</v>
      </c>
      <c r="B3478" s="1">
        <v>40820</v>
      </c>
      <c r="C3478" t="s">
        <v>24</v>
      </c>
      <c r="D3478" s="7">
        <v>82</v>
      </c>
      <c r="E3478" s="7">
        <v>13</v>
      </c>
      <c r="F3478" s="7">
        <f t="shared" si="54"/>
        <v>3</v>
      </c>
      <c r="G3478" s="7" t="str">
        <f>LOOKUP(H3478,[1]startdates!$A$2:$A$10,[1]startdates!$B$2:$B$10)</f>
        <v>SMr</v>
      </c>
      <c r="H3478">
        <v>1</v>
      </c>
      <c r="I3478" s="7">
        <v>603.6</v>
      </c>
      <c r="J3478" s="7">
        <v>519.79999999999995</v>
      </c>
      <c r="K3478" s="7">
        <v>560.6</v>
      </c>
      <c r="L3478" s="7">
        <v>443.7</v>
      </c>
      <c r="M3478" s="7">
        <v>325</v>
      </c>
      <c r="N3478" s="7">
        <v>219</v>
      </c>
      <c r="O3478" s="7">
        <v>176.5</v>
      </c>
      <c r="P3478" s="7">
        <v>512.9</v>
      </c>
      <c r="U3478" s="7">
        <v>560.5</v>
      </c>
    </row>
    <row r="3479" spans="1:21" x14ac:dyDescent="0.2">
      <c r="A3479">
        <v>3478</v>
      </c>
      <c r="B3479" s="1">
        <v>40820</v>
      </c>
      <c r="C3479" t="s">
        <v>24</v>
      </c>
      <c r="D3479" s="7">
        <v>82</v>
      </c>
      <c r="E3479" s="7">
        <v>13</v>
      </c>
      <c r="F3479" s="7">
        <f t="shared" si="54"/>
        <v>3</v>
      </c>
      <c r="G3479" s="7" t="str">
        <f>LOOKUP(H3479,[1]startdates!$A$2:$A$10,[1]startdates!$B$2:$B$10)</f>
        <v>SMr</v>
      </c>
      <c r="H3479">
        <v>1</v>
      </c>
      <c r="I3479" s="7">
        <v>640.70000000000005</v>
      </c>
      <c r="M3479" s="7">
        <v>385.4</v>
      </c>
      <c r="N3479" s="7">
        <v>195.3</v>
      </c>
      <c r="O3479" s="7">
        <v>163.4</v>
      </c>
      <c r="P3479" s="7">
        <v>464.4</v>
      </c>
      <c r="U3479" s="7">
        <v>571.6</v>
      </c>
    </row>
    <row r="3480" spans="1:21" x14ac:dyDescent="0.2">
      <c r="A3480">
        <v>3479</v>
      </c>
      <c r="B3480" s="1">
        <v>40820</v>
      </c>
      <c r="C3480" t="s">
        <v>24</v>
      </c>
      <c r="D3480" s="7">
        <v>82</v>
      </c>
      <c r="E3480" s="7">
        <v>13</v>
      </c>
      <c r="F3480" s="7">
        <f t="shared" si="54"/>
        <v>3</v>
      </c>
      <c r="G3480" s="7" t="str">
        <f>LOOKUP(H3480,[1]startdates!$A$2:$A$10,[1]startdates!$B$2:$B$10)</f>
        <v>SMr</v>
      </c>
      <c r="H3480">
        <v>1</v>
      </c>
      <c r="I3480" s="7">
        <v>620.1</v>
      </c>
      <c r="M3480" s="7">
        <v>384.7</v>
      </c>
      <c r="N3480" s="7">
        <v>206.7</v>
      </c>
      <c r="O3480" s="7">
        <v>187.8</v>
      </c>
      <c r="U3480" s="7">
        <v>587.29999999999995</v>
      </c>
    </row>
    <row r="3481" spans="1:21" x14ac:dyDescent="0.2">
      <c r="A3481">
        <v>3480</v>
      </c>
      <c r="B3481" s="1">
        <v>40820</v>
      </c>
      <c r="C3481" t="s">
        <v>24</v>
      </c>
      <c r="D3481" s="7">
        <v>82</v>
      </c>
      <c r="E3481" s="7">
        <v>13</v>
      </c>
      <c r="F3481" s="7">
        <f t="shared" si="54"/>
        <v>3</v>
      </c>
      <c r="G3481" s="7" t="str">
        <f>LOOKUP(H3481,[1]startdates!$A$2:$A$10,[1]startdates!$B$2:$B$10)</f>
        <v>SMr</v>
      </c>
      <c r="H3481">
        <v>1</v>
      </c>
      <c r="I3481" s="7">
        <v>630.6</v>
      </c>
      <c r="M3481" s="7">
        <v>275.39999999999998</v>
      </c>
      <c r="N3481" s="7">
        <v>170</v>
      </c>
      <c r="O3481" s="7">
        <v>181.9</v>
      </c>
    </row>
    <row r="3482" spans="1:21" x14ac:dyDescent="0.2">
      <c r="A3482">
        <v>3481</v>
      </c>
      <c r="B3482" s="1">
        <v>40820</v>
      </c>
      <c r="C3482" t="s">
        <v>24</v>
      </c>
      <c r="D3482" s="7">
        <v>82</v>
      </c>
      <c r="E3482" s="7">
        <v>13</v>
      </c>
      <c r="F3482" s="7">
        <f t="shared" si="54"/>
        <v>3</v>
      </c>
      <c r="G3482" s="7" t="str">
        <f>LOOKUP(H3482,[1]startdates!$A$2:$A$10,[1]startdates!$B$2:$B$10)</f>
        <v>SMr</v>
      </c>
      <c r="H3482">
        <v>1</v>
      </c>
      <c r="I3482" s="7">
        <v>626.20000000000005</v>
      </c>
      <c r="M3482" s="7">
        <v>279.5</v>
      </c>
      <c r="N3482" s="7">
        <v>214.5</v>
      </c>
      <c r="O3482" s="7">
        <v>180.1</v>
      </c>
    </row>
    <row r="3483" spans="1:21" x14ac:dyDescent="0.2">
      <c r="A3483">
        <v>3482</v>
      </c>
      <c r="B3483" s="1">
        <v>40820</v>
      </c>
      <c r="C3483" t="s">
        <v>24</v>
      </c>
      <c r="D3483" s="7">
        <v>82</v>
      </c>
      <c r="E3483" s="7">
        <v>13</v>
      </c>
      <c r="F3483" s="7">
        <f t="shared" si="54"/>
        <v>3</v>
      </c>
      <c r="G3483" s="7" t="str">
        <f>LOOKUP(H3483,[1]startdates!$A$2:$A$10,[1]startdates!$B$2:$B$10)</f>
        <v>SMr</v>
      </c>
      <c r="H3483">
        <v>1</v>
      </c>
      <c r="I3483" s="7">
        <v>672.5</v>
      </c>
      <c r="M3483" s="7">
        <v>305.5</v>
      </c>
      <c r="N3483" s="7">
        <v>207.8</v>
      </c>
      <c r="O3483" s="7">
        <v>173.3</v>
      </c>
    </row>
    <row r="3484" spans="1:21" x14ac:dyDescent="0.2">
      <c r="A3484">
        <v>3483</v>
      </c>
      <c r="B3484" s="1">
        <v>40820</v>
      </c>
      <c r="C3484" t="s">
        <v>24</v>
      </c>
      <c r="D3484" s="7">
        <v>82</v>
      </c>
      <c r="E3484" s="7">
        <v>13</v>
      </c>
      <c r="F3484" s="7">
        <f t="shared" si="54"/>
        <v>3</v>
      </c>
      <c r="G3484" s="7" t="str">
        <f>LOOKUP(H3484,[1]startdates!$A$2:$A$10,[1]startdates!$B$2:$B$10)</f>
        <v>SMr</v>
      </c>
      <c r="H3484">
        <v>1</v>
      </c>
      <c r="I3484" s="7">
        <v>639.4</v>
      </c>
      <c r="M3484" s="7">
        <v>380.4</v>
      </c>
      <c r="N3484" s="7">
        <v>216</v>
      </c>
      <c r="O3484" s="7">
        <v>190.9</v>
      </c>
    </row>
    <row r="3485" spans="1:21" x14ac:dyDescent="0.2">
      <c r="A3485">
        <v>3484</v>
      </c>
      <c r="B3485" s="1">
        <v>40820</v>
      </c>
      <c r="C3485" t="s">
        <v>24</v>
      </c>
      <c r="D3485" s="7">
        <v>82</v>
      </c>
      <c r="E3485" s="7">
        <v>13</v>
      </c>
      <c r="F3485" s="7">
        <f t="shared" si="54"/>
        <v>3</v>
      </c>
      <c r="G3485" s="7" t="str">
        <f>LOOKUP(H3485,[1]startdates!$A$2:$A$10,[1]startdates!$B$2:$B$10)</f>
        <v>SMr</v>
      </c>
      <c r="H3485">
        <v>1</v>
      </c>
      <c r="I3485" s="7">
        <v>612.5</v>
      </c>
      <c r="M3485" s="7">
        <v>355.1</v>
      </c>
      <c r="N3485" s="7">
        <v>246.8</v>
      </c>
      <c r="O3485" s="7">
        <v>178.2</v>
      </c>
    </row>
    <row r="3486" spans="1:21" x14ac:dyDescent="0.2">
      <c r="A3486">
        <v>3485</v>
      </c>
      <c r="B3486" s="1">
        <v>40820</v>
      </c>
      <c r="C3486" t="s">
        <v>24</v>
      </c>
      <c r="D3486" s="7">
        <v>82</v>
      </c>
      <c r="E3486" s="7">
        <v>13</v>
      </c>
      <c r="F3486" s="7">
        <f t="shared" si="54"/>
        <v>3</v>
      </c>
      <c r="G3486" s="7" t="str">
        <f>LOOKUP(H3486,[1]startdates!$A$2:$A$10,[1]startdates!$B$2:$B$10)</f>
        <v>SMr</v>
      </c>
      <c r="H3486">
        <v>1</v>
      </c>
      <c r="M3486" s="7">
        <v>356.2</v>
      </c>
      <c r="N3486" s="7">
        <v>201.7</v>
      </c>
    </row>
    <row r="3487" spans="1:21" x14ac:dyDescent="0.2">
      <c r="A3487">
        <v>3486</v>
      </c>
      <c r="B3487" s="1">
        <v>40820</v>
      </c>
      <c r="C3487" t="s">
        <v>24</v>
      </c>
      <c r="D3487" s="7">
        <v>82</v>
      </c>
      <c r="E3487" s="7">
        <v>13</v>
      </c>
      <c r="F3487" s="7">
        <f t="shared" si="54"/>
        <v>3</v>
      </c>
      <c r="G3487" s="7" t="str">
        <f>LOOKUP(H3487,[1]startdates!$A$2:$A$10,[1]startdates!$B$2:$B$10)</f>
        <v>SMr</v>
      </c>
      <c r="H3487">
        <v>2</v>
      </c>
      <c r="I3487" s="7">
        <v>604.4</v>
      </c>
      <c r="J3487" s="7">
        <v>587.79999999999995</v>
      </c>
      <c r="K3487" s="7">
        <v>591.1</v>
      </c>
      <c r="L3487" s="7">
        <v>414.3</v>
      </c>
      <c r="M3487" s="7">
        <v>329.1</v>
      </c>
      <c r="N3487" s="7">
        <v>189.5</v>
      </c>
      <c r="O3487" s="7">
        <v>174.4</v>
      </c>
      <c r="P3487" s="7">
        <v>515.20000000000005</v>
      </c>
      <c r="Q3487" s="7">
        <v>362.3</v>
      </c>
      <c r="R3487" s="7">
        <v>284.10000000000002</v>
      </c>
      <c r="S3487" s="7">
        <v>273.39999999999998</v>
      </c>
      <c r="U3487" s="7">
        <v>537.20000000000005</v>
      </c>
    </row>
    <row r="3488" spans="1:21" x14ac:dyDescent="0.2">
      <c r="A3488">
        <v>3487</v>
      </c>
      <c r="B3488" s="1">
        <v>40820</v>
      </c>
      <c r="C3488" t="s">
        <v>24</v>
      </c>
      <c r="D3488" s="7">
        <v>82</v>
      </c>
      <c r="E3488" s="7">
        <v>13</v>
      </c>
      <c r="F3488" s="7">
        <f t="shared" si="54"/>
        <v>3</v>
      </c>
      <c r="G3488" s="7" t="str">
        <f>LOOKUP(H3488,[1]startdates!$A$2:$A$10,[1]startdates!$B$2:$B$10)</f>
        <v>SMr</v>
      </c>
      <c r="H3488">
        <v>2</v>
      </c>
      <c r="I3488" s="7">
        <v>562</v>
      </c>
      <c r="J3488" s="7">
        <v>593.29999999999995</v>
      </c>
      <c r="K3488" s="7">
        <v>480</v>
      </c>
      <c r="L3488" s="7">
        <v>429.9</v>
      </c>
      <c r="M3488" s="7">
        <v>353.1</v>
      </c>
      <c r="N3488" s="7">
        <v>284.10000000000002</v>
      </c>
      <c r="O3488" s="7">
        <v>193.8</v>
      </c>
      <c r="P3488" s="7">
        <v>490</v>
      </c>
      <c r="Q3488" s="7">
        <v>392</v>
      </c>
      <c r="R3488" s="7">
        <v>280.60000000000002</v>
      </c>
      <c r="S3488" s="7">
        <v>242.1</v>
      </c>
      <c r="U3488" s="7">
        <v>490.9</v>
      </c>
    </row>
    <row r="3489" spans="1:21" x14ac:dyDescent="0.2">
      <c r="A3489">
        <v>3488</v>
      </c>
      <c r="B3489" s="1">
        <v>40820</v>
      </c>
      <c r="C3489" t="s">
        <v>24</v>
      </c>
      <c r="D3489" s="7">
        <v>82</v>
      </c>
      <c r="E3489" s="7">
        <v>13</v>
      </c>
      <c r="F3489" s="7">
        <f t="shared" si="54"/>
        <v>3</v>
      </c>
      <c r="G3489" s="7" t="str">
        <f>LOOKUP(H3489,[1]startdates!$A$2:$A$10,[1]startdates!$B$2:$B$10)</f>
        <v>SMr</v>
      </c>
      <c r="H3489">
        <v>2</v>
      </c>
      <c r="I3489" s="7">
        <v>722.1</v>
      </c>
      <c r="K3489" s="7">
        <v>560.1</v>
      </c>
      <c r="L3489" s="7">
        <v>401</v>
      </c>
      <c r="M3489" s="7">
        <v>356</v>
      </c>
      <c r="N3489" s="7">
        <v>250.4</v>
      </c>
      <c r="O3489" s="7">
        <v>168</v>
      </c>
      <c r="P3489" s="7">
        <v>481</v>
      </c>
      <c r="Q3489" s="7">
        <v>416.1</v>
      </c>
      <c r="R3489" s="7">
        <v>296.2</v>
      </c>
      <c r="S3489" s="7">
        <v>279.89999999999998</v>
      </c>
      <c r="U3489" s="7">
        <v>554.6</v>
      </c>
    </row>
    <row r="3490" spans="1:21" x14ac:dyDescent="0.2">
      <c r="A3490">
        <v>3489</v>
      </c>
      <c r="B3490" s="1">
        <v>40820</v>
      </c>
      <c r="C3490" t="s">
        <v>24</v>
      </c>
      <c r="D3490" s="7">
        <v>82</v>
      </c>
      <c r="E3490" s="7">
        <v>13</v>
      </c>
      <c r="F3490" s="7">
        <f t="shared" si="54"/>
        <v>3</v>
      </c>
      <c r="G3490" s="7" t="str">
        <f>LOOKUP(H3490,[1]startdates!$A$2:$A$10,[1]startdates!$B$2:$B$10)</f>
        <v>SMr</v>
      </c>
      <c r="H3490">
        <v>2</v>
      </c>
      <c r="I3490" s="7">
        <v>659.2</v>
      </c>
      <c r="K3490" s="7">
        <v>472.7</v>
      </c>
      <c r="L3490" s="7">
        <v>397</v>
      </c>
      <c r="N3490" s="7">
        <v>202.6</v>
      </c>
      <c r="O3490" s="7">
        <v>161.69999999999999</v>
      </c>
      <c r="P3490" s="7">
        <v>373.8</v>
      </c>
      <c r="Q3490" s="7">
        <v>350.7</v>
      </c>
      <c r="S3490" s="7">
        <v>268.5</v>
      </c>
      <c r="U3490" s="7">
        <v>535.70000000000005</v>
      </c>
    </row>
    <row r="3491" spans="1:21" x14ac:dyDescent="0.2">
      <c r="A3491">
        <v>3490</v>
      </c>
      <c r="B3491" s="1">
        <v>40820</v>
      </c>
      <c r="C3491" t="s">
        <v>24</v>
      </c>
      <c r="D3491" s="7">
        <v>82</v>
      </c>
      <c r="E3491" s="7">
        <v>13</v>
      </c>
      <c r="F3491" s="7">
        <f t="shared" si="54"/>
        <v>3</v>
      </c>
      <c r="G3491" s="7" t="str">
        <f>LOOKUP(H3491,[1]startdates!$A$2:$A$10,[1]startdates!$B$2:$B$10)</f>
        <v>SMr</v>
      </c>
      <c r="H3491">
        <v>2</v>
      </c>
      <c r="I3491" s="7">
        <v>548.6</v>
      </c>
      <c r="N3491" s="7">
        <v>226.7</v>
      </c>
      <c r="O3491" s="7">
        <v>181.3</v>
      </c>
      <c r="P3491" s="7">
        <v>559</v>
      </c>
      <c r="U3491" s="7">
        <v>513.9</v>
      </c>
    </row>
    <row r="3492" spans="1:21" x14ac:dyDescent="0.2">
      <c r="A3492">
        <v>3491</v>
      </c>
      <c r="B3492" s="1">
        <v>40820</v>
      </c>
      <c r="C3492" t="s">
        <v>24</v>
      </c>
      <c r="D3492" s="7">
        <v>82</v>
      </c>
      <c r="E3492" s="7">
        <v>13</v>
      </c>
      <c r="F3492" s="7">
        <f t="shared" si="54"/>
        <v>3</v>
      </c>
      <c r="G3492" s="7" t="str">
        <f>LOOKUP(H3492,[1]startdates!$A$2:$A$10,[1]startdates!$B$2:$B$10)</f>
        <v>SMr</v>
      </c>
      <c r="H3492">
        <v>2</v>
      </c>
      <c r="I3492" s="7">
        <v>622.29999999999995</v>
      </c>
      <c r="N3492" s="7">
        <v>203.3</v>
      </c>
      <c r="O3492" s="7">
        <v>166.4</v>
      </c>
    </row>
    <row r="3493" spans="1:21" x14ac:dyDescent="0.2">
      <c r="A3493">
        <v>3492</v>
      </c>
      <c r="B3493" s="1">
        <v>40820</v>
      </c>
      <c r="C3493" t="s">
        <v>24</v>
      </c>
      <c r="D3493" s="7">
        <v>82</v>
      </c>
      <c r="E3493" s="7">
        <v>13</v>
      </c>
      <c r="F3493" s="7">
        <f t="shared" si="54"/>
        <v>3</v>
      </c>
      <c r="G3493" s="7" t="str">
        <f>LOOKUP(H3493,[1]startdates!$A$2:$A$10,[1]startdates!$B$2:$B$10)</f>
        <v>SMr</v>
      </c>
      <c r="H3493">
        <v>2</v>
      </c>
      <c r="I3493" s="7">
        <v>518.79999999999995</v>
      </c>
      <c r="N3493" s="7">
        <v>211.3</v>
      </c>
      <c r="O3493" s="7">
        <v>165.7</v>
      </c>
    </row>
    <row r="3494" spans="1:21" x14ac:dyDescent="0.2">
      <c r="A3494">
        <v>3493</v>
      </c>
      <c r="B3494" s="1">
        <v>40820</v>
      </c>
      <c r="C3494" t="s">
        <v>24</v>
      </c>
      <c r="D3494" s="7">
        <v>82</v>
      </c>
      <c r="E3494" s="7">
        <v>13</v>
      </c>
      <c r="F3494" s="7">
        <f t="shared" si="54"/>
        <v>3</v>
      </c>
      <c r="G3494" s="7" t="str">
        <f>LOOKUP(H3494,[1]startdates!$A$2:$A$10,[1]startdates!$B$2:$B$10)</f>
        <v>SMr</v>
      </c>
      <c r="H3494">
        <v>2</v>
      </c>
      <c r="I3494" s="7">
        <v>443.8</v>
      </c>
      <c r="N3494" s="7">
        <v>204.6</v>
      </c>
      <c r="O3494" s="7">
        <v>164.4</v>
      </c>
    </row>
    <row r="3495" spans="1:21" x14ac:dyDescent="0.2">
      <c r="A3495">
        <v>3494</v>
      </c>
      <c r="B3495" s="1">
        <v>40820</v>
      </c>
      <c r="C3495" t="s">
        <v>24</v>
      </c>
      <c r="D3495" s="7">
        <v>82</v>
      </c>
      <c r="E3495" s="7">
        <v>13</v>
      </c>
      <c r="F3495" s="7">
        <f t="shared" si="54"/>
        <v>3</v>
      </c>
      <c r="G3495" s="7" t="str">
        <f>LOOKUP(H3495,[1]startdates!$A$2:$A$10,[1]startdates!$B$2:$B$10)</f>
        <v>SMr</v>
      </c>
      <c r="H3495">
        <v>2</v>
      </c>
      <c r="I3495" s="7">
        <v>666.9</v>
      </c>
      <c r="N3495" s="7">
        <v>232.4</v>
      </c>
      <c r="O3495" s="7">
        <v>181</v>
      </c>
    </row>
    <row r="3496" spans="1:21" x14ac:dyDescent="0.2">
      <c r="A3496">
        <v>3495</v>
      </c>
      <c r="B3496" s="1">
        <v>40820</v>
      </c>
      <c r="C3496" t="s">
        <v>24</v>
      </c>
      <c r="D3496" s="7">
        <v>82</v>
      </c>
      <c r="E3496" s="7">
        <v>13</v>
      </c>
      <c r="F3496" s="7">
        <f t="shared" si="54"/>
        <v>3</v>
      </c>
      <c r="G3496" s="7" t="str">
        <f>LOOKUP(H3496,[1]startdates!$A$2:$A$10,[1]startdates!$B$2:$B$10)</f>
        <v>SMr</v>
      </c>
      <c r="H3496">
        <v>2</v>
      </c>
      <c r="I3496" s="7">
        <v>593.9</v>
      </c>
      <c r="N3496" s="7">
        <v>276.8</v>
      </c>
      <c r="O3496" s="7">
        <v>173.1</v>
      </c>
    </row>
    <row r="3497" spans="1:21" x14ac:dyDescent="0.2">
      <c r="A3497">
        <v>3496</v>
      </c>
      <c r="B3497" s="1">
        <v>40820</v>
      </c>
      <c r="C3497" t="s">
        <v>24</v>
      </c>
      <c r="D3497" s="7">
        <v>82</v>
      </c>
      <c r="E3497" s="7">
        <v>13</v>
      </c>
      <c r="F3497" s="7">
        <f t="shared" ref="F3497:F3560" si="55">WEEKDAY(B3497)</f>
        <v>3</v>
      </c>
      <c r="G3497" s="7" t="str">
        <f>LOOKUP(H3497,[1]startdates!$A$2:$A$10,[1]startdates!$B$2:$B$10)</f>
        <v>SMr</v>
      </c>
      <c r="H3497">
        <v>2</v>
      </c>
      <c r="N3497" s="7">
        <v>265.3</v>
      </c>
    </row>
    <row r="3498" spans="1:21" x14ac:dyDescent="0.2">
      <c r="A3498">
        <v>3497</v>
      </c>
      <c r="B3498" s="1">
        <v>40820</v>
      </c>
      <c r="C3498" t="s">
        <v>24</v>
      </c>
      <c r="D3498" s="7">
        <v>82</v>
      </c>
      <c r="E3498" s="7">
        <v>13</v>
      </c>
      <c r="F3498" s="7">
        <f t="shared" si="55"/>
        <v>3</v>
      </c>
      <c r="G3498" s="7" t="str">
        <f>LOOKUP(H3498,[1]startdates!$A$2:$A$10,[1]startdates!$B$2:$B$10)</f>
        <v>SMr</v>
      </c>
      <c r="H3498">
        <v>2</v>
      </c>
      <c r="N3498" s="7">
        <v>271.8</v>
      </c>
    </row>
    <row r="3499" spans="1:21" x14ac:dyDescent="0.2">
      <c r="A3499">
        <v>3498</v>
      </c>
      <c r="B3499" s="1">
        <v>40820</v>
      </c>
      <c r="C3499" t="s">
        <v>24</v>
      </c>
      <c r="D3499" s="7">
        <v>82</v>
      </c>
      <c r="E3499" s="7">
        <v>13</v>
      </c>
      <c r="F3499" s="7">
        <f t="shared" si="55"/>
        <v>3</v>
      </c>
      <c r="G3499" s="7" t="str">
        <f>LOOKUP(H3499,[1]startdates!$A$2:$A$10,[1]startdates!$B$2:$B$10)</f>
        <v>SMr</v>
      </c>
      <c r="H3499">
        <v>2</v>
      </c>
      <c r="N3499" s="7">
        <v>232.4</v>
      </c>
    </row>
    <row r="3500" spans="1:21" x14ac:dyDescent="0.2">
      <c r="A3500">
        <v>3499</v>
      </c>
      <c r="B3500" s="1">
        <v>40820</v>
      </c>
      <c r="C3500" t="s">
        <v>24</v>
      </c>
      <c r="D3500" s="7">
        <v>82</v>
      </c>
      <c r="E3500" s="7">
        <v>13</v>
      </c>
      <c r="F3500" s="7">
        <f t="shared" si="55"/>
        <v>3</v>
      </c>
      <c r="G3500" s="7" t="str">
        <f>LOOKUP(H3500,[1]startdates!$A$2:$A$10,[1]startdates!$B$2:$B$10)</f>
        <v>C</v>
      </c>
      <c r="H3500">
        <v>3</v>
      </c>
      <c r="I3500" s="7">
        <v>581.20000000000005</v>
      </c>
      <c r="J3500" s="7">
        <v>594.6</v>
      </c>
      <c r="K3500" s="7">
        <v>545.29999999999995</v>
      </c>
      <c r="L3500" s="7">
        <v>421.7</v>
      </c>
      <c r="M3500" s="7">
        <v>321.7</v>
      </c>
      <c r="N3500" s="7">
        <v>266.39999999999998</v>
      </c>
      <c r="O3500" s="7">
        <v>191.3</v>
      </c>
      <c r="P3500" s="7">
        <v>549.79999999999995</v>
      </c>
      <c r="Q3500" s="7">
        <v>371.3</v>
      </c>
      <c r="R3500" s="7">
        <v>273.2</v>
      </c>
      <c r="S3500" s="7">
        <v>295.39999999999998</v>
      </c>
    </row>
    <row r="3501" spans="1:21" x14ac:dyDescent="0.2">
      <c r="A3501">
        <v>3500</v>
      </c>
      <c r="B3501" s="1">
        <v>40820</v>
      </c>
      <c r="C3501" t="s">
        <v>24</v>
      </c>
      <c r="D3501" s="7">
        <v>82</v>
      </c>
      <c r="E3501" s="7">
        <v>13</v>
      </c>
      <c r="F3501" s="7">
        <f t="shared" si="55"/>
        <v>3</v>
      </c>
      <c r="G3501" s="7" t="str">
        <f>LOOKUP(H3501,[1]startdates!$A$2:$A$10,[1]startdates!$B$2:$B$10)</f>
        <v>C</v>
      </c>
      <c r="H3501">
        <v>3</v>
      </c>
      <c r="I3501" s="7">
        <v>555.20000000000005</v>
      </c>
      <c r="K3501" s="7">
        <v>608.70000000000005</v>
      </c>
      <c r="L3501" s="7">
        <v>379.2</v>
      </c>
      <c r="M3501" s="7">
        <v>343.9</v>
      </c>
      <c r="N3501" s="7">
        <v>234.9</v>
      </c>
      <c r="O3501" s="7">
        <v>181.8</v>
      </c>
      <c r="P3501" s="7">
        <v>533.6</v>
      </c>
      <c r="R3501" s="7">
        <v>302.2</v>
      </c>
      <c r="S3501" s="7">
        <v>308.60000000000002</v>
      </c>
    </row>
    <row r="3502" spans="1:21" x14ac:dyDescent="0.2">
      <c r="A3502">
        <v>3501</v>
      </c>
      <c r="B3502" s="1">
        <v>40820</v>
      </c>
      <c r="C3502" t="s">
        <v>24</v>
      </c>
      <c r="D3502" s="7">
        <v>82</v>
      </c>
      <c r="E3502" s="7">
        <v>13</v>
      </c>
      <c r="F3502" s="7">
        <f t="shared" si="55"/>
        <v>3</v>
      </c>
      <c r="G3502" s="7" t="str">
        <f>LOOKUP(H3502,[1]startdates!$A$2:$A$10,[1]startdates!$B$2:$B$10)</f>
        <v>C</v>
      </c>
      <c r="H3502">
        <v>3</v>
      </c>
      <c r="I3502" s="7">
        <v>762.7</v>
      </c>
      <c r="K3502" s="7">
        <v>625</v>
      </c>
      <c r="L3502" s="7">
        <v>378.8</v>
      </c>
      <c r="M3502" s="7">
        <v>350.2</v>
      </c>
      <c r="N3502" s="7">
        <v>271</v>
      </c>
      <c r="O3502" s="7">
        <v>153.4</v>
      </c>
      <c r="P3502" s="7">
        <v>512.9</v>
      </c>
    </row>
    <row r="3503" spans="1:21" x14ac:dyDescent="0.2">
      <c r="A3503">
        <v>3502</v>
      </c>
      <c r="B3503" s="1">
        <v>40820</v>
      </c>
      <c r="C3503" t="s">
        <v>24</v>
      </c>
      <c r="D3503" s="7">
        <v>82</v>
      </c>
      <c r="E3503" s="7">
        <v>13</v>
      </c>
      <c r="F3503" s="7">
        <f t="shared" si="55"/>
        <v>3</v>
      </c>
      <c r="G3503" s="7" t="str">
        <f>LOOKUP(H3503,[1]startdates!$A$2:$A$10,[1]startdates!$B$2:$B$10)</f>
        <v>C</v>
      </c>
      <c r="H3503">
        <v>3</v>
      </c>
      <c r="I3503" s="7">
        <v>609.29999999999995</v>
      </c>
      <c r="K3503" s="7">
        <v>571.6</v>
      </c>
      <c r="L3503" s="7">
        <v>389.2</v>
      </c>
      <c r="M3503" s="7">
        <v>376.5</v>
      </c>
      <c r="N3503" s="7">
        <v>239.3</v>
      </c>
      <c r="O3503" s="7">
        <v>166.9</v>
      </c>
    </row>
    <row r="3504" spans="1:21" x14ac:dyDescent="0.2">
      <c r="A3504">
        <v>3503</v>
      </c>
      <c r="B3504" s="1">
        <v>40820</v>
      </c>
      <c r="C3504" t="s">
        <v>24</v>
      </c>
      <c r="D3504" s="7">
        <v>82</v>
      </c>
      <c r="E3504" s="7">
        <v>13</v>
      </c>
      <c r="F3504" s="7">
        <f t="shared" si="55"/>
        <v>3</v>
      </c>
      <c r="G3504" s="7" t="str">
        <f>LOOKUP(H3504,[1]startdates!$A$2:$A$10,[1]startdates!$B$2:$B$10)</f>
        <v>C</v>
      </c>
      <c r="H3504">
        <v>3</v>
      </c>
      <c r="I3504" s="7">
        <v>717</v>
      </c>
      <c r="K3504" s="7">
        <v>557.4</v>
      </c>
      <c r="M3504" s="7">
        <v>382.4</v>
      </c>
      <c r="N3504" s="7">
        <v>203.8</v>
      </c>
      <c r="O3504" s="7">
        <v>173.1</v>
      </c>
    </row>
    <row r="3505" spans="1:21" x14ac:dyDescent="0.2">
      <c r="A3505">
        <v>3504</v>
      </c>
      <c r="B3505" s="1">
        <v>40820</v>
      </c>
      <c r="C3505" t="s">
        <v>24</v>
      </c>
      <c r="D3505" s="7">
        <v>82</v>
      </c>
      <c r="E3505" s="7">
        <v>13</v>
      </c>
      <c r="F3505" s="7">
        <f t="shared" si="55"/>
        <v>3</v>
      </c>
      <c r="G3505" s="7" t="str">
        <f>LOOKUP(H3505,[1]startdates!$A$2:$A$10,[1]startdates!$B$2:$B$10)</f>
        <v>C</v>
      </c>
      <c r="H3505">
        <v>3</v>
      </c>
      <c r="I3505" s="7">
        <v>636.5</v>
      </c>
      <c r="K3505" s="7">
        <v>548.5</v>
      </c>
      <c r="M3505" s="7">
        <v>317.60000000000002</v>
      </c>
      <c r="N3505" s="7">
        <v>231.2</v>
      </c>
      <c r="O3505" s="7">
        <v>171.6</v>
      </c>
    </row>
    <row r="3506" spans="1:21" x14ac:dyDescent="0.2">
      <c r="A3506">
        <v>3505</v>
      </c>
      <c r="B3506" s="1">
        <v>40820</v>
      </c>
      <c r="C3506" t="s">
        <v>24</v>
      </c>
      <c r="D3506" s="7">
        <v>82</v>
      </c>
      <c r="E3506" s="7">
        <v>13</v>
      </c>
      <c r="F3506" s="7">
        <f t="shared" si="55"/>
        <v>3</v>
      </c>
      <c r="G3506" s="7" t="str">
        <f>LOOKUP(H3506,[1]startdates!$A$2:$A$10,[1]startdates!$B$2:$B$10)</f>
        <v>C</v>
      </c>
      <c r="H3506">
        <v>3</v>
      </c>
      <c r="I3506" s="7">
        <v>682.3</v>
      </c>
      <c r="K3506" s="7">
        <v>545</v>
      </c>
      <c r="N3506" s="7">
        <v>230.6</v>
      </c>
      <c r="O3506" s="7">
        <v>175.8</v>
      </c>
    </row>
    <row r="3507" spans="1:21" x14ac:dyDescent="0.2">
      <c r="A3507">
        <v>3506</v>
      </c>
      <c r="B3507" s="1">
        <v>40820</v>
      </c>
      <c r="C3507" t="s">
        <v>24</v>
      </c>
      <c r="D3507" s="7">
        <v>82</v>
      </c>
      <c r="E3507" s="7">
        <v>13</v>
      </c>
      <c r="F3507" s="7">
        <f t="shared" si="55"/>
        <v>3</v>
      </c>
      <c r="G3507" s="7" t="str">
        <f>LOOKUP(H3507,[1]startdates!$A$2:$A$10,[1]startdates!$B$2:$B$10)</f>
        <v>C</v>
      </c>
      <c r="H3507">
        <v>3</v>
      </c>
      <c r="I3507" s="7">
        <v>724.3</v>
      </c>
      <c r="K3507" s="7">
        <v>550</v>
      </c>
      <c r="N3507" s="7">
        <v>271.5</v>
      </c>
      <c r="O3507" s="7">
        <v>188.1</v>
      </c>
    </row>
    <row r="3508" spans="1:21" x14ac:dyDescent="0.2">
      <c r="A3508">
        <v>3507</v>
      </c>
      <c r="B3508" s="1">
        <v>40820</v>
      </c>
      <c r="C3508" t="s">
        <v>24</v>
      </c>
      <c r="D3508" s="7">
        <v>82</v>
      </c>
      <c r="E3508" s="7">
        <v>13</v>
      </c>
      <c r="F3508" s="7">
        <f t="shared" si="55"/>
        <v>3</v>
      </c>
      <c r="G3508" s="7" t="str">
        <f>LOOKUP(H3508,[1]startdates!$A$2:$A$10,[1]startdates!$B$2:$B$10)</f>
        <v>C</v>
      </c>
      <c r="H3508">
        <v>3</v>
      </c>
      <c r="I3508" s="7">
        <v>688.3</v>
      </c>
      <c r="K3508" s="7">
        <v>548.1</v>
      </c>
      <c r="N3508" s="7">
        <v>222.9</v>
      </c>
      <c r="O3508" s="7">
        <v>176.3</v>
      </c>
    </row>
    <row r="3509" spans="1:21" x14ac:dyDescent="0.2">
      <c r="A3509">
        <v>3508</v>
      </c>
      <c r="B3509" s="1">
        <v>40820</v>
      </c>
      <c r="C3509" t="s">
        <v>24</v>
      </c>
      <c r="D3509" s="7">
        <v>82</v>
      </c>
      <c r="E3509" s="7">
        <v>13</v>
      </c>
      <c r="F3509" s="7">
        <f t="shared" si="55"/>
        <v>3</v>
      </c>
      <c r="G3509" s="7" t="str">
        <f>LOOKUP(H3509,[1]startdates!$A$2:$A$10,[1]startdates!$B$2:$B$10)</f>
        <v>C</v>
      </c>
      <c r="H3509">
        <v>3</v>
      </c>
      <c r="I3509" s="7">
        <v>697.6</v>
      </c>
      <c r="K3509" s="7">
        <v>460.2</v>
      </c>
      <c r="N3509" s="7">
        <v>256.39999999999998</v>
      </c>
      <c r="O3509" s="7">
        <v>166</v>
      </c>
    </row>
    <row r="3510" spans="1:21" x14ac:dyDescent="0.2">
      <c r="A3510">
        <v>3509</v>
      </c>
      <c r="B3510" s="1">
        <v>40820</v>
      </c>
      <c r="C3510" t="s">
        <v>24</v>
      </c>
      <c r="D3510" s="7">
        <v>82</v>
      </c>
      <c r="E3510" s="7">
        <v>13</v>
      </c>
      <c r="F3510" s="7">
        <f t="shared" si="55"/>
        <v>3</v>
      </c>
      <c r="G3510" s="7" t="str">
        <f>LOOKUP(H3510,[1]startdates!$A$2:$A$10,[1]startdates!$B$2:$B$10)</f>
        <v>C</v>
      </c>
      <c r="H3510">
        <v>3</v>
      </c>
      <c r="K3510" s="7">
        <v>574.70000000000005</v>
      </c>
      <c r="O3510" s="7">
        <v>192.6</v>
      </c>
    </row>
    <row r="3511" spans="1:21" x14ac:dyDescent="0.2">
      <c r="A3511">
        <v>3510</v>
      </c>
      <c r="B3511" s="1">
        <v>40820</v>
      </c>
      <c r="C3511" t="s">
        <v>24</v>
      </c>
      <c r="D3511" s="7">
        <v>82</v>
      </c>
      <c r="E3511" s="7">
        <v>13</v>
      </c>
      <c r="F3511" s="7">
        <f t="shared" si="55"/>
        <v>3</v>
      </c>
      <c r="G3511" s="7" t="str">
        <f>LOOKUP(H3511,[1]startdates!$A$2:$A$10,[1]startdates!$B$2:$B$10)</f>
        <v>C</v>
      </c>
      <c r="H3511">
        <v>3</v>
      </c>
      <c r="K3511" s="7">
        <v>588.4</v>
      </c>
      <c r="O3511" s="7">
        <v>183.4</v>
      </c>
    </row>
    <row r="3512" spans="1:21" x14ac:dyDescent="0.2">
      <c r="A3512">
        <v>3511</v>
      </c>
      <c r="B3512" s="1">
        <v>40820</v>
      </c>
      <c r="C3512" t="s">
        <v>24</v>
      </c>
      <c r="D3512" s="7">
        <v>82</v>
      </c>
      <c r="E3512" s="7">
        <v>13</v>
      </c>
      <c r="F3512" s="7">
        <f t="shared" si="55"/>
        <v>3</v>
      </c>
      <c r="G3512" s="7" t="str">
        <f>LOOKUP(H3512,[1]startdates!$A$2:$A$10,[1]startdates!$B$2:$B$10)</f>
        <v>C</v>
      </c>
      <c r="H3512">
        <v>3</v>
      </c>
      <c r="K3512" s="7">
        <v>550.9</v>
      </c>
    </row>
    <row r="3513" spans="1:21" x14ac:dyDescent="0.2">
      <c r="A3513">
        <v>3512</v>
      </c>
      <c r="B3513" s="1">
        <v>40820</v>
      </c>
      <c r="C3513" t="s">
        <v>28</v>
      </c>
      <c r="D3513" s="7">
        <v>82</v>
      </c>
      <c r="E3513" s="7">
        <v>13</v>
      </c>
      <c r="F3513" s="7">
        <f t="shared" si="55"/>
        <v>3</v>
      </c>
      <c r="G3513" s="7" t="str">
        <f>LOOKUP(H3513,[1]startdates!$A$2:$A$10,[1]startdates!$B$2:$B$10)</f>
        <v>SMr</v>
      </c>
      <c r="H3513">
        <v>4</v>
      </c>
      <c r="I3513" s="7">
        <v>693.5</v>
      </c>
      <c r="J3513" s="7">
        <v>578.79999999999995</v>
      </c>
      <c r="K3513" s="7">
        <v>537.5</v>
      </c>
      <c r="L3513" s="7">
        <v>419.8</v>
      </c>
      <c r="M3513" s="7">
        <v>324.3</v>
      </c>
      <c r="N3513" s="7">
        <v>200.3</v>
      </c>
      <c r="O3513" s="7">
        <v>165.5</v>
      </c>
      <c r="P3513" s="7">
        <v>488.3</v>
      </c>
      <c r="Q3513" s="7">
        <v>363.3</v>
      </c>
      <c r="S3513" s="7">
        <v>286.39999999999998</v>
      </c>
      <c r="U3513" s="7">
        <v>564.70000000000005</v>
      </c>
    </row>
    <row r="3514" spans="1:21" x14ac:dyDescent="0.2">
      <c r="A3514">
        <v>3513</v>
      </c>
      <c r="B3514" s="1">
        <v>40820</v>
      </c>
      <c r="C3514" t="s">
        <v>28</v>
      </c>
      <c r="D3514" s="7">
        <v>82</v>
      </c>
      <c r="E3514" s="7">
        <v>13</v>
      </c>
      <c r="F3514" s="7">
        <f t="shared" si="55"/>
        <v>3</v>
      </c>
      <c r="G3514" s="7" t="str">
        <f>LOOKUP(H3514,[1]startdates!$A$2:$A$10,[1]startdates!$B$2:$B$10)</f>
        <v>SMr</v>
      </c>
      <c r="H3514">
        <v>4</v>
      </c>
      <c r="I3514" s="7">
        <v>540.1</v>
      </c>
      <c r="J3514" s="7">
        <v>513.4</v>
      </c>
      <c r="K3514" s="7">
        <v>548.70000000000005</v>
      </c>
      <c r="L3514" s="7">
        <v>457.1</v>
      </c>
      <c r="M3514" s="7">
        <v>292</v>
      </c>
      <c r="N3514" s="7">
        <v>290.2</v>
      </c>
      <c r="O3514" s="7">
        <v>155.30000000000001</v>
      </c>
      <c r="P3514" s="7">
        <v>466.5</v>
      </c>
      <c r="Q3514" s="7">
        <v>369.8</v>
      </c>
      <c r="S3514" s="7">
        <v>268</v>
      </c>
      <c r="U3514" s="7">
        <v>488.3</v>
      </c>
    </row>
    <row r="3515" spans="1:21" x14ac:dyDescent="0.2">
      <c r="A3515">
        <v>3514</v>
      </c>
      <c r="B3515" s="1">
        <v>40820</v>
      </c>
      <c r="C3515" t="s">
        <v>28</v>
      </c>
      <c r="D3515" s="7">
        <v>82</v>
      </c>
      <c r="E3515" s="7">
        <v>13</v>
      </c>
      <c r="F3515" s="7">
        <f t="shared" si="55"/>
        <v>3</v>
      </c>
      <c r="G3515" s="7" t="str">
        <f>LOOKUP(H3515,[1]startdates!$A$2:$A$10,[1]startdates!$B$2:$B$10)</f>
        <v>SMr</v>
      </c>
      <c r="H3515">
        <v>4</v>
      </c>
      <c r="I3515" s="7">
        <v>551.9</v>
      </c>
      <c r="K3515" s="7">
        <v>494.7</v>
      </c>
      <c r="L3515" s="7">
        <v>443.3</v>
      </c>
      <c r="M3515" s="7">
        <v>349.3</v>
      </c>
      <c r="N3515" s="7">
        <v>266</v>
      </c>
      <c r="O3515" s="7">
        <v>168.1</v>
      </c>
      <c r="U3515" s="7">
        <v>490.5</v>
      </c>
    </row>
    <row r="3516" spans="1:21" x14ac:dyDescent="0.2">
      <c r="A3516">
        <v>3515</v>
      </c>
      <c r="B3516" s="1">
        <v>40820</v>
      </c>
      <c r="C3516" t="s">
        <v>28</v>
      </c>
      <c r="D3516" s="7">
        <v>82</v>
      </c>
      <c r="E3516" s="7">
        <v>13</v>
      </c>
      <c r="F3516" s="7">
        <f t="shared" si="55"/>
        <v>3</v>
      </c>
      <c r="G3516" s="7" t="str">
        <f>LOOKUP(H3516,[1]startdates!$A$2:$A$10,[1]startdates!$B$2:$B$10)</f>
        <v>SMr</v>
      </c>
      <c r="H3516">
        <v>4</v>
      </c>
      <c r="I3516" s="7">
        <v>621.29999999999995</v>
      </c>
      <c r="K3516" s="7">
        <v>608.29999999999995</v>
      </c>
      <c r="L3516" s="7">
        <v>389.7</v>
      </c>
      <c r="M3516" s="7">
        <v>303.2</v>
      </c>
      <c r="N3516" s="7">
        <v>221.4</v>
      </c>
      <c r="O3516" s="7">
        <v>139.69999999999999</v>
      </c>
      <c r="U3516" s="7">
        <v>453.5</v>
      </c>
    </row>
    <row r="3517" spans="1:21" x14ac:dyDescent="0.2">
      <c r="A3517">
        <v>3516</v>
      </c>
      <c r="B3517" s="1">
        <v>40820</v>
      </c>
      <c r="C3517" t="s">
        <v>28</v>
      </c>
      <c r="D3517" s="7">
        <v>82</v>
      </c>
      <c r="E3517" s="7">
        <v>13</v>
      </c>
      <c r="F3517" s="7">
        <f t="shared" si="55"/>
        <v>3</v>
      </c>
      <c r="G3517" s="7" t="str">
        <f>LOOKUP(H3517,[1]startdates!$A$2:$A$10,[1]startdates!$B$2:$B$10)</f>
        <v>SMr</v>
      </c>
      <c r="H3517">
        <v>4</v>
      </c>
      <c r="I3517" s="7">
        <v>576</v>
      </c>
      <c r="L3517" s="7">
        <v>436</v>
      </c>
      <c r="M3517" s="7">
        <v>296.2</v>
      </c>
      <c r="N3517" s="7">
        <v>214</v>
      </c>
      <c r="O3517" s="7">
        <v>186.3</v>
      </c>
    </row>
    <row r="3518" spans="1:21" x14ac:dyDescent="0.2">
      <c r="A3518">
        <v>3517</v>
      </c>
      <c r="B3518" s="1">
        <v>40820</v>
      </c>
      <c r="C3518" t="s">
        <v>28</v>
      </c>
      <c r="D3518" s="7">
        <v>82</v>
      </c>
      <c r="E3518" s="7">
        <v>13</v>
      </c>
      <c r="F3518" s="7">
        <f t="shared" si="55"/>
        <v>3</v>
      </c>
      <c r="G3518" s="7" t="str">
        <f>LOOKUP(H3518,[1]startdates!$A$2:$A$10,[1]startdates!$B$2:$B$10)</f>
        <v>SMr</v>
      </c>
      <c r="H3518">
        <v>4</v>
      </c>
      <c r="I3518" s="7">
        <v>547.1</v>
      </c>
      <c r="M3518" s="7">
        <v>364.5</v>
      </c>
      <c r="N3518" s="7">
        <v>271.5</v>
      </c>
      <c r="O3518" s="7">
        <v>139.69999999999999</v>
      </c>
    </row>
    <row r="3519" spans="1:21" x14ac:dyDescent="0.2">
      <c r="A3519">
        <v>3518</v>
      </c>
      <c r="B3519" s="1">
        <v>40820</v>
      </c>
      <c r="C3519" t="s">
        <v>28</v>
      </c>
      <c r="D3519" s="7">
        <v>82</v>
      </c>
      <c r="E3519" s="7">
        <v>13</v>
      </c>
      <c r="F3519" s="7">
        <f t="shared" si="55"/>
        <v>3</v>
      </c>
      <c r="G3519" s="7" t="str">
        <f>LOOKUP(H3519,[1]startdates!$A$2:$A$10,[1]startdates!$B$2:$B$10)</f>
        <v>SMr</v>
      </c>
      <c r="H3519">
        <v>4</v>
      </c>
      <c r="I3519" s="7">
        <v>555.6</v>
      </c>
      <c r="M3519" s="7">
        <v>384.2</v>
      </c>
      <c r="N3519" s="7">
        <v>237.1</v>
      </c>
      <c r="O3519" s="7">
        <v>186.3</v>
      </c>
    </row>
    <row r="3520" spans="1:21" x14ac:dyDescent="0.2">
      <c r="A3520">
        <v>3519</v>
      </c>
      <c r="B3520" s="1">
        <v>40820</v>
      </c>
      <c r="C3520" t="s">
        <v>28</v>
      </c>
      <c r="D3520" s="7">
        <v>82</v>
      </c>
      <c r="E3520" s="7">
        <v>13</v>
      </c>
      <c r="F3520" s="7">
        <f t="shared" si="55"/>
        <v>3</v>
      </c>
      <c r="G3520" s="7" t="str">
        <f>LOOKUP(H3520,[1]startdates!$A$2:$A$10,[1]startdates!$B$2:$B$10)</f>
        <v>SMr</v>
      </c>
      <c r="H3520">
        <v>4</v>
      </c>
      <c r="I3520" s="7">
        <v>564.1</v>
      </c>
      <c r="M3520" s="7">
        <v>359.5</v>
      </c>
      <c r="N3520" s="7">
        <v>218.1</v>
      </c>
      <c r="O3520" s="7">
        <v>179.8</v>
      </c>
    </row>
    <row r="3521" spans="1:19" x14ac:dyDescent="0.2">
      <c r="A3521">
        <v>3520</v>
      </c>
      <c r="B3521" s="1">
        <v>40820</v>
      </c>
      <c r="C3521" t="s">
        <v>28</v>
      </c>
      <c r="D3521" s="7">
        <v>82</v>
      </c>
      <c r="E3521" s="7">
        <v>13</v>
      </c>
      <c r="F3521" s="7">
        <f t="shared" si="55"/>
        <v>3</v>
      </c>
      <c r="G3521" s="7" t="str">
        <f>LOOKUP(H3521,[1]startdates!$A$2:$A$10,[1]startdates!$B$2:$B$10)</f>
        <v>SMr</v>
      </c>
      <c r="H3521">
        <v>4</v>
      </c>
      <c r="I3521" s="7">
        <v>604.29999999999995</v>
      </c>
      <c r="M3521" s="7">
        <v>356.2</v>
      </c>
      <c r="N3521" s="7">
        <v>219.7</v>
      </c>
      <c r="O3521" s="7">
        <v>179.2</v>
      </c>
    </row>
    <row r="3522" spans="1:19" x14ac:dyDescent="0.2">
      <c r="A3522">
        <v>3521</v>
      </c>
      <c r="B3522" s="1">
        <v>40820</v>
      </c>
      <c r="C3522" t="s">
        <v>28</v>
      </c>
      <c r="D3522" s="7">
        <v>82</v>
      </c>
      <c r="E3522" s="7">
        <v>13</v>
      </c>
      <c r="F3522" s="7">
        <f t="shared" si="55"/>
        <v>3</v>
      </c>
      <c r="G3522" s="7" t="str">
        <f>LOOKUP(H3522,[1]startdates!$A$2:$A$10,[1]startdates!$B$2:$B$10)</f>
        <v>SMr</v>
      </c>
      <c r="H3522">
        <v>4</v>
      </c>
      <c r="I3522" s="7">
        <v>615.9</v>
      </c>
      <c r="M3522" s="7">
        <v>321.60000000000002</v>
      </c>
      <c r="N3522" s="7">
        <v>255.2</v>
      </c>
      <c r="O3522" s="7">
        <v>177</v>
      </c>
    </row>
    <row r="3523" spans="1:19" x14ac:dyDescent="0.2">
      <c r="A3523">
        <v>3522</v>
      </c>
      <c r="B3523" s="1">
        <v>40820</v>
      </c>
      <c r="C3523" t="s">
        <v>28</v>
      </c>
      <c r="D3523" s="7">
        <v>82</v>
      </c>
      <c r="E3523" s="7">
        <v>13</v>
      </c>
      <c r="F3523" s="7">
        <f t="shared" si="55"/>
        <v>3</v>
      </c>
      <c r="G3523" s="7" t="str">
        <f>LOOKUP(H3523,[1]startdates!$A$2:$A$10,[1]startdates!$B$2:$B$10)</f>
        <v>SMr</v>
      </c>
      <c r="H3523">
        <v>4</v>
      </c>
      <c r="I3523" s="7">
        <v>566.20000000000005</v>
      </c>
      <c r="M3523" s="7">
        <v>373.3</v>
      </c>
      <c r="N3523" s="7">
        <v>194.4</v>
      </c>
      <c r="O3523" s="7">
        <v>170</v>
      </c>
    </row>
    <row r="3524" spans="1:19" x14ac:dyDescent="0.2">
      <c r="A3524">
        <v>3523</v>
      </c>
      <c r="B3524" s="1">
        <v>40820</v>
      </c>
      <c r="C3524" t="s">
        <v>28</v>
      </c>
      <c r="D3524" s="7">
        <v>82</v>
      </c>
      <c r="E3524" s="7">
        <v>13</v>
      </c>
      <c r="F3524" s="7">
        <f t="shared" si="55"/>
        <v>3</v>
      </c>
      <c r="G3524" s="7" t="str">
        <f>LOOKUP(H3524,[1]startdates!$A$2:$A$10,[1]startdates!$B$2:$B$10)</f>
        <v>SMr</v>
      </c>
      <c r="H3524">
        <v>4</v>
      </c>
      <c r="I3524" s="7">
        <v>563.70000000000005</v>
      </c>
      <c r="M3524" s="7">
        <v>373.3</v>
      </c>
      <c r="O3524" s="7">
        <v>184.1</v>
      </c>
    </row>
    <row r="3525" spans="1:19" x14ac:dyDescent="0.2">
      <c r="A3525">
        <v>3524</v>
      </c>
      <c r="B3525" s="1">
        <v>40820</v>
      </c>
      <c r="C3525" t="s">
        <v>28</v>
      </c>
      <c r="D3525" s="7">
        <v>82</v>
      </c>
      <c r="E3525" s="7">
        <v>13</v>
      </c>
      <c r="F3525" s="7">
        <f t="shared" si="55"/>
        <v>3</v>
      </c>
      <c r="G3525" s="7" t="str">
        <f>LOOKUP(H3525,[1]startdates!$A$2:$A$10,[1]startdates!$B$2:$B$10)</f>
        <v>SMr</v>
      </c>
      <c r="H3525">
        <v>4</v>
      </c>
      <c r="I3525" s="7">
        <v>584.1</v>
      </c>
      <c r="M3525" s="7">
        <v>374.1</v>
      </c>
    </row>
    <row r="3526" spans="1:19" x14ac:dyDescent="0.2">
      <c r="A3526">
        <v>3525</v>
      </c>
      <c r="B3526" s="1">
        <v>40820</v>
      </c>
      <c r="C3526" t="s">
        <v>28</v>
      </c>
      <c r="D3526" s="7">
        <v>82</v>
      </c>
      <c r="E3526" s="7">
        <v>13</v>
      </c>
      <c r="F3526" s="7">
        <f t="shared" si="55"/>
        <v>3</v>
      </c>
      <c r="G3526" s="7" t="str">
        <f>LOOKUP(H3526,[1]startdates!$A$2:$A$10,[1]startdates!$B$2:$B$10)</f>
        <v>C</v>
      </c>
      <c r="H3526">
        <v>5</v>
      </c>
      <c r="I3526" s="7">
        <v>668.3</v>
      </c>
      <c r="J3526" s="7">
        <v>491.2</v>
      </c>
      <c r="K3526" s="7">
        <v>479.1</v>
      </c>
      <c r="L3526" s="7">
        <v>468.3</v>
      </c>
      <c r="M3526" s="7">
        <v>370.3</v>
      </c>
      <c r="N3526" s="7">
        <v>299</v>
      </c>
      <c r="O3526" s="7">
        <v>162.19999999999999</v>
      </c>
      <c r="P3526" s="7">
        <v>427.3</v>
      </c>
      <c r="Q3526" s="7">
        <v>384</v>
      </c>
      <c r="R3526" s="7">
        <v>262.2</v>
      </c>
      <c r="S3526" s="7">
        <v>277.2</v>
      </c>
    </row>
    <row r="3527" spans="1:19" x14ac:dyDescent="0.2">
      <c r="A3527">
        <v>3526</v>
      </c>
      <c r="B3527" s="1">
        <v>40820</v>
      </c>
      <c r="C3527" t="s">
        <v>28</v>
      </c>
      <c r="D3527" s="7">
        <v>82</v>
      </c>
      <c r="E3527" s="7">
        <v>13</v>
      </c>
      <c r="F3527" s="7">
        <f t="shared" si="55"/>
        <v>3</v>
      </c>
      <c r="G3527" s="7" t="str">
        <f>LOOKUP(H3527,[1]startdates!$A$2:$A$10,[1]startdates!$B$2:$B$10)</f>
        <v>C</v>
      </c>
      <c r="H3527">
        <v>5</v>
      </c>
      <c r="I3527" s="7">
        <v>614</v>
      </c>
      <c r="J3527" s="7">
        <v>556.20000000000005</v>
      </c>
      <c r="K3527" s="7">
        <v>484.3</v>
      </c>
      <c r="L3527" s="7">
        <v>437.9</v>
      </c>
      <c r="M3527" s="7">
        <v>336.1</v>
      </c>
      <c r="N3527" s="7">
        <v>284.39999999999998</v>
      </c>
      <c r="O3527" s="7">
        <v>192.7</v>
      </c>
      <c r="P3527" s="7">
        <v>494.7</v>
      </c>
      <c r="Q3527" s="7">
        <v>328.1</v>
      </c>
      <c r="S3527" s="7">
        <v>287.60000000000002</v>
      </c>
    </row>
    <row r="3528" spans="1:19" x14ac:dyDescent="0.2">
      <c r="A3528">
        <v>3527</v>
      </c>
      <c r="B3528" s="1">
        <v>40820</v>
      </c>
      <c r="C3528" t="s">
        <v>28</v>
      </c>
      <c r="D3528" s="7">
        <v>82</v>
      </c>
      <c r="E3528" s="7">
        <v>13</v>
      </c>
      <c r="F3528" s="7">
        <f t="shared" si="55"/>
        <v>3</v>
      </c>
      <c r="G3528" s="7" t="str">
        <f>LOOKUP(H3528,[1]startdates!$A$2:$A$10,[1]startdates!$B$2:$B$10)</f>
        <v>C</v>
      </c>
      <c r="H3528">
        <v>5</v>
      </c>
      <c r="I3528" s="7">
        <v>626.6</v>
      </c>
      <c r="K3528" s="7">
        <v>480</v>
      </c>
      <c r="L3528" s="7">
        <v>470.9</v>
      </c>
      <c r="M3528" s="7">
        <v>333.4</v>
      </c>
      <c r="N3528" s="7">
        <v>231.2</v>
      </c>
      <c r="O3528" s="7">
        <v>175.6</v>
      </c>
      <c r="P3528" s="7">
        <v>437.9</v>
      </c>
      <c r="Q3528" s="7">
        <v>362.7</v>
      </c>
    </row>
    <row r="3529" spans="1:19" x14ac:dyDescent="0.2">
      <c r="A3529">
        <v>3528</v>
      </c>
      <c r="B3529" s="1">
        <v>40820</v>
      </c>
      <c r="C3529" t="s">
        <v>28</v>
      </c>
      <c r="D3529" s="7">
        <v>82</v>
      </c>
      <c r="E3529" s="7">
        <v>13</v>
      </c>
      <c r="F3529" s="7">
        <f t="shared" si="55"/>
        <v>3</v>
      </c>
      <c r="G3529" s="7" t="str">
        <f>LOOKUP(H3529,[1]startdates!$A$2:$A$10,[1]startdates!$B$2:$B$10)</f>
        <v>C</v>
      </c>
      <c r="H3529">
        <v>5</v>
      </c>
      <c r="I3529" s="7">
        <v>627.6</v>
      </c>
      <c r="K3529" s="7">
        <v>515.70000000000005</v>
      </c>
      <c r="L3529" s="7">
        <v>454.4</v>
      </c>
      <c r="M3529" s="7">
        <v>398.6</v>
      </c>
      <c r="N3529" s="7">
        <v>288.7</v>
      </c>
      <c r="O3529" s="7">
        <v>140.69999999999999</v>
      </c>
      <c r="P3529" s="7">
        <v>463.4</v>
      </c>
      <c r="Q3529" s="7">
        <v>379.1</v>
      </c>
    </row>
    <row r="3530" spans="1:19" x14ac:dyDescent="0.2">
      <c r="A3530">
        <v>3529</v>
      </c>
      <c r="B3530" s="1">
        <v>40820</v>
      </c>
      <c r="C3530" t="s">
        <v>28</v>
      </c>
      <c r="D3530" s="7">
        <v>82</v>
      </c>
      <c r="E3530" s="7">
        <v>13</v>
      </c>
      <c r="F3530" s="7">
        <f t="shared" si="55"/>
        <v>3</v>
      </c>
      <c r="G3530" s="7" t="str">
        <f>LOOKUP(H3530,[1]startdates!$A$2:$A$10,[1]startdates!$B$2:$B$10)</f>
        <v>C</v>
      </c>
      <c r="H3530">
        <v>5</v>
      </c>
      <c r="I3530" s="7">
        <v>668.6</v>
      </c>
      <c r="K3530" s="7">
        <v>547.29999999999995</v>
      </c>
      <c r="M3530" s="7">
        <v>384</v>
      </c>
      <c r="N3530" s="7">
        <v>272.39999999999998</v>
      </c>
      <c r="O3530" s="7">
        <v>178.2</v>
      </c>
    </row>
    <row r="3531" spans="1:19" x14ac:dyDescent="0.2">
      <c r="A3531">
        <v>3530</v>
      </c>
      <c r="B3531" s="1">
        <v>40820</v>
      </c>
      <c r="C3531" t="s">
        <v>28</v>
      </c>
      <c r="D3531" s="7">
        <v>82</v>
      </c>
      <c r="E3531" s="7">
        <v>13</v>
      </c>
      <c r="F3531" s="7">
        <f t="shared" si="55"/>
        <v>3</v>
      </c>
      <c r="G3531" s="7" t="str">
        <f>LOOKUP(H3531,[1]startdates!$A$2:$A$10,[1]startdates!$B$2:$B$10)</f>
        <v>C</v>
      </c>
      <c r="H3531">
        <v>5</v>
      </c>
      <c r="I3531" s="7">
        <v>607.79999999999995</v>
      </c>
      <c r="M3531" s="7">
        <v>362.6</v>
      </c>
      <c r="N3531" s="7">
        <v>237.5</v>
      </c>
      <c r="O3531" s="7">
        <v>178.1</v>
      </c>
    </row>
    <row r="3532" spans="1:19" x14ac:dyDescent="0.2">
      <c r="A3532">
        <v>3531</v>
      </c>
      <c r="B3532" s="1">
        <v>40820</v>
      </c>
      <c r="C3532" t="s">
        <v>28</v>
      </c>
      <c r="D3532" s="7">
        <v>82</v>
      </c>
      <c r="E3532" s="7">
        <v>13</v>
      </c>
      <c r="F3532" s="7">
        <f t="shared" si="55"/>
        <v>3</v>
      </c>
      <c r="G3532" s="7" t="str">
        <f>LOOKUP(H3532,[1]startdates!$A$2:$A$10,[1]startdates!$B$2:$B$10)</f>
        <v>C</v>
      </c>
      <c r="H3532">
        <v>5</v>
      </c>
      <c r="I3532" s="7">
        <v>619.79999999999995</v>
      </c>
      <c r="M3532" s="7">
        <v>365.6</v>
      </c>
      <c r="N3532" s="7">
        <v>222.6</v>
      </c>
      <c r="O3532" s="7">
        <v>171.9</v>
      </c>
    </row>
    <row r="3533" spans="1:19" x14ac:dyDescent="0.2">
      <c r="A3533">
        <v>3532</v>
      </c>
      <c r="B3533" s="1">
        <v>40820</v>
      </c>
      <c r="C3533" t="s">
        <v>28</v>
      </c>
      <c r="D3533" s="7">
        <v>82</v>
      </c>
      <c r="E3533" s="7">
        <v>13</v>
      </c>
      <c r="F3533" s="7">
        <f t="shared" si="55"/>
        <v>3</v>
      </c>
      <c r="G3533" s="7" t="str">
        <f>LOOKUP(H3533,[1]startdates!$A$2:$A$10,[1]startdates!$B$2:$B$10)</f>
        <v>C</v>
      </c>
      <c r="H3533">
        <v>5</v>
      </c>
      <c r="I3533" s="7">
        <v>652.70000000000005</v>
      </c>
      <c r="M3533" s="7">
        <v>330.9</v>
      </c>
      <c r="N3533" s="7">
        <v>243</v>
      </c>
      <c r="O3533" s="7">
        <v>174.6</v>
      </c>
    </row>
    <row r="3534" spans="1:19" x14ac:dyDescent="0.2">
      <c r="A3534">
        <v>3533</v>
      </c>
      <c r="B3534" s="1">
        <v>40820</v>
      </c>
      <c r="C3534" t="s">
        <v>28</v>
      </c>
      <c r="D3534" s="7">
        <v>82</v>
      </c>
      <c r="E3534" s="7">
        <v>13</v>
      </c>
      <c r="F3534" s="7">
        <f t="shared" si="55"/>
        <v>3</v>
      </c>
      <c r="G3534" s="7" t="str">
        <f>LOOKUP(H3534,[1]startdates!$A$2:$A$10,[1]startdates!$B$2:$B$10)</f>
        <v>C</v>
      </c>
      <c r="H3534">
        <v>5</v>
      </c>
      <c r="I3534" s="7">
        <v>618.6</v>
      </c>
      <c r="M3534" s="7">
        <v>323</v>
      </c>
      <c r="N3534" s="7">
        <v>266.8</v>
      </c>
      <c r="O3534" s="7">
        <v>166.1</v>
      </c>
    </row>
    <row r="3535" spans="1:19" x14ac:dyDescent="0.2">
      <c r="A3535">
        <v>3534</v>
      </c>
      <c r="B3535" s="1">
        <v>40820</v>
      </c>
      <c r="C3535" t="s">
        <v>28</v>
      </c>
      <c r="D3535" s="7">
        <v>82</v>
      </c>
      <c r="E3535" s="7">
        <v>13</v>
      </c>
      <c r="F3535" s="7">
        <f t="shared" si="55"/>
        <v>3</v>
      </c>
      <c r="G3535" s="7" t="str">
        <f>LOOKUP(H3535,[1]startdates!$A$2:$A$10,[1]startdates!$B$2:$B$10)</f>
        <v>C</v>
      </c>
      <c r="H3535">
        <v>5</v>
      </c>
      <c r="I3535" s="7">
        <v>633.29999999999995</v>
      </c>
      <c r="M3535" s="7">
        <v>346.8</v>
      </c>
      <c r="N3535" s="7">
        <v>228.4</v>
      </c>
      <c r="O3535" s="7">
        <v>171.9</v>
      </c>
    </row>
    <row r="3536" spans="1:19" x14ac:dyDescent="0.2">
      <c r="A3536">
        <v>3535</v>
      </c>
      <c r="B3536" s="1">
        <v>40820</v>
      </c>
      <c r="C3536" t="s">
        <v>28</v>
      </c>
      <c r="D3536" s="7">
        <v>82</v>
      </c>
      <c r="E3536" s="7">
        <v>13</v>
      </c>
      <c r="F3536" s="7">
        <f t="shared" si="55"/>
        <v>3</v>
      </c>
      <c r="G3536" s="7" t="str">
        <f>LOOKUP(H3536,[1]startdates!$A$2:$A$10,[1]startdates!$B$2:$B$10)</f>
        <v>C</v>
      </c>
      <c r="H3536">
        <v>5</v>
      </c>
      <c r="I3536" s="7">
        <v>437.9</v>
      </c>
      <c r="O3536" s="7">
        <v>163</v>
      </c>
    </row>
    <row r="3537" spans="1:19" x14ac:dyDescent="0.2">
      <c r="A3537">
        <v>3536</v>
      </c>
      <c r="B3537" s="1">
        <v>40820</v>
      </c>
      <c r="C3537" t="s">
        <v>28</v>
      </c>
      <c r="D3537" s="7">
        <v>82</v>
      </c>
      <c r="E3537" s="7">
        <v>13</v>
      </c>
      <c r="F3537" s="7">
        <f t="shared" si="55"/>
        <v>3</v>
      </c>
      <c r="G3537" s="7" t="str">
        <f>LOOKUP(H3537,[1]startdates!$A$2:$A$10,[1]startdates!$B$2:$B$10)</f>
        <v>C</v>
      </c>
      <c r="H3537">
        <v>5</v>
      </c>
      <c r="O3537" s="7">
        <v>160.80000000000001</v>
      </c>
    </row>
    <row r="3538" spans="1:19" x14ac:dyDescent="0.2">
      <c r="A3538">
        <v>3537</v>
      </c>
      <c r="B3538" s="1">
        <v>40820</v>
      </c>
      <c r="C3538" t="s">
        <v>28</v>
      </c>
      <c r="D3538" s="7">
        <v>82</v>
      </c>
      <c r="E3538" s="7">
        <v>13</v>
      </c>
      <c r="F3538" s="7">
        <f t="shared" si="55"/>
        <v>3</v>
      </c>
      <c r="G3538" s="7" t="str">
        <f>LOOKUP(H3538,[1]startdates!$A$2:$A$10,[1]startdates!$B$2:$B$10)</f>
        <v>C</v>
      </c>
      <c r="H3538">
        <v>5</v>
      </c>
      <c r="O3538" s="7">
        <v>172.4</v>
      </c>
    </row>
    <row r="3539" spans="1:19" x14ac:dyDescent="0.2">
      <c r="A3539">
        <v>3538</v>
      </c>
      <c r="B3539" s="1">
        <v>40820</v>
      </c>
      <c r="C3539" t="s">
        <v>24</v>
      </c>
      <c r="D3539" s="7">
        <v>82</v>
      </c>
      <c r="E3539" s="7">
        <v>13</v>
      </c>
      <c r="F3539" s="7">
        <f t="shared" si="55"/>
        <v>3</v>
      </c>
      <c r="G3539" s="7" t="str">
        <f>LOOKUP(H3539,[1]startdates!$A$2:$A$10,[1]startdates!$B$2:$B$10)</f>
        <v>FMr</v>
      </c>
      <c r="H3539">
        <v>6</v>
      </c>
      <c r="I3539" s="7">
        <v>637.70000000000005</v>
      </c>
      <c r="J3539" s="7">
        <v>562.5</v>
      </c>
      <c r="K3539" s="7">
        <v>487.9</v>
      </c>
      <c r="L3539" s="7">
        <v>408.7</v>
      </c>
      <c r="M3539" s="7">
        <v>273.7</v>
      </c>
      <c r="N3539" s="7">
        <v>244.8</v>
      </c>
      <c r="O3539" s="7">
        <v>194.7</v>
      </c>
      <c r="P3539" s="7">
        <v>551</v>
      </c>
      <c r="Q3539" s="7">
        <v>354.1</v>
      </c>
      <c r="R3539" s="7">
        <v>322.8</v>
      </c>
      <c r="S3539" s="7">
        <v>226.5</v>
      </c>
    </row>
    <row r="3540" spans="1:19" x14ac:dyDescent="0.2">
      <c r="A3540">
        <v>3539</v>
      </c>
      <c r="B3540" s="1">
        <v>40820</v>
      </c>
      <c r="C3540" t="s">
        <v>24</v>
      </c>
      <c r="D3540" s="7">
        <v>82</v>
      </c>
      <c r="E3540" s="7">
        <v>13</v>
      </c>
      <c r="F3540" s="7">
        <f t="shared" si="55"/>
        <v>3</v>
      </c>
      <c r="G3540" s="7" t="str">
        <f>LOOKUP(H3540,[1]startdates!$A$2:$A$10,[1]startdates!$B$2:$B$10)</f>
        <v>FMr</v>
      </c>
      <c r="H3540">
        <v>6</v>
      </c>
      <c r="I3540" s="7">
        <v>686.8</v>
      </c>
      <c r="K3540" s="7">
        <v>476.4</v>
      </c>
      <c r="L3540" s="7">
        <v>392.5</v>
      </c>
      <c r="M3540" s="7">
        <v>271.5</v>
      </c>
      <c r="N3540" s="7">
        <v>224.6</v>
      </c>
      <c r="O3540" s="7">
        <v>188.1</v>
      </c>
      <c r="P3540" s="7">
        <v>449.5</v>
      </c>
      <c r="Q3540" s="7">
        <v>372.7</v>
      </c>
      <c r="R3540" s="7">
        <v>312.89999999999998</v>
      </c>
    </row>
    <row r="3541" spans="1:19" x14ac:dyDescent="0.2">
      <c r="A3541">
        <v>3540</v>
      </c>
      <c r="B3541" s="1">
        <v>40820</v>
      </c>
      <c r="C3541" t="s">
        <v>24</v>
      </c>
      <c r="D3541" s="7">
        <v>82</v>
      </c>
      <c r="E3541" s="7">
        <v>13</v>
      </c>
      <c r="F3541" s="7">
        <f t="shared" si="55"/>
        <v>3</v>
      </c>
      <c r="G3541" s="7" t="str">
        <f>LOOKUP(H3541,[1]startdates!$A$2:$A$10,[1]startdates!$B$2:$B$10)</f>
        <v>FMr</v>
      </c>
      <c r="H3541">
        <v>6</v>
      </c>
      <c r="I3541" s="7">
        <v>672.1</v>
      </c>
      <c r="K3541" s="7">
        <v>496.6</v>
      </c>
      <c r="L3541" s="7">
        <v>349.5</v>
      </c>
      <c r="M3541" s="7">
        <v>319.7</v>
      </c>
      <c r="N3541" s="7">
        <v>189.1</v>
      </c>
      <c r="O3541" s="7">
        <v>167.9</v>
      </c>
      <c r="P3541" s="7">
        <v>451.5</v>
      </c>
    </row>
    <row r="3542" spans="1:19" x14ac:dyDescent="0.2">
      <c r="A3542">
        <v>3541</v>
      </c>
      <c r="B3542" s="1">
        <v>40820</v>
      </c>
      <c r="C3542" t="s">
        <v>24</v>
      </c>
      <c r="D3542" s="7">
        <v>82</v>
      </c>
      <c r="E3542" s="7">
        <v>13</v>
      </c>
      <c r="F3542" s="7">
        <f t="shared" si="55"/>
        <v>3</v>
      </c>
      <c r="G3542" s="7" t="str">
        <f>LOOKUP(H3542,[1]startdates!$A$2:$A$10,[1]startdates!$B$2:$B$10)</f>
        <v>FMr</v>
      </c>
      <c r="H3542">
        <v>6</v>
      </c>
      <c r="I3542" s="7">
        <v>575.1</v>
      </c>
      <c r="K3542" s="7">
        <v>503.6</v>
      </c>
      <c r="L3542" s="7">
        <v>385</v>
      </c>
      <c r="M3542" s="7">
        <v>307.39999999999998</v>
      </c>
      <c r="N3542" s="7">
        <v>254.3</v>
      </c>
      <c r="O3542" s="7">
        <v>176.5</v>
      </c>
      <c r="P3542" s="7">
        <v>479.5</v>
      </c>
    </row>
    <row r="3543" spans="1:19" x14ac:dyDescent="0.2">
      <c r="A3543">
        <v>3542</v>
      </c>
      <c r="B3543" s="1">
        <v>40820</v>
      </c>
      <c r="C3543" t="s">
        <v>24</v>
      </c>
      <c r="D3543" s="7">
        <v>82</v>
      </c>
      <c r="E3543" s="7">
        <v>13</v>
      </c>
      <c r="F3543" s="7">
        <f t="shared" si="55"/>
        <v>3</v>
      </c>
      <c r="G3543" s="7" t="str">
        <f>LOOKUP(H3543,[1]startdates!$A$2:$A$10,[1]startdates!$B$2:$B$10)</f>
        <v>FMr</v>
      </c>
      <c r="H3543">
        <v>6</v>
      </c>
      <c r="I3543" s="7">
        <v>622.79999999999995</v>
      </c>
      <c r="K3543" s="7">
        <v>556.29999999999995</v>
      </c>
      <c r="M3543" s="7">
        <v>331.1</v>
      </c>
      <c r="N3543" s="7">
        <v>236.3</v>
      </c>
      <c r="O3543" s="7">
        <v>167</v>
      </c>
      <c r="P3543" s="7">
        <v>483.1</v>
      </c>
    </row>
    <row r="3544" spans="1:19" x14ac:dyDescent="0.2">
      <c r="A3544">
        <v>3543</v>
      </c>
      <c r="B3544" s="1">
        <v>40820</v>
      </c>
      <c r="C3544" t="s">
        <v>24</v>
      </c>
      <c r="D3544" s="7">
        <v>82</v>
      </c>
      <c r="E3544" s="7">
        <v>13</v>
      </c>
      <c r="F3544" s="7">
        <f t="shared" si="55"/>
        <v>3</v>
      </c>
      <c r="G3544" s="7" t="str">
        <f>LOOKUP(H3544,[1]startdates!$A$2:$A$10,[1]startdates!$B$2:$B$10)</f>
        <v>FMr</v>
      </c>
      <c r="H3544">
        <v>6</v>
      </c>
      <c r="I3544" s="7">
        <v>588</v>
      </c>
      <c r="K3544" s="7">
        <v>476.1</v>
      </c>
      <c r="M3544" s="7">
        <v>305.10000000000002</v>
      </c>
      <c r="N3544" s="7">
        <v>212.5</v>
      </c>
      <c r="O3544" s="7">
        <v>166.9</v>
      </c>
      <c r="P3544" s="7">
        <v>486</v>
      </c>
    </row>
    <row r="3545" spans="1:19" x14ac:dyDescent="0.2">
      <c r="A3545">
        <v>3544</v>
      </c>
      <c r="B3545" s="1">
        <v>40820</v>
      </c>
      <c r="C3545" t="s">
        <v>24</v>
      </c>
      <c r="D3545" s="7">
        <v>82</v>
      </c>
      <c r="E3545" s="7">
        <v>13</v>
      </c>
      <c r="F3545" s="7">
        <f t="shared" si="55"/>
        <v>3</v>
      </c>
      <c r="G3545" s="7" t="str">
        <f>LOOKUP(H3545,[1]startdates!$A$2:$A$10,[1]startdates!$B$2:$B$10)</f>
        <v>FMr</v>
      </c>
      <c r="H3545">
        <v>6</v>
      </c>
      <c r="I3545" s="7">
        <v>652.1</v>
      </c>
      <c r="K3545" s="7">
        <v>502</v>
      </c>
      <c r="M3545" s="7">
        <v>328.4</v>
      </c>
      <c r="N3545" s="7">
        <v>211.7</v>
      </c>
      <c r="O3545" s="7">
        <v>179.3</v>
      </c>
      <c r="P3545" s="7">
        <v>425.9</v>
      </c>
    </row>
    <row r="3546" spans="1:19" x14ac:dyDescent="0.2">
      <c r="A3546">
        <v>3545</v>
      </c>
      <c r="B3546" s="1">
        <v>40820</v>
      </c>
      <c r="C3546" t="s">
        <v>24</v>
      </c>
      <c r="D3546" s="7">
        <v>82</v>
      </c>
      <c r="E3546" s="7">
        <v>13</v>
      </c>
      <c r="F3546" s="7">
        <f t="shared" si="55"/>
        <v>3</v>
      </c>
      <c r="G3546" s="7" t="str">
        <f>LOOKUP(H3546,[1]startdates!$A$2:$A$10,[1]startdates!$B$2:$B$10)</f>
        <v>FMr</v>
      </c>
      <c r="H3546">
        <v>6</v>
      </c>
      <c r="I3546" s="7">
        <v>538.4</v>
      </c>
      <c r="K3546" s="7">
        <v>535.1</v>
      </c>
      <c r="M3546" s="7">
        <v>309.8</v>
      </c>
      <c r="N3546" s="7">
        <v>259.39999999999998</v>
      </c>
      <c r="O3546" s="7">
        <v>181.3</v>
      </c>
    </row>
    <row r="3547" spans="1:19" x14ac:dyDescent="0.2">
      <c r="A3547">
        <v>3546</v>
      </c>
      <c r="B3547" s="1">
        <v>40820</v>
      </c>
      <c r="C3547" t="s">
        <v>24</v>
      </c>
      <c r="D3547" s="7">
        <v>82</v>
      </c>
      <c r="E3547" s="7">
        <v>13</v>
      </c>
      <c r="F3547" s="7">
        <f t="shared" si="55"/>
        <v>3</v>
      </c>
      <c r="G3547" s="7" t="str">
        <f>LOOKUP(H3547,[1]startdates!$A$2:$A$10,[1]startdates!$B$2:$B$10)</f>
        <v>FMr</v>
      </c>
      <c r="H3547">
        <v>6</v>
      </c>
      <c r="I3547" s="7">
        <v>612.1</v>
      </c>
      <c r="K3547" s="7">
        <v>556</v>
      </c>
      <c r="M3547" s="7">
        <v>351</v>
      </c>
      <c r="N3547" s="7">
        <v>260.2</v>
      </c>
      <c r="O3547" s="7">
        <v>175</v>
      </c>
    </row>
    <row r="3548" spans="1:19" x14ac:dyDescent="0.2">
      <c r="A3548">
        <v>3547</v>
      </c>
      <c r="B3548" s="1">
        <v>40820</v>
      </c>
      <c r="C3548" t="s">
        <v>24</v>
      </c>
      <c r="D3548" s="7">
        <v>82</v>
      </c>
      <c r="E3548" s="7">
        <v>13</v>
      </c>
      <c r="F3548" s="7">
        <f t="shared" si="55"/>
        <v>3</v>
      </c>
      <c r="G3548" s="7" t="str">
        <f>LOOKUP(H3548,[1]startdates!$A$2:$A$10,[1]startdates!$B$2:$B$10)</f>
        <v>FMr</v>
      </c>
      <c r="H3548">
        <v>6</v>
      </c>
      <c r="I3548" s="7">
        <v>601.70000000000005</v>
      </c>
      <c r="K3548" s="7">
        <v>591.1</v>
      </c>
      <c r="M3548" s="7">
        <v>288.7</v>
      </c>
      <c r="N3548" s="7">
        <v>231.8</v>
      </c>
      <c r="O3548" s="7">
        <v>188.9</v>
      </c>
    </row>
    <row r="3549" spans="1:19" x14ac:dyDescent="0.2">
      <c r="A3549">
        <v>3548</v>
      </c>
      <c r="B3549" s="1">
        <v>40820</v>
      </c>
      <c r="C3549" t="s">
        <v>24</v>
      </c>
      <c r="D3549" s="7">
        <v>82</v>
      </c>
      <c r="E3549" s="7">
        <v>13</v>
      </c>
      <c r="F3549" s="7">
        <f t="shared" si="55"/>
        <v>3</v>
      </c>
      <c r="G3549" s="7" t="str">
        <f>LOOKUP(H3549,[1]startdates!$A$2:$A$10,[1]startdates!$B$2:$B$10)</f>
        <v>FMr</v>
      </c>
      <c r="H3549">
        <v>6</v>
      </c>
      <c r="I3549" s="7">
        <v>606.9</v>
      </c>
      <c r="K3549" s="7">
        <v>492.7</v>
      </c>
      <c r="M3549" s="7">
        <v>278.89999999999998</v>
      </c>
      <c r="N3549" s="7">
        <v>248</v>
      </c>
    </row>
    <row r="3550" spans="1:19" x14ac:dyDescent="0.2">
      <c r="A3550">
        <v>3549</v>
      </c>
      <c r="B3550" s="1">
        <v>40820</v>
      </c>
      <c r="C3550" t="s">
        <v>24</v>
      </c>
      <c r="D3550" s="7">
        <v>82</v>
      </c>
      <c r="E3550" s="7">
        <v>13</v>
      </c>
      <c r="F3550" s="7">
        <f t="shared" si="55"/>
        <v>3</v>
      </c>
      <c r="G3550" s="7" t="str">
        <f>LOOKUP(H3550,[1]startdates!$A$2:$A$10,[1]startdates!$B$2:$B$10)</f>
        <v>FMr</v>
      </c>
      <c r="H3550">
        <v>6</v>
      </c>
      <c r="I3550" s="7">
        <v>517.4</v>
      </c>
      <c r="K3550" s="7">
        <v>463.2</v>
      </c>
    </row>
    <row r="3551" spans="1:19" x14ac:dyDescent="0.2">
      <c r="A3551">
        <v>3550</v>
      </c>
      <c r="B3551" s="1">
        <v>40820</v>
      </c>
      <c r="C3551" t="s">
        <v>24</v>
      </c>
      <c r="D3551" s="7">
        <v>82</v>
      </c>
      <c r="E3551" s="7">
        <v>13</v>
      </c>
      <c r="F3551" s="7">
        <f t="shared" si="55"/>
        <v>3</v>
      </c>
      <c r="G3551" s="7" t="str">
        <f>LOOKUP(H3551,[1]startdates!$A$2:$A$10,[1]startdates!$B$2:$B$10)</f>
        <v>FMr</v>
      </c>
      <c r="H3551">
        <v>6</v>
      </c>
      <c r="I3551" s="7">
        <v>454.5</v>
      </c>
      <c r="K3551" s="7">
        <v>469.8</v>
      </c>
    </row>
    <row r="3552" spans="1:19" x14ac:dyDescent="0.2">
      <c r="A3552">
        <v>3551</v>
      </c>
      <c r="B3552" s="1">
        <v>40820</v>
      </c>
      <c r="C3552" t="s">
        <v>24</v>
      </c>
      <c r="D3552" s="7">
        <v>82</v>
      </c>
      <c r="E3552" s="7">
        <v>13</v>
      </c>
      <c r="F3552" s="7">
        <f t="shared" si="55"/>
        <v>3</v>
      </c>
      <c r="G3552" s="7" t="str">
        <f>LOOKUP(H3552,[1]startdates!$A$2:$A$10,[1]startdates!$B$2:$B$10)</f>
        <v>FMr</v>
      </c>
      <c r="H3552">
        <v>6</v>
      </c>
      <c r="I3552" s="7">
        <v>661.9</v>
      </c>
      <c r="K3552" s="7">
        <v>459.5</v>
      </c>
    </row>
    <row r="3553" spans="1:18" x14ac:dyDescent="0.2">
      <c r="A3553">
        <v>3552</v>
      </c>
      <c r="B3553" s="1">
        <v>40820</v>
      </c>
      <c r="C3553" t="s">
        <v>24</v>
      </c>
      <c r="D3553" s="7">
        <v>82</v>
      </c>
      <c r="E3553" s="7">
        <v>13</v>
      </c>
      <c r="F3553" s="7">
        <f t="shared" si="55"/>
        <v>3</v>
      </c>
      <c r="G3553" s="7" t="str">
        <f>LOOKUP(H3553,[1]startdates!$A$2:$A$10,[1]startdates!$B$2:$B$10)</f>
        <v>FMr</v>
      </c>
      <c r="H3553">
        <v>6</v>
      </c>
      <c r="K3553" s="7">
        <v>425.7</v>
      </c>
    </row>
    <row r="3554" spans="1:18" x14ac:dyDescent="0.2">
      <c r="A3554">
        <v>3553</v>
      </c>
      <c r="B3554" s="1">
        <v>40820</v>
      </c>
      <c r="C3554" t="s">
        <v>28</v>
      </c>
      <c r="D3554" s="7">
        <v>82</v>
      </c>
      <c r="E3554" s="7">
        <v>13</v>
      </c>
      <c r="F3554" s="7">
        <f t="shared" si="55"/>
        <v>3</v>
      </c>
      <c r="G3554" s="7" t="str">
        <f>LOOKUP(H3554,[1]startdates!$A$2:$A$10,[1]startdates!$B$2:$B$10)</f>
        <v>FMr</v>
      </c>
      <c r="H3554">
        <v>7</v>
      </c>
      <c r="I3554" s="7">
        <v>512.79999999999995</v>
      </c>
      <c r="J3554" s="7">
        <v>532.20000000000005</v>
      </c>
      <c r="K3554" s="7">
        <v>569.70000000000005</v>
      </c>
      <c r="L3554" s="7">
        <v>485</v>
      </c>
      <c r="M3554" s="7">
        <v>326.2</v>
      </c>
      <c r="N3554" s="7">
        <v>205.1</v>
      </c>
      <c r="O3554" s="7">
        <v>164.7</v>
      </c>
      <c r="P3554" s="7">
        <v>412.2</v>
      </c>
      <c r="Q3554" s="7">
        <v>324.7</v>
      </c>
      <c r="R3554" s="7">
        <v>273.3</v>
      </c>
    </row>
    <row r="3555" spans="1:18" x14ac:dyDescent="0.2">
      <c r="A3555">
        <v>3554</v>
      </c>
      <c r="B3555" s="1">
        <v>40820</v>
      </c>
      <c r="C3555" t="s">
        <v>28</v>
      </c>
      <c r="D3555" s="7">
        <v>82</v>
      </c>
      <c r="E3555" s="7">
        <v>13</v>
      </c>
      <c r="F3555" s="7">
        <f t="shared" si="55"/>
        <v>3</v>
      </c>
      <c r="G3555" s="7" t="str">
        <f>LOOKUP(H3555,[1]startdates!$A$2:$A$10,[1]startdates!$B$2:$B$10)</f>
        <v>FMr</v>
      </c>
      <c r="H3555">
        <v>7</v>
      </c>
      <c r="I3555" s="7">
        <v>545.1</v>
      </c>
      <c r="J3555" s="7">
        <v>581.70000000000005</v>
      </c>
      <c r="K3555" s="7">
        <v>516.1</v>
      </c>
      <c r="L3555" s="7">
        <v>461.3</v>
      </c>
      <c r="M3555" s="7">
        <v>354.1</v>
      </c>
      <c r="N3555" s="7">
        <v>213.5</v>
      </c>
      <c r="O3555" s="7">
        <v>209.3</v>
      </c>
      <c r="P3555" s="7">
        <v>390.3</v>
      </c>
      <c r="Q3555" s="7">
        <v>382.3</v>
      </c>
      <c r="R3555" s="7">
        <v>264</v>
      </c>
    </row>
    <row r="3556" spans="1:18" x14ac:dyDescent="0.2">
      <c r="A3556">
        <v>3555</v>
      </c>
      <c r="B3556" s="1">
        <v>40820</v>
      </c>
      <c r="C3556" t="s">
        <v>28</v>
      </c>
      <c r="D3556" s="7">
        <v>82</v>
      </c>
      <c r="E3556" s="7">
        <v>13</v>
      </c>
      <c r="F3556" s="7">
        <f t="shared" si="55"/>
        <v>3</v>
      </c>
      <c r="G3556" s="7" t="str">
        <f>LOOKUP(H3556,[1]startdates!$A$2:$A$10,[1]startdates!$B$2:$B$10)</f>
        <v>FMr</v>
      </c>
      <c r="H3556">
        <v>7</v>
      </c>
      <c r="I3556" s="7">
        <v>548.29999999999995</v>
      </c>
      <c r="J3556" s="7">
        <v>627</v>
      </c>
      <c r="K3556" s="7">
        <v>500.6</v>
      </c>
      <c r="L3556" s="7">
        <v>394.2</v>
      </c>
      <c r="M3556" s="7">
        <v>302.7</v>
      </c>
      <c r="N3556" s="7">
        <v>214.7</v>
      </c>
      <c r="O3556" s="7">
        <v>177</v>
      </c>
      <c r="Q3556" s="7">
        <v>359.9</v>
      </c>
    </row>
    <row r="3557" spans="1:18" x14ac:dyDescent="0.2">
      <c r="A3557">
        <v>3556</v>
      </c>
      <c r="B3557" s="1">
        <v>40820</v>
      </c>
      <c r="C3557" t="s">
        <v>28</v>
      </c>
      <c r="D3557" s="7">
        <v>82</v>
      </c>
      <c r="E3557" s="7">
        <v>13</v>
      </c>
      <c r="F3557" s="7">
        <f t="shared" si="55"/>
        <v>3</v>
      </c>
      <c r="G3557" s="7" t="str">
        <f>LOOKUP(H3557,[1]startdates!$A$2:$A$10,[1]startdates!$B$2:$B$10)</f>
        <v>FMr</v>
      </c>
      <c r="H3557">
        <v>7</v>
      </c>
      <c r="I3557" s="7">
        <v>540</v>
      </c>
      <c r="K3557" s="7">
        <v>534.29999999999995</v>
      </c>
      <c r="L3557" s="7">
        <v>468.7</v>
      </c>
      <c r="M3557" s="7">
        <v>312.39999999999998</v>
      </c>
      <c r="N3557" s="7">
        <v>208.5</v>
      </c>
      <c r="O3557" s="7">
        <v>178.1</v>
      </c>
      <c r="Q3557" s="7">
        <v>314.60000000000002</v>
      </c>
    </row>
    <row r="3558" spans="1:18" x14ac:dyDescent="0.2">
      <c r="A3558">
        <v>3557</v>
      </c>
      <c r="B3558" s="1">
        <v>40820</v>
      </c>
      <c r="C3558" t="s">
        <v>28</v>
      </c>
      <c r="D3558" s="7">
        <v>82</v>
      </c>
      <c r="E3558" s="7">
        <v>13</v>
      </c>
      <c r="F3558" s="7">
        <f t="shared" si="55"/>
        <v>3</v>
      </c>
      <c r="G3558" s="7" t="str">
        <f>LOOKUP(H3558,[1]startdates!$A$2:$A$10,[1]startdates!$B$2:$B$10)</f>
        <v>FMr</v>
      </c>
      <c r="H3558">
        <v>7</v>
      </c>
      <c r="I3558" s="7">
        <v>570.1</v>
      </c>
      <c r="K3558" s="7">
        <v>495.1</v>
      </c>
      <c r="M3558" s="7">
        <v>312.39999999999998</v>
      </c>
      <c r="N3558" s="7">
        <v>234.8</v>
      </c>
      <c r="O3558" s="7">
        <v>166.1</v>
      </c>
    </row>
    <row r="3559" spans="1:18" x14ac:dyDescent="0.2">
      <c r="A3559">
        <v>3558</v>
      </c>
      <c r="B3559" s="1">
        <v>40820</v>
      </c>
      <c r="C3559" t="s">
        <v>28</v>
      </c>
      <c r="D3559" s="7">
        <v>82</v>
      </c>
      <c r="E3559" s="7">
        <v>13</v>
      </c>
      <c r="F3559" s="7">
        <f t="shared" si="55"/>
        <v>3</v>
      </c>
      <c r="G3559" s="7" t="str">
        <f>LOOKUP(H3559,[1]startdates!$A$2:$A$10,[1]startdates!$B$2:$B$10)</f>
        <v>FMr</v>
      </c>
      <c r="H3559">
        <v>7</v>
      </c>
      <c r="I3559" s="7">
        <v>624.9</v>
      </c>
      <c r="M3559" s="7">
        <v>263</v>
      </c>
      <c r="N3559" s="7">
        <v>208.5</v>
      </c>
      <c r="O3559" s="7">
        <v>184.7</v>
      </c>
    </row>
    <row r="3560" spans="1:18" x14ac:dyDescent="0.2">
      <c r="A3560">
        <v>3559</v>
      </c>
      <c r="B3560" s="1">
        <v>40820</v>
      </c>
      <c r="C3560" t="s">
        <v>28</v>
      </c>
      <c r="D3560" s="7">
        <v>82</v>
      </c>
      <c r="E3560" s="7">
        <v>13</v>
      </c>
      <c r="F3560" s="7">
        <f t="shared" si="55"/>
        <v>3</v>
      </c>
      <c r="G3560" s="7" t="str">
        <f>LOOKUP(H3560,[1]startdates!$A$2:$A$10,[1]startdates!$B$2:$B$10)</f>
        <v>FMr</v>
      </c>
      <c r="H3560">
        <v>7</v>
      </c>
      <c r="I3560" s="7">
        <v>610.1</v>
      </c>
      <c r="M3560" s="7">
        <v>323.3</v>
      </c>
      <c r="N3560" s="7">
        <v>210.6</v>
      </c>
      <c r="O3560" s="7">
        <v>166.9</v>
      </c>
    </row>
    <row r="3561" spans="1:18" x14ac:dyDescent="0.2">
      <c r="A3561">
        <v>3560</v>
      </c>
      <c r="B3561" s="1">
        <v>40820</v>
      </c>
      <c r="C3561" t="s">
        <v>28</v>
      </c>
      <c r="D3561" s="7">
        <v>82</v>
      </c>
      <c r="E3561" s="7">
        <v>13</v>
      </c>
      <c r="F3561" s="7">
        <f t="shared" ref="F3561:F3624" si="56">WEEKDAY(B3561)</f>
        <v>3</v>
      </c>
      <c r="G3561" s="7" t="str">
        <f>LOOKUP(H3561,[1]startdates!$A$2:$A$10,[1]startdates!$B$2:$B$10)</f>
        <v>FMr</v>
      </c>
      <c r="H3561">
        <v>7</v>
      </c>
      <c r="I3561" s="7">
        <v>605.29999999999995</v>
      </c>
      <c r="M3561" s="7">
        <v>359.5</v>
      </c>
      <c r="N3561" s="7">
        <v>261.5</v>
      </c>
      <c r="O3561" s="7">
        <v>166.9</v>
      </c>
    </row>
    <row r="3562" spans="1:18" x14ac:dyDescent="0.2">
      <c r="A3562">
        <v>3561</v>
      </c>
      <c r="B3562" s="1">
        <v>40820</v>
      </c>
      <c r="C3562" t="s">
        <v>28</v>
      </c>
      <c r="D3562" s="7">
        <v>82</v>
      </c>
      <c r="E3562" s="7">
        <v>13</v>
      </c>
      <c r="F3562" s="7">
        <f t="shared" si="56"/>
        <v>3</v>
      </c>
      <c r="G3562" s="7" t="str">
        <f>LOOKUP(H3562,[1]startdates!$A$2:$A$10,[1]startdates!$B$2:$B$10)</f>
        <v>FMr</v>
      </c>
      <c r="H3562">
        <v>7</v>
      </c>
      <c r="I3562" s="7">
        <v>531.6</v>
      </c>
      <c r="M3562" s="7">
        <v>365.1</v>
      </c>
      <c r="N3562" s="7">
        <v>256.5</v>
      </c>
      <c r="O3562" s="7">
        <v>178.2</v>
      </c>
    </row>
    <row r="3563" spans="1:18" x14ac:dyDescent="0.2">
      <c r="A3563">
        <v>3562</v>
      </c>
      <c r="B3563" s="1">
        <v>40820</v>
      </c>
      <c r="C3563" t="s">
        <v>28</v>
      </c>
      <c r="D3563" s="7">
        <v>82</v>
      </c>
      <c r="E3563" s="7">
        <v>13</v>
      </c>
      <c r="F3563" s="7">
        <f t="shared" si="56"/>
        <v>3</v>
      </c>
      <c r="G3563" s="7" t="str">
        <f>LOOKUP(H3563,[1]startdates!$A$2:$A$10,[1]startdates!$B$2:$B$10)</f>
        <v>FMr</v>
      </c>
      <c r="H3563">
        <v>7</v>
      </c>
      <c r="I3563" s="7">
        <v>588.5</v>
      </c>
      <c r="M3563" s="7">
        <v>312.5</v>
      </c>
      <c r="N3563" s="7">
        <v>228.7</v>
      </c>
      <c r="O3563" s="7">
        <v>181.9</v>
      </c>
    </row>
    <row r="3564" spans="1:18" x14ac:dyDescent="0.2">
      <c r="A3564">
        <v>3563</v>
      </c>
      <c r="B3564" s="1">
        <v>40820</v>
      </c>
      <c r="C3564" t="s">
        <v>28</v>
      </c>
      <c r="D3564" s="7">
        <v>82</v>
      </c>
      <c r="E3564" s="7">
        <v>13</v>
      </c>
      <c r="F3564" s="7">
        <f t="shared" si="56"/>
        <v>3</v>
      </c>
      <c r="G3564" s="7" t="str">
        <f>LOOKUP(H3564,[1]startdates!$A$2:$A$10,[1]startdates!$B$2:$B$10)</f>
        <v>FMr</v>
      </c>
      <c r="H3564">
        <v>7</v>
      </c>
      <c r="I3564" s="7">
        <v>635.6</v>
      </c>
      <c r="N3564" s="7">
        <v>265.10000000000002</v>
      </c>
      <c r="O3564" s="7">
        <v>177.3</v>
      </c>
    </row>
    <row r="3565" spans="1:18" x14ac:dyDescent="0.2">
      <c r="A3565">
        <v>3564</v>
      </c>
      <c r="B3565" s="1">
        <v>40820</v>
      </c>
      <c r="C3565" t="s">
        <v>28</v>
      </c>
      <c r="D3565" s="7">
        <v>82</v>
      </c>
      <c r="E3565" s="7">
        <v>13</v>
      </c>
      <c r="F3565" s="7">
        <f t="shared" si="56"/>
        <v>3</v>
      </c>
      <c r="G3565" s="7" t="str">
        <f>LOOKUP(H3565,[1]startdates!$A$2:$A$10,[1]startdates!$B$2:$B$10)</f>
        <v>FMr</v>
      </c>
      <c r="H3565">
        <v>7</v>
      </c>
      <c r="I3565" s="7">
        <v>728.1</v>
      </c>
      <c r="N3565" s="7">
        <v>256.5</v>
      </c>
      <c r="O3565" s="7">
        <v>156</v>
      </c>
    </row>
    <row r="3566" spans="1:18" x14ac:dyDescent="0.2">
      <c r="A3566">
        <v>3565</v>
      </c>
      <c r="B3566" s="1">
        <v>40820</v>
      </c>
      <c r="C3566" t="s">
        <v>28</v>
      </c>
      <c r="D3566" s="7">
        <v>82</v>
      </c>
      <c r="E3566" s="7">
        <v>13</v>
      </c>
      <c r="F3566" s="7">
        <f t="shared" si="56"/>
        <v>3</v>
      </c>
      <c r="G3566" s="7" t="str">
        <f>LOOKUP(H3566,[1]startdates!$A$2:$A$10,[1]startdates!$B$2:$B$10)</f>
        <v>FMr</v>
      </c>
      <c r="H3566">
        <v>7</v>
      </c>
      <c r="O3566" s="7">
        <v>194.4</v>
      </c>
    </row>
    <row r="3567" spans="1:18" x14ac:dyDescent="0.2">
      <c r="A3567">
        <v>3566</v>
      </c>
      <c r="B3567" s="1">
        <v>40820</v>
      </c>
      <c r="C3567" t="s">
        <v>28</v>
      </c>
      <c r="D3567" s="7">
        <v>82</v>
      </c>
      <c r="E3567" s="7">
        <v>13</v>
      </c>
      <c r="F3567" s="7">
        <f t="shared" si="56"/>
        <v>3</v>
      </c>
      <c r="G3567" s="7" t="str">
        <f>LOOKUP(H3567,[1]startdates!$A$2:$A$10,[1]startdates!$B$2:$B$10)</f>
        <v>FMr</v>
      </c>
      <c r="H3567">
        <v>7</v>
      </c>
      <c r="O3567" s="7">
        <v>197.9</v>
      </c>
    </row>
    <row r="3568" spans="1:18" x14ac:dyDescent="0.2">
      <c r="A3568">
        <v>3567</v>
      </c>
      <c r="B3568" s="1">
        <v>40820</v>
      </c>
      <c r="C3568" t="s">
        <v>28</v>
      </c>
      <c r="D3568" s="7">
        <v>82</v>
      </c>
      <c r="E3568" s="7">
        <v>13</v>
      </c>
      <c r="F3568" s="7">
        <f t="shared" si="56"/>
        <v>3</v>
      </c>
      <c r="G3568" s="7" t="str">
        <f>LOOKUP(H3568,[1]startdates!$A$2:$A$10,[1]startdates!$B$2:$B$10)</f>
        <v>FMr</v>
      </c>
      <c r="H3568">
        <v>7</v>
      </c>
      <c r="O3568" s="7">
        <v>171.9</v>
      </c>
    </row>
    <row r="3569" spans="1:19" x14ac:dyDescent="0.2">
      <c r="A3569">
        <v>3568</v>
      </c>
      <c r="B3569" s="1">
        <v>40820</v>
      </c>
      <c r="C3569" t="s">
        <v>28</v>
      </c>
      <c r="D3569" s="7">
        <v>82</v>
      </c>
      <c r="E3569" s="7">
        <v>13</v>
      </c>
      <c r="F3569" s="7">
        <f t="shared" si="56"/>
        <v>3</v>
      </c>
      <c r="G3569" s="7" t="str">
        <f>LOOKUP(H3569,[1]startdates!$A$2:$A$10,[1]startdates!$B$2:$B$10)</f>
        <v>C</v>
      </c>
      <c r="H3569">
        <v>8</v>
      </c>
      <c r="I3569" s="7">
        <v>656.5</v>
      </c>
      <c r="K3569" s="7">
        <v>647.70000000000005</v>
      </c>
      <c r="L3569" s="7">
        <v>454.9</v>
      </c>
      <c r="M3569" s="7">
        <v>323.3</v>
      </c>
      <c r="N3569" s="7">
        <v>216.6</v>
      </c>
      <c r="O3569" s="7">
        <v>184.7</v>
      </c>
      <c r="R3569" s="7">
        <v>283.39999999999998</v>
      </c>
      <c r="S3569" s="7">
        <v>295.39999999999998</v>
      </c>
    </row>
    <row r="3570" spans="1:19" x14ac:dyDescent="0.2">
      <c r="A3570">
        <v>3569</v>
      </c>
      <c r="B3570" s="1">
        <v>40820</v>
      </c>
      <c r="C3570" t="s">
        <v>28</v>
      </c>
      <c r="D3570" s="7">
        <v>82</v>
      </c>
      <c r="E3570" s="7">
        <v>13</v>
      </c>
      <c r="F3570" s="7">
        <f t="shared" si="56"/>
        <v>3</v>
      </c>
      <c r="G3570" s="7" t="str">
        <f>LOOKUP(H3570,[1]startdates!$A$2:$A$10,[1]startdates!$B$2:$B$10)</f>
        <v>C</v>
      </c>
      <c r="H3570">
        <v>8</v>
      </c>
      <c r="I3570" s="7">
        <v>647.4</v>
      </c>
      <c r="K3570" s="7">
        <v>576.79999999999995</v>
      </c>
      <c r="L3570" s="7">
        <v>458.3</v>
      </c>
      <c r="M3570" s="7">
        <v>288</v>
      </c>
      <c r="N3570" s="7">
        <v>237.5</v>
      </c>
      <c r="O3570" s="7">
        <v>166.9</v>
      </c>
      <c r="S3570" s="7">
        <v>281.39999999999998</v>
      </c>
    </row>
    <row r="3571" spans="1:19" x14ac:dyDescent="0.2">
      <c r="A3571">
        <v>3570</v>
      </c>
      <c r="B3571" s="1">
        <v>40820</v>
      </c>
      <c r="C3571" t="s">
        <v>28</v>
      </c>
      <c r="D3571" s="7">
        <v>82</v>
      </c>
      <c r="E3571" s="7">
        <v>13</v>
      </c>
      <c r="F3571" s="7">
        <f t="shared" si="56"/>
        <v>3</v>
      </c>
      <c r="G3571" s="7" t="str">
        <f>LOOKUP(H3571,[1]startdates!$A$2:$A$10,[1]startdates!$B$2:$B$10)</f>
        <v>C</v>
      </c>
      <c r="H3571">
        <v>8</v>
      </c>
      <c r="I3571" s="7">
        <v>655.7</v>
      </c>
      <c r="K3571" s="7">
        <v>586.9</v>
      </c>
      <c r="L3571" s="7">
        <v>403.6</v>
      </c>
      <c r="M3571" s="7">
        <v>317</v>
      </c>
      <c r="N3571" s="7">
        <v>239.8</v>
      </c>
      <c r="O3571" s="7">
        <v>188.2</v>
      </c>
      <c r="S3571" s="7">
        <v>277.3</v>
      </c>
    </row>
    <row r="3572" spans="1:19" x14ac:dyDescent="0.2">
      <c r="A3572">
        <v>3571</v>
      </c>
      <c r="B3572" s="1">
        <v>40820</v>
      </c>
      <c r="C3572" t="s">
        <v>28</v>
      </c>
      <c r="D3572" s="7">
        <v>82</v>
      </c>
      <c r="E3572" s="7">
        <v>13</v>
      </c>
      <c r="F3572" s="7">
        <f t="shared" si="56"/>
        <v>3</v>
      </c>
      <c r="G3572" s="7" t="str">
        <f>LOOKUP(H3572,[1]startdates!$A$2:$A$10,[1]startdates!$B$2:$B$10)</f>
        <v>C</v>
      </c>
      <c r="H3572">
        <v>8</v>
      </c>
      <c r="I3572" s="7">
        <v>661.9</v>
      </c>
      <c r="K3572" s="7">
        <v>609.20000000000005</v>
      </c>
      <c r="L3572" s="7">
        <v>427.1</v>
      </c>
      <c r="M3572" s="7">
        <v>328.4</v>
      </c>
      <c r="N3572" s="7">
        <v>225.4</v>
      </c>
      <c r="O3572" s="7">
        <v>188.7</v>
      </c>
      <c r="S3572" s="7">
        <v>307.5</v>
      </c>
    </row>
    <row r="3573" spans="1:19" x14ac:dyDescent="0.2">
      <c r="A3573">
        <v>3572</v>
      </c>
      <c r="B3573" s="1">
        <v>40820</v>
      </c>
      <c r="C3573" t="s">
        <v>28</v>
      </c>
      <c r="D3573" s="7">
        <v>82</v>
      </c>
      <c r="E3573" s="7">
        <v>13</v>
      </c>
      <c r="F3573" s="7">
        <f t="shared" si="56"/>
        <v>3</v>
      </c>
      <c r="G3573" s="7" t="str">
        <f>LOOKUP(H3573,[1]startdates!$A$2:$A$10,[1]startdates!$B$2:$B$10)</f>
        <v>C</v>
      </c>
      <c r="H3573">
        <v>8</v>
      </c>
      <c r="I3573" s="7">
        <v>628.29999999999995</v>
      </c>
      <c r="K3573" s="7">
        <v>589.5</v>
      </c>
      <c r="M3573" s="7">
        <v>334</v>
      </c>
      <c r="N3573" s="7">
        <v>214.7</v>
      </c>
      <c r="O3573" s="7">
        <v>182.2</v>
      </c>
      <c r="S3573" s="7">
        <v>284.10000000000002</v>
      </c>
    </row>
    <row r="3574" spans="1:19" x14ac:dyDescent="0.2">
      <c r="A3574">
        <v>3573</v>
      </c>
      <c r="B3574" s="1">
        <v>40820</v>
      </c>
      <c r="C3574" t="s">
        <v>28</v>
      </c>
      <c r="D3574" s="7">
        <v>82</v>
      </c>
      <c r="E3574" s="7">
        <v>13</v>
      </c>
      <c r="F3574" s="7">
        <f t="shared" si="56"/>
        <v>3</v>
      </c>
      <c r="G3574" s="7" t="str">
        <f>LOOKUP(H3574,[1]startdates!$A$2:$A$10,[1]startdates!$B$2:$B$10)</f>
        <v>C</v>
      </c>
      <c r="H3574">
        <v>8</v>
      </c>
      <c r="I3574" s="7">
        <v>666</v>
      </c>
      <c r="K3574" s="7">
        <v>526.9</v>
      </c>
      <c r="M3574" s="7">
        <v>302</v>
      </c>
      <c r="N3574" s="7">
        <v>275.10000000000002</v>
      </c>
    </row>
    <row r="3575" spans="1:19" x14ac:dyDescent="0.2">
      <c r="A3575">
        <v>3574</v>
      </c>
      <c r="B3575" s="1">
        <v>40820</v>
      </c>
      <c r="C3575" t="s">
        <v>28</v>
      </c>
      <c r="D3575" s="7">
        <v>82</v>
      </c>
      <c r="E3575" s="7">
        <v>13</v>
      </c>
      <c r="F3575" s="7">
        <f t="shared" si="56"/>
        <v>3</v>
      </c>
      <c r="G3575" s="7" t="str">
        <f>LOOKUP(H3575,[1]startdates!$A$2:$A$10,[1]startdates!$B$2:$B$10)</f>
        <v>C</v>
      </c>
      <c r="H3575">
        <v>8</v>
      </c>
      <c r="I3575" s="7">
        <v>691.7</v>
      </c>
      <c r="M3575" s="7">
        <v>304.8</v>
      </c>
      <c r="N3575" s="7">
        <v>184.7</v>
      </c>
    </row>
    <row r="3576" spans="1:19" x14ac:dyDescent="0.2">
      <c r="A3576">
        <v>3575</v>
      </c>
      <c r="B3576" s="1">
        <v>40820</v>
      </c>
      <c r="C3576" t="s">
        <v>28</v>
      </c>
      <c r="D3576" s="7">
        <v>82</v>
      </c>
      <c r="E3576" s="7">
        <v>13</v>
      </c>
      <c r="F3576" s="7">
        <f t="shared" si="56"/>
        <v>3</v>
      </c>
      <c r="G3576" s="7" t="str">
        <f>LOOKUP(H3576,[1]startdates!$A$2:$A$10,[1]startdates!$B$2:$B$10)</f>
        <v>C</v>
      </c>
      <c r="H3576">
        <v>8</v>
      </c>
      <c r="I3576" s="7">
        <v>689.4</v>
      </c>
      <c r="M3576" s="7">
        <v>342.9</v>
      </c>
      <c r="N3576" s="7">
        <v>288.8</v>
      </c>
    </row>
    <row r="3577" spans="1:19" x14ac:dyDescent="0.2">
      <c r="A3577">
        <v>3576</v>
      </c>
      <c r="B3577" s="1">
        <v>40820</v>
      </c>
      <c r="C3577" t="s">
        <v>28</v>
      </c>
      <c r="D3577" s="7">
        <v>82</v>
      </c>
      <c r="E3577" s="7">
        <v>13</v>
      </c>
      <c r="F3577" s="7">
        <f t="shared" si="56"/>
        <v>3</v>
      </c>
      <c r="G3577" s="7" t="str">
        <f>LOOKUP(H3577,[1]startdates!$A$2:$A$10,[1]startdates!$B$2:$B$10)</f>
        <v>C</v>
      </c>
      <c r="H3577">
        <v>8</v>
      </c>
      <c r="M3577" s="7">
        <v>318.60000000000002</v>
      </c>
      <c r="N3577" s="7">
        <v>203.1</v>
      </c>
    </row>
    <row r="3578" spans="1:19" x14ac:dyDescent="0.2">
      <c r="A3578">
        <v>3577</v>
      </c>
      <c r="B3578" s="1">
        <v>40820</v>
      </c>
      <c r="C3578" t="s">
        <v>28</v>
      </c>
      <c r="D3578" s="7">
        <v>82</v>
      </c>
      <c r="E3578" s="7">
        <v>13</v>
      </c>
      <c r="F3578" s="7">
        <f t="shared" si="56"/>
        <v>3</v>
      </c>
      <c r="G3578" s="7" t="str">
        <f>LOOKUP(H3578,[1]startdates!$A$2:$A$10,[1]startdates!$B$2:$B$10)</f>
        <v>C</v>
      </c>
      <c r="H3578">
        <v>8</v>
      </c>
      <c r="M3578" s="7">
        <v>356.5</v>
      </c>
      <c r="N3578" s="7">
        <v>251.7</v>
      </c>
    </row>
    <row r="3579" spans="1:19" x14ac:dyDescent="0.2">
      <c r="A3579">
        <v>3578</v>
      </c>
      <c r="B3579" s="1">
        <v>40820</v>
      </c>
      <c r="C3579" t="s">
        <v>28</v>
      </c>
      <c r="D3579" s="7">
        <v>82</v>
      </c>
      <c r="E3579" s="7">
        <v>13</v>
      </c>
      <c r="F3579" s="7">
        <f t="shared" si="56"/>
        <v>3</v>
      </c>
      <c r="G3579" s="7" t="str">
        <f>LOOKUP(H3579,[1]startdates!$A$2:$A$10,[1]startdates!$B$2:$B$10)</f>
        <v>C</v>
      </c>
      <c r="H3579">
        <v>8</v>
      </c>
      <c r="M3579" s="7">
        <v>363.3</v>
      </c>
    </row>
    <row r="3580" spans="1:19" x14ac:dyDescent="0.2">
      <c r="A3580">
        <v>3579</v>
      </c>
      <c r="B3580" s="1">
        <v>40820</v>
      </c>
      <c r="C3580" t="s">
        <v>24</v>
      </c>
      <c r="D3580" s="7">
        <v>82</v>
      </c>
      <c r="E3580" s="7">
        <v>13</v>
      </c>
      <c r="F3580" s="7">
        <f t="shared" si="56"/>
        <v>3</v>
      </c>
      <c r="G3580" s="7" t="str">
        <f>LOOKUP(H3580,[1]startdates!$A$2:$A$10,[1]startdates!$B$2:$B$10)</f>
        <v>FMr</v>
      </c>
      <c r="H3580">
        <v>9</v>
      </c>
      <c r="I3580" s="7">
        <v>641.6</v>
      </c>
      <c r="K3580" s="7">
        <v>645.79999999999995</v>
      </c>
      <c r="L3580" s="7">
        <v>489.5</v>
      </c>
      <c r="M3580" s="7">
        <v>301.89999999999998</v>
      </c>
      <c r="N3580" s="7">
        <v>283.89999999999998</v>
      </c>
      <c r="O3580" s="7">
        <v>169.4</v>
      </c>
      <c r="P3580" s="7">
        <v>488.9</v>
      </c>
      <c r="Q3580" s="7">
        <v>374.8</v>
      </c>
      <c r="R3580" s="7">
        <v>279.10000000000002</v>
      </c>
      <c r="S3580" s="7">
        <v>256</v>
      </c>
    </row>
    <row r="3581" spans="1:19" x14ac:dyDescent="0.2">
      <c r="A3581">
        <v>3580</v>
      </c>
      <c r="B3581" s="1">
        <v>40820</v>
      </c>
      <c r="C3581" t="s">
        <v>24</v>
      </c>
      <c r="D3581" s="7">
        <v>82</v>
      </c>
      <c r="E3581" s="7">
        <v>13</v>
      </c>
      <c r="F3581" s="7">
        <f t="shared" si="56"/>
        <v>3</v>
      </c>
      <c r="G3581" s="7" t="str">
        <f>LOOKUP(H3581,[1]startdates!$A$2:$A$10,[1]startdates!$B$2:$B$10)</f>
        <v>FMr</v>
      </c>
      <c r="H3581">
        <v>9</v>
      </c>
      <c r="I3581" s="7">
        <v>662.5</v>
      </c>
      <c r="K3581" s="7">
        <v>612.5</v>
      </c>
      <c r="L3581" s="7">
        <v>398.5</v>
      </c>
      <c r="M3581" s="7">
        <v>369.3</v>
      </c>
      <c r="N3581" s="7">
        <v>286.10000000000002</v>
      </c>
      <c r="O3581" s="7">
        <v>177.7</v>
      </c>
      <c r="P3581" s="7">
        <v>534</v>
      </c>
      <c r="Q3581" s="7">
        <v>372.6</v>
      </c>
      <c r="S3581" s="7">
        <v>254.3</v>
      </c>
    </row>
    <row r="3582" spans="1:19" x14ac:dyDescent="0.2">
      <c r="A3582">
        <v>3581</v>
      </c>
      <c r="B3582" s="1">
        <v>40820</v>
      </c>
      <c r="C3582" t="s">
        <v>24</v>
      </c>
      <c r="D3582" s="7">
        <v>82</v>
      </c>
      <c r="E3582" s="7">
        <v>13</v>
      </c>
      <c r="F3582" s="7">
        <f t="shared" si="56"/>
        <v>3</v>
      </c>
      <c r="G3582" s="7" t="str">
        <f>LOOKUP(H3582,[1]startdates!$A$2:$A$10,[1]startdates!$B$2:$B$10)</f>
        <v>FMr</v>
      </c>
      <c r="H3582">
        <v>9</v>
      </c>
      <c r="I3582" s="7">
        <v>601.29999999999995</v>
      </c>
      <c r="K3582" s="7">
        <v>538.1</v>
      </c>
      <c r="L3582" s="7">
        <v>495.7</v>
      </c>
      <c r="M3582" s="7">
        <v>312.89999999999998</v>
      </c>
      <c r="N3582" s="7">
        <v>202.8</v>
      </c>
      <c r="O3582" s="7">
        <v>168.2</v>
      </c>
      <c r="P3582" s="7">
        <v>509.3</v>
      </c>
      <c r="Q3582" s="7">
        <v>385.2</v>
      </c>
    </row>
    <row r="3583" spans="1:19" x14ac:dyDescent="0.2">
      <c r="A3583">
        <v>3582</v>
      </c>
      <c r="B3583" s="1">
        <v>40820</v>
      </c>
      <c r="C3583" t="s">
        <v>24</v>
      </c>
      <c r="D3583" s="7">
        <v>82</v>
      </c>
      <c r="E3583" s="7">
        <v>13</v>
      </c>
      <c r="F3583" s="7">
        <f t="shared" si="56"/>
        <v>3</v>
      </c>
      <c r="G3583" s="7" t="str">
        <f>LOOKUP(H3583,[1]startdates!$A$2:$A$10,[1]startdates!$B$2:$B$10)</f>
        <v>FMr</v>
      </c>
      <c r="H3583">
        <v>9</v>
      </c>
      <c r="I3583" s="7">
        <v>587.79999999999995</v>
      </c>
      <c r="K3583" s="7">
        <v>426.7</v>
      </c>
      <c r="L3583" s="7">
        <v>455.4</v>
      </c>
      <c r="M3583" s="7">
        <v>298.60000000000002</v>
      </c>
      <c r="N3583" s="7">
        <v>279.3</v>
      </c>
      <c r="O3583" s="7">
        <v>188.7</v>
      </c>
      <c r="P3583" s="7">
        <v>450.8</v>
      </c>
      <c r="Q3583" s="7">
        <v>347.2</v>
      </c>
    </row>
    <row r="3584" spans="1:19" x14ac:dyDescent="0.2">
      <c r="A3584">
        <v>3583</v>
      </c>
      <c r="B3584" s="1">
        <v>40820</v>
      </c>
      <c r="C3584" t="s">
        <v>24</v>
      </c>
      <c r="D3584" s="7">
        <v>82</v>
      </c>
      <c r="E3584" s="7">
        <v>13</v>
      </c>
      <c r="F3584" s="7">
        <f t="shared" si="56"/>
        <v>3</v>
      </c>
      <c r="G3584" s="7" t="str">
        <f>LOOKUP(H3584,[1]startdates!$A$2:$A$10,[1]startdates!$B$2:$B$10)</f>
        <v>FMr</v>
      </c>
      <c r="H3584">
        <v>9</v>
      </c>
      <c r="I3584" s="7">
        <v>615.20000000000005</v>
      </c>
      <c r="K3584" s="7">
        <v>462</v>
      </c>
      <c r="L3584" s="7">
        <v>385.5</v>
      </c>
      <c r="M3584" s="7">
        <v>260.89999999999998</v>
      </c>
      <c r="N3584" s="7">
        <v>200.2</v>
      </c>
      <c r="O3584" s="7">
        <v>192.8</v>
      </c>
      <c r="P3584" s="7">
        <v>480.2</v>
      </c>
    </row>
    <row r="3585" spans="1:20" x14ac:dyDescent="0.2">
      <c r="A3585">
        <v>3584</v>
      </c>
      <c r="B3585" s="1">
        <v>40820</v>
      </c>
      <c r="C3585" t="s">
        <v>24</v>
      </c>
      <c r="D3585" s="7">
        <v>82</v>
      </c>
      <c r="E3585" s="7">
        <v>13</v>
      </c>
      <c r="F3585" s="7">
        <f t="shared" si="56"/>
        <v>3</v>
      </c>
      <c r="G3585" s="7" t="str">
        <f>LOOKUP(H3585,[1]startdates!$A$2:$A$10,[1]startdates!$B$2:$B$10)</f>
        <v>FMr</v>
      </c>
      <c r="H3585">
        <v>9</v>
      </c>
      <c r="I3585" s="7">
        <v>653.70000000000005</v>
      </c>
      <c r="K3585" s="7">
        <v>539.20000000000005</v>
      </c>
      <c r="L3585" s="7">
        <v>498.1</v>
      </c>
      <c r="M3585" s="7">
        <v>323.89999999999998</v>
      </c>
      <c r="N3585" s="7">
        <v>248</v>
      </c>
      <c r="O3585" s="7">
        <v>162.69999999999999</v>
      </c>
    </row>
    <row r="3586" spans="1:20" x14ac:dyDescent="0.2">
      <c r="A3586">
        <v>3585</v>
      </c>
      <c r="B3586" s="1">
        <v>40820</v>
      </c>
      <c r="C3586" t="s">
        <v>24</v>
      </c>
      <c r="D3586" s="7">
        <v>82</v>
      </c>
      <c r="E3586" s="7">
        <v>13</v>
      </c>
      <c r="F3586" s="7">
        <f t="shared" si="56"/>
        <v>3</v>
      </c>
      <c r="G3586" s="7" t="str">
        <f>LOOKUP(H3586,[1]startdates!$A$2:$A$10,[1]startdates!$B$2:$B$10)</f>
        <v>FMr</v>
      </c>
      <c r="H3586">
        <v>9</v>
      </c>
      <c r="I3586" s="7">
        <v>580.29999999999995</v>
      </c>
      <c r="K3586" s="7">
        <v>379.6</v>
      </c>
      <c r="M3586" s="7">
        <v>313.3</v>
      </c>
      <c r="N3586" s="7">
        <v>203.8</v>
      </c>
      <c r="O3586" s="7">
        <v>147</v>
      </c>
    </row>
    <row r="3587" spans="1:20" x14ac:dyDescent="0.2">
      <c r="A3587">
        <v>3586</v>
      </c>
      <c r="B3587" s="1">
        <v>40820</v>
      </c>
      <c r="C3587" t="s">
        <v>24</v>
      </c>
      <c r="D3587" s="7">
        <v>82</v>
      </c>
      <c r="E3587" s="7">
        <v>13</v>
      </c>
      <c r="F3587" s="7">
        <f t="shared" si="56"/>
        <v>3</v>
      </c>
      <c r="G3587" s="7" t="str">
        <f>LOOKUP(H3587,[1]startdates!$A$2:$A$10,[1]startdates!$B$2:$B$10)</f>
        <v>FMr</v>
      </c>
      <c r="H3587">
        <v>9</v>
      </c>
      <c r="I3587" s="7">
        <v>557.5</v>
      </c>
      <c r="K3587" s="7">
        <v>354.2</v>
      </c>
      <c r="M3587" s="7">
        <v>329.7</v>
      </c>
      <c r="N3587" s="7">
        <v>215.1</v>
      </c>
      <c r="O3587" s="7">
        <v>162.5</v>
      </c>
    </row>
    <row r="3588" spans="1:20" x14ac:dyDescent="0.2">
      <c r="A3588">
        <v>3587</v>
      </c>
      <c r="B3588" s="1">
        <v>40820</v>
      </c>
      <c r="C3588" t="s">
        <v>24</v>
      </c>
      <c r="D3588" s="7">
        <v>82</v>
      </c>
      <c r="E3588" s="7">
        <v>13</v>
      </c>
      <c r="F3588" s="7">
        <f t="shared" si="56"/>
        <v>3</v>
      </c>
      <c r="G3588" s="7" t="str">
        <f>LOOKUP(H3588,[1]startdates!$A$2:$A$10,[1]startdates!$B$2:$B$10)</f>
        <v>FMr</v>
      </c>
      <c r="H3588">
        <v>9</v>
      </c>
      <c r="I3588" s="7">
        <v>467.8</v>
      </c>
      <c r="K3588" s="7">
        <v>544.9</v>
      </c>
      <c r="M3588" s="7">
        <v>361.4</v>
      </c>
      <c r="N3588" s="7">
        <v>214.7</v>
      </c>
      <c r="O3588" s="7">
        <v>176</v>
      </c>
    </row>
    <row r="3589" spans="1:20" x14ac:dyDescent="0.2">
      <c r="A3589">
        <v>3588</v>
      </c>
      <c r="B3589" s="1">
        <v>40820</v>
      </c>
      <c r="C3589" t="s">
        <v>24</v>
      </c>
      <c r="D3589" s="7">
        <v>82</v>
      </c>
      <c r="E3589" s="7">
        <v>13</v>
      </c>
      <c r="F3589" s="7">
        <f t="shared" si="56"/>
        <v>3</v>
      </c>
      <c r="G3589" s="7" t="str">
        <f>LOOKUP(H3589,[1]startdates!$A$2:$A$10,[1]startdates!$B$2:$B$10)</f>
        <v>FMr</v>
      </c>
      <c r="H3589">
        <v>9</v>
      </c>
      <c r="I3589" s="7">
        <v>630.4</v>
      </c>
      <c r="K3589" s="7">
        <v>546.4</v>
      </c>
      <c r="M3589" s="7">
        <v>321.3</v>
      </c>
      <c r="O3589" s="7">
        <v>171.9</v>
      </c>
    </row>
    <row r="3590" spans="1:20" x14ac:dyDescent="0.2">
      <c r="A3590">
        <v>3589</v>
      </c>
      <c r="B3590" s="1">
        <v>40820</v>
      </c>
      <c r="C3590" t="s">
        <v>24</v>
      </c>
      <c r="D3590" s="7">
        <v>82</v>
      </c>
      <c r="E3590" s="7">
        <v>13</v>
      </c>
      <c r="F3590" s="7">
        <f t="shared" si="56"/>
        <v>3</v>
      </c>
      <c r="G3590" s="7" t="str">
        <f>LOOKUP(H3590,[1]startdates!$A$2:$A$10,[1]startdates!$B$2:$B$10)</f>
        <v>FMr</v>
      </c>
      <c r="H3590">
        <v>9</v>
      </c>
      <c r="K3590" s="7">
        <v>470.8</v>
      </c>
      <c r="O3590" s="7">
        <v>190.5</v>
      </c>
    </row>
    <row r="3591" spans="1:20" x14ac:dyDescent="0.2">
      <c r="A3591">
        <v>3590</v>
      </c>
      <c r="B3591" s="1">
        <v>40820</v>
      </c>
      <c r="C3591" t="s">
        <v>24</v>
      </c>
      <c r="D3591" s="7">
        <v>82</v>
      </c>
      <c r="E3591" s="7">
        <v>13</v>
      </c>
      <c r="F3591" s="7">
        <f t="shared" si="56"/>
        <v>3</v>
      </c>
      <c r="G3591" s="7" t="str">
        <f>LOOKUP(H3591,[1]startdates!$A$2:$A$10,[1]startdates!$B$2:$B$10)</f>
        <v>FMr</v>
      </c>
      <c r="H3591">
        <v>9</v>
      </c>
      <c r="K3591" s="7">
        <v>490.6</v>
      </c>
    </row>
    <row r="3592" spans="1:20" x14ac:dyDescent="0.2">
      <c r="A3592">
        <v>3591</v>
      </c>
      <c r="B3592" s="1">
        <v>40823</v>
      </c>
      <c r="C3592" t="s">
        <v>24</v>
      </c>
      <c r="D3592" s="7">
        <v>85</v>
      </c>
      <c r="E3592" s="7">
        <v>13</v>
      </c>
      <c r="F3592" s="7">
        <f t="shared" si="56"/>
        <v>6</v>
      </c>
      <c r="G3592" s="7" t="str">
        <f>LOOKUP(H3592,[1]startdates!$A$2:$A$10,[1]startdates!$B$2:$B$10)</f>
        <v>SMr</v>
      </c>
      <c r="H3592">
        <v>1</v>
      </c>
      <c r="I3592" s="7">
        <v>672.1</v>
      </c>
      <c r="J3592" s="7">
        <v>576.5</v>
      </c>
      <c r="K3592" s="7">
        <v>536.29999999999995</v>
      </c>
      <c r="L3592" s="7">
        <v>446.4</v>
      </c>
      <c r="M3592" s="7">
        <v>395.3</v>
      </c>
      <c r="N3592" s="7">
        <v>239.3</v>
      </c>
      <c r="O3592" s="7">
        <v>180.6</v>
      </c>
      <c r="P3592" s="7">
        <v>449.9</v>
      </c>
      <c r="Q3592" s="7">
        <v>347.3</v>
      </c>
      <c r="R3592" s="7">
        <v>273.89999999999998</v>
      </c>
      <c r="S3592" s="7">
        <v>219.7</v>
      </c>
      <c r="T3592" s="7">
        <v>380.9</v>
      </c>
    </row>
    <row r="3593" spans="1:20" x14ac:dyDescent="0.2">
      <c r="A3593">
        <v>3592</v>
      </c>
      <c r="B3593" s="1">
        <v>40823</v>
      </c>
      <c r="C3593" t="s">
        <v>24</v>
      </c>
      <c r="D3593" s="7">
        <v>85</v>
      </c>
      <c r="E3593" s="7">
        <v>13</v>
      </c>
      <c r="F3593" s="7">
        <f t="shared" si="56"/>
        <v>6</v>
      </c>
      <c r="G3593" s="7" t="str">
        <f>LOOKUP(H3593,[1]startdates!$A$2:$A$10,[1]startdates!$B$2:$B$10)</f>
        <v>SMr</v>
      </c>
      <c r="H3593">
        <v>1</v>
      </c>
      <c r="I3593" s="7">
        <v>621.5</v>
      </c>
      <c r="J3593" s="7">
        <v>562.9</v>
      </c>
      <c r="K3593" s="7">
        <v>588</v>
      </c>
      <c r="L3593" s="7">
        <v>413.3</v>
      </c>
      <c r="M3593" s="7">
        <v>325.39999999999998</v>
      </c>
      <c r="N3593" s="7">
        <v>279</v>
      </c>
      <c r="O3593" s="7">
        <v>162.4</v>
      </c>
      <c r="P3593" s="7">
        <v>569.9</v>
      </c>
      <c r="Q3593" s="7">
        <v>365.6</v>
      </c>
      <c r="S3593" s="7">
        <v>266</v>
      </c>
    </row>
    <row r="3594" spans="1:20" x14ac:dyDescent="0.2">
      <c r="A3594">
        <v>3593</v>
      </c>
      <c r="B3594" s="1">
        <v>40823</v>
      </c>
      <c r="C3594" t="s">
        <v>24</v>
      </c>
      <c r="D3594" s="7">
        <v>85</v>
      </c>
      <c r="E3594" s="7">
        <v>13</v>
      </c>
      <c r="F3594" s="7">
        <f t="shared" si="56"/>
        <v>6</v>
      </c>
      <c r="G3594" s="7" t="str">
        <f>LOOKUP(H3594,[1]startdates!$A$2:$A$10,[1]startdates!$B$2:$B$10)</f>
        <v>SMr</v>
      </c>
      <c r="H3594">
        <v>1</v>
      </c>
      <c r="I3594" s="7">
        <v>623.29999999999995</v>
      </c>
      <c r="J3594" s="7">
        <v>498.6</v>
      </c>
      <c r="K3594" s="7">
        <v>585.4</v>
      </c>
      <c r="L3594" s="7">
        <v>434.9</v>
      </c>
      <c r="M3594" s="7">
        <v>331.5</v>
      </c>
      <c r="N3594" s="7">
        <v>264.5</v>
      </c>
      <c r="O3594" s="7">
        <v>174</v>
      </c>
      <c r="P3594" s="7">
        <v>471.6</v>
      </c>
      <c r="Q3594" s="7">
        <v>345.3</v>
      </c>
      <c r="S3594" s="7">
        <v>268</v>
      </c>
    </row>
    <row r="3595" spans="1:20" x14ac:dyDescent="0.2">
      <c r="A3595">
        <v>3594</v>
      </c>
      <c r="B3595" s="1">
        <v>40823</v>
      </c>
      <c r="C3595" t="s">
        <v>24</v>
      </c>
      <c r="D3595" s="7">
        <v>85</v>
      </c>
      <c r="E3595" s="7">
        <v>13</v>
      </c>
      <c r="F3595" s="7">
        <f t="shared" si="56"/>
        <v>6</v>
      </c>
      <c r="G3595" s="7" t="str">
        <f>LOOKUP(H3595,[1]startdates!$A$2:$A$10,[1]startdates!$B$2:$B$10)</f>
        <v>SMr</v>
      </c>
      <c r="H3595">
        <v>1</v>
      </c>
      <c r="I3595" s="7">
        <v>713.9</v>
      </c>
      <c r="J3595" s="7">
        <v>449.5</v>
      </c>
      <c r="K3595" s="7">
        <v>464.9</v>
      </c>
      <c r="M3595" s="7">
        <v>353</v>
      </c>
      <c r="N3595" s="7">
        <v>225.7</v>
      </c>
      <c r="O3595" s="7">
        <v>198.2</v>
      </c>
      <c r="S3595" s="7">
        <v>266</v>
      </c>
    </row>
    <row r="3596" spans="1:20" x14ac:dyDescent="0.2">
      <c r="A3596">
        <v>3595</v>
      </c>
      <c r="B3596" s="1">
        <v>40823</v>
      </c>
      <c r="C3596" t="s">
        <v>24</v>
      </c>
      <c r="D3596" s="7">
        <v>85</v>
      </c>
      <c r="E3596" s="7">
        <v>13</v>
      </c>
      <c r="F3596" s="7">
        <f t="shared" si="56"/>
        <v>6</v>
      </c>
      <c r="G3596" s="7" t="str">
        <f>LOOKUP(H3596,[1]startdates!$A$2:$A$10,[1]startdates!$B$2:$B$10)</f>
        <v>SMr</v>
      </c>
      <c r="H3596">
        <v>1</v>
      </c>
      <c r="I3596" s="7">
        <v>718.6</v>
      </c>
      <c r="J3596" s="7">
        <v>512.6</v>
      </c>
      <c r="K3596" s="7">
        <v>538.6</v>
      </c>
      <c r="M3596" s="7">
        <v>316.3</v>
      </c>
      <c r="N3596" s="7">
        <v>265.10000000000002</v>
      </c>
      <c r="O3596" s="7">
        <v>169.7</v>
      </c>
    </row>
    <row r="3597" spans="1:20" x14ac:dyDescent="0.2">
      <c r="A3597">
        <v>3596</v>
      </c>
      <c r="B3597" s="1">
        <v>40823</v>
      </c>
      <c r="C3597" t="s">
        <v>24</v>
      </c>
      <c r="D3597" s="7">
        <v>85</v>
      </c>
      <c r="E3597" s="7">
        <v>13</v>
      </c>
      <c r="F3597" s="7">
        <f t="shared" si="56"/>
        <v>6</v>
      </c>
      <c r="G3597" s="7" t="str">
        <f>LOOKUP(H3597,[1]startdates!$A$2:$A$10,[1]startdates!$B$2:$B$10)</f>
        <v>SMr</v>
      </c>
      <c r="H3597">
        <v>1</v>
      </c>
      <c r="I3597" s="7">
        <v>559</v>
      </c>
      <c r="M3597" s="7">
        <v>346.6</v>
      </c>
      <c r="N3597" s="7">
        <v>242.3</v>
      </c>
      <c r="O3597" s="7">
        <v>177.1</v>
      </c>
    </row>
    <row r="3598" spans="1:20" x14ac:dyDescent="0.2">
      <c r="A3598">
        <v>3597</v>
      </c>
      <c r="B3598" s="1">
        <v>40823</v>
      </c>
      <c r="C3598" t="s">
        <v>24</v>
      </c>
      <c r="D3598" s="7">
        <v>85</v>
      </c>
      <c r="E3598" s="7">
        <v>13</v>
      </c>
      <c r="F3598" s="7">
        <f t="shared" si="56"/>
        <v>6</v>
      </c>
      <c r="G3598" s="7" t="str">
        <f>LOOKUP(H3598,[1]startdates!$A$2:$A$10,[1]startdates!$B$2:$B$10)</f>
        <v>SMr</v>
      </c>
      <c r="H3598">
        <v>1</v>
      </c>
      <c r="I3598" s="7">
        <v>551.70000000000005</v>
      </c>
      <c r="M3598" s="7">
        <v>337.3</v>
      </c>
      <c r="N3598" s="7">
        <v>210</v>
      </c>
      <c r="O3598" s="7">
        <v>181.3</v>
      </c>
    </row>
    <row r="3599" spans="1:20" x14ac:dyDescent="0.2">
      <c r="A3599">
        <v>3598</v>
      </c>
      <c r="B3599" s="1">
        <v>40823</v>
      </c>
      <c r="C3599" t="s">
        <v>24</v>
      </c>
      <c r="D3599" s="7">
        <v>85</v>
      </c>
      <c r="E3599" s="7">
        <v>13</v>
      </c>
      <c r="F3599" s="7">
        <f t="shared" si="56"/>
        <v>6</v>
      </c>
      <c r="G3599" s="7" t="str">
        <f>LOOKUP(H3599,[1]startdates!$A$2:$A$10,[1]startdates!$B$2:$B$10)</f>
        <v>SMr</v>
      </c>
      <c r="H3599">
        <v>1</v>
      </c>
      <c r="I3599" s="7">
        <v>583.4</v>
      </c>
      <c r="N3599" s="7">
        <v>202.6</v>
      </c>
      <c r="O3599" s="7">
        <v>181.9</v>
      </c>
    </row>
    <row r="3600" spans="1:20" x14ac:dyDescent="0.2">
      <c r="A3600">
        <v>3599</v>
      </c>
      <c r="B3600" s="1">
        <v>40823</v>
      </c>
      <c r="C3600" t="s">
        <v>24</v>
      </c>
      <c r="D3600" s="7">
        <v>85</v>
      </c>
      <c r="E3600" s="7">
        <v>13</v>
      </c>
      <c r="F3600" s="7">
        <f t="shared" si="56"/>
        <v>6</v>
      </c>
      <c r="G3600" s="7" t="str">
        <f>LOOKUP(H3600,[1]startdates!$A$2:$A$10,[1]startdates!$B$2:$B$10)</f>
        <v>SMr</v>
      </c>
      <c r="H3600">
        <v>1</v>
      </c>
      <c r="I3600" s="7">
        <v>595.70000000000005</v>
      </c>
      <c r="N3600" s="7">
        <v>244</v>
      </c>
      <c r="O3600" s="7">
        <v>159.5</v>
      </c>
    </row>
    <row r="3601" spans="1:19" x14ac:dyDescent="0.2">
      <c r="A3601">
        <v>3600</v>
      </c>
      <c r="B3601" s="1">
        <v>40823</v>
      </c>
      <c r="C3601" t="s">
        <v>24</v>
      </c>
      <c r="D3601" s="7">
        <v>85</v>
      </c>
      <c r="E3601" s="7">
        <v>13</v>
      </c>
      <c r="F3601" s="7">
        <f t="shared" si="56"/>
        <v>6</v>
      </c>
      <c r="G3601" s="7" t="str">
        <f>LOOKUP(H3601,[1]startdates!$A$2:$A$10,[1]startdates!$B$2:$B$10)</f>
        <v>SMr</v>
      </c>
      <c r="H3601">
        <v>1</v>
      </c>
      <c r="I3601" s="7">
        <v>525.1</v>
      </c>
      <c r="N3601" s="7">
        <v>274.5</v>
      </c>
    </row>
    <row r="3602" spans="1:19" x14ac:dyDescent="0.2">
      <c r="A3602">
        <v>3601</v>
      </c>
      <c r="B3602" s="1">
        <v>40823</v>
      </c>
      <c r="C3602" t="s">
        <v>24</v>
      </c>
      <c r="D3602" s="7">
        <v>85</v>
      </c>
      <c r="E3602" s="7">
        <v>13</v>
      </c>
      <c r="F3602" s="7">
        <f t="shared" si="56"/>
        <v>6</v>
      </c>
      <c r="G3602" s="7" t="str">
        <f>LOOKUP(H3602,[1]startdates!$A$2:$A$10,[1]startdates!$B$2:$B$10)</f>
        <v>SMr</v>
      </c>
      <c r="H3602">
        <v>1</v>
      </c>
      <c r="I3602" s="7">
        <v>635.20000000000005</v>
      </c>
      <c r="N3602" s="7">
        <v>290</v>
      </c>
    </row>
    <row r="3603" spans="1:19" x14ac:dyDescent="0.2">
      <c r="A3603">
        <v>3602</v>
      </c>
      <c r="B3603" s="1">
        <v>40823</v>
      </c>
      <c r="C3603" t="s">
        <v>24</v>
      </c>
      <c r="D3603" s="7">
        <v>85</v>
      </c>
      <c r="E3603" s="7">
        <v>13</v>
      </c>
      <c r="F3603" s="7">
        <f t="shared" si="56"/>
        <v>6</v>
      </c>
      <c r="G3603" s="7" t="str">
        <f>LOOKUP(H3603,[1]startdates!$A$2:$A$10,[1]startdates!$B$2:$B$10)</f>
        <v>SMr</v>
      </c>
      <c r="H3603">
        <v>1</v>
      </c>
      <c r="I3603" s="7">
        <v>650.79999999999995</v>
      </c>
    </row>
    <row r="3604" spans="1:19" x14ac:dyDescent="0.2">
      <c r="A3604">
        <v>3603</v>
      </c>
      <c r="B3604" s="1">
        <v>40823</v>
      </c>
      <c r="C3604" t="s">
        <v>24</v>
      </c>
      <c r="D3604" s="7">
        <v>85</v>
      </c>
      <c r="E3604" s="7">
        <v>13</v>
      </c>
      <c r="F3604" s="7">
        <f t="shared" si="56"/>
        <v>6</v>
      </c>
      <c r="G3604" s="7" t="str">
        <f>LOOKUP(H3604,[1]startdates!$A$2:$A$10,[1]startdates!$B$2:$B$10)</f>
        <v>SMr</v>
      </c>
      <c r="H3604">
        <v>1</v>
      </c>
      <c r="I3604" s="7">
        <v>618.1</v>
      </c>
    </row>
    <row r="3605" spans="1:19" x14ac:dyDescent="0.2">
      <c r="A3605">
        <v>3604</v>
      </c>
      <c r="B3605" s="1">
        <v>40823</v>
      </c>
      <c r="C3605" t="s">
        <v>24</v>
      </c>
      <c r="D3605" s="7">
        <v>85</v>
      </c>
      <c r="E3605" s="7">
        <v>13</v>
      </c>
      <c r="F3605" s="7">
        <f t="shared" si="56"/>
        <v>6</v>
      </c>
      <c r="G3605" s="7" t="str">
        <f>LOOKUP(H3605,[1]startdates!$A$2:$A$10,[1]startdates!$B$2:$B$10)</f>
        <v>SMr</v>
      </c>
      <c r="H3605">
        <v>1</v>
      </c>
      <c r="I3605" s="7">
        <v>637.29999999999995</v>
      </c>
    </row>
    <row r="3606" spans="1:19" x14ac:dyDescent="0.2">
      <c r="A3606">
        <v>3605</v>
      </c>
      <c r="B3606" s="1">
        <v>40823</v>
      </c>
      <c r="C3606" t="s">
        <v>24</v>
      </c>
      <c r="D3606" s="7">
        <v>85</v>
      </c>
      <c r="E3606" s="7">
        <v>13</v>
      </c>
      <c r="F3606" s="7">
        <f t="shared" si="56"/>
        <v>6</v>
      </c>
      <c r="G3606" s="7" t="str">
        <f>LOOKUP(H3606,[1]startdates!$A$2:$A$10,[1]startdates!$B$2:$B$10)</f>
        <v>SMr</v>
      </c>
      <c r="H3606">
        <v>2</v>
      </c>
      <c r="I3606" s="7">
        <v>589.1</v>
      </c>
      <c r="J3606" s="7">
        <v>515.9</v>
      </c>
      <c r="K3606" s="7">
        <v>548.6</v>
      </c>
      <c r="L3606" s="7">
        <v>420.2</v>
      </c>
      <c r="M3606" s="7">
        <v>341.3</v>
      </c>
      <c r="N3606" s="7">
        <v>233.9</v>
      </c>
      <c r="O3606" s="7">
        <v>151.1</v>
      </c>
      <c r="P3606" s="7">
        <v>464.7</v>
      </c>
      <c r="Q3606" s="7">
        <v>433.5</v>
      </c>
      <c r="R3606" s="7">
        <v>283.39999999999998</v>
      </c>
      <c r="S3606" s="7">
        <v>259</v>
      </c>
    </row>
    <row r="3607" spans="1:19" x14ac:dyDescent="0.2">
      <c r="A3607">
        <v>3606</v>
      </c>
      <c r="B3607" s="1">
        <v>40823</v>
      </c>
      <c r="C3607" t="s">
        <v>24</v>
      </c>
      <c r="D3607" s="7">
        <v>85</v>
      </c>
      <c r="E3607" s="7">
        <v>13</v>
      </c>
      <c r="F3607" s="7">
        <f t="shared" si="56"/>
        <v>6</v>
      </c>
      <c r="G3607" s="7" t="str">
        <f>LOOKUP(H3607,[1]startdates!$A$2:$A$10,[1]startdates!$B$2:$B$10)</f>
        <v>SMr</v>
      </c>
      <c r="H3607">
        <v>2</v>
      </c>
      <c r="I3607" s="7">
        <v>650.9</v>
      </c>
      <c r="J3607" s="7">
        <v>581.29999999999995</v>
      </c>
      <c r="K3607" s="7">
        <v>545.29999999999995</v>
      </c>
      <c r="L3607" s="7">
        <v>464.1</v>
      </c>
      <c r="M3607" s="7">
        <v>350.5</v>
      </c>
      <c r="N3607" s="7">
        <v>262.7</v>
      </c>
      <c r="O3607" s="7">
        <v>192.2</v>
      </c>
      <c r="P3607" s="7">
        <v>472.4</v>
      </c>
      <c r="R3607" s="7">
        <v>255.6</v>
      </c>
      <c r="S3607" s="7">
        <v>268.5</v>
      </c>
    </row>
    <row r="3608" spans="1:19" x14ac:dyDescent="0.2">
      <c r="A3608">
        <v>3607</v>
      </c>
      <c r="B3608" s="1">
        <v>40823</v>
      </c>
      <c r="C3608" t="s">
        <v>24</v>
      </c>
      <c r="D3608" s="7">
        <v>85</v>
      </c>
      <c r="E3608" s="7">
        <v>13</v>
      </c>
      <c r="F3608" s="7">
        <f t="shared" si="56"/>
        <v>6</v>
      </c>
      <c r="G3608" s="7" t="str">
        <f>LOOKUP(H3608,[1]startdates!$A$2:$A$10,[1]startdates!$B$2:$B$10)</f>
        <v>SMr</v>
      </c>
      <c r="H3608">
        <v>2</v>
      </c>
      <c r="I3608" s="7">
        <v>518.70000000000005</v>
      </c>
      <c r="J3608" s="7">
        <v>557.70000000000005</v>
      </c>
      <c r="K3608" s="7">
        <v>419.1</v>
      </c>
      <c r="L3608" s="7">
        <v>513.4</v>
      </c>
      <c r="M3608" s="7">
        <v>375.6</v>
      </c>
      <c r="N3608" s="7">
        <v>231.8</v>
      </c>
      <c r="O3608" s="7">
        <v>180.1</v>
      </c>
      <c r="P3608" s="7">
        <v>434.4</v>
      </c>
      <c r="R3608" s="7">
        <v>282.7</v>
      </c>
    </row>
    <row r="3609" spans="1:19" x14ac:dyDescent="0.2">
      <c r="A3609">
        <v>3608</v>
      </c>
      <c r="B3609" s="1">
        <v>40823</v>
      </c>
      <c r="C3609" t="s">
        <v>24</v>
      </c>
      <c r="D3609" s="7">
        <v>85</v>
      </c>
      <c r="E3609" s="7">
        <v>13</v>
      </c>
      <c r="F3609" s="7">
        <f t="shared" si="56"/>
        <v>6</v>
      </c>
      <c r="G3609" s="7" t="str">
        <f>LOOKUP(H3609,[1]startdates!$A$2:$A$10,[1]startdates!$B$2:$B$10)</f>
        <v>SMr</v>
      </c>
      <c r="H3609">
        <v>2</v>
      </c>
      <c r="I3609" s="7">
        <v>624.70000000000005</v>
      </c>
      <c r="K3609" s="7">
        <v>486.3</v>
      </c>
      <c r="L3609" s="7">
        <v>405.2</v>
      </c>
      <c r="M3609" s="7">
        <v>344.5</v>
      </c>
      <c r="N3609" s="7">
        <v>286.89999999999998</v>
      </c>
      <c r="O3609" s="7">
        <v>167.1</v>
      </c>
      <c r="P3609" s="7">
        <v>479</v>
      </c>
    </row>
    <row r="3610" spans="1:19" x14ac:dyDescent="0.2">
      <c r="A3610">
        <v>3609</v>
      </c>
      <c r="B3610" s="1">
        <v>40823</v>
      </c>
      <c r="C3610" t="s">
        <v>24</v>
      </c>
      <c r="D3610" s="7">
        <v>85</v>
      </c>
      <c r="E3610" s="7">
        <v>13</v>
      </c>
      <c r="F3610" s="7">
        <f t="shared" si="56"/>
        <v>6</v>
      </c>
      <c r="G3610" s="7" t="str">
        <f>LOOKUP(H3610,[1]startdates!$A$2:$A$10,[1]startdates!$B$2:$B$10)</f>
        <v>SMr</v>
      </c>
      <c r="H3610">
        <v>2</v>
      </c>
      <c r="I3610" s="7">
        <v>687.8</v>
      </c>
      <c r="K3610" s="7">
        <v>480.4</v>
      </c>
      <c r="L3610" s="7">
        <v>434.2</v>
      </c>
      <c r="M3610" s="7">
        <v>329.3</v>
      </c>
      <c r="N3610" s="7">
        <v>213.5</v>
      </c>
      <c r="O3610" s="7">
        <v>202.2</v>
      </c>
      <c r="P3610" s="7">
        <v>528.9</v>
      </c>
    </row>
    <row r="3611" spans="1:19" x14ac:dyDescent="0.2">
      <c r="A3611">
        <v>3610</v>
      </c>
      <c r="B3611" s="1">
        <v>40823</v>
      </c>
      <c r="C3611" t="s">
        <v>24</v>
      </c>
      <c r="D3611" s="7">
        <v>85</v>
      </c>
      <c r="E3611" s="7">
        <v>13</v>
      </c>
      <c r="F3611" s="7">
        <f t="shared" si="56"/>
        <v>6</v>
      </c>
      <c r="G3611" s="7" t="str">
        <f>LOOKUP(H3611,[1]startdates!$A$2:$A$10,[1]startdates!$B$2:$B$10)</f>
        <v>SMr</v>
      </c>
      <c r="H3611">
        <v>2</v>
      </c>
      <c r="I3611" s="7">
        <v>627</v>
      </c>
      <c r="K3611" s="7">
        <v>564.70000000000005</v>
      </c>
      <c r="N3611" s="7">
        <v>285</v>
      </c>
      <c r="O3611" s="7">
        <v>162.69999999999999</v>
      </c>
      <c r="P3611" s="7">
        <v>432.2</v>
      </c>
    </row>
    <row r="3612" spans="1:19" x14ac:dyDescent="0.2">
      <c r="A3612">
        <v>3611</v>
      </c>
      <c r="B3612" s="1">
        <v>40823</v>
      </c>
      <c r="C3612" t="s">
        <v>24</v>
      </c>
      <c r="D3612" s="7">
        <v>85</v>
      </c>
      <c r="E3612" s="7">
        <v>13</v>
      </c>
      <c r="F3612" s="7">
        <f t="shared" si="56"/>
        <v>6</v>
      </c>
      <c r="G3612" s="7" t="str">
        <f>LOOKUP(H3612,[1]startdates!$A$2:$A$10,[1]startdates!$B$2:$B$10)</f>
        <v>SMr</v>
      </c>
      <c r="H3612">
        <v>2</v>
      </c>
      <c r="I3612" s="7">
        <v>516.5</v>
      </c>
      <c r="K3612" s="7">
        <v>536.70000000000005</v>
      </c>
      <c r="N3612" s="7">
        <v>276.3</v>
      </c>
      <c r="O3612" s="7">
        <v>182.8</v>
      </c>
    </row>
    <row r="3613" spans="1:19" x14ac:dyDescent="0.2">
      <c r="A3613">
        <v>3612</v>
      </c>
      <c r="B3613" s="1">
        <v>40823</v>
      </c>
      <c r="C3613" t="s">
        <v>24</v>
      </c>
      <c r="D3613" s="7">
        <v>85</v>
      </c>
      <c r="E3613" s="7">
        <v>13</v>
      </c>
      <c r="F3613" s="7">
        <f t="shared" si="56"/>
        <v>6</v>
      </c>
      <c r="G3613" s="7" t="str">
        <f>LOOKUP(H3613,[1]startdates!$A$2:$A$10,[1]startdates!$B$2:$B$10)</f>
        <v>SMr</v>
      </c>
      <c r="H3613">
        <v>2</v>
      </c>
      <c r="K3613" s="7">
        <v>557.20000000000005</v>
      </c>
      <c r="O3613" s="7">
        <v>176.9</v>
      </c>
    </row>
    <row r="3614" spans="1:19" x14ac:dyDescent="0.2">
      <c r="A3614">
        <v>3613</v>
      </c>
      <c r="B3614" s="1">
        <v>40823</v>
      </c>
      <c r="C3614" t="s">
        <v>24</v>
      </c>
      <c r="D3614" s="7">
        <v>85</v>
      </c>
      <c r="E3614" s="7">
        <v>13</v>
      </c>
      <c r="F3614" s="7">
        <f t="shared" si="56"/>
        <v>6</v>
      </c>
      <c r="G3614" s="7" t="str">
        <f>LOOKUP(H3614,[1]startdates!$A$2:$A$10,[1]startdates!$B$2:$B$10)</f>
        <v>SMr</v>
      </c>
      <c r="H3614">
        <v>2</v>
      </c>
      <c r="O3614" s="7">
        <v>173.7</v>
      </c>
    </row>
    <row r="3615" spans="1:19" x14ac:dyDescent="0.2">
      <c r="A3615">
        <v>3614</v>
      </c>
      <c r="B3615" s="1">
        <v>40823</v>
      </c>
      <c r="C3615" t="s">
        <v>24</v>
      </c>
      <c r="D3615" s="7">
        <v>85</v>
      </c>
      <c r="E3615" s="7">
        <v>13</v>
      </c>
      <c r="F3615" s="7">
        <f t="shared" si="56"/>
        <v>6</v>
      </c>
      <c r="G3615" s="7" t="str">
        <f>LOOKUP(H3615,[1]startdates!$A$2:$A$10,[1]startdates!$B$2:$B$10)</f>
        <v>SMr</v>
      </c>
      <c r="H3615">
        <v>2</v>
      </c>
      <c r="O3615" s="7">
        <v>164.9</v>
      </c>
    </row>
    <row r="3616" spans="1:19" x14ac:dyDescent="0.2">
      <c r="A3616">
        <v>3615</v>
      </c>
      <c r="B3616" s="1">
        <v>40823</v>
      </c>
      <c r="C3616" t="s">
        <v>24</v>
      </c>
      <c r="D3616" s="7">
        <v>85</v>
      </c>
      <c r="E3616" s="7">
        <v>13</v>
      </c>
      <c r="F3616" s="7">
        <f t="shared" si="56"/>
        <v>6</v>
      </c>
      <c r="G3616" s="7" t="str">
        <f>LOOKUP(H3616,[1]startdates!$A$2:$A$10,[1]startdates!$B$2:$B$10)</f>
        <v>C</v>
      </c>
      <c r="H3616">
        <v>3</v>
      </c>
      <c r="I3616" s="7">
        <v>758.5</v>
      </c>
      <c r="J3616" s="7">
        <v>572.4</v>
      </c>
      <c r="K3616" s="7">
        <v>564.70000000000005</v>
      </c>
      <c r="L3616" s="7">
        <v>461.3</v>
      </c>
      <c r="M3616" s="7">
        <v>311.39999999999998</v>
      </c>
      <c r="N3616" s="7">
        <v>280.39999999999998</v>
      </c>
      <c r="O3616" s="7">
        <v>200.6</v>
      </c>
      <c r="P3616" s="7">
        <v>459.9</v>
      </c>
      <c r="R3616" s="7">
        <v>273.3</v>
      </c>
      <c r="S3616" s="7">
        <v>315.89999999999998</v>
      </c>
    </row>
    <row r="3617" spans="1:19" x14ac:dyDescent="0.2">
      <c r="A3617">
        <v>3616</v>
      </c>
      <c r="B3617" s="1">
        <v>40823</v>
      </c>
      <c r="C3617" t="s">
        <v>24</v>
      </c>
      <c r="D3617" s="7">
        <v>85</v>
      </c>
      <c r="E3617" s="7">
        <v>13</v>
      </c>
      <c r="F3617" s="7">
        <f t="shared" si="56"/>
        <v>6</v>
      </c>
      <c r="G3617" s="7" t="str">
        <f>LOOKUP(H3617,[1]startdates!$A$2:$A$10,[1]startdates!$B$2:$B$10)</f>
        <v>C</v>
      </c>
      <c r="H3617">
        <v>3</v>
      </c>
      <c r="I3617" s="7">
        <v>703.3</v>
      </c>
      <c r="K3617" s="7">
        <v>536.70000000000005</v>
      </c>
      <c r="L3617" s="7">
        <v>434.7</v>
      </c>
      <c r="M3617" s="7">
        <v>329.7</v>
      </c>
      <c r="N3617" s="7">
        <v>236.1</v>
      </c>
      <c r="O3617" s="7">
        <v>177.7</v>
      </c>
      <c r="R3617" s="7">
        <v>251.2</v>
      </c>
    </row>
    <row r="3618" spans="1:19" x14ac:dyDescent="0.2">
      <c r="A3618">
        <v>3617</v>
      </c>
      <c r="B3618" s="1">
        <v>40823</v>
      </c>
      <c r="C3618" t="s">
        <v>24</v>
      </c>
      <c r="D3618" s="7">
        <v>85</v>
      </c>
      <c r="E3618" s="7">
        <v>13</v>
      </c>
      <c r="F3618" s="7">
        <f t="shared" si="56"/>
        <v>6</v>
      </c>
      <c r="G3618" s="7" t="str">
        <f>LOOKUP(H3618,[1]startdates!$A$2:$A$10,[1]startdates!$B$2:$B$10)</f>
        <v>C</v>
      </c>
      <c r="H3618">
        <v>3</v>
      </c>
      <c r="I3618" s="7">
        <v>574.5</v>
      </c>
      <c r="K3618" s="7">
        <v>557.20000000000005</v>
      </c>
      <c r="L3618" s="7">
        <v>549.20000000000005</v>
      </c>
      <c r="M3618" s="7">
        <v>332.9</v>
      </c>
      <c r="N3618" s="7">
        <v>266.60000000000002</v>
      </c>
      <c r="O3618" s="7">
        <v>192.8</v>
      </c>
      <c r="R3618" s="7">
        <v>244.8</v>
      </c>
    </row>
    <row r="3619" spans="1:19" x14ac:dyDescent="0.2">
      <c r="A3619">
        <v>3618</v>
      </c>
      <c r="B3619" s="1">
        <v>40823</v>
      </c>
      <c r="C3619" t="s">
        <v>24</v>
      </c>
      <c r="D3619" s="7">
        <v>85</v>
      </c>
      <c r="E3619" s="7">
        <v>13</v>
      </c>
      <c r="F3619" s="7">
        <f t="shared" si="56"/>
        <v>6</v>
      </c>
      <c r="G3619" s="7" t="str">
        <f>LOOKUP(H3619,[1]startdates!$A$2:$A$10,[1]startdates!$B$2:$B$10)</f>
        <v>C</v>
      </c>
      <c r="H3619">
        <v>3</v>
      </c>
      <c r="I3619" s="7">
        <v>673.5</v>
      </c>
      <c r="K3619" s="7">
        <v>519.29999999999995</v>
      </c>
      <c r="M3619" s="7">
        <v>316.10000000000002</v>
      </c>
      <c r="N3619" s="7">
        <v>262.5</v>
      </c>
      <c r="O3619" s="7">
        <v>188.1</v>
      </c>
    </row>
    <row r="3620" spans="1:19" x14ac:dyDescent="0.2">
      <c r="A3620">
        <v>3619</v>
      </c>
      <c r="B3620" s="1">
        <v>40823</v>
      </c>
      <c r="C3620" t="s">
        <v>24</v>
      </c>
      <c r="D3620" s="7">
        <v>85</v>
      </c>
      <c r="E3620" s="7">
        <v>13</v>
      </c>
      <c r="F3620" s="7">
        <f t="shared" si="56"/>
        <v>6</v>
      </c>
      <c r="G3620" s="7" t="str">
        <f>LOOKUP(H3620,[1]startdates!$A$2:$A$10,[1]startdates!$B$2:$B$10)</f>
        <v>C</v>
      </c>
      <c r="H3620">
        <v>3</v>
      </c>
      <c r="I3620" s="7">
        <v>732.2</v>
      </c>
      <c r="K3620" s="7">
        <v>637.29999999999995</v>
      </c>
      <c r="M3620" s="7">
        <v>342.3</v>
      </c>
      <c r="N3620" s="7">
        <v>259</v>
      </c>
      <c r="O3620" s="7">
        <v>182.3</v>
      </c>
    </row>
    <row r="3621" spans="1:19" x14ac:dyDescent="0.2">
      <c r="A3621">
        <v>3620</v>
      </c>
      <c r="B3621" s="1">
        <v>40823</v>
      </c>
      <c r="C3621" t="s">
        <v>24</v>
      </c>
      <c r="D3621" s="7">
        <v>85</v>
      </c>
      <c r="E3621" s="7">
        <v>13</v>
      </c>
      <c r="F3621" s="7">
        <f t="shared" si="56"/>
        <v>6</v>
      </c>
      <c r="G3621" s="7" t="str">
        <f>LOOKUP(H3621,[1]startdates!$A$2:$A$10,[1]startdates!$B$2:$B$10)</f>
        <v>C</v>
      </c>
      <c r="H3621">
        <v>3</v>
      </c>
      <c r="I3621" s="7">
        <v>662.4</v>
      </c>
      <c r="K3621" s="7">
        <v>540.70000000000005</v>
      </c>
      <c r="M3621" s="7">
        <v>365.7</v>
      </c>
      <c r="N3621" s="7">
        <v>222.5</v>
      </c>
      <c r="O3621" s="7">
        <v>184.1</v>
      </c>
    </row>
    <row r="3622" spans="1:19" x14ac:dyDescent="0.2">
      <c r="A3622">
        <v>3621</v>
      </c>
      <c r="B3622" s="1">
        <v>40823</v>
      </c>
      <c r="C3622" t="s">
        <v>24</v>
      </c>
      <c r="D3622" s="7">
        <v>85</v>
      </c>
      <c r="E3622" s="7">
        <v>13</v>
      </c>
      <c r="F3622" s="7">
        <f t="shared" si="56"/>
        <v>6</v>
      </c>
      <c r="G3622" s="7" t="str">
        <f>LOOKUP(H3622,[1]startdates!$A$2:$A$10,[1]startdates!$B$2:$B$10)</f>
        <v>C</v>
      </c>
      <c r="H3622">
        <v>3</v>
      </c>
      <c r="I3622" s="7">
        <v>596.20000000000005</v>
      </c>
      <c r="K3622" s="7">
        <v>574.6</v>
      </c>
      <c r="N3622" s="7">
        <v>189.5</v>
      </c>
      <c r="O3622" s="7">
        <v>172.4</v>
      </c>
    </row>
    <row r="3623" spans="1:19" x14ac:dyDescent="0.2">
      <c r="A3623">
        <v>3622</v>
      </c>
      <c r="B3623" s="1">
        <v>40823</v>
      </c>
      <c r="C3623" t="s">
        <v>24</v>
      </c>
      <c r="D3623" s="7">
        <v>85</v>
      </c>
      <c r="E3623" s="7">
        <v>13</v>
      </c>
      <c r="F3623" s="7">
        <f t="shared" si="56"/>
        <v>6</v>
      </c>
      <c r="G3623" s="7" t="str">
        <f>LOOKUP(H3623,[1]startdates!$A$2:$A$10,[1]startdates!$B$2:$B$10)</f>
        <v>C</v>
      </c>
      <c r="H3623">
        <v>3</v>
      </c>
      <c r="K3623" s="7">
        <v>636</v>
      </c>
      <c r="N3623" s="7">
        <v>239.6</v>
      </c>
      <c r="O3623" s="7">
        <v>186.3</v>
      </c>
    </row>
    <row r="3624" spans="1:19" x14ac:dyDescent="0.2">
      <c r="A3624">
        <v>3623</v>
      </c>
      <c r="B3624" s="1">
        <v>40823</v>
      </c>
      <c r="C3624" t="s">
        <v>24</v>
      </c>
      <c r="D3624" s="7">
        <v>85</v>
      </c>
      <c r="E3624" s="7">
        <v>13</v>
      </c>
      <c r="F3624" s="7">
        <f t="shared" si="56"/>
        <v>6</v>
      </c>
      <c r="G3624" s="7" t="str">
        <f>LOOKUP(H3624,[1]startdates!$A$2:$A$10,[1]startdates!$B$2:$B$10)</f>
        <v>C</v>
      </c>
      <c r="H3624">
        <v>3</v>
      </c>
      <c r="K3624" s="7">
        <v>533.20000000000005</v>
      </c>
      <c r="N3624" s="7">
        <v>232.5</v>
      </c>
      <c r="O3624" s="7">
        <v>195.7</v>
      </c>
    </row>
    <row r="3625" spans="1:19" x14ac:dyDescent="0.2">
      <c r="A3625">
        <v>3624</v>
      </c>
      <c r="B3625" s="1">
        <v>40823</v>
      </c>
      <c r="C3625" t="s">
        <v>24</v>
      </c>
      <c r="D3625" s="7">
        <v>85</v>
      </c>
      <c r="E3625" s="7">
        <v>13</v>
      </c>
      <c r="F3625" s="7">
        <f t="shared" ref="F3625:F3688" si="57">WEEKDAY(B3625)</f>
        <v>6</v>
      </c>
      <c r="G3625" s="7" t="str">
        <f>LOOKUP(H3625,[1]startdates!$A$2:$A$10,[1]startdates!$B$2:$B$10)</f>
        <v>C</v>
      </c>
      <c r="H3625">
        <v>3</v>
      </c>
      <c r="K3625" s="7">
        <v>645.70000000000005</v>
      </c>
      <c r="N3625" s="7">
        <v>253.6</v>
      </c>
      <c r="O3625" s="7">
        <v>177.1</v>
      </c>
    </row>
    <row r="3626" spans="1:19" x14ac:dyDescent="0.2">
      <c r="A3626">
        <v>3625</v>
      </c>
      <c r="B3626" s="1">
        <v>40823</v>
      </c>
      <c r="C3626" t="s">
        <v>24</v>
      </c>
      <c r="D3626" s="7">
        <v>85</v>
      </c>
      <c r="E3626" s="7">
        <v>13</v>
      </c>
      <c r="F3626" s="7">
        <f t="shared" si="57"/>
        <v>6</v>
      </c>
      <c r="G3626" s="7" t="str">
        <f>LOOKUP(H3626,[1]startdates!$A$2:$A$10,[1]startdates!$B$2:$B$10)</f>
        <v>C</v>
      </c>
      <c r="H3626">
        <v>3</v>
      </c>
      <c r="N3626" s="7">
        <v>278.3</v>
      </c>
    </row>
    <row r="3627" spans="1:19" x14ac:dyDescent="0.2">
      <c r="A3627">
        <v>3626</v>
      </c>
      <c r="B3627" s="1">
        <v>40823</v>
      </c>
      <c r="C3627" t="s">
        <v>28</v>
      </c>
      <c r="D3627" s="7">
        <v>85</v>
      </c>
      <c r="E3627" s="7">
        <v>13</v>
      </c>
      <c r="F3627" s="7">
        <f t="shared" si="57"/>
        <v>6</v>
      </c>
      <c r="G3627" s="7" t="str">
        <f>LOOKUP(H3627,[1]startdates!$A$2:$A$10,[1]startdates!$B$2:$B$10)</f>
        <v>SMr</v>
      </c>
      <c r="H3627">
        <v>4</v>
      </c>
      <c r="I3627" s="7">
        <v>550.29999999999995</v>
      </c>
      <c r="J3627" s="7">
        <v>548.70000000000005</v>
      </c>
      <c r="K3627" s="7">
        <v>536.1</v>
      </c>
      <c r="L3627" s="7">
        <v>408.3</v>
      </c>
      <c r="M3627" s="7">
        <v>388.6</v>
      </c>
      <c r="N3627" s="7">
        <v>250.5</v>
      </c>
      <c r="O3627" s="7">
        <v>179.3</v>
      </c>
      <c r="P3627" s="7">
        <v>420.3</v>
      </c>
      <c r="R3627" s="7">
        <v>243.4</v>
      </c>
      <c r="S3627" s="7">
        <v>266</v>
      </c>
    </row>
    <row r="3628" spans="1:19" x14ac:dyDescent="0.2">
      <c r="A3628">
        <v>3627</v>
      </c>
      <c r="B3628" s="1">
        <v>40823</v>
      </c>
      <c r="C3628" t="s">
        <v>28</v>
      </c>
      <c r="D3628" s="7">
        <v>85</v>
      </c>
      <c r="E3628" s="7">
        <v>13</v>
      </c>
      <c r="F3628" s="7">
        <f t="shared" si="57"/>
        <v>6</v>
      </c>
      <c r="G3628" s="7" t="str">
        <f>LOOKUP(H3628,[1]startdates!$A$2:$A$10,[1]startdates!$B$2:$B$10)</f>
        <v>SMr</v>
      </c>
      <c r="H3628">
        <v>4</v>
      </c>
      <c r="I3628" s="7">
        <v>571.9</v>
      </c>
      <c r="K3628" s="7">
        <v>505.3</v>
      </c>
      <c r="L3628" s="7">
        <v>451.3</v>
      </c>
      <c r="M3628" s="7">
        <v>362.6</v>
      </c>
      <c r="N3628" s="7">
        <v>238.9</v>
      </c>
      <c r="O3628" s="7">
        <v>202.2</v>
      </c>
      <c r="P3628" s="7">
        <v>478.2</v>
      </c>
      <c r="R3628" s="7">
        <v>249.2</v>
      </c>
      <c r="S3628" s="7">
        <v>263.60000000000002</v>
      </c>
    </row>
    <row r="3629" spans="1:19" x14ac:dyDescent="0.2">
      <c r="A3629">
        <v>3628</v>
      </c>
      <c r="B3629" s="1">
        <v>40823</v>
      </c>
      <c r="C3629" t="s">
        <v>28</v>
      </c>
      <c r="D3629" s="7">
        <v>85</v>
      </c>
      <c r="E3629" s="7">
        <v>13</v>
      </c>
      <c r="F3629" s="7">
        <f t="shared" si="57"/>
        <v>6</v>
      </c>
      <c r="G3629" s="7" t="str">
        <f>LOOKUP(H3629,[1]startdates!$A$2:$A$10,[1]startdates!$B$2:$B$10)</f>
        <v>SMr</v>
      </c>
      <c r="H3629">
        <v>4</v>
      </c>
      <c r="I3629" s="7">
        <v>523.6</v>
      </c>
      <c r="K3629" s="7">
        <v>461.3</v>
      </c>
      <c r="L3629" s="7">
        <v>422</v>
      </c>
      <c r="M3629" s="7">
        <v>314.8</v>
      </c>
      <c r="N3629" s="7">
        <v>224.4</v>
      </c>
      <c r="O3629" s="7">
        <v>167.9</v>
      </c>
      <c r="R3629" s="7">
        <v>227.3</v>
      </c>
    </row>
    <row r="3630" spans="1:19" x14ac:dyDescent="0.2">
      <c r="A3630">
        <v>3629</v>
      </c>
      <c r="B3630" s="1">
        <v>40823</v>
      </c>
      <c r="C3630" t="s">
        <v>28</v>
      </c>
      <c r="D3630" s="7">
        <v>85</v>
      </c>
      <c r="E3630" s="7">
        <v>13</v>
      </c>
      <c r="F3630" s="7">
        <f t="shared" si="57"/>
        <v>6</v>
      </c>
      <c r="G3630" s="7" t="str">
        <f>LOOKUP(H3630,[1]startdates!$A$2:$A$10,[1]startdates!$B$2:$B$10)</f>
        <v>SMr</v>
      </c>
      <c r="H3630">
        <v>4</v>
      </c>
      <c r="I3630" s="7">
        <v>584.70000000000005</v>
      </c>
      <c r="K3630" s="7">
        <v>536.1</v>
      </c>
      <c r="L3630" s="7">
        <v>446.5</v>
      </c>
      <c r="M3630" s="7">
        <v>323</v>
      </c>
      <c r="N3630" s="7">
        <v>255.2</v>
      </c>
      <c r="O3630" s="7">
        <v>166.9</v>
      </c>
    </row>
    <row r="3631" spans="1:19" x14ac:dyDescent="0.2">
      <c r="A3631">
        <v>3630</v>
      </c>
      <c r="B3631" s="1">
        <v>40823</v>
      </c>
      <c r="C3631" t="s">
        <v>28</v>
      </c>
      <c r="D3631" s="7">
        <v>85</v>
      </c>
      <c r="E3631" s="7">
        <v>13</v>
      </c>
      <c r="F3631" s="7">
        <f t="shared" si="57"/>
        <v>6</v>
      </c>
      <c r="G3631" s="7" t="str">
        <f>LOOKUP(H3631,[1]startdates!$A$2:$A$10,[1]startdates!$B$2:$B$10)</f>
        <v>SMr</v>
      </c>
      <c r="H3631">
        <v>4</v>
      </c>
      <c r="I3631" s="7">
        <v>629</v>
      </c>
      <c r="K3631" s="7">
        <v>514.20000000000005</v>
      </c>
      <c r="L3631" s="7">
        <v>440.1</v>
      </c>
      <c r="M3631" s="7">
        <v>332.1</v>
      </c>
      <c r="N3631" s="7">
        <v>237.5</v>
      </c>
      <c r="O3631" s="7">
        <v>156.19999999999999</v>
      </c>
    </row>
    <row r="3632" spans="1:19" x14ac:dyDescent="0.2">
      <c r="A3632">
        <v>3631</v>
      </c>
      <c r="B3632" s="1">
        <v>40823</v>
      </c>
      <c r="C3632" t="s">
        <v>28</v>
      </c>
      <c r="D3632" s="7">
        <v>85</v>
      </c>
      <c r="E3632" s="7">
        <v>13</v>
      </c>
      <c r="F3632" s="7">
        <f t="shared" si="57"/>
        <v>6</v>
      </c>
      <c r="G3632" s="7" t="str">
        <f>LOOKUP(H3632,[1]startdates!$A$2:$A$10,[1]startdates!$B$2:$B$10)</f>
        <v>SMr</v>
      </c>
      <c r="H3632">
        <v>4</v>
      </c>
      <c r="I3632" s="7">
        <v>575.1</v>
      </c>
      <c r="K3632" s="7">
        <v>562.4</v>
      </c>
      <c r="M3632" s="7">
        <v>349.3</v>
      </c>
      <c r="N3632" s="7">
        <v>216.6</v>
      </c>
      <c r="O3632" s="7">
        <v>165.5</v>
      </c>
    </row>
    <row r="3633" spans="1:19" x14ac:dyDescent="0.2">
      <c r="A3633">
        <v>3632</v>
      </c>
      <c r="B3633" s="1">
        <v>40823</v>
      </c>
      <c r="C3633" t="s">
        <v>28</v>
      </c>
      <c r="D3633" s="7">
        <v>85</v>
      </c>
      <c r="E3633" s="7">
        <v>13</v>
      </c>
      <c r="F3633" s="7">
        <f t="shared" si="57"/>
        <v>6</v>
      </c>
      <c r="G3633" s="7" t="str">
        <f>LOOKUP(H3633,[1]startdates!$A$2:$A$10,[1]startdates!$B$2:$B$10)</f>
        <v>SMr</v>
      </c>
      <c r="H3633">
        <v>4</v>
      </c>
      <c r="I3633" s="7">
        <v>559.4</v>
      </c>
      <c r="K3633" s="7">
        <v>590.79999999999995</v>
      </c>
      <c r="M3633" s="7">
        <v>330.9</v>
      </c>
      <c r="N3633" s="7">
        <v>198.9</v>
      </c>
      <c r="O3633" s="7">
        <v>163.5</v>
      </c>
    </row>
    <row r="3634" spans="1:19" x14ac:dyDescent="0.2">
      <c r="A3634">
        <v>3633</v>
      </c>
      <c r="B3634" s="1">
        <v>40823</v>
      </c>
      <c r="C3634" t="s">
        <v>28</v>
      </c>
      <c r="D3634" s="7">
        <v>85</v>
      </c>
      <c r="E3634" s="7">
        <v>13</v>
      </c>
      <c r="F3634" s="7">
        <f t="shared" si="57"/>
        <v>6</v>
      </c>
      <c r="G3634" s="7" t="str">
        <f>LOOKUP(H3634,[1]startdates!$A$2:$A$10,[1]startdates!$B$2:$B$10)</f>
        <v>SMr</v>
      </c>
      <c r="H3634">
        <v>4</v>
      </c>
      <c r="I3634" s="7">
        <v>490.5</v>
      </c>
      <c r="K3634" s="7">
        <v>595</v>
      </c>
      <c r="M3634" s="7">
        <v>389.9</v>
      </c>
      <c r="N3634" s="7">
        <v>259</v>
      </c>
      <c r="O3634" s="7">
        <v>175</v>
      </c>
    </row>
    <row r="3635" spans="1:19" x14ac:dyDescent="0.2">
      <c r="A3635">
        <v>3634</v>
      </c>
      <c r="B3635" s="1">
        <v>40823</v>
      </c>
      <c r="C3635" t="s">
        <v>28</v>
      </c>
      <c r="D3635" s="7">
        <v>85</v>
      </c>
      <c r="E3635" s="7">
        <v>13</v>
      </c>
      <c r="F3635" s="7">
        <f t="shared" si="57"/>
        <v>6</v>
      </c>
      <c r="G3635" s="7" t="str">
        <f>LOOKUP(H3635,[1]startdates!$A$2:$A$10,[1]startdates!$B$2:$B$10)</f>
        <v>SMr</v>
      </c>
      <c r="H3635">
        <v>4</v>
      </c>
      <c r="I3635" s="7">
        <v>552.29999999999995</v>
      </c>
      <c r="M3635" s="7">
        <v>304.39999999999998</v>
      </c>
      <c r="N3635" s="7">
        <v>232.9</v>
      </c>
      <c r="O3635" s="7">
        <v>159</v>
      </c>
    </row>
    <row r="3636" spans="1:19" x14ac:dyDescent="0.2">
      <c r="A3636">
        <v>3635</v>
      </c>
      <c r="B3636" s="1">
        <v>40823</v>
      </c>
      <c r="C3636" t="s">
        <v>28</v>
      </c>
      <c r="D3636" s="7">
        <v>85</v>
      </c>
      <c r="E3636" s="7">
        <v>13</v>
      </c>
      <c r="F3636" s="7">
        <f t="shared" si="57"/>
        <v>6</v>
      </c>
      <c r="G3636" s="7" t="str">
        <f>LOOKUP(H3636,[1]startdates!$A$2:$A$10,[1]startdates!$B$2:$B$10)</f>
        <v>SMr</v>
      </c>
      <c r="H3636">
        <v>4</v>
      </c>
      <c r="I3636" s="7">
        <v>601.5</v>
      </c>
      <c r="M3636" s="7">
        <v>376.2</v>
      </c>
      <c r="N3636" s="7">
        <v>248.4</v>
      </c>
      <c r="O3636" s="7">
        <v>142.19999999999999</v>
      </c>
    </row>
    <row r="3637" spans="1:19" x14ac:dyDescent="0.2">
      <c r="A3637">
        <v>3636</v>
      </c>
      <c r="B3637" s="1">
        <v>40823</v>
      </c>
      <c r="C3637" t="s">
        <v>28</v>
      </c>
      <c r="D3637" s="7">
        <v>85</v>
      </c>
      <c r="E3637" s="7">
        <v>13</v>
      </c>
      <c r="F3637" s="7">
        <f t="shared" si="57"/>
        <v>6</v>
      </c>
      <c r="G3637" s="7" t="str">
        <f>LOOKUP(H3637,[1]startdates!$A$2:$A$10,[1]startdates!$B$2:$B$10)</f>
        <v>SMr</v>
      </c>
      <c r="H3637">
        <v>4</v>
      </c>
      <c r="I3637" s="7">
        <v>578.4</v>
      </c>
      <c r="M3637" s="7">
        <v>328.4</v>
      </c>
    </row>
    <row r="3638" spans="1:19" x14ac:dyDescent="0.2">
      <c r="A3638">
        <v>3637</v>
      </c>
      <c r="B3638" s="1">
        <v>40823</v>
      </c>
      <c r="C3638" t="s">
        <v>28</v>
      </c>
      <c r="D3638" s="7">
        <v>85</v>
      </c>
      <c r="E3638" s="7">
        <v>13</v>
      </c>
      <c r="F3638" s="7">
        <f t="shared" si="57"/>
        <v>6</v>
      </c>
      <c r="G3638" s="7" t="str">
        <f>LOOKUP(H3638,[1]startdates!$A$2:$A$10,[1]startdates!$B$2:$B$10)</f>
        <v>SMr</v>
      </c>
      <c r="H3638">
        <v>4</v>
      </c>
      <c r="I3638" s="7">
        <v>618.6</v>
      </c>
    </row>
    <row r="3639" spans="1:19" x14ac:dyDescent="0.2">
      <c r="A3639">
        <v>3638</v>
      </c>
      <c r="B3639" s="1">
        <v>40823</v>
      </c>
      <c r="C3639" t="s">
        <v>28</v>
      </c>
      <c r="D3639" s="7">
        <v>85</v>
      </c>
      <c r="E3639" s="7">
        <v>13</v>
      </c>
      <c r="F3639" s="7">
        <f t="shared" si="57"/>
        <v>6</v>
      </c>
      <c r="G3639" s="7" t="str">
        <f>LOOKUP(H3639,[1]startdates!$A$2:$A$10,[1]startdates!$B$2:$B$10)</f>
        <v>SMr</v>
      </c>
      <c r="H3639">
        <v>4</v>
      </c>
      <c r="I3639" s="7">
        <v>629.4</v>
      </c>
    </row>
    <row r="3640" spans="1:19" x14ac:dyDescent="0.2">
      <c r="A3640">
        <v>3639</v>
      </c>
      <c r="B3640" s="1">
        <v>40823</v>
      </c>
      <c r="C3640" t="s">
        <v>28</v>
      </c>
      <c r="D3640" s="7">
        <v>85</v>
      </c>
      <c r="E3640" s="7">
        <v>13</v>
      </c>
      <c r="F3640" s="7">
        <f t="shared" si="57"/>
        <v>6</v>
      </c>
      <c r="G3640" s="7" t="str">
        <f>LOOKUP(H3640,[1]startdates!$A$2:$A$10,[1]startdates!$B$2:$B$10)</f>
        <v>SMr</v>
      </c>
      <c r="H3640">
        <v>4</v>
      </c>
      <c r="I3640" s="7">
        <v>611.20000000000005</v>
      </c>
    </row>
    <row r="3641" spans="1:19" x14ac:dyDescent="0.2">
      <c r="A3641">
        <v>3640</v>
      </c>
      <c r="B3641" s="1">
        <v>40823</v>
      </c>
      <c r="C3641" t="s">
        <v>28</v>
      </c>
      <c r="D3641" s="7">
        <v>85</v>
      </c>
      <c r="E3641" s="7">
        <v>13</v>
      </c>
      <c r="F3641" s="7">
        <f t="shared" si="57"/>
        <v>6</v>
      </c>
      <c r="G3641" s="7" t="str">
        <f>LOOKUP(H3641,[1]startdates!$A$2:$A$10,[1]startdates!$B$2:$B$10)</f>
        <v>C</v>
      </c>
      <c r="H3641">
        <v>5</v>
      </c>
      <c r="I3641" s="7">
        <v>632.6</v>
      </c>
      <c r="J3641" s="7">
        <v>509.6</v>
      </c>
      <c r="K3641" s="7">
        <v>556.79999999999995</v>
      </c>
      <c r="L3641" s="7">
        <v>415.6</v>
      </c>
      <c r="M3641" s="7">
        <v>373.3</v>
      </c>
      <c r="N3641" s="7">
        <v>198.1</v>
      </c>
      <c r="O3641" s="7">
        <v>175.6</v>
      </c>
      <c r="P3641" s="7">
        <v>430.2</v>
      </c>
      <c r="Q3641" s="7">
        <v>331.7</v>
      </c>
      <c r="R3641" s="7">
        <v>207.4</v>
      </c>
      <c r="S3641" s="7">
        <v>218.1</v>
      </c>
    </row>
    <row r="3642" spans="1:19" x14ac:dyDescent="0.2">
      <c r="A3642">
        <v>3641</v>
      </c>
      <c r="B3642" s="1">
        <v>40823</v>
      </c>
      <c r="C3642" t="s">
        <v>28</v>
      </c>
      <c r="D3642" s="7">
        <v>85</v>
      </c>
      <c r="E3642" s="7">
        <v>13</v>
      </c>
      <c r="F3642" s="7">
        <f t="shared" si="57"/>
        <v>6</v>
      </c>
      <c r="G3642" s="7" t="str">
        <f>LOOKUP(H3642,[1]startdates!$A$2:$A$10,[1]startdates!$B$2:$B$10)</f>
        <v>C</v>
      </c>
      <c r="H3642">
        <v>5</v>
      </c>
      <c r="I3642" s="7">
        <v>580</v>
      </c>
      <c r="J3642" s="7">
        <v>558.29999999999995</v>
      </c>
      <c r="K3642" s="7">
        <v>548.1</v>
      </c>
      <c r="L3642" s="7">
        <v>447.3</v>
      </c>
      <c r="M3642" s="7">
        <v>349.3</v>
      </c>
      <c r="N3642" s="7">
        <v>177.7</v>
      </c>
      <c r="O3642" s="7">
        <v>171.3</v>
      </c>
      <c r="Q3642" s="7">
        <v>333.6</v>
      </c>
      <c r="R3642" s="7">
        <v>267.60000000000002</v>
      </c>
      <c r="S3642" s="7">
        <v>235.5</v>
      </c>
    </row>
    <row r="3643" spans="1:19" x14ac:dyDescent="0.2">
      <c r="A3643">
        <v>3642</v>
      </c>
      <c r="B3643" s="1">
        <v>40823</v>
      </c>
      <c r="C3643" t="s">
        <v>28</v>
      </c>
      <c r="D3643" s="7">
        <v>85</v>
      </c>
      <c r="E3643" s="7">
        <v>13</v>
      </c>
      <c r="F3643" s="7">
        <f t="shared" si="57"/>
        <v>6</v>
      </c>
      <c r="G3643" s="7" t="str">
        <f>LOOKUP(H3643,[1]startdates!$A$2:$A$10,[1]startdates!$B$2:$B$10)</f>
        <v>C</v>
      </c>
      <c r="H3643">
        <v>5</v>
      </c>
      <c r="I3643" s="7">
        <v>612.6</v>
      </c>
      <c r="K3643" s="7">
        <v>589.5</v>
      </c>
      <c r="L3643" s="7">
        <v>437.6</v>
      </c>
      <c r="M3643" s="7">
        <v>324.7</v>
      </c>
      <c r="N3643" s="7">
        <v>272.5</v>
      </c>
      <c r="O3643" s="7">
        <v>148.19999999999999</v>
      </c>
      <c r="Q3643" s="7">
        <v>363.8</v>
      </c>
      <c r="R3643" s="7">
        <v>237.5</v>
      </c>
    </row>
    <row r="3644" spans="1:19" x14ac:dyDescent="0.2">
      <c r="A3644">
        <v>3643</v>
      </c>
      <c r="B3644" s="1">
        <v>40823</v>
      </c>
      <c r="C3644" t="s">
        <v>28</v>
      </c>
      <c r="D3644" s="7">
        <v>85</v>
      </c>
      <c r="E3644" s="7">
        <v>13</v>
      </c>
      <c r="F3644" s="7">
        <f t="shared" si="57"/>
        <v>6</v>
      </c>
      <c r="G3644" s="7" t="str">
        <f>LOOKUP(H3644,[1]startdates!$A$2:$A$10,[1]startdates!$B$2:$B$10)</f>
        <v>C</v>
      </c>
      <c r="H3644">
        <v>5</v>
      </c>
      <c r="I3644" s="7">
        <v>545.20000000000005</v>
      </c>
      <c r="K3644" s="7">
        <v>580.20000000000005</v>
      </c>
      <c r="L3644" s="7">
        <v>490.5</v>
      </c>
      <c r="M3644" s="7">
        <v>368.8</v>
      </c>
      <c r="N3644" s="7">
        <v>286.39999999999998</v>
      </c>
      <c r="O3644" s="7">
        <v>174.6</v>
      </c>
    </row>
    <row r="3645" spans="1:19" x14ac:dyDescent="0.2">
      <c r="A3645">
        <v>3644</v>
      </c>
      <c r="B3645" s="1">
        <v>40823</v>
      </c>
      <c r="C3645" t="s">
        <v>28</v>
      </c>
      <c r="D3645" s="7">
        <v>85</v>
      </c>
      <c r="E3645" s="7">
        <v>13</v>
      </c>
      <c r="F3645" s="7">
        <f t="shared" si="57"/>
        <v>6</v>
      </c>
      <c r="G3645" s="7" t="str">
        <f>LOOKUP(H3645,[1]startdates!$A$2:$A$10,[1]startdates!$B$2:$B$10)</f>
        <v>C</v>
      </c>
      <c r="H3645">
        <v>5</v>
      </c>
      <c r="I3645" s="7">
        <v>678.8</v>
      </c>
      <c r="K3645" s="7">
        <v>563.6</v>
      </c>
      <c r="L3645" s="7">
        <v>469</v>
      </c>
      <c r="M3645" s="7">
        <v>356.2</v>
      </c>
      <c r="N3645" s="7">
        <v>258.39999999999998</v>
      </c>
      <c r="O3645" s="7">
        <v>171.8</v>
      </c>
    </row>
    <row r="3646" spans="1:19" x14ac:dyDescent="0.2">
      <c r="A3646">
        <v>3645</v>
      </c>
      <c r="B3646" s="1">
        <v>40823</v>
      </c>
      <c r="C3646" t="s">
        <v>28</v>
      </c>
      <c r="D3646" s="7">
        <v>85</v>
      </c>
      <c r="E3646" s="7">
        <v>13</v>
      </c>
      <c r="F3646" s="7">
        <f t="shared" si="57"/>
        <v>6</v>
      </c>
      <c r="G3646" s="7" t="str">
        <f>LOOKUP(H3646,[1]startdates!$A$2:$A$10,[1]startdates!$B$2:$B$10)</f>
        <v>C</v>
      </c>
      <c r="H3646">
        <v>5</v>
      </c>
      <c r="I3646" s="7">
        <v>582.29999999999995</v>
      </c>
      <c r="K3646" s="7">
        <v>468.7</v>
      </c>
      <c r="L3646" s="7">
        <v>422</v>
      </c>
      <c r="M3646" s="7">
        <v>300.5</v>
      </c>
      <c r="N3646" s="7">
        <v>182.2</v>
      </c>
      <c r="O3646" s="7">
        <v>166.7</v>
      </c>
    </row>
    <row r="3647" spans="1:19" x14ac:dyDescent="0.2">
      <c r="A3647">
        <v>3646</v>
      </c>
      <c r="B3647" s="1">
        <v>40823</v>
      </c>
      <c r="C3647" t="s">
        <v>28</v>
      </c>
      <c r="D3647" s="7">
        <v>85</v>
      </c>
      <c r="E3647" s="7">
        <v>13</v>
      </c>
      <c r="F3647" s="7">
        <f t="shared" si="57"/>
        <v>6</v>
      </c>
      <c r="G3647" s="7" t="str">
        <f>LOOKUP(H3647,[1]startdates!$A$2:$A$10,[1]startdates!$B$2:$B$10)</f>
        <v>C</v>
      </c>
      <c r="H3647">
        <v>5</v>
      </c>
      <c r="I3647" s="7">
        <v>584.70000000000005</v>
      </c>
      <c r="M3647" s="7">
        <v>394.7</v>
      </c>
      <c r="N3647" s="7">
        <v>200.5</v>
      </c>
      <c r="O3647" s="7">
        <v>176.8</v>
      </c>
    </row>
    <row r="3648" spans="1:19" x14ac:dyDescent="0.2">
      <c r="A3648">
        <v>3647</v>
      </c>
      <c r="B3648" s="1">
        <v>40823</v>
      </c>
      <c r="C3648" t="s">
        <v>28</v>
      </c>
      <c r="D3648" s="7">
        <v>85</v>
      </c>
      <c r="E3648" s="7">
        <v>13</v>
      </c>
      <c r="F3648" s="7">
        <f t="shared" si="57"/>
        <v>6</v>
      </c>
      <c r="G3648" s="7" t="str">
        <f>LOOKUP(H3648,[1]startdates!$A$2:$A$10,[1]startdates!$B$2:$B$10)</f>
        <v>C</v>
      </c>
      <c r="H3648">
        <v>5</v>
      </c>
      <c r="I3648" s="7">
        <v>515.70000000000005</v>
      </c>
      <c r="M3648" s="7">
        <v>335.9</v>
      </c>
      <c r="N3648" s="7">
        <v>208.5</v>
      </c>
      <c r="O3648" s="7">
        <v>186.1</v>
      </c>
    </row>
    <row r="3649" spans="1:19" x14ac:dyDescent="0.2">
      <c r="A3649">
        <v>3648</v>
      </c>
      <c r="B3649" s="1">
        <v>40823</v>
      </c>
      <c r="C3649" t="s">
        <v>28</v>
      </c>
      <c r="D3649" s="7">
        <v>85</v>
      </c>
      <c r="E3649" s="7">
        <v>13</v>
      </c>
      <c r="F3649" s="7">
        <f t="shared" si="57"/>
        <v>6</v>
      </c>
      <c r="G3649" s="7" t="str">
        <f>LOOKUP(H3649,[1]startdates!$A$2:$A$10,[1]startdates!$B$2:$B$10)</f>
        <v>C</v>
      </c>
      <c r="H3649">
        <v>5</v>
      </c>
      <c r="I3649" s="7">
        <v>665.9</v>
      </c>
      <c r="M3649" s="7">
        <v>380.1</v>
      </c>
      <c r="N3649" s="7">
        <v>229.3</v>
      </c>
      <c r="O3649" s="7">
        <v>177.3</v>
      </c>
    </row>
    <row r="3650" spans="1:19" x14ac:dyDescent="0.2">
      <c r="A3650">
        <v>3649</v>
      </c>
      <c r="B3650" s="1">
        <v>40823</v>
      </c>
      <c r="C3650" t="s">
        <v>28</v>
      </c>
      <c r="D3650" s="7">
        <v>85</v>
      </c>
      <c r="E3650" s="7">
        <v>13</v>
      </c>
      <c r="F3650" s="7">
        <f t="shared" si="57"/>
        <v>6</v>
      </c>
      <c r="G3650" s="7" t="str">
        <f>LOOKUP(H3650,[1]startdates!$A$2:$A$10,[1]startdates!$B$2:$B$10)</f>
        <v>C</v>
      </c>
      <c r="H3650">
        <v>5</v>
      </c>
      <c r="I3650" s="7">
        <v>678.3</v>
      </c>
      <c r="N3650" s="7">
        <v>250.4</v>
      </c>
      <c r="O3650" s="7">
        <v>189.3</v>
      </c>
    </row>
    <row r="3651" spans="1:19" x14ac:dyDescent="0.2">
      <c r="A3651">
        <v>3650</v>
      </c>
      <c r="B3651" s="1">
        <v>40823</v>
      </c>
      <c r="C3651" t="s">
        <v>28</v>
      </c>
      <c r="D3651" s="7">
        <v>85</v>
      </c>
      <c r="E3651" s="7">
        <v>13</v>
      </c>
      <c r="F3651" s="7">
        <f t="shared" si="57"/>
        <v>6</v>
      </c>
      <c r="G3651" s="7" t="str">
        <f>LOOKUP(H3651,[1]startdates!$A$2:$A$10,[1]startdates!$B$2:$B$10)</f>
        <v>C</v>
      </c>
      <c r="H3651">
        <v>5</v>
      </c>
      <c r="I3651" s="7">
        <v>591.1</v>
      </c>
    </row>
    <row r="3652" spans="1:19" x14ac:dyDescent="0.2">
      <c r="A3652">
        <v>3651</v>
      </c>
      <c r="B3652" s="1">
        <v>40823</v>
      </c>
      <c r="C3652" t="s">
        <v>28</v>
      </c>
      <c r="D3652" s="7">
        <v>85</v>
      </c>
      <c r="E3652" s="7">
        <v>13</v>
      </c>
      <c r="F3652" s="7">
        <f t="shared" si="57"/>
        <v>6</v>
      </c>
      <c r="G3652" s="7" t="str">
        <f>LOOKUP(H3652,[1]startdates!$A$2:$A$10,[1]startdates!$B$2:$B$10)</f>
        <v>C</v>
      </c>
      <c r="H3652">
        <v>5</v>
      </c>
      <c r="I3652" s="7">
        <v>588.9</v>
      </c>
    </row>
    <row r="3653" spans="1:19" x14ac:dyDescent="0.2">
      <c r="A3653">
        <v>3652</v>
      </c>
      <c r="B3653" s="1">
        <v>40823</v>
      </c>
      <c r="C3653" t="s">
        <v>28</v>
      </c>
      <c r="D3653" s="7">
        <v>85</v>
      </c>
      <c r="E3653" s="7">
        <v>13</v>
      </c>
      <c r="F3653" s="7">
        <f t="shared" si="57"/>
        <v>6</v>
      </c>
      <c r="G3653" s="7" t="str">
        <f>LOOKUP(H3653,[1]startdates!$A$2:$A$10,[1]startdates!$B$2:$B$10)</f>
        <v>FMr</v>
      </c>
      <c r="H3653">
        <v>6</v>
      </c>
      <c r="I3653" s="7">
        <v>590.20000000000005</v>
      </c>
      <c r="J3653" s="7">
        <v>538</v>
      </c>
      <c r="K3653" s="7">
        <v>500.9</v>
      </c>
      <c r="L3653" s="7">
        <v>471.8</v>
      </c>
      <c r="M3653" s="7">
        <v>302.7</v>
      </c>
      <c r="N3653" s="7">
        <v>270</v>
      </c>
      <c r="O3653" s="7">
        <v>202.2</v>
      </c>
      <c r="P3653" s="7">
        <v>437.9</v>
      </c>
      <c r="Q3653" s="7">
        <v>352.4</v>
      </c>
      <c r="R3653" s="7">
        <v>243.1</v>
      </c>
      <c r="S3653" s="7">
        <v>271</v>
      </c>
    </row>
    <row r="3654" spans="1:19" x14ac:dyDescent="0.2">
      <c r="A3654">
        <v>3653</v>
      </c>
      <c r="B3654" s="1">
        <v>40823</v>
      </c>
      <c r="C3654" t="s">
        <v>28</v>
      </c>
      <c r="D3654" s="7">
        <v>85</v>
      </c>
      <c r="E3654" s="7">
        <v>13</v>
      </c>
      <c r="F3654" s="7">
        <f t="shared" si="57"/>
        <v>6</v>
      </c>
      <c r="G3654" s="7" t="str">
        <f>LOOKUP(H3654,[1]startdates!$A$2:$A$10,[1]startdates!$B$2:$B$10)</f>
        <v>FMr</v>
      </c>
      <c r="H3654">
        <v>6</v>
      </c>
      <c r="I3654" s="7">
        <v>608.4</v>
      </c>
      <c r="K3654" s="7">
        <v>444.1</v>
      </c>
      <c r="L3654" s="7">
        <v>476.9</v>
      </c>
      <c r="M3654" s="7">
        <v>392.5</v>
      </c>
      <c r="N3654" s="7">
        <v>198.3</v>
      </c>
      <c r="O3654" s="7">
        <v>184.5</v>
      </c>
      <c r="P3654" s="7">
        <v>486.9</v>
      </c>
      <c r="R3654" s="7">
        <v>213.7</v>
      </c>
      <c r="S3654" s="7">
        <v>301.89999999999998</v>
      </c>
    </row>
    <row r="3655" spans="1:19" x14ac:dyDescent="0.2">
      <c r="A3655">
        <v>3654</v>
      </c>
      <c r="B3655" s="1">
        <v>40823</v>
      </c>
      <c r="C3655" t="s">
        <v>28</v>
      </c>
      <c r="D3655" s="7">
        <v>85</v>
      </c>
      <c r="E3655" s="7">
        <v>13</v>
      </c>
      <c r="F3655" s="7">
        <f t="shared" si="57"/>
        <v>6</v>
      </c>
      <c r="G3655" s="7" t="str">
        <f>LOOKUP(H3655,[1]startdates!$A$2:$A$10,[1]startdates!$B$2:$B$10)</f>
        <v>FMr</v>
      </c>
      <c r="H3655">
        <v>6</v>
      </c>
      <c r="I3655" s="7">
        <v>615.79999999999995</v>
      </c>
      <c r="K3655" s="7">
        <v>557.29999999999995</v>
      </c>
      <c r="L3655" s="7">
        <v>484.5</v>
      </c>
      <c r="M3655" s="7">
        <v>306.39999999999998</v>
      </c>
      <c r="N3655" s="7">
        <v>187.7</v>
      </c>
      <c r="O3655" s="7">
        <v>198.3</v>
      </c>
      <c r="S3655" s="7">
        <v>231.2</v>
      </c>
    </row>
    <row r="3656" spans="1:19" x14ac:dyDescent="0.2">
      <c r="A3656">
        <v>3655</v>
      </c>
      <c r="B3656" s="1">
        <v>40823</v>
      </c>
      <c r="C3656" t="s">
        <v>28</v>
      </c>
      <c r="D3656" s="7">
        <v>85</v>
      </c>
      <c r="E3656" s="7">
        <v>13</v>
      </c>
      <c r="F3656" s="7">
        <f t="shared" si="57"/>
        <v>6</v>
      </c>
      <c r="G3656" s="7" t="str">
        <f>LOOKUP(H3656,[1]startdates!$A$2:$A$10,[1]startdates!$B$2:$B$10)</f>
        <v>FMr</v>
      </c>
      <c r="H3656">
        <v>6</v>
      </c>
      <c r="I3656" s="7">
        <v>509.8</v>
      </c>
      <c r="K3656" s="7">
        <v>530.20000000000005</v>
      </c>
      <c r="L3656" s="7">
        <v>477.5</v>
      </c>
      <c r="M3656" s="7">
        <v>390.3</v>
      </c>
      <c r="N3656" s="7">
        <v>249.2</v>
      </c>
      <c r="O3656" s="7">
        <v>176.7</v>
      </c>
      <c r="S3656" s="7">
        <v>272.5</v>
      </c>
    </row>
    <row r="3657" spans="1:19" x14ac:dyDescent="0.2">
      <c r="A3657">
        <v>3656</v>
      </c>
      <c r="B3657" s="1">
        <v>40823</v>
      </c>
      <c r="C3657" t="s">
        <v>28</v>
      </c>
      <c r="D3657" s="7">
        <v>85</v>
      </c>
      <c r="E3657" s="7">
        <v>13</v>
      </c>
      <c r="F3657" s="7">
        <f t="shared" si="57"/>
        <v>6</v>
      </c>
      <c r="G3657" s="7" t="str">
        <f>LOOKUP(H3657,[1]startdates!$A$2:$A$10,[1]startdates!$B$2:$B$10)</f>
        <v>FMr</v>
      </c>
      <c r="H3657">
        <v>6</v>
      </c>
      <c r="I3657" s="7">
        <v>610.6</v>
      </c>
      <c r="K3657" s="7">
        <v>429.4</v>
      </c>
      <c r="L3657" s="7">
        <v>428.7</v>
      </c>
      <c r="M3657" s="7">
        <v>375.5</v>
      </c>
      <c r="N3657" s="7">
        <v>241.2</v>
      </c>
      <c r="O3657" s="7">
        <v>149.1</v>
      </c>
    </row>
    <row r="3658" spans="1:19" x14ac:dyDescent="0.2">
      <c r="A3658">
        <v>3657</v>
      </c>
      <c r="B3658" s="1">
        <v>40823</v>
      </c>
      <c r="C3658" t="s">
        <v>28</v>
      </c>
      <c r="D3658" s="7">
        <v>85</v>
      </c>
      <c r="E3658" s="7">
        <v>13</v>
      </c>
      <c r="F3658" s="7">
        <f t="shared" si="57"/>
        <v>6</v>
      </c>
      <c r="G3658" s="7" t="str">
        <f>LOOKUP(H3658,[1]startdates!$A$2:$A$10,[1]startdates!$B$2:$B$10)</f>
        <v>FMr</v>
      </c>
      <c r="H3658">
        <v>6</v>
      </c>
      <c r="I3658" s="7">
        <v>612.29999999999995</v>
      </c>
      <c r="K3658" s="7">
        <v>486.3</v>
      </c>
      <c r="L3658" s="7">
        <v>409.2</v>
      </c>
      <c r="M3658" s="7">
        <v>339.8</v>
      </c>
      <c r="N3658" s="7">
        <v>286.8</v>
      </c>
      <c r="O3658" s="7">
        <v>188.6</v>
      </c>
    </row>
    <row r="3659" spans="1:19" x14ac:dyDescent="0.2">
      <c r="A3659">
        <v>3658</v>
      </c>
      <c r="B3659" s="1">
        <v>40823</v>
      </c>
      <c r="C3659" t="s">
        <v>28</v>
      </c>
      <c r="D3659" s="7">
        <v>85</v>
      </c>
      <c r="E3659" s="7">
        <v>13</v>
      </c>
      <c r="F3659" s="7">
        <f t="shared" si="57"/>
        <v>6</v>
      </c>
      <c r="G3659" s="7" t="str">
        <f>LOOKUP(H3659,[1]startdates!$A$2:$A$10,[1]startdates!$B$2:$B$10)</f>
        <v>FMr</v>
      </c>
      <c r="H3659">
        <v>6</v>
      </c>
      <c r="I3659" s="7">
        <v>556.6</v>
      </c>
      <c r="L3659" s="7">
        <v>447.7</v>
      </c>
      <c r="M3659" s="7">
        <v>322.7</v>
      </c>
      <c r="N3659" s="7">
        <v>231.2</v>
      </c>
      <c r="O3659" s="7">
        <v>163</v>
      </c>
    </row>
    <row r="3660" spans="1:19" x14ac:dyDescent="0.2">
      <c r="A3660">
        <v>3659</v>
      </c>
      <c r="B3660" s="1">
        <v>40823</v>
      </c>
      <c r="C3660" t="s">
        <v>28</v>
      </c>
      <c r="D3660" s="7">
        <v>85</v>
      </c>
      <c r="E3660" s="7">
        <v>13</v>
      </c>
      <c r="F3660" s="7">
        <f t="shared" si="57"/>
        <v>6</v>
      </c>
      <c r="G3660" s="7" t="str">
        <f>LOOKUP(H3660,[1]startdates!$A$2:$A$10,[1]startdates!$B$2:$B$10)</f>
        <v>FMr</v>
      </c>
      <c r="H3660">
        <v>6</v>
      </c>
      <c r="I3660" s="7">
        <v>673.9</v>
      </c>
      <c r="L3660" s="7">
        <v>416.7</v>
      </c>
      <c r="M3660" s="7">
        <v>308.39999999999998</v>
      </c>
      <c r="N3660" s="7">
        <v>214</v>
      </c>
      <c r="O3660" s="7">
        <v>192</v>
      </c>
    </row>
    <row r="3661" spans="1:19" x14ac:dyDescent="0.2">
      <c r="A3661">
        <v>3660</v>
      </c>
      <c r="B3661" s="1">
        <v>40823</v>
      </c>
      <c r="C3661" t="s">
        <v>28</v>
      </c>
      <c r="D3661" s="7">
        <v>85</v>
      </c>
      <c r="E3661" s="7">
        <v>13</v>
      </c>
      <c r="F3661" s="7">
        <f t="shared" si="57"/>
        <v>6</v>
      </c>
      <c r="G3661" s="7" t="str">
        <f>LOOKUP(H3661,[1]startdates!$A$2:$A$10,[1]startdates!$B$2:$B$10)</f>
        <v>FMr</v>
      </c>
      <c r="H3661">
        <v>6</v>
      </c>
      <c r="I3661" s="7">
        <v>632.6</v>
      </c>
      <c r="L3661" s="7">
        <v>423.1</v>
      </c>
      <c r="M3661" s="7">
        <v>330</v>
      </c>
      <c r="N3661" s="7">
        <v>257.7</v>
      </c>
      <c r="O3661" s="7">
        <v>171.9</v>
      </c>
    </row>
    <row r="3662" spans="1:19" x14ac:dyDescent="0.2">
      <c r="A3662">
        <v>3661</v>
      </c>
      <c r="B3662" s="1">
        <v>40823</v>
      </c>
      <c r="C3662" t="s">
        <v>28</v>
      </c>
      <c r="D3662" s="7">
        <v>85</v>
      </c>
      <c r="E3662" s="7">
        <v>13</v>
      </c>
      <c r="F3662" s="7">
        <f t="shared" si="57"/>
        <v>6</v>
      </c>
      <c r="G3662" s="7" t="str">
        <f>LOOKUP(H3662,[1]startdates!$A$2:$A$10,[1]startdates!$B$2:$B$10)</f>
        <v>FMr</v>
      </c>
      <c r="H3662">
        <v>6</v>
      </c>
      <c r="I3662" s="7">
        <v>464.4</v>
      </c>
      <c r="M3662" s="7">
        <v>312.60000000000002</v>
      </c>
      <c r="N3662" s="7">
        <v>248.4</v>
      </c>
      <c r="O3662" s="7">
        <v>144.69999999999999</v>
      </c>
    </row>
    <row r="3663" spans="1:19" x14ac:dyDescent="0.2">
      <c r="A3663">
        <v>3662</v>
      </c>
      <c r="B3663" s="1">
        <v>40823</v>
      </c>
      <c r="C3663" t="s">
        <v>28</v>
      </c>
      <c r="D3663" s="7">
        <v>85</v>
      </c>
      <c r="E3663" s="7">
        <v>13</v>
      </c>
      <c r="F3663" s="7">
        <f t="shared" si="57"/>
        <v>6</v>
      </c>
      <c r="G3663" s="7" t="str">
        <f>LOOKUP(H3663,[1]startdates!$A$2:$A$10,[1]startdates!$B$2:$B$10)</f>
        <v>FMr</v>
      </c>
      <c r="H3663">
        <v>6</v>
      </c>
      <c r="I3663" s="7">
        <v>621.1</v>
      </c>
      <c r="N3663" s="7">
        <v>226.8</v>
      </c>
    </row>
    <row r="3664" spans="1:19" x14ac:dyDescent="0.2">
      <c r="A3664">
        <v>3663</v>
      </c>
      <c r="B3664" s="1">
        <v>40823</v>
      </c>
      <c r="C3664" t="s">
        <v>28</v>
      </c>
      <c r="D3664" s="7">
        <v>85</v>
      </c>
      <c r="E3664" s="7">
        <v>13</v>
      </c>
      <c r="F3664" s="7">
        <f t="shared" si="57"/>
        <v>6</v>
      </c>
      <c r="G3664" s="7" t="str">
        <f>LOOKUP(H3664,[1]startdates!$A$2:$A$10,[1]startdates!$B$2:$B$10)</f>
        <v>FMr</v>
      </c>
      <c r="H3664">
        <v>6</v>
      </c>
      <c r="N3664" s="7">
        <v>250</v>
      </c>
    </row>
    <row r="3665" spans="1:17" x14ac:dyDescent="0.2">
      <c r="A3665">
        <v>3664</v>
      </c>
      <c r="B3665" s="1">
        <v>40823</v>
      </c>
      <c r="C3665" t="s">
        <v>28</v>
      </c>
      <c r="D3665" s="7">
        <v>85</v>
      </c>
      <c r="E3665" s="7">
        <v>13</v>
      </c>
      <c r="F3665" s="7">
        <f t="shared" si="57"/>
        <v>6</v>
      </c>
      <c r="G3665" s="7" t="str">
        <f>LOOKUP(H3665,[1]startdates!$A$2:$A$10,[1]startdates!$B$2:$B$10)</f>
        <v>FMr</v>
      </c>
      <c r="H3665">
        <v>7</v>
      </c>
      <c r="I3665" s="7">
        <v>509.6</v>
      </c>
      <c r="J3665" s="7">
        <v>420.7</v>
      </c>
      <c r="K3665" s="7">
        <v>565.79999999999995</v>
      </c>
      <c r="L3665" s="7">
        <v>419.4</v>
      </c>
      <c r="M3665" s="7">
        <v>331.7</v>
      </c>
      <c r="N3665" s="7">
        <v>259.39999999999998</v>
      </c>
      <c r="O3665" s="7">
        <v>155.30000000000001</v>
      </c>
      <c r="P3665" s="7">
        <v>434</v>
      </c>
      <c r="Q3665" s="7">
        <v>320.8</v>
      </c>
    </row>
    <row r="3666" spans="1:17" x14ac:dyDescent="0.2">
      <c r="A3666">
        <v>3665</v>
      </c>
      <c r="B3666" s="1">
        <v>40823</v>
      </c>
      <c r="C3666" t="s">
        <v>28</v>
      </c>
      <c r="D3666" s="7">
        <v>85</v>
      </c>
      <c r="E3666" s="7">
        <v>13</v>
      </c>
      <c r="F3666" s="7">
        <f t="shared" si="57"/>
        <v>6</v>
      </c>
      <c r="G3666" s="7" t="str">
        <f>LOOKUP(H3666,[1]startdates!$A$2:$A$10,[1]startdates!$B$2:$B$10)</f>
        <v>FMr</v>
      </c>
      <c r="H3666">
        <v>7</v>
      </c>
      <c r="I3666" s="7">
        <v>626.6</v>
      </c>
      <c r="K3666" s="7">
        <v>540.70000000000005</v>
      </c>
      <c r="L3666" s="7">
        <v>413</v>
      </c>
      <c r="M3666" s="7">
        <v>370.8</v>
      </c>
      <c r="N3666" s="7">
        <v>241.2</v>
      </c>
      <c r="O3666" s="7">
        <v>170</v>
      </c>
      <c r="P3666" s="7">
        <v>415.8</v>
      </c>
      <c r="Q3666" s="7">
        <v>316.60000000000002</v>
      </c>
    </row>
    <row r="3667" spans="1:17" x14ac:dyDescent="0.2">
      <c r="A3667">
        <v>3666</v>
      </c>
      <c r="B3667" s="1">
        <v>40823</v>
      </c>
      <c r="C3667" t="s">
        <v>28</v>
      </c>
      <c r="D3667" s="7">
        <v>85</v>
      </c>
      <c r="E3667" s="7">
        <v>13</v>
      </c>
      <c r="F3667" s="7">
        <f t="shared" si="57"/>
        <v>6</v>
      </c>
      <c r="G3667" s="7" t="str">
        <f>LOOKUP(H3667,[1]startdates!$A$2:$A$10,[1]startdates!$B$2:$B$10)</f>
        <v>FMr</v>
      </c>
      <c r="H3667">
        <v>7</v>
      </c>
      <c r="I3667" s="7">
        <v>604.1</v>
      </c>
      <c r="K3667" s="7">
        <v>442.1</v>
      </c>
      <c r="L3667" s="7">
        <v>448.3</v>
      </c>
      <c r="M3667" s="7">
        <v>340.5</v>
      </c>
      <c r="N3667" s="7">
        <v>243.1</v>
      </c>
      <c r="O3667" s="7">
        <v>196.5</v>
      </c>
      <c r="Q3667" s="7">
        <v>309.39999999999998</v>
      </c>
    </row>
    <row r="3668" spans="1:17" x14ac:dyDescent="0.2">
      <c r="A3668">
        <v>3667</v>
      </c>
      <c r="B3668" s="1">
        <v>40823</v>
      </c>
      <c r="C3668" t="s">
        <v>28</v>
      </c>
      <c r="D3668" s="7">
        <v>85</v>
      </c>
      <c r="E3668" s="7">
        <v>13</v>
      </c>
      <c r="F3668" s="7">
        <f t="shared" si="57"/>
        <v>6</v>
      </c>
      <c r="G3668" s="7" t="str">
        <f>LOOKUP(H3668,[1]startdates!$A$2:$A$10,[1]startdates!$B$2:$B$10)</f>
        <v>FMr</v>
      </c>
      <c r="H3668">
        <v>7</v>
      </c>
      <c r="I3668" s="7">
        <v>537.5</v>
      </c>
      <c r="K3668" s="7">
        <v>553</v>
      </c>
      <c r="L3668" s="7">
        <v>478.7</v>
      </c>
      <c r="M3668" s="7">
        <v>392.8</v>
      </c>
      <c r="N3668" s="7">
        <v>250.5</v>
      </c>
      <c r="O3668" s="7">
        <v>155.30000000000001</v>
      </c>
    </row>
    <row r="3669" spans="1:17" x14ac:dyDescent="0.2">
      <c r="A3669">
        <v>3668</v>
      </c>
      <c r="B3669" s="1">
        <v>40823</v>
      </c>
      <c r="C3669" t="s">
        <v>28</v>
      </c>
      <c r="D3669" s="7">
        <v>85</v>
      </c>
      <c r="E3669" s="7">
        <v>13</v>
      </c>
      <c r="F3669" s="7">
        <f t="shared" si="57"/>
        <v>6</v>
      </c>
      <c r="G3669" s="7" t="str">
        <f>LOOKUP(H3669,[1]startdates!$A$2:$A$10,[1]startdates!$B$2:$B$10)</f>
        <v>FMr</v>
      </c>
      <c r="H3669">
        <v>7</v>
      </c>
      <c r="I3669" s="7">
        <v>552.29999999999995</v>
      </c>
      <c r="K3669" s="7">
        <v>554</v>
      </c>
      <c r="L3669" s="7">
        <v>497.3</v>
      </c>
      <c r="M3669" s="7">
        <v>375.2</v>
      </c>
      <c r="N3669" s="7">
        <v>293.2</v>
      </c>
      <c r="O3669" s="7">
        <v>151.6</v>
      </c>
    </row>
    <row r="3670" spans="1:17" x14ac:dyDescent="0.2">
      <c r="A3670">
        <v>3669</v>
      </c>
      <c r="B3670" s="1">
        <v>40823</v>
      </c>
      <c r="C3670" t="s">
        <v>28</v>
      </c>
      <c r="D3670" s="7">
        <v>85</v>
      </c>
      <c r="E3670" s="7">
        <v>13</v>
      </c>
      <c r="F3670" s="7">
        <f t="shared" si="57"/>
        <v>6</v>
      </c>
      <c r="G3670" s="7" t="str">
        <f>LOOKUP(H3670,[1]startdates!$A$2:$A$10,[1]startdates!$B$2:$B$10)</f>
        <v>FMr</v>
      </c>
      <c r="H3670">
        <v>7</v>
      </c>
      <c r="I3670" s="7">
        <v>530.4</v>
      </c>
      <c r="K3670" s="7">
        <v>543.1</v>
      </c>
      <c r="L3670" s="7">
        <v>500.9</v>
      </c>
      <c r="M3670" s="7">
        <v>346.2</v>
      </c>
      <c r="N3670" s="7">
        <v>179.2</v>
      </c>
      <c r="O3670" s="7">
        <v>179.8</v>
      </c>
    </row>
    <row r="3671" spans="1:17" x14ac:dyDescent="0.2">
      <c r="A3671">
        <v>3670</v>
      </c>
      <c r="B3671" s="1">
        <v>40823</v>
      </c>
      <c r="C3671" t="s">
        <v>28</v>
      </c>
      <c r="D3671" s="7">
        <v>85</v>
      </c>
      <c r="E3671" s="7">
        <v>13</v>
      </c>
      <c r="F3671" s="7">
        <f t="shared" si="57"/>
        <v>6</v>
      </c>
      <c r="G3671" s="7" t="str">
        <f>LOOKUP(H3671,[1]startdates!$A$2:$A$10,[1]startdates!$B$2:$B$10)</f>
        <v>FMr</v>
      </c>
      <c r="H3671">
        <v>7</v>
      </c>
      <c r="I3671" s="7">
        <v>584.5</v>
      </c>
      <c r="K3671" s="7">
        <v>612.29999999999995</v>
      </c>
      <c r="L3671" s="7">
        <v>435.9</v>
      </c>
      <c r="M3671" s="7">
        <v>376.7</v>
      </c>
      <c r="N3671" s="7">
        <v>253.4</v>
      </c>
      <c r="O3671" s="7">
        <v>186.3</v>
      </c>
    </row>
    <row r="3672" spans="1:17" x14ac:dyDescent="0.2">
      <c r="A3672">
        <v>3671</v>
      </c>
      <c r="B3672" s="1">
        <v>40823</v>
      </c>
      <c r="C3672" t="s">
        <v>28</v>
      </c>
      <c r="D3672" s="7">
        <v>85</v>
      </c>
      <c r="E3672" s="7">
        <v>13</v>
      </c>
      <c r="F3672" s="7">
        <f t="shared" si="57"/>
        <v>6</v>
      </c>
      <c r="G3672" s="7" t="str">
        <f>LOOKUP(H3672,[1]startdates!$A$2:$A$10,[1]startdates!$B$2:$B$10)</f>
        <v>FMr</v>
      </c>
      <c r="H3672">
        <v>7</v>
      </c>
      <c r="I3672" s="7">
        <v>558.20000000000005</v>
      </c>
      <c r="K3672" s="7">
        <v>440.1</v>
      </c>
      <c r="M3672" s="7">
        <v>331.4</v>
      </c>
      <c r="N3672" s="7">
        <v>224</v>
      </c>
      <c r="O3672" s="7">
        <v>174.6</v>
      </c>
    </row>
    <row r="3673" spans="1:17" x14ac:dyDescent="0.2">
      <c r="A3673">
        <v>3672</v>
      </c>
      <c r="B3673" s="1">
        <v>40823</v>
      </c>
      <c r="C3673" t="s">
        <v>28</v>
      </c>
      <c r="D3673" s="7">
        <v>85</v>
      </c>
      <c r="E3673" s="7">
        <v>13</v>
      </c>
      <c r="F3673" s="7">
        <f t="shared" si="57"/>
        <v>6</v>
      </c>
      <c r="G3673" s="7" t="str">
        <f>LOOKUP(H3673,[1]startdates!$A$2:$A$10,[1]startdates!$B$2:$B$10)</f>
        <v>FMr</v>
      </c>
      <c r="H3673">
        <v>7</v>
      </c>
      <c r="I3673" s="7">
        <v>530.4</v>
      </c>
      <c r="M3673" s="7">
        <v>335.8</v>
      </c>
      <c r="N3673" s="7">
        <v>232.9</v>
      </c>
      <c r="O3673" s="7">
        <v>156.19999999999999</v>
      </c>
    </row>
    <row r="3674" spans="1:17" x14ac:dyDescent="0.2">
      <c r="A3674">
        <v>3673</v>
      </c>
      <c r="B3674" s="1">
        <v>40823</v>
      </c>
      <c r="C3674" t="s">
        <v>28</v>
      </c>
      <c r="D3674" s="7">
        <v>85</v>
      </c>
      <c r="E3674" s="7">
        <v>13</v>
      </c>
      <c r="F3674" s="7">
        <f t="shared" si="57"/>
        <v>6</v>
      </c>
      <c r="G3674" s="7" t="str">
        <f>LOOKUP(H3674,[1]startdates!$A$2:$A$10,[1]startdates!$B$2:$B$10)</f>
        <v>FMr</v>
      </c>
      <c r="H3674">
        <v>7</v>
      </c>
      <c r="I3674" s="7">
        <v>560.79999999999995</v>
      </c>
      <c r="M3674" s="7">
        <v>390.3</v>
      </c>
      <c r="N3674" s="7">
        <v>243.5</v>
      </c>
      <c r="O3674" s="7">
        <v>194.5</v>
      </c>
    </row>
    <row r="3675" spans="1:17" x14ac:dyDescent="0.2">
      <c r="A3675">
        <v>3674</v>
      </c>
      <c r="B3675" s="1">
        <v>40823</v>
      </c>
      <c r="C3675" t="s">
        <v>28</v>
      </c>
      <c r="D3675" s="7">
        <v>85</v>
      </c>
      <c r="E3675" s="7">
        <v>13</v>
      </c>
      <c r="F3675" s="7">
        <f t="shared" si="57"/>
        <v>6</v>
      </c>
      <c r="G3675" s="7" t="str">
        <f>LOOKUP(H3675,[1]startdates!$A$2:$A$10,[1]startdates!$B$2:$B$10)</f>
        <v>FMr</v>
      </c>
      <c r="H3675">
        <v>7</v>
      </c>
      <c r="I3675" s="7">
        <v>614</v>
      </c>
    </row>
    <row r="3676" spans="1:17" x14ac:dyDescent="0.2">
      <c r="A3676">
        <v>3675</v>
      </c>
      <c r="B3676" s="1">
        <v>40823</v>
      </c>
      <c r="C3676" t="s">
        <v>28</v>
      </c>
      <c r="D3676" s="7">
        <v>85</v>
      </c>
      <c r="E3676" s="7">
        <v>13</v>
      </c>
      <c r="F3676" s="7">
        <f t="shared" si="57"/>
        <v>6</v>
      </c>
      <c r="G3676" s="7" t="str">
        <f>LOOKUP(H3676,[1]startdates!$A$2:$A$10,[1]startdates!$B$2:$B$10)</f>
        <v>FMr</v>
      </c>
      <c r="H3676">
        <v>7</v>
      </c>
      <c r="I3676" s="7">
        <v>702</v>
      </c>
    </row>
    <row r="3677" spans="1:17" x14ac:dyDescent="0.2">
      <c r="A3677">
        <v>3676</v>
      </c>
      <c r="B3677" s="1">
        <v>40823</v>
      </c>
      <c r="C3677" t="s">
        <v>28</v>
      </c>
      <c r="D3677" s="7">
        <v>85</v>
      </c>
      <c r="E3677" s="7">
        <v>13</v>
      </c>
      <c r="F3677" s="7">
        <f t="shared" si="57"/>
        <v>6</v>
      </c>
      <c r="G3677" s="7" t="str">
        <f>LOOKUP(H3677,[1]startdates!$A$2:$A$10,[1]startdates!$B$2:$B$10)</f>
        <v>FMr</v>
      </c>
      <c r="H3677">
        <v>7</v>
      </c>
      <c r="I3677" s="7">
        <v>564.5</v>
      </c>
    </row>
    <row r="3678" spans="1:17" x14ac:dyDescent="0.2">
      <c r="A3678">
        <v>3677</v>
      </c>
      <c r="B3678" s="1">
        <v>40823</v>
      </c>
      <c r="C3678" t="s">
        <v>28</v>
      </c>
      <c r="D3678" s="7">
        <v>85</v>
      </c>
      <c r="E3678" s="7">
        <v>13</v>
      </c>
      <c r="F3678" s="7">
        <f t="shared" si="57"/>
        <v>6</v>
      </c>
      <c r="G3678" s="7" t="str">
        <f>LOOKUP(H3678,[1]startdates!$A$2:$A$10,[1]startdates!$B$2:$B$10)</f>
        <v>FMr</v>
      </c>
      <c r="H3678">
        <v>7</v>
      </c>
      <c r="I3678" s="7">
        <v>621.1</v>
      </c>
    </row>
    <row r="3679" spans="1:17" x14ac:dyDescent="0.2">
      <c r="A3679">
        <v>3678</v>
      </c>
      <c r="B3679" s="1">
        <v>40823</v>
      </c>
      <c r="C3679" t="s">
        <v>28</v>
      </c>
      <c r="D3679" s="7">
        <v>85</v>
      </c>
      <c r="E3679" s="7">
        <v>13</v>
      </c>
      <c r="F3679" s="7">
        <f t="shared" si="57"/>
        <v>6</v>
      </c>
      <c r="G3679" s="7" t="str">
        <f>LOOKUP(H3679,[1]startdates!$A$2:$A$10,[1]startdates!$B$2:$B$10)</f>
        <v>FMr</v>
      </c>
      <c r="H3679">
        <v>7</v>
      </c>
      <c r="I3679" s="7">
        <v>543.1</v>
      </c>
    </row>
    <row r="3680" spans="1:17" x14ac:dyDescent="0.2">
      <c r="A3680">
        <v>3679</v>
      </c>
      <c r="B3680" s="1">
        <v>40823</v>
      </c>
      <c r="C3680" t="s">
        <v>28</v>
      </c>
      <c r="D3680" s="7">
        <v>85</v>
      </c>
      <c r="E3680" s="7">
        <v>13</v>
      </c>
      <c r="F3680" s="7">
        <f t="shared" si="57"/>
        <v>6</v>
      </c>
      <c r="G3680" s="7" t="str">
        <f>LOOKUP(H3680,[1]startdates!$A$2:$A$10,[1]startdates!$B$2:$B$10)</f>
        <v>FMr</v>
      </c>
      <c r="H3680">
        <v>7</v>
      </c>
      <c r="I3680" s="7">
        <v>523</v>
      </c>
    </row>
    <row r="3681" spans="1:20" x14ac:dyDescent="0.2">
      <c r="A3681">
        <v>3680</v>
      </c>
      <c r="B3681" s="1">
        <v>40823</v>
      </c>
      <c r="C3681" t="s">
        <v>24</v>
      </c>
      <c r="D3681" s="7">
        <v>85</v>
      </c>
      <c r="E3681" s="7">
        <v>13</v>
      </c>
      <c r="F3681" s="7">
        <f t="shared" si="57"/>
        <v>6</v>
      </c>
      <c r="G3681" s="7" t="str">
        <f>LOOKUP(H3681,[1]startdates!$A$2:$A$10,[1]startdates!$B$2:$B$10)</f>
        <v>C</v>
      </c>
      <c r="H3681">
        <v>8</v>
      </c>
      <c r="I3681" s="7">
        <v>695.2</v>
      </c>
      <c r="J3681" s="7">
        <v>600.4</v>
      </c>
      <c r="K3681" s="7">
        <v>724.5</v>
      </c>
      <c r="L3681" s="7">
        <v>518.4</v>
      </c>
      <c r="M3681" s="7">
        <v>392</v>
      </c>
      <c r="N3681" s="7">
        <v>198.6</v>
      </c>
      <c r="O3681" s="7">
        <v>165.7</v>
      </c>
      <c r="P3681" s="7">
        <v>552</v>
      </c>
      <c r="R3681" s="7">
        <v>253.6</v>
      </c>
      <c r="S3681" s="7">
        <v>253.4</v>
      </c>
    </row>
    <row r="3682" spans="1:20" x14ac:dyDescent="0.2">
      <c r="A3682">
        <v>3681</v>
      </c>
      <c r="B3682" s="1">
        <v>40823</v>
      </c>
      <c r="C3682" t="s">
        <v>24</v>
      </c>
      <c r="D3682" s="7">
        <v>85</v>
      </c>
      <c r="E3682" s="7">
        <v>13</v>
      </c>
      <c r="F3682" s="7">
        <f t="shared" si="57"/>
        <v>6</v>
      </c>
      <c r="G3682" s="7" t="str">
        <f>LOOKUP(H3682,[1]startdates!$A$2:$A$10,[1]startdates!$B$2:$B$10)</f>
        <v>C</v>
      </c>
      <c r="H3682">
        <v>8</v>
      </c>
      <c r="I3682" s="7">
        <v>655.4</v>
      </c>
      <c r="J3682" s="7">
        <v>530.5</v>
      </c>
      <c r="K3682" s="7">
        <v>656.2</v>
      </c>
      <c r="L3682" s="7">
        <v>449.5</v>
      </c>
      <c r="M3682" s="7">
        <v>348.5</v>
      </c>
      <c r="N3682" s="7">
        <v>226.5</v>
      </c>
      <c r="O3682" s="7">
        <v>177.7</v>
      </c>
      <c r="P3682" s="7">
        <v>559.29999999999995</v>
      </c>
      <c r="R3682" s="7">
        <v>272.5</v>
      </c>
    </row>
    <row r="3683" spans="1:20" x14ac:dyDescent="0.2">
      <c r="A3683">
        <v>3682</v>
      </c>
      <c r="B3683" s="1">
        <v>40823</v>
      </c>
      <c r="C3683" t="s">
        <v>24</v>
      </c>
      <c r="D3683" s="7">
        <v>85</v>
      </c>
      <c r="E3683" s="7">
        <v>13</v>
      </c>
      <c r="F3683" s="7">
        <f t="shared" si="57"/>
        <v>6</v>
      </c>
      <c r="G3683" s="7" t="str">
        <f>LOOKUP(H3683,[1]startdates!$A$2:$A$10,[1]startdates!$B$2:$B$10)</f>
        <v>C</v>
      </c>
      <c r="H3683">
        <v>8</v>
      </c>
      <c r="I3683" s="7">
        <v>656.4</v>
      </c>
      <c r="J3683" s="7">
        <v>603.1</v>
      </c>
      <c r="K3683" s="7">
        <v>482.7</v>
      </c>
      <c r="L3683" s="7">
        <v>370.8</v>
      </c>
      <c r="M3683" s="7">
        <v>299.2</v>
      </c>
      <c r="N3683" s="7">
        <v>232.9</v>
      </c>
      <c r="O3683" s="7">
        <v>170.8</v>
      </c>
    </row>
    <row r="3684" spans="1:20" x14ac:dyDescent="0.2">
      <c r="A3684">
        <v>3683</v>
      </c>
      <c r="B3684" s="1">
        <v>40823</v>
      </c>
      <c r="C3684" t="s">
        <v>24</v>
      </c>
      <c r="D3684" s="7">
        <v>85</v>
      </c>
      <c r="E3684" s="7">
        <v>13</v>
      </c>
      <c r="F3684" s="7">
        <f t="shared" si="57"/>
        <v>6</v>
      </c>
      <c r="G3684" s="7" t="str">
        <f>LOOKUP(H3684,[1]startdates!$A$2:$A$10,[1]startdates!$B$2:$B$10)</f>
        <v>C</v>
      </c>
      <c r="H3684">
        <v>8</v>
      </c>
      <c r="I3684" s="7">
        <v>767.6</v>
      </c>
      <c r="J3684" s="7">
        <v>578</v>
      </c>
      <c r="K3684" s="7">
        <v>623.79999999999995</v>
      </c>
      <c r="L3684" s="7">
        <v>555.5</v>
      </c>
      <c r="M3684" s="7">
        <v>292</v>
      </c>
      <c r="N3684" s="7">
        <v>254.3</v>
      </c>
      <c r="O3684" s="7">
        <v>169.7</v>
      </c>
    </row>
    <row r="3685" spans="1:20" x14ac:dyDescent="0.2">
      <c r="A3685">
        <v>3684</v>
      </c>
      <c r="B3685" s="1">
        <v>40823</v>
      </c>
      <c r="C3685" t="s">
        <v>24</v>
      </c>
      <c r="D3685" s="7">
        <v>85</v>
      </c>
      <c r="E3685" s="7">
        <v>13</v>
      </c>
      <c r="F3685" s="7">
        <f t="shared" si="57"/>
        <v>6</v>
      </c>
      <c r="G3685" s="7" t="str">
        <f>LOOKUP(H3685,[1]startdates!$A$2:$A$10,[1]startdates!$B$2:$B$10)</f>
        <v>C</v>
      </c>
      <c r="H3685">
        <v>8</v>
      </c>
      <c r="I3685" s="7">
        <v>736.8</v>
      </c>
      <c r="J3685" s="7">
        <v>631.9</v>
      </c>
      <c r="K3685" s="7">
        <v>613.9</v>
      </c>
      <c r="L3685" s="7">
        <v>461.1</v>
      </c>
      <c r="M3685" s="7">
        <v>318.39999999999998</v>
      </c>
      <c r="N3685" s="7">
        <v>248.4</v>
      </c>
      <c r="O3685" s="7">
        <v>182.2</v>
      </c>
    </row>
    <row r="3686" spans="1:20" x14ac:dyDescent="0.2">
      <c r="A3686">
        <v>3685</v>
      </c>
      <c r="B3686" s="1">
        <v>40823</v>
      </c>
      <c r="C3686" t="s">
        <v>24</v>
      </c>
      <c r="D3686" s="7">
        <v>85</v>
      </c>
      <c r="E3686" s="7">
        <v>13</v>
      </c>
      <c r="F3686" s="7">
        <f t="shared" si="57"/>
        <v>6</v>
      </c>
      <c r="G3686" s="7" t="str">
        <f>LOOKUP(H3686,[1]startdates!$A$2:$A$10,[1]startdates!$B$2:$B$10)</f>
        <v>C</v>
      </c>
      <c r="H3686">
        <v>8</v>
      </c>
      <c r="I3686" s="7">
        <v>715.2</v>
      </c>
      <c r="K3686" s="7">
        <v>558.29999999999995</v>
      </c>
      <c r="M3686" s="7">
        <v>328.2</v>
      </c>
      <c r="N3686" s="7">
        <v>237.6</v>
      </c>
      <c r="O3686" s="7">
        <v>201.8</v>
      </c>
    </row>
    <row r="3687" spans="1:20" x14ac:dyDescent="0.2">
      <c r="A3687">
        <v>3686</v>
      </c>
      <c r="B3687" s="1">
        <v>40823</v>
      </c>
      <c r="C3687" t="s">
        <v>24</v>
      </c>
      <c r="D3687" s="7">
        <v>85</v>
      </c>
      <c r="E3687" s="7">
        <v>13</v>
      </c>
      <c r="F3687" s="7">
        <f t="shared" si="57"/>
        <v>6</v>
      </c>
      <c r="G3687" s="7" t="str">
        <f>LOOKUP(H3687,[1]startdates!$A$2:$A$10,[1]startdates!$B$2:$B$10)</f>
        <v>C</v>
      </c>
      <c r="H3687">
        <v>8</v>
      </c>
      <c r="I3687" s="7">
        <v>762</v>
      </c>
      <c r="K3687" s="7">
        <v>680.3</v>
      </c>
      <c r="M3687" s="7">
        <v>355.7</v>
      </c>
      <c r="N3687" s="7">
        <v>224.2</v>
      </c>
      <c r="O3687" s="7">
        <v>168.9</v>
      </c>
    </row>
    <row r="3688" spans="1:20" x14ac:dyDescent="0.2">
      <c r="A3688">
        <v>3687</v>
      </c>
      <c r="B3688" s="1">
        <v>40823</v>
      </c>
      <c r="C3688" t="s">
        <v>24</v>
      </c>
      <c r="D3688" s="7">
        <v>85</v>
      </c>
      <c r="E3688" s="7">
        <v>13</v>
      </c>
      <c r="F3688" s="7">
        <f t="shared" si="57"/>
        <v>6</v>
      </c>
      <c r="G3688" s="7" t="str">
        <f>LOOKUP(H3688,[1]startdates!$A$2:$A$10,[1]startdates!$B$2:$B$10)</f>
        <v>C</v>
      </c>
      <c r="H3688">
        <v>8</v>
      </c>
      <c r="I3688" s="7">
        <v>781.2</v>
      </c>
      <c r="N3688" s="7">
        <v>262.89999999999998</v>
      </c>
      <c r="O3688" s="7">
        <v>189.3</v>
      </c>
    </row>
    <row r="3689" spans="1:20" x14ac:dyDescent="0.2">
      <c r="A3689">
        <v>3688</v>
      </c>
      <c r="B3689" s="1">
        <v>40823</v>
      </c>
      <c r="C3689" t="s">
        <v>24</v>
      </c>
      <c r="D3689" s="7">
        <v>85</v>
      </c>
      <c r="E3689" s="7">
        <v>13</v>
      </c>
      <c r="F3689" s="7">
        <f t="shared" ref="F3689:F3752" si="58">WEEKDAY(B3689)</f>
        <v>6</v>
      </c>
      <c r="G3689" s="7" t="str">
        <f>LOOKUP(H3689,[1]startdates!$A$2:$A$10,[1]startdates!$B$2:$B$10)</f>
        <v>C</v>
      </c>
      <c r="H3689">
        <v>8</v>
      </c>
      <c r="I3689" s="7">
        <v>670.1</v>
      </c>
      <c r="N3689" s="7">
        <v>278.7</v>
      </c>
      <c r="O3689" s="7">
        <v>185.3</v>
      </c>
    </row>
    <row r="3690" spans="1:20" x14ac:dyDescent="0.2">
      <c r="A3690">
        <v>3689</v>
      </c>
      <c r="B3690" s="1">
        <v>40823</v>
      </c>
      <c r="C3690" t="s">
        <v>24</v>
      </c>
      <c r="D3690" s="7">
        <v>85</v>
      </c>
      <c r="E3690" s="7">
        <v>13</v>
      </c>
      <c r="F3690" s="7">
        <f t="shared" si="58"/>
        <v>6</v>
      </c>
      <c r="G3690" s="7" t="str">
        <f>LOOKUP(H3690,[1]startdates!$A$2:$A$10,[1]startdates!$B$2:$B$10)</f>
        <v>C</v>
      </c>
      <c r="H3690">
        <v>8</v>
      </c>
      <c r="N3690" s="7">
        <v>271.2</v>
      </c>
      <c r="O3690" s="7">
        <v>197.9</v>
      </c>
    </row>
    <row r="3691" spans="1:20" x14ac:dyDescent="0.2">
      <c r="A3691">
        <v>3690</v>
      </c>
      <c r="B3691" s="1">
        <v>40823</v>
      </c>
      <c r="C3691" t="s">
        <v>24</v>
      </c>
      <c r="D3691" s="7">
        <v>85</v>
      </c>
      <c r="E3691" s="7">
        <v>13</v>
      </c>
      <c r="F3691" s="7">
        <f t="shared" si="58"/>
        <v>6</v>
      </c>
      <c r="G3691" s="7" t="str">
        <f>LOOKUP(H3691,[1]startdates!$A$2:$A$10,[1]startdates!$B$2:$B$10)</f>
        <v>C</v>
      </c>
      <c r="H3691">
        <v>8</v>
      </c>
      <c r="O3691" s="7">
        <v>183.8</v>
      </c>
    </row>
    <row r="3692" spans="1:20" x14ac:dyDescent="0.2">
      <c r="A3692">
        <v>3691</v>
      </c>
      <c r="B3692" s="1">
        <v>40823</v>
      </c>
      <c r="C3692" t="s">
        <v>24</v>
      </c>
      <c r="D3692" s="7">
        <v>85</v>
      </c>
      <c r="E3692" s="7">
        <v>13</v>
      </c>
      <c r="F3692" s="7">
        <f t="shared" si="58"/>
        <v>6</v>
      </c>
      <c r="G3692" s="7" t="str">
        <f>LOOKUP(H3692,[1]startdates!$A$2:$A$10,[1]startdates!$B$2:$B$10)</f>
        <v>FMr</v>
      </c>
      <c r="H3692">
        <v>9</v>
      </c>
      <c r="I3692" s="7">
        <v>623.20000000000005</v>
      </c>
      <c r="K3692" s="7">
        <v>544.4</v>
      </c>
      <c r="L3692" s="7">
        <v>464.8</v>
      </c>
      <c r="M3692" s="7">
        <v>310.8</v>
      </c>
      <c r="N3692" s="7">
        <v>241.2</v>
      </c>
      <c r="O3692" s="7">
        <v>200.3</v>
      </c>
      <c r="P3692" s="7">
        <v>545.4</v>
      </c>
      <c r="Q3692" s="7">
        <v>391</v>
      </c>
      <c r="R3692" s="7">
        <v>291.60000000000002</v>
      </c>
      <c r="T3692" s="7">
        <v>295.60000000000002</v>
      </c>
    </row>
    <row r="3693" spans="1:20" x14ac:dyDescent="0.2">
      <c r="A3693">
        <v>3692</v>
      </c>
      <c r="B3693" s="1">
        <v>40823</v>
      </c>
      <c r="C3693" t="s">
        <v>24</v>
      </c>
      <c r="D3693" s="7">
        <v>85</v>
      </c>
      <c r="E3693" s="7">
        <v>13</v>
      </c>
      <c r="F3693" s="7">
        <f t="shared" si="58"/>
        <v>6</v>
      </c>
      <c r="G3693" s="7" t="str">
        <f>LOOKUP(H3693,[1]startdates!$A$2:$A$10,[1]startdates!$B$2:$B$10)</f>
        <v>FMr</v>
      </c>
      <c r="H3693">
        <v>9</v>
      </c>
      <c r="I3693" s="7">
        <v>655.8</v>
      </c>
      <c r="K3693" s="7">
        <v>523.79999999999995</v>
      </c>
      <c r="L3693" s="7">
        <v>458.2</v>
      </c>
      <c r="M3693" s="7">
        <v>325</v>
      </c>
      <c r="N3693" s="7">
        <v>182.8</v>
      </c>
      <c r="O3693" s="7">
        <v>170.8</v>
      </c>
      <c r="Q3693" s="7">
        <v>338.1</v>
      </c>
      <c r="R3693" s="7">
        <v>295.60000000000002</v>
      </c>
    </row>
    <row r="3694" spans="1:20" x14ac:dyDescent="0.2">
      <c r="A3694">
        <v>3693</v>
      </c>
      <c r="B3694" s="1">
        <v>40823</v>
      </c>
      <c r="C3694" t="s">
        <v>24</v>
      </c>
      <c r="D3694" s="7">
        <v>85</v>
      </c>
      <c r="E3694" s="7">
        <v>13</v>
      </c>
      <c r="F3694" s="7">
        <f t="shared" si="58"/>
        <v>6</v>
      </c>
      <c r="G3694" s="7" t="str">
        <f>LOOKUP(H3694,[1]startdates!$A$2:$A$10,[1]startdates!$B$2:$B$10)</f>
        <v>FMr</v>
      </c>
      <c r="H3694">
        <v>9</v>
      </c>
      <c r="I3694" s="7">
        <v>570.6</v>
      </c>
      <c r="K3694" s="7">
        <v>485.7</v>
      </c>
      <c r="L3694" s="7">
        <v>450.1</v>
      </c>
      <c r="M3694" s="7">
        <v>365.7</v>
      </c>
      <c r="N3694" s="7">
        <v>221</v>
      </c>
      <c r="O3694" s="7">
        <v>157.30000000000001</v>
      </c>
    </row>
    <row r="3695" spans="1:20" x14ac:dyDescent="0.2">
      <c r="A3695">
        <v>3694</v>
      </c>
      <c r="B3695" s="1">
        <v>40823</v>
      </c>
      <c r="C3695" t="s">
        <v>24</v>
      </c>
      <c r="D3695" s="7">
        <v>85</v>
      </c>
      <c r="E3695" s="7">
        <v>13</v>
      </c>
      <c r="F3695" s="7">
        <f t="shared" si="58"/>
        <v>6</v>
      </c>
      <c r="G3695" s="7" t="str">
        <f>LOOKUP(H3695,[1]startdates!$A$2:$A$10,[1]startdates!$B$2:$B$10)</f>
        <v>FMr</v>
      </c>
      <c r="H3695">
        <v>9</v>
      </c>
      <c r="I3695" s="7">
        <v>628.5</v>
      </c>
      <c r="K3695" s="7">
        <v>643.79999999999995</v>
      </c>
      <c r="L3695" s="7">
        <v>447.4</v>
      </c>
      <c r="M3695" s="7">
        <v>319.60000000000002</v>
      </c>
      <c r="N3695" s="7">
        <v>202.6</v>
      </c>
      <c r="O3695" s="7">
        <v>163</v>
      </c>
    </row>
    <row r="3696" spans="1:20" x14ac:dyDescent="0.2">
      <c r="A3696">
        <v>3695</v>
      </c>
      <c r="B3696" s="1">
        <v>40823</v>
      </c>
      <c r="C3696" t="s">
        <v>24</v>
      </c>
      <c r="D3696" s="7">
        <v>85</v>
      </c>
      <c r="E3696" s="7">
        <v>13</v>
      </c>
      <c r="F3696" s="7">
        <f t="shared" si="58"/>
        <v>6</v>
      </c>
      <c r="G3696" s="7" t="str">
        <f>LOOKUP(H3696,[1]startdates!$A$2:$A$10,[1]startdates!$B$2:$B$10)</f>
        <v>FMr</v>
      </c>
      <c r="H3696">
        <v>9</v>
      </c>
      <c r="I3696" s="7">
        <v>670.7</v>
      </c>
      <c r="K3696" s="7">
        <v>564.4</v>
      </c>
      <c r="L3696" s="7">
        <v>453.1</v>
      </c>
      <c r="M3696" s="7">
        <v>335.1</v>
      </c>
      <c r="N3696" s="7">
        <v>193.2</v>
      </c>
      <c r="O3696" s="7">
        <v>174.9</v>
      </c>
    </row>
    <row r="3697" spans="1:21" x14ac:dyDescent="0.2">
      <c r="A3697">
        <v>3696</v>
      </c>
      <c r="B3697" s="1">
        <v>40823</v>
      </c>
      <c r="C3697" t="s">
        <v>24</v>
      </c>
      <c r="D3697" s="7">
        <v>85</v>
      </c>
      <c r="E3697" s="7">
        <v>13</v>
      </c>
      <c r="F3697" s="7">
        <f t="shared" si="58"/>
        <v>6</v>
      </c>
      <c r="G3697" s="7" t="str">
        <f>LOOKUP(H3697,[1]startdates!$A$2:$A$10,[1]startdates!$B$2:$B$10)</f>
        <v>FMr</v>
      </c>
      <c r="H3697">
        <v>9</v>
      </c>
      <c r="I3697" s="7">
        <v>523.29999999999995</v>
      </c>
      <c r="K3697" s="7">
        <v>562</v>
      </c>
      <c r="L3697" s="7">
        <v>469.3</v>
      </c>
      <c r="M3697" s="7">
        <v>368.5</v>
      </c>
      <c r="N3697" s="7">
        <v>240</v>
      </c>
      <c r="O3697" s="7">
        <v>177.9</v>
      </c>
    </row>
    <row r="3698" spans="1:21" x14ac:dyDescent="0.2">
      <c r="A3698">
        <v>3697</v>
      </c>
      <c r="B3698" s="1">
        <v>40823</v>
      </c>
      <c r="C3698" t="s">
        <v>24</v>
      </c>
      <c r="D3698" s="7">
        <v>85</v>
      </c>
      <c r="E3698" s="7">
        <v>13</v>
      </c>
      <c r="F3698" s="7">
        <f t="shared" si="58"/>
        <v>6</v>
      </c>
      <c r="G3698" s="7" t="str">
        <f>LOOKUP(H3698,[1]startdates!$A$2:$A$10,[1]startdates!$B$2:$B$10)</f>
        <v>FMr</v>
      </c>
      <c r="H3698">
        <v>9</v>
      </c>
      <c r="I3698" s="7">
        <v>626.6</v>
      </c>
      <c r="K3698" s="7">
        <v>547.5</v>
      </c>
      <c r="M3698" s="7">
        <v>394.6</v>
      </c>
      <c r="N3698" s="7">
        <v>250.4</v>
      </c>
    </row>
    <row r="3699" spans="1:21" x14ac:dyDescent="0.2">
      <c r="A3699">
        <v>3698</v>
      </c>
      <c r="B3699" s="1">
        <v>40823</v>
      </c>
      <c r="C3699" t="s">
        <v>24</v>
      </c>
      <c r="D3699" s="7">
        <v>85</v>
      </c>
      <c r="E3699" s="7">
        <v>13</v>
      </c>
      <c r="F3699" s="7">
        <f t="shared" si="58"/>
        <v>6</v>
      </c>
      <c r="G3699" s="7" t="str">
        <f>LOOKUP(H3699,[1]startdates!$A$2:$A$10,[1]startdates!$B$2:$B$10)</f>
        <v>FMr</v>
      </c>
      <c r="H3699">
        <v>9</v>
      </c>
      <c r="I3699" s="7">
        <v>580.4</v>
      </c>
      <c r="K3699" s="7">
        <v>440.5</v>
      </c>
      <c r="M3699" s="7">
        <v>393.9</v>
      </c>
      <c r="N3699" s="7">
        <v>235.7</v>
      </c>
    </row>
    <row r="3700" spans="1:21" x14ac:dyDescent="0.2">
      <c r="A3700">
        <v>3699</v>
      </c>
      <c r="B3700" s="1">
        <v>40823</v>
      </c>
      <c r="C3700" t="s">
        <v>24</v>
      </c>
      <c r="D3700" s="7">
        <v>85</v>
      </c>
      <c r="E3700" s="7">
        <v>13</v>
      </c>
      <c r="F3700" s="7">
        <f t="shared" si="58"/>
        <v>6</v>
      </c>
      <c r="G3700" s="7" t="str">
        <f>LOOKUP(H3700,[1]startdates!$A$2:$A$10,[1]startdates!$B$2:$B$10)</f>
        <v>FMr</v>
      </c>
      <c r="H3700">
        <v>9</v>
      </c>
      <c r="I3700" s="7">
        <v>572.79999999999995</v>
      </c>
      <c r="K3700" s="7">
        <v>661.7</v>
      </c>
      <c r="N3700" s="7">
        <v>265.10000000000002</v>
      </c>
    </row>
    <row r="3701" spans="1:21" x14ac:dyDescent="0.2">
      <c r="A3701">
        <v>3700</v>
      </c>
      <c r="B3701" s="1">
        <v>40823</v>
      </c>
      <c r="C3701" t="s">
        <v>24</v>
      </c>
      <c r="D3701" s="7">
        <v>85</v>
      </c>
      <c r="E3701" s="7">
        <v>13</v>
      </c>
      <c r="F3701" s="7">
        <f t="shared" si="58"/>
        <v>6</v>
      </c>
      <c r="G3701" s="7" t="str">
        <f>LOOKUP(H3701,[1]startdates!$A$2:$A$10,[1]startdates!$B$2:$B$10)</f>
        <v>FMr</v>
      </c>
      <c r="H3701">
        <v>9</v>
      </c>
      <c r="I3701" s="7">
        <v>559.1</v>
      </c>
      <c r="N3701" s="7">
        <v>261.8</v>
      </c>
    </row>
    <row r="3702" spans="1:21" x14ac:dyDescent="0.2">
      <c r="A3702">
        <v>3701</v>
      </c>
      <c r="B3702" s="1">
        <v>40827</v>
      </c>
      <c r="C3702" t="s">
        <v>28</v>
      </c>
      <c r="D3702" s="7">
        <v>89</v>
      </c>
      <c r="E3702" s="7">
        <v>14</v>
      </c>
      <c r="F3702" s="7">
        <f t="shared" si="58"/>
        <v>3</v>
      </c>
      <c r="G3702" s="7" t="str">
        <f>LOOKUP(H3702,[1]startdates!$A$2:$A$10,[1]startdates!$B$2:$B$10)</f>
        <v>SMr</v>
      </c>
      <c r="H3702">
        <v>1</v>
      </c>
      <c r="I3702" s="7">
        <v>574.5</v>
      </c>
      <c r="J3702" s="7">
        <v>552.79999999999995</v>
      </c>
      <c r="K3702" s="7">
        <v>536.5</v>
      </c>
      <c r="L3702" s="7">
        <v>494.8</v>
      </c>
      <c r="M3702" s="7">
        <v>302.2</v>
      </c>
      <c r="N3702" s="7">
        <v>177.9</v>
      </c>
      <c r="O3702" s="7">
        <v>157.4</v>
      </c>
      <c r="P3702" s="7">
        <v>427.1</v>
      </c>
      <c r="Q3702" s="7">
        <v>386.4</v>
      </c>
      <c r="R3702" s="7">
        <v>266.8</v>
      </c>
      <c r="S3702" s="7">
        <v>284.2</v>
      </c>
      <c r="U3702" s="7">
        <v>514.70000000000005</v>
      </c>
    </row>
    <row r="3703" spans="1:21" x14ac:dyDescent="0.2">
      <c r="A3703">
        <v>3702</v>
      </c>
      <c r="B3703" s="1">
        <v>40827</v>
      </c>
      <c r="C3703" t="s">
        <v>28</v>
      </c>
      <c r="D3703" s="7">
        <v>89</v>
      </c>
      <c r="E3703" s="7">
        <v>14</v>
      </c>
      <c r="F3703" s="7">
        <f t="shared" si="58"/>
        <v>3</v>
      </c>
      <c r="G3703" s="7" t="str">
        <f>LOOKUP(H3703,[1]startdates!$A$2:$A$10,[1]startdates!$B$2:$B$10)</f>
        <v>SMr</v>
      </c>
      <c r="H3703">
        <v>1</v>
      </c>
      <c r="I3703" s="7">
        <v>695</v>
      </c>
      <c r="J3703" s="7">
        <v>542</v>
      </c>
      <c r="K3703" s="7">
        <v>612.6</v>
      </c>
      <c r="L3703" s="7">
        <v>432.9</v>
      </c>
      <c r="M3703" s="7">
        <v>320.8</v>
      </c>
      <c r="N3703" s="7">
        <v>234.9</v>
      </c>
      <c r="O3703" s="7">
        <v>176.9</v>
      </c>
      <c r="P3703" s="7">
        <v>468.3</v>
      </c>
      <c r="Q3703" s="7">
        <v>379.1</v>
      </c>
      <c r="S3703" s="7">
        <v>283.39999999999998</v>
      </c>
      <c r="U3703" s="7">
        <v>630.29999999999995</v>
      </c>
    </row>
    <row r="3704" spans="1:21" x14ac:dyDescent="0.2">
      <c r="A3704">
        <v>3703</v>
      </c>
      <c r="B3704" s="1">
        <v>40827</v>
      </c>
      <c r="C3704" t="s">
        <v>28</v>
      </c>
      <c r="D3704" s="7">
        <v>89</v>
      </c>
      <c r="E3704" s="7">
        <v>14</v>
      </c>
      <c r="F3704" s="7">
        <f t="shared" si="58"/>
        <v>3</v>
      </c>
      <c r="G3704" s="7" t="str">
        <f>LOOKUP(H3704,[1]startdates!$A$2:$A$10,[1]startdates!$B$2:$B$10)</f>
        <v>SMr</v>
      </c>
      <c r="H3704">
        <v>1</v>
      </c>
      <c r="I3704" s="7">
        <v>558.20000000000005</v>
      </c>
      <c r="J3704" s="7">
        <v>536.5</v>
      </c>
      <c r="K3704" s="7">
        <v>511.5</v>
      </c>
      <c r="L3704" s="7">
        <v>426.1</v>
      </c>
      <c r="M3704" s="7">
        <v>376.2</v>
      </c>
      <c r="N3704" s="7">
        <v>236.7</v>
      </c>
      <c r="O3704" s="7">
        <v>161.5</v>
      </c>
      <c r="P3704" s="7">
        <v>480</v>
      </c>
      <c r="Q3704" s="7">
        <v>353.5</v>
      </c>
      <c r="U3704" s="7">
        <v>466.3</v>
      </c>
    </row>
    <row r="3705" spans="1:21" x14ac:dyDescent="0.2">
      <c r="A3705">
        <v>3704</v>
      </c>
      <c r="B3705" s="1">
        <v>40827</v>
      </c>
      <c r="C3705" t="s">
        <v>28</v>
      </c>
      <c r="D3705" s="7">
        <v>89</v>
      </c>
      <c r="E3705" s="7">
        <v>14</v>
      </c>
      <c r="F3705" s="7">
        <f t="shared" si="58"/>
        <v>3</v>
      </c>
      <c r="G3705" s="7" t="str">
        <f>LOOKUP(H3705,[1]startdates!$A$2:$A$10,[1]startdates!$B$2:$B$10)</f>
        <v>SMr</v>
      </c>
      <c r="H3705">
        <v>1</v>
      </c>
      <c r="I3705" s="7">
        <v>539.29999999999995</v>
      </c>
      <c r="J3705" s="7">
        <v>507.2</v>
      </c>
      <c r="L3705" s="7">
        <v>422.5</v>
      </c>
      <c r="M3705" s="7">
        <v>384.2</v>
      </c>
      <c r="N3705" s="7">
        <v>260.2</v>
      </c>
      <c r="O3705" s="7">
        <v>157.4</v>
      </c>
      <c r="P3705" s="7">
        <v>484</v>
      </c>
    </row>
    <row r="3706" spans="1:21" x14ac:dyDescent="0.2">
      <c r="A3706">
        <v>3705</v>
      </c>
      <c r="B3706" s="1">
        <v>40827</v>
      </c>
      <c r="C3706" t="s">
        <v>28</v>
      </c>
      <c r="D3706" s="7">
        <v>89</v>
      </c>
      <c r="E3706" s="7">
        <v>14</v>
      </c>
      <c r="F3706" s="7">
        <f t="shared" si="58"/>
        <v>3</v>
      </c>
      <c r="G3706" s="7" t="str">
        <f>LOOKUP(H3706,[1]startdates!$A$2:$A$10,[1]startdates!$B$2:$B$10)</f>
        <v>SMr</v>
      </c>
      <c r="H3706">
        <v>1</v>
      </c>
      <c r="I3706" s="7">
        <v>619.70000000000005</v>
      </c>
      <c r="J3706" s="7">
        <v>521.79999999999995</v>
      </c>
      <c r="L3706" s="7">
        <v>478.6</v>
      </c>
      <c r="M3706" s="7">
        <v>346.6</v>
      </c>
      <c r="N3706" s="7">
        <v>206.3</v>
      </c>
      <c r="O3706" s="7">
        <v>191.4</v>
      </c>
    </row>
    <row r="3707" spans="1:21" x14ac:dyDescent="0.2">
      <c r="A3707">
        <v>3706</v>
      </c>
      <c r="B3707" s="1">
        <v>40827</v>
      </c>
      <c r="C3707" t="s">
        <v>28</v>
      </c>
      <c r="D3707" s="7">
        <v>89</v>
      </c>
      <c r="E3707" s="7">
        <v>14</v>
      </c>
      <c r="F3707" s="7">
        <f t="shared" si="58"/>
        <v>3</v>
      </c>
      <c r="G3707" s="7" t="str">
        <f>LOOKUP(H3707,[1]startdates!$A$2:$A$10,[1]startdates!$B$2:$B$10)</f>
        <v>SMr</v>
      </c>
      <c r="H3707">
        <v>1</v>
      </c>
      <c r="I3707" s="7">
        <v>549.79999999999995</v>
      </c>
      <c r="L3707" s="7">
        <v>424.9</v>
      </c>
      <c r="M3707" s="7">
        <v>343.8</v>
      </c>
      <c r="N3707" s="7">
        <v>234.8</v>
      </c>
      <c r="O3707" s="7">
        <v>177.9</v>
      </c>
    </row>
    <row r="3708" spans="1:21" x14ac:dyDescent="0.2">
      <c r="A3708">
        <v>3707</v>
      </c>
      <c r="B3708" s="1">
        <v>40827</v>
      </c>
      <c r="C3708" t="s">
        <v>28</v>
      </c>
      <c r="D3708" s="7">
        <v>89</v>
      </c>
      <c r="E3708" s="7">
        <v>14</v>
      </c>
      <c r="F3708" s="7">
        <f t="shared" si="58"/>
        <v>3</v>
      </c>
      <c r="G3708" s="7" t="str">
        <f>LOOKUP(H3708,[1]startdates!$A$2:$A$10,[1]startdates!$B$2:$B$10)</f>
        <v>SMr</v>
      </c>
      <c r="H3708">
        <v>1</v>
      </c>
      <c r="I3708" s="7">
        <v>604.9</v>
      </c>
      <c r="N3708" s="7">
        <v>256.10000000000002</v>
      </c>
      <c r="O3708" s="7">
        <v>175</v>
      </c>
    </row>
    <row r="3709" spans="1:21" x14ac:dyDescent="0.2">
      <c r="A3709">
        <v>3708</v>
      </c>
      <c r="B3709" s="1">
        <v>40827</v>
      </c>
      <c r="C3709" t="s">
        <v>28</v>
      </c>
      <c r="D3709" s="7">
        <v>89</v>
      </c>
      <c r="E3709" s="7">
        <v>14</v>
      </c>
      <c r="F3709" s="7">
        <f t="shared" si="58"/>
        <v>3</v>
      </c>
      <c r="G3709" s="7" t="str">
        <f>LOOKUP(H3709,[1]startdates!$A$2:$A$10,[1]startdates!$B$2:$B$10)</f>
        <v>SMr</v>
      </c>
      <c r="H3709">
        <v>1</v>
      </c>
      <c r="I3709" s="7">
        <v>579.6</v>
      </c>
      <c r="N3709" s="7">
        <v>220.9</v>
      </c>
      <c r="O3709" s="7">
        <v>156.5</v>
      </c>
    </row>
    <row r="3710" spans="1:21" x14ac:dyDescent="0.2">
      <c r="A3710">
        <v>3709</v>
      </c>
      <c r="B3710" s="1">
        <v>40827</v>
      </c>
      <c r="C3710" t="s">
        <v>28</v>
      </c>
      <c r="D3710" s="7">
        <v>89</v>
      </c>
      <c r="E3710" s="7">
        <v>14</v>
      </c>
      <c r="F3710" s="7">
        <f t="shared" si="58"/>
        <v>3</v>
      </c>
      <c r="G3710" s="7" t="str">
        <f>LOOKUP(H3710,[1]startdates!$A$2:$A$10,[1]startdates!$B$2:$B$10)</f>
        <v>SMr</v>
      </c>
      <c r="H3710">
        <v>1</v>
      </c>
      <c r="I3710" s="7">
        <v>658.8</v>
      </c>
      <c r="N3710" s="7">
        <v>210.6</v>
      </c>
      <c r="O3710" s="7">
        <v>187.7</v>
      </c>
    </row>
    <row r="3711" spans="1:21" x14ac:dyDescent="0.2">
      <c r="A3711">
        <v>3710</v>
      </c>
      <c r="B3711" s="1">
        <v>40827</v>
      </c>
      <c r="C3711" t="s">
        <v>28</v>
      </c>
      <c r="D3711" s="7">
        <v>89</v>
      </c>
      <c r="E3711" s="7">
        <v>14</v>
      </c>
      <c r="F3711" s="7">
        <f t="shared" si="58"/>
        <v>3</v>
      </c>
      <c r="G3711" s="7" t="str">
        <f>LOOKUP(H3711,[1]startdates!$A$2:$A$10,[1]startdates!$B$2:$B$10)</f>
        <v>SMr</v>
      </c>
      <c r="H3711">
        <v>1</v>
      </c>
      <c r="I3711" s="7">
        <v>692.5</v>
      </c>
      <c r="N3711" s="7">
        <v>273.2</v>
      </c>
      <c r="O3711" s="7">
        <v>172.4</v>
      </c>
    </row>
    <row r="3712" spans="1:21" x14ac:dyDescent="0.2">
      <c r="A3712">
        <v>3711</v>
      </c>
      <c r="B3712" s="1">
        <v>40827</v>
      </c>
      <c r="C3712" t="s">
        <v>28</v>
      </c>
      <c r="D3712" s="7">
        <v>89</v>
      </c>
      <c r="E3712" s="7">
        <v>14</v>
      </c>
      <c r="F3712" s="7">
        <f t="shared" si="58"/>
        <v>3</v>
      </c>
      <c r="G3712" s="7" t="str">
        <f>LOOKUP(H3712,[1]startdates!$A$2:$A$10,[1]startdates!$B$2:$B$10)</f>
        <v>SMr</v>
      </c>
      <c r="H3712">
        <v>1</v>
      </c>
      <c r="I3712" s="7">
        <v>652.20000000000005</v>
      </c>
      <c r="N3712" s="7">
        <v>289.5</v>
      </c>
    </row>
    <row r="3713" spans="1:21" x14ac:dyDescent="0.2">
      <c r="A3713">
        <v>3712</v>
      </c>
      <c r="B3713" s="1">
        <v>40827</v>
      </c>
      <c r="C3713" t="s">
        <v>28</v>
      </c>
      <c r="D3713" s="7">
        <v>89</v>
      </c>
      <c r="E3713" s="7">
        <v>14</v>
      </c>
      <c r="F3713" s="7">
        <f t="shared" si="58"/>
        <v>3</v>
      </c>
      <c r="G3713" s="7" t="str">
        <f>LOOKUP(H3713,[1]startdates!$A$2:$A$10,[1]startdates!$B$2:$B$10)</f>
        <v>SMr</v>
      </c>
      <c r="H3713">
        <v>1</v>
      </c>
      <c r="I3713" s="7">
        <v>594.79999999999995</v>
      </c>
    </row>
    <row r="3714" spans="1:21" x14ac:dyDescent="0.2">
      <c r="A3714">
        <v>3713</v>
      </c>
      <c r="B3714" s="1">
        <v>40827</v>
      </c>
      <c r="C3714" t="s">
        <v>28</v>
      </c>
      <c r="D3714" s="7">
        <v>89</v>
      </c>
      <c r="E3714" s="7">
        <v>14</v>
      </c>
      <c r="F3714" s="7">
        <f t="shared" si="58"/>
        <v>3</v>
      </c>
      <c r="G3714" s="7" t="str">
        <f>LOOKUP(H3714,[1]startdates!$A$2:$A$10,[1]startdates!$B$2:$B$10)</f>
        <v>SMr</v>
      </c>
      <c r="H3714">
        <v>1</v>
      </c>
      <c r="I3714" s="7">
        <v>648.4</v>
      </c>
    </row>
    <row r="3715" spans="1:21" x14ac:dyDescent="0.2">
      <c r="A3715">
        <v>3714</v>
      </c>
      <c r="B3715" s="1">
        <v>40827</v>
      </c>
      <c r="C3715" t="s">
        <v>28</v>
      </c>
      <c r="D3715" s="7">
        <v>89</v>
      </c>
      <c r="E3715" s="7">
        <v>14</v>
      </c>
      <c r="F3715" s="7">
        <f t="shared" si="58"/>
        <v>3</v>
      </c>
      <c r="G3715" s="7" t="str">
        <f>LOOKUP(H3715,[1]startdates!$A$2:$A$10,[1]startdates!$B$2:$B$10)</f>
        <v>SMr</v>
      </c>
      <c r="H3715">
        <v>1</v>
      </c>
      <c r="I3715" s="7">
        <v>607.20000000000005</v>
      </c>
    </row>
    <row r="3716" spans="1:21" x14ac:dyDescent="0.2">
      <c r="A3716">
        <v>3715</v>
      </c>
      <c r="B3716" s="1">
        <v>40827</v>
      </c>
      <c r="C3716" t="s">
        <v>28</v>
      </c>
      <c r="D3716" s="7">
        <v>89</v>
      </c>
      <c r="E3716" s="7">
        <v>14</v>
      </c>
      <c r="F3716" s="7">
        <f t="shared" si="58"/>
        <v>3</v>
      </c>
      <c r="G3716" s="7" t="str">
        <f>LOOKUP(H3716,[1]startdates!$A$2:$A$10,[1]startdates!$B$2:$B$10)</f>
        <v>SMr</v>
      </c>
      <c r="H3716">
        <v>1</v>
      </c>
      <c r="I3716" s="7">
        <v>586.9</v>
      </c>
    </row>
    <row r="3717" spans="1:21" x14ac:dyDescent="0.2">
      <c r="A3717">
        <v>3716</v>
      </c>
      <c r="B3717" s="1">
        <v>40827</v>
      </c>
      <c r="C3717" t="s">
        <v>28</v>
      </c>
      <c r="D3717" s="7">
        <v>89</v>
      </c>
      <c r="E3717" s="7">
        <v>14</v>
      </c>
      <c r="F3717" s="7">
        <f t="shared" si="58"/>
        <v>3</v>
      </c>
      <c r="G3717" s="7" t="str">
        <f>LOOKUP(H3717,[1]startdates!$A$2:$A$10,[1]startdates!$B$2:$B$10)</f>
        <v>SMr</v>
      </c>
      <c r="H3717">
        <v>2</v>
      </c>
      <c r="I3717" s="7">
        <v>553.79999999999995</v>
      </c>
      <c r="J3717" s="7">
        <v>580.20000000000005</v>
      </c>
      <c r="K3717" s="7">
        <v>451.3</v>
      </c>
      <c r="L3717" s="7">
        <v>456.8</v>
      </c>
      <c r="M3717" s="7">
        <v>302</v>
      </c>
      <c r="N3717" s="7">
        <v>237.5</v>
      </c>
      <c r="O3717" s="7">
        <v>172.5</v>
      </c>
      <c r="P3717" s="7">
        <v>438.1</v>
      </c>
      <c r="Q3717" s="7">
        <v>334.9</v>
      </c>
      <c r="R3717" s="7">
        <v>277.60000000000002</v>
      </c>
      <c r="S3717" s="7">
        <v>265.2</v>
      </c>
      <c r="U3717" s="7">
        <v>489.9</v>
      </c>
    </row>
    <row r="3718" spans="1:21" x14ac:dyDescent="0.2">
      <c r="A3718">
        <v>3717</v>
      </c>
      <c r="B3718" s="1">
        <v>40827</v>
      </c>
      <c r="C3718" t="s">
        <v>28</v>
      </c>
      <c r="D3718" s="7">
        <v>89</v>
      </c>
      <c r="E3718" s="7">
        <v>14</v>
      </c>
      <c r="F3718" s="7">
        <f t="shared" si="58"/>
        <v>3</v>
      </c>
      <c r="G3718" s="7" t="str">
        <f>LOOKUP(H3718,[1]startdates!$A$2:$A$10,[1]startdates!$B$2:$B$10)</f>
        <v>SMr</v>
      </c>
      <c r="H3718">
        <v>2</v>
      </c>
      <c r="I3718" s="7">
        <v>528.5</v>
      </c>
      <c r="J3718" s="7">
        <v>579.1</v>
      </c>
      <c r="K3718" s="7">
        <v>515.9</v>
      </c>
      <c r="L3718" s="7">
        <v>405</v>
      </c>
      <c r="M3718" s="7">
        <v>315.10000000000002</v>
      </c>
      <c r="N3718" s="7">
        <v>192.7</v>
      </c>
      <c r="O3718" s="7">
        <v>165.4</v>
      </c>
      <c r="P3718" s="7">
        <v>472.2</v>
      </c>
      <c r="Q3718" s="7">
        <v>353.6</v>
      </c>
      <c r="R3718" s="7">
        <v>264</v>
      </c>
      <c r="S3718" s="7">
        <v>265.10000000000002</v>
      </c>
      <c r="U3718" s="7">
        <v>499.1</v>
      </c>
    </row>
    <row r="3719" spans="1:21" x14ac:dyDescent="0.2">
      <c r="A3719">
        <v>3718</v>
      </c>
      <c r="B3719" s="1">
        <v>40827</v>
      </c>
      <c r="C3719" t="s">
        <v>28</v>
      </c>
      <c r="D3719" s="7">
        <v>89</v>
      </c>
      <c r="E3719" s="7">
        <v>14</v>
      </c>
      <c r="F3719" s="7">
        <f t="shared" si="58"/>
        <v>3</v>
      </c>
      <c r="G3719" s="7" t="str">
        <f>LOOKUP(H3719,[1]startdates!$A$2:$A$10,[1]startdates!$B$2:$B$10)</f>
        <v>SMr</v>
      </c>
      <c r="H3719">
        <v>2</v>
      </c>
      <c r="I3719" s="7">
        <v>650</v>
      </c>
      <c r="K3719" s="7">
        <v>508.1</v>
      </c>
      <c r="L3719" s="7">
        <v>401</v>
      </c>
      <c r="M3719" s="7">
        <v>324</v>
      </c>
      <c r="N3719" s="7">
        <v>232.5</v>
      </c>
      <c r="O3719" s="7">
        <v>173.1</v>
      </c>
      <c r="Q3719" s="7">
        <v>350.1</v>
      </c>
      <c r="R3719" s="7">
        <v>272.8</v>
      </c>
      <c r="S3719" s="7">
        <v>282.89999999999998</v>
      </c>
      <c r="U3719" s="7">
        <v>508.6</v>
      </c>
    </row>
    <row r="3720" spans="1:21" x14ac:dyDescent="0.2">
      <c r="A3720">
        <v>3719</v>
      </c>
      <c r="B3720" s="1">
        <v>40827</v>
      </c>
      <c r="C3720" t="s">
        <v>28</v>
      </c>
      <c r="D3720" s="7">
        <v>89</v>
      </c>
      <c r="E3720" s="7">
        <v>14</v>
      </c>
      <c r="F3720" s="7">
        <f t="shared" si="58"/>
        <v>3</v>
      </c>
      <c r="G3720" s="7" t="str">
        <f>LOOKUP(H3720,[1]startdates!$A$2:$A$10,[1]startdates!$B$2:$B$10)</f>
        <v>SMr</v>
      </c>
      <c r="H3720">
        <v>2</v>
      </c>
      <c r="I3720" s="7">
        <v>619.4</v>
      </c>
      <c r="K3720" s="7">
        <v>604.9</v>
      </c>
      <c r="M3720" s="7">
        <v>385.3</v>
      </c>
      <c r="N3720" s="7">
        <v>173.7</v>
      </c>
      <c r="O3720" s="7">
        <v>146.6</v>
      </c>
      <c r="R3720" s="7">
        <v>270.8</v>
      </c>
      <c r="S3720" s="7">
        <v>265.5</v>
      </c>
      <c r="U3720" s="7">
        <v>553</v>
      </c>
    </row>
    <row r="3721" spans="1:21" x14ac:dyDescent="0.2">
      <c r="A3721">
        <v>3720</v>
      </c>
      <c r="B3721" s="1">
        <v>40827</v>
      </c>
      <c r="C3721" t="s">
        <v>28</v>
      </c>
      <c r="D3721" s="7">
        <v>89</v>
      </c>
      <c r="E3721" s="7">
        <v>14</v>
      </c>
      <c r="F3721" s="7">
        <f t="shared" si="58"/>
        <v>3</v>
      </c>
      <c r="G3721" s="7" t="str">
        <f>LOOKUP(H3721,[1]startdates!$A$2:$A$10,[1]startdates!$B$2:$B$10)</f>
        <v>SMr</v>
      </c>
      <c r="H3721">
        <v>2</v>
      </c>
      <c r="I3721" s="7">
        <v>521.6</v>
      </c>
      <c r="K3721" s="7">
        <v>474.2</v>
      </c>
      <c r="M3721" s="7">
        <v>327.10000000000002</v>
      </c>
      <c r="N3721" s="7">
        <v>266.60000000000002</v>
      </c>
      <c r="O3721" s="7">
        <v>167.9</v>
      </c>
      <c r="R3721" s="7">
        <v>241.2</v>
      </c>
      <c r="S3721" s="7">
        <v>286.39999999999998</v>
      </c>
      <c r="U3721" s="7">
        <v>482.5</v>
      </c>
    </row>
    <row r="3722" spans="1:21" x14ac:dyDescent="0.2">
      <c r="A3722">
        <v>3721</v>
      </c>
      <c r="B3722" s="1">
        <v>40827</v>
      </c>
      <c r="C3722" t="s">
        <v>28</v>
      </c>
      <c r="D3722" s="7">
        <v>89</v>
      </c>
      <c r="E3722" s="7">
        <v>14</v>
      </c>
      <c r="F3722" s="7">
        <f t="shared" si="58"/>
        <v>3</v>
      </c>
      <c r="G3722" s="7" t="str">
        <f>LOOKUP(H3722,[1]startdates!$A$2:$A$10,[1]startdates!$B$2:$B$10)</f>
        <v>SMr</v>
      </c>
      <c r="H3722">
        <v>2</v>
      </c>
      <c r="I3722" s="7">
        <v>511.5</v>
      </c>
      <c r="M3722" s="7">
        <v>303.60000000000002</v>
      </c>
      <c r="N3722" s="7">
        <v>260.3</v>
      </c>
      <c r="O3722" s="7">
        <v>148.9</v>
      </c>
    </row>
    <row r="3723" spans="1:21" x14ac:dyDescent="0.2">
      <c r="A3723">
        <v>3722</v>
      </c>
      <c r="B3723" s="1">
        <v>40827</v>
      </c>
      <c r="C3723" t="s">
        <v>28</v>
      </c>
      <c r="D3723" s="7">
        <v>89</v>
      </c>
      <c r="E3723" s="7">
        <v>14</v>
      </c>
      <c r="F3723" s="7">
        <f t="shared" si="58"/>
        <v>3</v>
      </c>
      <c r="G3723" s="7" t="str">
        <f>LOOKUP(H3723,[1]startdates!$A$2:$A$10,[1]startdates!$B$2:$B$10)</f>
        <v>SMr</v>
      </c>
      <c r="H3723">
        <v>2</v>
      </c>
      <c r="I3723" s="7">
        <v>519.70000000000005</v>
      </c>
      <c r="M3723" s="7">
        <v>310.7</v>
      </c>
      <c r="N3723" s="7">
        <v>253.4</v>
      </c>
      <c r="O3723" s="7">
        <v>177.3</v>
      </c>
    </row>
    <row r="3724" spans="1:21" x14ac:dyDescent="0.2">
      <c r="A3724">
        <v>3723</v>
      </c>
      <c r="B3724" s="1">
        <v>40827</v>
      </c>
      <c r="C3724" t="s">
        <v>28</v>
      </c>
      <c r="D3724" s="7">
        <v>89</v>
      </c>
      <c r="E3724" s="7">
        <v>14</v>
      </c>
      <c r="F3724" s="7">
        <f t="shared" si="58"/>
        <v>3</v>
      </c>
      <c r="G3724" s="7" t="str">
        <f>LOOKUP(H3724,[1]startdates!$A$2:$A$10,[1]startdates!$B$2:$B$10)</f>
        <v>SMr</v>
      </c>
      <c r="H3724">
        <v>2</v>
      </c>
      <c r="I3724" s="7">
        <v>538</v>
      </c>
      <c r="M3724" s="7">
        <v>302.7</v>
      </c>
      <c r="N3724" s="7">
        <v>293.2</v>
      </c>
      <c r="O3724" s="7">
        <v>173.8</v>
      </c>
    </row>
    <row r="3725" spans="1:21" x14ac:dyDescent="0.2">
      <c r="A3725">
        <v>3724</v>
      </c>
      <c r="B3725" s="1">
        <v>40827</v>
      </c>
      <c r="C3725" t="s">
        <v>28</v>
      </c>
      <c r="D3725" s="7">
        <v>89</v>
      </c>
      <c r="E3725" s="7">
        <v>14</v>
      </c>
      <c r="F3725" s="7">
        <f t="shared" si="58"/>
        <v>3</v>
      </c>
      <c r="G3725" s="7" t="str">
        <f>LOOKUP(H3725,[1]startdates!$A$2:$A$10,[1]startdates!$B$2:$B$10)</f>
        <v>SMr</v>
      </c>
      <c r="H3725">
        <v>2</v>
      </c>
      <c r="I3725" s="7">
        <v>661.9</v>
      </c>
      <c r="M3725" s="7">
        <v>382.9</v>
      </c>
      <c r="N3725" s="7">
        <v>220.9</v>
      </c>
      <c r="O3725" s="7">
        <v>164.7</v>
      </c>
    </row>
    <row r="3726" spans="1:21" x14ac:dyDescent="0.2">
      <c r="A3726">
        <v>3725</v>
      </c>
      <c r="B3726" s="1">
        <v>40827</v>
      </c>
      <c r="C3726" t="s">
        <v>28</v>
      </c>
      <c r="D3726" s="7">
        <v>89</v>
      </c>
      <c r="E3726" s="7">
        <v>14</v>
      </c>
      <c r="F3726" s="7">
        <f t="shared" si="58"/>
        <v>3</v>
      </c>
      <c r="G3726" s="7" t="str">
        <f>LOOKUP(H3726,[1]startdates!$A$2:$A$10,[1]startdates!$B$2:$B$10)</f>
        <v>SMr</v>
      </c>
      <c r="H3726">
        <v>2</v>
      </c>
      <c r="I3726" s="7">
        <v>521.9</v>
      </c>
      <c r="M3726" s="7">
        <v>384.7</v>
      </c>
      <c r="N3726" s="7">
        <v>243.8</v>
      </c>
      <c r="O3726" s="7">
        <v>153.19999999999999</v>
      </c>
    </row>
    <row r="3727" spans="1:21" x14ac:dyDescent="0.2">
      <c r="A3727">
        <v>3726</v>
      </c>
      <c r="B3727" s="1">
        <v>40827</v>
      </c>
      <c r="C3727" t="s">
        <v>28</v>
      </c>
      <c r="D3727" s="7">
        <v>89</v>
      </c>
      <c r="E3727" s="7">
        <v>14</v>
      </c>
      <c r="F3727" s="7">
        <f t="shared" si="58"/>
        <v>3</v>
      </c>
      <c r="G3727" s="7" t="str">
        <f>LOOKUP(H3727,[1]startdates!$A$2:$A$10,[1]startdates!$B$2:$B$10)</f>
        <v>SMr</v>
      </c>
      <c r="H3727">
        <v>2</v>
      </c>
      <c r="I3727" s="7">
        <v>622.79999999999995</v>
      </c>
      <c r="M3727" s="7">
        <v>323.5</v>
      </c>
      <c r="N3727" s="7">
        <v>189.3</v>
      </c>
      <c r="O3727" s="7">
        <v>185.8</v>
      </c>
    </row>
    <row r="3728" spans="1:21" x14ac:dyDescent="0.2">
      <c r="A3728">
        <v>3727</v>
      </c>
      <c r="B3728" s="1">
        <v>40827</v>
      </c>
      <c r="C3728" t="s">
        <v>28</v>
      </c>
      <c r="D3728" s="7">
        <v>89</v>
      </c>
      <c r="E3728" s="7">
        <v>14</v>
      </c>
      <c r="F3728" s="7">
        <f t="shared" si="58"/>
        <v>3</v>
      </c>
      <c r="G3728" s="7" t="str">
        <f>LOOKUP(H3728,[1]startdates!$A$2:$A$10,[1]startdates!$B$2:$B$10)</f>
        <v>SMr</v>
      </c>
      <c r="H3728">
        <v>2</v>
      </c>
      <c r="I3728" s="7">
        <v>641</v>
      </c>
      <c r="M3728" s="7">
        <v>373.3</v>
      </c>
      <c r="O3728" s="7">
        <v>171.3</v>
      </c>
    </row>
    <row r="3729" spans="1:21" x14ac:dyDescent="0.2">
      <c r="A3729">
        <v>3728</v>
      </c>
      <c r="B3729" s="1">
        <v>40827</v>
      </c>
      <c r="C3729" t="s">
        <v>28</v>
      </c>
      <c r="D3729" s="7">
        <v>89</v>
      </c>
      <c r="E3729" s="7">
        <v>14</v>
      </c>
      <c r="F3729" s="7">
        <f t="shared" si="58"/>
        <v>3</v>
      </c>
      <c r="G3729" s="7" t="str">
        <f>LOOKUP(H3729,[1]startdates!$A$2:$A$10,[1]startdates!$B$2:$B$10)</f>
        <v>SMr</v>
      </c>
      <c r="H3729">
        <v>2</v>
      </c>
      <c r="I3729" s="7">
        <v>500.1</v>
      </c>
    </row>
    <row r="3730" spans="1:21" x14ac:dyDescent="0.2">
      <c r="A3730">
        <v>3729</v>
      </c>
      <c r="B3730" s="1">
        <v>40827</v>
      </c>
      <c r="C3730" t="s">
        <v>24</v>
      </c>
      <c r="D3730" s="7">
        <v>89</v>
      </c>
      <c r="E3730" s="7">
        <v>14</v>
      </c>
      <c r="F3730" s="7">
        <f t="shared" si="58"/>
        <v>3</v>
      </c>
      <c r="G3730" s="7" t="str">
        <f>LOOKUP(H3730,[1]startdates!$A$2:$A$10,[1]startdates!$B$2:$B$10)</f>
        <v>C</v>
      </c>
      <c r="H3730">
        <v>3</v>
      </c>
      <c r="I3730" s="7">
        <v>678.9</v>
      </c>
      <c r="J3730" s="7">
        <v>614.4</v>
      </c>
      <c r="K3730" s="7">
        <v>597.29999999999995</v>
      </c>
      <c r="L3730" s="7">
        <v>440.3</v>
      </c>
      <c r="M3730" s="7">
        <v>371.1</v>
      </c>
      <c r="N3730" s="7">
        <v>254</v>
      </c>
      <c r="O3730" s="7">
        <v>183.1</v>
      </c>
      <c r="P3730" s="7">
        <v>516.1</v>
      </c>
      <c r="Q3730" s="7">
        <v>342.9</v>
      </c>
      <c r="R3730" s="7">
        <v>272.8</v>
      </c>
      <c r="S3730" s="7">
        <v>203.8</v>
      </c>
    </row>
    <row r="3731" spans="1:21" x14ac:dyDescent="0.2">
      <c r="A3731">
        <v>3730</v>
      </c>
      <c r="B3731" s="1">
        <v>40827</v>
      </c>
      <c r="C3731" t="s">
        <v>24</v>
      </c>
      <c r="D3731" s="7">
        <v>89</v>
      </c>
      <c r="E3731" s="7">
        <v>14</v>
      </c>
      <c r="F3731" s="7">
        <f t="shared" si="58"/>
        <v>3</v>
      </c>
      <c r="G3731" s="7" t="str">
        <f>LOOKUP(H3731,[1]startdates!$A$2:$A$10,[1]startdates!$B$2:$B$10)</f>
        <v>C</v>
      </c>
      <c r="H3731">
        <v>3</v>
      </c>
      <c r="I3731" s="7">
        <v>678.7</v>
      </c>
      <c r="J3731" s="7">
        <v>561.9</v>
      </c>
      <c r="K3731" s="7">
        <v>629</v>
      </c>
      <c r="M3731" s="7">
        <v>302.5</v>
      </c>
      <c r="N3731" s="7">
        <v>222.3</v>
      </c>
      <c r="O3731" s="7">
        <v>181.3</v>
      </c>
      <c r="P3731" s="7">
        <v>496.3</v>
      </c>
      <c r="Q3731" s="7">
        <v>384</v>
      </c>
      <c r="S3731" s="7">
        <v>204.6</v>
      </c>
    </row>
    <row r="3732" spans="1:21" x14ac:dyDescent="0.2">
      <c r="A3732">
        <v>3731</v>
      </c>
      <c r="B3732" s="1">
        <v>40827</v>
      </c>
      <c r="C3732" t="s">
        <v>24</v>
      </c>
      <c r="D3732" s="7">
        <v>89</v>
      </c>
      <c r="E3732" s="7">
        <v>14</v>
      </c>
      <c r="F3732" s="7">
        <f t="shared" si="58"/>
        <v>3</v>
      </c>
      <c r="G3732" s="7" t="str">
        <f>LOOKUP(H3732,[1]startdates!$A$2:$A$10,[1]startdates!$B$2:$B$10)</f>
        <v>C</v>
      </c>
      <c r="H3732">
        <v>3</v>
      </c>
      <c r="I3732" s="7">
        <v>586.1</v>
      </c>
      <c r="J3732" s="7">
        <v>456.8</v>
      </c>
      <c r="K3732" s="7">
        <v>579.6</v>
      </c>
      <c r="M3732" s="7">
        <v>330.2</v>
      </c>
      <c r="N3732" s="7">
        <v>259.2</v>
      </c>
      <c r="O3732" s="7">
        <v>170</v>
      </c>
      <c r="P3732" s="7">
        <v>508.3</v>
      </c>
    </row>
    <row r="3733" spans="1:21" x14ac:dyDescent="0.2">
      <c r="A3733">
        <v>3732</v>
      </c>
      <c r="B3733" s="1">
        <v>40827</v>
      </c>
      <c r="C3733" t="s">
        <v>24</v>
      </c>
      <c r="D3733" s="7">
        <v>89</v>
      </c>
      <c r="E3733" s="7">
        <v>14</v>
      </c>
      <c r="F3733" s="7">
        <f t="shared" si="58"/>
        <v>3</v>
      </c>
      <c r="G3733" s="7" t="str">
        <f>LOOKUP(H3733,[1]startdates!$A$2:$A$10,[1]startdates!$B$2:$B$10)</f>
        <v>C</v>
      </c>
      <c r="H3733">
        <v>3</v>
      </c>
      <c r="I3733" s="7">
        <v>574.5</v>
      </c>
      <c r="K3733" s="7">
        <v>558.6</v>
      </c>
      <c r="M3733" s="7">
        <v>327.10000000000002</v>
      </c>
      <c r="N3733" s="7">
        <v>210.1</v>
      </c>
      <c r="O3733" s="7">
        <v>167.3</v>
      </c>
      <c r="P3733" s="7">
        <v>465.6</v>
      </c>
    </row>
    <row r="3734" spans="1:21" x14ac:dyDescent="0.2">
      <c r="A3734">
        <v>3733</v>
      </c>
      <c r="B3734" s="1">
        <v>40827</v>
      </c>
      <c r="C3734" t="s">
        <v>24</v>
      </c>
      <c r="D3734" s="7">
        <v>89</v>
      </c>
      <c r="E3734" s="7">
        <v>14</v>
      </c>
      <c r="F3734" s="7">
        <f t="shared" si="58"/>
        <v>3</v>
      </c>
      <c r="G3734" s="7" t="str">
        <f>LOOKUP(H3734,[1]startdates!$A$2:$A$10,[1]startdates!$B$2:$B$10)</f>
        <v>C</v>
      </c>
      <c r="H3734">
        <v>3</v>
      </c>
      <c r="I3734" s="7">
        <v>662.9</v>
      </c>
      <c r="K3734" s="7">
        <v>539.4</v>
      </c>
      <c r="M3734" s="7">
        <v>344.1</v>
      </c>
      <c r="N3734" s="7">
        <v>222.3</v>
      </c>
      <c r="O3734" s="7">
        <v>181.3</v>
      </c>
    </row>
    <row r="3735" spans="1:21" x14ac:dyDescent="0.2">
      <c r="A3735">
        <v>3734</v>
      </c>
      <c r="B3735" s="1">
        <v>40827</v>
      </c>
      <c r="C3735" t="s">
        <v>24</v>
      </c>
      <c r="D3735" s="7">
        <v>89</v>
      </c>
      <c r="E3735" s="7">
        <v>14</v>
      </c>
      <c r="F3735" s="7">
        <f t="shared" si="58"/>
        <v>3</v>
      </c>
      <c r="G3735" s="7" t="str">
        <f>LOOKUP(H3735,[1]startdates!$A$2:$A$10,[1]startdates!$B$2:$B$10)</f>
        <v>C</v>
      </c>
      <c r="H3735">
        <v>3</v>
      </c>
      <c r="I3735" s="7">
        <v>673.3</v>
      </c>
      <c r="K3735" s="7">
        <v>529</v>
      </c>
      <c r="M3735" s="7">
        <v>320.2</v>
      </c>
      <c r="N3735" s="7">
        <v>228.4</v>
      </c>
      <c r="O3735" s="7">
        <v>187</v>
      </c>
    </row>
    <row r="3736" spans="1:21" x14ac:dyDescent="0.2">
      <c r="A3736">
        <v>3735</v>
      </c>
      <c r="B3736" s="1">
        <v>40827</v>
      </c>
      <c r="C3736" t="s">
        <v>24</v>
      </c>
      <c r="D3736" s="7">
        <v>89</v>
      </c>
      <c r="E3736" s="7">
        <v>14</v>
      </c>
      <c r="F3736" s="7">
        <f t="shared" si="58"/>
        <v>3</v>
      </c>
      <c r="G3736" s="7" t="str">
        <f>LOOKUP(H3736,[1]startdates!$A$2:$A$10,[1]startdates!$B$2:$B$10)</f>
        <v>C</v>
      </c>
      <c r="H3736">
        <v>3</v>
      </c>
      <c r="I3736" s="7">
        <v>701.4</v>
      </c>
      <c r="K3736" s="7">
        <v>457.7</v>
      </c>
      <c r="M3736" s="7">
        <v>301.3</v>
      </c>
      <c r="N3736" s="7">
        <v>215.1</v>
      </c>
      <c r="O3736" s="7">
        <v>172.1</v>
      </c>
    </row>
    <row r="3737" spans="1:21" x14ac:dyDescent="0.2">
      <c r="A3737">
        <v>3736</v>
      </c>
      <c r="B3737" s="1">
        <v>40827</v>
      </c>
      <c r="C3737" t="s">
        <v>24</v>
      </c>
      <c r="D3737" s="7">
        <v>89</v>
      </c>
      <c r="E3737" s="7">
        <v>14</v>
      </c>
      <c r="F3737" s="7">
        <f t="shared" si="58"/>
        <v>3</v>
      </c>
      <c r="G3737" s="7" t="str">
        <f>LOOKUP(H3737,[1]startdates!$A$2:$A$10,[1]startdates!$B$2:$B$10)</f>
        <v>C</v>
      </c>
      <c r="H3737">
        <v>3</v>
      </c>
      <c r="I3737" s="7">
        <v>593.6</v>
      </c>
      <c r="K3737" s="7">
        <v>591</v>
      </c>
      <c r="M3737" s="7">
        <v>342.3</v>
      </c>
      <c r="O3737" s="7">
        <v>196</v>
      </c>
    </row>
    <row r="3738" spans="1:21" x14ac:dyDescent="0.2">
      <c r="A3738">
        <v>3737</v>
      </c>
      <c r="B3738" s="1">
        <v>40827</v>
      </c>
      <c r="C3738" t="s">
        <v>24</v>
      </c>
      <c r="D3738" s="7">
        <v>89</v>
      </c>
      <c r="E3738" s="7">
        <v>14</v>
      </c>
      <c r="F3738" s="7">
        <f t="shared" si="58"/>
        <v>3</v>
      </c>
      <c r="G3738" s="7" t="str">
        <f>LOOKUP(H3738,[1]startdates!$A$2:$A$10,[1]startdates!$B$2:$B$10)</f>
        <v>C</v>
      </c>
      <c r="H3738">
        <v>3</v>
      </c>
      <c r="I3738" s="7">
        <v>705</v>
      </c>
      <c r="K3738" s="7">
        <v>432.7</v>
      </c>
      <c r="M3738" s="7">
        <v>276.2</v>
      </c>
      <c r="O3738" s="7">
        <v>177.7</v>
      </c>
    </row>
    <row r="3739" spans="1:21" x14ac:dyDescent="0.2">
      <c r="A3739">
        <v>3738</v>
      </c>
      <c r="B3739" s="1">
        <v>40827</v>
      </c>
      <c r="C3739" t="s">
        <v>24</v>
      </c>
      <c r="D3739" s="7">
        <v>89</v>
      </c>
      <c r="E3739" s="7">
        <v>14</v>
      </c>
      <c r="F3739" s="7">
        <f t="shared" si="58"/>
        <v>3</v>
      </c>
      <c r="G3739" s="7" t="str">
        <f>LOOKUP(H3739,[1]startdates!$A$2:$A$10,[1]startdates!$B$2:$B$10)</f>
        <v>C</v>
      </c>
      <c r="H3739">
        <v>3</v>
      </c>
      <c r="I3739" s="7">
        <v>681.9</v>
      </c>
      <c r="K3739" s="7">
        <v>408.3</v>
      </c>
      <c r="O3739" s="7">
        <v>192.6</v>
      </c>
    </row>
    <row r="3740" spans="1:21" x14ac:dyDescent="0.2">
      <c r="A3740">
        <v>3739</v>
      </c>
      <c r="B3740" s="1">
        <v>40827</v>
      </c>
      <c r="C3740" t="s">
        <v>24</v>
      </c>
      <c r="D3740" s="7">
        <v>89</v>
      </c>
      <c r="E3740" s="7">
        <v>14</v>
      </c>
      <c r="F3740" s="7">
        <f t="shared" si="58"/>
        <v>3</v>
      </c>
      <c r="G3740" s="7" t="str">
        <f>LOOKUP(H3740,[1]startdates!$A$2:$A$10,[1]startdates!$B$2:$B$10)</f>
        <v>C</v>
      </c>
      <c r="H3740">
        <v>3</v>
      </c>
      <c r="O3740" s="7">
        <v>159.80000000000001</v>
      </c>
    </row>
    <row r="3741" spans="1:21" x14ac:dyDescent="0.2">
      <c r="A3741">
        <v>3740</v>
      </c>
      <c r="B3741" s="1">
        <v>40827</v>
      </c>
      <c r="C3741" t="s">
        <v>24</v>
      </c>
      <c r="D3741" s="7">
        <v>89</v>
      </c>
      <c r="E3741" s="7">
        <v>14</v>
      </c>
      <c r="F3741" s="7">
        <f t="shared" si="58"/>
        <v>3</v>
      </c>
      <c r="G3741" s="7" t="str">
        <f>LOOKUP(H3741,[1]startdates!$A$2:$A$10,[1]startdates!$B$2:$B$10)</f>
        <v>SMr</v>
      </c>
      <c r="H3741">
        <v>4</v>
      </c>
      <c r="I3741" s="7">
        <v>674.6</v>
      </c>
      <c r="J3741" s="7">
        <v>561.9</v>
      </c>
      <c r="K3741" s="7">
        <v>432.7</v>
      </c>
      <c r="L3741" s="7">
        <v>448.5</v>
      </c>
      <c r="M3741" s="7">
        <v>320.8</v>
      </c>
      <c r="N3741" s="7">
        <v>221</v>
      </c>
      <c r="O3741" s="7">
        <v>166.5</v>
      </c>
      <c r="P3741" s="7">
        <v>465.6</v>
      </c>
      <c r="Q3741" s="7">
        <v>353.5</v>
      </c>
      <c r="R3741" s="7">
        <v>245.7</v>
      </c>
      <c r="S3741" s="7">
        <v>204.6</v>
      </c>
      <c r="U3741" s="7">
        <v>613.79999999999995</v>
      </c>
    </row>
    <row r="3742" spans="1:21" x14ac:dyDescent="0.2">
      <c r="A3742">
        <v>3741</v>
      </c>
      <c r="B3742" s="1">
        <v>40827</v>
      </c>
      <c r="C3742" t="s">
        <v>24</v>
      </c>
      <c r="D3742" s="7">
        <v>89</v>
      </c>
      <c r="E3742" s="7">
        <v>14</v>
      </c>
      <c r="F3742" s="7">
        <f t="shared" si="58"/>
        <v>3</v>
      </c>
      <c r="G3742" s="7" t="str">
        <f>LOOKUP(H3742,[1]startdates!$A$2:$A$10,[1]startdates!$B$2:$B$10)</f>
        <v>SMr</v>
      </c>
      <c r="H3742">
        <v>4</v>
      </c>
      <c r="I3742" s="7">
        <v>626.1</v>
      </c>
      <c r="J3742" s="7">
        <v>456.8</v>
      </c>
      <c r="K3742" s="7">
        <v>408.3</v>
      </c>
      <c r="L3742" s="7">
        <v>440</v>
      </c>
      <c r="M3742" s="7">
        <v>287.2</v>
      </c>
      <c r="N3742" s="7">
        <v>227.1</v>
      </c>
      <c r="O3742" s="7">
        <v>160.4</v>
      </c>
      <c r="P3742" s="7">
        <v>473.1</v>
      </c>
      <c r="Q3742" s="7">
        <v>343.2</v>
      </c>
      <c r="R3742" s="7">
        <v>258.89999999999998</v>
      </c>
      <c r="U3742" s="7">
        <v>568.1</v>
      </c>
    </row>
    <row r="3743" spans="1:21" x14ac:dyDescent="0.2">
      <c r="A3743">
        <v>3742</v>
      </c>
      <c r="B3743" s="1">
        <v>40827</v>
      </c>
      <c r="C3743" t="s">
        <v>24</v>
      </c>
      <c r="D3743" s="7">
        <v>89</v>
      </c>
      <c r="E3743" s="7">
        <v>14</v>
      </c>
      <c r="F3743" s="7">
        <f t="shared" si="58"/>
        <v>3</v>
      </c>
      <c r="G3743" s="7" t="str">
        <f>LOOKUP(H3743,[1]startdates!$A$2:$A$10,[1]startdates!$B$2:$B$10)</f>
        <v>SMr</v>
      </c>
      <c r="H3743">
        <v>4</v>
      </c>
      <c r="I3743" s="7">
        <v>605.5</v>
      </c>
      <c r="J3743" s="7">
        <v>556.1</v>
      </c>
      <c r="K3743" s="7">
        <v>557.70000000000005</v>
      </c>
      <c r="L3743" s="7">
        <v>442.2</v>
      </c>
      <c r="M3743" s="7">
        <v>294.60000000000002</v>
      </c>
      <c r="N3743" s="7">
        <v>198.6</v>
      </c>
      <c r="O3743" s="7">
        <v>171.8</v>
      </c>
      <c r="P3743" s="7">
        <v>490.2</v>
      </c>
      <c r="Q3743" s="7">
        <v>364.8</v>
      </c>
      <c r="R3743" s="7">
        <v>259</v>
      </c>
      <c r="U3743" s="7">
        <v>515.9</v>
      </c>
    </row>
    <row r="3744" spans="1:21" x14ac:dyDescent="0.2">
      <c r="A3744">
        <v>3743</v>
      </c>
      <c r="B3744" s="1">
        <v>40827</v>
      </c>
      <c r="C3744" t="s">
        <v>24</v>
      </c>
      <c r="D3744" s="7">
        <v>89</v>
      </c>
      <c r="E3744" s="7">
        <v>14</v>
      </c>
      <c r="F3744" s="7">
        <f t="shared" si="58"/>
        <v>3</v>
      </c>
      <c r="G3744" s="7" t="str">
        <f>LOOKUP(H3744,[1]startdates!$A$2:$A$10,[1]startdates!$B$2:$B$10)</f>
        <v>SMr</v>
      </c>
      <c r="H3744">
        <v>4</v>
      </c>
      <c r="I3744" s="7">
        <v>592.29999999999995</v>
      </c>
      <c r="M3744" s="7">
        <v>319.39999999999998</v>
      </c>
      <c r="N3744" s="7">
        <v>206.2</v>
      </c>
      <c r="O3744" s="7">
        <v>167.5</v>
      </c>
      <c r="Q3744" s="7">
        <v>382.9</v>
      </c>
      <c r="R3744" s="7">
        <v>296.8</v>
      </c>
      <c r="U3744" s="7">
        <v>489.8</v>
      </c>
    </row>
    <row r="3745" spans="1:21" x14ac:dyDescent="0.2">
      <c r="A3745">
        <v>3744</v>
      </c>
      <c r="B3745" s="1">
        <v>40827</v>
      </c>
      <c r="C3745" t="s">
        <v>24</v>
      </c>
      <c r="D3745" s="7">
        <v>89</v>
      </c>
      <c r="E3745" s="7">
        <v>14</v>
      </c>
      <c r="F3745" s="7">
        <f t="shared" si="58"/>
        <v>3</v>
      </c>
      <c r="G3745" s="7" t="str">
        <f>LOOKUP(H3745,[1]startdates!$A$2:$A$10,[1]startdates!$B$2:$B$10)</f>
        <v>SMr</v>
      </c>
      <c r="H3745">
        <v>4</v>
      </c>
      <c r="I3745" s="7">
        <v>605.79999999999995</v>
      </c>
      <c r="M3745" s="7">
        <v>341.1</v>
      </c>
      <c r="N3745" s="7">
        <v>230</v>
      </c>
      <c r="O3745" s="7">
        <v>189.5</v>
      </c>
      <c r="Q3745" s="7">
        <v>383.2</v>
      </c>
      <c r="U3745" s="7">
        <v>434.8</v>
      </c>
    </row>
    <row r="3746" spans="1:21" x14ac:dyDescent="0.2">
      <c r="A3746">
        <v>3745</v>
      </c>
      <c r="B3746" s="1">
        <v>40827</v>
      </c>
      <c r="C3746" t="s">
        <v>24</v>
      </c>
      <c r="D3746" s="7">
        <v>89</v>
      </c>
      <c r="E3746" s="7">
        <v>14</v>
      </c>
      <c r="F3746" s="7">
        <f t="shared" si="58"/>
        <v>3</v>
      </c>
      <c r="G3746" s="7" t="str">
        <f>LOOKUP(H3746,[1]startdates!$A$2:$A$10,[1]startdates!$B$2:$B$10)</f>
        <v>SMr</v>
      </c>
      <c r="H3746">
        <v>4</v>
      </c>
      <c r="I3746" s="7">
        <v>649.20000000000005</v>
      </c>
      <c r="M3746" s="7">
        <v>252.6</v>
      </c>
      <c r="N3746" s="7">
        <v>224.1</v>
      </c>
      <c r="O3746" s="7">
        <v>148.19999999999999</v>
      </c>
      <c r="Q3746" s="7">
        <v>379.5</v>
      </c>
      <c r="U3746" s="7">
        <v>545.29999999999995</v>
      </c>
    </row>
    <row r="3747" spans="1:21" x14ac:dyDescent="0.2">
      <c r="A3747">
        <v>3746</v>
      </c>
      <c r="B3747" s="1">
        <v>40827</v>
      </c>
      <c r="C3747" t="s">
        <v>24</v>
      </c>
      <c r="D3747" s="7">
        <v>89</v>
      </c>
      <c r="E3747" s="7">
        <v>14</v>
      </c>
      <c r="F3747" s="7">
        <f t="shared" si="58"/>
        <v>3</v>
      </c>
      <c r="G3747" s="7" t="str">
        <f>LOOKUP(H3747,[1]startdates!$A$2:$A$10,[1]startdates!$B$2:$B$10)</f>
        <v>SMr</v>
      </c>
      <c r="H3747">
        <v>4</v>
      </c>
      <c r="I3747" s="7">
        <v>600.9</v>
      </c>
      <c r="M3747" s="7">
        <v>274.8</v>
      </c>
      <c r="N3747" s="7">
        <v>235.5</v>
      </c>
      <c r="O3747" s="7">
        <v>177.7</v>
      </c>
      <c r="U3747" s="7">
        <v>482</v>
      </c>
    </row>
    <row r="3748" spans="1:21" x14ac:dyDescent="0.2">
      <c r="A3748">
        <v>3747</v>
      </c>
      <c r="B3748" s="1">
        <v>40827</v>
      </c>
      <c r="C3748" t="s">
        <v>24</v>
      </c>
      <c r="D3748" s="7">
        <v>89</v>
      </c>
      <c r="E3748" s="7">
        <v>14</v>
      </c>
      <c r="F3748" s="7">
        <f t="shared" si="58"/>
        <v>3</v>
      </c>
      <c r="G3748" s="7" t="str">
        <f>LOOKUP(H3748,[1]startdates!$A$2:$A$10,[1]startdates!$B$2:$B$10)</f>
        <v>SMr</v>
      </c>
      <c r="H3748">
        <v>4</v>
      </c>
      <c r="I3748" s="7">
        <v>585.20000000000005</v>
      </c>
      <c r="N3748" s="7">
        <v>217.3</v>
      </c>
      <c r="O3748" s="7">
        <v>196</v>
      </c>
      <c r="U3748" s="7">
        <v>532.29999999999995</v>
      </c>
    </row>
    <row r="3749" spans="1:21" x14ac:dyDescent="0.2">
      <c r="A3749">
        <v>3748</v>
      </c>
      <c r="B3749" s="1">
        <v>40827</v>
      </c>
      <c r="C3749" t="s">
        <v>24</v>
      </c>
      <c r="D3749" s="7">
        <v>89</v>
      </c>
      <c r="E3749" s="7">
        <v>14</v>
      </c>
      <c r="F3749" s="7">
        <f t="shared" si="58"/>
        <v>3</v>
      </c>
      <c r="G3749" s="7" t="str">
        <f>LOOKUP(H3749,[1]startdates!$A$2:$A$10,[1]startdates!$B$2:$B$10)</f>
        <v>SMr</v>
      </c>
      <c r="H3749">
        <v>4</v>
      </c>
      <c r="I3749" s="7">
        <v>592.79999999999995</v>
      </c>
      <c r="N3749" s="7">
        <v>232.5</v>
      </c>
      <c r="O3749" s="7">
        <v>169.2</v>
      </c>
    </row>
    <row r="3750" spans="1:21" x14ac:dyDescent="0.2">
      <c r="A3750">
        <v>3749</v>
      </c>
      <c r="B3750" s="1">
        <v>40827</v>
      </c>
      <c r="C3750" t="s">
        <v>24</v>
      </c>
      <c r="D3750" s="7">
        <v>89</v>
      </c>
      <c r="E3750" s="7">
        <v>14</v>
      </c>
      <c r="F3750" s="7">
        <f t="shared" si="58"/>
        <v>3</v>
      </c>
      <c r="G3750" s="7" t="str">
        <f>LOOKUP(H3750,[1]startdates!$A$2:$A$10,[1]startdates!$B$2:$B$10)</f>
        <v>SMr</v>
      </c>
      <c r="H3750">
        <v>4</v>
      </c>
      <c r="O3750" s="7">
        <v>182.8</v>
      </c>
    </row>
    <row r="3751" spans="1:21" x14ac:dyDescent="0.2">
      <c r="A3751">
        <v>3750</v>
      </c>
      <c r="B3751" s="1">
        <v>40827</v>
      </c>
      <c r="C3751" t="s">
        <v>24</v>
      </c>
      <c r="D3751" s="7">
        <v>89</v>
      </c>
      <c r="E3751" s="7">
        <v>14</v>
      </c>
      <c r="F3751" s="7">
        <f t="shared" si="58"/>
        <v>3</v>
      </c>
      <c r="G3751" s="7" t="str">
        <f>LOOKUP(H3751,[1]startdates!$A$2:$A$10,[1]startdates!$B$2:$B$10)</f>
        <v>C</v>
      </c>
      <c r="H3751">
        <v>5</v>
      </c>
      <c r="I3751" s="7">
        <v>619.4</v>
      </c>
      <c r="J3751" s="7">
        <v>555.5</v>
      </c>
      <c r="K3751" s="7">
        <v>605.29999999999995</v>
      </c>
      <c r="L3751" s="7">
        <v>441.6</v>
      </c>
      <c r="M3751" s="7">
        <v>337.1</v>
      </c>
      <c r="N3751" s="7">
        <v>257.2</v>
      </c>
      <c r="O3751" s="7">
        <v>181.3</v>
      </c>
      <c r="P3751" s="7">
        <v>502.7</v>
      </c>
      <c r="Q3751" s="7">
        <v>369.1</v>
      </c>
      <c r="R3751" s="7">
        <v>255.3</v>
      </c>
      <c r="S3751" s="7">
        <v>258.5</v>
      </c>
    </row>
    <row r="3752" spans="1:21" x14ac:dyDescent="0.2">
      <c r="A3752">
        <v>3751</v>
      </c>
      <c r="B3752" s="1">
        <v>40827</v>
      </c>
      <c r="C3752" t="s">
        <v>24</v>
      </c>
      <c r="D3752" s="7">
        <v>89</v>
      </c>
      <c r="E3752" s="7">
        <v>14</v>
      </c>
      <c r="F3752" s="7">
        <f t="shared" si="58"/>
        <v>3</v>
      </c>
      <c r="G3752" s="7" t="str">
        <f>LOOKUP(H3752,[1]startdates!$A$2:$A$10,[1]startdates!$B$2:$B$10)</f>
        <v>C</v>
      </c>
      <c r="H3752">
        <v>5</v>
      </c>
      <c r="I3752" s="7">
        <v>657.1</v>
      </c>
      <c r="J3752" s="7">
        <v>556</v>
      </c>
      <c r="K3752" s="7">
        <v>500.1</v>
      </c>
      <c r="L3752" s="7">
        <v>454.9</v>
      </c>
      <c r="M3752" s="7">
        <v>302.7</v>
      </c>
      <c r="N3752" s="7">
        <v>217.2</v>
      </c>
      <c r="O3752" s="7">
        <v>182.8</v>
      </c>
      <c r="P3752" s="7">
        <v>475.5</v>
      </c>
    </row>
    <row r="3753" spans="1:21" x14ac:dyDescent="0.2">
      <c r="A3753">
        <v>3752</v>
      </c>
      <c r="B3753" s="1">
        <v>40827</v>
      </c>
      <c r="C3753" t="s">
        <v>24</v>
      </c>
      <c r="D3753" s="7">
        <v>89</v>
      </c>
      <c r="E3753" s="7">
        <v>14</v>
      </c>
      <c r="F3753" s="7">
        <f t="shared" ref="F3753:F3816" si="59">WEEKDAY(B3753)</f>
        <v>3</v>
      </c>
      <c r="G3753" s="7" t="str">
        <f>LOOKUP(H3753,[1]startdates!$A$2:$A$10,[1]startdates!$B$2:$B$10)</f>
        <v>C</v>
      </c>
      <c r="H3753">
        <v>5</v>
      </c>
      <c r="I3753" s="7">
        <v>609.29999999999995</v>
      </c>
      <c r="K3753" s="7">
        <v>580.6</v>
      </c>
      <c r="L3753" s="7">
        <v>475.9</v>
      </c>
      <c r="M3753" s="7">
        <v>357.4</v>
      </c>
      <c r="N3753" s="7">
        <v>280</v>
      </c>
      <c r="O3753" s="7">
        <v>166.3</v>
      </c>
    </row>
    <row r="3754" spans="1:21" x14ac:dyDescent="0.2">
      <c r="A3754">
        <v>3753</v>
      </c>
      <c r="B3754" s="1">
        <v>40827</v>
      </c>
      <c r="C3754" t="s">
        <v>24</v>
      </c>
      <c r="D3754" s="7">
        <v>89</v>
      </c>
      <c r="E3754" s="7">
        <v>14</v>
      </c>
      <c r="F3754" s="7">
        <f t="shared" si="59"/>
        <v>3</v>
      </c>
      <c r="G3754" s="7" t="str">
        <f>LOOKUP(H3754,[1]startdates!$A$2:$A$10,[1]startdates!$B$2:$B$10)</f>
        <v>C</v>
      </c>
      <c r="H3754">
        <v>5</v>
      </c>
      <c r="I3754" s="7">
        <v>692.7</v>
      </c>
      <c r="K3754" s="7">
        <v>466</v>
      </c>
      <c r="L3754" s="7">
        <v>467.8</v>
      </c>
      <c r="M3754" s="7">
        <v>338.7</v>
      </c>
      <c r="N3754" s="7">
        <v>230</v>
      </c>
      <c r="O3754" s="7">
        <v>163.4</v>
      </c>
    </row>
    <row r="3755" spans="1:21" x14ac:dyDescent="0.2">
      <c r="A3755">
        <v>3754</v>
      </c>
      <c r="B3755" s="1">
        <v>40827</v>
      </c>
      <c r="C3755" t="s">
        <v>24</v>
      </c>
      <c r="D3755" s="7">
        <v>89</v>
      </c>
      <c r="E3755" s="7">
        <v>14</v>
      </c>
      <c r="F3755" s="7">
        <f t="shared" si="59"/>
        <v>3</v>
      </c>
      <c r="G3755" s="7" t="str">
        <f>LOOKUP(H3755,[1]startdates!$A$2:$A$10,[1]startdates!$B$2:$B$10)</f>
        <v>C</v>
      </c>
      <c r="H3755">
        <v>5</v>
      </c>
      <c r="I3755" s="7">
        <v>591</v>
      </c>
      <c r="L3755" s="7">
        <v>438.5</v>
      </c>
      <c r="M3755" s="7">
        <v>334.4</v>
      </c>
      <c r="N3755" s="7">
        <v>309.7</v>
      </c>
      <c r="O3755" s="7">
        <v>187.8</v>
      </c>
    </row>
    <row r="3756" spans="1:21" x14ac:dyDescent="0.2">
      <c r="A3756">
        <v>3755</v>
      </c>
      <c r="B3756" s="1">
        <v>40827</v>
      </c>
      <c r="C3756" t="s">
        <v>24</v>
      </c>
      <c r="D3756" s="7">
        <v>89</v>
      </c>
      <c r="E3756" s="7">
        <v>14</v>
      </c>
      <c r="F3756" s="7">
        <f t="shared" si="59"/>
        <v>3</v>
      </c>
      <c r="G3756" s="7" t="str">
        <f>LOOKUP(H3756,[1]startdates!$A$2:$A$10,[1]startdates!$B$2:$B$10)</f>
        <v>C</v>
      </c>
      <c r="H3756">
        <v>5</v>
      </c>
      <c r="I3756" s="7">
        <v>593</v>
      </c>
      <c r="M3756" s="7">
        <v>320.3</v>
      </c>
      <c r="N3756" s="7">
        <v>211</v>
      </c>
      <c r="O3756" s="7">
        <v>163.4</v>
      </c>
    </row>
    <row r="3757" spans="1:21" x14ac:dyDescent="0.2">
      <c r="A3757">
        <v>3756</v>
      </c>
      <c r="B3757" s="1">
        <v>40827</v>
      </c>
      <c r="C3757" t="s">
        <v>24</v>
      </c>
      <c r="D3757" s="7">
        <v>89</v>
      </c>
      <c r="E3757" s="7">
        <v>14</v>
      </c>
      <c r="F3757" s="7">
        <f t="shared" si="59"/>
        <v>3</v>
      </c>
      <c r="G3757" s="7" t="str">
        <f>LOOKUP(H3757,[1]startdates!$A$2:$A$10,[1]startdates!$B$2:$B$10)</f>
        <v>C</v>
      </c>
      <c r="H3757">
        <v>5</v>
      </c>
      <c r="I3757" s="7">
        <v>630.29999999999995</v>
      </c>
      <c r="M3757" s="7">
        <v>352.2</v>
      </c>
      <c r="N3757" s="7">
        <v>253.6</v>
      </c>
      <c r="O3757" s="7">
        <v>158.1</v>
      </c>
    </row>
    <row r="3758" spans="1:21" x14ac:dyDescent="0.2">
      <c r="A3758">
        <v>3757</v>
      </c>
      <c r="B3758" s="1">
        <v>40827</v>
      </c>
      <c r="C3758" t="s">
        <v>24</v>
      </c>
      <c r="D3758" s="7">
        <v>89</v>
      </c>
      <c r="E3758" s="7">
        <v>14</v>
      </c>
      <c r="F3758" s="7">
        <f t="shared" si="59"/>
        <v>3</v>
      </c>
      <c r="G3758" s="7" t="str">
        <f>LOOKUP(H3758,[1]startdates!$A$2:$A$10,[1]startdates!$B$2:$B$10)</f>
        <v>C</v>
      </c>
      <c r="H3758">
        <v>5</v>
      </c>
      <c r="I3758" s="7">
        <v>686.5</v>
      </c>
      <c r="M3758" s="7">
        <v>334.3</v>
      </c>
      <c r="N3758" s="7">
        <v>237.4</v>
      </c>
      <c r="O3758" s="7">
        <v>179.2</v>
      </c>
    </row>
    <row r="3759" spans="1:21" x14ac:dyDescent="0.2">
      <c r="A3759">
        <v>3758</v>
      </c>
      <c r="B3759" s="1">
        <v>40827</v>
      </c>
      <c r="C3759" t="s">
        <v>24</v>
      </c>
      <c r="D3759" s="7">
        <v>89</v>
      </c>
      <c r="E3759" s="7">
        <v>14</v>
      </c>
      <c r="F3759" s="7">
        <f t="shared" si="59"/>
        <v>3</v>
      </c>
      <c r="G3759" s="7" t="str">
        <f>LOOKUP(H3759,[1]startdates!$A$2:$A$10,[1]startdates!$B$2:$B$10)</f>
        <v>C</v>
      </c>
      <c r="H3759">
        <v>5</v>
      </c>
      <c r="I3759" s="7">
        <v>761.7</v>
      </c>
      <c r="N3759" s="7">
        <v>268</v>
      </c>
      <c r="O3759" s="7">
        <v>178.1</v>
      </c>
    </row>
    <row r="3760" spans="1:21" x14ac:dyDescent="0.2">
      <c r="A3760">
        <v>3759</v>
      </c>
      <c r="B3760" s="1">
        <v>40827</v>
      </c>
      <c r="C3760" t="s">
        <v>24</v>
      </c>
      <c r="D3760" s="7">
        <v>89</v>
      </c>
      <c r="E3760" s="7">
        <v>14</v>
      </c>
      <c r="F3760" s="7">
        <f t="shared" si="59"/>
        <v>3</v>
      </c>
      <c r="G3760" s="7" t="str">
        <f>LOOKUP(H3760,[1]startdates!$A$2:$A$10,[1]startdates!$B$2:$B$10)</f>
        <v>C</v>
      </c>
      <c r="H3760">
        <v>5</v>
      </c>
      <c r="O3760" s="7">
        <v>164.2</v>
      </c>
    </row>
    <row r="3761" spans="1:20" x14ac:dyDescent="0.2">
      <c r="A3761">
        <v>3760</v>
      </c>
      <c r="B3761" s="1">
        <v>40827</v>
      </c>
      <c r="C3761" t="s">
        <v>24</v>
      </c>
      <c r="D3761" s="7">
        <v>89</v>
      </c>
      <c r="E3761" s="7">
        <v>14</v>
      </c>
      <c r="F3761" s="7">
        <f t="shared" si="59"/>
        <v>3</v>
      </c>
      <c r="G3761" s="7" t="str">
        <f>LOOKUP(H3761,[1]startdates!$A$2:$A$10,[1]startdates!$B$2:$B$10)</f>
        <v>C</v>
      </c>
      <c r="H3761">
        <v>5</v>
      </c>
      <c r="O3761" s="7">
        <v>157.30000000000001</v>
      </c>
    </row>
    <row r="3762" spans="1:20" x14ac:dyDescent="0.2">
      <c r="A3762">
        <v>3761</v>
      </c>
      <c r="B3762" s="1">
        <v>40827</v>
      </c>
      <c r="C3762" t="s">
        <v>24</v>
      </c>
      <c r="D3762" s="7">
        <v>89</v>
      </c>
      <c r="E3762" s="7">
        <v>14</v>
      </c>
      <c r="F3762" s="7">
        <f t="shared" si="59"/>
        <v>3</v>
      </c>
      <c r="G3762" s="7" t="str">
        <f>LOOKUP(H3762,[1]startdates!$A$2:$A$10,[1]startdates!$B$2:$B$10)</f>
        <v>FMr</v>
      </c>
      <c r="H3762">
        <v>6</v>
      </c>
      <c r="I3762" s="7">
        <v>684.4</v>
      </c>
      <c r="J3762" s="7">
        <v>563.9</v>
      </c>
      <c r="K3762" s="7">
        <v>478.6</v>
      </c>
      <c r="L3762" s="7">
        <v>431</v>
      </c>
      <c r="M3762" s="7">
        <v>342.4</v>
      </c>
      <c r="N3762" s="7">
        <v>232.9</v>
      </c>
      <c r="O3762" s="7">
        <v>187.5</v>
      </c>
      <c r="P3762" s="7">
        <v>531</v>
      </c>
      <c r="Q3762" s="7">
        <v>410.1</v>
      </c>
      <c r="R3762" s="7">
        <v>315</v>
      </c>
      <c r="S3762" s="7">
        <v>225.7</v>
      </c>
      <c r="T3762" s="7">
        <v>368.8</v>
      </c>
    </row>
    <row r="3763" spans="1:20" x14ac:dyDescent="0.2">
      <c r="A3763">
        <v>3762</v>
      </c>
      <c r="B3763" s="1">
        <v>40827</v>
      </c>
      <c r="C3763" t="s">
        <v>24</v>
      </c>
      <c r="D3763" s="7">
        <v>89</v>
      </c>
      <c r="E3763" s="7">
        <v>14</v>
      </c>
      <c r="F3763" s="7">
        <f t="shared" si="59"/>
        <v>3</v>
      </c>
      <c r="G3763" s="7" t="str">
        <f>LOOKUP(H3763,[1]startdates!$A$2:$A$10,[1]startdates!$B$2:$B$10)</f>
        <v>FMr</v>
      </c>
      <c r="H3763">
        <v>6</v>
      </c>
      <c r="I3763" s="7">
        <v>623.29999999999995</v>
      </c>
      <c r="K3763" s="7">
        <v>510.3</v>
      </c>
      <c r="L3763" s="7">
        <v>467.6</v>
      </c>
      <c r="M3763" s="7">
        <v>334.8</v>
      </c>
      <c r="N3763" s="7">
        <v>221.7</v>
      </c>
      <c r="O3763" s="7">
        <v>188.2</v>
      </c>
      <c r="P3763" s="7">
        <v>430.9</v>
      </c>
      <c r="Q3763" s="7">
        <v>344.7</v>
      </c>
      <c r="R3763" s="7">
        <v>289.8</v>
      </c>
    </row>
    <row r="3764" spans="1:20" x14ac:dyDescent="0.2">
      <c r="A3764">
        <v>3763</v>
      </c>
      <c r="B3764" s="1">
        <v>40827</v>
      </c>
      <c r="C3764" t="s">
        <v>24</v>
      </c>
      <c r="D3764" s="7">
        <v>89</v>
      </c>
      <c r="E3764" s="7">
        <v>14</v>
      </c>
      <c r="F3764" s="7">
        <f t="shared" si="59"/>
        <v>3</v>
      </c>
      <c r="G3764" s="7" t="str">
        <f>LOOKUP(H3764,[1]startdates!$A$2:$A$10,[1]startdates!$B$2:$B$10)</f>
        <v>FMr</v>
      </c>
      <c r="H3764">
        <v>6</v>
      </c>
      <c r="I3764" s="7">
        <v>637.6</v>
      </c>
      <c r="K3764" s="7">
        <v>573.5</v>
      </c>
      <c r="L3764" s="7">
        <v>453.6</v>
      </c>
      <c r="M3764" s="7">
        <v>349.1</v>
      </c>
      <c r="N3764" s="7">
        <v>216.2</v>
      </c>
      <c r="O3764" s="7">
        <v>185</v>
      </c>
      <c r="P3764" s="7">
        <v>504.8</v>
      </c>
      <c r="Q3764" s="7">
        <v>438.3</v>
      </c>
    </row>
    <row r="3765" spans="1:20" x14ac:dyDescent="0.2">
      <c r="A3765">
        <v>3764</v>
      </c>
      <c r="B3765" s="1">
        <v>40827</v>
      </c>
      <c r="C3765" t="s">
        <v>24</v>
      </c>
      <c r="D3765" s="7">
        <v>89</v>
      </c>
      <c r="E3765" s="7">
        <v>14</v>
      </c>
      <c r="F3765" s="7">
        <f t="shared" si="59"/>
        <v>3</v>
      </c>
      <c r="G3765" s="7" t="str">
        <f>LOOKUP(H3765,[1]startdates!$A$2:$A$10,[1]startdates!$B$2:$B$10)</f>
        <v>FMr</v>
      </c>
      <c r="H3765">
        <v>6</v>
      </c>
      <c r="I3765" s="7">
        <v>497.2</v>
      </c>
      <c r="K3765" s="7">
        <v>490.4</v>
      </c>
      <c r="M3765" s="7">
        <v>401</v>
      </c>
      <c r="N3765" s="7">
        <v>225.7</v>
      </c>
      <c r="O3765" s="7">
        <v>187.5</v>
      </c>
      <c r="P3765" s="7">
        <v>454.9</v>
      </c>
    </row>
    <row r="3766" spans="1:20" x14ac:dyDescent="0.2">
      <c r="A3766">
        <v>3765</v>
      </c>
      <c r="B3766" s="1">
        <v>40827</v>
      </c>
      <c r="C3766" t="s">
        <v>24</v>
      </c>
      <c r="D3766" s="7">
        <v>89</v>
      </c>
      <c r="E3766" s="7">
        <v>14</v>
      </c>
      <c r="F3766" s="7">
        <f t="shared" si="59"/>
        <v>3</v>
      </c>
      <c r="G3766" s="7" t="str">
        <f>LOOKUP(H3766,[1]startdates!$A$2:$A$10,[1]startdates!$B$2:$B$10)</f>
        <v>FMr</v>
      </c>
      <c r="H3766">
        <v>6</v>
      </c>
      <c r="I3766" s="7">
        <v>541.4</v>
      </c>
      <c r="K3766" s="7">
        <v>460.6</v>
      </c>
      <c r="M3766" s="7">
        <v>339.2</v>
      </c>
      <c r="N3766" s="7">
        <v>260.89999999999998</v>
      </c>
      <c r="O3766" s="7">
        <v>162.19999999999999</v>
      </c>
    </row>
    <row r="3767" spans="1:20" x14ac:dyDescent="0.2">
      <c r="A3767">
        <v>3766</v>
      </c>
      <c r="B3767" s="1">
        <v>40827</v>
      </c>
      <c r="C3767" t="s">
        <v>24</v>
      </c>
      <c r="D3767" s="7">
        <v>89</v>
      </c>
      <c r="E3767" s="7">
        <v>14</v>
      </c>
      <c r="F3767" s="7">
        <f t="shared" si="59"/>
        <v>3</v>
      </c>
      <c r="G3767" s="7" t="str">
        <f>LOOKUP(H3767,[1]startdates!$A$2:$A$10,[1]startdates!$B$2:$B$10)</f>
        <v>FMr</v>
      </c>
      <c r="H3767">
        <v>6</v>
      </c>
      <c r="I3767" s="7">
        <v>687</v>
      </c>
      <c r="K3767" s="7">
        <v>449.2</v>
      </c>
      <c r="M3767" s="7">
        <v>366</v>
      </c>
      <c r="N3767" s="7">
        <v>196.7</v>
      </c>
      <c r="O3767" s="7">
        <v>179.3</v>
      </c>
    </row>
    <row r="3768" spans="1:20" x14ac:dyDescent="0.2">
      <c r="A3768">
        <v>3767</v>
      </c>
      <c r="B3768" s="1">
        <v>40827</v>
      </c>
      <c r="C3768" t="s">
        <v>24</v>
      </c>
      <c r="D3768" s="7">
        <v>89</v>
      </c>
      <c r="E3768" s="7">
        <v>14</v>
      </c>
      <c r="F3768" s="7">
        <f t="shared" si="59"/>
        <v>3</v>
      </c>
      <c r="G3768" s="7" t="str">
        <f>LOOKUP(H3768,[1]startdates!$A$2:$A$10,[1]startdates!$B$2:$B$10)</f>
        <v>FMr</v>
      </c>
      <c r="H3768">
        <v>6</v>
      </c>
      <c r="I3768" s="7">
        <v>605.29999999999995</v>
      </c>
      <c r="K3768" s="7">
        <v>463.8</v>
      </c>
      <c r="N3768" s="7">
        <v>206.3</v>
      </c>
      <c r="O3768" s="7">
        <v>177.7</v>
      </c>
    </row>
    <row r="3769" spans="1:20" x14ac:dyDescent="0.2">
      <c r="A3769">
        <v>3768</v>
      </c>
      <c r="B3769" s="1">
        <v>40827</v>
      </c>
      <c r="C3769" t="s">
        <v>24</v>
      </c>
      <c r="D3769" s="7">
        <v>89</v>
      </c>
      <c r="E3769" s="7">
        <v>14</v>
      </c>
      <c r="F3769" s="7">
        <f t="shared" si="59"/>
        <v>3</v>
      </c>
      <c r="G3769" s="7" t="str">
        <f>LOOKUP(H3769,[1]startdates!$A$2:$A$10,[1]startdates!$B$2:$B$10)</f>
        <v>FMr</v>
      </c>
      <c r="H3769">
        <v>6</v>
      </c>
      <c r="I3769" s="7">
        <v>599.9</v>
      </c>
      <c r="K3769" s="7">
        <v>573.1</v>
      </c>
      <c r="N3769" s="7">
        <v>229.3</v>
      </c>
      <c r="O3769" s="7">
        <v>170.6</v>
      </c>
    </row>
    <row r="3770" spans="1:20" x14ac:dyDescent="0.2">
      <c r="A3770">
        <v>3769</v>
      </c>
      <c r="B3770" s="1">
        <v>40827</v>
      </c>
      <c r="C3770" t="s">
        <v>24</v>
      </c>
      <c r="D3770" s="7">
        <v>89</v>
      </c>
      <c r="E3770" s="7">
        <v>14</v>
      </c>
      <c r="F3770" s="7">
        <f t="shared" si="59"/>
        <v>3</v>
      </c>
      <c r="G3770" s="7" t="str">
        <f>LOOKUP(H3770,[1]startdates!$A$2:$A$10,[1]startdates!$B$2:$B$10)</f>
        <v>FMr</v>
      </c>
      <c r="H3770">
        <v>6</v>
      </c>
      <c r="I3770" s="7">
        <v>584</v>
      </c>
      <c r="N3770" s="7">
        <v>259.5</v>
      </c>
      <c r="O3770" s="7">
        <v>188.2</v>
      </c>
    </row>
    <row r="3771" spans="1:20" x14ac:dyDescent="0.2">
      <c r="A3771">
        <v>3770</v>
      </c>
      <c r="B3771" s="1">
        <v>40827</v>
      </c>
      <c r="C3771" t="s">
        <v>24</v>
      </c>
      <c r="D3771" s="7">
        <v>89</v>
      </c>
      <c r="E3771" s="7">
        <v>14</v>
      </c>
      <c r="F3771" s="7">
        <f t="shared" si="59"/>
        <v>3</v>
      </c>
      <c r="G3771" s="7" t="str">
        <f>LOOKUP(H3771,[1]startdates!$A$2:$A$10,[1]startdates!$B$2:$B$10)</f>
        <v>FMr</v>
      </c>
      <c r="H3771">
        <v>6</v>
      </c>
      <c r="I3771" s="7">
        <v>633.9</v>
      </c>
      <c r="N3771" s="7">
        <v>195.1</v>
      </c>
      <c r="O3771" s="7">
        <v>175</v>
      </c>
    </row>
    <row r="3772" spans="1:20" x14ac:dyDescent="0.2">
      <c r="A3772">
        <v>3771</v>
      </c>
      <c r="B3772" s="1">
        <v>40827</v>
      </c>
      <c r="C3772" t="s">
        <v>24</v>
      </c>
      <c r="D3772" s="7">
        <v>89</v>
      </c>
      <c r="E3772" s="7">
        <v>14</v>
      </c>
      <c r="F3772" s="7">
        <f t="shared" si="59"/>
        <v>3</v>
      </c>
      <c r="G3772" s="7" t="str">
        <f>LOOKUP(H3772,[1]startdates!$A$2:$A$10,[1]startdates!$B$2:$B$10)</f>
        <v>FMr</v>
      </c>
      <c r="H3772">
        <v>6</v>
      </c>
      <c r="I3772" s="7">
        <v>564.4</v>
      </c>
      <c r="N3772" s="7">
        <v>262.39999999999998</v>
      </c>
      <c r="O3772" s="7">
        <v>164.4</v>
      </c>
    </row>
    <row r="3773" spans="1:20" x14ac:dyDescent="0.2">
      <c r="A3773">
        <v>3772</v>
      </c>
      <c r="B3773" s="1">
        <v>40827</v>
      </c>
      <c r="C3773" t="s">
        <v>24</v>
      </c>
      <c r="D3773" s="7">
        <v>89</v>
      </c>
      <c r="E3773" s="7">
        <v>14</v>
      </c>
      <c r="F3773" s="7">
        <f t="shared" si="59"/>
        <v>3</v>
      </c>
      <c r="G3773" s="7" t="str">
        <f>LOOKUP(H3773,[1]startdates!$A$2:$A$10,[1]startdates!$B$2:$B$10)</f>
        <v>FMr</v>
      </c>
      <c r="H3773">
        <v>6</v>
      </c>
      <c r="I3773" s="7">
        <v>667</v>
      </c>
      <c r="O3773" s="7">
        <v>187</v>
      </c>
    </row>
    <row r="3774" spans="1:20" x14ac:dyDescent="0.2">
      <c r="A3774">
        <v>3773</v>
      </c>
      <c r="B3774" s="1">
        <v>40827</v>
      </c>
      <c r="C3774" t="s">
        <v>24</v>
      </c>
      <c r="D3774" s="7">
        <v>89</v>
      </c>
      <c r="E3774" s="7">
        <v>14</v>
      </c>
      <c r="F3774" s="7">
        <f t="shared" si="59"/>
        <v>3</v>
      </c>
      <c r="G3774" s="7" t="str">
        <f>LOOKUP(H3774,[1]startdates!$A$2:$A$10,[1]startdates!$B$2:$B$10)</f>
        <v>FMr</v>
      </c>
      <c r="H3774">
        <v>6</v>
      </c>
      <c r="I3774" s="7">
        <v>607.70000000000005</v>
      </c>
    </row>
    <row r="3775" spans="1:20" x14ac:dyDescent="0.2">
      <c r="A3775">
        <v>3774</v>
      </c>
      <c r="B3775" s="1">
        <v>40827</v>
      </c>
      <c r="C3775" t="s">
        <v>24</v>
      </c>
      <c r="D3775" s="7">
        <v>89</v>
      </c>
      <c r="E3775" s="7">
        <v>14</v>
      </c>
      <c r="F3775" s="7">
        <f t="shared" si="59"/>
        <v>3</v>
      </c>
      <c r="G3775" s="7" t="str">
        <f>LOOKUP(H3775,[1]startdates!$A$2:$A$10,[1]startdates!$B$2:$B$10)</f>
        <v>FMr</v>
      </c>
      <c r="H3775">
        <v>6</v>
      </c>
      <c r="I3775" s="7">
        <v>635.5</v>
      </c>
    </row>
    <row r="3776" spans="1:20" x14ac:dyDescent="0.2">
      <c r="A3776">
        <v>3775</v>
      </c>
      <c r="B3776" s="1">
        <v>40827</v>
      </c>
      <c r="C3776" t="s">
        <v>28</v>
      </c>
      <c r="D3776" s="7">
        <v>89</v>
      </c>
      <c r="E3776" s="7">
        <v>14</v>
      </c>
      <c r="F3776" s="7">
        <f t="shared" si="59"/>
        <v>3</v>
      </c>
      <c r="G3776" s="7" t="str">
        <f>LOOKUP(H3776,[1]startdates!$A$2:$A$10,[1]startdates!$B$2:$B$10)</f>
        <v>FMr</v>
      </c>
      <c r="H3776">
        <v>7</v>
      </c>
      <c r="I3776" s="7">
        <v>559.5</v>
      </c>
      <c r="J3776" s="7">
        <v>459.2</v>
      </c>
      <c r="K3776" s="7">
        <v>510.4</v>
      </c>
      <c r="L3776" s="7">
        <v>489.5</v>
      </c>
      <c r="M3776" s="7">
        <v>343.8</v>
      </c>
      <c r="N3776" s="7">
        <v>204.7</v>
      </c>
      <c r="O3776" s="7">
        <v>172.4</v>
      </c>
      <c r="P3776" s="7">
        <v>507.2</v>
      </c>
      <c r="Q3776" s="7">
        <v>364.6</v>
      </c>
      <c r="R3776" s="7">
        <v>231.2</v>
      </c>
      <c r="S3776" s="7">
        <v>266.8</v>
      </c>
    </row>
    <row r="3777" spans="1:19" x14ac:dyDescent="0.2">
      <c r="A3777">
        <v>3776</v>
      </c>
      <c r="B3777" s="1">
        <v>40827</v>
      </c>
      <c r="C3777" t="s">
        <v>28</v>
      </c>
      <c r="D3777" s="7">
        <v>89</v>
      </c>
      <c r="E3777" s="7">
        <v>14</v>
      </c>
      <c r="F3777" s="7">
        <f t="shared" si="59"/>
        <v>3</v>
      </c>
      <c r="G3777" s="7" t="str">
        <f>LOOKUP(H3777,[1]startdates!$A$2:$A$10,[1]startdates!$B$2:$B$10)</f>
        <v>FMr</v>
      </c>
      <c r="H3777">
        <v>7</v>
      </c>
      <c r="I3777" s="7">
        <v>640.4</v>
      </c>
      <c r="K3777" s="7">
        <v>618.9</v>
      </c>
      <c r="L3777" s="7">
        <v>403.6</v>
      </c>
      <c r="M3777" s="7">
        <v>312.5</v>
      </c>
      <c r="N3777" s="7">
        <v>215.1</v>
      </c>
      <c r="O3777" s="7">
        <v>157.4</v>
      </c>
      <c r="P3777" s="7">
        <v>545.29999999999995</v>
      </c>
      <c r="Q3777" s="7">
        <v>307.5</v>
      </c>
      <c r="S3777" s="7">
        <v>266.8</v>
      </c>
    </row>
    <row r="3778" spans="1:19" x14ac:dyDescent="0.2">
      <c r="A3778">
        <v>3777</v>
      </c>
      <c r="B3778" s="1">
        <v>40827</v>
      </c>
      <c r="C3778" t="s">
        <v>28</v>
      </c>
      <c r="D3778" s="7">
        <v>89</v>
      </c>
      <c r="E3778" s="7">
        <v>14</v>
      </c>
      <c r="F3778" s="7">
        <f t="shared" si="59"/>
        <v>3</v>
      </c>
      <c r="G3778" s="7" t="str">
        <f>LOOKUP(H3778,[1]startdates!$A$2:$A$10,[1]startdates!$B$2:$B$10)</f>
        <v>FMr</v>
      </c>
      <c r="H3778">
        <v>7</v>
      </c>
      <c r="I3778" s="7">
        <v>566.29999999999995</v>
      </c>
      <c r="K3778" s="7">
        <v>561.20000000000005</v>
      </c>
      <c r="L3778" s="7">
        <v>404.4</v>
      </c>
      <c r="M3778" s="7">
        <v>335.3</v>
      </c>
      <c r="N3778" s="7">
        <v>224.3</v>
      </c>
      <c r="O3778" s="7">
        <v>156</v>
      </c>
      <c r="P3778" s="7">
        <v>444.9</v>
      </c>
      <c r="Q3778" s="7">
        <v>331.7</v>
      </c>
    </row>
    <row r="3779" spans="1:19" x14ac:dyDescent="0.2">
      <c r="A3779">
        <v>3778</v>
      </c>
      <c r="B3779" s="1">
        <v>40827</v>
      </c>
      <c r="C3779" t="s">
        <v>28</v>
      </c>
      <c r="D3779" s="7">
        <v>89</v>
      </c>
      <c r="E3779" s="7">
        <v>14</v>
      </c>
      <c r="F3779" s="7">
        <f t="shared" si="59"/>
        <v>3</v>
      </c>
      <c r="G3779" s="7" t="str">
        <f>LOOKUP(H3779,[1]startdates!$A$2:$A$10,[1]startdates!$B$2:$B$10)</f>
        <v>FMr</v>
      </c>
      <c r="H3779">
        <v>7</v>
      </c>
      <c r="I3779" s="7">
        <v>554.4</v>
      </c>
      <c r="K3779" s="7">
        <v>469.9</v>
      </c>
      <c r="L3779" s="7">
        <v>464.4</v>
      </c>
      <c r="M3779" s="7">
        <v>353.8</v>
      </c>
      <c r="N3779" s="7">
        <v>178.2</v>
      </c>
      <c r="O3779" s="7">
        <v>195.7</v>
      </c>
      <c r="P3779" s="7">
        <v>510.2</v>
      </c>
    </row>
    <row r="3780" spans="1:19" x14ac:dyDescent="0.2">
      <c r="A3780">
        <v>3779</v>
      </c>
      <c r="B3780" s="1">
        <v>40827</v>
      </c>
      <c r="C3780" t="s">
        <v>28</v>
      </c>
      <c r="D3780" s="7">
        <v>89</v>
      </c>
      <c r="E3780" s="7">
        <v>14</v>
      </c>
      <c r="F3780" s="7">
        <f t="shared" si="59"/>
        <v>3</v>
      </c>
      <c r="G3780" s="7" t="str">
        <f>LOOKUP(H3780,[1]startdates!$A$2:$A$10,[1]startdates!$B$2:$B$10)</f>
        <v>FMr</v>
      </c>
      <c r="H3780">
        <v>7</v>
      </c>
      <c r="I3780" s="7">
        <v>537.6</v>
      </c>
      <c r="K3780" s="7">
        <v>535.9</v>
      </c>
      <c r="L3780" s="7">
        <v>481.5</v>
      </c>
      <c r="M3780" s="7">
        <v>304.10000000000002</v>
      </c>
      <c r="N3780" s="7">
        <v>219.7</v>
      </c>
      <c r="O3780" s="7">
        <v>203.1</v>
      </c>
    </row>
    <row r="3781" spans="1:19" x14ac:dyDescent="0.2">
      <c r="A3781">
        <v>3780</v>
      </c>
      <c r="B3781" s="1">
        <v>40827</v>
      </c>
      <c r="C3781" t="s">
        <v>28</v>
      </c>
      <c r="D3781" s="7">
        <v>89</v>
      </c>
      <c r="E3781" s="7">
        <v>14</v>
      </c>
      <c r="F3781" s="7">
        <f t="shared" si="59"/>
        <v>3</v>
      </c>
      <c r="G3781" s="7" t="str">
        <f>LOOKUP(H3781,[1]startdates!$A$2:$A$10,[1]startdates!$B$2:$B$10)</f>
        <v>FMr</v>
      </c>
      <c r="H3781">
        <v>7</v>
      </c>
      <c r="I3781" s="7">
        <v>507.2</v>
      </c>
      <c r="K3781" s="7">
        <v>480.8</v>
      </c>
      <c r="L3781" s="7">
        <v>490.2</v>
      </c>
      <c r="M3781" s="7">
        <v>336.1</v>
      </c>
      <c r="N3781" s="7">
        <v>261.5</v>
      </c>
      <c r="O3781" s="7">
        <v>158.1</v>
      </c>
    </row>
    <row r="3782" spans="1:19" x14ac:dyDescent="0.2">
      <c r="A3782">
        <v>3781</v>
      </c>
      <c r="B3782" s="1">
        <v>40827</v>
      </c>
      <c r="C3782" t="s">
        <v>28</v>
      </c>
      <c r="D3782" s="7">
        <v>89</v>
      </c>
      <c r="E3782" s="7">
        <v>14</v>
      </c>
      <c r="F3782" s="7">
        <f t="shared" si="59"/>
        <v>3</v>
      </c>
      <c r="G3782" s="7" t="str">
        <f>LOOKUP(H3782,[1]startdates!$A$2:$A$10,[1]startdates!$B$2:$B$10)</f>
        <v>FMr</v>
      </c>
      <c r="H3782">
        <v>7</v>
      </c>
      <c r="I3782" s="7">
        <v>509.4</v>
      </c>
      <c r="K3782" s="7">
        <v>641</v>
      </c>
      <c r="M3782" s="7">
        <v>322.7</v>
      </c>
      <c r="N3782" s="7">
        <v>212.4</v>
      </c>
      <c r="O3782" s="7">
        <v>145.19999999999999</v>
      </c>
    </row>
    <row r="3783" spans="1:19" x14ac:dyDescent="0.2">
      <c r="A3783">
        <v>3782</v>
      </c>
      <c r="B3783" s="1">
        <v>40827</v>
      </c>
      <c r="C3783" t="s">
        <v>28</v>
      </c>
      <c r="D3783" s="7">
        <v>89</v>
      </c>
      <c r="E3783" s="7">
        <v>14</v>
      </c>
      <c r="F3783" s="7">
        <f t="shared" si="59"/>
        <v>3</v>
      </c>
      <c r="G3783" s="7" t="str">
        <f>LOOKUP(H3783,[1]startdates!$A$2:$A$10,[1]startdates!$B$2:$B$10)</f>
        <v>FMr</v>
      </c>
      <c r="H3783">
        <v>7</v>
      </c>
      <c r="I3783" s="7">
        <v>660.8</v>
      </c>
      <c r="M3783" s="7">
        <v>339.4</v>
      </c>
      <c r="N3783" s="7">
        <v>207.4</v>
      </c>
      <c r="O3783" s="7">
        <v>141.6</v>
      </c>
    </row>
    <row r="3784" spans="1:19" x14ac:dyDescent="0.2">
      <c r="A3784">
        <v>3783</v>
      </c>
      <c r="B3784" s="1">
        <v>40827</v>
      </c>
      <c r="C3784" t="s">
        <v>28</v>
      </c>
      <c r="D3784" s="7">
        <v>89</v>
      </c>
      <c r="E3784" s="7">
        <v>14</v>
      </c>
      <c r="F3784" s="7">
        <f t="shared" si="59"/>
        <v>3</v>
      </c>
      <c r="G3784" s="7" t="str">
        <f>LOOKUP(H3784,[1]startdates!$A$2:$A$10,[1]startdates!$B$2:$B$10)</f>
        <v>FMr</v>
      </c>
      <c r="H3784">
        <v>7</v>
      </c>
      <c r="I3784" s="7">
        <v>589.9</v>
      </c>
      <c r="M3784" s="7">
        <v>329.3</v>
      </c>
      <c r="N3784" s="7">
        <v>212.4</v>
      </c>
      <c r="O3784" s="7">
        <v>159.30000000000001</v>
      </c>
    </row>
    <row r="3785" spans="1:19" x14ac:dyDescent="0.2">
      <c r="A3785">
        <v>3784</v>
      </c>
      <c r="B3785" s="1">
        <v>40827</v>
      </c>
      <c r="C3785" t="s">
        <v>28</v>
      </c>
      <c r="D3785" s="7">
        <v>89</v>
      </c>
      <c r="E3785" s="7">
        <v>14</v>
      </c>
      <c r="F3785" s="7">
        <f t="shared" si="59"/>
        <v>3</v>
      </c>
      <c r="G3785" s="7" t="str">
        <f>LOOKUP(H3785,[1]startdates!$A$2:$A$10,[1]startdates!$B$2:$B$10)</f>
        <v>FMr</v>
      </c>
      <c r="H3785">
        <v>7</v>
      </c>
      <c r="I3785" s="7">
        <v>651.9</v>
      </c>
      <c r="M3785" s="7">
        <v>351.3</v>
      </c>
      <c r="N3785" s="7">
        <v>230.5</v>
      </c>
      <c r="O3785" s="7">
        <v>172.5</v>
      </c>
    </row>
    <row r="3786" spans="1:19" x14ac:dyDescent="0.2">
      <c r="A3786">
        <v>3785</v>
      </c>
      <c r="B3786" s="1">
        <v>40827</v>
      </c>
      <c r="C3786" t="s">
        <v>28</v>
      </c>
      <c r="D3786" s="7">
        <v>89</v>
      </c>
      <c r="E3786" s="7">
        <v>14</v>
      </c>
      <c r="F3786" s="7">
        <f t="shared" si="59"/>
        <v>3</v>
      </c>
      <c r="G3786" s="7" t="str">
        <f>LOOKUP(H3786,[1]startdates!$A$2:$A$10,[1]startdates!$B$2:$B$10)</f>
        <v>FMr</v>
      </c>
      <c r="H3786">
        <v>7</v>
      </c>
      <c r="I3786" s="7">
        <v>584</v>
      </c>
      <c r="M3786" s="7">
        <v>360.9</v>
      </c>
      <c r="N3786" s="7">
        <v>296.8</v>
      </c>
    </row>
    <row r="3787" spans="1:19" x14ac:dyDescent="0.2">
      <c r="A3787">
        <v>3786</v>
      </c>
      <c r="B3787" s="1">
        <v>40827</v>
      </c>
      <c r="C3787" t="s">
        <v>28</v>
      </c>
      <c r="D3787" s="7">
        <v>89</v>
      </c>
      <c r="E3787" s="7">
        <v>14</v>
      </c>
      <c r="F3787" s="7">
        <f t="shared" si="59"/>
        <v>3</v>
      </c>
      <c r="G3787" s="7" t="str">
        <f>LOOKUP(H3787,[1]startdates!$A$2:$A$10,[1]startdates!$B$2:$B$10)</f>
        <v>FMr</v>
      </c>
      <c r="H3787">
        <v>7</v>
      </c>
      <c r="I3787" s="7">
        <v>559.29999999999995</v>
      </c>
    </row>
    <row r="3788" spans="1:19" x14ac:dyDescent="0.2">
      <c r="A3788">
        <v>3787</v>
      </c>
      <c r="B3788" s="1">
        <v>40827</v>
      </c>
      <c r="C3788" t="s">
        <v>28</v>
      </c>
      <c r="D3788" s="7">
        <v>89</v>
      </c>
      <c r="E3788" s="7">
        <v>14</v>
      </c>
      <c r="F3788" s="7">
        <f t="shared" si="59"/>
        <v>3</v>
      </c>
      <c r="G3788" s="7" t="str">
        <f>LOOKUP(H3788,[1]startdates!$A$2:$A$10,[1]startdates!$B$2:$B$10)</f>
        <v>FMr</v>
      </c>
      <c r="H3788">
        <v>7</v>
      </c>
      <c r="I3788" s="7">
        <v>567.70000000000005</v>
      </c>
    </row>
    <row r="3789" spans="1:19" x14ac:dyDescent="0.2">
      <c r="A3789">
        <v>3788</v>
      </c>
      <c r="B3789" s="1">
        <v>40827</v>
      </c>
      <c r="C3789" t="s">
        <v>28</v>
      </c>
      <c r="D3789" s="7">
        <v>89</v>
      </c>
      <c r="E3789" s="7">
        <v>14</v>
      </c>
      <c r="F3789" s="7">
        <f t="shared" si="59"/>
        <v>3</v>
      </c>
      <c r="G3789" s="7" t="str">
        <f>LOOKUP(H3789,[1]startdates!$A$2:$A$10,[1]startdates!$B$2:$B$10)</f>
        <v>FMr</v>
      </c>
      <c r="H3789">
        <v>7</v>
      </c>
      <c r="I3789" s="7">
        <v>621.1</v>
      </c>
    </row>
    <row r="3790" spans="1:19" x14ac:dyDescent="0.2">
      <c r="A3790">
        <v>3789</v>
      </c>
      <c r="B3790" s="1">
        <v>40827</v>
      </c>
      <c r="C3790" t="s">
        <v>28</v>
      </c>
      <c r="D3790" s="7">
        <v>89</v>
      </c>
      <c r="E3790" s="7">
        <v>14</v>
      </c>
      <c r="F3790" s="7">
        <f t="shared" si="59"/>
        <v>3</v>
      </c>
      <c r="G3790" s="7" t="str">
        <f>LOOKUP(H3790,[1]startdates!$A$2:$A$10,[1]startdates!$B$2:$B$10)</f>
        <v>C</v>
      </c>
      <c r="H3790">
        <v>8</v>
      </c>
      <c r="I3790" s="7">
        <v>532</v>
      </c>
      <c r="J3790" s="7">
        <v>572.9</v>
      </c>
      <c r="K3790" s="7">
        <v>645.5</v>
      </c>
      <c r="L3790" s="7">
        <v>457.8</v>
      </c>
      <c r="M3790" s="7">
        <v>354.1</v>
      </c>
      <c r="N3790" s="7">
        <v>228.7</v>
      </c>
      <c r="O3790" s="7">
        <v>176.9</v>
      </c>
      <c r="P3790" s="7">
        <v>453</v>
      </c>
      <c r="Q3790" s="7">
        <v>361</v>
      </c>
      <c r="R3790" s="7">
        <v>265.60000000000002</v>
      </c>
      <c r="S3790" s="7">
        <v>257.7</v>
      </c>
    </row>
    <row r="3791" spans="1:19" x14ac:dyDescent="0.2">
      <c r="A3791">
        <v>3790</v>
      </c>
      <c r="B3791" s="1">
        <v>40827</v>
      </c>
      <c r="C3791" t="s">
        <v>28</v>
      </c>
      <c r="D3791" s="7">
        <v>89</v>
      </c>
      <c r="E3791" s="7">
        <v>14</v>
      </c>
      <c r="F3791" s="7">
        <f t="shared" si="59"/>
        <v>3</v>
      </c>
      <c r="G3791" s="7" t="str">
        <f>LOOKUP(H3791,[1]startdates!$A$2:$A$10,[1]startdates!$B$2:$B$10)</f>
        <v>C</v>
      </c>
      <c r="H3791">
        <v>8</v>
      </c>
      <c r="I3791" s="7">
        <v>656.5</v>
      </c>
      <c r="J3791" s="7">
        <v>520.79999999999995</v>
      </c>
      <c r="K3791" s="7">
        <v>643.29999999999995</v>
      </c>
      <c r="L3791" s="7">
        <v>488</v>
      </c>
      <c r="M3791" s="7">
        <v>342.6</v>
      </c>
      <c r="N3791" s="7">
        <v>207.4</v>
      </c>
      <c r="O3791" s="7">
        <v>166.9</v>
      </c>
      <c r="P3791" s="7">
        <v>508.6</v>
      </c>
      <c r="S3791" s="7">
        <v>284.10000000000002</v>
      </c>
    </row>
    <row r="3792" spans="1:19" x14ac:dyDescent="0.2">
      <c r="A3792">
        <v>3791</v>
      </c>
      <c r="B3792" s="1">
        <v>40827</v>
      </c>
      <c r="C3792" t="s">
        <v>28</v>
      </c>
      <c r="D3792" s="7">
        <v>89</v>
      </c>
      <c r="E3792" s="7">
        <v>14</v>
      </c>
      <c r="F3792" s="7">
        <f t="shared" si="59"/>
        <v>3</v>
      </c>
      <c r="G3792" s="7" t="str">
        <f>LOOKUP(H3792,[1]startdates!$A$2:$A$10,[1]startdates!$B$2:$B$10)</f>
        <v>C</v>
      </c>
      <c r="H3792">
        <v>8</v>
      </c>
      <c r="I3792" s="7">
        <v>546.1</v>
      </c>
      <c r="J3792" s="7">
        <v>493.6</v>
      </c>
      <c r="K3792" s="7">
        <v>527.1</v>
      </c>
      <c r="L3792" s="7">
        <v>486.5</v>
      </c>
      <c r="M3792" s="7">
        <v>322.7</v>
      </c>
      <c r="N3792" s="7">
        <v>285.89999999999998</v>
      </c>
      <c r="O3792" s="7">
        <v>166.1</v>
      </c>
      <c r="S3792" s="7">
        <v>262.2</v>
      </c>
    </row>
    <row r="3793" spans="1:19" x14ac:dyDescent="0.2">
      <c r="A3793">
        <v>3792</v>
      </c>
      <c r="B3793" s="1">
        <v>40827</v>
      </c>
      <c r="C3793" t="s">
        <v>28</v>
      </c>
      <c r="D3793" s="7">
        <v>89</v>
      </c>
      <c r="E3793" s="7">
        <v>14</v>
      </c>
      <c r="F3793" s="7">
        <f t="shared" si="59"/>
        <v>3</v>
      </c>
      <c r="G3793" s="7" t="str">
        <f>LOOKUP(H3793,[1]startdates!$A$2:$A$10,[1]startdates!$B$2:$B$10)</f>
        <v>C</v>
      </c>
      <c r="H3793">
        <v>8</v>
      </c>
      <c r="I3793" s="7">
        <v>508.6</v>
      </c>
      <c r="J3793" s="7">
        <v>523.6</v>
      </c>
      <c r="K3793" s="7">
        <v>665.9</v>
      </c>
      <c r="L3793" s="7">
        <v>468</v>
      </c>
      <c r="M3793" s="7">
        <v>353.6</v>
      </c>
      <c r="N3793" s="7">
        <v>245.2</v>
      </c>
      <c r="O3793" s="7">
        <v>192.7</v>
      </c>
      <c r="S3793" s="7">
        <v>280.39999999999998</v>
      </c>
    </row>
    <row r="3794" spans="1:19" x14ac:dyDescent="0.2">
      <c r="A3794">
        <v>3793</v>
      </c>
      <c r="B3794" s="1">
        <v>40827</v>
      </c>
      <c r="C3794" t="s">
        <v>28</v>
      </c>
      <c r="D3794" s="7">
        <v>89</v>
      </c>
      <c r="E3794" s="7">
        <v>14</v>
      </c>
      <c r="F3794" s="7">
        <f t="shared" si="59"/>
        <v>3</v>
      </c>
      <c r="G3794" s="7" t="str">
        <f>LOOKUP(H3794,[1]startdates!$A$2:$A$10,[1]startdates!$B$2:$B$10)</f>
        <v>C</v>
      </c>
      <c r="H3794">
        <v>8</v>
      </c>
      <c r="I3794" s="7">
        <v>635.70000000000005</v>
      </c>
      <c r="J3794" s="7">
        <v>575.5</v>
      </c>
      <c r="K3794" s="7">
        <v>617.5</v>
      </c>
      <c r="M3794" s="7">
        <v>357.5</v>
      </c>
      <c r="N3794" s="7">
        <v>192.7</v>
      </c>
      <c r="O3794" s="7">
        <v>162.69999999999999</v>
      </c>
      <c r="S3794" s="7">
        <v>285.89999999999998</v>
      </c>
    </row>
    <row r="3795" spans="1:19" x14ac:dyDescent="0.2">
      <c r="A3795">
        <v>3794</v>
      </c>
      <c r="B3795" s="1">
        <v>40827</v>
      </c>
      <c r="C3795" t="s">
        <v>28</v>
      </c>
      <c r="D3795" s="7">
        <v>89</v>
      </c>
      <c r="E3795" s="7">
        <v>14</v>
      </c>
      <c r="F3795" s="7">
        <f t="shared" si="59"/>
        <v>3</v>
      </c>
      <c r="G3795" s="7" t="str">
        <f>LOOKUP(H3795,[1]startdates!$A$2:$A$10,[1]startdates!$B$2:$B$10)</f>
        <v>C</v>
      </c>
      <c r="H3795">
        <v>8</v>
      </c>
      <c r="I3795" s="7">
        <v>771.6</v>
      </c>
      <c r="J3795" s="7">
        <v>539.29999999999995</v>
      </c>
      <c r="K3795" s="7">
        <v>626.6</v>
      </c>
      <c r="M3795" s="7">
        <v>298.39999999999998</v>
      </c>
      <c r="N3795" s="7">
        <v>263.39999999999998</v>
      </c>
      <c r="O3795" s="7">
        <v>140.1</v>
      </c>
      <c r="S3795" s="7">
        <v>280.39999999999998</v>
      </c>
    </row>
    <row r="3796" spans="1:19" x14ac:dyDescent="0.2">
      <c r="A3796">
        <v>3795</v>
      </c>
      <c r="B3796" s="1">
        <v>40827</v>
      </c>
      <c r="C3796" t="s">
        <v>28</v>
      </c>
      <c r="D3796" s="7">
        <v>89</v>
      </c>
      <c r="E3796" s="7">
        <v>14</v>
      </c>
      <c r="F3796" s="7">
        <f t="shared" si="59"/>
        <v>3</v>
      </c>
      <c r="G3796" s="7" t="str">
        <f>LOOKUP(H3796,[1]startdates!$A$2:$A$10,[1]startdates!$B$2:$B$10)</f>
        <v>C</v>
      </c>
      <c r="H3796">
        <v>8</v>
      </c>
      <c r="I3796" s="7">
        <v>547.29999999999995</v>
      </c>
      <c r="M3796" s="7">
        <v>343.2</v>
      </c>
      <c r="N3796" s="7">
        <v>254.2</v>
      </c>
      <c r="O3796" s="7">
        <v>161.69999999999999</v>
      </c>
    </row>
    <row r="3797" spans="1:19" x14ac:dyDescent="0.2">
      <c r="A3797">
        <v>3796</v>
      </c>
      <c r="B3797" s="1">
        <v>40827</v>
      </c>
      <c r="C3797" t="s">
        <v>28</v>
      </c>
      <c r="D3797" s="7">
        <v>89</v>
      </c>
      <c r="E3797" s="7">
        <v>14</v>
      </c>
      <c r="F3797" s="7">
        <f t="shared" si="59"/>
        <v>3</v>
      </c>
      <c r="G3797" s="7" t="str">
        <f>LOOKUP(H3797,[1]startdates!$A$2:$A$10,[1]startdates!$B$2:$B$10)</f>
        <v>C</v>
      </c>
      <c r="H3797">
        <v>8</v>
      </c>
      <c r="I3797" s="7">
        <v>634.79999999999995</v>
      </c>
      <c r="M3797" s="7">
        <v>303.60000000000002</v>
      </c>
      <c r="N3797" s="7">
        <v>235.3</v>
      </c>
      <c r="O3797" s="7">
        <v>141.6</v>
      </c>
    </row>
    <row r="3798" spans="1:19" x14ac:dyDescent="0.2">
      <c r="A3798">
        <v>3797</v>
      </c>
      <c r="B3798" s="1">
        <v>40827</v>
      </c>
      <c r="C3798" t="s">
        <v>28</v>
      </c>
      <c r="D3798" s="7">
        <v>89</v>
      </c>
      <c r="E3798" s="7">
        <v>14</v>
      </c>
      <c r="F3798" s="7">
        <f t="shared" si="59"/>
        <v>3</v>
      </c>
      <c r="G3798" s="7" t="str">
        <f>LOOKUP(H3798,[1]startdates!$A$2:$A$10,[1]startdates!$B$2:$B$10)</f>
        <v>C</v>
      </c>
      <c r="H3798">
        <v>8</v>
      </c>
      <c r="I3798" s="7">
        <v>530.20000000000005</v>
      </c>
      <c r="M3798" s="7">
        <v>327</v>
      </c>
      <c r="N3798" s="7">
        <v>200.3</v>
      </c>
      <c r="O3798" s="7">
        <v>181.1</v>
      </c>
    </row>
    <row r="3799" spans="1:19" x14ac:dyDescent="0.2">
      <c r="A3799">
        <v>3798</v>
      </c>
      <c r="B3799" s="1">
        <v>40827</v>
      </c>
      <c r="C3799" t="s">
        <v>28</v>
      </c>
      <c r="D3799" s="7">
        <v>89</v>
      </c>
      <c r="E3799" s="7">
        <v>14</v>
      </c>
      <c r="F3799" s="7">
        <f t="shared" si="59"/>
        <v>3</v>
      </c>
      <c r="G3799" s="7" t="str">
        <f>LOOKUP(H3799,[1]startdates!$A$2:$A$10,[1]startdates!$B$2:$B$10)</f>
        <v>C</v>
      </c>
      <c r="H3799">
        <v>8</v>
      </c>
      <c r="I3799" s="7">
        <v>622.4</v>
      </c>
      <c r="M3799" s="7">
        <v>362.7</v>
      </c>
      <c r="N3799" s="7">
        <v>267.7</v>
      </c>
      <c r="O3799" s="7">
        <v>145.80000000000001</v>
      </c>
    </row>
    <row r="3800" spans="1:19" x14ac:dyDescent="0.2">
      <c r="A3800">
        <v>3799</v>
      </c>
      <c r="B3800" s="1">
        <v>40827</v>
      </c>
      <c r="C3800" t="s">
        <v>28</v>
      </c>
      <c r="D3800" s="7">
        <v>89</v>
      </c>
      <c r="E3800" s="7">
        <v>14</v>
      </c>
      <c r="F3800" s="7">
        <f t="shared" si="59"/>
        <v>3</v>
      </c>
      <c r="G3800" s="7" t="str">
        <f>LOOKUP(H3800,[1]startdates!$A$2:$A$10,[1]startdates!$B$2:$B$10)</f>
        <v>C</v>
      </c>
      <c r="H3800">
        <v>8</v>
      </c>
      <c r="I3800" s="7">
        <v>787.1</v>
      </c>
      <c r="M3800" s="7">
        <v>354.1</v>
      </c>
    </row>
    <row r="3801" spans="1:19" x14ac:dyDescent="0.2">
      <c r="A3801">
        <v>3800</v>
      </c>
      <c r="B3801" s="1">
        <v>40827</v>
      </c>
      <c r="C3801" t="s">
        <v>28</v>
      </c>
      <c r="D3801" s="7">
        <v>89</v>
      </c>
      <c r="E3801" s="7">
        <v>14</v>
      </c>
      <c r="F3801" s="7">
        <f t="shared" si="59"/>
        <v>3</v>
      </c>
      <c r="G3801" s="7" t="str">
        <f>LOOKUP(H3801,[1]startdates!$A$2:$A$10,[1]startdates!$B$2:$B$10)</f>
        <v>C</v>
      </c>
      <c r="H3801">
        <v>8</v>
      </c>
      <c r="I3801" s="7">
        <v>693.3</v>
      </c>
      <c r="M3801" s="7">
        <v>349.9</v>
      </c>
    </row>
    <row r="3802" spans="1:19" x14ac:dyDescent="0.2">
      <c r="A3802">
        <v>3801</v>
      </c>
      <c r="B3802" s="1">
        <v>40827</v>
      </c>
      <c r="C3802" t="s">
        <v>28</v>
      </c>
      <c r="D3802" s="7">
        <v>89</v>
      </c>
      <c r="E3802" s="7">
        <v>14</v>
      </c>
      <c r="F3802" s="7">
        <f t="shared" si="59"/>
        <v>3</v>
      </c>
      <c r="G3802" s="7" t="str">
        <f>LOOKUP(H3802,[1]startdates!$A$2:$A$10,[1]startdates!$B$2:$B$10)</f>
        <v>C</v>
      </c>
      <c r="H3802">
        <v>8</v>
      </c>
      <c r="I3802" s="7">
        <v>676.2</v>
      </c>
    </row>
    <row r="3803" spans="1:19" x14ac:dyDescent="0.2">
      <c r="A3803">
        <v>3802</v>
      </c>
      <c r="B3803" s="1">
        <v>40827</v>
      </c>
      <c r="C3803" t="s">
        <v>28</v>
      </c>
      <c r="D3803" s="7">
        <v>89</v>
      </c>
      <c r="E3803" s="7">
        <v>14</v>
      </c>
      <c r="F3803" s="7">
        <f t="shared" si="59"/>
        <v>3</v>
      </c>
      <c r="G3803" s="7" t="str">
        <f>LOOKUP(H3803,[1]startdates!$A$2:$A$10,[1]startdates!$B$2:$B$10)</f>
        <v>C</v>
      </c>
      <c r="H3803">
        <v>8</v>
      </c>
      <c r="I3803" s="7">
        <v>702</v>
      </c>
    </row>
    <row r="3804" spans="1:19" x14ac:dyDescent="0.2">
      <c r="A3804">
        <v>3803</v>
      </c>
      <c r="B3804" s="1">
        <v>40827</v>
      </c>
      <c r="C3804" t="s">
        <v>24</v>
      </c>
      <c r="D3804" s="7">
        <v>89</v>
      </c>
      <c r="E3804" s="7">
        <v>14</v>
      </c>
      <c r="F3804" s="7">
        <f t="shared" si="59"/>
        <v>3</v>
      </c>
      <c r="G3804" s="7" t="str">
        <f>LOOKUP(H3804,[1]startdates!$A$2:$A$10,[1]startdates!$B$2:$B$10)</f>
        <v>FMr</v>
      </c>
      <c r="H3804">
        <v>9</v>
      </c>
      <c r="I3804" s="7">
        <v>650.9</v>
      </c>
      <c r="K3804" s="7">
        <v>587.1</v>
      </c>
      <c r="L3804" s="7">
        <v>426.2</v>
      </c>
      <c r="M3804" s="7">
        <v>347.4</v>
      </c>
      <c r="N3804" s="7">
        <v>210</v>
      </c>
      <c r="O3804" s="7">
        <v>180.6</v>
      </c>
      <c r="P3804" s="7">
        <v>478.6</v>
      </c>
      <c r="Q3804" s="7">
        <v>381</v>
      </c>
      <c r="R3804" s="7">
        <v>259.39999999999998</v>
      </c>
      <c r="S3804" s="7">
        <v>288.39999999999998</v>
      </c>
    </row>
    <row r="3805" spans="1:19" x14ac:dyDescent="0.2">
      <c r="A3805">
        <v>3804</v>
      </c>
      <c r="B3805" s="1">
        <v>40827</v>
      </c>
      <c r="C3805" t="s">
        <v>24</v>
      </c>
      <c r="D3805" s="7">
        <v>89</v>
      </c>
      <c r="E3805" s="7">
        <v>14</v>
      </c>
      <c r="F3805" s="7">
        <f t="shared" si="59"/>
        <v>3</v>
      </c>
      <c r="G3805" s="7" t="str">
        <f>LOOKUP(H3805,[1]startdates!$A$2:$A$10,[1]startdates!$B$2:$B$10)</f>
        <v>FMr</v>
      </c>
      <c r="H3805">
        <v>9</v>
      </c>
      <c r="I3805" s="7">
        <v>596.79999999999995</v>
      </c>
      <c r="K3805" s="7">
        <v>577.20000000000005</v>
      </c>
      <c r="L3805" s="7">
        <v>414.6</v>
      </c>
      <c r="M3805" s="7">
        <v>372.7</v>
      </c>
      <c r="N3805" s="7">
        <v>210.4</v>
      </c>
      <c r="O3805" s="7">
        <v>181.3</v>
      </c>
      <c r="P3805" s="7">
        <v>487.4</v>
      </c>
      <c r="Q3805" s="7">
        <v>382.7</v>
      </c>
      <c r="R3805" s="7">
        <v>246.7</v>
      </c>
    </row>
    <row r="3806" spans="1:19" x14ac:dyDescent="0.2">
      <c r="A3806">
        <v>3805</v>
      </c>
      <c r="B3806" s="1">
        <v>40827</v>
      </c>
      <c r="C3806" t="s">
        <v>24</v>
      </c>
      <c r="D3806" s="7">
        <v>89</v>
      </c>
      <c r="E3806" s="7">
        <v>14</v>
      </c>
      <c r="F3806" s="7">
        <f t="shared" si="59"/>
        <v>3</v>
      </c>
      <c r="G3806" s="7" t="str">
        <f>LOOKUP(H3806,[1]startdates!$A$2:$A$10,[1]startdates!$B$2:$B$10)</f>
        <v>FMr</v>
      </c>
      <c r="H3806">
        <v>9</v>
      </c>
      <c r="I3806" s="7">
        <v>600.5</v>
      </c>
      <c r="K3806" s="7">
        <v>532.70000000000005</v>
      </c>
      <c r="L3806" s="7">
        <v>445.2</v>
      </c>
      <c r="M3806" s="7">
        <v>385.2</v>
      </c>
      <c r="N3806" s="7">
        <v>273.10000000000002</v>
      </c>
      <c r="O3806" s="7">
        <v>173.3</v>
      </c>
      <c r="Q3806" s="7">
        <v>329.4</v>
      </c>
    </row>
    <row r="3807" spans="1:19" x14ac:dyDescent="0.2">
      <c r="A3807">
        <v>3806</v>
      </c>
      <c r="B3807" s="1">
        <v>40827</v>
      </c>
      <c r="C3807" t="s">
        <v>24</v>
      </c>
      <c r="D3807" s="7">
        <v>89</v>
      </c>
      <c r="E3807" s="7">
        <v>14</v>
      </c>
      <c r="F3807" s="7">
        <f t="shared" si="59"/>
        <v>3</v>
      </c>
      <c r="G3807" s="7" t="str">
        <f>LOOKUP(H3807,[1]startdates!$A$2:$A$10,[1]startdates!$B$2:$B$10)</f>
        <v>FMr</v>
      </c>
      <c r="H3807">
        <v>9</v>
      </c>
      <c r="I3807" s="7">
        <v>599.29999999999995</v>
      </c>
      <c r="K3807" s="7">
        <v>494.6</v>
      </c>
      <c r="L3807" s="7">
        <v>397.8</v>
      </c>
      <c r="M3807" s="7">
        <v>330.7</v>
      </c>
      <c r="N3807" s="7">
        <v>202.8</v>
      </c>
      <c r="O3807" s="7">
        <v>171.3</v>
      </c>
      <c r="Q3807" s="7">
        <v>325.39999999999998</v>
      </c>
    </row>
    <row r="3808" spans="1:19" x14ac:dyDescent="0.2">
      <c r="A3808">
        <v>3807</v>
      </c>
      <c r="B3808" s="1">
        <v>40827</v>
      </c>
      <c r="C3808" t="s">
        <v>24</v>
      </c>
      <c r="D3808" s="7">
        <v>89</v>
      </c>
      <c r="E3808" s="7">
        <v>14</v>
      </c>
      <c r="F3808" s="7">
        <f t="shared" si="59"/>
        <v>3</v>
      </c>
      <c r="G3808" s="7" t="str">
        <f>LOOKUP(H3808,[1]startdates!$A$2:$A$10,[1]startdates!$B$2:$B$10)</f>
        <v>FMr</v>
      </c>
      <c r="H3808">
        <v>9</v>
      </c>
      <c r="I3808" s="7">
        <v>625.29999999999995</v>
      </c>
      <c r="K3808" s="7">
        <v>519.70000000000005</v>
      </c>
      <c r="L3808" s="7">
        <v>358.9</v>
      </c>
      <c r="M3808" s="7">
        <v>398.7</v>
      </c>
      <c r="N3808" s="7">
        <v>220.9</v>
      </c>
      <c r="O3808" s="7">
        <v>176.7</v>
      </c>
    </row>
    <row r="3809" spans="1:19" x14ac:dyDescent="0.2">
      <c r="A3809">
        <v>3808</v>
      </c>
      <c r="B3809" s="1">
        <v>40827</v>
      </c>
      <c r="C3809" t="s">
        <v>24</v>
      </c>
      <c r="D3809" s="7">
        <v>89</v>
      </c>
      <c r="E3809" s="7">
        <v>14</v>
      </c>
      <c r="F3809" s="7">
        <f t="shared" si="59"/>
        <v>3</v>
      </c>
      <c r="G3809" s="7" t="str">
        <f>LOOKUP(H3809,[1]startdates!$A$2:$A$10,[1]startdates!$B$2:$B$10)</f>
        <v>FMr</v>
      </c>
      <c r="H3809">
        <v>9</v>
      </c>
      <c r="I3809" s="7">
        <v>592.79999999999995</v>
      </c>
      <c r="K3809" s="7">
        <v>501.4</v>
      </c>
      <c r="L3809" s="7">
        <v>356.4</v>
      </c>
      <c r="M3809" s="7">
        <v>332.1</v>
      </c>
      <c r="N3809" s="7">
        <v>204.2</v>
      </c>
      <c r="O3809" s="7">
        <v>153.6</v>
      </c>
    </row>
    <row r="3810" spans="1:19" x14ac:dyDescent="0.2">
      <c r="A3810">
        <v>3809</v>
      </c>
      <c r="B3810" s="1">
        <v>40827</v>
      </c>
      <c r="C3810" t="s">
        <v>24</v>
      </c>
      <c r="D3810" s="7">
        <v>89</v>
      </c>
      <c r="E3810" s="7">
        <v>14</v>
      </c>
      <c r="F3810" s="7">
        <f t="shared" si="59"/>
        <v>3</v>
      </c>
      <c r="G3810" s="7" t="str">
        <f>LOOKUP(H3810,[1]startdates!$A$2:$A$10,[1]startdates!$B$2:$B$10)</f>
        <v>FMr</v>
      </c>
      <c r="H3810">
        <v>9</v>
      </c>
      <c r="I3810" s="7">
        <v>581.29999999999995</v>
      </c>
      <c r="K3810" s="7">
        <v>585.4</v>
      </c>
      <c r="L3810" s="7">
        <v>417.2</v>
      </c>
      <c r="M3810" s="7">
        <v>336.7</v>
      </c>
      <c r="N3810" s="7">
        <v>235</v>
      </c>
      <c r="O3810" s="7">
        <v>181.9</v>
      </c>
    </row>
    <row r="3811" spans="1:19" x14ac:dyDescent="0.2">
      <c r="A3811">
        <v>3810</v>
      </c>
      <c r="B3811" s="1">
        <v>40827</v>
      </c>
      <c r="C3811" t="s">
        <v>24</v>
      </c>
      <c r="D3811" s="7">
        <v>89</v>
      </c>
      <c r="E3811" s="7">
        <v>14</v>
      </c>
      <c r="F3811" s="7">
        <f t="shared" si="59"/>
        <v>3</v>
      </c>
      <c r="G3811" s="7" t="str">
        <f>LOOKUP(H3811,[1]startdates!$A$2:$A$10,[1]startdates!$B$2:$B$10)</f>
        <v>FMr</v>
      </c>
      <c r="H3811">
        <v>9</v>
      </c>
      <c r="I3811" s="7">
        <v>562</v>
      </c>
      <c r="K3811" s="7">
        <v>596.29999999999995</v>
      </c>
      <c r="L3811" s="7">
        <v>432.2</v>
      </c>
      <c r="M3811" s="7">
        <v>290.60000000000002</v>
      </c>
      <c r="N3811" s="7">
        <v>257</v>
      </c>
      <c r="O3811" s="7">
        <v>169.5</v>
      </c>
    </row>
    <row r="3812" spans="1:19" x14ac:dyDescent="0.2">
      <c r="A3812">
        <v>3811</v>
      </c>
      <c r="B3812" s="1">
        <v>40827</v>
      </c>
      <c r="C3812" t="s">
        <v>24</v>
      </c>
      <c r="D3812" s="7">
        <v>89</v>
      </c>
      <c r="E3812" s="7">
        <v>14</v>
      </c>
      <c r="F3812" s="7">
        <f t="shared" si="59"/>
        <v>3</v>
      </c>
      <c r="G3812" s="7" t="str">
        <f>LOOKUP(H3812,[1]startdates!$A$2:$A$10,[1]startdates!$B$2:$B$10)</f>
        <v>FMr</v>
      </c>
      <c r="H3812">
        <v>9</v>
      </c>
      <c r="I3812" s="7">
        <v>665.7</v>
      </c>
      <c r="K3812" s="7">
        <v>552.70000000000005</v>
      </c>
      <c r="L3812" s="7">
        <v>417.4</v>
      </c>
      <c r="M3812" s="7">
        <v>321.5</v>
      </c>
      <c r="N3812" s="7">
        <v>233.8</v>
      </c>
      <c r="O3812" s="7">
        <v>176.8</v>
      </c>
    </row>
    <row r="3813" spans="1:19" x14ac:dyDescent="0.2">
      <c r="A3813">
        <v>3812</v>
      </c>
      <c r="B3813" s="1">
        <v>40827</v>
      </c>
      <c r="C3813" t="s">
        <v>24</v>
      </c>
      <c r="D3813" s="7">
        <v>89</v>
      </c>
      <c r="E3813" s="7">
        <v>14</v>
      </c>
      <c r="F3813" s="7">
        <f t="shared" si="59"/>
        <v>3</v>
      </c>
      <c r="G3813" s="7" t="str">
        <f>LOOKUP(H3813,[1]startdates!$A$2:$A$10,[1]startdates!$B$2:$B$10)</f>
        <v>FMr</v>
      </c>
      <c r="H3813">
        <v>9</v>
      </c>
      <c r="I3813" s="7">
        <v>666.8</v>
      </c>
      <c r="K3813" s="7">
        <v>489</v>
      </c>
      <c r="L3813" s="7">
        <v>538.1</v>
      </c>
      <c r="M3813" s="7">
        <v>333</v>
      </c>
      <c r="N3813" s="7">
        <v>228.6</v>
      </c>
    </row>
    <row r="3814" spans="1:19" x14ac:dyDescent="0.2">
      <c r="A3814">
        <v>3813</v>
      </c>
      <c r="B3814" s="1">
        <v>40827</v>
      </c>
      <c r="C3814" t="s">
        <v>24</v>
      </c>
      <c r="D3814" s="7">
        <v>89</v>
      </c>
      <c r="E3814" s="7">
        <v>14</v>
      </c>
      <c r="F3814" s="7">
        <f t="shared" si="59"/>
        <v>3</v>
      </c>
      <c r="G3814" s="7" t="str">
        <f>LOOKUP(H3814,[1]startdates!$A$2:$A$10,[1]startdates!$B$2:$B$10)</f>
        <v>FMr</v>
      </c>
      <c r="H3814">
        <v>9</v>
      </c>
      <c r="I3814" s="7">
        <v>563.20000000000005</v>
      </c>
      <c r="M3814" s="7">
        <v>306.3</v>
      </c>
    </row>
    <row r="3815" spans="1:19" x14ac:dyDescent="0.2">
      <c r="A3815">
        <v>3814</v>
      </c>
      <c r="B3815" s="1">
        <v>40827</v>
      </c>
      <c r="C3815" t="s">
        <v>24</v>
      </c>
      <c r="D3815" s="7">
        <v>89</v>
      </c>
      <c r="E3815" s="7">
        <v>14</v>
      </c>
      <c r="F3815" s="7">
        <f t="shared" si="59"/>
        <v>3</v>
      </c>
      <c r="G3815" s="7" t="str">
        <f>LOOKUP(H3815,[1]startdates!$A$2:$A$10,[1]startdates!$B$2:$B$10)</f>
        <v>FMr</v>
      </c>
      <c r="H3815">
        <v>9</v>
      </c>
      <c r="I3815" s="7">
        <v>602.6</v>
      </c>
    </row>
    <row r="3816" spans="1:19" x14ac:dyDescent="0.2">
      <c r="A3816">
        <v>3815</v>
      </c>
      <c r="B3816" s="1">
        <v>40827</v>
      </c>
      <c r="C3816" t="s">
        <v>24</v>
      </c>
      <c r="D3816" s="7">
        <v>89</v>
      </c>
      <c r="E3816" s="7">
        <v>14</v>
      </c>
      <c r="F3816" s="7">
        <f t="shared" si="59"/>
        <v>3</v>
      </c>
      <c r="G3816" s="7" t="str">
        <f>LOOKUP(H3816,[1]startdates!$A$2:$A$10,[1]startdates!$B$2:$B$10)</f>
        <v>FMr</v>
      </c>
      <c r="H3816">
        <v>9</v>
      </c>
      <c r="I3816" s="7">
        <v>526.6</v>
      </c>
    </row>
    <row r="3817" spans="1:19" x14ac:dyDescent="0.2">
      <c r="A3817">
        <v>3816</v>
      </c>
      <c r="B3817" s="1">
        <v>40827</v>
      </c>
      <c r="C3817" t="s">
        <v>24</v>
      </c>
      <c r="D3817" s="7">
        <v>89</v>
      </c>
      <c r="E3817" s="7">
        <v>14</v>
      </c>
      <c r="F3817" s="7">
        <f t="shared" ref="F3817:F3880" si="60">WEEKDAY(B3817)</f>
        <v>3</v>
      </c>
      <c r="G3817" s="7" t="str">
        <f>LOOKUP(H3817,[1]startdates!$A$2:$A$10,[1]startdates!$B$2:$B$10)</f>
        <v>FMr</v>
      </c>
      <c r="H3817">
        <v>9</v>
      </c>
      <c r="I3817" s="7">
        <v>645.5</v>
      </c>
    </row>
    <row r="3818" spans="1:19" x14ac:dyDescent="0.2">
      <c r="A3818">
        <v>3817</v>
      </c>
      <c r="B3818" s="1">
        <v>40827</v>
      </c>
      <c r="C3818" t="s">
        <v>24</v>
      </c>
      <c r="D3818" s="7">
        <v>89</v>
      </c>
      <c r="E3818" s="7">
        <v>14</v>
      </c>
      <c r="F3818" s="7">
        <f t="shared" si="60"/>
        <v>3</v>
      </c>
      <c r="G3818" s="7" t="str">
        <f>LOOKUP(H3818,[1]startdates!$A$2:$A$10,[1]startdates!$B$2:$B$10)</f>
        <v>FMr</v>
      </c>
      <c r="H3818">
        <v>9</v>
      </c>
      <c r="I3818" s="7">
        <v>617.5</v>
      </c>
    </row>
    <row r="3819" spans="1:19" x14ac:dyDescent="0.2">
      <c r="A3819">
        <v>3818</v>
      </c>
      <c r="B3819" s="1">
        <v>40830</v>
      </c>
      <c r="C3819" t="s">
        <v>24</v>
      </c>
      <c r="D3819" s="7">
        <v>92</v>
      </c>
      <c r="E3819" s="7">
        <v>14</v>
      </c>
      <c r="F3819" s="7">
        <f t="shared" si="60"/>
        <v>6</v>
      </c>
      <c r="G3819" s="7" t="str">
        <f>LOOKUP(H3819,[1]startdates!$A$2:$A$10,[1]startdates!$B$2:$B$10)</f>
        <v>SMr</v>
      </c>
      <c r="H3819">
        <v>1</v>
      </c>
      <c r="I3819" s="7">
        <v>550.5</v>
      </c>
      <c r="J3819" s="7">
        <v>556</v>
      </c>
      <c r="K3819" s="7">
        <v>634.79999999999995</v>
      </c>
      <c r="L3819" s="7">
        <v>384.1</v>
      </c>
      <c r="M3819" s="7">
        <v>330.9</v>
      </c>
      <c r="N3819" s="7">
        <v>259.5</v>
      </c>
      <c r="O3819" s="7">
        <v>155.4</v>
      </c>
      <c r="P3819" s="7">
        <v>442.7</v>
      </c>
      <c r="Q3819" s="7">
        <v>331.4</v>
      </c>
      <c r="R3819" s="7">
        <v>252.8</v>
      </c>
      <c r="S3819" s="7">
        <v>296.8</v>
      </c>
    </row>
    <row r="3820" spans="1:19" x14ac:dyDescent="0.2">
      <c r="A3820">
        <v>3819</v>
      </c>
      <c r="B3820" s="1">
        <v>40830</v>
      </c>
      <c r="C3820" t="s">
        <v>24</v>
      </c>
      <c r="D3820" s="7">
        <v>92</v>
      </c>
      <c r="E3820" s="7">
        <v>14</v>
      </c>
      <c r="F3820" s="7">
        <f t="shared" si="60"/>
        <v>6</v>
      </c>
      <c r="G3820" s="7" t="str">
        <f>LOOKUP(H3820,[1]startdates!$A$2:$A$10,[1]startdates!$B$2:$B$10)</f>
        <v>SMr</v>
      </c>
      <c r="H3820">
        <v>1</v>
      </c>
      <c r="I3820" s="7">
        <v>652.20000000000005</v>
      </c>
      <c r="J3820" s="7">
        <v>494.6</v>
      </c>
      <c r="K3820" s="7">
        <v>444</v>
      </c>
      <c r="L3820" s="7">
        <v>380.7</v>
      </c>
      <c r="M3820" s="7">
        <v>376.2</v>
      </c>
      <c r="N3820" s="7">
        <v>218.1</v>
      </c>
      <c r="O3820" s="7">
        <v>160.69999999999999</v>
      </c>
      <c r="P3820" s="7">
        <v>564.9</v>
      </c>
      <c r="Q3820" s="7">
        <v>382.9</v>
      </c>
      <c r="R3820" s="7">
        <v>315.89999999999998</v>
      </c>
      <c r="S3820" s="7">
        <v>301.60000000000002</v>
      </c>
    </row>
    <row r="3821" spans="1:19" x14ac:dyDescent="0.2">
      <c r="A3821">
        <v>3820</v>
      </c>
      <c r="B3821" s="1">
        <v>40830</v>
      </c>
      <c r="C3821" t="s">
        <v>24</v>
      </c>
      <c r="D3821" s="7">
        <v>92</v>
      </c>
      <c r="E3821" s="7">
        <v>14</v>
      </c>
      <c r="F3821" s="7">
        <f t="shared" si="60"/>
        <v>6</v>
      </c>
      <c r="G3821" s="7" t="str">
        <f>LOOKUP(H3821,[1]startdates!$A$2:$A$10,[1]startdates!$B$2:$B$10)</f>
        <v>SMr</v>
      </c>
      <c r="H3821">
        <v>1</v>
      </c>
      <c r="I3821" s="7">
        <v>696.6</v>
      </c>
      <c r="J3821" s="7">
        <v>508.9</v>
      </c>
      <c r="K3821" s="7">
        <v>557.6</v>
      </c>
      <c r="L3821" s="7">
        <v>461.8</v>
      </c>
      <c r="M3821" s="7">
        <v>337.6</v>
      </c>
      <c r="N3821" s="7">
        <v>205.4</v>
      </c>
      <c r="O3821" s="7">
        <v>154.69999999999999</v>
      </c>
      <c r="R3821" s="7">
        <v>258.39999999999998</v>
      </c>
      <c r="S3821" s="7">
        <v>289.8</v>
      </c>
    </row>
    <row r="3822" spans="1:19" x14ac:dyDescent="0.2">
      <c r="A3822">
        <v>3821</v>
      </c>
      <c r="B3822" s="1">
        <v>40830</v>
      </c>
      <c r="C3822" t="s">
        <v>24</v>
      </c>
      <c r="D3822" s="7">
        <v>92</v>
      </c>
      <c r="E3822" s="7">
        <v>14</v>
      </c>
      <c r="F3822" s="7">
        <f t="shared" si="60"/>
        <v>6</v>
      </c>
      <c r="G3822" s="7" t="str">
        <f>LOOKUP(H3822,[1]startdates!$A$2:$A$10,[1]startdates!$B$2:$B$10)</f>
        <v>SMr</v>
      </c>
      <c r="H3822">
        <v>1</v>
      </c>
      <c r="I3822" s="7">
        <v>583.70000000000005</v>
      </c>
      <c r="K3822" s="7">
        <v>492</v>
      </c>
      <c r="L3822" s="7">
        <v>490.2</v>
      </c>
      <c r="M3822" s="7">
        <v>273.7</v>
      </c>
      <c r="N3822" s="7">
        <v>231.8</v>
      </c>
      <c r="O3822" s="7">
        <v>146.6</v>
      </c>
      <c r="R3822" s="7">
        <v>222.3</v>
      </c>
      <c r="S3822" s="7">
        <v>293.60000000000002</v>
      </c>
    </row>
    <row r="3823" spans="1:19" x14ac:dyDescent="0.2">
      <c r="A3823">
        <v>3822</v>
      </c>
      <c r="B3823" s="1">
        <v>40830</v>
      </c>
      <c r="C3823" t="s">
        <v>24</v>
      </c>
      <c r="D3823" s="7">
        <v>92</v>
      </c>
      <c r="E3823" s="7">
        <v>14</v>
      </c>
      <c r="F3823" s="7">
        <f t="shared" si="60"/>
        <v>6</v>
      </c>
      <c r="G3823" s="7" t="str">
        <f>LOOKUP(H3823,[1]startdates!$A$2:$A$10,[1]startdates!$B$2:$B$10)</f>
        <v>SMr</v>
      </c>
      <c r="H3823">
        <v>1</v>
      </c>
      <c r="I3823" s="7">
        <v>636.9</v>
      </c>
      <c r="K3823" s="7">
        <v>511.8</v>
      </c>
      <c r="L3823" s="7">
        <v>446.2</v>
      </c>
      <c r="M3823" s="7">
        <v>287.8</v>
      </c>
      <c r="N3823" s="7">
        <v>193.7</v>
      </c>
      <c r="O3823" s="7">
        <v>180.7</v>
      </c>
      <c r="S3823" s="7">
        <v>284.2</v>
      </c>
    </row>
    <row r="3824" spans="1:19" x14ac:dyDescent="0.2">
      <c r="A3824">
        <v>3823</v>
      </c>
      <c r="B3824" s="1">
        <v>40830</v>
      </c>
      <c r="C3824" t="s">
        <v>24</v>
      </c>
      <c r="D3824" s="7">
        <v>92</v>
      </c>
      <c r="E3824" s="7">
        <v>14</v>
      </c>
      <c r="F3824" s="7">
        <f t="shared" si="60"/>
        <v>6</v>
      </c>
      <c r="G3824" s="7" t="str">
        <f>LOOKUP(H3824,[1]startdates!$A$2:$A$10,[1]startdates!$B$2:$B$10)</f>
        <v>SMr</v>
      </c>
      <c r="H3824">
        <v>1</v>
      </c>
      <c r="I3824" s="7">
        <v>690.4</v>
      </c>
      <c r="K3824" s="7">
        <v>567.1</v>
      </c>
      <c r="M3824" s="7">
        <v>305</v>
      </c>
      <c r="N3824" s="7">
        <v>210.9</v>
      </c>
      <c r="O3824" s="7">
        <v>173.2</v>
      </c>
    </row>
    <row r="3825" spans="1:19" x14ac:dyDescent="0.2">
      <c r="A3825">
        <v>3824</v>
      </c>
      <c r="B3825" s="1">
        <v>40830</v>
      </c>
      <c r="C3825" t="s">
        <v>24</v>
      </c>
      <c r="D3825" s="7">
        <v>92</v>
      </c>
      <c r="E3825" s="7">
        <v>14</v>
      </c>
      <c r="F3825" s="7">
        <f t="shared" si="60"/>
        <v>6</v>
      </c>
      <c r="G3825" s="7" t="str">
        <f>LOOKUP(H3825,[1]startdates!$A$2:$A$10,[1]startdates!$B$2:$B$10)</f>
        <v>SMr</v>
      </c>
      <c r="H3825">
        <v>1</v>
      </c>
      <c r="I3825" s="7">
        <v>669.6</v>
      </c>
      <c r="M3825" s="7">
        <v>272.2</v>
      </c>
      <c r="N3825" s="7">
        <v>236.1</v>
      </c>
      <c r="O3825" s="7">
        <v>154.9</v>
      </c>
    </row>
    <row r="3826" spans="1:19" x14ac:dyDescent="0.2">
      <c r="A3826">
        <v>3825</v>
      </c>
      <c r="B3826" s="1">
        <v>40830</v>
      </c>
      <c r="C3826" t="s">
        <v>24</v>
      </c>
      <c r="D3826" s="7">
        <v>92</v>
      </c>
      <c r="E3826" s="7">
        <v>14</v>
      </c>
      <c r="F3826" s="7">
        <f t="shared" si="60"/>
        <v>6</v>
      </c>
      <c r="G3826" s="7" t="str">
        <f>LOOKUP(H3826,[1]startdates!$A$2:$A$10,[1]startdates!$B$2:$B$10)</f>
        <v>SMr</v>
      </c>
      <c r="H3826">
        <v>1</v>
      </c>
      <c r="I3826" s="7">
        <v>636.4</v>
      </c>
      <c r="N3826" s="7">
        <v>240</v>
      </c>
      <c r="O3826" s="7">
        <v>177.7</v>
      </c>
    </row>
    <row r="3827" spans="1:19" x14ac:dyDescent="0.2">
      <c r="A3827">
        <v>3826</v>
      </c>
      <c r="B3827" s="1">
        <v>40830</v>
      </c>
      <c r="C3827" t="s">
        <v>24</v>
      </c>
      <c r="D3827" s="7">
        <v>92</v>
      </c>
      <c r="E3827" s="7">
        <v>14</v>
      </c>
      <c r="F3827" s="7">
        <f t="shared" si="60"/>
        <v>6</v>
      </c>
      <c r="G3827" s="7" t="str">
        <f>LOOKUP(H3827,[1]startdates!$A$2:$A$10,[1]startdates!$B$2:$B$10)</f>
        <v>SMr</v>
      </c>
      <c r="H3827">
        <v>1</v>
      </c>
      <c r="I3827" s="7">
        <v>642.4</v>
      </c>
      <c r="N3827" s="7">
        <v>185</v>
      </c>
      <c r="O3827" s="7">
        <v>173.7</v>
      </c>
    </row>
    <row r="3828" spans="1:19" x14ac:dyDescent="0.2">
      <c r="A3828">
        <v>3827</v>
      </c>
      <c r="B3828" s="1">
        <v>40830</v>
      </c>
      <c r="C3828" t="s">
        <v>24</v>
      </c>
      <c r="D3828" s="7">
        <v>92</v>
      </c>
      <c r="E3828" s="7">
        <v>14</v>
      </c>
      <c r="F3828" s="7">
        <f t="shared" si="60"/>
        <v>6</v>
      </c>
      <c r="G3828" s="7" t="str">
        <f>LOOKUP(H3828,[1]startdates!$A$2:$A$10,[1]startdates!$B$2:$B$10)</f>
        <v>SMr</v>
      </c>
      <c r="H3828">
        <v>1</v>
      </c>
      <c r="I3828" s="7">
        <v>628.29999999999995</v>
      </c>
      <c r="N3828" s="7">
        <v>176.7</v>
      </c>
    </row>
    <row r="3829" spans="1:19" x14ac:dyDescent="0.2">
      <c r="A3829">
        <v>3828</v>
      </c>
      <c r="B3829" s="1">
        <v>40830</v>
      </c>
      <c r="C3829" t="s">
        <v>24</v>
      </c>
      <c r="D3829" s="7">
        <v>92</v>
      </c>
      <c r="E3829" s="7">
        <v>14</v>
      </c>
      <c r="F3829" s="7">
        <f t="shared" si="60"/>
        <v>6</v>
      </c>
      <c r="G3829" s="7" t="str">
        <f>LOOKUP(H3829,[1]startdates!$A$2:$A$10,[1]startdates!$B$2:$B$10)</f>
        <v>SMr</v>
      </c>
      <c r="H3829">
        <v>2</v>
      </c>
      <c r="I3829" s="7">
        <v>624.6</v>
      </c>
      <c r="J3829" s="7">
        <v>576.1</v>
      </c>
      <c r="K3829" s="7">
        <v>535.29999999999995</v>
      </c>
      <c r="L3829" s="7">
        <v>483.7</v>
      </c>
      <c r="M3829" s="7">
        <v>329</v>
      </c>
      <c r="N3829" s="7">
        <v>229.6</v>
      </c>
      <c r="O3829" s="7">
        <v>177.7</v>
      </c>
      <c r="P3829" s="7">
        <v>448.1</v>
      </c>
      <c r="Q3829" s="7">
        <v>383.1</v>
      </c>
      <c r="R3829" s="7">
        <v>284.2</v>
      </c>
      <c r="S3829" s="7">
        <v>256.10000000000002</v>
      </c>
    </row>
    <row r="3830" spans="1:19" x14ac:dyDescent="0.2">
      <c r="A3830">
        <v>3829</v>
      </c>
      <c r="B3830" s="1">
        <v>40830</v>
      </c>
      <c r="C3830" t="s">
        <v>24</v>
      </c>
      <c r="D3830" s="7">
        <v>92</v>
      </c>
      <c r="E3830" s="7">
        <v>14</v>
      </c>
      <c r="F3830" s="7">
        <f t="shared" si="60"/>
        <v>6</v>
      </c>
      <c r="G3830" s="7" t="str">
        <f>LOOKUP(H3830,[1]startdates!$A$2:$A$10,[1]startdates!$B$2:$B$10)</f>
        <v>SMr</v>
      </c>
      <c r="H3830">
        <v>2</v>
      </c>
      <c r="I3830" s="7">
        <v>621.6</v>
      </c>
      <c r="J3830" s="7">
        <v>516.20000000000005</v>
      </c>
      <c r="K3830" s="7">
        <v>532.1</v>
      </c>
      <c r="L3830" s="7">
        <v>446.2</v>
      </c>
      <c r="M3830" s="7">
        <v>330.7</v>
      </c>
      <c r="N3830" s="7">
        <v>191.5</v>
      </c>
      <c r="O3830" s="7">
        <v>174.9</v>
      </c>
      <c r="Q3830" s="7">
        <v>382.4</v>
      </c>
      <c r="S3830" s="7">
        <v>250</v>
      </c>
    </row>
    <row r="3831" spans="1:19" x14ac:dyDescent="0.2">
      <c r="A3831">
        <v>3830</v>
      </c>
      <c r="B3831" s="1">
        <v>40830</v>
      </c>
      <c r="C3831" t="s">
        <v>24</v>
      </c>
      <c r="D3831" s="7">
        <v>92</v>
      </c>
      <c r="E3831" s="7">
        <v>14</v>
      </c>
      <c r="F3831" s="7">
        <f t="shared" si="60"/>
        <v>6</v>
      </c>
      <c r="G3831" s="7" t="str">
        <f>LOOKUP(H3831,[1]startdates!$A$2:$A$10,[1]startdates!$B$2:$B$10)</f>
        <v>SMr</v>
      </c>
      <c r="H3831">
        <v>2</v>
      </c>
      <c r="J3831" s="7">
        <v>500.8</v>
      </c>
      <c r="K3831" s="7">
        <v>451.8</v>
      </c>
      <c r="L3831" s="7">
        <v>457.3</v>
      </c>
      <c r="M3831" s="7">
        <v>319.7</v>
      </c>
      <c r="N3831" s="7">
        <v>206.2</v>
      </c>
      <c r="O3831" s="7">
        <v>173.1</v>
      </c>
      <c r="Q3831" s="7">
        <v>336.1</v>
      </c>
      <c r="S3831" s="7">
        <v>278</v>
      </c>
    </row>
    <row r="3832" spans="1:19" x14ac:dyDescent="0.2">
      <c r="A3832">
        <v>3831</v>
      </c>
      <c r="B3832" s="1">
        <v>40830</v>
      </c>
      <c r="C3832" t="s">
        <v>24</v>
      </c>
      <c r="D3832" s="7">
        <v>92</v>
      </c>
      <c r="E3832" s="7">
        <v>14</v>
      </c>
      <c r="F3832" s="7">
        <f t="shared" si="60"/>
        <v>6</v>
      </c>
      <c r="G3832" s="7" t="str">
        <f>LOOKUP(H3832,[1]startdates!$A$2:$A$10,[1]startdates!$B$2:$B$10)</f>
        <v>SMr</v>
      </c>
      <c r="H3832">
        <v>2</v>
      </c>
      <c r="J3832" s="7">
        <v>573.29999999999995</v>
      </c>
      <c r="K3832" s="7">
        <v>536.70000000000005</v>
      </c>
      <c r="L3832" s="7">
        <v>475.9</v>
      </c>
      <c r="M3832" s="7">
        <v>279.5</v>
      </c>
      <c r="N3832" s="7">
        <v>198.3</v>
      </c>
      <c r="O3832" s="7">
        <v>156.6</v>
      </c>
      <c r="S3832" s="7">
        <v>311.8</v>
      </c>
    </row>
    <row r="3833" spans="1:19" x14ac:dyDescent="0.2">
      <c r="A3833">
        <v>3832</v>
      </c>
      <c r="B3833" s="1">
        <v>40830</v>
      </c>
      <c r="C3833" t="s">
        <v>24</v>
      </c>
      <c r="D3833" s="7">
        <v>92</v>
      </c>
      <c r="E3833" s="7">
        <v>14</v>
      </c>
      <c r="F3833" s="7">
        <f t="shared" si="60"/>
        <v>6</v>
      </c>
      <c r="G3833" s="7" t="str">
        <f>LOOKUP(H3833,[1]startdates!$A$2:$A$10,[1]startdates!$B$2:$B$10)</f>
        <v>SMr</v>
      </c>
      <c r="H3833">
        <v>2</v>
      </c>
      <c r="K3833" s="7">
        <v>528.79999999999995</v>
      </c>
      <c r="M3833" s="7">
        <v>331.5</v>
      </c>
      <c r="N3833" s="7">
        <v>192.7</v>
      </c>
      <c r="O3833" s="7">
        <v>149.5</v>
      </c>
      <c r="S3833" s="7">
        <v>257.2</v>
      </c>
    </row>
    <row r="3834" spans="1:19" x14ac:dyDescent="0.2">
      <c r="A3834">
        <v>3833</v>
      </c>
      <c r="B3834" s="1">
        <v>40830</v>
      </c>
      <c r="C3834" t="s">
        <v>24</v>
      </c>
      <c r="D3834" s="7">
        <v>92</v>
      </c>
      <c r="E3834" s="7">
        <v>14</v>
      </c>
      <c r="F3834" s="7">
        <f t="shared" si="60"/>
        <v>6</v>
      </c>
      <c r="G3834" s="7" t="str">
        <f>LOOKUP(H3834,[1]startdates!$A$2:$A$10,[1]startdates!$B$2:$B$10)</f>
        <v>SMr</v>
      </c>
      <c r="H3834">
        <v>2</v>
      </c>
      <c r="M3834" s="7">
        <v>265.3</v>
      </c>
      <c r="N3834" s="7">
        <v>225.9</v>
      </c>
      <c r="O3834" s="7">
        <v>151.4</v>
      </c>
      <c r="S3834" s="7">
        <v>295.89999999999998</v>
      </c>
    </row>
    <row r="3835" spans="1:19" x14ac:dyDescent="0.2">
      <c r="A3835">
        <v>3834</v>
      </c>
      <c r="B3835" s="1">
        <v>40830</v>
      </c>
      <c r="C3835" t="s">
        <v>24</v>
      </c>
      <c r="D3835" s="7">
        <v>92</v>
      </c>
      <c r="E3835" s="7">
        <v>14</v>
      </c>
      <c r="F3835" s="7">
        <f t="shared" si="60"/>
        <v>6</v>
      </c>
      <c r="G3835" s="7" t="str">
        <f>LOOKUP(H3835,[1]startdates!$A$2:$A$10,[1]startdates!$B$2:$B$10)</f>
        <v>SMr</v>
      </c>
      <c r="H3835">
        <v>2</v>
      </c>
      <c r="M3835" s="7">
        <v>287.60000000000002</v>
      </c>
      <c r="N3835" s="7">
        <v>244</v>
      </c>
      <c r="O3835" s="7">
        <v>167.7</v>
      </c>
    </row>
    <row r="3836" spans="1:19" x14ac:dyDescent="0.2">
      <c r="A3836">
        <v>3835</v>
      </c>
      <c r="B3836" s="1">
        <v>40830</v>
      </c>
      <c r="C3836" t="s">
        <v>24</v>
      </c>
      <c r="D3836" s="7">
        <v>92</v>
      </c>
      <c r="E3836" s="7">
        <v>14</v>
      </c>
      <c r="F3836" s="7">
        <f t="shared" si="60"/>
        <v>6</v>
      </c>
      <c r="G3836" s="7" t="str">
        <f>LOOKUP(H3836,[1]startdates!$A$2:$A$10,[1]startdates!$B$2:$B$10)</f>
        <v>SMr</v>
      </c>
      <c r="H3836">
        <v>2</v>
      </c>
      <c r="N3836" s="7">
        <v>215.5</v>
      </c>
      <c r="O3836" s="7">
        <v>182.5</v>
      </c>
    </row>
    <row r="3837" spans="1:19" x14ac:dyDescent="0.2">
      <c r="A3837">
        <v>3836</v>
      </c>
      <c r="B3837" s="1">
        <v>40830</v>
      </c>
      <c r="C3837" t="s">
        <v>24</v>
      </c>
      <c r="D3837" s="7">
        <v>92</v>
      </c>
      <c r="E3837" s="7">
        <v>14</v>
      </c>
      <c r="F3837" s="7">
        <f t="shared" si="60"/>
        <v>6</v>
      </c>
      <c r="G3837" s="7" t="str">
        <f>LOOKUP(H3837,[1]startdates!$A$2:$A$10,[1]startdates!$B$2:$B$10)</f>
        <v>SMr</v>
      </c>
      <c r="H3837">
        <v>2</v>
      </c>
      <c r="N3837" s="7">
        <v>268.7</v>
      </c>
      <c r="O3837" s="7">
        <v>155.4</v>
      </c>
    </row>
    <row r="3838" spans="1:19" x14ac:dyDescent="0.2">
      <c r="A3838">
        <v>3837</v>
      </c>
      <c r="B3838" s="1">
        <v>40830</v>
      </c>
      <c r="C3838" t="s">
        <v>24</v>
      </c>
      <c r="D3838" s="7">
        <v>92</v>
      </c>
      <c r="E3838" s="7">
        <v>14</v>
      </c>
      <c r="F3838" s="7">
        <f t="shared" si="60"/>
        <v>6</v>
      </c>
      <c r="G3838" s="7" t="str">
        <f>LOOKUP(H3838,[1]startdates!$A$2:$A$10,[1]startdates!$B$2:$B$10)</f>
        <v>SMr</v>
      </c>
      <c r="H3838">
        <v>2</v>
      </c>
      <c r="N3838" s="7">
        <v>202.5</v>
      </c>
      <c r="O3838" s="7">
        <v>155.4</v>
      </c>
    </row>
    <row r="3839" spans="1:19" x14ac:dyDescent="0.2">
      <c r="A3839">
        <v>3838</v>
      </c>
      <c r="B3839" s="1">
        <v>40830</v>
      </c>
      <c r="C3839" t="s">
        <v>24</v>
      </c>
      <c r="D3839" s="7">
        <v>92</v>
      </c>
      <c r="E3839" s="7">
        <v>14</v>
      </c>
      <c r="F3839" s="7">
        <f t="shared" si="60"/>
        <v>6</v>
      </c>
      <c r="G3839" s="7" t="str">
        <f>LOOKUP(H3839,[1]startdates!$A$2:$A$10,[1]startdates!$B$2:$B$10)</f>
        <v>SMr</v>
      </c>
      <c r="H3839">
        <v>2</v>
      </c>
      <c r="O3839" s="7">
        <v>168.2</v>
      </c>
    </row>
    <row r="3840" spans="1:19" x14ac:dyDescent="0.2">
      <c r="A3840">
        <v>3839</v>
      </c>
      <c r="B3840" s="1">
        <v>40830</v>
      </c>
      <c r="C3840" t="s">
        <v>24</v>
      </c>
      <c r="D3840" s="7">
        <v>92</v>
      </c>
      <c r="E3840" s="7">
        <v>14</v>
      </c>
      <c r="F3840" s="7">
        <f t="shared" si="60"/>
        <v>6</v>
      </c>
      <c r="G3840" s="7" t="str">
        <f>LOOKUP(H3840,[1]startdates!$A$2:$A$10,[1]startdates!$B$2:$B$10)</f>
        <v>SMr</v>
      </c>
      <c r="H3840">
        <v>2</v>
      </c>
      <c r="O3840" s="7">
        <v>168.2</v>
      </c>
    </row>
    <row r="3841" spans="1:19" x14ac:dyDescent="0.2">
      <c r="A3841">
        <v>3840</v>
      </c>
      <c r="B3841" s="1">
        <v>40830</v>
      </c>
      <c r="C3841" t="s">
        <v>24</v>
      </c>
      <c r="D3841" s="7">
        <v>92</v>
      </c>
      <c r="E3841" s="7">
        <v>14</v>
      </c>
      <c r="F3841" s="7">
        <f t="shared" si="60"/>
        <v>6</v>
      </c>
      <c r="G3841" s="7" t="str">
        <f>LOOKUP(H3841,[1]startdates!$A$2:$A$10,[1]startdates!$B$2:$B$10)</f>
        <v>SMr</v>
      </c>
      <c r="H3841">
        <v>2</v>
      </c>
      <c r="O3841" s="7">
        <v>172.6</v>
      </c>
    </row>
    <row r="3842" spans="1:19" x14ac:dyDescent="0.2">
      <c r="A3842">
        <v>3841</v>
      </c>
      <c r="B3842" s="1">
        <v>40830</v>
      </c>
      <c r="C3842" t="s">
        <v>24</v>
      </c>
      <c r="D3842" s="7">
        <v>92</v>
      </c>
      <c r="E3842" s="7">
        <v>14</v>
      </c>
      <c r="F3842" s="7">
        <f t="shared" si="60"/>
        <v>6</v>
      </c>
      <c r="G3842" s="7" t="str">
        <f>LOOKUP(H3842,[1]startdates!$A$2:$A$10,[1]startdates!$B$2:$B$10)</f>
        <v>SMr</v>
      </c>
      <c r="H3842">
        <v>2</v>
      </c>
      <c r="O3842" s="7">
        <v>180.6</v>
      </c>
    </row>
    <row r="3843" spans="1:19" x14ac:dyDescent="0.2">
      <c r="A3843">
        <v>3842</v>
      </c>
      <c r="B3843" s="1">
        <v>40830</v>
      </c>
      <c r="C3843" t="s">
        <v>24</v>
      </c>
      <c r="D3843" s="7">
        <v>92</v>
      </c>
      <c r="E3843" s="7">
        <v>14</v>
      </c>
      <c r="F3843" s="7">
        <f t="shared" si="60"/>
        <v>6</v>
      </c>
      <c r="G3843" s="7" t="str">
        <f>LOOKUP(H3843,[1]startdates!$A$2:$A$10,[1]startdates!$B$2:$B$10)</f>
        <v>SMr</v>
      </c>
      <c r="H3843">
        <v>2</v>
      </c>
      <c r="O3843" s="7">
        <v>173</v>
      </c>
    </row>
    <row r="3844" spans="1:19" x14ac:dyDescent="0.2">
      <c r="A3844">
        <v>3843</v>
      </c>
      <c r="B3844" s="1">
        <v>40830</v>
      </c>
      <c r="C3844" t="s">
        <v>28</v>
      </c>
      <c r="D3844" s="7">
        <v>92</v>
      </c>
      <c r="E3844" s="7">
        <v>14</v>
      </c>
      <c r="F3844" s="7">
        <f t="shared" si="60"/>
        <v>6</v>
      </c>
      <c r="G3844" s="7" t="str">
        <f>LOOKUP(H3844,[1]startdates!$A$2:$A$10,[1]startdates!$B$2:$B$10)</f>
        <v>C</v>
      </c>
      <c r="H3844">
        <v>3</v>
      </c>
      <c r="I3844" s="7">
        <v>666.6</v>
      </c>
      <c r="J3844" s="7">
        <v>552.6</v>
      </c>
      <c r="K3844" s="7">
        <v>586.6</v>
      </c>
      <c r="L3844" s="7">
        <v>401.9</v>
      </c>
      <c r="M3844" s="7">
        <v>311.89999999999998</v>
      </c>
      <c r="N3844" s="7">
        <v>199.3</v>
      </c>
      <c r="O3844" s="7">
        <v>185</v>
      </c>
      <c r="Q3844" s="7">
        <v>367.2</v>
      </c>
      <c r="R3844" s="7">
        <v>271.5</v>
      </c>
      <c r="S3844" s="7">
        <v>233.8</v>
      </c>
    </row>
    <row r="3845" spans="1:19" x14ac:dyDescent="0.2">
      <c r="A3845">
        <v>3844</v>
      </c>
      <c r="B3845" s="1">
        <v>40830</v>
      </c>
      <c r="C3845" t="s">
        <v>28</v>
      </c>
      <c r="D3845" s="7">
        <v>92</v>
      </c>
      <c r="E3845" s="7">
        <v>14</v>
      </c>
      <c r="F3845" s="7">
        <f t="shared" si="60"/>
        <v>6</v>
      </c>
      <c r="G3845" s="7" t="str">
        <f>LOOKUP(H3845,[1]startdates!$A$2:$A$10,[1]startdates!$B$2:$B$10)</f>
        <v>C</v>
      </c>
      <c r="H3845">
        <v>3</v>
      </c>
      <c r="I3845" s="7">
        <v>588.70000000000005</v>
      </c>
      <c r="J3845" s="7">
        <v>573.79999999999995</v>
      </c>
      <c r="K3845" s="7">
        <v>557.70000000000005</v>
      </c>
      <c r="L3845" s="7">
        <v>425</v>
      </c>
      <c r="M3845" s="7">
        <v>383.8</v>
      </c>
      <c r="N3845" s="7">
        <v>242.9</v>
      </c>
      <c r="O3845" s="7">
        <v>172.6</v>
      </c>
      <c r="Q3845" s="7">
        <v>361.8</v>
      </c>
      <c r="S3845" s="7">
        <v>252.2</v>
      </c>
    </row>
    <row r="3846" spans="1:19" x14ac:dyDescent="0.2">
      <c r="A3846">
        <v>3845</v>
      </c>
      <c r="B3846" s="1">
        <v>40830</v>
      </c>
      <c r="C3846" t="s">
        <v>28</v>
      </c>
      <c r="D3846" s="7">
        <v>92</v>
      </c>
      <c r="E3846" s="7">
        <v>14</v>
      </c>
      <c r="F3846" s="7">
        <f t="shared" si="60"/>
        <v>6</v>
      </c>
      <c r="G3846" s="7" t="str">
        <f>LOOKUP(H3846,[1]startdates!$A$2:$A$10,[1]startdates!$B$2:$B$10)</f>
        <v>C</v>
      </c>
      <c r="H3846">
        <v>3</v>
      </c>
      <c r="I3846" s="7">
        <v>588</v>
      </c>
      <c r="K3846" s="7">
        <v>526.70000000000005</v>
      </c>
      <c r="L3846" s="7">
        <v>405.4</v>
      </c>
      <c r="M3846" s="7">
        <v>368.8</v>
      </c>
      <c r="N3846" s="7">
        <v>174.1</v>
      </c>
      <c r="O3846" s="7">
        <v>196.1</v>
      </c>
      <c r="Q3846" s="7">
        <v>328.1</v>
      </c>
      <c r="S3846" s="7">
        <v>244.8</v>
      </c>
    </row>
    <row r="3847" spans="1:19" x14ac:dyDescent="0.2">
      <c r="A3847">
        <v>3846</v>
      </c>
      <c r="B3847" s="1">
        <v>40830</v>
      </c>
      <c r="C3847" t="s">
        <v>28</v>
      </c>
      <c r="D3847" s="7">
        <v>92</v>
      </c>
      <c r="E3847" s="7">
        <v>14</v>
      </c>
      <c r="F3847" s="7">
        <f t="shared" si="60"/>
        <v>6</v>
      </c>
      <c r="G3847" s="7" t="str">
        <f>LOOKUP(H3847,[1]startdates!$A$2:$A$10,[1]startdates!$B$2:$B$10)</f>
        <v>C</v>
      </c>
      <c r="H3847">
        <v>3</v>
      </c>
      <c r="I3847" s="7">
        <v>526.6</v>
      </c>
      <c r="K3847" s="7">
        <v>557.70000000000005</v>
      </c>
      <c r="L3847" s="7">
        <v>473.7</v>
      </c>
      <c r="M3847" s="7">
        <v>304.2</v>
      </c>
      <c r="N3847" s="7">
        <v>275.10000000000002</v>
      </c>
      <c r="O3847" s="7">
        <v>163</v>
      </c>
    </row>
    <row r="3848" spans="1:19" x14ac:dyDescent="0.2">
      <c r="A3848">
        <v>3847</v>
      </c>
      <c r="B3848" s="1">
        <v>40830</v>
      </c>
      <c r="C3848" t="s">
        <v>28</v>
      </c>
      <c r="D3848" s="7">
        <v>92</v>
      </c>
      <c r="E3848" s="7">
        <v>14</v>
      </c>
      <c r="F3848" s="7">
        <f t="shared" si="60"/>
        <v>6</v>
      </c>
      <c r="G3848" s="7" t="str">
        <f>LOOKUP(H3848,[1]startdates!$A$2:$A$10,[1]startdates!$B$2:$B$10)</f>
        <v>C</v>
      </c>
      <c r="H3848">
        <v>3</v>
      </c>
      <c r="I3848" s="7">
        <v>631.1</v>
      </c>
      <c r="K3848" s="7">
        <v>582.9</v>
      </c>
      <c r="M3848" s="7">
        <v>320.60000000000002</v>
      </c>
      <c r="N3848" s="7">
        <v>243.2</v>
      </c>
      <c r="O3848" s="7">
        <v>163.4</v>
      </c>
    </row>
    <row r="3849" spans="1:19" x14ac:dyDescent="0.2">
      <c r="A3849">
        <v>3848</v>
      </c>
      <c r="B3849" s="1">
        <v>40830</v>
      </c>
      <c r="C3849" t="s">
        <v>28</v>
      </c>
      <c r="D3849" s="7">
        <v>92</v>
      </c>
      <c r="E3849" s="7">
        <v>14</v>
      </c>
      <c r="F3849" s="7">
        <f t="shared" si="60"/>
        <v>6</v>
      </c>
      <c r="G3849" s="7" t="str">
        <f>LOOKUP(H3849,[1]startdates!$A$2:$A$10,[1]startdates!$B$2:$B$10)</f>
        <v>C</v>
      </c>
      <c r="H3849">
        <v>3</v>
      </c>
      <c r="I3849" s="7">
        <v>680</v>
      </c>
      <c r="K3849" s="7">
        <v>550</v>
      </c>
      <c r="M3849" s="7">
        <v>376.1</v>
      </c>
      <c r="N3849" s="7">
        <v>261.8</v>
      </c>
      <c r="O3849" s="7">
        <v>171.2</v>
      </c>
    </row>
    <row r="3850" spans="1:19" x14ac:dyDescent="0.2">
      <c r="A3850">
        <v>3849</v>
      </c>
      <c r="B3850" s="1">
        <v>40830</v>
      </c>
      <c r="C3850" t="s">
        <v>28</v>
      </c>
      <c r="D3850" s="7">
        <v>92</v>
      </c>
      <c r="E3850" s="7">
        <v>14</v>
      </c>
      <c r="F3850" s="7">
        <f t="shared" si="60"/>
        <v>6</v>
      </c>
      <c r="G3850" s="7" t="str">
        <f>LOOKUP(H3850,[1]startdates!$A$2:$A$10,[1]startdates!$B$2:$B$10)</f>
        <v>C</v>
      </c>
      <c r="H3850">
        <v>3</v>
      </c>
      <c r="I3850" s="7">
        <v>593</v>
      </c>
      <c r="K3850" s="7">
        <v>571</v>
      </c>
      <c r="M3850" s="7">
        <v>359.8</v>
      </c>
      <c r="N3850" s="7">
        <v>197.3</v>
      </c>
      <c r="O3850" s="7">
        <v>180.1</v>
      </c>
    </row>
    <row r="3851" spans="1:19" x14ac:dyDescent="0.2">
      <c r="A3851">
        <v>3850</v>
      </c>
      <c r="B3851" s="1">
        <v>40830</v>
      </c>
      <c r="C3851" t="s">
        <v>28</v>
      </c>
      <c r="D3851" s="7">
        <v>92</v>
      </c>
      <c r="E3851" s="7">
        <v>14</v>
      </c>
      <c r="F3851" s="7">
        <f t="shared" si="60"/>
        <v>6</v>
      </c>
      <c r="G3851" s="7" t="str">
        <f>LOOKUP(H3851,[1]startdates!$A$2:$A$10,[1]startdates!$B$2:$B$10)</f>
        <v>C</v>
      </c>
      <c r="H3851">
        <v>3</v>
      </c>
      <c r="I3851" s="7">
        <v>688.3</v>
      </c>
      <c r="K3851" s="7">
        <v>475.9</v>
      </c>
      <c r="N3851" s="7">
        <v>259.8</v>
      </c>
      <c r="O3851" s="7">
        <v>174.9</v>
      </c>
    </row>
    <row r="3852" spans="1:19" x14ac:dyDescent="0.2">
      <c r="A3852">
        <v>3851</v>
      </c>
      <c r="B3852" s="1">
        <v>40830</v>
      </c>
      <c r="C3852" t="s">
        <v>28</v>
      </c>
      <c r="D3852" s="7">
        <v>92</v>
      </c>
      <c r="E3852" s="7">
        <v>14</v>
      </c>
      <c r="F3852" s="7">
        <f t="shared" si="60"/>
        <v>6</v>
      </c>
      <c r="G3852" s="7" t="str">
        <f>LOOKUP(H3852,[1]startdates!$A$2:$A$10,[1]startdates!$B$2:$B$10)</f>
        <v>C</v>
      </c>
      <c r="H3852">
        <v>3</v>
      </c>
      <c r="I3852" s="7">
        <v>614.20000000000005</v>
      </c>
      <c r="N3852" s="7">
        <v>250.4</v>
      </c>
      <c r="O3852" s="7">
        <v>171.3</v>
      </c>
    </row>
    <row r="3853" spans="1:19" x14ac:dyDescent="0.2">
      <c r="A3853">
        <v>3852</v>
      </c>
      <c r="B3853" s="1">
        <v>40830</v>
      </c>
      <c r="C3853" t="s">
        <v>28</v>
      </c>
      <c r="D3853" s="7">
        <v>92</v>
      </c>
      <c r="E3853" s="7">
        <v>14</v>
      </c>
      <c r="F3853" s="7">
        <f t="shared" si="60"/>
        <v>6</v>
      </c>
      <c r="G3853" s="7" t="str">
        <f>LOOKUP(H3853,[1]startdates!$A$2:$A$10,[1]startdates!$B$2:$B$10)</f>
        <v>C</v>
      </c>
      <c r="H3853">
        <v>3</v>
      </c>
      <c r="I3853" s="7">
        <v>650.20000000000005</v>
      </c>
      <c r="N3853" s="7">
        <v>273.7</v>
      </c>
      <c r="O3853" s="7">
        <v>187.8</v>
      </c>
    </row>
    <row r="3854" spans="1:19" x14ac:dyDescent="0.2">
      <c r="A3854">
        <v>3853</v>
      </c>
      <c r="B3854" s="1">
        <v>40830</v>
      </c>
      <c r="C3854" t="s">
        <v>28</v>
      </c>
      <c r="D3854" s="7">
        <v>92</v>
      </c>
      <c r="E3854" s="7">
        <v>14</v>
      </c>
      <c r="F3854" s="7">
        <f t="shared" si="60"/>
        <v>6</v>
      </c>
      <c r="G3854" s="7" t="str">
        <f>LOOKUP(H3854,[1]startdates!$A$2:$A$10,[1]startdates!$B$2:$B$10)</f>
        <v>C</v>
      </c>
      <c r="H3854">
        <v>3</v>
      </c>
      <c r="I3854" s="7">
        <v>740.2</v>
      </c>
      <c r="O3854" s="7">
        <v>173.8</v>
      </c>
    </row>
    <row r="3855" spans="1:19" x14ac:dyDescent="0.2">
      <c r="A3855">
        <v>3854</v>
      </c>
      <c r="B3855" s="1">
        <v>40830</v>
      </c>
      <c r="C3855" t="s">
        <v>28</v>
      </c>
      <c r="D3855" s="7">
        <v>92</v>
      </c>
      <c r="E3855" s="7">
        <v>14</v>
      </c>
      <c r="F3855" s="7">
        <f t="shared" si="60"/>
        <v>6</v>
      </c>
      <c r="G3855" s="7" t="str">
        <f>LOOKUP(H3855,[1]startdates!$A$2:$A$10,[1]startdates!$B$2:$B$10)</f>
        <v>C</v>
      </c>
      <c r="H3855">
        <v>3</v>
      </c>
      <c r="I3855" s="7">
        <v>645.4</v>
      </c>
      <c r="O3855" s="7">
        <v>182.8</v>
      </c>
    </row>
    <row r="3856" spans="1:19" x14ac:dyDescent="0.2">
      <c r="A3856">
        <v>3855</v>
      </c>
      <c r="B3856" s="1">
        <v>40830</v>
      </c>
      <c r="C3856" t="s">
        <v>28</v>
      </c>
      <c r="D3856" s="7">
        <v>92</v>
      </c>
      <c r="E3856" s="7">
        <v>14</v>
      </c>
      <c r="F3856" s="7">
        <f t="shared" si="60"/>
        <v>6</v>
      </c>
      <c r="G3856" s="7" t="str">
        <f>LOOKUP(H3856,[1]startdates!$A$2:$A$10,[1]startdates!$B$2:$B$10)</f>
        <v>C</v>
      </c>
      <c r="H3856">
        <v>3</v>
      </c>
      <c r="O3856" s="7">
        <v>148.4</v>
      </c>
    </row>
    <row r="3857" spans="1:19" x14ac:dyDescent="0.2">
      <c r="A3857">
        <v>3856</v>
      </c>
      <c r="B3857" s="1">
        <v>40830</v>
      </c>
      <c r="C3857" t="s">
        <v>24</v>
      </c>
      <c r="D3857" s="7">
        <v>92</v>
      </c>
      <c r="E3857" s="7">
        <v>14</v>
      </c>
      <c r="F3857" s="7">
        <f t="shared" si="60"/>
        <v>6</v>
      </c>
      <c r="G3857" s="7" t="str">
        <f>LOOKUP(H3857,[1]startdates!$A$2:$A$10,[1]startdates!$B$2:$B$10)</f>
        <v>SMr</v>
      </c>
      <c r="H3857">
        <v>4</v>
      </c>
      <c r="I3857" s="7">
        <v>662.6</v>
      </c>
      <c r="K3857" s="7">
        <v>409.6</v>
      </c>
      <c r="L3857" s="7">
        <v>421.7</v>
      </c>
      <c r="M3857" s="7">
        <v>301</v>
      </c>
      <c r="N3857" s="7">
        <v>238.7</v>
      </c>
      <c r="O3857" s="7">
        <v>151.1</v>
      </c>
      <c r="P3857" s="7">
        <v>442.6</v>
      </c>
      <c r="Q3857" s="7">
        <v>314.5</v>
      </c>
      <c r="R3857" s="7">
        <v>272.7</v>
      </c>
      <c r="S3857" s="7">
        <v>248.9</v>
      </c>
    </row>
    <row r="3858" spans="1:19" x14ac:dyDescent="0.2">
      <c r="A3858">
        <v>3857</v>
      </c>
      <c r="B3858" s="1">
        <v>40830</v>
      </c>
      <c r="C3858" t="s">
        <v>24</v>
      </c>
      <c r="D3858" s="7">
        <v>92</v>
      </c>
      <c r="E3858" s="7">
        <v>14</v>
      </c>
      <c r="F3858" s="7">
        <f t="shared" si="60"/>
        <v>6</v>
      </c>
      <c r="G3858" s="7" t="str">
        <f>LOOKUP(H3858,[1]startdates!$A$2:$A$10,[1]startdates!$B$2:$B$10)</f>
        <v>SMr</v>
      </c>
      <c r="H3858">
        <v>4</v>
      </c>
      <c r="I3858" s="7">
        <v>577</v>
      </c>
      <c r="K3858" s="7">
        <v>458.7</v>
      </c>
      <c r="L3858" s="7">
        <v>342.4</v>
      </c>
      <c r="M3858" s="7">
        <v>258</v>
      </c>
      <c r="N3858" s="7">
        <v>213.7</v>
      </c>
      <c r="O3858" s="7">
        <v>187.5</v>
      </c>
      <c r="P3858" s="7">
        <v>480.3</v>
      </c>
      <c r="Q3858" s="7">
        <v>341.7</v>
      </c>
      <c r="S3858" s="7">
        <v>232.7</v>
      </c>
    </row>
    <row r="3859" spans="1:19" x14ac:dyDescent="0.2">
      <c r="A3859">
        <v>3858</v>
      </c>
      <c r="B3859" s="1">
        <v>40830</v>
      </c>
      <c r="C3859" t="s">
        <v>24</v>
      </c>
      <c r="D3859" s="7">
        <v>92</v>
      </c>
      <c r="E3859" s="7">
        <v>14</v>
      </c>
      <c r="F3859" s="7">
        <f t="shared" si="60"/>
        <v>6</v>
      </c>
      <c r="G3859" s="7" t="str">
        <f>LOOKUP(H3859,[1]startdates!$A$2:$A$10,[1]startdates!$B$2:$B$10)</f>
        <v>SMr</v>
      </c>
      <c r="H3859">
        <v>4</v>
      </c>
      <c r="I3859" s="7">
        <v>623.70000000000005</v>
      </c>
      <c r="K3859" s="7">
        <v>599</v>
      </c>
      <c r="L3859" s="7">
        <v>431.4</v>
      </c>
      <c r="M3859" s="7">
        <v>255.7</v>
      </c>
      <c r="N3859" s="7">
        <v>220.1</v>
      </c>
      <c r="O3859" s="7">
        <v>177.8</v>
      </c>
      <c r="P3859" s="7">
        <v>428.9</v>
      </c>
      <c r="S3859" s="7">
        <v>243.2</v>
      </c>
    </row>
    <row r="3860" spans="1:19" x14ac:dyDescent="0.2">
      <c r="A3860">
        <v>3859</v>
      </c>
      <c r="B3860" s="1">
        <v>40830</v>
      </c>
      <c r="C3860" t="s">
        <v>24</v>
      </c>
      <c r="D3860" s="7">
        <v>92</v>
      </c>
      <c r="E3860" s="7">
        <v>14</v>
      </c>
      <c r="F3860" s="7">
        <f t="shared" si="60"/>
        <v>6</v>
      </c>
      <c r="G3860" s="7" t="str">
        <f>LOOKUP(H3860,[1]startdates!$A$2:$A$10,[1]startdates!$B$2:$B$10)</f>
        <v>SMr</v>
      </c>
      <c r="H3860">
        <v>4</v>
      </c>
      <c r="I3860" s="7">
        <v>545.1</v>
      </c>
      <c r="K3860" s="7">
        <v>539.1</v>
      </c>
      <c r="L3860" s="7">
        <v>412.8</v>
      </c>
      <c r="M3860" s="7">
        <v>305.89999999999998</v>
      </c>
      <c r="N3860" s="7">
        <v>202.5</v>
      </c>
      <c r="O3860" s="7">
        <v>176.5</v>
      </c>
    </row>
    <row r="3861" spans="1:19" x14ac:dyDescent="0.2">
      <c r="A3861">
        <v>3860</v>
      </c>
      <c r="B3861" s="1">
        <v>40830</v>
      </c>
      <c r="C3861" t="s">
        <v>24</v>
      </c>
      <c r="D3861" s="7">
        <v>92</v>
      </c>
      <c r="E3861" s="7">
        <v>14</v>
      </c>
      <c r="F3861" s="7">
        <f t="shared" si="60"/>
        <v>6</v>
      </c>
      <c r="G3861" s="7" t="str">
        <f>LOOKUP(H3861,[1]startdates!$A$2:$A$10,[1]startdates!$B$2:$B$10)</f>
        <v>SMr</v>
      </c>
      <c r="H3861">
        <v>4</v>
      </c>
      <c r="I3861" s="7">
        <v>579.9</v>
      </c>
      <c r="K3861" s="7">
        <v>475.9</v>
      </c>
      <c r="M3861" s="7">
        <v>331.1</v>
      </c>
      <c r="N3861" s="7">
        <v>216.8</v>
      </c>
      <c r="O3861" s="7">
        <v>164.4</v>
      </c>
    </row>
    <row r="3862" spans="1:19" x14ac:dyDescent="0.2">
      <c r="A3862">
        <v>3861</v>
      </c>
      <c r="B3862" s="1">
        <v>40830</v>
      </c>
      <c r="C3862" t="s">
        <v>24</v>
      </c>
      <c r="D3862" s="7">
        <v>92</v>
      </c>
      <c r="E3862" s="7">
        <v>14</v>
      </c>
      <c r="F3862" s="7">
        <f t="shared" si="60"/>
        <v>6</v>
      </c>
      <c r="G3862" s="7" t="str">
        <f>LOOKUP(H3862,[1]startdates!$A$2:$A$10,[1]startdates!$B$2:$B$10)</f>
        <v>SMr</v>
      </c>
      <c r="H3862">
        <v>4</v>
      </c>
      <c r="I3862" s="7">
        <v>602.29999999999995</v>
      </c>
      <c r="K3862" s="7">
        <v>550.9</v>
      </c>
      <c r="M3862" s="7">
        <v>378.9</v>
      </c>
      <c r="N3862" s="7">
        <v>227.7</v>
      </c>
      <c r="O3862" s="7">
        <v>165.5</v>
      </c>
    </row>
    <row r="3863" spans="1:19" x14ac:dyDescent="0.2">
      <c r="A3863">
        <v>3862</v>
      </c>
      <c r="B3863" s="1">
        <v>40830</v>
      </c>
      <c r="C3863" t="s">
        <v>24</v>
      </c>
      <c r="D3863" s="7">
        <v>92</v>
      </c>
      <c r="E3863" s="7">
        <v>14</v>
      </c>
      <c r="F3863" s="7">
        <f t="shared" si="60"/>
        <v>6</v>
      </c>
      <c r="G3863" s="7" t="str">
        <f>LOOKUP(H3863,[1]startdates!$A$2:$A$10,[1]startdates!$B$2:$B$10)</f>
        <v>SMr</v>
      </c>
      <c r="H3863">
        <v>4</v>
      </c>
      <c r="I3863" s="7">
        <v>572.70000000000005</v>
      </c>
      <c r="K3863" s="7">
        <v>537.9</v>
      </c>
      <c r="M3863" s="7">
        <v>369.7</v>
      </c>
      <c r="N3863" s="7">
        <v>225.4</v>
      </c>
      <c r="O3863" s="7">
        <v>171.8</v>
      </c>
    </row>
    <row r="3864" spans="1:19" x14ac:dyDescent="0.2">
      <c r="A3864">
        <v>3863</v>
      </c>
      <c r="B3864" s="1">
        <v>40830</v>
      </c>
      <c r="C3864" t="s">
        <v>24</v>
      </c>
      <c r="D3864" s="7">
        <v>92</v>
      </c>
      <c r="E3864" s="7">
        <v>14</v>
      </c>
      <c r="F3864" s="7">
        <f t="shared" si="60"/>
        <v>6</v>
      </c>
      <c r="G3864" s="7" t="str">
        <f>LOOKUP(H3864,[1]startdates!$A$2:$A$10,[1]startdates!$B$2:$B$10)</f>
        <v>SMr</v>
      </c>
      <c r="H3864">
        <v>4</v>
      </c>
      <c r="I3864" s="7">
        <v>632.4</v>
      </c>
      <c r="K3864" s="7">
        <v>514.29999999999995</v>
      </c>
      <c r="M3864" s="7">
        <v>288.3</v>
      </c>
      <c r="N3864" s="7">
        <v>196.8</v>
      </c>
      <c r="O3864" s="7">
        <v>177</v>
      </c>
    </row>
    <row r="3865" spans="1:19" x14ac:dyDescent="0.2">
      <c r="A3865">
        <v>3864</v>
      </c>
      <c r="B3865" s="1">
        <v>40830</v>
      </c>
      <c r="C3865" t="s">
        <v>24</v>
      </c>
      <c r="D3865" s="7">
        <v>92</v>
      </c>
      <c r="E3865" s="7">
        <v>14</v>
      </c>
      <c r="F3865" s="7">
        <f t="shared" si="60"/>
        <v>6</v>
      </c>
      <c r="G3865" s="7" t="str">
        <f>LOOKUP(H3865,[1]startdates!$A$2:$A$10,[1]startdates!$B$2:$B$10)</f>
        <v>SMr</v>
      </c>
      <c r="H3865">
        <v>4</v>
      </c>
      <c r="I3865" s="7">
        <v>575.5</v>
      </c>
      <c r="K3865" s="7">
        <v>494.6</v>
      </c>
      <c r="N3865" s="7">
        <v>195.7</v>
      </c>
      <c r="O3865" s="7">
        <v>188.9</v>
      </c>
    </row>
    <row r="3866" spans="1:19" x14ac:dyDescent="0.2">
      <c r="A3866">
        <v>3865</v>
      </c>
      <c r="B3866" s="1">
        <v>40830</v>
      </c>
      <c r="C3866" t="s">
        <v>24</v>
      </c>
      <c r="D3866" s="7">
        <v>92</v>
      </c>
      <c r="E3866" s="7">
        <v>14</v>
      </c>
      <c r="F3866" s="7">
        <f t="shared" si="60"/>
        <v>6</v>
      </c>
      <c r="G3866" s="7" t="str">
        <f>LOOKUP(H3866,[1]startdates!$A$2:$A$10,[1]startdates!$B$2:$B$10)</f>
        <v>SMr</v>
      </c>
      <c r="H3866">
        <v>4</v>
      </c>
      <c r="I3866" s="7">
        <v>588.4</v>
      </c>
      <c r="N3866" s="7">
        <v>208.4</v>
      </c>
      <c r="O3866" s="7">
        <v>166</v>
      </c>
    </row>
    <row r="3867" spans="1:19" x14ac:dyDescent="0.2">
      <c r="A3867">
        <v>3866</v>
      </c>
      <c r="B3867" s="1">
        <v>40830</v>
      </c>
      <c r="C3867" t="s">
        <v>24</v>
      </c>
      <c r="D3867" s="7">
        <v>92</v>
      </c>
      <c r="E3867" s="7">
        <v>14</v>
      </c>
      <c r="F3867" s="7">
        <f t="shared" si="60"/>
        <v>6</v>
      </c>
      <c r="G3867" s="7" t="str">
        <f>LOOKUP(H3867,[1]startdates!$A$2:$A$10,[1]startdates!$B$2:$B$10)</f>
        <v>SMr</v>
      </c>
      <c r="H3867">
        <v>4</v>
      </c>
      <c r="I3867" s="7">
        <v>709.3</v>
      </c>
      <c r="N3867" s="7">
        <v>237.9</v>
      </c>
      <c r="O3867" s="7">
        <v>159.4</v>
      </c>
    </row>
    <row r="3868" spans="1:19" x14ac:dyDescent="0.2">
      <c r="A3868">
        <v>3867</v>
      </c>
      <c r="B3868" s="1">
        <v>40830</v>
      </c>
      <c r="C3868" t="s">
        <v>24</v>
      </c>
      <c r="D3868" s="7">
        <v>92</v>
      </c>
      <c r="E3868" s="7">
        <v>14</v>
      </c>
      <c r="F3868" s="7">
        <f t="shared" si="60"/>
        <v>6</v>
      </c>
      <c r="G3868" s="7" t="str">
        <f>LOOKUP(H3868,[1]startdates!$A$2:$A$10,[1]startdates!$B$2:$B$10)</f>
        <v>SMr</v>
      </c>
      <c r="H3868">
        <v>4</v>
      </c>
      <c r="O3868" s="7">
        <v>176</v>
      </c>
    </row>
    <row r="3869" spans="1:19" x14ac:dyDescent="0.2">
      <c r="A3869">
        <v>3868</v>
      </c>
      <c r="B3869" s="1">
        <v>40830</v>
      </c>
      <c r="C3869" t="s">
        <v>24</v>
      </c>
      <c r="D3869" s="7">
        <v>92</v>
      </c>
      <c r="E3869" s="7">
        <v>14</v>
      </c>
      <c r="F3869" s="7">
        <f t="shared" si="60"/>
        <v>6</v>
      </c>
      <c r="G3869" s="7" t="str">
        <f>LOOKUP(H3869,[1]startdates!$A$2:$A$10,[1]startdates!$B$2:$B$10)</f>
        <v>SMr</v>
      </c>
      <c r="H3869">
        <v>4</v>
      </c>
      <c r="O3869" s="7">
        <v>181.3</v>
      </c>
    </row>
    <row r="3870" spans="1:19" x14ac:dyDescent="0.2">
      <c r="A3870">
        <v>3869</v>
      </c>
      <c r="B3870" s="1">
        <v>40830</v>
      </c>
      <c r="C3870" t="s">
        <v>24</v>
      </c>
      <c r="D3870" s="7">
        <v>92</v>
      </c>
      <c r="E3870" s="7">
        <v>14</v>
      </c>
      <c r="F3870" s="7">
        <f t="shared" si="60"/>
        <v>6</v>
      </c>
      <c r="G3870" s="7" t="str">
        <f>LOOKUP(H3870,[1]startdates!$A$2:$A$10,[1]startdates!$B$2:$B$10)</f>
        <v>SMr</v>
      </c>
      <c r="H3870">
        <v>4</v>
      </c>
      <c r="O3870" s="7">
        <v>159.80000000000001</v>
      </c>
    </row>
    <row r="3871" spans="1:19" x14ac:dyDescent="0.2">
      <c r="A3871">
        <v>3870</v>
      </c>
      <c r="B3871" s="1">
        <v>40830</v>
      </c>
      <c r="C3871" t="s">
        <v>24</v>
      </c>
      <c r="D3871" s="7">
        <v>92</v>
      </c>
      <c r="E3871" s="7">
        <v>14</v>
      </c>
      <c r="F3871" s="7">
        <f t="shared" si="60"/>
        <v>6</v>
      </c>
      <c r="G3871" s="7" t="str">
        <f>LOOKUP(H3871,[1]startdates!$A$2:$A$10,[1]startdates!$B$2:$B$10)</f>
        <v>C</v>
      </c>
      <c r="H3871">
        <v>5</v>
      </c>
      <c r="I3871" s="7">
        <v>624.5</v>
      </c>
      <c r="J3871" s="7">
        <v>490.5</v>
      </c>
      <c r="K3871" s="7">
        <v>495.7</v>
      </c>
      <c r="L3871" s="7">
        <v>426.7</v>
      </c>
      <c r="M3871" s="7">
        <v>372.6</v>
      </c>
      <c r="N3871" s="7">
        <v>226.9</v>
      </c>
      <c r="O3871" s="7">
        <v>164.2</v>
      </c>
      <c r="Q3871" s="7">
        <v>395.7</v>
      </c>
      <c r="R3871" s="7">
        <v>282.2</v>
      </c>
      <c r="S3871" s="7">
        <v>279.10000000000002</v>
      </c>
    </row>
    <row r="3872" spans="1:19" x14ac:dyDescent="0.2">
      <c r="A3872">
        <v>3871</v>
      </c>
      <c r="B3872" s="1">
        <v>40830</v>
      </c>
      <c r="C3872" t="s">
        <v>24</v>
      </c>
      <c r="D3872" s="7">
        <v>92</v>
      </c>
      <c r="E3872" s="7">
        <v>14</v>
      </c>
      <c r="F3872" s="7">
        <f t="shared" si="60"/>
        <v>6</v>
      </c>
      <c r="G3872" s="7" t="str">
        <f>LOOKUP(H3872,[1]startdates!$A$2:$A$10,[1]startdates!$B$2:$B$10)</f>
        <v>C</v>
      </c>
      <c r="H3872">
        <v>5</v>
      </c>
      <c r="I3872" s="7">
        <v>591.70000000000005</v>
      </c>
      <c r="J3872" s="7">
        <v>537.79999999999995</v>
      </c>
      <c r="K3872" s="7">
        <v>527.29999999999995</v>
      </c>
      <c r="L3872" s="7">
        <v>479.4</v>
      </c>
      <c r="M3872" s="7">
        <v>324.8</v>
      </c>
      <c r="N3872" s="7">
        <v>221.7</v>
      </c>
      <c r="O3872" s="7">
        <v>148.4</v>
      </c>
      <c r="Q3872" s="7">
        <v>272.60000000000002</v>
      </c>
      <c r="S3872" s="7">
        <v>254</v>
      </c>
    </row>
    <row r="3873" spans="1:19" x14ac:dyDescent="0.2">
      <c r="A3873">
        <v>3872</v>
      </c>
      <c r="B3873" s="1">
        <v>40830</v>
      </c>
      <c r="C3873" t="s">
        <v>24</v>
      </c>
      <c r="D3873" s="7">
        <v>92</v>
      </c>
      <c r="E3873" s="7">
        <v>14</v>
      </c>
      <c r="F3873" s="7">
        <f t="shared" si="60"/>
        <v>6</v>
      </c>
      <c r="G3873" s="7" t="str">
        <f>LOOKUP(H3873,[1]startdates!$A$2:$A$10,[1]startdates!$B$2:$B$10)</f>
        <v>C</v>
      </c>
      <c r="H3873">
        <v>5</v>
      </c>
      <c r="I3873" s="7">
        <v>622.4</v>
      </c>
      <c r="K3873" s="7">
        <v>567</v>
      </c>
      <c r="L3873" s="7">
        <v>493.6</v>
      </c>
      <c r="M3873" s="7">
        <v>311.10000000000002</v>
      </c>
      <c r="N3873" s="7">
        <v>188.3</v>
      </c>
      <c r="O3873" s="7">
        <v>179.3</v>
      </c>
    </row>
    <row r="3874" spans="1:19" x14ac:dyDescent="0.2">
      <c r="A3874">
        <v>3873</v>
      </c>
      <c r="B3874" s="1">
        <v>40830</v>
      </c>
      <c r="C3874" t="s">
        <v>24</v>
      </c>
      <c r="D3874" s="7">
        <v>92</v>
      </c>
      <c r="E3874" s="7">
        <v>14</v>
      </c>
      <c r="F3874" s="7">
        <f t="shared" si="60"/>
        <v>6</v>
      </c>
      <c r="G3874" s="7" t="str">
        <f>LOOKUP(H3874,[1]startdates!$A$2:$A$10,[1]startdates!$B$2:$B$10)</f>
        <v>C</v>
      </c>
      <c r="H3874">
        <v>5</v>
      </c>
      <c r="I3874" s="7">
        <v>584.6</v>
      </c>
      <c r="K3874" s="7">
        <v>592.6</v>
      </c>
      <c r="L3874" s="7">
        <v>491.2</v>
      </c>
      <c r="M3874" s="7">
        <v>361.8</v>
      </c>
      <c r="N3874" s="7">
        <v>207.5</v>
      </c>
      <c r="O3874" s="7">
        <v>151.69999999999999</v>
      </c>
    </row>
    <row r="3875" spans="1:19" x14ac:dyDescent="0.2">
      <c r="A3875">
        <v>3874</v>
      </c>
      <c r="B3875" s="1">
        <v>40830</v>
      </c>
      <c r="C3875" t="s">
        <v>24</v>
      </c>
      <c r="D3875" s="7">
        <v>92</v>
      </c>
      <c r="E3875" s="7">
        <v>14</v>
      </c>
      <c r="F3875" s="7">
        <f t="shared" si="60"/>
        <v>6</v>
      </c>
      <c r="G3875" s="7" t="str">
        <f>LOOKUP(H3875,[1]startdates!$A$2:$A$10,[1]startdates!$B$2:$B$10)</f>
        <v>C</v>
      </c>
      <c r="H3875">
        <v>5</v>
      </c>
      <c r="I3875" s="7">
        <v>578.5</v>
      </c>
      <c r="K3875" s="7">
        <v>527.9</v>
      </c>
      <c r="L3875" s="7">
        <v>482</v>
      </c>
      <c r="M3875" s="7">
        <v>302.7</v>
      </c>
      <c r="N3875" s="7">
        <v>217.3</v>
      </c>
      <c r="O3875" s="7">
        <v>146</v>
      </c>
    </row>
    <row r="3876" spans="1:19" x14ac:dyDescent="0.2">
      <c r="A3876">
        <v>3875</v>
      </c>
      <c r="B3876" s="1">
        <v>40830</v>
      </c>
      <c r="C3876" t="s">
        <v>24</v>
      </c>
      <c r="D3876" s="7">
        <v>92</v>
      </c>
      <c r="E3876" s="7">
        <v>14</v>
      </c>
      <c r="F3876" s="7">
        <f t="shared" si="60"/>
        <v>6</v>
      </c>
      <c r="G3876" s="7" t="str">
        <f>LOOKUP(H3876,[1]startdates!$A$2:$A$10,[1]startdates!$B$2:$B$10)</f>
        <v>C</v>
      </c>
      <c r="H3876">
        <v>5</v>
      </c>
      <c r="I3876" s="7">
        <v>704.6</v>
      </c>
      <c r="K3876" s="7">
        <v>566.1</v>
      </c>
      <c r="M3876" s="7">
        <v>323.5</v>
      </c>
      <c r="N3876" s="7">
        <v>222.5</v>
      </c>
      <c r="O3876" s="7">
        <v>167</v>
      </c>
    </row>
    <row r="3877" spans="1:19" x14ac:dyDescent="0.2">
      <c r="A3877">
        <v>3876</v>
      </c>
      <c r="B3877" s="1">
        <v>40830</v>
      </c>
      <c r="C3877" t="s">
        <v>24</v>
      </c>
      <c r="D3877" s="7">
        <v>92</v>
      </c>
      <c r="E3877" s="7">
        <v>14</v>
      </c>
      <c r="F3877" s="7">
        <f t="shared" si="60"/>
        <v>6</v>
      </c>
      <c r="G3877" s="7" t="str">
        <f>LOOKUP(H3877,[1]startdates!$A$2:$A$10,[1]startdates!$B$2:$B$10)</f>
        <v>C</v>
      </c>
      <c r="H3877">
        <v>5</v>
      </c>
      <c r="I3877" s="7">
        <v>476.8</v>
      </c>
      <c r="K3877" s="7">
        <v>493.6</v>
      </c>
      <c r="N3877" s="7">
        <v>204.1</v>
      </c>
      <c r="O3877" s="7">
        <v>168.9</v>
      </c>
    </row>
    <row r="3878" spans="1:19" x14ac:dyDescent="0.2">
      <c r="A3878">
        <v>3877</v>
      </c>
      <c r="B3878" s="1">
        <v>40830</v>
      </c>
      <c r="C3878" t="s">
        <v>24</v>
      </c>
      <c r="D3878" s="7">
        <v>92</v>
      </c>
      <c r="E3878" s="7">
        <v>14</v>
      </c>
      <c r="F3878" s="7">
        <f t="shared" si="60"/>
        <v>6</v>
      </c>
      <c r="G3878" s="7" t="str">
        <f>LOOKUP(H3878,[1]startdates!$A$2:$A$10,[1]startdates!$B$2:$B$10)</f>
        <v>C</v>
      </c>
      <c r="H3878">
        <v>5</v>
      </c>
      <c r="N3878" s="7">
        <v>209</v>
      </c>
      <c r="O3878" s="7">
        <v>162.19999999999999</v>
      </c>
    </row>
    <row r="3879" spans="1:19" x14ac:dyDescent="0.2">
      <c r="A3879">
        <v>3878</v>
      </c>
      <c r="B3879" s="1">
        <v>40830</v>
      </c>
      <c r="C3879" t="s">
        <v>24</v>
      </c>
      <c r="D3879" s="7">
        <v>92</v>
      </c>
      <c r="E3879" s="7">
        <v>14</v>
      </c>
      <c r="F3879" s="7">
        <f t="shared" si="60"/>
        <v>6</v>
      </c>
      <c r="G3879" s="7" t="str">
        <f>LOOKUP(H3879,[1]startdates!$A$2:$A$10,[1]startdates!$B$2:$B$10)</f>
        <v>C</v>
      </c>
      <c r="H3879">
        <v>5</v>
      </c>
      <c r="N3879" s="7">
        <v>273.3</v>
      </c>
      <c r="O3879" s="7">
        <v>158.80000000000001</v>
      </c>
    </row>
    <row r="3880" spans="1:19" x14ac:dyDescent="0.2">
      <c r="A3880">
        <v>3879</v>
      </c>
      <c r="B3880" s="1">
        <v>40830</v>
      </c>
      <c r="C3880" t="s">
        <v>24</v>
      </c>
      <c r="D3880" s="7">
        <v>92</v>
      </c>
      <c r="E3880" s="7">
        <v>14</v>
      </c>
      <c r="F3880" s="7">
        <f t="shared" si="60"/>
        <v>6</v>
      </c>
      <c r="G3880" s="7" t="str">
        <f>LOOKUP(H3880,[1]startdates!$A$2:$A$10,[1]startdates!$B$2:$B$10)</f>
        <v>C</v>
      </c>
      <c r="H3880">
        <v>5</v>
      </c>
      <c r="N3880" s="7">
        <v>216.1</v>
      </c>
      <c r="O3880" s="7">
        <v>195</v>
      </c>
    </row>
    <row r="3881" spans="1:19" x14ac:dyDescent="0.2">
      <c r="A3881">
        <v>3880</v>
      </c>
      <c r="B3881" s="1">
        <v>40830</v>
      </c>
      <c r="C3881" t="s">
        <v>24</v>
      </c>
      <c r="D3881" s="7">
        <v>92</v>
      </c>
      <c r="E3881" s="7">
        <v>14</v>
      </c>
      <c r="F3881" s="7">
        <f t="shared" ref="F3881:F3944" si="61">WEEKDAY(B3881)</f>
        <v>6</v>
      </c>
      <c r="G3881" s="7" t="str">
        <f>LOOKUP(H3881,[1]startdates!$A$2:$A$10,[1]startdates!$B$2:$B$10)</f>
        <v>C</v>
      </c>
      <c r="H3881">
        <v>5</v>
      </c>
      <c r="N3881" s="7">
        <v>226.1</v>
      </c>
      <c r="O3881" s="7">
        <v>163.4</v>
      </c>
    </row>
    <row r="3882" spans="1:19" x14ac:dyDescent="0.2">
      <c r="A3882">
        <v>3881</v>
      </c>
      <c r="B3882" s="1">
        <v>40830</v>
      </c>
      <c r="C3882" t="s">
        <v>24</v>
      </c>
      <c r="D3882" s="7">
        <v>92</v>
      </c>
      <c r="E3882" s="7">
        <v>14</v>
      </c>
      <c r="F3882" s="7">
        <f t="shared" si="61"/>
        <v>6</v>
      </c>
      <c r="G3882" s="7" t="str">
        <f>LOOKUP(H3882,[1]startdates!$A$2:$A$10,[1]startdates!$B$2:$B$10)</f>
        <v>C</v>
      </c>
      <c r="H3882">
        <v>5</v>
      </c>
      <c r="N3882" s="7">
        <v>225.7</v>
      </c>
    </row>
    <row r="3883" spans="1:19" x14ac:dyDescent="0.2">
      <c r="A3883">
        <v>3882</v>
      </c>
      <c r="B3883" s="1">
        <v>40830</v>
      </c>
      <c r="C3883" t="s">
        <v>28</v>
      </c>
      <c r="D3883" s="7">
        <v>92</v>
      </c>
      <c r="E3883" s="7">
        <v>14</v>
      </c>
      <c r="F3883" s="7">
        <f t="shared" si="61"/>
        <v>6</v>
      </c>
      <c r="G3883" s="7" t="str">
        <f>LOOKUP(H3883,[1]startdates!$A$2:$A$10,[1]startdates!$B$2:$B$10)</f>
        <v>FMr</v>
      </c>
      <c r="H3883">
        <v>6</v>
      </c>
      <c r="I3883" s="7">
        <v>576.29999999999995</v>
      </c>
      <c r="J3883" s="7">
        <v>558</v>
      </c>
      <c r="K3883" s="7">
        <v>530.20000000000005</v>
      </c>
      <c r="L3883" s="7">
        <v>457.2</v>
      </c>
      <c r="M3883" s="7">
        <v>291.5</v>
      </c>
      <c r="N3883" s="7">
        <v>239.6</v>
      </c>
      <c r="O3883" s="7">
        <v>161</v>
      </c>
      <c r="P3883" s="7">
        <v>402.8</v>
      </c>
      <c r="Q3883" s="7">
        <v>329.5</v>
      </c>
      <c r="R3883" s="7">
        <v>265.7</v>
      </c>
      <c r="S3883" s="7">
        <v>251.9</v>
      </c>
    </row>
    <row r="3884" spans="1:19" x14ac:dyDescent="0.2">
      <c r="A3884">
        <v>3883</v>
      </c>
      <c r="B3884" s="1">
        <v>40830</v>
      </c>
      <c r="C3884" t="s">
        <v>28</v>
      </c>
      <c r="D3884" s="7">
        <v>92</v>
      </c>
      <c r="E3884" s="7">
        <v>14</v>
      </c>
      <c r="F3884" s="7">
        <f t="shared" si="61"/>
        <v>6</v>
      </c>
      <c r="G3884" s="7" t="str">
        <f>LOOKUP(H3884,[1]startdates!$A$2:$A$10,[1]startdates!$B$2:$B$10)</f>
        <v>FMr</v>
      </c>
      <c r="H3884">
        <v>6</v>
      </c>
      <c r="I3884" s="7">
        <v>567</v>
      </c>
      <c r="K3884" s="7">
        <v>550.1</v>
      </c>
      <c r="L3884" s="7">
        <v>481</v>
      </c>
      <c r="M3884" s="7">
        <v>314.60000000000002</v>
      </c>
      <c r="N3884" s="7">
        <v>208.8</v>
      </c>
      <c r="O3884" s="7">
        <v>166.9</v>
      </c>
      <c r="Q3884" s="7">
        <v>375</v>
      </c>
      <c r="R3884" s="7">
        <v>271.3</v>
      </c>
      <c r="S3884" s="7">
        <v>261.5</v>
      </c>
    </row>
    <row r="3885" spans="1:19" x14ac:dyDescent="0.2">
      <c r="A3885">
        <v>3884</v>
      </c>
      <c r="B3885" s="1">
        <v>40830</v>
      </c>
      <c r="C3885" t="s">
        <v>28</v>
      </c>
      <c r="D3885" s="7">
        <v>92</v>
      </c>
      <c r="E3885" s="7">
        <v>14</v>
      </c>
      <c r="F3885" s="7">
        <f t="shared" si="61"/>
        <v>6</v>
      </c>
      <c r="G3885" s="7" t="str">
        <f>LOOKUP(H3885,[1]startdates!$A$2:$A$10,[1]startdates!$B$2:$B$10)</f>
        <v>FMr</v>
      </c>
      <c r="H3885">
        <v>6</v>
      </c>
      <c r="I3885" s="7">
        <v>544.4</v>
      </c>
      <c r="K3885" s="7">
        <v>541.70000000000005</v>
      </c>
      <c r="L3885" s="7">
        <v>409.1</v>
      </c>
      <c r="M3885" s="7">
        <v>342.7</v>
      </c>
      <c r="N3885" s="7">
        <v>198.6</v>
      </c>
      <c r="O3885" s="7">
        <v>169.4</v>
      </c>
      <c r="S3885" s="7">
        <v>216.7</v>
      </c>
    </row>
    <row r="3886" spans="1:19" x14ac:dyDescent="0.2">
      <c r="A3886">
        <v>3885</v>
      </c>
      <c r="B3886" s="1">
        <v>40830</v>
      </c>
      <c r="C3886" t="s">
        <v>28</v>
      </c>
      <c r="D3886" s="7">
        <v>92</v>
      </c>
      <c r="E3886" s="7">
        <v>14</v>
      </c>
      <c r="F3886" s="7">
        <f t="shared" si="61"/>
        <v>6</v>
      </c>
      <c r="G3886" s="7" t="str">
        <f>LOOKUP(H3886,[1]startdates!$A$2:$A$10,[1]startdates!$B$2:$B$10)</f>
        <v>FMr</v>
      </c>
      <c r="H3886">
        <v>6</v>
      </c>
      <c r="I3886" s="7">
        <v>624.5</v>
      </c>
      <c r="K3886" s="7">
        <v>496.1</v>
      </c>
      <c r="L3886" s="7">
        <v>482.8</v>
      </c>
      <c r="M3886" s="7">
        <v>359.9</v>
      </c>
      <c r="N3886" s="7">
        <v>233.8</v>
      </c>
      <c r="O3886" s="7">
        <v>141.6</v>
      </c>
    </row>
    <row r="3887" spans="1:19" x14ac:dyDescent="0.2">
      <c r="A3887">
        <v>3886</v>
      </c>
      <c r="B3887" s="1">
        <v>40830</v>
      </c>
      <c r="C3887" t="s">
        <v>28</v>
      </c>
      <c r="D3887" s="7">
        <v>92</v>
      </c>
      <c r="E3887" s="7">
        <v>14</v>
      </c>
      <c r="F3887" s="7">
        <f t="shared" si="61"/>
        <v>6</v>
      </c>
      <c r="G3887" s="7" t="str">
        <f>LOOKUP(H3887,[1]startdates!$A$2:$A$10,[1]startdates!$B$2:$B$10)</f>
        <v>FMr</v>
      </c>
      <c r="H3887">
        <v>6</v>
      </c>
      <c r="I3887" s="7">
        <v>524.1</v>
      </c>
      <c r="K3887" s="7">
        <v>536.29999999999995</v>
      </c>
      <c r="L3887" s="7">
        <v>467.6</v>
      </c>
      <c r="M3887" s="7">
        <v>332.3</v>
      </c>
      <c r="N3887" s="7">
        <v>209.3</v>
      </c>
      <c r="O3887" s="7">
        <v>171.3</v>
      </c>
    </row>
    <row r="3888" spans="1:19" x14ac:dyDescent="0.2">
      <c r="A3888">
        <v>3887</v>
      </c>
      <c r="B3888" s="1">
        <v>40830</v>
      </c>
      <c r="C3888" t="s">
        <v>28</v>
      </c>
      <c r="D3888" s="7">
        <v>92</v>
      </c>
      <c r="E3888" s="7">
        <v>14</v>
      </c>
      <c r="F3888" s="7">
        <f t="shared" si="61"/>
        <v>6</v>
      </c>
      <c r="G3888" s="7" t="str">
        <f>LOOKUP(H3888,[1]startdates!$A$2:$A$10,[1]startdates!$B$2:$B$10)</f>
        <v>FMr</v>
      </c>
      <c r="H3888">
        <v>6</v>
      </c>
      <c r="I3888" s="7">
        <v>606.6</v>
      </c>
      <c r="K3888" s="7">
        <v>520.5</v>
      </c>
      <c r="L3888" s="7">
        <v>491.7</v>
      </c>
      <c r="M3888" s="7">
        <v>301.10000000000002</v>
      </c>
      <c r="N3888" s="7">
        <v>216.1</v>
      </c>
      <c r="O3888" s="7">
        <v>155</v>
      </c>
    </row>
    <row r="3889" spans="1:18" x14ac:dyDescent="0.2">
      <c r="A3889">
        <v>3888</v>
      </c>
      <c r="B3889" s="1">
        <v>40830</v>
      </c>
      <c r="C3889" t="s">
        <v>28</v>
      </c>
      <c r="D3889" s="7">
        <v>92</v>
      </c>
      <c r="E3889" s="7">
        <v>14</v>
      </c>
      <c r="F3889" s="7">
        <f t="shared" si="61"/>
        <v>6</v>
      </c>
      <c r="G3889" s="7" t="str">
        <f>LOOKUP(H3889,[1]startdates!$A$2:$A$10,[1]startdates!$B$2:$B$10)</f>
        <v>FMr</v>
      </c>
      <c r="H3889">
        <v>6</v>
      </c>
      <c r="I3889" s="7">
        <v>564.9</v>
      </c>
      <c r="K3889" s="7">
        <v>494.6</v>
      </c>
      <c r="L3889" s="7">
        <v>468.5</v>
      </c>
      <c r="M3889" s="7">
        <v>365.6</v>
      </c>
      <c r="N3889" s="7">
        <v>208.3</v>
      </c>
      <c r="O3889" s="7">
        <v>181.2</v>
      </c>
    </row>
    <row r="3890" spans="1:18" x14ac:dyDescent="0.2">
      <c r="A3890">
        <v>3889</v>
      </c>
      <c r="B3890" s="1">
        <v>40830</v>
      </c>
      <c r="C3890" t="s">
        <v>28</v>
      </c>
      <c r="D3890" s="7">
        <v>92</v>
      </c>
      <c r="E3890" s="7">
        <v>14</v>
      </c>
      <c r="F3890" s="7">
        <f t="shared" si="61"/>
        <v>6</v>
      </c>
      <c r="G3890" s="7" t="str">
        <f>LOOKUP(H3890,[1]startdates!$A$2:$A$10,[1]startdates!$B$2:$B$10)</f>
        <v>FMr</v>
      </c>
      <c r="H3890">
        <v>6</v>
      </c>
      <c r="I3890" s="7">
        <v>611.9</v>
      </c>
      <c r="N3890" s="7">
        <v>193.2</v>
      </c>
      <c r="O3890" s="7">
        <v>166.5</v>
      </c>
    </row>
    <row r="3891" spans="1:18" x14ac:dyDescent="0.2">
      <c r="A3891">
        <v>3890</v>
      </c>
      <c r="B3891" s="1">
        <v>40830</v>
      </c>
      <c r="C3891" t="s">
        <v>28</v>
      </c>
      <c r="D3891" s="7">
        <v>92</v>
      </c>
      <c r="E3891" s="7">
        <v>14</v>
      </c>
      <c r="F3891" s="7">
        <f t="shared" si="61"/>
        <v>6</v>
      </c>
      <c r="G3891" s="7" t="str">
        <f>LOOKUP(H3891,[1]startdates!$A$2:$A$10,[1]startdates!$B$2:$B$10)</f>
        <v>FMr</v>
      </c>
      <c r="H3891">
        <v>6</v>
      </c>
      <c r="I3891" s="7">
        <v>649.79999999999995</v>
      </c>
      <c r="N3891" s="7">
        <v>229.7</v>
      </c>
      <c r="O3891" s="7">
        <v>169.5</v>
      </c>
    </row>
    <row r="3892" spans="1:18" x14ac:dyDescent="0.2">
      <c r="A3892">
        <v>3891</v>
      </c>
      <c r="B3892" s="1">
        <v>40830</v>
      </c>
      <c r="C3892" t="s">
        <v>28</v>
      </c>
      <c r="D3892" s="7">
        <v>92</v>
      </c>
      <c r="E3892" s="7">
        <v>14</v>
      </c>
      <c r="F3892" s="7">
        <f t="shared" si="61"/>
        <v>6</v>
      </c>
      <c r="G3892" s="7" t="str">
        <f>LOOKUP(H3892,[1]startdates!$A$2:$A$10,[1]startdates!$B$2:$B$10)</f>
        <v>FMr</v>
      </c>
      <c r="H3892">
        <v>6</v>
      </c>
      <c r="I3892" s="7">
        <v>492.1</v>
      </c>
      <c r="N3892" s="7">
        <v>249.4</v>
      </c>
      <c r="O3892" s="7">
        <v>155.30000000000001</v>
      </c>
    </row>
    <row r="3893" spans="1:18" x14ac:dyDescent="0.2">
      <c r="A3893">
        <v>3892</v>
      </c>
      <c r="B3893" s="1">
        <v>40830</v>
      </c>
      <c r="C3893" t="s">
        <v>28</v>
      </c>
      <c r="D3893" s="7">
        <v>92</v>
      </c>
      <c r="E3893" s="7">
        <v>14</v>
      </c>
      <c r="F3893" s="7">
        <f t="shared" si="61"/>
        <v>6</v>
      </c>
      <c r="G3893" s="7" t="str">
        <f>LOOKUP(H3893,[1]startdates!$A$2:$A$10,[1]startdates!$B$2:$B$10)</f>
        <v>FMr</v>
      </c>
      <c r="H3893">
        <v>6</v>
      </c>
      <c r="I3893" s="7">
        <v>542</v>
      </c>
      <c r="N3893" s="7">
        <v>266.39999999999998</v>
      </c>
      <c r="O3893" s="7">
        <v>187.6</v>
      </c>
    </row>
    <row r="3894" spans="1:18" x14ac:dyDescent="0.2">
      <c r="A3894">
        <v>3893</v>
      </c>
      <c r="B3894" s="1">
        <v>40830</v>
      </c>
      <c r="C3894" t="s">
        <v>28</v>
      </c>
      <c r="D3894" s="7">
        <v>92</v>
      </c>
      <c r="E3894" s="7">
        <v>14</v>
      </c>
      <c r="F3894" s="7">
        <f t="shared" si="61"/>
        <v>6</v>
      </c>
      <c r="G3894" s="7" t="str">
        <f>LOOKUP(H3894,[1]startdates!$A$2:$A$10,[1]startdates!$B$2:$B$10)</f>
        <v>FMr</v>
      </c>
      <c r="H3894">
        <v>6</v>
      </c>
      <c r="I3894" s="7">
        <v>513.5</v>
      </c>
    </row>
    <row r="3895" spans="1:18" x14ac:dyDescent="0.2">
      <c r="A3895">
        <v>3894</v>
      </c>
      <c r="B3895" s="1">
        <v>40830</v>
      </c>
      <c r="C3895" t="s">
        <v>24</v>
      </c>
      <c r="D3895" s="7">
        <v>92</v>
      </c>
      <c r="E3895" s="7">
        <v>14</v>
      </c>
      <c r="F3895" s="7">
        <f t="shared" si="61"/>
        <v>6</v>
      </c>
      <c r="G3895" s="7" t="str">
        <f>LOOKUP(H3895,[1]startdates!$A$2:$A$10,[1]startdates!$B$2:$B$10)</f>
        <v>FMr</v>
      </c>
      <c r="H3895">
        <v>7</v>
      </c>
      <c r="I3895" s="7">
        <v>529.5</v>
      </c>
      <c r="J3895" s="7">
        <v>467.2</v>
      </c>
      <c r="K3895" s="7">
        <v>550.9</v>
      </c>
      <c r="L3895" s="7">
        <v>351.5</v>
      </c>
      <c r="M3895" s="7">
        <v>304.60000000000002</v>
      </c>
      <c r="N3895" s="7">
        <v>214.4</v>
      </c>
      <c r="O3895" s="7">
        <v>160.5</v>
      </c>
      <c r="P3895" s="7">
        <v>484</v>
      </c>
      <c r="Q3895" s="7">
        <v>370.4</v>
      </c>
      <c r="R3895" s="7">
        <v>259.8</v>
      </c>
    </row>
    <row r="3896" spans="1:18" x14ac:dyDescent="0.2">
      <c r="A3896">
        <v>3895</v>
      </c>
      <c r="B3896" s="1">
        <v>40830</v>
      </c>
      <c r="C3896" t="s">
        <v>24</v>
      </c>
      <c r="D3896" s="7">
        <v>92</v>
      </c>
      <c r="E3896" s="7">
        <v>14</v>
      </c>
      <c r="F3896" s="7">
        <f t="shared" si="61"/>
        <v>6</v>
      </c>
      <c r="G3896" s="7" t="str">
        <f>LOOKUP(H3896,[1]startdates!$A$2:$A$10,[1]startdates!$B$2:$B$10)</f>
        <v>FMr</v>
      </c>
      <c r="H3896">
        <v>7</v>
      </c>
      <c r="I3896" s="7">
        <v>641.5</v>
      </c>
      <c r="J3896" s="7">
        <v>406.4</v>
      </c>
      <c r="K3896" s="7">
        <v>563.70000000000005</v>
      </c>
      <c r="L3896" s="7">
        <v>410</v>
      </c>
      <c r="M3896" s="7">
        <v>262.5</v>
      </c>
      <c r="N3896" s="7">
        <v>213.5</v>
      </c>
      <c r="O3896" s="7">
        <v>184.9</v>
      </c>
      <c r="R3896" s="7">
        <v>268.8</v>
      </c>
    </row>
    <row r="3897" spans="1:18" x14ac:dyDescent="0.2">
      <c r="A3897">
        <v>3896</v>
      </c>
      <c r="B3897" s="1">
        <v>40830</v>
      </c>
      <c r="C3897" t="s">
        <v>24</v>
      </c>
      <c r="D3897" s="7">
        <v>92</v>
      </c>
      <c r="E3897" s="7">
        <v>14</v>
      </c>
      <c r="F3897" s="7">
        <f t="shared" si="61"/>
        <v>6</v>
      </c>
      <c r="G3897" s="7" t="str">
        <f>LOOKUP(H3897,[1]startdates!$A$2:$A$10,[1]startdates!$B$2:$B$10)</f>
        <v>FMr</v>
      </c>
      <c r="H3897">
        <v>7</v>
      </c>
      <c r="I3897" s="7">
        <v>613.5</v>
      </c>
      <c r="K3897" s="7">
        <v>517</v>
      </c>
      <c r="L3897" s="7">
        <v>434.8</v>
      </c>
      <c r="M3897" s="7">
        <v>286.5</v>
      </c>
      <c r="N3897" s="7">
        <v>198.9</v>
      </c>
      <c r="O3897" s="7">
        <v>176.3</v>
      </c>
      <c r="R3897" s="7">
        <v>262.2</v>
      </c>
    </row>
    <row r="3898" spans="1:18" x14ac:dyDescent="0.2">
      <c r="A3898">
        <v>3897</v>
      </c>
      <c r="B3898" s="1">
        <v>40830</v>
      </c>
      <c r="C3898" t="s">
        <v>24</v>
      </c>
      <c r="D3898" s="7">
        <v>92</v>
      </c>
      <c r="E3898" s="7">
        <v>14</v>
      </c>
      <c r="F3898" s="7">
        <f t="shared" si="61"/>
        <v>6</v>
      </c>
      <c r="G3898" s="7" t="str">
        <f>LOOKUP(H3898,[1]startdates!$A$2:$A$10,[1]startdates!$B$2:$B$10)</f>
        <v>FMr</v>
      </c>
      <c r="H3898">
        <v>7</v>
      </c>
      <c r="I3898" s="7">
        <v>666.8</v>
      </c>
      <c r="K3898" s="7">
        <v>574.9</v>
      </c>
      <c r="M3898" s="7">
        <v>330.7</v>
      </c>
      <c r="N3898" s="7">
        <v>209.9</v>
      </c>
      <c r="O3898" s="7">
        <v>152.19999999999999</v>
      </c>
    </row>
    <row r="3899" spans="1:18" x14ac:dyDescent="0.2">
      <c r="A3899">
        <v>3898</v>
      </c>
      <c r="B3899" s="1">
        <v>40830</v>
      </c>
      <c r="C3899" t="s">
        <v>24</v>
      </c>
      <c r="D3899" s="7">
        <v>92</v>
      </c>
      <c r="E3899" s="7">
        <v>14</v>
      </c>
      <c r="F3899" s="7">
        <f t="shared" si="61"/>
        <v>6</v>
      </c>
      <c r="G3899" s="7" t="str">
        <f>LOOKUP(H3899,[1]startdates!$A$2:$A$10,[1]startdates!$B$2:$B$10)</f>
        <v>FMr</v>
      </c>
      <c r="H3899">
        <v>7</v>
      </c>
      <c r="I3899" s="7">
        <v>571</v>
      </c>
      <c r="K3899" s="7">
        <v>465.3</v>
      </c>
      <c r="M3899" s="7">
        <v>304</v>
      </c>
      <c r="N3899" s="7">
        <v>218.9</v>
      </c>
      <c r="O3899" s="7">
        <v>158.5</v>
      </c>
    </row>
    <row r="3900" spans="1:18" x14ac:dyDescent="0.2">
      <c r="A3900">
        <v>3899</v>
      </c>
      <c r="B3900" s="1">
        <v>40830</v>
      </c>
      <c r="C3900" t="s">
        <v>24</v>
      </c>
      <c r="D3900" s="7">
        <v>92</v>
      </c>
      <c r="E3900" s="7">
        <v>14</v>
      </c>
      <c r="F3900" s="7">
        <f t="shared" si="61"/>
        <v>6</v>
      </c>
      <c r="G3900" s="7" t="str">
        <f>LOOKUP(H3900,[1]startdates!$A$2:$A$10,[1]startdates!$B$2:$B$10)</f>
        <v>FMr</v>
      </c>
      <c r="H3900">
        <v>7</v>
      </c>
      <c r="I3900" s="7">
        <v>494.1</v>
      </c>
      <c r="K3900" s="7">
        <v>487.4</v>
      </c>
      <c r="M3900" s="7">
        <v>305.8</v>
      </c>
      <c r="N3900" s="7">
        <v>187.8</v>
      </c>
      <c r="O3900" s="7">
        <v>174.9</v>
      </c>
    </row>
    <row r="3901" spans="1:18" x14ac:dyDescent="0.2">
      <c r="A3901">
        <v>3900</v>
      </c>
      <c r="B3901" s="1">
        <v>40830</v>
      </c>
      <c r="C3901" t="s">
        <v>24</v>
      </c>
      <c r="D3901" s="7">
        <v>92</v>
      </c>
      <c r="E3901" s="7">
        <v>14</v>
      </c>
      <c r="F3901" s="7">
        <f t="shared" si="61"/>
        <v>6</v>
      </c>
      <c r="G3901" s="7" t="str">
        <f>LOOKUP(H3901,[1]startdates!$A$2:$A$10,[1]startdates!$B$2:$B$10)</f>
        <v>FMr</v>
      </c>
      <c r="H3901">
        <v>7</v>
      </c>
      <c r="I3901" s="7">
        <v>605.1</v>
      </c>
      <c r="K3901" s="7">
        <v>517</v>
      </c>
      <c r="M3901" s="7">
        <v>287.2</v>
      </c>
      <c r="N3901" s="7">
        <v>206.5</v>
      </c>
      <c r="O3901" s="7">
        <v>170.4</v>
      </c>
    </row>
    <row r="3902" spans="1:18" x14ac:dyDescent="0.2">
      <c r="A3902">
        <v>3901</v>
      </c>
      <c r="B3902" s="1">
        <v>40830</v>
      </c>
      <c r="C3902" t="s">
        <v>24</v>
      </c>
      <c r="D3902" s="7">
        <v>92</v>
      </c>
      <c r="E3902" s="7">
        <v>14</v>
      </c>
      <c r="F3902" s="7">
        <f t="shared" si="61"/>
        <v>6</v>
      </c>
      <c r="G3902" s="7" t="str">
        <f>LOOKUP(H3902,[1]startdates!$A$2:$A$10,[1]startdates!$B$2:$B$10)</f>
        <v>FMr</v>
      </c>
      <c r="H3902">
        <v>7</v>
      </c>
      <c r="I3902" s="7">
        <v>615.9</v>
      </c>
      <c r="K3902" s="7">
        <v>552.6</v>
      </c>
      <c r="N3902" s="7">
        <v>182.8</v>
      </c>
      <c r="O3902" s="7">
        <v>178.2</v>
      </c>
    </row>
    <row r="3903" spans="1:18" x14ac:dyDescent="0.2">
      <c r="A3903">
        <v>3902</v>
      </c>
      <c r="B3903" s="1">
        <v>40830</v>
      </c>
      <c r="C3903" t="s">
        <v>24</v>
      </c>
      <c r="D3903" s="7">
        <v>92</v>
      </c>
      <c r="E3903" s="7">
        <v>14</v>
      </c>
      <c r="F3903" s="7">
        <f t="shared" si="61"/>
        <v>6</v>
      </c>
      <c r="G3903" s="7" t="str">
        <f>LOOKUP(H3903,[1]startdates!$A$2:$A$10,[1]startdates!$B$2:$B$10)</f>
        <v>FMr</v>
      </c>
      <c r="H3903">
        <v>7</v>
      </c>
      <c r="I3903" s="7">
        <v>564.70000000000005</v>
      </c>
      <c r="K3903" s="7">
        <v>469.3</v>
      </c>
      <c r="N3903" s="7">
        <v>184.5</v>
      </c>
      <c r="O3903" s="7">
        <v>160</v>
      </c>
    </row>
    <row r="3904" spans="1:18" x14ac:dyDescent="0.2">
      <c r="A3904">
        <v>3903</v>
      </c>
      <c r="B3904" s="1">
        <v>40830</v>
      </c>
      <c r="C3904" t="s">
        <v>24</v>
      </c>
      <c r="D3904" s="7">
        <v>92</v>
      </c>
      <c r="E3904" s="7">
        <v>14</v>
      </c>
      <c r="F3904" s="7">
        <f t="shared" si="61"/>
        <v>6</v>
      </c>
      <c r="G3904" s="7" t="str">
        <f>LOOKUP(H3904,[1]startdates!$A$2:$A$10,[1]startdates!$B$2:$B$10)</f>
        <v>FMr</v>
      </c>
      <c r="H3904">
        <v>7</v>
      </c>
      <c r="I3904" s="7">
        <v>547.29999999999995</v>
      </c>
      <c r="K3904" s="7">
        <v>557</v>
      </c>
      <c r="N3904" s="7">
        <v>257.7</v>
      </c>
      <c r="O3904" s="7">
        <v>165.7</v>
      </c>
    </row>
    <row r="3905" spans="1:19" x14ac:dyDescent="0.2">
      <c r="A3905">
        <v>3904</v>
      </c>
      <c r="B3905" s="1">
        <v>40830</v>
      </c>
      <c r="C3905" t="s">
        <v>24</v>
      </c>
      <c r="D3905" s="7">
        <v>92</v>
      </c>
      <c r="E3905" s="7">
        <v>14</v>
      </c>
      <c r="F3905" s="7">
        <f t="shared" si="61"/>
        <v>6</v>
      </c>
      <c r="G3905" s="7" t="str">
        <f>LOOKUP(H3905,[1]startdates!$A$2:$A$10,[1]startdates!$B$2:$B$10)</f>
        <v>FMr</v>
      </c>
      <c r="H3905">
        <v>7</v>
      </c>
      <c r="K3905" s="7">
        <v>507.6</v>
      </c>
      <c r="N3905" s="7">
        <v>209.9</v>
      </c>
      <c r="O3905" s="7">
        <v>180.7</v>
      </c>
    </row>
    <row r="3906" spans="1:19" x14ac:dyDescent="0.2">
      <c r="A3906">
        <v>3905</v>
      </c>
      <c r="B3906" s="1">
        <v>40830</v>
      </c>
      <c r="C3906" t="s">
        <v>24</v>
      </c>
      <c r="D3906" s="7">
        <v>92</v>
      </c>
      <c r="E3906" s="7">
        <v>14</v>
      </c>
      <c r="F3906" s="7">
        <f t="shared" si="61"/>
        <v>6</v>
      </c>
      <c r="G3906" s="7" t="str">
        <f>LOOKUP(H3906,[1]startdates!$A$2:$A$10,[1]startdates!$B$2:$B$10)</f>
        <v>FMr</v>
      </c>
      <c r="H3906">
        <v>7</v>
      </c>
      <c r="K3906" s="7">
        <v>437.1</v>
      </c>
      <c r="O3906" s="7">
        <v>176.9</v>
      </c>
    </row>
    <row r="3907" spans="1:19" x14ac:dyDescent="0.2">
      <c r="A3907">
        <v>3906</v>
      </c>
      <c r="B3907" s="1">
        <v>40830</v>
      </c>
      <c r="C3907" t="s">
        <v>24</v>
      </c>
      <c r="D3907" s="7">
        <v>92</v>
      </c>
      <c r="E3907" s="7">
        <v>14</v>
      </c>
      <c r="F3907" s="7">
        <f t="shared" si="61"/>
        <v>6</v>
      </c>
      <c r="G3907" s="7" t="str">
        <f>LOOKUP(H3907,[1]startdates!$A$2:$A$10,[1]startdates!$B$2:$B$10)</f>
        <v>FMr</v>
      </c>
      <c r="H3907">
        <v>7</v>
      </c>
      <c r="K3907" s="7">
        <v>506.2</v>
      </c>
    </row>
    <row r="3908" spans="1:19" x14ac:dyDescent="0.2">
      <c r="A3908">
        <v>3907</v>
      </c>
      <c r="B3908" s="1">
        <v>40830</v>
      </c>
      <c r="C3908" t="s">
        <v>24</v>
      </c>
      <c r="D3908" s="7">
        <v>92</v>
      </c>
      <c r="E3908" s="7">
        <v>14</v>
      </c>
      <c r="F3908" s="7">
        <f t="shared" si="61"/>
        <v>6</v>
      </c>
      <c r="G3908" s="7" t="str">
        <f>LOOKUP(H3908,[1]startdates!$A$2:$A$10,[1]startdates!$B$2:$B$10)</f>
        <v>FMr</v>
      </c>
      <c r="H3908">
        <v>7</v>
      </c>
      <c r="K3908" s="7">
        <v>625.9</v>
      </c>
    </row>
    <row r="3909" spans="1:19" x14ac:dyDescent="0.2">
      <c r="A3909">
        <v>3908</v>
      </c>
      <c r="B3909" s="1">
        <v>40830</v>
      </c>
      <c r="C3909" t="s">
        <v>28</v>
      </c>
      <c r="D3909" s="7">
        <v>92</v>
      </c>
      <c r="E3909" s="7">
        <v>14</v>
      </c>
      <c r="F3909" s="7">
        <f t="shared" si="61"/>
        <v>6</v>
      </c>
      <c r="G3909" s="7" t="str">
        <f>LOOKUP(H3909,[1]startdates!$A$2:$A$10,[1]startdates!$B$2:$B$10)</f>
        <v>C</v>
      </c>
      <c r="H3909">
        <v>8</v>
      </c>
      <c r="I3909" s="7">
        <v>698.1</v>
      </c>
      <c r="J3909" s="7">
        <v>494</v>
      </c>
      <c r="K3909" s="7">
        <v>655.5</v>
      </c>
      <c r="L3909" s="7">
        <v>415</v>
      </c>
      <c r="M3909" s="7">
        <v>327</v>
      </c>
      <c r="N3909" s="7">
        <v>180.7</v>
      </c>
      <c r="O3909" s="7">
        <v>182.5</v>
      </c>
      <c r="S3909" s="7">
        <v>312.7</v>
      </c>
    </row>
    <row r="3910" spans="1:19" x14ac:dyDescent="0.2">
      <c r="A3910">
        <v>3909</v>
      </c>
      <c r="B3910" s="1">
        <v>40830</v>
      </c>
      <c r="C3910" t="s">
        <v>28</v>
      </c>
      <c r="D3910" s="7">
        <v>92</v>
      </c>
      <c r="E3910" s="7">
        <v>14</v>
      </c>
      <c r="F3910" s="7">
        <f t="shared" si="61"/>
        <v>6</v>
      </c>
      <c r="G3910" s="7" t="str">
        <f>LOOKUP(H3910,[1]startdates!$A$2:$A$10,[1]startdates!$B$2:$B$10)</f>
        <v>C</v>
      </c>
      <c r="H3910">
        <v>8</v>
      </c>
      <c r="I3910" s="7">
        <v>746.8</v>
      </c>
      <c r="J3910" s="7">
        <v>530</v>
      </c>
      <c r="K3910" s="7">
        <v>668.4</v>
      </c>
      <c r="L3910" s="7">
        <v>412.3</v>
      </c>
      <c r="M3910" s="7">
        <v>399.3</v>
      </c>
      <c r="N3910" s="7">
        <v>244.4</v>
      </c>
      <c r="O3910" s="7">
        <v>166.8</v>
      </c>
      <c r="S3910" s="7">
        <v>278.3</v>
      </c>
    </row>
    <row r="3911" spans="1:19" x14ac:dyDescent="0.2">
      <c r="A3911">
        <v>3910</v>
      </c>
      <c r="B3911" s="1">
        <v>40830</v>
      </c>
      <c r="C3911" t="s">
        <v>28</v>
      </c>
      <c r="D3911" s="7">
        <v>92</v>
      </c>
      <c r="E3911" s="7">
        <v>14</v>
      </c>
      <c r="F3911" s="7">
        <f t="shared" si="61"/>
        <v>6</v>
      </c>
      <c r="G3911" s="7" t="str">
        <f>LOOKUP(H3911,[1]startdates!$A$2:$A$10,[1]startdates!$B$2:$B$10)</f>
        <v>C</v>
      </c>
      <c r="H3911">
        <v>8</v>
      </c>
      <c r="I3911" s="7">
        <v>769.4</v>
      </c>
      <c r="J3911" s="7">
        <v>530.9</v>
      </c>
      <c r="K3911" s="7">
        <v>552.1</v>
      </c>
      <c r="L3911" s="7">
        <v>403.6</v>
      </c>
      <c r="M3911" s="7">
        <v>338.7</v>
      </c>
      <c r="N3911" s="7">
        <v>213.5</v>
      </c>
      <c r="O3911" s="7">
        <v>159.30000000000001</v>
      </c>
      <c r="S3911" s="7">
        <v>268</v>
      </c>
    </row>
    <row r="3912" spans="1:19" x14ac:dyDescent="0.2">
      <c r="A3912">
        <v>3911</v>
      </c>
      <c r="B3912" s="1">
        <v>40830</v>
      </c>
      <c r="C3912" t="s">
        <v>28</v>
      </c>
      <c r="D3912" s="7">
        <v>92</v>
      </c>
      <c r="E3912" s="7">
        <v>14</v>
      </c>
      <c r="F3912" s="7">
        <f t="shared" si="61"/>
        <v>6</v>
      </c>
      <c r="G3912" s="7" t="str">
        <f>LOOKUP(H3912,[1]startdates!$A$2:$A$10,[1]startdates!$B$2:$B$10)</f>
        <v>C</v>
      </c>
      <c r="H3912">
        <v>8</v>
      </c>
      <c r="I3912" s="7">
        <v>548</v>
      </c>
      <c r="J3912" s="7">
        <v>515.6</v>
      </c>
      <c r="K3912" s="7">
        <v>556.29999999999995</v>
      </c>
      <c r="M3912" s="7">
        <v>284.10000000000002</v>
      </c>
      <c r="N3912" s="7">
        <v>227.2</v>
      </c>
      <c r="O3912" s="7">
        <v>189.5</v>
      </c>
      <c r="S3912" s="7">
        <v>287.89999999999998</v>
      </c>
    </row>
    <row r="3913" spans="1:19" x14ac:dyDescent="0.2">
      <c r="A3913">
        <v>3912</v>
      </c>
      <c r="B3913" s="1">
        <v>40830</v>
      </c>
      <c r="C3913" t="s">
        <v>28</v>
      </c>
      <c r="D3913" s="7">
        <v>92</v>
      </c>
      <c r="E3913" s="7">
        <v>14</v>
      </c>
      <c r="F3913" s="7">
        <f t="shared" si="61"/>
        <v>6</v>
      </c>
      <c r="G3913" s="7" t="str">
        <f>LOOKUP(H3913,[1]startdates!$A$2:$A$10,[1]startdates!$B$2:$B$10)</f>
        <v>C</v>
      </c>
      <c r="H3913">
        <v>8</v>
      </c>
      <c r="I3913" s="7">
        <v>668.8</v>
      </c>
      <c r="J3913" s="7">
        <v>607.9</v>
      </c>
      <c r="K3913" s="7">
        <v>639.6</v>
      </c>
      <c r="M3913" s="7">
        <v>320.5</v>
      </c>
      <c r="N3913" s="7">
        <v>210.9</v>
      </c>
      <c r="O3913" s="7">
        <v>168</v>
      </c>
    </row>
    <row r="3914" spans="1:19" x14ac:dyDescent="0.2">
      <c r="A3914">
        <v>3913</v>
      </c>
      <c r="B3914" s="1">
        <v>40830</v>
      </c>
      <c r="C3914" t="s">
        <v>28</v>
      </c>
      <c r="D3914" s="7">
        <v>92</v>
      </c>
      <c r="E3914" s="7">
        <v>14</v>
      </c>
      <c r="F3914" s="7">
        <f t="shared" si="61"/>
        <v>6</v>
      </c>
      <c r="G3914" s="7" t="str">
        <f>LOOKUP(H3914,[1]startdates!$A$2:$A$10,[1]startdates!$B$2:$B$10)</f>
        <v>C</v>
      </c>
      <c r="H3914">
        <v>8</v>
      </c>
      <c r="I3914" s="7">
        <v>540.1</v>
      </c>
      <c r="K3914" s="7">
        <v>595.79999999999995</v>
      </c>
      <c r="M3914" s="7">
        <v>353.6</v>
      </c>
      <c r="N3914" s="7">
        <v>232</v>
      </c>
      <c r="O3914" s="7">
        <v>151.4</v>
      </c>
    </row>
    <row r="3915" spans="1:19" x14ac:dyDescent="0.2">
      <c r="A3915">
        <v>3914</v>
      </c>
      <c r="B3915" s="1">
        <v>40830</v>
      </c>
      <c r="C3915" t="s">
        <v>28</v>
      </c>
      <c r="D3915" s="7">
        <v>92</v>
      </c>
      <c r="E3915" s="7">
        <v>14</v>
      </c>
      <c r="F3915" s="7">
        <f t="shared" si="61"/>
        <v>6</v>
      </c>
      <c r="G3915" s="7" t="str">
        <f>LOOKUP(H3915,[1]startdates!$A$2:$A$10,[1]startdates!$B$2:$B$10)</f>
        <v>C</v>
      </c>
      <c r="H3915">
        <v>8</v>
      </c>
      <c r="I3915" s="7">
        <v>676.1</v>
      </c>
      <c r="M3915" s="7">
        <v>390.5</v>
      </c>
      <c r="N3915" s="7">
        <v>229.6</v>
      </c>
      <c r="O3915" s="7">
        <v>195.3</v>
      </c>
    </row>
    <row r="3916" spans="1:19" x14ac:dyDescent="0.2">
      <c r="A3916">
        <v>3915</v>
      </c>
      <c r="B3916" s="1">
        <v>40830</v>
      </c>
      <c r="C3916" t="s">
        <v>28</v>
      </c>
      <c r="D3916" s="7">
        <v>92</v>
      </c>
      <c r="E3916" s="7">
        <v>14</v>
      </c>
      <c r="F3916" s="7">
        <f t="shared" si="61"/>
        <v>6</v>
      </c>
      <c r="G3916" s="7" t="str">
        <f>LOOKUP(H3916,[1]startdates!$A$2:$A$10,[1]startdates!$B$2:$B$10)</f>
        <v>C</v>
      </c>
      <c r="H3916">
        <v>8</v>
      </c>
      <c r="I3916" s="7">
        <v>758.7</v>
      </c>
      <c r="M3916" s="7">
        <v>338.4</v>
      </c>
      <c r="N3916" s="7">
        <v>229.7</v>
      </c>
      <c r="O3916" s="7">
        <v>177.3</v>
      </c>
    </row>
    <row r="3917" spans="1:19" x14ac:dyDescent="0.2">
      <c r="A3917">
        <v>3916</v>
      </c>
      <c r="B3917" s="1">
        <v>40830</v>
      </c>
      <c r="C3917" t="s">
        <v>28</v>
      </c>
      <c r="D3917" s="7">
        <v>92</v>
      </c>
      <c r="E3917" s="7">
        <v>14</v>
      </c>
      <c r="F3917" s="7">
        <f t="shared" si="61"/>
        <v>6</v>
      </c>
      <c r="G3917" s="7" t="str">
        <f>LOOKUP(H3917,[1]startdates!$A$2:$A$10,[1]startdates!$B$2:$B$10)</f>
        <v>C</v>
      </c>
      <c r="H3917">
        <v>8</v>
      </c>
      <c r="I3917" s="7">
        <v>651.70000000000005</v>
      </c>
      <c r="M3917" s="7">
        <v>304.7</v>
      </c>
      <c r="N3917" s="7">
        <v>185.2</v>
      </c>
      <c r="O3917" s="7">
        <v>153.30000000000001</v>
      </c>
    </row>
    <row r="3918" spans="1:19" x14ac:dyDescent="0.2">
      <c r="A3918">
        <v>3917</v>
      </c>
      <c r="B3918" s="1">
        <v>40830</v>
      </c>
      <c r="C3918" t="s">
        <v>28</v>
      </c>
      <c r="D3918" s="7">
        <v>92</v>
      </c>
      <c r="E3918" s="7">
        <v>14</v>
      </c>
      <c r="F3918" s="7">
        <f t="shared" si="61"/>
        <v>6</v>
      </c>
      <c r="G3918" s="7" t="str">
        <f>LOOKUP(H3918,[1]startdates!$A$2:$A$10,[1]startdates!$B$2:$B$10)</f>
        <v>C</v>
      </c>
      <c r="H3918">
        <v>8</v>
      </c>
      <c r="I3918" s="7">
        <v>583.1</v>
      </c>
      <c r="M3918" s="7">
        <v>331.9</v>
      </c>
      <c r="N3918" s="7">
        <v>215.5</v>
      </c>
    </row>
    <row r="3919" spans="1:19" x14ac:dyDescent="0.2">
      <c r="A3919">
        <v>3918</v>
      </c>
      <c r="B3919" s="1">
        <v>40830</v>
      </c>
      <c r="C3919" t="s">
        <v>28</v>
      </c>
      <c r="D3919" s="7">
        <v>92</v>
      </c>
      <c r="E3919" s="7">
        <v>14</v>
      </c>
      <c r="F3919" s="7">
        <f t="shared" si="61"/>
        <v>6</v>
      </c>
      <c r="G3919" s="7" t="str">
        <f>LOOKUP(H3919,[1]startdates!$A$2:$A$10,[1]startdates!$B$2:$B$10)</f>
        <v>C</v>
      </c>
      <c r="H3919">
        <v>8</v>
      </c>
      <c r="M3919" s="7">
        <v>397.3</v>
      </c>
    </row>
    <row r="3920" spans="1:19" x14ac:dyDescent="0.2">
      <c r="A3920">
        <v>3919</v>
      </c>
      <c r="B3920" s="1">
        <v>40830</v>
      </c>
      <c r="C3920" t="s">
        <v>28</v>
      </c>
      <c r="D3920" s="7">
        <v>92</v>
      </c>
      <c r="E3920" s="7">
        <v>14</v>
      </c>
      <c r="F3920" s="7">
        <f t="shared" si="61"/>
        <v>6</v>
      </c>
      <c r="G3920" s="7" t="str">
        <f>LOOKUP(H3920,[1]startdates!$A$2:$A$10,[1]startdates!$B$2:$B$10)</f>
        <v>FMr</v>
      </c>
      <c r="H3920">
        <v>9</v>
      </c>
      <c r="I3920" s="7">
        <v>533.6</v>
      </c>
      <c r="K3920" s="7">
        <v>537.79999999999995</v>
      </c>
      <c r="L3920" s="7">
        <v>438.5</v>
      </c>
      <c r="M3920" s="7">
        <v>365.4</v>
      </c>
      <c r="N3920" s="7">
        <v>210.9</v>
      </c>
      <c r="O3920" s="7">
        <v>172.5</v>
      </c>
      <c r="P3920" s="7">
        <v>472.7</v>
      </c>
      <c r="Q3920" s="7">
        <v>321.2</v>
      </c>
      <c r="S3920" s="7">
        <v>181.3</v>
      </c>
    </row>
    <row r="3921" spans="1:21" x14ac:dyDescent="0.2">
      <c r="A3921">
        <v>3920</v>
      </c>
      <c r="B3921" s="1">
        <v>40830</v>
      </c>
      <c r="C3921" t="s">
        <v>28</v>
      </c>
      <c r="D3921" s="7">
        <v>92</v>
      </c>
      <c r="E3921" s="7">
        <v>14</v>
      </c>
      <c r="F3921" s="7">
        <f t="shared" si="61"/>
        <v>6</v>
      </c>
      <c r="G3921" s="7" t="str">
        <f>LOOKUP(H3921,[1]startdates!$A$2:$A$10,[1]startdates!$B$2:$B$10)</f>
        <v>FMr</v>
      </c>
      <c r="H3921">
        <v>9</v>
      </c>
      <c r="I3921" s="7">
        <v>662.1</v>
      </c>
      <c r="K3921" s="7">
        <v>527</v>
      </c>
      <c r="L3921" s="7">
        <v>477.6</v>
      </c>
      <c r="M3921" s="7">
        <v>305.10000000000002</v>
      </c>
      <c r="N3921" s="7">
        <v>202.6</v>
      </c>
      <c r="O3921" s="7">
        <v>174.1</v>
      </c>
      <c r="P3921" s="7">
        <v>421.5</v>
      </c>
      <c r="Q3921" s="7">
        <v>314.7</v>
      </c>
    </row>
    <row r="3922" spans="1:21" x14ac:dyDescent="0.2">
      <c r="A3922">
        <v>3921</v>
      </c>
      <c r="B3922" s="1">
        <v>40830</v>
      </c>
      <c r="C3922" t="s">
        <v>28</v>
      </c>
      <c r="D3922" s="7">
        <v>92</v>
      </c>
      <c r="E3922" s="7">
        <v>14</v>
      </c>
      <c r="F3922" s="7">
        <f t="shared" si="61"/>
        <v>6</v>
      </c>
      <c r="G3922" s="7" t="str">
        <f>LOOKUP(H3922,[1]startdates!$A$2:$A$10,[1]startdates!$B$2:$B$10)</f>
        <v>FMr</v>
      </c>
      <c r="H3922">
        <v>9</v>
      </c>
      <c r="I3922" s="7">
        <v>523.70000000000005</v>
      </c>
      <c r="K3922" s="7">
        <v>501.1</v>
      </c>
      <c r="L3922" s="7">
        <v>475.3</v>
      </c>
      <c r="M3922" s="7">
        <v>296.10000000000002</v>
      </c>
      <c r="N3922" s="7">
        <v>177.1</v>
      </c>
      <c r="O3922" s="7">
        <v>168.3</v>
      </c>
    </row>
    <row r="3923" spans="1:21" x14ac:dyDescent="0.2">
      <c r="A3923">
        <v>3922</v>
      </c>
      <c r="B3923" s="1">
        <v>40830</v>
      </c>
      <c r="C3923" t="s">
        <v>28</v>
      </c>
      <c r="D3923" s="7">
        <v>92</v>
      </c>
      <c r="E3923" s="7">
        <v>14</v>
      </c>
      <c r="F3923" s="7">
        <f t="shared" si="61"/>
        <v>6</v>
      </c>
      <c r="G3923" s="7" t="str">
        <f>LOOKUP(H3923,[1]startdates!$A$2:$A$10,[1]startdates!$B$2:$B$10)</f>
        <v>FMr</v>
      </c>
      <c r="H3923">
        <v>9</v>
      </c>
      <c r="I3923" s="7">
        <v>625.6</v>
      </c>
      <c r="K3923" s="7">
        <v>525.1</v>
      </c>
      <c r="L3923" s="7">
        <v>400.5</v>
      </c>
      <c r="M3923" s="7">
        <v>308.8</v>
      </c>
      <c r="N3923" s="7">
        <v>185.9</v>
      </c>
      <c r="O3923" s="7">
        <v>174.9</v>
      </c>
    </row>
    <row r="3924" spans="1:21" x14ac:dyDescent="0.2">
      <c r="A3924">
        <v>3923</v>
      </c>
      <c r="B3924" s="1">
        <v>40830</v>
      </c>
      <c r="C3924" t="s">
        <v>28</v>
      </c>
      <c r="D3924" s="7">
        <v>92</v>
      </c>
      <c r="E3924" s="7">
        <v>14</v>
      </c>
      <c r="F3924" s="7">
        <f t="shared" si="61"/>
        <v>6</v>
      </c>
      <c r="G3924" s="7" t="str">
        <f>LOOKUP(H3924,[1]startdates!$A$2:$A$10,[1]startdates!$B$2:$B$10)</f>
        <v>FMr</v>
      </c>
      <c r="H3924">
        <v>9</v>
      </c>
      <c r="I3924" s="7">
        <v>648.1</v>
      </c>
      <c r="K3924" s="7">
        <v>587.79999999999995</v>
      </c>
      <c r="L3924" s="7">
        <v>430.9</v>
      </c>
      <c r="M3924" s="7">
        <v>302.60000000000002</v>
      </c>
      <c r="N3924" s="7">
        <v>246.1</v>
      </c>
      <c r="O3924" s="7">
        <v>173.1</v>
      </c>
    </row>
    <row r="3925" spans="1:21" x14ac:dyDescent="0.2">
      <c r="A3925">
        <v>3924</v>
      </c>
      <c r="B3925" s="1">
        <v>40830</v>
      </c>
      <c r="C3925" t="s">
        <v>28</v>
      </c>
      <c r="D3925" s="7">
        <v>92</v>
      </c>
      <c r="E3925" s="7">
        <v>14</v>
      </c>
      <c r="F3925" s="7">
        <f t="shared" si="61"/>
        <v>6</v>
      </c>
      <c r="G3925" s="7" t="str">
        <f>LOOKUP(H3925,[1]startdates!$A$2:$A$10,[1]startdates!$B$2:$B$10)</f>
        <v>FMr</v>
      </c>
      <c r="H3925">
        <v>9</v>
      </c>
      <c r="I3925" s="7">
        <v>607.70000000000005</v>
      </c>
      <c r="K3925" s="7">
        <v>581.20000000000005</v>
      </c>
      <c r="M3925" s="7">
        <v>346.5</v>
      </c>
      <c r="N3925" s="7">
        <v>268</v>
      </c>
      <c r="O3925" s="7">
        <v>163.5</v>
      </c>
    </row>
    <row r="3926" spans="1:21" x14ac:dyDescent="0.2">
      <c r="A3926">
        <v>3925</v>
      </c>
      <c r="B3926" s="1">
        <v>40830</v>
      </c>
      <c r="C3926" t="s">
        <v>28</v>
      </c>
      <c r="D3926" s="7">
        <v>92</v>
      </c>
      <c r="E3926" s="7">
        <v>14</v>
      </c>
      <c r="F3926" s="7">
        <f t="shared" si="61"/>
        <v>6</v>
      </c>
      <c r="G3926" s="7" t="str">
        <f>LOOKUP(H3926,[1]startdates!$A$2:$A$10,[1]startdates!$B$2:$B$10)</f>
        <v>FMr</v>
      </c>
      <c r="H3926">
        <v>9</v>
      </c>
      <c r="I3926" s="7">
        <v>659.7</v>
      </c>
      <c r="K3926" s="7">
        <v>648</v>
      </c>
      <c r="M3926" s="7">
        <v>296.8</v>
      </c>
      <c r="N3926" s="7">
        <v>210.9</v>
      </c>
      <c r="O3926" s="7">
        <v>162.69999999999999</v>
      </c>
    </row>
    <row r="3927" spans="1:21" x14ac:dyDescent="0.2">
      <c r="A3927">
        <v>3926</v>
      </c>
      <c r="B3927" s="1">
        <v>40830</v>
      </c>
      <c r="C3927" t="s">
        <v>28</v>
      </c>
      <c r="D3927" s="7">
        <v>92</v>
      </c>
      <c r="E3927" s="7">
        <v>14</v>
      </c>
      <c r="F3927" s="7">
        <f t="shared" si="61"/>
        <v>6</v>
      </c>
      <c r="G3927" s="7" t="str">
        <f>LOOKUP(H3927,[1]startdates!$A$2:$A$10,[1]startdates!$B$2:$B$10)</f>
        <v>FMr</v>
      </c>
      <c r="H3927">
        <v>9</v>
      </c>
      <c r="I3927" s="7">
        <v>658.7</v>
      </c>
      <c r="M3927" s="7">
        <v>323.7</v>
      </c>
      <c r="N3927" s="7">
        <v>181.3</v>
      </c>
      <c r="O3927" s="7">
        <v>170</v>
      </c>
    </row>
    <row r="3928" spans="1:21" x14ac:dyDescent="0.2">
      <c r="A3928">
        <v>3927</v>
      </c>
      <c r="B3928" s="1">
        <v>40830</v>
      </c>
      <c r="C3928" t="s">
        <v>28</v>
      </c>
      <c r="D3928" s="7">
        <v>92</v>
      </c>
      <c r="E3928" s="7">
        <v>14</v>
      </c>
      <c r="F3928" s="7">
        <f t="shared" si="61"/>
        <v>6</v>
      </c>
      <c r="G3928" s="7" t="str">
        <f>LOOKUP(H3928,[1]startdates!$A$2:$A$10,[1]startdates!$B$2:$B$10)</f>
        <v>FMr</v>
      </c>
      <c r="H3928">
        <v>9</v>
      </c>
      <c r="I3928" s="7">
        <v>588.9</v>
      </c>
      <c r="M3928" s="7">
        <v>316</v>
      </c>
      <c r="N3928" s="7">
        <v>178.6</v>
      </c>
      <c r="O3928" s="7">
        <v>165.5</v>
      </c>
    </row>
    <row r="3929" spans="1:21" x14ac:dyDescent="0.2">
      <c r="A3929">
        <v>3928</v>
      </c>
      <c r="B3929" s="1">
        <v>40830</v>
      </c>
      <c r="C3929" t="s">
        <v>28</v>
      </c>
      <c r="D3929" s="7">
        <v>92</v>
      </c>
      <c r="E3929" s="7">
        <v>14</v>
      </c>
      <c r="F3929" s="7">
        <f t="shared" si="61"/>
        <v>6</v>
      </c>
      <c r="G3929" s="7" t="str">
        <f>LOOKUP(H3929,[1]startdates!$A$2:$A$10,[1]startdates!$B$2:$B$10)</f>
        <v>FMr</v>
      </c>
      <c r="H3929">
        <v>9</v>
      </c>
      <c r="I3929" s="7">
        <v>534.20000000000005</v>
      </c>
      <c r="M3929" s="7">
        <v>298.10000000000002</v>
      </c>
      <c r="N3929" s="7">
        <v>207.7</v>
      </c>
      <c r="O3929" s="7">
        <v>164</v>
      </c>
    </row>
    <row r="3930" spans="1:21" x14ac:dyDescent="0.2">
      <c r="A3930">
        <v>3929</v>
      </c>
      <c r="B3930" s="1">
        <v>40830</v>
      </c>
      <c r="C3930" t="s">
        <v>28</v>
      </c>
      <c r="D3930" s="7">
        <v>92</v>
      </c>
      <c r="E3930" s="7">
        <v>14</v>
      </c>
      <c r="F3930" s="7">
        <f t="shared" si="61"/>
        <v>6</v>
      </c>
      <c r="G3930" s="7" t="str">
        <f>LOOKUP(H3930,[1]startdates!$A$2:$A$10,[1]startdates!$B$2:$B$10)</f>
        <v>FMr</v>
      </c>
      <c r="H3930">
        <v>9</v>
      </c>
      <c r="I3930" s="7">
        <v>553.1</v>
      </c>
      <c r="N3930" s="7">
        <v>234</v>
      </c>
      <c r="O3930" s="7">
        <v>159.80000000000001</v>
      </c>
    </row>
    <row r="3931" spans="1:21" x14ac:dyDescent="0.2">
      <c r="A3931">
        <v>3930</v>
      </c>
      <c r="B3931" s="1">
        <v>40834</v>
      </c>
      <c r="C3931" t="s">
        <v>24</v>
      </c>
      <c r="D3931" s="7">
        <v>96</v>
      </c>
      <c r="E3931" s="7">
        <v>15</v>
      </c>
      <c r="F3931" s="7">
        <f t="shared" si="61"/>
        <v>3</v>
      </c>
      <c r="G3931" s="7" t="str">
        <f>LOOKUP(H3931,[1]startdates!$A$2:$A$10,[1]startdates!$B$2:$B$10)</f>
        <v>SMr</v>
      </c>
      <c r="H3931">
        <v>1</v>
      </c>
      <c r="I3931" s="7">
        <v>654.5</v>
      </c>
      <c r="J3931" s="7">
        <v>443.7</v>
      </c>
      <c r="K3931" s="7">
        <v>543.5</v>
      </c>
      <c r="L3931" s="7">
        <v>415</v>
      </c>
      <c r="M3931" s="7">
        <v>301.3</v>
      </c>
      <c r="N3931" s="7">
        <v>257.3</v>
      </c>
      <c r="O3931" s="7">
        <v>189.5</v>
      </c>
      <c r="P3931" s="7">
        <v>426.8</v>
      </c>
      <c r="Q3931" s="7">
        <v>379.5</v>
      </c>
      <c r="R3931" s="7">
        <v>268.8</v>
      </c>
      <c r="S3931" s="7">
        <v>282.7</v>
      </c>
      <c r="U3931" s="7">
        <v>429.8</v>
      </c>
    </row>
    <row r="3932" spans="1:21" x14ac:dyDescent="0.2">
      <c r="A3932">
        <v>3931</v>
      </c>
      <c r="B3932" s="1">
        <v>40834</v>
      </c>
      <c r="C3932" t="s">
        <v>24</v>
      </c>
      <c r="D3932" s="7">
        <v>96</v>
      </c>
      <c r="E3932" s="7">
        <v>15</v>
      </c>
      <c r="F3932" s="7">
        <f t="shared" si="61"/>
        <v>3</v>
      </c>
      <c r="G3932" s="7" t="str">
        <f>LOOKUP(H3932,[1]startdates!$A$2:$A$10,[1]startdates!$B$2:$B$10)</f>
        <v>SMr</v>
      </c>
      <c r="H3932">
        <v>1</v>
      </c>
      <c r="I3932" s="7">
        <v>662.8</v>
      </c>
      <c r="J3932" s="7">
        <v>568</v>
      </c>
      <c r="K3932" s="7">
        <v>561.79999999999995</v>
      </c>
      <c r="L3932" s="7">
        <v>443.4</v>
      </c>
      <c r="M3932" s="7">
        <v>316.8</v>
      </c>
      <c r="N3932" s="7">
        <v>202.8</v>
      </c>
      <c r="O3932" s="7">
        <v>179.2</v>
      </c>
      <c r="P3932" s="7">
        <v>509.7</v>
      </c>
      <c r="Q3932" s="7">
        <v>379.9</v>
      </c>
      <c r="S3932" s="7">
        <v>297.5</v>
      </c>
      <c r="U3932" s="7">
        <v>503.3</v>
      </c>
    </row>
    <row r="3933" spans="1:21" x14ac:dyDescent="0.2">
      <c r="A3933">
        <v>3932</v>
      </c>
      <c r="B3933" s="1">
        <v>40834</v>
      </c>
      <c r="C3933" t="s">
        <v>24</v>
      </c>
      <c r="D3933" s="7">
        <v>96</v>
      </c>
      <c r="E3933" s="7">
        <v>15</v>
      </c>
      <c r="F3933" s="7">
        <f t="shared" si="61"/>
        <v>3</v>
      </c>
      <c r="G3933" s="7" t="str">
        <f>LOOKUP(H3933,[1]startdates!$A$2:$A$10,[1]startdates!$B$2:$B$10)</f>
        <v>SMr</v>
      </c>
      <c r="H3933">
        <v>1</v>
      </c>
      <c r="I3933" s="7">
        <v>626.1</v>
      </c>
      <c r="J3933" s="7">
        <v>523.6</v>
      </c>
      <c r="K3933" s="7">
        <v>472.9</v>
      </c>
      <c r="L3933" s="7">
        <v>406.4</v>
      </c>
      <c r="M3933" s="7">
        <v>253.9</v>
      </c>
      <c r="N3933" s="7">
        <v>254.5</v>
      </c>
      <c r="O3933" s="7">
        <v>213.6</v>
      </c>
      <c r="P3933" s="7">
        <v>494</v>
      </c>
      <c r="S3933" s="7">
        <v>254.5</v>
      </c>
      <c r="U3933" s="7">
        <v>557.20000000000005</v>
      </c>
    </row>
    <row r="3934" spans="1:21" x14ac:dyDescent="0.2">
      <c r="A3934">
        <v>3933</v>
      </c>
      <c r="B3934" s="1">
        <v>40834</v>
      </c>
      <c r="C3934" t="s">
        <v>24</v>
      </c>
      <c r="D3934" s="7">
        <v>96</v>
      </c>
      <c r="E3934" s="7">
        <v>15</v>
      </c>
      <c r="F3934" s="7">
        <f t="shared" si="61"/>
        <v>3</v>
      </c>
      <c r="G3934" s="7" t="str">
        <f>LOOKUP(H3934,[1]startdates!$A$2:$A$10,[1]startdates!$B$2:$B$10)</f>
        <v>SMr</v>
      </c>
      <c r="H3934">
        <v>1</v>
      </c>
      <c r="I3934" s="7">
        <v>654.6</v>
      </c>
      <c r="K3934" s="7">
        <v>539.20000000000005</v>
      </c>
      <c r="M3934" s="7">
        <v>302.60000000000002</v>
      </c>
      <c r="O3934" s="7">
        <v>186.2</v>
      </c>
      <c r="P3934" s="7">
        <v>486.8</v>
      </c>
      <c r="S3934" s="7">
        <v>296.8</v>
      </c>
      <c r="U3934" s="7">
        <v>544.4</v>
      </c>
    </row>
    <row r="3935" spans="1:21" x14ac:dyDescent="0.2">
      <c r="A3935">
        <v>3934</v>
      </c>
      <c r="B3935" s="1">
        <v>40834</v>
      </c>
      <c r="C3935" t="s">
        <v>24</v>
      </c>
      <c r="D3935" s="7">
        <v>96</v>
      </c>
      <c r="E3935" s="7">
        <v>15</v>
      </c>
      <c r="F3935" s="7">
        <f t="shared" si="61"/>
        <v>3</v>
      </c>
      <c r="G3935" s="7" t="str">
        <f>LOOKUP(H3935,[1]startdates!$A$2:$A$10,[1]startdates!$B$2:$B$10)</f>
        <v>SMr</v>
      </c>
      <c r="H3935">
        <v>1</v>
      </c>
      <c r="I3935" s="7">
        <v>560.79999999999995</v>
      </c>
      <c r="M3935" s="7">
        <v>340.5</v>
      </c>
      <c r="O3935" s="7">
        <v>199.3</v>
      </c>
    </row>
    <row r="3936" spans="1:21" x14ac:dyDescent="0.2">
      <c r="A3936">
        <v>3935</v>
      </c>
      <c r="B3936" s="1">
        <v>40834</v>
      </c>
      <c r="C3936" t="s">
        <v>24</v>
      </c>
      <c r="D3936" s="7">
        <v>96</v>
      </c>
      <c r="E3936" s="7">
        <v>15</v>
      </c>
      <c r="F3936" s="7">
        <f t="shared" si="61"/>
        <v>3</v>
      </c>
      <c r="G3936" s="7" t="str">
        <f>LOOKUP(H3936,[1]startdates!$A$2:$A$10,[1]startdates!$B$2:$B$10)</f>
        <v>SMr</v>
      </c>
      <c r="H3936">
        <v>1</v>
      </c>
      <c r="I3936" s="7">
        <v>655.5</v>
      </c>
      <c r="M3936" s="7">
        <v>387.3</v>
      </c>
      <c r="O3936" s="7">
        <v>159.80000000000001</v>
      </c>
    </row>
    <row r="3937" spans="1:21" x14ac:dyDescent="0.2">
      <c r="A3937">
        <v>3936</v>
      </c>
      <c r="B3937" s="1">
        <v>40834</v>
      </c>
      <c r="C3937" t="s">
        <v>24</v>
      </c>
      <c r="D3937" s="7">
        <v>96</v>
      </c>
      <c r="E3937" s="7">
        <v>15</v>
      </c>
      <c r="F3937" s="7">
        <f t="shared" si="61"/>
        <v>3</v>
      </c>
      <c r="G3937" s="7" t="str">
        <f>LOOKUP(H3937,[1]startdates!$A$2:$A$10,[1]startdates!$B$2:$B$10)</f>
        <v>SMr</v>
      </c>
      <c r="H3937">
        <v>1</v>
      </c>
      <c r="I3937" s="7">
        <v>684.9</v>
      </c>
      <c r="M3937" s="7">
        <v>277.3</v>
      </c>
      <c r="O3937" s="7">
        <v>168.2</v>
      </c>
    </row>
    <row r="3938" spans="1:21" x14ac:dyDescent="0.2">
      <c r="A3938">
        <v>3937</v>
      </c>
      <c r="B3938" s="1">
        <v>40834</v>
      </c>
      <c r="C3938" t="s">
        <v>24</v>
      </c>
      <c r="D3938" s="7">
        <v>96</v>
      </c>
      <c r="E3938" s="7">
        <v>15</v>
      </c>
      <c r="F3938" s="7">
        <f t="shared" si="61"/>
        <v>3</v>
      </c>
      <c r="G3938" s="7" t="str">
        <f>LOOKUP(H3938,[1]startdates!$A$2:$A$10,[1]startdates!$B$2:$B$10)</f>
        <v>SMr</v>
      </c>
      <c r="H3938">
        <v>1</v>
      </c>
      <c r="M3938" s="7">
        <v>310.39999999999998</v>
      </c>
      <c r="O3938" s="7">
        <v>168.9</v>
      </c>
    </row>
    <row r="3939" spans="1:21" x14ac:dyDescent="0.2">
      <c r="A3939">
        <v>3938</v>
      </c>
      <c r="B3939" s="1">
        <v>40834</v>
      </c>
      <c r="C3939" t="s">
        <v>24</v>
      </c>
      <c r="D3939" s="7">
        <v>96</v>
      </c>
      <c r="E3939" s="7">
        <v>15</v>
      </c>
      <c r="F3939" s="7">
        <f t="shared" si="61"/>
        <v>3</v>
      </c>
      <c r="G3939" s="7" t="str">
        <f>LOOKUP(H3939,[1]startdates!$A$2:$A$10,[1]startdates!$B$2:$B$10)</f>
        <v>SMr</v>
      </c>
      <c r="H3939">
        <v>1</v>
      </c>
      <c r="M3939" s="7">
        <v>311.10000000000002</v>
      </c>
    </row>
    <row r="3940" spans="1:21" x14ac:dyDescent="0.2">
      <c r="A3940">
        <v>3939</v>
      </c>
      <c r="B3940" s="1">
        <v>40834</v>
      </c>
      <c r="C3940" t="s">
        <v>28</v>
      </c>
      <c r="D3940" s="7">
        <v>96</v>
      </c>
      <c r="E3940" s="7">
        <v>15</v>
      </c>
      <c r="F3940" s="7">
        <f t="shared" si="61"/>
        <v>3</v>
      </c>
      <c r="G3940" s="7" t="str">
        <f>LOOKUP(H3940,[1]startdates!$A$2:$A$10,[1]startdates!$B$2:$B$10)</f>
        <v>SMr</v>
      </c>
      <c r="H3940">
        <v>2</v>
      </c>
      <c r="I3940" s="7">
        <v>518.1</v>
      </c>
      <c r="J3940" s="7">
        <v>573.29999999999995</v>
      </c>
      <c r="K3940" s="7">
        <v>503.3</v>
      </c>
      <c r="L3940" s="7">
        <v>420.3</v>
      </c>
      <c r="M3940" s="7">
        <v>359.4</v>
      </c>
      <c r="N3940" s="7">
        <v>263.10000000000002</v>
      </c>
      <c r="O3940" s="7">
        <v>156.19999999999999</v>
      </c>
      <c r="P3940" s="7">
        <v>459.6</v>
      </c>
      <c r="Q3940" s="7">
        <v>365</v>
      </c>
      <c r="R3940" s="7">
        <v>248.4</v>
      </c>
      <c r="S3940" s="7">
        <v>232.9</v>
      </c>
      <c r="U3940" s="7">
        <v>499</v>
      </c>
    </row>
    <row r="3941" spans="1:21" x14ac:dyDescent="0.2">
      <c r="A3941">
        <v>3940</v>
      </c>
      <c r="B3941" s="1">
        <v>40834</v>
      </c>
      <c r="C3941" t="s">
        <v>28</v>
      </c>
      <c r="D3941" s="7">
        <v>96</v>
      </c>
      <c r="E3941" s="7">
        <v>15</v>
      </c>
      <c r="F3941" s="7">
        <f t="shared" si="61"/>
        <v>3</v>
      </c>
      <c r="G3941" s="7" t="str">
        <f>LOOKUP(H3941,[1]startdates!$A$2:$A$10,[1]startdates!$B$2:$B$10)</f>
        <v>SMr</v>
      </c>
      <c r="H3941">
        <v>2</v>
      </c>
      <c r="I3941" s="7">
        <v>581</v>
      </c>
      <c r="J3941" s="7">
        <v>483.2</v>
      </c>
      <c r="K3941" s="7">
        <v>529.9</v>
      </c>
      <c r="L3941" s="7">
        <v>392.5</v>
      </c>
      <c r="M3941" s="7">
        <v>339.6</v>
      </c>
      <c r="N3941" s="7">
        <v>287.60000000000002</v>
      </c>
      <c r="O3941" s="7">
        <v>151.69999999999999</v>
      </c>
      <c r="P3941" s="7">
        <v>461.7</v>
      </c>
      <c r="S3941" s="7">
        <v>253.6</v>
      </c>
      <c r="U3941" s="7">
        <v>443.7</v>
      </c>
    </row>
    <row r="3942" spans="1:21" x14ac:dyDescent="0.2">
      <c r="A3942">
        <v>3941</v>
      </c>
      <c r="B3942" s="1">
        <v>40834</v>
      </c>
      <c r="C3942" t="s">
        <v>28</v>
      </c>
      <c r="D3942" s="7">
        <v>96</v>
      </c>
      <c r="E3942" s="7">
        <v>15</v>
      </c>
      <c r="F3942" s="7">
        <f t="shared" si="61"/>
        <v>3</v>
      </c>
      <c r="G3942" s="7" t="str">
        <f>LOOKUP(H3942,[1]startdates!$A$2:$A$10,[1]startdates!$B$2:$B$10)</f>
        <v>SMr</v>
      </c>
      <c r="H3942">
        <v>2</v>
      </c>
      <c r="I3942" s="7">
        <v>626.20000000000005</v>
      </c>
      <c r="J3942" s="7">
        <v>509.2</v>
      </c>
      <c r="K3942" s="7">
        <v>492.1</v>
      </c>
      <c r="L3942" s="7">
        <v>443.1</v>
      </c>
      <c r="M3942" s="7">
        <v>376.7</v>
      </c>
      <c r="N3942" s="7">
        <v>247.7</v>
      </c>
      <c r="O3942" s="7">
        <v>169</v>
      </c>
      <c r="P3942" s="7">
        <v>474.4</v>
      </c>
      <c r="S3942" s="7">
        <v>262.10000000000002</v>
      </c>
      <c r="U3942" s="7">
        <v>422.1</v>
      </c>
    </row>
    <row r="3943" spans="1:21" x14ac:dyDescent="0.2">
      <c r="A3943">
        <v>3942</v>
      </c>
      <c r="B3943" s="1">
        <v>40834</v>
      </c>
      <c r="C3943" t="s">
        <v>28</v>
      </c>
      <c r="D3943" s="7">
        <v>96</v>
      </c>
      <c r="E3943" s="7">
        <v>15</v>
      </c>
      <c r="F3943" s="7">
        <f t="shared" si="61"/>
        <v>3</v>
      </c>
      <c r="G3943" s="7" t="str">
        <f>LOOKUP(H3943,[1]startdates!$A$2:$A$10,[1]startdates!$B$2:$B$10)</f>
        <v>SMr</v>
      </c>
      <c r="H3943">
        <v>2</v>
      </c>
      <c r="I3943" s="7">
        <v>642.9</v>
      </c>
      <c r="J3943" s="7">
        <v>591.20000000000005</v>
      </c>
      <c r="K3943" s="7">
        <v>539.4</v>
      </c>
      <c r="L3943" s="7">
        <v>445.2</v>
      </c>
      <c r="M3943" s="7">
        <v>349.1</v>
      </c>
      <c r="N3943" s="7">
        <v>249.2</v>
      </c>
      <c r="O3943" s="7">
        <v>176.2</v>
      </c>
      <c r="P3943" s="7">
        <v>445</v>
      </c>
      <c r="S3943" s="7">
        <v>273.3</v>
      </c>
      <c r="U3943" s="7">
        <v>519.9</v>
      </c>
    </row>
    <row r="3944" spans="1:21" x14ac:dyDescent="0.2">
      <c r="A3944">
        <v>3943</v>
      </c>
      <c r="B3944" s="1">
        <v>40834</v>
      </c>
      <c r="C3944" t="s">
        <v>28</v>
      </c>
      <c r="D3944" s="7">
        <v>96</v>
      </c>
      <c r="E3944" s="7">
        <v>15</v>
      </c>
      <c r="F3944" s="7">
        <f t="shared" si="61"/>
        <v>3</v>
      </c>
      <c r="G3944" s="7" t="str">
        <f>LOOKUP(H3944,[1]startdates!$A$2:$A$10,[1]startdates!$B$2:$B$10)</f>
        <v>SMr</v>
      </c>
      <c r="H3944">
        <v>2</v>
      </c>
      <c r="I3944" s="7">
        <v>648.5</v>
      </c>
      <c r="L3944" s="7">
        <v>499.7</v>
      </c>
      <c r="M3944" s="7">
        <v>276.60000000000002</v>
      </c>
      <c r="N3944" s="7">
        <v>285.8</v>
      </c>
      <c r="O3944" s="7">
        <v>158.5</v>
      </c>
      <c r="P3944" s="7">
        <v>442.4</v>
      </c>
      <c r="S3944" s="7">
        <v>254.7</v>
      </c>
    </row>
    <row r="3945" spans="1:21" x14ac:dyDescent="0.2">
      <c r="A3945">
        <v>3944</v>
      </c>
      <c r="B3945" s="1">
        <v>40834</v>
      </c>
      <c r="C3945" t="s">
        <v>28</v>
      </c>
      <c r="D3945" s="7">
        <v>96</v>
      </c>
      <c r="E3945" s="7">
        <v>15</v>
      </c>
      <c r="F3945" s="7">
        <f t="shared" ref="F3945:F4008" si="62">WEEKDAY(B3945)</f>
        <v>3</v>
      </c>
      <c r="G3945" s="7" t="str">
        <f>LOOKUP(H3945,[1]startdates!$A$2:$A$10,[1]startdates!$B$2:$B$10)</f>
        <v>SMr</v>
      </c>
      <c r="H3945">
        <v>2</v>
      </c>
      <c r="I3945" s="7">
        <v>509.5</v>
      </c>
      <c r="M3945" s="7">
        <v>364</v>
      </c>
      <c r="N3945" s="7">
        <v>257.2</v>
      </c>
      <c r="O3945" s="7">
        <v>167.9</v>
      </c>
      <c r="S3945" s="7">
        <v>263.5</v>
      </c>
    </row>
    <row r="3946" spans="1:21" x14ac:dyDescent="0.2">
      <c r="A3946">
        <v>3945</v>
      </c>
      <c r="B3946" s="1">
        <v>40834</v>
      </c>
      <c r="C3946" t="s">
        <v>28</v>
      </c>
      <c r="D3946" s="7">
        <v>96</v>
      </c>
      <c r="E3946" s="7">
        <v>15</v>
      </c>
      <c r="F3946" s="7">
        <f t="shared" si="62"/>
        <v>3</v>
      </c>
      <c r="G3946" s="7" t="str">
        <f>LOOKUP(H3946,[1]startdates!$A$2:$A$10,[1]startdates!$B$2:$B$10)</f>
        <v>SMr</v>
      </c>
      <c r="H3946">
        <v>2</v>
      </c>
      <c r="I3946" s="7">
        <v>552.6</v>
      </c>
      <c r="M3946" s="7">
        <v>371.1</v>
      </c>
      <c r="N3946" s="7">
        <v>260.7</v>
      </c>
      <c r="O3946" s="7">
        <v>172.6</v>
      </c>
    </row>
    <row r="3947" spans="1:21" x14ac:dyDescent="0.2">
      <c r="A3947">
        <v>3946</v>
      </c>
      <c r="B3947" s="1">
        <v>40834</v>
      </c>
      <c r="C3947" t="s">
        <v>28</v>
      </c>
      <c r="D3947" s="7">
        <v>96</v>
      </c>
      <c r="E3947" s="7">
        <v>15</v>
      </c>
      <c r="F3947" s="7">
        <f t="shared" si="62"/>
        <v>3</v>
      </c>
      <c r="G3947" s="7" t="str">
        <f>LOOKUP(H3947,[1]startdates!$A$2:$A$10,[1]startdates!$B$2:$B$10)</f>
        <v>SMr</v>
      </c>
      <c r="H3947">
        <v>2</v>
      </c>
      <c r="I3947" s="7">
        <v>695.3</v>
      </c>
      <c r="M3947" s="7">
        <v>299.7</v>
      </c>
      <c r="N3947" s="7">
        <v>211.9</v>
      </c>
      <c r="O3947" s="7">
        <v>161.5</v>
      </c>
    </row>
    <row r="3948" spans="1:21" x14ac:dyDescent="0.2">
      <c r="A3948">
        <v>3947</v>
      </c>
      <c r="B3948" s="1">
        <v>40834</v>
      </c>
      <c r="C3948" t="s">
        <v>28</v>
      </c>
      <c r="D3948" s="7">
        <v>96</v>
      </c>
      <c r="E3948" s="7">
        <v>15</v>
      </c>
      <c r="F3948" s="7">
        <f t="shared" si="62"/>
        <v>3</v>
      </c>
      <c r="G3948" s="7" t="str">
        <f>LOOKUP(H3948,[1]startdates!$A$2:$A$10,[1]startdates!$B$2:$B$10)</f>
        <v>SMr</v>
      </c>
      <c r="H3948">
        <v>2</v>
      </c>
      <c r="I3948" s="7">
        <v>516.1</v>
      </c>
      <c r="M3948" s="7">
        <v>313.8</v>
      </c>
      <c r="N3948" s="7">
        <v>206.7</v>
      </c>
      <c r="O3948" s="7">
        <v>169</v>
      </c>
    </row>
    <row r="3949" spans="1:21" x14ac:dyDescent="0.2">
      <c r="A3949">
        <v>3948</v>
      </c>
      <c r="B3949" s="1">
        <v>40834</v>
      </c>
      <c r="C3949" t="s">
        <v>28</v>
      </c>
      <c r="D3949" s="7">
        <v>96</v>
      </c>
      <c r="E3949" s="7">
        <v>15</v>
      </c>
      <c r="F3949" s="7">
        <f t="shared" si="62"/>
        <v>3</v>
      </c>
      <c r="G3949" s="7" t="str">
        <f>LOOKUP(H3949,[1]startdates!$A$2:$A$10,[1]startdates!$B$2:$B$10)</f>
        <v>SMr</v>
      </c>
      <c r="H3949">
        <v>2</v>
      </c>
      <c r="I3949" s="7">
        <v>575.29999999999995</v>
      </c>
      <c r="M3949" s="7">
        <v>316.3</v>
      </c>
      <c r="N3949" s="7">
        <v>218.1</v>
      </c>
      <c r="O3949" s="7">
        <v>178.2</v>
      </c>
    </row>
    <row r="3950" spans="1:21" x14ac:dyDescent="0.2">
      <c r="A3950">
        <v>3949</v>
      </c>
      <c r="B3950" s="1">
        <v>40834</v>
      </c>
      <c r="C3950" t="s">
        <v>28</v>
      </c>
      <c r="D3950" s="7">
        <v>96</v>
      </c>
      <c r="E3950" s="7">
        <v>15</v>
      </c>
      <c r="F3950" s="7">
        <f t="shared" si="62"/>
        <v>3</v>
      </c>
      <c r="G3950" s="7" t="str">
        <f>LOOKUP(H3950,[1]startdates!$A$2:$A$10,[1]startdates!$B$2:$B$10)</f>
        <v>SMr</v>
      </c>
      <c r="H3950">
        <v>2</v>
      </c>
      <c r="I3950" s="7">
        <v>501.5</v>
      </c>
      <c r="N3950" s="7">
        <v>243.7</v>
      </c>
      <c r="O3950" s="7">
        <v>179.7</v>
      </c>
    </row>
    <row r="3951" spans="1:21" x14ac:dyDescent="0.2">
      <c r="A3951">
        <v>3950</v>
      </c>
      <c r="B3951" s="1">
        <v>40834</v>
      </c>
      <c r="C3951" t="s">
        <v>28</v>
      </c>
      <c r="D3951" s="7">
        <v>96</v>
      </c>
      <c r="E3951" s="7">
        <v>15</v>
      </c>
      <c r="F3951" s="7">
        <f t="shared" si="62"/>
        <v>3</v>
      </c>
      <c r="G3951" s="7" t="str">
        <f>LOOKUP(H3951,[1]startdates!$A$2:$A$10,[1]startdates!$B$2:$B$10)</f>
        <v>SMr</v>
      </c>
      <c r="H3951">
        <v>2</v>
      </c>
      <c r="I3951" s="7">
        <v>519.29999999999995</v>
      </c>
    </row>
    <row r="3952" spans="1:21" x14ac:dyDescent="0.2">
      <c r="A3952">
        <v>3951</v>
      </c>
      <c r="B3952" s="1">
        <v>40834</v>
      </c>
      <c r="C3952" t="s">
        <v>28</v>
      </c>
      <c r="D3952" s="7">
        <v>96</v>
      </c>
      <c r="E3952" s="7">
        <v>15</v>
      </c>
      <c r="F3952" s="7">
        <f t="shared" si="62"/>
        <v>3</v>
      </c>
      <c r="G3952" s="7" t="str">
        <f>LOOKUP(H3952,[1]startdates!$A$2:$A$10,[1]startdates!$B$2:$B$10)</f>
        <v>C</v>
      </c>
      <c r="H3952">
        <v>3</v>
      </c>
      <c r="I3952" s="7">
        <v>583.5</v>
      </c>
      <c r="J3952" s="7">
        <v>567.6</v>
      </c>
      <c r="K3952" s="7">
        <v>609.5</v>
      </c>
      <c r="L3952" s="7">
        <v>409.3</v>
      </c>
      <c r="M3952" s="7">
        <v>330.2</v>
      </c>
      <c r="N3952" s="7">
        <v>207.3</v>
      </c>
      <c r="O3952" s="7">
        <v>192.3</v>
      </c>
      <c r="P3952" s="7">
        <v>429.8</v>
      </c>
      <c r="R3952" s="7">
        <v>298.3</v>
      </c>
      <c r="S3952" s="7">
        <v>279.5</v>
      </c>
    </row>
    <row r="3953" spans="1:21" x14ac:dyDescent="0.2">
      <c r="A3953">
        <v>3952</v>
      </c>
      <c r="B3953" s="1">
        <v>40834</v>
      </c>
      <c r="C3953" t="s">
        <v>28</v>
      </c>
      <c r="D3953" s="7">
        <v>96</v>
      </c>
      <c r="E3953" s="7">
        <v>15</v>
      </c>
      <c r="F3953" s="7">
        <f t="shared" si="62"/>
        <v>3</v>
      </c>
      <c r="G3953" s="7" t="str">
        <f>LOOKUP(H3953,[1]startdates!$A$2:$A$10,[1]startdates!$B$2:$B$10)</f>
        <v>C</v>
      </c>
      <c r="H3953">
        <v>3</v>
      </c>
      <c r="I3953" s="7">
        <v>584.4</v>
      </c>
      <c r="K3953" s="7">
        <v>517.6</v>
      </c>
      <c r="L3953" s="7">
        <v>410</v>
      </c>
      <c r="M3953" s="7">
        <v>386.6</v>
      </c>
      <c r="N3953" s="7">
        <v>272.39999999999998</v>
      </c>
      <c r="O3953" s="7">
        <v>199.6</v>
      </c>
      <c r="P3953" s="7">
        <v>466.3</v>
      </c>
      <c r="R3953" s="7">
        <v>292</v>
      </c>
    </row>
    <row r="3954" spans="1:21" x14ac:dyDescent="0.2">
      <c r="A3954">
        <v>3953</v>
      </c>
      <c r="B3954" s="1">
        <v>40834</v>
      </c>
      <c r="C3954" t="s">
        <v>28</v>
      </c>
      <c r="D3954" s="7">
        <v>96</v>
      </c>
      <c r="E3954" s="7">
        <v>15</v>
      </c>
      <c r="F3954" s="7">
        <f t="shared" si="62"/>
        <v>3</v>
      </c>
      <c r="G3954" s="7" t="str">
        <f>LOOKUP(H3954,[1]startdates!$A$2:$A$10,[1]startdates!$B$2:$B$10)</f>
        <v>C</v>
      </c>
      <c r="H3954">
        <v>3</v>
      </c>
      <c r="I3954" s="7">
        <v>562.6</v>
      </c>
      <c r="K3954" s="7">
        <v>557.5</v>
      </c>
      <c r="L3954" s="7">
        <v>475.3</v>
      </c>
      <c r="M3954" s="7">
        <v>387.7</v>
      </c>
      <c r="N3954" s="7">
        <v>200.5</v>
      </c>
      <c r="O3954" s="7">
        <v>155.69999999999999</v>
      </c>
      <c r="R3954" s="7">
        <v>295.10000000000002</v>
      </c>
    </row>
    <row r="3955" spans="1:21" x14ac:dyDescent="0.2">
      <c r="A3955">
        <v>3954</v>
      </c>
      <c r="B3955" s="1">
        <v>40834</v>
      </c>
      <c r="C3955" t="s">
        <v>28</v>
      </c>
      <c r="D3955" s="7">
        <v>96</v>
      </c>
      <c r="E3955" s="7">
        <v>15</v>
      </c>
      <c r="F3955" s="7">
        <f t="shared" si="62"/>
        <v>3</v>
      </c>
      <c r="G3955" s="7" t="str">
        <f>LOOKUP(H3955,[1]startdates!$A$2:$A$10,[1]startdates!$B$2:$B$10)</f>
        <v>C</v>
      </c>
      <c r="H3955">
        <v>3</v>
      </c>
      <c r="I3955" s="7">
        <v>660.8</v>
      </c>
      <c r="K3955" s="7">
        <v>546.5</v>
      </c>
      <c r="L3955" s="7">
        <v>463.7</v>
      </c>
      <c r="M3955" s="7">
        <v>322.5</v>
      </c>
      <c r="N3955" s="7">
        <v>159.80000000000001</v>
      </c>
      <c r="O3955" s="7">
        <v>157.6</v>
      </c>
    </row>
    <row r="3956" spans="1:21" x14ac:dyDescent="0.2">
      <c r="A3956">
        <v>3955</v>
      </c>
      <c r="B3956" s="1">
        <v>40834</v>
      </c>
      <c r="C3956" t="s">
        <v>28</v>
      </c>
      <c r="D3956" s="7">
        <v>96</v>
      </c>
      <c r="E3956" s="7">
        <v>15</v>
      </c>
      <c r="F3956" s="7">
        <f t="shared" si="62"/>
        <v>3</v>
      </c>
      <c r="G3956" s="7" t="str">
        <f>LOOKUP(H3956,[1]startdates!$A$2:$A$10,[1]startdates!$B$2:$B$10)</f>
        <v>C</v>
      </c>
      <c r="H3956">
        <v>3</v>
      </c>
      <c r="I3956" s="7">
        <v>723.3</v>
      </c>
      <c r="K3956" s="7">
        <v>596.20000000000005</v>
      </c>
      <c r="L3956" s="7">
        <v>409.3</v>
      </c>
      <c r="M3956" s="7">
        <v>379.1</v>
      </c>
      <c r="N3956" s="7">
        <v>279.8</v>
      </c>
      <c r="O3956" s="7">
        <v>166.5</v>
      </c>
    </row>
    <row r="3957" spans="1:21" x14ac:dyDescent="0.2">
      <c r="A3957">
        <v>3956</v>
      </c>
      <c r="B3957" s="1">
        <v>40834</v>
      </c>
      <c r="C3957" t="s">
        <v>28</v>
      </c>
      <c r="D3957" s="7">
        <v>96</v>
      </c>
      <c r="E3957" s="7">
        <v>15</v>
      </c>
      <c r="F3957" s="7">
        <f t="shared" si="62"/>
        <v>3</v>
      </c>
      <c r="G3957" s="7" t="str">
        <f>LOOKUP(H3957,[1]startdates!$A$2:$A$10,[1]startdates!$B$2:$B$10)</f>
        <v>C</v>
      </c>
      <c r="H3957">
        <v>3</v>
      </c>
      <c r="I3957" s="7">
        <v>531.20000000000005</v>
      </c>
      <c r="K3957" s="7">
        <v>547.4</v>
      </c>
      <c r="L3957" s="7">
        <v>406.7</v>
      </c>
      <c r="M3957" s="7">
        <v>302.7</v>
      </c>
      <c r="N3957" s="7">
        <v>236.9</v>
      </c>
      <c r="O3957" s="7">
        <v>166.7</v>
      </c>
    </row>
    <row r="3958" spans="1:21" x14ac:dyDescent="0.2">
      <c r="A3958">
        <v>3957</v>
      </c>
      <c r="B3958" s="1">
        <v>40834</v>
      </c>
      <c r="C3958" t="s">
        <v>28</v>
      </c>
      <c r="D3958" s="7">
        <v>96</v>
      </c>
      <c r="E3958" s="7">
        <v>15</v>
      </c>
      <c r="F3958" s="7">
        <f t="shared" si="62"/>
        <v>3</v>
      </c>
      <c r="G3958" s="7" t="str">
        <f>LOOKUP(H3958,[1]startdates!$A$2:$A$10,[1]startdates!$B$2:$B$10)</f>
        <v>C</v>
      </c>
      <c r="H3958">
        <v>3</v>
      </c>
      <c r="I3958" s="7">
        <v>558.29999999999995</v>
      </c>
      <c r="L3958" s="7">
        <v>406.6</v>
      </c>
      <c r="M3958" s="7">
        <v>373.9</v>
      </c>
      <c r="N3958" s="7">
        <v>200.4</v>
      </c>
      <c r="O3958" s="7">
        <v>177.7</v>
      </c>
    </row>
    <row r="3959" spans="1:21" x14ac:dyDescent="0.2">
      <c r="A3959">
        <v>3958</v>
      </c>
      <c r="B3959" s="1">
        <v>40834</v>
      </c>
      <c r="C3959" t="s">
        <v>28</v>
      </c>
      <c r="D3959" s="7">
        <v>96</v>
      </c>
      <c r="E3959" s="7">
        <v>15</v>
      </c>
      <c r="F3959" s="7">
        <f t="shared" si="62"/>
        <v>3</v>
      </c>
      <c r="G3959" s="7" t="str">
        <f>LOOKUP(H3959,[1]startdates!$A$2:$A$10,[1]startdates!$B$2:$B$10)</f>
        <v>C</v>
      </c>
      <c r="H3959">
        <v>3</v>
      </c>
      <c r="I3959" s="7">
        <v>532</v>
      </c>
      <c r="L3959" s="7">
        <v>421.7</v>
      </c>
      <c r="M3959" s="7">
        <v>317.7</v>
      </c>
      <c r="N3959" s="7">
        <v>219.7</v>
      </c>
      <c r="O3959" s="7">
        <v>172.1</v>
      </c>
    </row>
    <row r="3960" spans="1:21" x14ac:dyDescent="0.2">
      <c r="A3960">
        <v>3959</v>
      </c>
      <c r="B3960" s="1">
        <v>40834</v>
      </c>
      <c r="C3960" t="s">
        <v>28</v>
      </c>
      <c r="D3960" s="7">
        <v>96</v>
      </c>
      <c r="E3960" s="7">
        <v>15</v>
      </c>
      <c r="F3960" s="7">
        <f t="shared" si="62"/>
        <v>3</v>
      </c>
      <c r="G3960" s="7" t="str">
        <f>LOOKUP(H3960,[1]startdates!$A$2:$A$10,[1]startdates!$B$2:$B$10)</f>
        <v>C</v>
      </c>
      <c r="H3960">
        <v>3</v>
      </c>
      <c r="I3960" s="7">
        <v>619.79999999999995</v>
      </c>
      <c r="L3960" s="7">
        <v>405.5</v>
      </c>
      <c r="M3960" s="7">
        <v>341.6</v>
      </c>
      <c r="N3960" s="7">
        <v>269.10000000000002</v>
      </c>
      <c r="O3960" s="7">
        <v>172.5</v>
      </c>
    </row>
    <row r="3961" spans="1:21" x14ac:dyDescent="0.2">
      <c r="A3961">
        <v>3960</v>
      </c>
      <c r="B3961" s="1">
        <v>40834</v>
      </c>
      <c r="C3961" t="s">
        <v>28</v>
      </c>
      <c r="D3961" s="7">
        <v>96</v>
      </c>
      <c r="E3961" s="7">
        <v>15</v>
      </c>
      <c r="F3961" s="7">
        <f t="shared" si="62"/>
        <v>3</v>
      </c>
      <c r="G3961" s="7" t="str">
        <f>LOOKUP(H3961,[1]startdates!$A$2:$A$10,[1]startdates!$B$2:$B$10)</f>
        <v>C</v>
      </c>
      <c r="H3961">
        <v>3</v>
      </c>
      <c r="I3961" s="7">
        <v>536.79999999999995</v>
      </c>
      <c r="M3961" s="7">
        <v>284.7</v>
      </c>
      <c r="N3961" s="7">
        <v>267.39999999999998</v>
      </c>
      <c r="O3961" s="7">
        <v>169.5</v>
      </c>
    </row>
    <row r="3962" spans="1:21" x14ac:dyDescent="0.2">
      <c r="A3962">
        <v>3961</v>
      </c>
      <c r="B3962" s="1">
        <v>40834</v>
      </c>
      <c r="C3962" t="s">
        <v>28</v>
      </c>
      <c r="D3962" s="7">
        <v>96</v>
      </c>
      <c r="E3962" s="7">
        <v>15</v>
      </c>
      <c r="F3962" s="7">
        <f t="shared" si="62"/>
        <v>3</v>
      </c>
      <c r="G3962" s="7" t="str">
        <f>LOOKUP(H3962,[1]startdates!$A$2:$A$10,[1]startdates!$B$2:$B$10)</f>
        <v>C</v>
      </c>
      <c r="H3962">
        <v>3</v>
      </c>
      <c r="I3962" s="7">
        <v>571.70000000000005</v>
      </c>
      <c r="M3962" s="7">
        <v>378.4</v>
      </c>
      <c r="O3962" s="7">
        <v>196.7</v>
      </c>
    </row>
    <row r="3963" spans="1:21" x14ac:dyDescent="0.2">
      <c r="A3963">
        <v>3962</v>
      </c>
      <c r="B3963" s="1">
        <v>40834</v>
      </c>
      <c r="C3963" t="s">
        <v>28</v>
      </c>
      <c r="D3963" s="7">
        <v>96</v>
      </c>
      <c r="E3963" s="7">
        <v>15</v>
      </c>
      <c r="F3963" s="7">
        <f t="shared" si="62"/>
        <v>3</v>
      </c>
      <c r="G3963" s="7" t="str">
        <f>LOOKUP(H3963,[1]startdates!$A$2:$A$10,[1]startdates!$B$2:$B$10)</f>
        <v>C</v>
      </c>
      <c r="H3963">
        <v>3</v>
      </c>
      <c r="I3963" s="7">
        <v>638.6</v>
      </c>
      <c r="M3963" s="7">
        <v>365.7</v>
      </c>
      <c r="O3963" s="7">
        <v>164.7</v>
      </c>
    </row>
    <row r="3964" spans="1:21" x14ac:dyDescent="0.2">
      <c r="A3964">
        <v>3963</v>
      </c>
      <c r="B3964" s="1">
        <v>40834</v>
      </c>
      <c r="C3964" t="s">
        <v>24</v>
      </c>
      <c r="D3964" s="7">
        <v>96</v>
      </c>
      <c r="E3964" s="7">
        <v>15</v>
      </c>
      <c r="F3964" s="7">
        <f t="shared" si="62"/>
        <v>3</v>
      </c>
      <c r="G3964" s="7" t="str">
        <f>LOOKUP(H3964,[1]startdates!$A$2:$A$10,[1]startdates!$B$2:$B$10)</f>
        <v>SMr</v>
      </c>
      <c r="H3964">
        <v>4</v>
      </c>
      <c r="I3964" s="7">
        <v>638.79999999999995</v>
      </c>
      <c r="J3964" s="7">
        <v>488</v>
      </c>
      <c r="K3964" s="7">
        <v>476.1</v>
      </c>
      <c r="L3964" s="7">
        <v>395</v>
      </c>
      <c r="M3964" s="7">
        <v>341.2</v>
      </c>
      <c r="N3964" s="7">
        <v>210.1</v>
      </c>
      <c r="O3964" s="7">
        <v>167</v>
      </c>
      <c r="Q3964" s="7">
        <v>327</v>
      </c>
      <c r="R3964" s="7">
        <v>284.89999999999998</v>
      </c>
      <c r="U3964" s="7">
        <v>495.8</v>
      </c>
    </row>
    <row r="3965" spans="1:21" x14ac:dyDescent="0.2">
      <c r="A3965">
        <v>3964</v>
      </c>
      <c r="B3965" s="1">
        <v>40834</v>
      </c>
      <c r="C3965" t="s">
        <v>24</v>
      </c>
      <c r="D3965" s="7">
        <v>96</v>
      </c>
      <c r="E3965" s="7">
        <v>15</v>
      </c>
      <c r="F3965" s="7">
        <f t="shared" si="62"/>
        <v>3</v>
      </c>
      <c r="G3965" s="7" t="str">
        <f>LOOKUP(H3965,[1]startdates!$A$2:$A$10,[1]startdates!$B$2:$B$10)</f>
        <v>SMr</v>
      </c>
      <c r="H3965">
        <v>4</v>
      </c>
      <c r="I3965" s="7">
        <v>522.20000000000005</v>
      </c>
      <c r="J3965" s="7">
        <v>603.29999999999995</v>
      </c>
      <c r="K3965" s="7">
        <v>488.8</v>
      </c>
      <c r="L3965" s="7">
        <v>455.5</v>
      </c>
      <c r="M3965" s="7">
        <v>366</v>
      </c>
      <c r="N3965" s="7">
        <v>189.5</v>
      </c>
      <c r="O3965" s="7">
        <v>186.3</v>
      </c>
      <c r="Q3965" s="7">
        <v>349.9</v>
      </c>
      <c r="R3965" s="7">
        <v>276.10000000000002</v>
      </c>
      <c r="U3965" s="7">
        <v>498.4</v>
      </c>
    </row>
    <row r="3966" spans="1:21" x14ac:dyDescent="0.2">
      <c r="A3966">
        <v>3965</v>
      </c>
      <c r="B3966" s="1">
        <v>40834</v>
      </c>
      <c r="C3966" t="s">
        <v>24</v>
      </c>
      <c r="D3966" s="7">
        <v>96</v>
      </c>
      <c r="E3966" s="7">
        <v>15</v>
      </c>
      <c r="F3966" s="7">
        <f t="shared" si="62"/>
        <v>3</v>
      </c>
      <c r="G3966" s="7" t="str">
        <f>LOOKUP(H3966,[1]startdates!$A$2:$A$10,[1]startdates!$B$2:$B$10)</f>
        <v>SMr</v>
      </c>
      <c r="H3966">
        <v>4</v>
      </c>
      <c r="I3966" s="7">
        <v>545.9</v>
      </c>
      <c r="K3966" s="7">
        <v>485.6</v>
      </c>
      <c r="L3966" s="7">
        <v>505.9</v>
      </c>
      <c r="M3966" s="7">
        <v>331</v>
      </c>
      <c r="N3966" s="7">
        <v>196.1</v>
      </c>
      <c r="O3966" s="7">
        <v>159.30000000000001</v>
      </c>
      <c r="Q3966" s="7">
        <v>390.3</v>
      </c>
      <c r="U3966" s="7">
        <v>448.5</v>
      </c>
    </row>
    <row r="3967" spans="1:21" x14ac:dyDescent="0.2">
      <c r="A3967">
        <v>3966</v>
      </c>
      <c r="B3967" s="1">
        <v>40834</v>
      </c>
      <c r="C3967" t="s">
        <v>24</v>
      </c>
      <c r="D3967" s="7">
        <v>96</v>
      </c>
      <c r="E3967" s="7">
        <v>15</v>
      </c>
      <c r="F3967" s="7">
        <f t="shared" si="62"/>
        <v>3</v>
      </c>
      <c r="G3967" s="7" t="str">
        <f>LOOKUP(H3967,[1]startdates!$A$2:$A$10,[1]startdates!$B$2:$B$10)</f>
        <v>SMr</v>
      </c>
      <c r="H3967">
        <v>4</v>
      </c>
      <c r="I3967" s="7">
        <v>637.20000000000005</v>
      </c>
      <c r="M3967" s="7">
        <v>262.2</v>
      </c>
      <c r="N3967" s="7">
        <v>244.8</v>
      </c>
      <c r="O3967" s="7">
        <v>159.5</v>
      </c>
      <c r="Q3967" s="7">
        <v>375.4</v>
      </c>
      <c r="U3967" s="7">
        <v>473.9</v>
      </c>
    </row>
    <row r="3968" spans="1:21" x14ac:dyDescent="0.2">
      <c r="A3968">
        <v>3967</v>
      </c>
      <c r="B3968" s="1">
        <v>40834</v>
      </c>
      <c r="C3968" t="s">
        <v>24</v>
      </c>
      <c r="D3968" s="7">
        <v>96</v>
      </c>
      <c r="E3968" s="7">
        <v>15</v>
      </c>
      <c r="F3968" s="7">
        <f t="shared" si="62"/>
        <v>3</v>
      </c>
      <c r="G3968" s="7" t="str">
        <f>LOOKUP(H3968,[1]startdates!$A$2:$A$10,[1]startdates!$B$2:$B$10)</f>
        <v>SMr</v>
      </c>
      <c r="H3968">
        <v>4</v>
      </c>
      <c r="I3968" s="7">
        <v>612.5</v>
      </c>
      <c r="M3968" s="7">
        <v>325.89999999999998</v>
      </c>
      <c r="N3968" s="7">
        <v>219</v>
      </c>
      <c r="O3968" s="7">
        <v>171.6</v>
      </c>
    </row>
    <row r="3969" spans="1:19" x14ac:dyDescent="0.2">
      <c r="A3969">
        <v>3968</v>
      </c>
      <c r="B3969" s="1">
        <v>40834</v>
      </c>
      <c r="C3969" t="s">
        <v>24</v>
      </c>
      <c r="D3969" s="7">
        <v>96</v>
      </c>
      <c r="E3969" s="7">
        <v>15</v>
      </c>
      <c r="F3969" s="7">
        <f t="shared" si="62"/>
        <v>3</v>
      </c>
      <c r="G3969" s="7" t="str">
        <f>LOOKUP(H3969,[1]startdates!$A$2:$A$10,[1]startdates!$B$2:$B$10)</f>
        <v>SMr</v>
      </c>
      <c r="H3969">
        <v>4</v>
      </c>
      <c r="I3969" s="7">
        <v>591</v>
      </c>
      <c r="M3969" s="7">
        <v>291.60000000000002</v>
      </c>
      <c r="N3969" s="7">
        <v>195.4</v>
      </c>
      <c r="O3969" s="7">
        <v>169</v>
      </c>
    </row>
    <row r="3970" spans="1:19" x14ac:dyDescent="0.2">
      <c r="A3970">
        <v>3969</v>
      </c>
      <c r="B3970" s="1">
        <v>40834</v>
      </c>
      <c r="C3970" t="s">
        <v>24</v>
      </c>
      <c r="D3970" s="7">
        <v>96</v>
      </c>
      <c r="E3970" s="7">
        <v>15</v>
      </c>
      <c r="F3970" s="7">
        <f t="shared" si="62"/>
        <v>3</v>
      </c>
      <c r="G3970" s="7" t="str">
        <f>LOOKUP(H3970,[1]startdates!$A$2:$A$10,[1]startdates!$B$2:$B$10)</f>
        <v>SMr</v>
      </c>
      <c r="H3970">
        <v>4</v>
      </c>
      <c r="I3970" s="7">
        <v>635.1</v>
      </c>
      <c r="M3970" s="7">
        <v>283.3</v>
      </c>
      <c r="N3970" s="7">
        <v>207.4</v>
      </c>
      <c r="O3970" s="7">
        <v>196</v>
      </c>
    </row>
    <row r="3971" spans="1:19" x14ac:dyDescent="0.2">
      <c r="A3971">
        <v>3970</v>
      </c>
      <c r="B3971" s="1">
        <v>40834</v>
      </c>
      <c r="C3971" t="s">
        <v>24</v>
      </c>
      <c r="D3971" s="7">
        <v>96</v>
      </c>
      <c r="E3971" s="7">
        <v>15</v>
      </c>
      <c r="F3971" s="7">
        <f t="shared" si="62"/>
        <v>3</v>
      </c>
      <c r="G3971" s="7" t="str">
        <f>LOOKUP(H3971,[1]startdates!$A$2:$A$10,[1]startdates!$B$2:$B$10)</f>
        <v>SMr</v>
      </c>
      <c r="H3971">
        <v>4</v>
      </c>
      <c r="I3971" s="7">
        <v>504.7</v>
      </c>
      <c r="M3971" s="7">
        <v>305.8</v>
      </c>
      <c r="N3971" s="7">
        <v>245.6</v>
      </c>
      <c r="O3971" s="7">
        <v>192.6</v>
      </c>
    </row>
    <row r="3972" spans="1:19" x14ac:dyDescent="0.2">
      <c r="A3972">
        <v>3971</v>
      </c>
      <c r="B3972" s="1">
        <v>40834</v>
      </c>
      <c r="C3972" t="s">
        <v>24</v>
      </c>
      <c r="D3972" s="7">
        <v>96</v>
      </c>
      <c r="E3972" s="7">
        <v>15</v>
      </c>
      <c r="F3972" s="7">
        <f t="shared" si="62"/>
        <v>3</v>
      </c>
      <c r="G3972" s="7" t="str">
        <f>LOOKUP(H3972,[1]startdates!$A$2:$A$10,[1]startdates!$B$2:$B$10)</f>
        <v>SMr</v>
      </c>
      <c r="H3972">
        <v>4</v>
      </c>
      <c r="N3972" s="7">
        <v>233.2</v>
      </c>
      <c r="O3972" s="7">
        <v>175</v>
      </c>
    </row>
    <row r="3973" spans="1:19" x14ac:dyDescent="0.2">
      <c r="A3973">
        <v>3972</v>
      </c>
      <c r="B3973" s="1">
        <v>40834</v>
      </c>
      <c r="C3973" t="s">
        <v>24</v>
      </c>
      <c r="D3973" s="7">
        <v>96</v>
      </c>
      <c r="E3973" s="7">
        <v>15</v>
      </c>
      <c r="F3973" s="7">
        <f t="shared" si="62"/>
        <v>3</v>
      </c>
      <c r="G3973" s="7" t="str">
        <f>LOOKUP(H3973,[1]startdates!$A$2:$A$10,[1]startdates!$B$2:$B$10)</f>
        <v>SMr</v>
      </c>
      <c r="H3973">
        <v>4</v>
      </c>
      <c r="N3973" s="7">
        <v>232</v>
      </c>
      <c r="O3973" s="7">
        <v>175.8</v>
      </c>
    </row>
    <row r="3974" spans="1:19" x14ac:dyDescent="0.2">
      <c r="A3974">
        <v>3973</v>
      </c>
      <c r="B3974" s="1">
        <v>40834</v>
      </c>
      <c r="C3974" t="s">
        <v>24</v>
      </c>
      <c r="D3974" s="7">
        <v>96</v>
      </c>
      <c r="E3974" s="7">
        <v>15</v>
      </c>
      <c r="F3974" s="7">
        <f t="shared" si="62"/>
        <v>3</v>
      </c>
      <c r="G3974" s="7" t="str">
        <f>LOOKUP(H3974,[1]startdates!$A$2:$A$10,[1]startdates!$B$2:$B$10)</f>
        <v>SMr</v>
      </c>
      <c r="H3974">
        <v>4</v>
      </c>
      <c r="N3974" s="7">
        <v>240.3</v>
      </c>
    </row>
    <row r="3975" spans="1:19" x14ac:dyDescent="0.2">
      <c r="A3975">
        <v>3974</v>
      </c>
      <c r="B3975" s="1">
        <v>40834</v>
      </c>
      <c r="C3975" t="s">
        <v>24</v>
      </c>
      <c r="D3975" s="7">
        <v>96</v>
      </c>
      <c r="E3975" s="7">
        <v>15</v>
      </c>
      <c r="F3975" s="7">
        <f t="shared" si="62"/>
        <v>3</v>
      </c>
      <c r="G3975" s="7" t="str">
        <f>LOOKUP(H3975,[1]startdates!$A$2:$A$10,[1]startdates!$B$2:$B$10)</f>
        <v>SMr</v>
      </c>
      <c r="H3975">
        <v>4</v>
      </c>
      <c r="N3975" s="7">
        <v>251.2</v>
      </c>
    </row>
    <row r="3976" spans="1:19" x14ac:dyDescent="0.2">
      <c r="A3976">
        <v>3975</v>
      </c>
      <c r="B3976" s="1">
        <v>40834</v>
      </c>
      <c r="C3976" t="s">
        <v>24</v>
      </c>
      <c r="D3976" s="7">
        <v>96</v>
      </c>
      <c r="E3976" s="7">
        <v>15</v>
      </c>
      <c r="F3976" s="7">
        <f t="shared" si="62"/>
        <v>3</v>
      </c>
      <c r="G3976" s="7" t="str">
        <f>LOOKUP(H3976,[1]startdates!$A$2:$A$10,[1]startdates!$B$2:$B$10)</f>
        <v>C</v>
      </c>
      <c r="H3976">
        <v>5</v>
      </c>
      <c r="I3976" s="7">
        <v>639.9</v>
      </c>
      <c r="J3976" s="7">
        <v>575.6</v>
      </c>
      <c r="K3976" s="7">
        <v>456.4</v>
      </c>
      <c r="L3976" s="7">
        <v>450.3</v>
      </c>
      <c r="M3976" s="7">
        <v>332.4</v>
      </c>
      <c r="N3976" s="7">
        <v>260.89999999999998</v>
      </c>
      <c r="O3976" s="7">
        <v>147.5</v>
      </c>
      <c r="P3976" s="7">
        <v>487.1</v>
      </c>
      <c r="Q3976" s="7">
        <v>392.5</v>
      </c>
      <c r="R3976" s="7">
        <v>250.4</v>
      </c>
      <c r="S3976" s="7">
        <v>265.10000000000002</v>
      </c>
    </row>
    <row r="3977" spans="1:19" x14ac:dyDescent="0.2">
      <c r="A3977">
        <v>3976</v>
      </c>
      <c r="B3977" s="1">
        <v>40834</v>
      </c>
      <c r="C3977" t="s">
        <v>24</v>
      </c>
      <c r="D3977" s="7">
        <v>96</v>
      </c>
      <c r="E3977" s="7">
        <v>15</v>
      </c>
      <c r="F3977" s="7">
        <f t="shared" si="62"/>
        <v>3</v>
      </c>
      <c r="G3977" s="7" t="str">
        <f>LOOKUP(H3977,[1]startdates!$A$2:$A$10,[1]startdates!$B$2:$B$10)</f>
        <v>C</v>
      </c>
      <c r="H3977">
        <v>5</v>
      </c>
      <c r="I3977" s="7">
        <v>554.79999999999995</v>
      </c>
      <c r="J3977" s="7">
        <v>588.5</v>
      </c>
      <c r="K3977" s="7">
        <v>414.9</v>
      </c>
      <c r="L3977" s="7">
        <v>418.2</v>
      </c>
      <c r="M3977" s="7">
        <v>356.7</v>
      </c>
      <c r="N3977" s="7">
        <v>224.6</v>
      </c>
      <c r="O3977" s="7">
        <v>200.5</v>
      </c>
      <c r="Q3977" s="7">
        <v>335.9</v>
      </c>
      <c r="R3977" s="7">
        <v>264.39999999999998</v>
      </c>
      <c r="S3977" s="7">
        <v>264</v>
      </c>
    </row>
    <row r="3978" spans="1:19" x14ac:dyDescent="0.2">
      <c r="A3978">
        <v>3977</v>
      </c>
      <c r="B3978" s="1">
        <v>40834</v>
      </c>
      <c r="C3978" t="s">
        <v>24</v>
      </c>
      <c r="D3978" s="7">
        <v>96</v>
      </c>
      <c r="E3978" s="7">
        <v>15</v>
      </c>
      <c r="F3978" s="7">
        <f t="shared" si="62"/>
        <v>3</v>
      </c>
      <c r="G3978" s="7" t="str">
        <f>LOOKUP(H3978,[1]startdates!$A$2:$A$10,[1]startdates!$B$2:$B$10)</f>
        <v>C</v>
      </c>
      <c r="H3978">
        <v>5</v>
      </c>
      <c r="I3978" s="7">
        <v>583.4</v>
      </c>
      <c r="J3978" s="7">
        <v>455.8</v>
      </c>
      <c r="K3978" s="7">
        <v>461.4</v>
      </c>
      <c r="L3978" s="7">
        <v>418.8</v>
      </c>
      <c r="M3978" s="7">
        <v>371.1</v>
      </c>
      <c r="N3978" s="7">
        <v>197.9</v>
      </c>
      <c r="O3978" s="7">
        <v>163</v>
      </c>
      <c r="Q3978" s="7">
        <v>395.2</v>
      </c>
      <c r="R3978" s="7">
        <v>261.8</v>
      </c>
      <c r="S3978" s="7">
        <v>273.7</v>
      </c>
    </row>
    <row r="3979" spans="1:19" x14ac:dyDescent="0.2">
      <c r="A3979">
        <v>3978</v>
      </c>
      <c r="B3979" s="1">
        <v>40834</v>
      </c>
      <c r="C3979" t="s">
        <v>24</v>
      </c>
      <c r="D3979" s="7">
        <v>96</v>
      </c>
      <c r="E3979" s="7">
        <v>15</v>
      </c>
      <c r="F3979" s="7">
        <f t="shared" si="62"/>
        <v>3</v>
      </c>
      <c r="G3979" s="7" t="str">
        <f>LOOKUP(H3979,[1]startdates!$A$2:$A$10,[1]startdates!$B$2:$B$10)</f>
        <v>C</v>
      </c>
      <c r="H3979">
        <v>5</v>
      </c>
      <c r="I3979" s="7">
        <v>479.3</v>
      </c>
      <c r="J3979" s="7">
        <v>544.9</v>
      </c>
      <c r="K3979" s="7">
        <v>581.5</v>
      </c>
      <c r="L3979" s="7">
        <v>395</v>
      </c>
      <c r="M3979" s="7">
        <v>365.8</v>
      </c>
      <c r="N3979" s="7">
        <v>170.8</v>
      </c>
      <c r="O3979" s="7">
        <v>176.9</v>
      </c>
      <c r="Q3979" s="7">
        <v>380.9</v>
      </c>
    </row>
    <row r="3980" spans="1:19" x14ac:dyDescent="0.2">
      <c r="A3980">
        <v>3979</v>
      </c>
      <c r="B3980" s="1">
        <v>40834</v>
      </c>
      <c r="C3980" t="s">
        <v>24</v>
      </c>
      <c r="D3980" s="7">
        <v>96</v>
      </c>
      <c r="E3980" s="7">
        <v>15</v>
      </c>
      <c r="F3980" s="7">
        <f t="shared" si="62"/>
        <v>3</v>
      </c>
      <c r="G3980" s="7" t="str">
        <f>LOOKUP(H3980,[1]startdates!$A$2:$A$10,[1]startdates!$B$2:$B$10)</f>
        <v>C</v>
      </c>
      <c r="H3980">
        <v>5</v>
      </c>
      <c r="I3980" s="7">
        <v>532.20000000000005</v>
      </c>
      <c r="J3980" s="7">
        <v>496.4</v>
      </c>
      <c r="K3980" s="7">
        <v>460.6</v>
      </c>
      <c r="L3980" s="7">
        <v>432</v>
      </c>
      <c r="M3980" s="7">
        <v>264.60000000000002</v>
      </c>
      <c r="N3980" s="7">
        <v>231.8</v>
      </c>
      <c r="O3980" s="7">
        <v>170.6</v>
      </c>
      <c r="Q3980" s="7">
        <v>358.7</v>
      </c>
    </row>
    <row r="3981" spans="1:19" x14ac:dyDescent="0.2">
      <c r="A3981">
        <v>3980</v>
      </c>
      <c r="B3981" s="1">
        <v>40834</v>
      </c>
      <c r="C3981" t="s">
        <v>24</v>
      </c>
      <c r="D3981" s="7">
        <v>96</v>
      </c>
      <c r="E3981" s="7">
        <v>15</v>
      </c>
      <c r="F3981" s="7">
        <f t="shared" si="62"/>
        <v>3</v>
      </c>
      <c r="G3981" s="7" t="str">
        <f>LOOKUP(H3981,[1]startdates!$A$2:$A$10,[1]startdates!$B$2:$B$10)</f>
        <v>C</v>
      </c>
      <c r="H3981">
        <v>5</v>
      </c>
      <c r="I3981" s="7">
        <v>644.4</v>
      </c>
      <c r="K3981" s="7">
        <v>416.9</v>
      </c>
      <c r="M3981" s="7">
        <v>328.4</v>
      </c>
      <c r="N3981" s="7">
        <v>186.2</v>
      </c>
      <c r="O3981" s="7">
        <v>169.7</v>
      </c>
    </row>
    <row r="3982" spans="1:19" x14ac:dyDescent="0.2">
      <c r="A3982">
        <v>3981</v>
      </c>
      <c r="B3982" s="1">
        <v>40834</v>
      </c>
      <c r="C3982" t="s">
        <v>24</v>
      </c>
      <c r="D3982" s="7">
        <v>96</v>
      </c>
      <c r="E3982" s="7">
        <v>15</v>
      </c>
      <c r="F3982" s="7">
        <f t="shared" si="62"/>
        <v>3</v>
      </c>
      <c r="G3982" s="7" t="str">
        <f>LOOKUP(H3982,[1]startdates!$A$2:$A$10,[1]startdates!$B$2:$B$10)</f>
        <v>C</v>
      </c>
      <c r="H3982">
        <v>5</v>
      </c>
      <c r="I3982" s="7">
        <v>621.70000000000005</v>
      </c>
      <c r="K3982" s="7">
        <v>506.3</v>
      </c>
      <c r="M3982" s="7">
        <v>318.89999999999998</v>
      </c>
      <c r="N3982" s="7">
        <v>251.2</v>
      </c>
      <c r="O3982" s="7">
        <v>164.4</v>
      </c>
    </row>
    <row r="3983" spans="1:19" x14ac:dyDescent="0.2">
      <c r="A3983">
        <v>3982</v>
      </c>
      <c r="B3983" s="1">
        <v>40834</v>
      </c>
      <c r="C3983" t="s">
        <v>24</v>
      </c>
      <c r="D3983" s="7">
        <v>96</v>
      </c>
      <c r="E3983" s="7">
        <v>15</v>
      </c>
      <c r="F3983" s="7">
        <f t="shared" si="62"/>
        <v>3</v>
      </c>
      <c r="G3983" s="7" t="str">
        <f>LOOKUP(H3983,[1]startdates!$A$2:$A$10,[1]startdates!$B$2:$B$10)</f>
        <v>C</v>
      </c>
      <c r="H3983">
        <v>5</v>
      </c>
      <c r="I3983" s="7">
        <v>538.4</v>
      </c>
      <c r="M3983" s="7">
        <v>347.4</v>
      </c>
      <c r="N3983" s="7">
        <v>201.2</v>
      </c>
      <c r="O3983" s="7">
        <v>164.9</v>
      </c>
    </row>
    <row r="3984" spans="1:19" x14ac:dyDescent="0.2">
      <c r="A3984">
        <v>3983</v>
      </c>
      <c r="B3984" s="1">
        <v>40834</v>
      </c>
      <c r="C3984" t="s">
        <v>24</v>
      </c>
      <c r="D3984" s="7">
        <v>96</v>
      </c>
      <c r="E3984" s="7">
        <v>15</v>
      </c>
      <c r="F3984" s="7">
        <f t="shared" si="62"/>
        <v>3</v>
      </c>
      <c r="G3984" s="7" t="str">
        <f>LOOKUP(H3984,[1]startdates!$A$2:$A$10,[1]startdates!$B$2:$B$10)</f>
        <v>C</v>
      </c>
      <c r="H3984">
        <v>5</v>
      </c>
      <c r="I3984" s="7">
        <v>638.9</v>
      </c>
      <c r="M3984" s="7">
        <v>299</v>
      </c>
      <c r="N3984" s="7">
        <v>203.3</v>
      </c>
      <c r="O3984" s="7">
        <v>177.7</v>
      </c>
    </row>
    <row r="3985" spans="1:20" x14ac:dyDescent="0.2">
      <c r="A3985">
        <v>3984</v>
      </c>
      <c r="B3985" s="1">
        <v>40834</v>
      </c>
      <c r="C3985" t="s">
        <v>24</v>
      </c>
      <c r="D3985" s="7">
        <v>96</v>
      </c>
      <c r="E3985" s="7">
        <v>15</v>
      </c>
      <c r="F3985" s="7">
        <f t="shared" si="62"/>
        <v>3</v>
      </c>
      <c r="G3985" s="7" t="str">
        <f>LOOKUP(H3985,[1]startdates!$A$2:$A$10,[1]startdates!$B$2:$B$10)</f>
        <v>C</v>
      </c>
      <c r="H3985">
        <v>5</v>
      </c>
      <c r="I3985" s="7">
        <v>535.5</v>
      </c>
      <c r="N3985" s="7">
        <v>203.8</v>
      </c>
      <c r="O3985" s="7">
        <v>177.1</v>
      </c>
    </row>
    <row r="3986" spans="1:20" x14ac:dyDescent="0.2">
      <c r="A3986">
        <v>3985</v>
      </c>
      <c r="B3986" s="1">
        <v>40834</v>
      </c>
      <c r="C3986" t="s">
        <v>24</v>
      </c>
      <c r="D3986" s="7">
        <v>96</v>
      </c>
      <c r="E3986" s="7">
        <v>15</v>
      </c>
      <c r="F3986" s="7">
        <f t="shared" si="62"/>
        <v>3</v>
      </c>
      <c r="G3986" s="7" t="str">
        <f>LOOKUP(H3986,[1]startdates!$A$2:$A$10,[1]startdates!$B$2:$B$10)</f>
        <v>C</v>
      </c>
      <c r="H3986">
        <v>5</v>
      </c>
      <c r="I3986" s="7">
        <v>512.9</v>
      </c>
    </row>
    <row r="3987" spans="1:20" x14ac:dyDescent="0.2">
      <c r="A3987">
        <v>3986</v>
      </c>
      <c r="B3987" s="1">
        <v>40834</v>
      </c>
      <c r="C3987" t="s">
        <v>24</v>
      </c>
      <c r="D3987" s="7">
        <v>96</v>
      </c>
      <c r="E3987" s="7">
        <v>15</v>
      </c>
      <c r="F3987" s="7">
        <f t="shared" si="62"/>
        <v>3</v>
      </c>
      <c r="G3987" s="7" t="str">
        <f>LOOKUP(H3987,[1]startdates!$A$2:$A$10,[1]startdates!$B$2:$B$10)</f>
        <v>C</v>
      </c>
      <c r="H3987">
        <v>5</v>
      </c>
      <c r="I3987" s="7">
        <v>619.70000000000005</v>
      </c>
    </row>
    <row r="3988" spans="1:20" x14ac:dyDescent="0.2">
      <c r="A3988">
        <v>3987</v>
      </c>
      <c r="B3988" s="1">
        <v>40834</v>
      </c>
      <c r="C3988" t="s">
        <v>24</v>
      </c>
      <c r="D3988" s="7">
        <v>96</v>
      </c>
      <c r="E3988" s="7">
        <v>15</v>
      </c>
      <c r="F3988" s="7">
        <f t="shared" si="62"/>
        <v>3</v>
      </c>
      <c r="G3988" s="7" t="str">
        <f>LOOKUP(H3988,[1]startdates!$A$2:$A$10,[1]startdates!$B$2:$B$10)</f>
        <v>C</v>
      </c>
      <c r="H3988">
        <v>5</v>
      </c>
      <c r="I3988" s="7">
        <v>556.5</v>
      </c>
    </row>
    <row r="3989" spans="1:20" x14ac:dyDescent="0.2">
      <c r="A3989">
        <v>3988</v>
      </c>
      <c r="B3989" s="1">
        <v>40834</v>
      </c>
      <c r="C3989" t="s">
        <v>24</v>
      </c>
      <c r="D3989" s="7">
        <v>96</v>
      </c>
      <c r="E3989" s="7">
        <v>15</v>
      </c>
      <c r="F3989" s="7">
        <f t="shared" si="62"/>
        <v>3</v>
      </c>
      <c r="G3989" s="7" t="str">
        <f>LOOKUP(H3989,[1]startdates!$A$2:$A$10,[1]startdates!$B$2:$B$10)</f>
        <v>C</v>
      </c>
      <c r="H3989">
        <v>5</v>
      </c>
      <c r="I3989" s="7">
        <v>664</v>
      </c>
    </row>
    <row r="3990" spans="1:20" x14ac:dyDescent="0.2">
      <c r="A3990">
        <v>3989</v>
      </c>
      <c r="B3990" s="1">
        <v>40834</v>
      </c>
      <c r="C3990" t="s">
        <v>24</v>
      </c>
      <c r="D3990" s="7">
        <v>96</v>
      </c>
      <c r="E3990" s="7">
        <v>15</v>
      </c>
      <c r="F3990" s="7">
        <f t="shared" si="62"/>
        <v>3</v>
      </c>
      <c r="G3990" s="7" t="str">
        <f>LOOKUP(H3990,[1]startdates!$A$2:$A$10,[1]startdates!$B$2:$B$10)</f>
        <v>C</v>
      </c>
      <c r="H3990">
        <v>5</v>
      </c>
      <c r="I3990" s="7">
        <v>517.6</v>
      </c>
    </row>
    <row r="3991" spans="1:20" x14ac:dyDescent="0.2">
      <c r="A3991">
        <v>3990</v>
      </c>
      <c r="B3991" s="1">
        <v>40834</v>
      </c>
      <c r="C3991" t="s">
        <v>24</v>
      </c>
      <c r="D3991" s="7">
        <v>96</v>
      </c>
      <c r="E3991" s="7">
        <v>15</v>
      </c>
      <c r="F3991" s="7">
        <f t="shared" si="62"/>
        <v>3</v>
      </c>
      <c r="G3991" s="7" t="str">
        <f>LOOKUP(H3991,[1]startdates!$A$2:$A$10,[1]startdates!$B$2:$B$10)</f>
        <v>FMr</v>
      </c>
      <c r="H3991">
        <v>6</v>
      </c>
      <c r="I3991" s="7">
        <v>611.5</v>
      </c>
      <c r="J3991" s="7">
        <v>563.70000000000005</v>
      </c>
      <c r="K3991" s="7">
        <v>547.70000000000005</v>
      </c>
      <c r="L3991" s="7">
        <v>428.9</v>
      </c>
      <c r="M3991" s="7">
        <v>335.7</v>
      </c>
      <c r="N3991" s="7">
        <v>189.5</v>
      </c>
      <c r="O3991" s="7">
        <v>173.5</v>
      </c>
      <c r="Q3991" s="7">
        <v>369.7</v>
      </c>
      <c r="R3991" s="7">
        <v>316.7</v>
      </c>
      <c r="S3991" s="7">
        <v>291.3</v>
      </c>
      <c r="T3991" s="7">
        <v>240.1</v>
      </c>
    </row>
    <row r="3992" spans="1:20" x14ac:dyDescent="0.2">
      <c r="A3992">
        <v>3991</v>
      </c>
      <c r="B3992" s="1">
        <v>40834</v>
      </c>
      <c r="C3992" t="s">
        <v>24</v>
      </c>
      <c r="D3992" s="7">
        <v>96</v>
      </c>
      <c r="E3992" s="7">
        <v>15</v>
      </c>
      <c r="F3992" s="7">
        <f t="shared" si="62"/>
        <v>3</v>
      </c>
      <c r="G3992" s="7" t="str">
        <f>LOOKUP(H3992,[1]startdates!$A$2:$A$10,[1]startdates!$B$2:$B$10)</f>
        <v>FMr</v>
      </c>
      <c r="H3992">
        <v>6</v>
      </c>
      <c r="I3992" s="7">
        <v>576.6</v>
      </c>
      <c r="K3992" s="7">
        <v>493.4</v>
      </c>
      <c r="M3992" s="7">
        <v>248.4</v>
      </c>
      <c r="N3992" s="7">
        <v>220.7</v>
      </c>
      <c r="O3992" s="7">
        <v>146</v>
      </c>
      <c r="R3992" s="7">
        <v>232.2</v>
      </c>
      <c r="S3992" s="7">
        <v>242</v>
      </c>
    </row>
    <row r="3993" spans="1:20" x14ac:dyDescent="0.2">
      <c r="A3993">
        <v>3992</v>
      </c>
      <c r="B3993" s="1">
        <v>40834</v>
      </c>
      <c r="C3993" t="s">
        <v>24</v>
      </c>
      <c r="D3993" s="7">
        <v>96</v>
      </c>
      <c r="E3993" s="7">
        <v>15</v>
      </c>
      <c r="F3993" s="7">
        <f t="shared" si="62"/>
        <v>3</v>
      </c>
      <c r="G3993" s="7" t="str">
        <f>LOOKUP(H3993,[1]startdates!$A$2:$A$10,[1]startdates!$B$2:$B$10)</f>
        <v>FMr</v>
      </c>
      <c r="H3993">
        <v>6</v>
      </c>
      <c r="I3993" s="7">
        <v>575.29999999999995</v>
      </c>
      <c r="K3993" s="7">
        <v>419.9</v>
      </c>
      <c r="M3993" s="7">
        <v>277</v>
      </c>
      <c r="N3993" s="7">
        <v>211</v>
      </c>
      <c r="O3993" s="7">
        <v>165</v>
      </c>
      <c r="R3993" s="7">
        <v>281.60000000000002</v>
      </c>
      <c r="S3993" s="7">
        <v>245.8</v>
      </c>
    </row>
    <row r="3994" spans="1:20" x14ac:dyDescent="0.2">
      <c r="A3994">
        <v>3993</v>
      </c>
      <c r="B3994" s="1">
        <v>40834</v>
      </c>
      <c r="C3994" t="s">
        <v>24</v>
      </c>
      <c r="D3994" s="7">
        <v>96</v>
      </c>
      <c r="E3994" s="7">
        <v>15</v>
      </c>
      <c r="F3994" s="7">
        <f t="shared" si="62"/>
        <v>3</v>
      </c>
      <c r="G3994" s="7" t="str">
        <f>LOOKUP(H3994,[1]startdates!$A$2:$A$10,[1]startdates!$B$2:$B$10)</f>
        <v>FMr</v>
      </c>
      <c r="H3994">
        <v>6</v>
      </c>
      <c r="I3994" s="7">
        <v>488.2</v>
      </c>
      <c r="K3994" s="7">
        <v>496.9</v>
      </c>
      <c r="M3994" s="7">
        <v>309.3</v>
      </c>
      <c r="N3994" s="7">
        <v>237.6</v>
      </c>
      <c r="O3994" s="7">
        <v>171.9</v>
      </c>
      <c r="R3994" s="7">
        <v>232</v>
      </c>
      <c r="S3994" s="7">
        <v>277.7</v>
      </c>
    </row>
    <row r="3995" spans="1:20" x14ac:dyDescent="0.2">
      <c r="A3995">
        <v>3994</v>
      </c>
      <c r="B3995" s="1">
        <v>40834</v>
      </c>
      <c r="C3995" t="s">
        <v>24</v>
      </c>
      <c r="D3995" s="7">
        <v>96</v>
      </c>
      <c r="E3995" s="7">
        <v>15</v>
      </c>
      <c r="F3995" s="7">
        <f t="shared" si="62"/>
        <v>3</v>
      </c>
      <c r="G3995" s="7" t="str">
        <f>LOOKUP(H3995,[1]startdates!$A$2:$A$10,[1]startdates!$B$2:$B$10)</f>
        <v>FMr</v>
      </c>
      <c r="H3995">
        <v>6</v>
      </c>
      <c r="I3995" s="7">
        <v>603.20000000000005</v>
      </c>
      <c r="K3995" s="7">
        <v>510.6</v>
      </c>
      <c r="M3995" s="7">
        <v>264.39999999999998</v>
      </c>
      <c r="N3995" s="7">
        <v>178.1</v>
      </c>
      <c r="O3995" s="7">
        <v>173.1</v>
      </c>
    </row>
    <row r="3996" spans="1:20" x14ac:dyDescent="0.2">
      <c r="A3996">
        <v>3995</v>
      </c>
      <c r="B3996" s="1">
        <v>40834</v>
      </c>
      <c r="C3996" t="s">
        <v>24</v>
      </c>
      <c r="D3996" s="7">
        <v>96</v>
      </c>
      <c r="E3996" s="7">
        <v>15</v>
      </c>
      <c r="F3996" s="7">
        <f t="shared" si="62"/>
        <v>3</v>
      </c>
      <c r="G3996" s="7" t="str">
        <f>LOOKUP(H3996,[1]startdates!$A$2:$A$10,[1]startdates!$B$2:$B$10)</f>
        <v>FMr</v>
      </c>
      <c r="H3996">
        <v>6</v>
      </c>
      <c r="I3996" s="7">
        <v>672.7</v>
      </c>
      <c r="K3996" s="7">
        <v>460.9</v>
      </c>
      <c r="M3996" s="7">
        <v>356.6</v>
      </c>
      <c r="N3996" s="7">
        <v>246.3</v>
      </c>
      <c r="O3996" s="7">
        <v>163.4</v>
      </c>
    </row>
    <row r="3997" spans="1:20" x14ac:dyDescent="0.2">
      <c r="A3997">
        <v>3996</v>
      </c>
      <c r="B3997" s="1">
        <v>40834</v>
      </c>
      <c r="C3997" t="s">
        <v>24</v>
      </c>
      <c r="D3997" s="7">
        <v>96</v>
      </c>
      <c r="E3997" s="7">
        <v>15</v>
      </c>
      <c r="F3997" s="7">
        <f t="shared" si="62"/>
        <v>3</v>
      </c>
      <c r="G3997" s="7" t="str">
        <f>LOOKUP(H3997,[1]startdates!$A$2:$A$10,[1]startdates!$B$2:$B$10)</f>
        <v>FMr</v>
      </c>
      <c r="H3997">
        <v>6</v>
      </c>
      <c r="I3997" s="7">
        <v>559.5</v>
      </c>
      <c r="K3997" s="7">
        <v>411.5</v>
      </c>
      <c r="M3997" s="7">
        <v>367.2</v>
      </c>
      <c r="N3997" s="7">
        <v>271.5</v>
      </c>
      <c r="O3997" s="7">
        <v>169</v>
      </c>
    </row>
    <row r="3998" spans="1:20" x14ac:dyDescent="0.2">
      <c r="A3998">
        <v>3997</v>
      </c>
      <c r="B3998" s="1">
        <v>40834</v>
      </c>
      <c r="C3998" t="s">
        <v>24</v>
      </c>
      <c r="D3998" s="7">
        <v>96</v>
      </c>
      <c r="E3998" s="7">
        <v>15</v>
      </c>
      <c r="F3998" s="7">
        <f t="shared" si="62"/>
        <v>3</v>
      </c>
      <c r="G3998" s="7" t="str">
        <f>LOOKUP(H3998,[1]startdates!$A$2:$A$10,[1]startdates!$B$2:$B$10)</f>
        <v>FMr</v>
      </c>
      <c r="H3998">
        <v>6</v>
      </c>
      <c r="I3998" s="7">
        <v>596.29999999999995</v>
      </c>
      <c r="K3998" s="7">
        <v>538.79999999999995</v>
      </c>
      <c r="M3998" s="7">
        <v>359.4</v>
      </c>
      <c r="N3998" s="7">
        <v>177.3</v>
      </c>
      <c r="O3998" s="7">
        <v>186.4</v>
      </c>
    </row>
    <row r="3999" spans="1:20" x14ac:dyDescent="0.2">
      <c r="A3999">
        <v>3998</v>
      </c>
      <c r="B3999" s="1">
        <v>40834</v>
      </c>
      <c r="C3999" t="s">
        <v>24</v>
      </c>
      <c r="D3999" s="7">
        <v>96</v>
      </c>
      <c r="E3999" s="7">
        <v>15</v>
      </c>
      <c r="F3999" s="7">
        <f t="shared" si="62"/>
        <v>3</v>
      </c>
      <c r="G3999" s="7" t="str">
        <f>LOOKUP(H3999,[1]startdates!$A$2:$A$10,[1]startdates!$B$2:$B$10)</f>
        <v>FMr</v>
      </c>
      <c r="H3999">
        <v>6</v>
      </c>
      <c r="I3999" s="7">
        <v>505.3</v>
      </c>
      <c r="K3999" s="7">
        <v>382.1</v>
      </c>
      <c r="N3999" s="7">
        <v>214</v>
      </c>
    </row>
    <row r="4000" spans="1:20" x14ac:dyDescent="0.2">
      <c r="A4000">
        <v>3999</v>
      </c>
      <c r="B4000" s="1">
        <v>40834</v>
      </c>
      <c r="C4000" t="s">
        <v>24</v>
      </c>
      <c r="D4000" s="7">
        <v>96</v>
      </c>
      <c r="E4000" s="7">
        <v>15</v>
      </c>
      <c r="F4000" s="7">
        <f t="shared" si="62"/>
        <v>3</v>
      </c>
      <c r="G4000" s="7" t="str">
        <f>LOOKUP(H4000,[1]startdates!$A$2:$A$10,[1]startdates!$B$2:$B$10)</f>
        <v>FMr</v>
      </c>
      <c r="H4000">
        <v>6</v>
      </c>
      <c r="I4000" s="7">
        <v>552</v>
      </c>
    </row>
    <row r="4001" spans="1:18" x14ac:dyDescent="0.2">
      <c r="A4001">
        <v>4000</v>
      </c>
      <c r="B4001" s="1">
        <v>40834</v>
      </c>
      <c r="C4001" t="s">
        <v>28</v>
      </c>
      <c r="D4001" s="7">
        <v>96</v>
      </c>
      <c r="E4001" s="7">
        <v>15</v>
      </c>
      <c r="F4001" s="7">
        <f t="shared" si="62"/>
        <v>3</v>
      </c>
      <c r="G4001" s="7" t="str">
        <f>LOOKUP(H4001,[1]startdates!$A$2:$A$10,[1]startdates!$B$2:$B$10)</f>
        <v>FMr</v>
      </c>
      <c r="H4001">
        <v>7</v>
      </c>
      <c r="I4001" s="7">
        <v>663.9</v>
      </c>
      <c r="J4001" s="7">
        <v>484.5</v>
      </c>
      <c r="K4001" s="7">
        <v>473.8</v>
      </c>
      <c r="L4001" s="7">
        <v>463.8</v>
      </c>
      <c r="M4001" s="7">
        <v>309.7</v>
      </c>
      <c r="N4001" s="7">
        <v>260.5</v>
      </c>
      <c r="O4001" s="7">
        <v>157.6</v>
      </c>
      <c r="P4001" s="7">
        <v>424.8</v>
      </c>
      <c r="Q4001" s="7">
        <v>353</v>
      </c>
      <c r="R4001" s="7">
        <v>260.3</v>
      </c>
    </row>
    <row r="4002" spans="1:18" x14ac:dyDescent="0.2">
      <c r="A4002">
        <v>4001</v>
      </c>
      <c r="B4002" s="1">
        <v>40834</v>
      </c>
      <c r="C4002" t="s">
        <v>28</v>
      </c>
      <c r="D4002" s="7">
        <v>96</v>
      </c>
      <c r="E4002" s="7">
        <v>15</v>
      </c>
      <c r="F4002" s="7">
        <f t="shared" si="62"/>
        <v>3</v>
      </c>
      <c r="G4002" s="7" t="str">
        <f>LOOKUP(H4002,[1]startdates!$A$2:$A$10,[1]startdates!$B$2:$B$10)</f>
        <v>FMr</v>
      </c>
      <c r="H4002">
        <v>7</v>
      </c>
      <c r="I4002" s="7">
        <v>499.7</v>
      </c>
      <c r="K4002" s="7">
        <v>454.9</v>
      </c>
      <c r="L4002" s="7">
        <v>406.3</v>
      </c>
      <c r="M4002" s="7">
        <v>354.4</v>
      </c>
      <c r="N4002" s="7">
        <v>195.2</v>
      </c>
      <c r="O4002" s="7">
        <v>153.1</v>
      </c>
      <c r="Q4002" s="7">
        <v>328.4</v>
      </c>
    </row>
    <row r="4003" spans="1:18" x14ac:dyDescent="0.2">
      <c r="A4003">
        <v>4002</v>
      </c>
      <c r="B4003" s="1">
        <v>40834</v>
      </c>
      <c r="C4003" t="s">
        <v>28</v>
      </c>
      <c r="D4003" s="7">
        <v>96</v>
      </c>
      <c r="E4003" s="7">
        <v>15</v>
      </c>
      <c r="F4003" s="7">
        <f t="shared" si="62"/>
        <v>3</v>
      </c>
      <c r="G4003" s="7" t="str">
        <f>LOOKUP(H4003,[1]startdates!$A$2:$A$10,[1]startdates!$B$2:$B$10)</f>
        <v>FMr</v>
      </c>
      <c r="H4003">
        <v>7</v>
      </c>
      <c r="I4003" s="7">
        <v>566.79999999999995</v>
      </c>
      <c r="K4003" s="7">
        <v>549</v>
      </c>
      <c r="L4003" s="7">
        <v>445.6</v>
      </c>
      <c r="M4003" s="7">
        <v>309.7</v>
      </c>
      <c r="N4003" s="7">
        <v>188.9</v>
      </c>
      <c r="O4003" s="7">
        <v>140.9</v>
      </c>
    </row>
    <row r="4004" spans="1:18" x14ac:dyDescent="0.2">
      <c r="A4004">
        <v>4003</v>
      </c>
      <c r="B4004" s="1">
        <v>40834</v>
      </c>
      <c r="C4004" t="s">
        <v>28</v>
      </c>
      <c r="D4004" s="7">
        <v>96</v>
      </c>
      <c r="E4004" s="7">
        <v>15</v>
      </c>
      <c r="F4004" s="7">
        <f t="shared" si="62"/>
        <v>3</v>
      </c>
      <c r="G4004" s="7" t="str">
        <f>LOOKUP(H4004,[1]startdates!$A$2:$A$10,[1]startdates!$B$2:$B$10)</f>
        <v>FMr</v>
      </c>
      <c r="H4004">
        <v>7</v>
      </c>
      <c r="I4004" s="7">
        <v>574.9</v>
      </c>
      <c r="K4004" s="7">
        <v>499.9</v>
      </c>
      <c r="L4004" s="7">
        <v>421.9</v>
      </c>
      <c r="M4004" s="7">
        <v>354.4</v>
      </c>
      <c r="N4004" s="7">
        <v>255.6</v>
      </c>
      <c r="O4004" s="7">
        <v>175.5</v>
      </c>
    </row>
    <row r="4005" spans="1:18" x14ac:dyDescent="0.2">
      <c r="A4005">
        <v>4004</v>
      </c>
      <c r="B4005" s="1">
        <v>40834</v>
      </c>
      <c r="C4005" t="s">
        <v>28</v>
      </c>
      <c r="D4005" s="7">
        <v>96</v>
      </c>
      <c r="E4005" s="7">
        <v>15</v>
      </c>
      <c r="F4005" s="7">
        <f t="shared" si="62"/>
        <v>3</v>
      </c>
      <c r="G4005" s="7" t="str">
        <f>LOOKUP(H4005,[1]startdates!$A$2:$A$10,[1]startdates!$B$2:$B$10)</f>
        <v>FMr</v>
      </c>
      <c r="H4005">
        <v>7</v>
      </c>
      <c r="I4005" s="7">
        <v>603.1</v>
      </c>
      <c r="K4005" s="7">
        <v>497</v>
      </c>
      <c r="L4005" s="7">
        <v>471.1</v>
      </c>
      <c r="M4005" s="7">
        <v>324.10000000000002</v>
      </c>
      <c r="N4005" s="7">
        <v>214</v>
      </c>
      <c r="O4005" s="7">
        <v>174.9</v>
      </c>
    </row>
    <row r="4006" spans="1:18" x14ac:dyDescent="0.2">
      <c r="A4006">
        <v>4005</v>
      </c>
      <c r="B4006" s="1">
        <v>40834</v>
      </c>
      <c r="C4006" t="s">
        <v>28</v>
      </c>
      <c r="D4006" s="7">
        <v>96</v>
      </c>
      <c r="E4006" s="7">
        <v>15</v>
      </c>
      <c r="F4006" s="7">
        <f t="shared" si="62"/>
        <v>3</v>
      </c>
      <c r="G4006" s="7" t="str">
        <f>LOOKUP(H4006,[1]startdates!$A$2:$A$10,[1]startdates!$B$2:$B$10)</f>
        <v>FMr</v>
      </c>
      <c r="H4006">
        <v>7</v>
      </c>
      <c r="I4006" s="7">
        <v>627.20000000000005</v>
      </c>
      <c r="K4006" s="7">
        <v>580.6</v>
      </c>
      <c r="L4006" s="7">
        <v>434</v>
      </c>
      <c r="M4006" s="7">
        <v>331.9</v>
      </c>
      <c r="N4006" s="7">
        <v>241</v>
      </c>
      <c r="O4006" s="7">
        <v>144</v>
      </c>
    </row>
    <row r="4007" spans="1:18" x14ac:dyDescent="0.2">
      <c r="A4007">
        <v>4006</v>
      </c>
      <c r="B4007" s="1">
        <v>40834</v>
      </c>
      <c r="C4007" t="s">
        <v>28</v>
      </c>
      <c r="D4007" s="7">
        <v>96</v>
      </c>
      <c r="E4007" s="7">
        <v>15</v>
      </c>
      <c r="F4007" s="7">
        <f t="shared" si="62"/>
        <v>3</v>
      </c>
      <c r="G4007" s="7" t="str">
        <f>LOOKUP(H4007,[1]startdates!$A$2:$A$10,[1]startdates!$B$2:$B$10)</f>
        <v>FMr</v>
      </c>
      <c r="H4007">
        <v>7</v>
      </c>
      <c r="I4007" s="7">
        <v>562.6</v>
      </c>
      <c r="K4007" s="7">
        <v>559.6</v>
      </c>
      <c r="L4007" s="7">
        <v>461.7</v>
      </c>
      <c r="M4007" s="7">
        <v>316.8</v>
      </c>
      <c r="N4007" s="7">
        <v>236.7</v>
      </c>
      <c r="O4007" s="7">
        <v>177.1</v>
      </c>
    </row>
    <row r="4008" spans="1:18" x14ac:dyDescent="0.2">
      <c r="A4008">
        <v>4007</v>
      </c>
      <c r="B4008" s="1">
        <v>40834</v>
      </c>
      <c r="C4008" t="s">
        <v>28</v>
      </c>
      <c r="D4008" s="7">
        <v>96</v>
      </c>
      <c r="E4008" s="7">
        <v>15</v>
      </c>
      <c r="F4008" s="7">
        <f t="shared" si="62"/>
        <v>3</v>
      </c>
      <c r="G4008" s="7" t="str">
        <f>LOOKUP(H4008,[1]startdates!$A$2:$A$10,[1]startdates!$B$2:$B$10)</f>
        <v>FMr</v>
      </c>
      <c r="H4008">
        <v>7</v>
      </c>
      <c r="I4008" s="7">
        <v>626</v>
      </c>
      <c r="L4008" s="7">
        <v>410.9</v>
      </c>
      <c r="M4008" s="7">
        <v>327.9</v>
      </c>
      <c r="N4008" s="7">
        <v>298.10000000000002</v>
      </c>
      <c r="O4008" s="7">
        <v>172.6</v>
      </c>
    </row>
    <row r="4009" spans="1:18" x14ac:dyDescent="0.2">
      <c r="A4009">
        <v>4008</v>
      </c>
      <c r="B4009" s="1">
        <v>40834</v>
      </c>
      <c r="C4009" t="s">
        <v>28</v>
      </c>
      <c r="D4009" s="7">
        <v>96</v>
      </c>
      <c r="E4009" s="7">
        <v>15</v>
      </c>
      <c r="F4009" s="7">
        <f t="shared" ref="F4009:F4072" si="63">WEEKDAY(B4009)</f>
        <v>3</v>
      </c>
      <c r="G4009" s="7" t="str">
        <f>LOOKUP(H4009,[1]startdates!$A$2:$A$10,[1]startdates!$B$2:$B$10)</f>
        <v>FMr</v>
      </c>
      <c r="H4009">
        <v>7</v>
      </c>
      <c r="I4009" s="7">
        <v>681.3</v>
      </c>
      <c r="L4009" s="7">
        <v>400.1</v>
      </c>
      <c r="M4009" s="7">
        <v>312.39999999999998</v>
      </c>
      <c r="N4009" s="7">
        <v>271.60000000000002</v>
      </c>
      <c r="O4009" s="7">
        <v>168.6</v>
      </c>
    </row>
    <row r="4010" spans="1:18" x14ac:dyDescent="0.2">
      <c r="A4010">
        <v>4009</v>
      </c>
      <c r="B4010" s="1">
        <v>40834</v>
      </c>
      <c r="C4010" t="s">
        <v>28</v>
      </c>
      <c r="D4010" s="7">
        <v>96</v>
      </c>
      <c r="E4010" s="7">
        <v>15</v>
      </c>
      <c r="F4010" s="7">
        <f t="shared" si="63"/>
        <v>3</v>
      </c>
      <c r="G4010" s="7" t="str">
        <f>LOOKUP(H4010,[1]startdates!$A$2:$A$10,[1]startdates!$B$2:$B$10)</f>
        <v>FMr</v>
      </c>
      <c r="H4010">
        <v>7</v>
      </c>
      <c r="I4010" s="7">
        <v>511.6</v>
      </c>
      <c r="M4010" s="7">
        <v>356.2</v>
      </c>
      <c r="N4010" s="7">
        <v>246.1</v>
      </c>
      <c r="O4010" s="7">
        <v>163.1</v>
      </c>
    </row>
    <row r="4011" spans="1:18" x14ac:dyDescent="0.2">
      <c r="A4011">
        <v>4010</v>
      </c>
      <c r="B4011" s="1">
        <v>40834</v>
      </c>
      <c r="C4011" t="s">
        <v>28</v>
      </c>
      <c r="D4011" s="7">
        <v>96</v>
      </c>
      <c r="E4011" s="7">
        <v>15</v>
      </c>
      <c r="F4011" s="7">
        <f t="shared" si="63"/>
        <v>3</v>
      </c>
      <c r="G4011" s="7" t="str">
        <f>LOOKUP(H4011,[1]startdates!$A$2:$A$10,[1]startdates!$B$2:$B$10)</f>
        <v>FMr</v>
      </c>
      <c r="H4011">
        <v>7</v>
      </c>
      <c r="I4011" s="7">
        <v>651</v>
      </c>
      <c r="M4011" s="7">
        <v>312.60000000000002</v>
      </c>
      <c r="N4011" s="7">
        <v>235.5</v>
      </c>
      <c r="O4011" s="7">
        <v>153.1</v>
      </c>
    </row>
    <row r="4012" spans="1:18" x14ac:dyDescent="0.2">
      <c r="A4012">
        <v>4011</v>
      </c>
      <c r="B4012" s="1">
        <v>40834</v>
      </c>
      <c r="C4012" t="s">
        <v>28</v>
      </c>
      <c r="D4012" s="7">
        <v>96</v>
      </c>
      <c r="E4012" s="7">
        <v>15</v>
      </c>
      <c r="F4012" s="7">
        <f t="shared" si="63"/>
        <v>3</v>
      </c>
      <c r="G4012" s="7" t="str">
        <f>LOOKUP(H4012,[1]startdates!$A$2:$A$10,[1]startdates!$B$2:$B$10)</f>
        <v>FMr</v>
      </c>
      <c r="H4012">
        <v>7</v>
      </c>
      <c r="I4012" s="7">
        <v>484.7</v>
      </c>
      <c r="M4012" s="7">
        <v>322.5</v>
      </c>
      <c r="N4012" s="7">
        <v>240.7</v>
      </c>
      <c r="O4012" s="7">
        <v>160</v>
      </c>
    </row>
    <row r="4013" spans="1:18" x14ac:dyDescent="0.2">
      <c r="A4013">
        <v>4012</v>
      </c>
      <c r="B4013" s="1">
        <v>40834</v>
      </c>
      <c r="C4013" t="s">
        <v>28</v>
      </c>
      <c r="D4013" s="7">
        <v>96</v>
      </c>
      <c r="E4013" s="7">
        <v>15</v>
      </c>
      <c r="F4013" s="7">
        <f t="shared" si="63"/>
        <v>3</v>
      </c>
      <c r="G4013" s="7" t="str">
        <f>LOOKUP(H4013,[1]startdates!$A$2:$A$10,[1]startdates!$B$2:$B$10)</f>
        <v>FMr</v>
      </c>
      <c r="H4013">
        <v>7</v>
      </c>
      <c r="I4013" s="7">
        <v>597.1</v>
      </c>
      <c r="M4013" s="7">
        <v>278.7</v>
      </c>
    </row>
    <row r="4014" spans="1:18" x14ac:dyDescent="0.2">
      <c r="A4014">
        <v>4013</v>
      </c>
      <c r="B4014" s="1">
        <v>40834</v>
      </c>
      <c r="C4014" t="s">
        <v>28</v>
      </c>
      <c r="D4014" s="7">
        <v>96</v>
      </c>
      <c r="E4014" s="7">
        <v>15</v>
      </c>
      <c r="F4014" s="7">
        <f t="shared" si="63"/>
        <v>3</v>
      </c>
      <c r="G4014" s="7" t="str">
        <f>LOOKUP(H4014,[1]startdates!$A$2:$A$10,[1]startdates!$B$2:$B$10)</f>
        <v>FMr</v>
      </c>
      <c r="H4014">
        <v>7</v>
      </c>
      <c r="M4014" s="7">
        <v>329.7</v>
      </c>
    </row>
    <row r="4015" spans="1:18" x14ac:dyDescent="0.2">
      <c r="A4015">
        <v>4014</v>
      </c>
      <c r="B4015" s="1">
        <v>40834</v>
      </c>
      <c r="C4015" t="s">
        <v>28</v>
      </c>
      <c r="D4015" s="7">
        <v>96</v>
      </c>
      <c r="E4015" s="7">
        <v>15</v>
      </c>
      <c r="F4015" s="7">
        <f t="shared" si="63"/>
        <v>3</v>
      </c>
      <c r="G4015" s="7" t="str">
        <f>LOOKUP(H4015,[1]startdates!$A$2:$A$10,[1]startdates!$B$2:$B$10)</f>
        <v>FMr</v>
      </c>
      <c r="H4015">
        <v>7</v>
      </c>
      <c r="M4015" s="7">
        <v>313.5</v>
      </c>
    </row>
    <row r="4016" spans="1:18" x14ac:dyDescent="0.2">
      <c r="A4016">
        <v>4015</v>
      </c>
      <c r="B4016" s="1">
        <v>40834</v>
      </c>
      <c r="C4016" t="s">
        <v>28</v>
      </c>
      <c r="D4016" s="7">
        <v>96</v>
      </c>
      <c r="E4016" s="7">
        <v>15</v>
      </c>
      <c r="F4016" s="7">
        <f t="shared" si="63"/>
        <v>3</v>
      </c>
      <c r="G4016" s="7" t="str">
        <f>LOOKUP(H4016,[1]startdates!$A$2:$A$10,[1]startdates!$B$2:$B$10)</f>
        <v>FMr</v>
      </c>
      <c r="H4016">
        <v>7</v>
      </c>
      <c r="M4016" s="7">
        <v>308.3</v>
      </c>
    </row>
    <row r="4017" spans="1:19" x14ac:dyDescent="0.2">
      <c r="A4017">
        <v>4016</v>
      </c>
      <c r="B4017" s="1">
        <v>40834</v>
      </c>
      <c r="C4017" t="s">
        <v>24</v>
      </c>
      <c r="D4017" s="7">
        <v>96</v>
      </c>
      <c r="E4017" s="7">
        <v>15</v>
      </c>
      <c r="F4017" s="7">
        <f t="shared" si="63"/>
        <v>3</v>
      </c>
      <c r="G4017" s="7" t="str">
        <f>LOOKUP(H4017,[1]startdates!$A$2:$A$10,[1]startdates!$B$2:$B$10)</f>
        <v>C</v>
      </c>
      <c r="H4017">
        <v>8</v>
      </c>
      <c r="I4017" s="7">
        <v>747.7</v>
      </c>
      <c r="J4017" s="7">
        <v>473.9</v>
      </c>
      <c r="K4017" s="7">
        <v>583.1</v>
      </c>
      <c r="L4017" s="7">
        <v>467.6</v>
      </c>
      <c r="M4017" s="7">
        <v>365.2</v>
      </c>
      <c r="N4017" s="7">
        <v>192.9</v>
      </c>
      <c r="O4017" s="7">
        <v>164.9</v>
      </c>
      <c r="P4017" s="7">
        <v>495.6</v>
      </c>
      <c r="R4017" s="7">
        <v>286.39999999999998</v>
      </c>
      <c r="S4017" s="7">
        <v>280.39999999999998</v>
      </c>
    </row>
    <row r="4018" spans="1:19" x14ac:dyDescent="0.2">
      <c r="A4018">
        <v>4017</v>
      </c>
      <c r="B4018" s="1">
        <v>40834</v>
      </c>
      <c r="C4018" t="s">
        <v>24</v>
      </c>
      <c r="D4018" s="7">
        <v>96</v>
      </c>
      <c r="E4018" s="7">
        <v>15</v>
      </c>
      <c r="F4018" s="7">
        <f t="shared" si="63"/>
        <v>3</v>
      </c>
      <c r="G4018" s="7" t="str">
        <f>LOOKUP(H4018,[1]startdates!$A$2:$A$10,[1]startdates!$B$2:$B$10)</f>
        <v>C</v>
      </c>
      <c r="H4018">
        <v>8</v>
      </c>
      <c r="I4018" s="7">
        <v>626</v>
      </c>
      <c r="J4018" s="7">
        <v>518.70000000000005</v>
      </c>
      <c r="K4018" s="7">
        <v>552.70000000000005</v>
      </c>
      <c r="L4018" s="7">
        <v>419.9</v>
      </c>
      <c r="M4018" s="7">
        <v>335</v>
      </c>
      <c r="N4018" s="7">
        <v>214</v>
      </c>
      <c r="O4018" s="7">
        <v>181.6</v>
      </c>
      <c r="P4018" s="7">
        <v>471.6</v>
      </c>
      <c r="R4018" s="7">
        <v>251.7</v>
      </c>
      <c r="S4018" s="7">
        <v>247.3</v>
      </c>
    </row>
    <row r="4019" spans="1:19" x14ac:dyDescent="0.2">
      <c r="A4019">
        <v>4018</v>
      </c>
      <c r="B4019" s="1">
        <v>40834</v>
      </c>
      <c r="C4019" t="s">
        <v>24</v>
      </c>
      <c r="D4019" s="7">
        <v>96</v>
      </c>
      <c r="E4019" s="7">
        <v>15</v>
      </c>
      <c r="F4019" s="7">
        <f t="shared" si="63"/>
        <v>3</v>
      </c>
      <c r="G4019" s="7" t="str">
        <f>LOOKUP(H4019,[1]startdates!$A$2:$A$10,[1]startdates!$B$2:$B$10)</f>
        <v>C</v>
      </c>
      <c r="H4019">
        <v>8</v>
      </c>
      <c r="I4019" s="7">
        <v>611.5</v>
      </c>
      <c r="J4019" s="7">
        <v>526.9</v>
      </c>
      <c r="K4019" s="7">
        <v>571.4</v>
      </c>
      <c r="L4019" s="7">
        <v>412</v>
      </c>
      <c r="M4019" s="7">
        <v>347.6</v>
      </c>
      <c r="N4019" s="7">
        <v>173.7</v>
      </c>
      <c r="O4019" s="7">
        <v>159.80000000000001</v>
      </c>
      <c r="R4019" s="7">
        <v>267</v>
      </c>
      <c r="S4019" s="7">
        <v>320.60000000000002</v>
      </c>
    </row>
    <row r="4020" spans="1:19" x14ac:dyDescent="0.2">
      <c r="A4020">
        <v>4019</v>
      </c>
      <c r="B4020" s="1">
        <v>40834</v>
      </c>
      <c r="C4020" t="s">
        <v>24</v>
      </c>
      <c r="D4020" s="7">
        <v>96</v>
      </c>
      <c r="E4020" s="7">
        <v>15</v>
      </c>
      <c r="F4020" s="7">
        <f t="shared" si="63"/>
        <v>3</v>
      </c>
      <c r="G4020" s="7" t="str">
        <f>LOOKUP(H4020,[1]startdates!$A$2:$A$10,[1]startdates!$B$2:$B$10)</f>
        <v>C</v>
      </c>
      <c r="H4020">
        <v>8</v>
      </c>
      <c r="I4020" s="7">
        <v>628.70000000000005</v>
      </c>
      <c r="J4020" s="7">
        <v>497.2</v>
      </c>
      <c r="K4020" s="7">
        <v>497.6</v>
      </c>
      <c r="M4020" s="7">
        <v>343.2</v>
      </c>
      <c r="N4020" s="7">
        <v>211.4</v>
      </c>
      <c r="O4020" s="7">
        <v>153.80000000000001</v>
      </c>
      <c r="R4020" s="7">
        <v>291.39999999999998</v>
      </c>
      <c r="S4020" s="7">
        <v>267.8</v>
      </c>
    </row>
    <row r="4021" spans="1:19" x14ac:dyDescent="0.2">
      <c r="A4021">
        <v>4020</v>
      </c>
      <c r="B4021" s="1">
        <v>40834</v>
      </c>
      <c r="C4021" t="s">
        <v>24</v>
      </c>
      <c r="D4021" s="7">
        <v>96</v>
      </c>
      <c r="E4021" s="7">
        <v>15</v>
      </c>
      <c r="F4021" s="7">
        <f t="shared" si="63"/>
        <v>3</v>
      </c>
      <c r="G4021" s="7" t="str">
        <f>LOOKUP(H4021,[1]startdates!$A$2:$A$10,[1]startdates!$B$2:$B$10)</f>
        <v>C</v>
      </c>
      <c r="H4021">
        <v>8</v>
      </c>
      <c r="I4021" s="7">
        <v>684.9</v>
      </c>
      <c r="K4021" s="7">
        <v>605.6</v>
      </c>
      <c r="M4021" s="7">
        <v>356</v>
      </c>
      <c r="N4021" s="7">
        <v>224.2</v>
      </c>
      <c r="O4021" s="7">
        <v>166.5</v>
      </c>
      <c r="S4021" s="7">
        <v>274.8</v>
      </c>
    </row>
    <row r="4022" spans="1:19" x14ac:dyDescent="0.2">
      <c r="A4022">
        <v>4021</v>
      </c>
      <c r="B4022" s="1">
        <v>40834</v>
      </c>
      <c r="C4022" t="s">
        <v>24</v>
      </c>
      <c r="D4022" s="7">
        <v>96</v>
      </c>
      <c r="E4022" s="7">
        <v>15</v>
      </c>
      <c r="F4022" s="7">
        <f t="shared" si="63"/>
        <v>3</v>
      </c>
      <c r="G4022" s="7" t="str">
        <f>LOOKUP(H4022,[1]startdates!$A$2:$A$10,[1]startdates!$B$2:$B$10)</f>
        <v>C</v>
      </c>
      <c r="H4022">
        <v>8</v>
      </c>
      <c r="I4022" s="7">
        <v>689.9</v>
      </c>
      <c r="K4022" s="7">
        <v>603.79999999999995</v>
      </c>
      <c r="M4022" s="7">
        <v>376.1</v>
      </c>
      <c r="N4022" s="7">
        <v>223.9</v>
      </c>
      <c r="O4022" s="7">
        <v>182.2</v>
      </c>
    </row>
    <row r="4023" spans="1:19" x14ac:dyDescent="0.2">
      <c r="A4023">
        <v>4022</v>
      </c>
      <c r="B4023" s="1">
        <v>40834</v>
      </c>
      <c r="C4023" t="s">
        <v>24</v>
      </c>
      <c r="D4023" s="7">
        <v>96</v>
      </c>
      <c r="E4023" s="7">
        <v>15</v>
      </c>
      <c r="F4023" s="7">
        <f t="shared" si="63"/>
        <v>3</v>
      </c>
      <c r="G4023" s="7" t="str">
        <f>LOOKUP(H4023,[1]startdates!$A$2:$A$10,[1]startdates!$B$2:$B$10)</f>
        <v>C</v>
      </c>
      <c r="H4023">
        <v>8</v>
      </c>
      <c r="I4023" s="7">
        <v>625.20000000000005</v>
      </c>
      <c r="M4023" s="7">
        <v>362.3</v>
      </c>
      <c r="N4023" s="7">
        <v>194.9</v>
      </c>
      <c r="O4023" s="7">
        <v>180.7</v>
      </c>
    </row>
    <row r="4024" spans="1:19" x14ac:dyDescent="0.2">
      <c r="A4024">
        <v>4023</v>
      </c>
      <c r="B4024" s="1">
        <v>40834</v>
      </c>
      <c r="C4024" t="s">
        <v>24</v>
      </c>
      <c r="D4024" s="7">
        <v>96</v>
      </c>
      <c r="E4024" s="7">
        <v>15</v>
      </c>
      <c r="F4024" s="7">
        <f t="shared" si="63"/>
        <v>3</v>
      </c>
      <c r="G4024" s="7" t="str">
        <f>LOOKUP(H4024,[1]startdates!$A$2:$A$10,[1]startdates!$B$2:$B$10)</f>
        <v>C</v>
      </c>
      <c r="H4024">
        <v>8</v>
      </c>
      <c r="I4024" s="7">
        <v>700.4</v>
      </c>
      <c r="M4024" s="7">
        <v>354.7</v>
      </c>
      <c r="N4024" s="7">
        <v>211</v>
      </c>
      <c r="O4024" s="7">
        <v>173.7</v>
      </c>
    </row>
    <row r="4025" spans="1:19" x14ac:dyDescent="0.2">
      <c r="A4025">
        <v>4024</v>
      </c>
      <c r="B4025" s="1">
        <v>40834</v>
      </c>
      <c r="C4025" t="s">
        <v>24</v>
      </c>
      <c r="D4025" s="7">
        <v>96</v>
      </c>
      <c r="E4025" s="7">
        <v>15</v>
      </c>
      <c r="F4025" s="7">
        <f t="shared" si="63"/>
        <v>3</v>
      </c>
      <c r="G4025" s="7" t="str">
        <f>LOOKUP(H4025,[1]startdates!$A$2:$A$10,[1]startdates!$B$2:$B$10)</f>
        <v>C</v>
      </c>
      <c r="H4025">
        <v>8</v>
      </c>
      <c r="I4025" s="7">
        <v>699.6</v>
      </c>
      <c r="M4025" s="7">
        <v>302.10000000000002</v>
      </c>
      <c r="N4025" s="7">
        <v>232.5</v>
      </c>
      <c r="O4025" s="7">
        <v>166.5</v>
      </c>
    </row>
    <row r="4026" spans="1:19" x14ac:dyDescent="0.2">
      <c r="A4026">
        <v>4025</v>
      </c>
      <c r="B4026" s="1">
        <v>40834</v>
      </c>
      <c r="C4026" t="s">
        <v>24</v>
      </c>
      <c r="D4026" s="7">
        <v>96</v>
      </c>
      <c r="E4026" s="7">
        <v>15</v>
      </c>
      <c r="F4026" s="7">
        <f t="shared" si="63"/>
        <v>3</v>
      </c>
      <c r="G4026" s="7" t="str">
        <f>LOOKUP(H4026,[1]startdates!$A$2:$A$10,[1]startdates!$B$2:$B$10)</f>
        <v>C</v>
      </c>
      <c r="H4026">
        <v>8</v>
      </c>
      <c r="N4026" s="7">
        <v>263.60000000000002</v>
      </c>
      <c r="O4026" s="7">
        <v>171.7</v>
      </c>
    </row>
    <row r="4027" spans="1:19" x14ac:dyDescent="0.2">
      <c r="A4027">
        <v>4026</v>
      </c>
      <c r="B4027" s="1">
        <v>40834</v>
      </c>
      <c r="C4027" t="s">
        <v>24</v>
      </c>
      <c r="D4027" s="7">
        <v>96</v>
      </c>
      <c r="E4027" s="7">
        <v>15</v>
      </c>
      <c r="F4027" s="7">
        <f t="shared" si="63"/>
        <v>3</v>
      </c>
      <c r="G4027" s="7" t="str">
        <f>LOOKUP(H4027,[1]startdates!$A$2:$A$10,[1]startdates!$B$2:$B$10)</f>
        <v>C</v>
      </c>
      <c r="H4027">
        <v>8</v>
      </c>
      <c r="N4027" s="7">
        <v>270.3</v>
      </c>
      <c r="O4027" s="7">
        <v>146.6</v>
      </c>
    </row>
    <row r="4028" spans="1:19" x14ac:dyDescent="0.2">
      <c r="A4028">
        <v>4027</v>
      </c>
      <c r="B4028" s="1">
        <v>40834</v>
      </c>
      <c r="C4028" t="s">
        <v>24</v>
      </c>
      <c r="D4028" s="7">
        <v>96</v>
      </c>
      <c r="E4028" s="7">
        <v>15</v>
      </c>
      <c r="F4028" s="7">
        <f t="shared" si="63"/>
        <v>3</v>
      </c>
      <c r="G4028" s="7" t="str">
        <f>LOOKUP(H4028,[1]startdates!$A$2:$A$10,[1]startdates!$B$2:$B$10)</f>
        <v>C</v>
      </c>
      <c r="H4028">
        <v>8</v>
      </c>
      <c r="O4028" s="7">
        <v>194</v>
      </c>
    </row>
    <row r="4029" spans="1:19" x14ac:dyDescent="0.2">
      <c r="A4029">
        <v>4028</v>
      </c>
      <c r="B4029" s="1">
        <v>40834</v>
      </c>
      <c r="C4029" t="s">
        <v>28</v>
      </c>
      <c r="D4029" s="7">
        <v>96</v>
      </c>
      <c r="E4029" s="7">
        <v>15</v>
      </c>
      <c r="F4029" s="7">
        <f t="shared" si="63"/>
        <v>3</v>
      </c>
      <c r="G4029" s="7" t="str">
        <f>LOOKUP(H4029,[1]startdates!$A$2:$A$10,[1]startdates!$B$2:$B$10)</f>
        <v>FMr</v>
      </c>
      <c r="H4029">
        <v>9</v>
      </c>
      <c r="I4029" s="7">
        <v>603.1</v>
      </c>
      <c r="J4029" s="7">
        <v>462.7</v>
      </c>
      <c r="K4029" s="7">
        <v>510</v>
      </c>
      <c r="L4029" s="7">
        <v>481.7</v>
      </c>
      <c r="M4029" s="7">
        <v>291.60000000000002</v>
      </c>
      <c r="N4029" s="7">
        <v>276.10000000000002</v>
      </c>
      <c r="O4029" s="7">
        <v>172.6</v>
      </c>
      <c r="P4029" s="7">
        <v>436.9</v>
      </c>
      <c r="Q4029" s="7">
        <v>314.7</v>
      </c>
      <c r="R4029" s="7">
        <v>245.2</v>
      </c>
      <c r="S4029" s="7">
        <v>266.60000000000002</v>
      </c>
    </row>
    <row r="4030" spans="1:19" x14ac:dyDescent="0.2">
      <c r="A4030">
        <v>4029</v>
      </c>
      <c r="B4030" s="1">
        <v>40834</v>
      </c>
      <c r="C4030" t="s">
        <v>28</v>
      </c>
      <c r="D4030" s="7">
        <v>96</v>
      </c>
      <c r="E4030" s="7">
        <v>15</v>
      </c>
      <c r="F4030" s="7">
        <f t="shared" si="63"/>
        <v>3</v>
      </c>
      <c r="G4030" s="7" t="str">
        <f>LOOKUP(H4030,[1]startdates!$A$2:$A$10,[1]startdates!$B$2:$B$10)</f>
        <v>FMr</v>
      </c>
      <c r="H4030">
        <v>9</v>
      </c>
      <c r="I4030" s="7">
        <v>605.9</v>
      </c>
      <c r="K4030" s="7">
        <v>530.20000000000005</v>
      </c>
      <c r="L4030" s="7">
        <v>432.2</v>
      </c>
      <c r="M4030" s="7">
        <v>336.1</v>
      </c>
      <c r="N4030" s="7">
        <v>261.5</v>
      </c>
      <c r="O4030" s="7">
        <v>178.1</v>
      </c>
      <c r="Q4030" s="7">
        <v>309.8</v>
      </c>
      <c r="R4030" s="7">
        <v>273.7</v>
      </c>
    </row>
    <row r="4031" spans="1:19" x14ac:dyDescent="0.2">
      <c r="A4031">
        <v>4030</v>
      </c>
      <c r="B4031" s="1">
        <v>40834</v>
      </c>
      <c r="C4031" t="s">
        <v>28</v>
      </c>
      <c r="D4031" s="7">
        <v>96</v>
      </c>
      <c r="E4031" s="7">
        <v>15</v>
      </c>
      <c r="F4031" s="7">
        <f t="shared" si="63"/>
        <v>3</v>
      </c>
      <c r="G4031" s="7" t="str">
        <f>LOOKUP(H4031,[1]startdates!$A$2:$A$10,[1]startdates!$B$2:$B$10)</f>
        <v>FMr</v>
      </c>
      <c r="H4031">
        <v>9</v>
      </c>
      <c r="I4031" s="7">
        <v>501.4</v>
      </c>
      <c r="K4031" s="7">
        <v>508.7</v>
      </c>
      <c r="L4031" s="7">
        <v>472.3</v>
      </c>
      <c r="M4031" s="7">
        <v>313.3</v>
      </c>
      <c r="N4031" s="7">
        <v>264.5</v>
      </c>
      <c r="O4031" s="7">
        <v>173.1</v>
      </c>
      <c r="R4031" s="7">
        <v>247.5</v>
      </c>
    </row>
    <row r="4032" spans="1:19" x14ac:dyDescent="0.2">
      <c r="A4032">
        <v>4031</v>
      </c>
      <c r="B4032" s="1">
        <v>40834</v>
      </c>
      <c r="C4032" t="s">
        <v>28</v>
      </c>
      <c r="D4032" s="7">
        <v>96</v>
      </c>
      <c r="E4032" s="7">
        <v>15</v>
      </c>
      <c r="F4032" s="7">
        <f t="shared" si="63"/>
        <v>3</v>
      </c>
      <c r="G4032" s="7" t="str">
        <f>LOOKUP(H4032,[1]startdates!$A$2:$A$10,[1]startdates!$B$2:$B$10)</f>
        <v>FMr</v>
      </c>
      <c r="H4032">
        <v>9</v>
      </c>
      <c r="I4032" s="7">
        <v>523.29999999999995</v>
      </c>
      <c r="K4032" s="7">
        <v>504</v>
      </c>
      <c r="L4032" s="7">
        <v>495.3</v>
      </c>
      <c r="M4032" s="7">
        <v>385.8</v>
      </c>
      <c r="N4032" s="7">
        <v>195.1</v>
      </c>
      <c r="O4032" s="7">
        <v>174.6</v>
      </c>
    </row>
    <row r="4033" spans="1:19" x14ac:dyDescent="0.2">
      <c r="A4033">
        <v>4032</v>
      </c>
      <c r="B4033" s="1">
        <v>40834</v>
      </c>
      <c r="C4033" t="s">
        <v>28</v>
      </c>
      <c r="D4033" s="7">
        <v>96</v>
      </c>
      <c r="E4033" s="7">
        <v>15</v>
      </c>
      <c r="F4033" s="7">
        <f t="shared" si="63"/>
        <v>3</v>
      </c>
      <c r="G4033" s="7" t="str">
        <f>LOOKUP(H4033,[1]startdates!$A$2:$A$10,[1]startdates!$B$2:$B$10)</f>
        <v>FMr</v>
      </c>
      <c r="H4033">
        <v>9</v>
      </c>
      <c r="I4033" s="7">
        <v>673.7</v>
      </c>
      <c r="K4033" s="7">
        <v>467.6</v>
      </c>
      <c r="L4033" s="7">
        <v>422.4</v>
      </c>
      <c r="M4033" s="7">
        <v>332.7</v>
      </c>
      <c r="N4033" s="7">
        <v>247.1</v>
      </c>
      <c r="O4033" s="7">
        <v>192.6</v>
      </c>
    </row>
    <row r="4034" spans="1:19" x14ac:dyDescent="0.2">
      <c r="A4034">
        <v>4033</v>
      </c>
      <c r="B4034" s="1">
        <v>40834</v>
      </c>
      <c r="C4034" t="s">
        <v>28</v>
      </c>
      <c r="D4034" s="7">
        <v>96</v>
      </c>
      <c r="E4034" s="7">
        <v>15</v>
      </c>
      <c r="F4034" s="7">
        <f t="shared" si="63"/>
        <v>3</v>
      </c>
      <c r="G4034" s="7" t="str">
        <f>LOOKUP(H4034,[1]startdates!$A$2:$A$10,[1]startdates!$B$2:$B$10)</f>
        <v>FMr</v>
      </c>
      <c r="H4034">
        <v>9</v>
      </c>
      <c r="I4034" s="7">
        <v>663.7</v>
      </c>
      <c r="K4034" s="7">
        <v>596.5</v>
      </c>
      <c r="L4034" s="7">
        <v>435.4</v>
      </c>
      <c r="M4034" s="7">
        <v>309.39999999999998</v>
      </c>
      <c r="N4034" s="7">
        <v>163</v>
      </c>
      <c r="O4034" s="7">
        <v>186.3</v>
      </c>
    </row>
    <row r="4035" spans="1:19" x14ac:dyDescent="0.2">
      <c r="A4035">
        <v>4034</v>
      </c>
      <c r="B4035" s="1">
        <v>40834</v>
      </c>
      <c r="C4035" t="s">
        <v>28</v>
      </c>
      <c r="D4035" s="7">
        <v>96</v>
      </c>
      <c r="E4035" s="7">
        <v>15</v>
      </c>
      <c r="F4035" s="7">
        <f t="shared" si="63"/>
        <v>3</v>
      </c>
      <c r="G4035" s="7" t="str">
        <f>LOOKUP(H4035,[1]startdates!$A$2:$A$10,[1]startdates!$B$2:$B$10)</f>
        <v>FMr</v>
      </c>
      <c r="H4035">
        <v>9</v>
      </c>
      <c r="I4035" s="7">
        <v>591.1</v>
      </c>
      <c r="K4035" s="7">
        <v>540.1</v>
      </c>
      <c r="M4035" s="7">
        <v>348.4</v>
      </c>
      <c r="N4035" s="7">
        <v>190</v>
      </c>
      <c r="O4035" s="7">
        <v>161</v>
      </c>
    </row>
    <row r="4036" spans="1:19" x14ac:dyDescent="0.2">
      <c r="A4036">
        <v>4035</v>
      </c>
      <c r="B4036" s="1">
        <v>40834</v>
      </c>
      <c r="C4036" t="s">
        <v>28</v>
      </c>
      <c r="D4036" s="7">
        <v>96</v>
      </c>
      <c r="E4036" s="7">
        <v>15</v>
      </c>
      <c r="F4036" s="7">
        <f t="shared" si="63"/>
        <v>3</v>
      </c>
      <c r="G4036" s="7" t="str">
        <f>LOOKUP(H4036,[1]startdates!$A$2:$A$10,[1]startdates!$B$2:$B$10)</f>
        <v>FMr</v>
      </c>
      <c r="H4036">
        <v>9</v>
      </c>
      <c r="I4036" s="7">
        <v>573.29999999999995</v>
      </c>
      <c r="K4036" s="7">
        <v>501.4</v>
      </c>
      <c r="M4036" s="7">
        <v>398.5</v>
      </c>
      <c r="N4036" s="7">
        <v>220.6</v>
      </c>
      <c r="O4036" s="7">
        <v>161.69999999999999</v>
      </c>
    </row>
    <row r="4037" spans="1:19" x14ac:dyDescent="0.2">
      <c r="A4037">
        <v>4036</v>
      </c>
      <c r="B4037" s="1">
        <v>40834</v>
      </c>
      <c r="C4037" t="s">
        <v>28</v>
      </c>
      <c r="D4037" s="7">
        <v>96</v>
      </c>
      <c r="E4037" s="7">
        <v>15</v>
      </c>
      <c r="F4037" s="7">
        <f t="shared" si="63"/>
        <v>3</v>
      </c>
      <c r="G4037" s="7" t="str">
        <f>LOOKUP(H4037,[1]startdates!$A$2:$A$10,[1]startdates!$B$2:$B$10)</f>
        <v>FMr</v>
      </c>
      <c r="H4037">
        <v>9</v>
      </c>
      <c r="I4037" s="7">
        <v>551.9</v>
      </c>
      <c r="N4037" s="7">
        <v>241</v>
      </c>
      <c r="O4037" s="7">
        <v>159.80000000000001</v>
      </c>
    </row>
    <row r="4038" spans="1:19" x14ac:dyDescent="0.2">
      <c r="A4038">
        <v>4037</v>
      </c>
      <c r="B4038" s="1">
        <v>40834</v>
      </c>
      <c r="C4038" t="s">
        <v>28</v>
      </c>
      <c r="D4038" s="7">
        <v>96</v>
      </c>
      <c r="E4038" s="7">
        <v>15</v>
      </c>
      <c r="F4038" s="7">
        <f t="shared" si="63"/>
        <v>3</v>
      </c>
      <c r="G4038" s="7" t="str">
        <f>LOOKUP(H4038,[1]startdates!$A$2:$A$10,[1]startdates!$B$2:$B$10)</f>
        <v>FMr</v>
      </c>
      <c r="H4038">
        <v>9</v>
      </c>
      <c r="I4038" s="7">
        <v>685.2</v>
      </c>
      <c r="N4038" s="7">
        <v>228.3</v>
      </c>
      <c r="O4038" s="7">
        <v>141</v>
      </c>
    </row>
    <row r="4039" spans="1:19" x14ac:dyDescent="0.2">
      <c r="A4039">
        <v>4038</v>
      </c>
      <c r="B4039" s="1">
        <v>40834</v>
      </c>
      <c r="C4039" t="s">
        <v>28</v>
      </c>
      <c r="D4039" s="7">
        <v>96</v>
      </c>
      <c r="E4039" s="7">
        <v>15</v>
      </c>
      <c r="F4039" s="7">
        <f t="shared" si="63"/>
        <v>3</v>
      </c>
      <c r="G4039" s="7" t="str">
        <f>LOOKUP(H4039,[1]startdates!$A$2:$A$10,[1]startdates!$B$2:$B$10)</f>
        <v>FMr</v>
      </c>
      <c r="H4039">
        <v>9</v>
      </c>
      <c r="I4039" s="7">
        <v>592.9</v>
      </c>
      <c r="N4039" s="7">
        <v>206.2</v>
      </c>
      <c r="O4039" s="7">
        <v>163.4</v>
      </c>
    </row>
    <row r="4040" spans="1:19" x14ac:dyDescent="0.2">
      <c r="A4040">
        <v>4039</v>
      </c>
      <c r="B4040" s="1">
        <v>40834</v>
      </c>
      <c r="C4040" t="s">
        <v>28</v>
      </c>
      <c r="D4040" s="7">
        <v>96</v>
      </c>
      <c r="E4040" s="7">
        <v>15</v>
      </c>
      <c r="F4040" s="7">
        <f t="shared" si="63"/>
        <v>3</v>
      </c>
      <c r="G4040" s="7" t="str">
        <f>LOOKUP(H4040,[1]startdates!$A$2:$A$10,[1]startdates!$B$2:$B$10)</f>
        <v>FMr</v>
      </c>
      <c r="H4040">
        <v>9</v>
      </c>
      <c r="I4040" s="7">
        <v>570</v>
      </c>
      <c r="N4040" s="7">
        <v>185.8</v>
      </c>
      <c r="O4040" s="7">
        <v>166.3</v>
      </c>
    </row>
    <row r="4041" spans="1:19" x14ac:dyDescent="0.2">
      <c r="A4041">
        <v>4040</v>
      </c>
      <c r="B4041" s="1">
        <v>40837</v>
      </c>
      <c r="C4041" t="s">
        <v>24</v>
      </c>
      <c r="D4041" s="7">
        <v>99</v>
      </c>
      <c r="E4041" s="7">
        <v>15</v>
      </c>
      <c r="F4041" s="7">
        <f t="shared" si="63"/>
        <v>6</v>
      </c>
      <c r="G4041" s="7" t="str">
        <f>LOOKUP(H4041,[1]startdates!$A$2:$A$10,[1]startdates!$B$2:$B$10)</f>
        <v>FMr</v>
      </c>
      <c r="H4041">
        <v>9</v>
      </c>
      <c r="N4041" s="7">
        <v>270</v>
      </c>
      <c r="O4041" s="7">
        <v>200.9</v>
      </c>
    </row>
    <row r="4042" spans="1:19" x14ac:dyDescent="0.2">
      <c r="A4042">
        <v>4041</v>
      </c>
      <c r="B4042" s="1">
        <v>40837</v>
      </c>
      <c r="C4042" t="s">
        <v>24</v>
      </c>
      <c r="D4042" s="7">
        <v>99</v>
      </c>
      <c r="E4042" s="7">
        <v>15</v>
      </c>
      <c r="F4042" s="7">
        <f t="shared" si="63"/>
        <v>6</v>
      </c>
      <c r="G4042" s="7" t="str">
        <f>LOOKUP(H4042,[1]startdates!$A$2:$A$10,[1]startdates!$B$2:$B$10)</f>
        <v>SMr</v>
      </c>
      <c r="H4042">
        <v>1</v>
      </c>
      <c r="I4042" s="7">
        <v>606.1</v>
      </c>
      <c r="J4042" s="7">
        <v>492.7</v>
      </c>
      <c r="K4042" s="7">
        <v>528.6</v>
      </c>
      <c r="L4042" s="7">
        <v>419</v>
      </c>
      <c r="M4042" s="7">
        <v>336.1</v>
      </c>
      <c r="N4042" s="7">
        <v>243.4</v>
      </c>
      <c r="O4042" s="7">
        <v>173.7</v>
      </c>
      <c r="P4042" s="7">
        <v>491.1</v>
      </c>
      <c r="Q4042" s="7">
        <v>361.1</v>
      </c>
      <c r="R4042" s="7">
        <v>292</v>
      </c>
      <c r="S4042" s="7">
        <v>246.7</v>
      </c>
    </row>
    <row r="4043" spans="1:19" x14ac:dyDescent="0.2">
      <c r="A4043">
        <v>4042</v>
      </c>
      <c r="B4043" s="1">
        <v>40837</v>
      </c>
      <c r="C4043" t="s">
        <v>24</v>
      </c>
      <c r="D4043" s="7">
        <v>99</v>
      </c>
      <c r="E4043" s="7">
        <v>15</v>
      </c>
      <c r="F4043" s="7">
        <f t="shared" si="63"/>
        <v>6</v>
      </c>
      <c r="G4043" s="7" t="str">
        <f>LOOKUP(H4043,[1]startdates!$A$2:$A$10,[1]startdates!$B$2:$B$10)</f>
        <v>SMr</v>
      </c>
      <c r="H4043">
        <v>1</v>
      </c>
      <c r="I4043" s="7">
        <v>623</v>
      </c>
      <c r="J4043" s="7">
        <v>576.79999999999995</v>
      </c>
      <c r="K4043" s="7">
        <v>413.4</v>
      </c>
      <c r="L4043" s="7">
        <v>438.5</v>
      </c>
      <c r="M4043" s="7">
        <v>324.8</v>
      </c>
      <c r="N4043" s="7">
        <v>207.4</v>
      </c>
      <c r="O4043" s="7">
        <v>161.69999999999999</v>
      </c>
      <c r="P4043" s="7">
        <v>499.2</v>
      </c>
      <c r="R4043" s="7">
        <v>252.8</v>
      </c>
      <c r="S4043" s="7">
        <v>280.7</v>
      </c>
    </row>
    <row r="4044" spans="1:19" x14ac:dyDescent="0.2">
      <c r="A4044">
        <v>4043</v>
      </c>
      <c r="B4044" s="1">
        <v>40837</v>
      </c>
      <c r="C4044" t="s">
        <v>24</v>
      </c>
      <c r="D4044" s="7">
        <v>99</v>
      </c>
      <c r="E4044" s="7">
        <v>15</v>
      </c>
      <c r="F4044" s="7">
        <f t="shared" si="63"/>
        <v>6</v>
      </c>
      <c r="G4044" s="7" t="str">
        <f>LOOKUP(H4044,[1]startdates!$A$2:$A$10,[1]startdates!$B$2:$B$10)</f>
        <v>SMr</v>
      </c>
      <c r="H4044">
        <v>1</v>
      </c>
      <c r="I4044" s="7">
        <v>606.70000000000005</v>
      </c>
      <c r="J4044" s="7">
        <v>572.79999999999995</v>
      </c>
      <c r="K4044" s="7">
        <v>582.20000000000005</v>
      </c>
      <c r="M4044" s="7">
        <v>280</v>
      </c>
      <c r="N4044" s="7">
        <v>226.7</v>
      </c>
      <c r="O4044" s="7">
        <v>167.5</v>
      </c>
    </row>
    <row r="4045" spans="1:19" x14ac:dyDescent="0.2">
      <c r="A4045">
        <v>4044</v>
      </c>
      <c r="B4045" s="1">
        <v>40837</v>
      </c>
      <c r="C4045" t="s">
        <v>24</v>
      </c>
      <c r="D4045" s="7">
        <v>99</v>
      </c>
      <c r="E4045" s="7">
        <v>15</v>
      </c>
      <c r="F4045" s="7">
        <f t="shared" si="63"/>
        <v>6</v>
      </c>
      <c r="G4045" s="7" t="str">
        <f>LOOKUP(H4045,[1]startdates!$A$2:$A$10,[1]startdates!$B$2:$B$10)</f>
        <v>SMr</v>
      </c>
      <c r="H4045">
        <v>1</v>
      </c>
      <c r="I4045" s="7">
        <v>666.5</v>
      </c>
      <c r="K4045" s="7">
        <v>575.6</v>
      </c>
      <c r="M4045" s="7">
        <v>368.2</v>
      </c>
      <c r="N4045" s="7">
        <v>223.6</v>
      </c>
      <c r="O4045" s="7">
        <v>179.3</v>
      </c>
    </row>
    <row r="4046" spans="1:19" x14ac:dyDescent="0.2">
      <c r="A4046">
        <v>4045</v>
      </c>
      <c r="B4046" s="1">
        <v>40837</v>
      </c>
      <c r="C4046" t="s">
        <v>24</v>
      </c>
      <c r="D4046" s="7">
        <v>99</v>
      </c>
      <c r="E4046" s="7">
        <v>15</v>
      </c>
      <c r="F4046" s="7">
        <f t="shared" si="63"/>
        <v>6</v>
      </c>
      <c r="G4046" s="7" t="str">
        <f>LOOKUP(H4046,[1]startdates!$A$2:$A$10,[1]startdates!$B$2:$B$10)</f>
        <v>SMr</v>
      </c>
      <c r="H4046">
        <v>1</v>
      </c>
      <c r="I4046" s="7">
        <v>547.29999999999995</v>
      </c>
      <c r="K4046" s="7">
        <v>462.6</v>
      </c>
      <c r="M4046" s="7">
        <v>293.2</v>
      </c>
      <c r="N4046" s="7">
        <v>210.4</v>
      </c>
      <c r="O4046" s="7">
        <v>209</v>
      </c>
    </row>
    <row r="4047" spans="1:19" x14ac:dyDescent="0.2">
      <c r="A4047">
        <v>4046</v>
      </c>
      <c r="B4047" s="1">
        <v>40837</v>
      </c>
      <c r="C4047" t="s">
        <v>24</v>
      </c>
      <c r="D4047" s="7">
        <v>99</v>
      </c>
      <c r="E4047" s="7">
        <v>15</v>
      </c>
      <c r="F4047" s="7">
        <f t="shared" si="63"/>
        <v>6</v>
      </c>
      <c r="G4047" s="7" t="str">
        <f>LOOKUP(H4047,[1]startdates!$A$2:$A$10,[1]startdates!$B$2:$B$10)</f>
        <v>SMr</v>
      </c>
      <c r="H4047">
        <v>1</v>
      </c>
      <c r="I4047" s="7">
        <v>599.5</v>
      </c>
      <c r="M4047" s="7">
        <v>267</v>
      </c>
      <c r="N4047" s="7">
        <v>232</v>
      </c>
      <c r="O4047" s="7">
        <v>173.1</v>
      </c>
    </row>
    <row r="4048" spans="1:19" x14ac:dyDescent="0.2">
      <c r="A4048">
        <v>4047</v>
      </c>
      <c r="B4048" s="1">
        <v>40837</v>
      </c>
      <c r="C4048" t="s">
        <v>24</v>
      </c>
      <c r="D4048" s="7">
        <v>99</v>
      </c>
      <c r="E4048" s="7">
        <v>15</v>
      </c>
      <c r="F4048" s="7">
        <f t="shared" si="63"/>
        <v>6</v>
      </c>
      <c r="G4048" s="7" t="str">
        <f>LOOKUP(H4048,[1]startdates!$A$2:$A$10,[1]startdates!$B$2:$B$10)</f>
        <v>SMr</v>
      </c>
      <c r="H4048">
        <v>1</v>
      </c>
      <c r="I4048" s="7">
        <v>690</v>
      </c>
      <c r="M4048" s="7">
        <v>302</v>
      </c>
      <c r="N4048" s="7">
        <v>178.1</v>
      </c>
      <c r="O4048" s="7">
        <v>152.1</v>
      </c>
    </row>
    <row r="4049" spans="1:19" x14ac:dyDescent="0.2">
      <c r="A4049">
        <v>4048</v>
      </c>
      <c r="B4049" s="1">
        <v>40837</v>
      </c>
      <c r="C4049" t="s">
        <v>24</v>
      </c>
      <c r="D4049" s="7">
        <v>99</v>
      </c>
      <c r="E4049" s="7">
        <v>15</v>
      </c>
      <c r="F4049" s="7">
        <f t="shared" si="63"/>
        <v>6</v>
      </c>
      <c r="G4049" s="7" t="str">
        <f>LOOKUP(H4049,[1]startdates!$A$2:$A$10,[1]startdates!$B$2:$B$10)</f>
        <v>SMr</v>
      </c>
      <c r="H4049">
        <v>1</v>
      </c>
      <c r="I4049" s="7">
        <v>648.70000000000005</v>
      </c>
      <c r="M4049" s="7">
        <v>268.8</v>
      </c>
      <c r="N4049" s="7">
        <v>208.1</v>
      </c>
      <c r="O4049" s="7">
        <v>168.2</v>
      </c>
    </row>
    <row r="4050" spans="1:19" x14ac:dyDescent="0.2">
      <c r="A4050">
        <v>4049</v>
      </c>
      <c r="B4050" s="1">
        <v>40837</v>
      </c>
      <c r="C4050" t="s">
        <v>24</v>
      </c>
      <c r="D4050" s="7">
        <v>99</v>
      </c>
      <c r="E4050" s="7">
        <v>15</v>
      </c>
      <c r="F4050" s="7">
        <f t="shared" si="63"/>
        <v>6</v>
      </c>
      <c r="G4050" s="7" t="str">
        <f>LOOKUP(H4050,[1]startdates!$A$2:$A$10,[1]startdates!$B$2:$B$10)</f>
        <v>SMr</v>
      </c>
      <c r="H4050">
        <v>1</v>
      </c>
      <c r="M4050" s="7">
        <v>296.89999999999998</v>
      </c>
      <c r="N4050" s="7">
        <v>219.6</v>
      </c>
      <c r="O4050" s="7">
        <v>176.9</v>
      </c>
    </row>
    <row r="4051" spans="1:19" x14ac:dyDescent="0.2">
      <c r="A4051">
        <v>4050</v>
      </c>
      <c r="B4051" s="1">
        <v>40837</v>
      </c>
      <c r="C4051" t="s">
        <v>24</v>
      </c>
      <c r="D4051" s="7">
        <v>99</v>
      </c>
      <c r="E4051" s="7">
        <v>15</v>
      </c>
      <c r="F4051" s="7">
        <f t="shared" si="63"/>
        <v>6</v>
      </c>
      <c r="G4051" s="7" t="str">
        <f>LOOKUP(H4051,[1]startdates!$A$2:$A$10,[1]startdates!$B$2:$B$10)</f>
        <v>SMr</v>
      </c>
      <c r="H4051">
        <v>1</v>
      </c>
      <c r="N4051" s="7">
        <v>198.8</v>
      </c>
      <c r="O4051" s="7">
        <v>191.1</v>
      </c>
    </row>
    <row r="4052" spans="1:19" x14ac:dyDescent="0.2">
      <c r="A4052">
        <v>4051</v>
      </c>
      <c r="B4052" s="1">
        <v>40837</v>
      </c>
      <c r="C4052" t="s">
        <v>24</v>
      </c>
      <c r="D4052" s="7">
        <v>99</v>
      </c>
      <c r="E4052" s="7">
        <v>15</v>
      </c>
      <c r="F4052" s="7">
        <f t="shared" si="63"/>
        <v>6</v>
      </c>
      <c r="G4052" s="7" t="str">
        <f>LOOKUP(H4052,[1]startdates!$A$2:$A$10,[1]startdates!$B$2:$B$10)</f>
        <v>SMr</v>
      </c>
      <c r="H4052">
        <v>1</v>
      </c>
      <c r="N4052" s="7">
        <v>206.3</v>
      </c>
      <c r="O4052" s="7">
        <v>153.80000000000001</v>
      </c>
    </row>
    <row r="4053" spans="1:19" x14ac:dyDescent="0.2">
      <c r="A4053">
        <v>4052</v>
      </c>
      <c r="B4053" s="1">
        <v>40837</v>
      </c>
      <c r="C4053" t="s">
        <v>24</v>
      </c>
      <c r="D4053" s="7">
        <v>99</v>
      </c>
      <c r="E4053" s="7">
        <v>15</v>
      </c>
      <c r="F4053" s="7">
        <f t="shared" si="63"/>
        <v>6</v>
      </c>
      <c r="G4053" s="7" t="str">
        <f>LOOKUP(H4053,[1]startdates!$A$2:$A$10,[1]startdates!$B$2:$B$10)</f>
        <v>SMr</v>
      </c>
      <c r="H4053">
        <v>1</v>
      </c>
      <c r="O4053" s="7">
        <v>167</v>
      </c>
    </row>
    <row r="4054" spans="1:19" x14ac:dyDescent="0.2">
      <c r="A4054">
        <v>4053</v>
      </c>
      <c r="B4054" s="1">
        <v>40837</v>
      </c>
      <c r="C4054" t="s">
        <v>24</v>
      </c>
      <c r="D4054" s="7">
        <v>99</v>
      </c>
      <c r="E4054" s="7">
        <v>15</v>
      </c>
      <c r="F4054" s="7">
        <f t="shared" si="63"/>
        <v>6</v>
      </c>
      <c r="G4054" s="7" t="str">
        <f>LOOKUP(H4054,[1]startdates!$A$2:$A$10,[1]startdates!$B$2:$B$10)</f>
        <v>SMr</v>
      </c>
      <c r="H4054">
        <v>2</v>
      </c>
      <c r="I4054" s="7">
        <v>640.20000000000005</v>
      </c>
      <c r="J4054" s="7">
        <v>571.9</v>
      </c>
      <c r="K4054" s="7">
        <v>509.2</v>
      </c>
      <c r="L4054" s="7">
        <v>371.5</v>
      </c>
      <c r="M4054" s="7">
        <v>343.7</v>
      </c>
      <c r="N4054" s="7">
        <v>210</v>
      </c>
      <c r="O4054" s="7">
        <v>190.9</v>
      </c>
      <c r="P4054" s="7">
        <v>442.1</v>
      </c>
      <c r="Q4054" s="7">
        <v>390.5</v>
      </c>
      <c r="R4054" s="7">
        <v>278.10000000000002</v>
      </c>
      <c r="S4054" s="7">
        <v>283.89999999999998</v>
      </c>
    </row>
    <row r="4055" spans="1:19" x14ac:dyDescent="0.2">
      <c r="A4055">
        <v>4054</v>
      </c>
      <c r="B4055" s="1">
        <v>40837</v>
      </c>
      <c r="C4055" t="s">
        <v>24</v>
      </c>
      <c r="D4055" s="7">
        <v>99</v>
      </c>
      <c r="E4055" s="7">
        <v>15</v>
      </c>
      <c r="F4055" s="7">
        <f t="shared" si="63"/>
        <v>6</v>
      </c>
      <c r="G4055" s="7" t="str">
        <f>LOOKUP(H4055,[1]startdates!$A$2:$A$10,[1]startdates!$B$2:$B$10)</f>
        <v>SMr</v>
      </c>
      <c r="H4055">
        <v>2</v>
      </c>
      <c r="I4055" s="7">
        <v>563.29999999999995</v>
      </c>
      <c r="J4055" s="7">
        <v>627.29999999999995</v>
      </c>
      <c r="K4055" s="7">
        <v>500.3</v>
      </c>
      <c r="L4055" s="7">
        <v>427</v>
      </c>
      <c r="M4055" s="7">
        <v>343.5</v>
      </c>
      <c r="N4055" s="7">
        <v>234</v>
      </c>
      <c r="O4055" s="7">
        <v>164.7</v>
      </c>
      <c r="Q4055" s="7">
        <v>347.4</v>
      </c>
      <c r="R4055" s="7">
        <v>232</v>
      </c>
      <c r="S4055" s="7">
        <v>242.2</v>
      </c>
    </row>
    <row r="4056" spans="1:19" x14ac:dyDescent="0.2">
      <c r="A4056">
        <v>4055</v>
      </c>
      <c r="B4056" s="1">
        <v>40837</v>
      </c>
      <c r="C4056" t="s">
        <v>24</v>
      </c>
      <c r="D4056" s="7">
        <v>99</v>
      </c>
      <c r="E4056" s="7">
        <v>15</v>
      </c>
      <c r="F4056" s="7">
        <f t="shared" si="63"/>
        <v>6</v>
      </c>
      <c r="G4056" s="7" t="str">
        <f>LOOKUP(H4056,[1]startdates!$A$2:$A$10,[1]startdates!$B$2:$B$10)</f>
        <v>SMr</v>
      </c>
      <c r="H4056">
        <v>2</v>
      </c>
      <c r="I4056" s="7">
        <v>530.4</v>
      </c>
      <c r="K4056" s="7">
        <v>461</v>
      </c>
      <c r="L4056" s="7">
        <v>412.5</v>
      </c>
      <c r="M4056" s="7">
        <v>318.3</v>
      </c>
      <c r="N4056" s="7">
        <v>237.5</v>
      </c>
      <c r="O4056" s="7">
        <v>171.3</v>
      </c>
      <c r="R4056" s="7">
        <v>326.2</v>
      </c>
    </row>
    <row r="4057" spans="1:19" x14ac:dyDescent="0.2">
      <c r="A4057">
        <v>4056</v>
      </c>
      <c r="B4057" s="1">
        <v>40837</v>
      </c>
      <c r="C4057" t="s">
        <v>24</v>
      </c>
      <c r="D4057" s="7">
        <v>99</v>
      </c>
      <c r="E4057" s="7">
        <v>15</v>
      </c>
      <c r="F4057" s="7">
        <f t="shared" si="63"/>
        <v>6</v>
      </c>
      <c r="G4057" s="7" t="str">
        <f>LOOKUP(H4057,[1]startdates!$A$2:$A$10,[1]startdates!$B$2:$B$10)</f>
        <v>SMr</v>
      </c>
      <c r="H4057">
        <v>2</v>
      </c>
      <c r="I4057" s="7">
        <v>569</v>
      </c>
      <c r="K4057" s="7">
        <v>467.6</v>
      </c>
      <c r="L4057" s="7">
        <v>462.9</v>
      </c>
      <c r="M4057" s="7">
        <v>359</v>
      </c>
      <c r="N4057" s="7">
        <v>204.9</v>
      </c>
      <c r="O4057" s="7">
        <v>182.8</v>
      </c>
      <c r="R4057" s="7">
        <v>250.4</v>
      </c>
    </row>
    <row r="4058" spans="1:19" x14ac:dyDescent="0.2">
      <c r="A4058">
        <v>4057</v>
      </c>
      <c r="B4058" s="1">
        <v>40837</v>
      </c>
      <c r="C4058" t="s">
        <v>24</v>
      </c>
      <c r="D4058" s="7">
        <v>99</v>
      </c>
      <c r="E4058" s="7">
        <v>15</v>
      </c>
      <c r="F4058" s="7">
        <f t="shared" si="63"/>
        <v>6</v>
      </c>
      <c r="G4058" s="7" t="str">
        <f>LOOKUP(H4058,[1]startdates!$A$2:$A$10,[1]startdates!$B$2:$B$10)</f>
        <v>SMr</v>
      </c>
      <c r="H4058">
        <v>2</v>
      </c>
      <c r="I4058" s="7">
        <v>593.6</v>
      </c>
      <c r="L4058" s="7">
        <v>455.4</v>
      </c>
      <c r="M4058" s="7">
        <v>287.60000000000002</v>
      </c>
      <c r="N4058" s="7">
        <v>242.7</v>
      </c>
      <c r="O4058" s="7">
        <v>159</v>
      </c>
      <c r="R4058" s="7">
        <v>217.7</v>
      </c>
    </row>
    <row r="4059" spans="1:19" x14ac:dyDescent="0.2">
      <c r="A4059">
        <v>4058</v>
      </c>
      <c r="B4059" s="1">
        <v>40837</v>
      </c>
      <c r="C4059" t="s">
        <v>24</v>
      </c>
      <c r="D4059" s="7">
        <v>99</v>
      </c>
      <c r="E4059" s="7">
        <v>15</v>
      </c>
      <c r="F4059" s="7">
        <f t="shared" si="63"/>
        <v>6</v>
      </c>
      <c r="G4059" s="7" t="str">
        <f>LOOKUP(H4059,[1]startdates!$A$2:$A$10,[1]startdates!$B$2:$B$10)</f>
        <v>SMr</v>
      </c>
      <c r="H4059">
        <v>2</v>
      </c>
      <c r="I4059" s="7">
        <v>560.79999999999995</v>
      </c>
      <c r="M4059" s="7">
        <v>338.8</v>
      </c>
      <c r="N4059" s="7">
        <v>217.2</v>
      </c>
      <c r="O4059" s="7">
        <v>182.2</v>
      </c>
    </row>
    <row r="4060" spans="1:19" x14ac:dyDescent="0.2">
      <c r="A4060">
        <v>4059</v>
      </c>
      <c r="B4060" s="1">
        <v>40837</v>
      </c>
      <c r="C4060" t="s">
        <v>24</v>
      </c>
      <c r="D4060" s="7">
        <v>99</v>
      </c>
      <c r="E4060" s="7">
        <v>15</v>
      </c>
      <c r="F4060" s="7">
        <f t="shared" si="63"/>
        <v>6</v>
      </c>
      <c r="G4060" s="7" t="str">
        <f>LOOKUP(H4060,[1]startdates!$A$2:$A$10,[1]startdates!$B$2:$B$10)</f>
        <v>SMr</v>
      </c>
      <c r="H4060">
        <v>2</v>
      </c>
      <c r="I4060" s="7">
        <v>690.4</v>
      </c>
      <c r="M4060" s="7">
        <v>367.6</v>
      </c>
      <c r="N4060" s="7">
        <v>241.6</v>
      </c>
      <c r="O4060" s="7">
        <v>136.69999999999999</v>
      </c>
    </row>
    <row r="4061" spans="1:19" x14ac:dyDescent="0.2">
      <c r="A4061">
        <v>4060</v>
      </c>
      <c r="B4061" s="1">
        <v>40837</v>
      </c>
      <c r="C4061" t="s">
        <v>24</v>
      </c>
      <c r="D4061" s="7">
        <v>99</v>
      </c>
      <c r="E4061" s="7">
        <v>15</v>
      </c>
      <c r="F4061" s="7">
        <f t="shared" si="63"/>
        <v>6</v>
      </c>
      <c r="G4061" s="7" t="str">
        <f>LOOKUP(H4061,[1]startdates!$A$2:$A$10,[1]startdates!$B$2:$B$10)</f>
        <v>SMr</v>
      </c>
      <c r="H4061">
        <v>2</v>
      </c>
      <c r="I4061" s="7">
        <v>593</v>
      </c>
      <c r="M4061" s="7">
        <v>338.8</v>
      </c>
      <c r="N4061" s="7">
        <v>210.8</v>
      </c>
      <c r="O4061" s="7">
        <v>186.4</v>
      </c>
    </row>
    <row r="4062" spans="1:19" x14ac:dyDescent="0.2">
      <c r="A4062">
        <v>4061</v>
      </c>
      <c r="B4062" s="1">
        <v>40837</v>
      </c>
      <c r="C4062" t="s">
        <v>24</v>
      </c>
      <c r="D4062" s="7">
        <v>99</v>
      </c>
      <c r="E4062" s="7">
        <v>15</v>
      </c>
      <c r="F4062" s="7">
        <f t="shared" si="63"/>
        <v>6</v>
      </c>
      <c r="G4062" s="7" t="str">
        <f>LOOKUP(H4062,[1]startdates!$A$2:$A$10,[1]startdates!$B$2:$B$10)</f>
        <v>SMr</v>
      </c>
      <c r="H4062">
        <v>2</v>
      </c>
      <c r="I4062" s="7">
        <v>642.20000000000005</v>
      </c>
      <c r="M4062" s="7">
        <v>324.39999999999998</v>
      </c>
      <c r="N4062" s="7">
        <v>244.1</v>
      </c>
      <c r="O4062" s="7">
        <v>182.8</v>
      </c>
    </row>
    <row r="4063" spans="1:19" x14ac:dyDescent="0.2">
      <c r="A4063">
        <v>4062</v>
      </c>
      <c r="B4063" s="1">
        <v>40837</v>
      </c>
      <c r="C4063" t="s">
        <v>24</v>
      </c>
      <c r="D4063" s="7">
        <v>99</v>
      </c>
      <c r="E4063" s="7">
        <v>15</v>
      </c>
      <c r="F4063" s="7">
        <f t="shared" si="63"/>
        <v>6</v>
      </c>
      <c r="G4063" s="7" t="str">
        <f>LOOKUP(H4063,[1]startdates!$A$2:$A$10,[1]startdates!$B$2:$B$10)</f>
        <v>SMr</v>
      </c>
      <c r="H4063">
        <v>2</v>
      </c>
      <c r="I4063" s="7">
        <v>619.79999999999995</v>
      </c>
      <c r="N4063" s="7">
        <v>242</v>
      </c>
      <c r="O4063" s="7">
        <v>162.69999999999999</v>
      </c>
    </row>
    <row r="4064" spans="1:19" x14ac:dyDescent="0.2">
      <c r="A4064">
        <v>4063</v>
      </c>
      <c r="B4064" s="1">
        <v>40837</v>
      </c>
      <c r="C4064" t="s">
        <v>24</v>
      </c>
      <c r="D4064" s="7">
        <v>99</v>
      </c>
      <c r="E4064" s="7">
        <v>15</v>
      </c>
      <c r="F4064" s="7">
        <f t="shared" si="63"/>
        <v>6</v>
      </c>
      <c r="G4064" s="7" t="str">
        <f>LOOKUP(H4064,[1]startdates!$A$2:$A$10,[1]startdates!$B$2:$B$10)</f>
        <v>SMr</v>
      </c>
      <c r="H4064">
        <v>2</v>
      </c>
      <c r="I4064" s="7">
        <v>633.1</v>
      </c>
      <c r="N4064" s="7">
        <v>230.4</v>
      </c>
      <c r="O4064" s="7">
        <v>216.8</v>
      </c>
    </row>
    <row r="4065" spans="1:19" x14ac:dyDescent="0.2">
      <c r="A4065">
        <v>4064</v>
      </c>
      <c r="B4065" s="1">
        <v>40837</v>
      </c>
      <c r="C4065" t="s">
        <v>24</v>
      </c>
      <c r="D4065" s="7">
        <v>99</v>
      </c>
      <c r="E4065" s="7">
        <v>15</v>
      </c>
      <c r="F4065" s="7">
        <f t="shared" si="63"/>
        <v>6</v>
      </c>
      <c r="G4065" s="7" t="str">
        <f>LOOKUP(H4065,[1]startdates!$A$2:$A$10,[1]startdates!$B$2:$B$10)</f>
        <v>SMr</v>
      </c>
      <c r="H4065">
        <v>2</v>
      </c>
      <c r="N4065" s="7">
        <v>177.7</v>
      </c>
      <c r="O4065" s="7">
        <v>162.4</v>
      </c>
    </row>
    <row r="4066" spans="1:19" x14ac:dyDescent="0.2">
      <c r="A4066">
        <v>4065</v>
      </c>
      <c r="B4066" s="1">
        <v>40837</v>
      </c>
      <c r="C4066" t="s">
        <v>28</v>
      </c>
      <c r="D4066" s="7">
        <v>99</v>
      </c>
      <c r="E4066" s="7">
        <v>15</v>
      </c>
      <c r="F4066" s="7">
        <f t="shared" si="63"/>
        <v>6</v>
      </c>
      <c r="G4066" s="7" t="str">
        <f>LOOKUP(H4066,[1]startdates!$A$2:$A$10,[1]startdates!$B$2:$B$10)</f>
        <v>C</v>
      </c>
      <c r="H4066">
        <v>3</v>
      </c>
      <c r="I4066" s="7">
        <v>511.5</v>
      </c>
      <c r="J4066" s="7">
        <v>551.70000000000005</v>
      </c>
      <c r="K4066" s="7">
        <v>531</v>
      </c>
      <c r="L4066" s="7">
        <v>402.2</v>
      </c>
      <c r="M4066" s="7">
        <v>393.1</v>
      </c>
      <c r="N4066" s="7">
        <v>191.4</v>
      </c>
      <c r="O4066" s="7">
        <v>171.5</v>
      </c>
      <c r="P4066" s="7">
        <v>427</v>
      </c>
      <c r="Q4066" s="7">
        <v>335.3</v>
      </c>
      <c r="S4066" s="7">
        <v>276.39999999999998</v>
      </c>
    </row>
    <row r="4067" spans="1:19" x14ac:dyDescent="0.2">
      <c r="A4067">
        <v>4066</v>
      </c>
      <c r="B4067" s="1">
        <v>40837</v>
      </c>
      <c r="C4067" t="s">
        <v>28</v>
      </c>
      <c r="D4067" s="7">
        <v>99</v>
      </c>
      <c r="E4067" s="7">
        <v>15</v>
      </c>
      <c r="F4067" s="7">
        <f t="shared" si="63"/>
        <v>6</v>
      </c>
      <c r="G4067" s="7" t="str">
        <f>LOOKUP(H4067,[1]startdates!$A$2:$A$10,[1]startdates!$B$2:$B$10)</f>
        <v>C</v>
      </c>
      <c r="H4067">
        <v>3</v>
      </c>
      <c r="I4067" s="7">
        <v>693.2</v>
      </c>
      <c r="K4067" s="7">
        <v>548.6</v>
      </c>
      <c r="L4067" s="7">
        <v>404.6</v>
      </c>
      <c r="M4067" s="7">
        <v>329.4</v>
      </c>
      <c r="N4067" s="7">
        <v>258.5</v>
      </c>
      <c r="O4067" s="7">
        <v>169.2</v>
      </c>
      <c r="P4067" s="7">
        <v>434</v>
      </c>
      <c r="Q4067" s="7">
        <v>318</v>
      </c>
    </row>
    <row r="4068" spans="1:19" x14ac:dyDescent="0.2">
      <c r="A4068">
        <v>4067</v>
      </c>
      <c r="B4068" s="1">
        <v>40837</v>
      </c>
      <c r="C4068" t="s">
        <v>28</v>
      </c>
      <c r="D4068" s="7">
        <v>99</v>
      </c>
      <c r="E4068" s="7">
        <v>15</v>
      </c>
      <c r="F4068" s="7">
        <f t="shared" si="63"/>
        <v>6</v>
      </c>
      <c r="G4068" s="7" t="str">
        <f>LOOKUP(H4068,[1]startdates!$A$2:$A$10,[1]startdates!$B$2:$B$10)</f>
        <v>C</v>
      </c>
      <c r="H4068">
        <v>3</v>
      </c>
      <c r="I4068" s="7">
        <v>668.1</v>
      </c>
      <c r="K4068" s="7">
        <v>560.79999999999995</v>
      </c>
      <c r="L4068" s="7">
        <v>408.7</v>
      </c>
      <c r="M4068" s="7">
        <v>327.7</v>
      </c>
      <c r="N4068" s="7">
        <v>193.7</v>
      </c>
      <c r="O4068" s="7">
        <v>147.69999999999999</v>
      </c>
      <c r="Q4068" s="7">
        <v>321.5</v>
      </c>
    </row>
    <row r="4069" spans="1:19" x14ac:dyDescent="0.2">
      <c r="A4069">
        <v>4068</v>
      </c>
      <c r="B4069" s="1">
        <v>40837</v>
      </c>
      <c r="C4069" t="s">
        <v>28</v>
      </c>
      <c r="D4069" s="7">
        <v>99</v>
      </c>
      <c r="E4069" s="7">
        <v>15</v>
      </c>
      <c r="F4069" s="7">
        <f t="shared" si="63"/>
        <v>6</v>
      </c>
      <c r="G4069" s="7" t="str">
        <f>LOOKUP(H4069,[1]startdates!$A$2:$A$10,[1]startdates!$B$2:$B$10)</f>
        <v>C</v>
      </c>
      <c r="H4069">
        <v>3</v>
      </c>
      <c r="I4069" s="7">
        <v>650.79999999999995</v>
      </c>
      <c r="K4069" s="7">
        <v>576.9</v>
      </c>
      <c r="L4069" s="7">
        <v>402</v>
      </c>
      <c r="M4069" s="7">
        <v>314.7</v>
      </c>
      <c r="N4069" s="7">
        <v>202.8</v>
      </c>
      <c r="O4069" s="7">
        <v>169.5</v>
      </c>
    </row>
    <row r="4070" spans="1:19" x14ac:dyDescent="0.2">
      <c r="A4070">
        <v>4069</v>
      </c>
      <c r="B4070" s="1">
        <v>40837</v>
      </c>
      <c r="C4070" t="s">
        <v>28</v>
      </c>
      <c r="D4070" s="7">
        <v>99</v>
      </c>
      <c r="E4070" s="7">
        <v>15</v>
      </c>
      <c r="F4070" s="7">
        <f t="shared" si="63"/>
        <v>6</v>
      </c>
      <c r="G4070" s="7" t="str">
        <f>LOOKUP(H4070,[1]startdates!$A$2:$A$10,[1]startdates!$B$2:$B$10)</f>
        <v>C</v>
      </c>
      <c r="H4070">
        <v>3</v>
      </c>
      <c r="I4070" s="7">
        <v>613.79999999999995</v>
      </c>
      <c r="K4070" s="7">
        <v>535.5</v>
      </c>
      <c r="L4070" s="7">
        <v>420.6</v>
      </c>
      <c r="M4070" s="7">
        <v>262</v>
      </c>
      <c r="N4070" s="7">
        <v>249.2</v>
      </c>
      <c r="O4070" s="7">
        <v>172.9</v>
      </c>
    </row>
    <row r="4071" spans="1:19" x14ac:dyDescent="0.2">
      <c r="A4071">
        <v>4070</v>
      </c>
      <c r="B4071" s="1">
        <v>40837</v>
      </c>
      <c r="C4071" t="s">
        <v>28</v>
      </c>
      <c r="D4071" s="7">
        <v>99</v>
      </c>
      <c r="E4071" s="7">
        <v>15</v>
      </c>
      <c r="F4071" s="7">
        <f t="shared" si="63"/>
        <v>6</v>
      </c>
      <c r="G4071" s="7" t="str">
        <f>LOOKUP(H4071,[1]startdates!$A$2:$A$10,[1]startdates!$B$2:$B$10)</f>
        <v>C</v>
      </c>
      <c r="H4071">
        <v>3</v>
      </c>
      <c r="I4071" s="7">
        <v>554.6</v>
      </c>
      <c r="K4071" s="7">
        <v>569.5</v>
      </c>
      <c r="M4071" s="7">
        <v>348.9</v>
      </c>
      <c r="N4071" s="7">
        <v>214.4</v>
      </c>
      <c r="O4071" s="7">
        <v>173.3</v>
      </c>
    </row>
    <row r="4072" spans="1:19" x14ac:dyDescent="0.2">
      <c r="A4072">
        <v>4071</v>
      </c>
      <c r="B4072" s="1">
        <v>40837</v>
      </c>
      <c r="C4072" t="s">
        <v>28</v>
      </c>
      <c r="D4072" s="7">
        <v>99</v>
      </c>
      <c r="E4072" s="7">
        <v>15</v>
      </c>
      <c r="F4072" s="7">
        <f t="shared" si="63"/>
        <v>6</v>
      </c>
      <c r="G4072" s="7" t="str">
        <f>LOOKUP(H4072,[1]startdates!$A$2:$A$10,[1]startdates!$B$2:$B$10)</f>
        <v>C</v>
      </c>
      <c r="H4072">
        <v>3</v>
      </c>
      <c r="I4072" s="7">
        <v>568.5</v>
      </c>
      <c r="K4072" s="7">
        <v>493.7</v>
      </c>
      <c r="M4072" s="7">
        <v>297.39999999999998</v>
      </c>
      <c r="N4072" s="7">
        <v>239.3</v>
      </c>
      <c r="O4072" s="7">
        <v>145.9</v>
      </c>
    </row>
    <row r="4073" spans="1:19" x14ac:dyDescent="0.2">
      <c r="A4073">
        <v>4072</v>
      </c>
      <c r="B4073" s="1">
        <v>40837</v>
      </c>
      <c r="C4073" t="s">
        <v>28</v>
      </c>
      <c r="D4073" s="7">
        <v>99</v>
      </c>
      <c r="E4073" s="7">
        <v>15</v>
      </c>
      <c r="F4073" s="7">
        <f t="shared" ref="F4073:F4136" si="64">WEEKDAY(B4073)</f>
        <v>6</v>
      </c>
      <c r="G4073" s="7" t="str">
        <f>LOOKUP(H4073,[1]startdates!$A$2:$A$10,[1]startdates!$B$2:$B$10)</f>
        <v>C</v>
      </c>
      <c r="H4073">
        <v>3</v>
      </c>
      <c r="I4073" s="7">
        <v>538.1</v>
      </c>
      <c r="M4073" s="7">
        <v>357.4</v>
      </c>
      <c r="N4073" s="7">
        <v>200.2</v>
      </c>
      <c r="O4073" s="7">
        <v>157.4</v>
      </c>
    </row>
    <row r="4074" spans="1:19" x14ac:dyDescent="0.2">
      <c r="A4074">
        <v>4073</v>
      </c>
      <c r="B4074" s="1">
        <v>40837</v>
      </c>
      <c r="C4074" t="s">
        <v>28</v>
      </c>
      <c r="D4074" s="7">
        <v>99</v>
      </c>
      <c r="E4074" s="7">
        <v>15</v>
      </c>
      <c r="F4074" s="7">
        <f t="shared" si="64"/>
        <v>6</v>
      </c>
      <c r="G4074" s="7" t="str">
        <f>LOOKUP(H4074,[1]startdates!$A$2:$A$10,[1]startdates!$B$2:$B$10)</f>
        <v>C</v>
      </c>
      <c r="H4074">
        <v>3</v>
      </c>
      <c r="I4074" s="7">
        <v>500.1</v>
      </c>
      <c r="M4074" s="7">
        <v>317.7</v>
      </c>
      <c r="N4074" s="7">
        <v>206</v>
      </c>
      <c r="O4074" s="7">
        <v>162</v>
      </c>
    </row>
    <row r="4075" spans="1:19" x14ac:dyDescent="0.2">
      <c r="A4075">
        <v>4074</v>
      </c>
      <c r="B4075" s="1">
        <v>40837</v>
      </c>
      <c r="C4075" t="s">
        <v>28</v>
      </c>
      <c r="D4075" s="7">
        <v>99</v>
      </c>
      <c r="E4075" s="7">
        <v>15</v>
      </c>
      <c r="F4075" s="7">
        <f t="shared" si="64"/>
        <v>6</v>
      </c>
      <c r="G4075" s="7" t="str">
        <f>LOOKUP(H4075,[1]startdates!$A$2:$A$10,[1]startdates!$B$2:$B$10)</f>
        <v>C</v>
      </c>
      <c r="H4075">
        <v>3</v>
      </c>
      <c r="I4075" s="7">
        <v>530.29999999999995</v>
      </c>
      <c r="M4075" s="7">
        <v>352.5</v>
      </c>
      <c r="N4075" s="7">
        <v>202.6</v>
      </c>
      <c r="O4075" s="7">
        <v>183.8</v>
      </c>
    </row>
    <row r="4076" spans="1:19" x14ac:dyDescent="0.2">
      <c r="A4076">
        <v>4075</v>
      </c>
      <c r="B4076" s="1">
        <v>40837</v>
      </c>
      <c r="C4076" t="s">
        <v>28</v>
      </c>
      <c r="D4076" s="7">
        <v>99</v>
      </c>
      <c r="E4076" s="7">
        <v>15</v>
      </c>
      <c r="F4076" s="7">
        <f t="shared" si="64"/>
        <v>6</v>
      </c>
      <c r="G4076" s="7" t="str">
        <f>LOOKUP(H4076,[1]startdates!$A$2:$A$10,[1]startdates!$B$2:$B$10)</f>
        <v>C</v>
      </c>
      <c r="H4076">
        <v>3</v>
      </c>
      <c r="I4076" s="7">
        <v>620.20000000000005</v>
      </c>
      <c r="M4076" s="7">
        <v>306.3</v>
      </c>
    </row>
    <row r="4077" spans="1:19" x14ac:dyDescent="0.2">
      <c r="A4077">
        <v>4076</v>
      </c>
      <c r="B4077" s="1">
        <v>40837</v>
      </c>
      <c r="C4077" t="s">
        <v>28</v>
      </c>
      <c r="D4077" s="7">
        <v>99</v>
      </c>
      <c r="E4077" s="7">
        <v>15</v>
      </c>
      <c r="F4077" s="7">
        <f t="shared" si="64"/>
        <v>6</v>
      </c>
      <c r="G4077" s="7" t="str">
        <f>LOOKUP(H4077,[1]startdates!$A$2:$A$10,[1]startdates!$B$2:$B$10)</f>
        <v>C</v>
      </c>
      <c r="H4077">
        <v>3</v>
      </c>
      <c r="M4077" s="7">
        <v>376.4</v>
      </c>
    </row>
    <row r="4078" spans="1:19" x14ac:dyDescent="0.2">
      <c r="A4078">
        <v>4077</v>
      </c>
      <c r="B4078" s="1">
        <v>40837</v>
      </c>
      <c r="C4078" t="s">
        <v>28</v>
      </c>
      <c r="D4078" s="7">
        <v>99</v>
      </c>
      <c r="E4078" s="7">
        <v>15</v>
      </c>
      <c r="F4078" s="7">
        <f t="shared" si="64"/>
        <v>6</v>
      </c>
      <c r="G4078" s="7" t="str">
        <f>LOOKUP(H4078,[1]startdates!$A$2:$A$10,[1]startdates!$B$2:$B$10)</f>
        <v>C</v>
      </c>
      <c r="H4078">
        <v>3</v>
      </c>
      <c r="M4078" s="7">
        <v>316.60000000000002</v>
      </c>
    </row>
    <row r="4079" spans="1:19" x14ac:dyDescent="0.2">
      <c r="A4079">
        <v>4078</v>
      </c>
      <c r="B4079" s="1">
        <v>40837</v>
      </c>
      <c r="C4079" t="s">
        <v>28</v>
      </c>
      <c r="D4079" s="7">
        <v>99</v>
      </c>
      <c r="E4079" s="7">
        <v>15</v>
      </c>
      <c r="F4079" s="7">
        <f t="shared" si="64"/>
        <v>6</v>
      </c>
      <c r="G4079" s="7" t="str">
        <f>LOOKUP(H4079,[1]startdates!$A$2:$A$10,[1]startdates!$B$2:$B$10)</f>
        <v>SMr</v>
      </c>
      <c r="H4079">
        <v>4</v>
      </c>
      <c r="I4079" s="7">
        <v>591.29999999999995</v>
      </c>
      <c r="J4079" s="7">
        <v>508.1</v>
      </c>
      <c r="K4079" s="7">
        <v>590</v>
      </c>
      <c r="L4079" s="7">
        <v>440.6</v>
      </c>
      <c r="M4079" s="7">
        <v>339.4</v>
      </c>
      <c r="N4079" s="7">
        <v>241.2</v>
      </c>
      <c r="O4079" s="7">
        <v>178.2</v>
      </c>
      <c r="P4079" s="7">
        <v>401.5</v>
      </c>
      <c r="Q4079" s="7">
        <v>373.5</v>
      </c>
      <c r="R4079" s="7">
        <v>224.9</v>
      </c>
      <c r="S4079" s="7">
        <v>256.5</v>
      </c>
    </row>
    <row r="4080" spans="1:19" x14ac:dyDescent="0.2">
      <c r="A4080">
        <v>4079</v>
      </c>
      <c r="B4080" s="1">
        <v>40837</v>
      </c>
      <c r="C4080" t="s">
        <v>28</v>
      </c>
      <c r="D4080" s="7">
        <v>99</v>
      </c>
      <c r="E4080" s="7">
        <v>15</v>
      </c>
      <c r="F4080" s="7">
        <f t="shared" si="64"/>
        <v>6</v>
      </c>
      <c r="G4080" s="7" t="str">
        <f>LOOKUP(H4080,[1]startdates!$A$2:$A$10,[1]startdates!$B$2:$B$10)</f>
        <v>SMr</v>
      </c>
      <c r="H4080">
        <v>4</v>
      </c>
      <c r="I4080" s="7">
        <v>633.5</v>
      </c>
      <c r="K4080" s="7">
        <v>486</v>
      </c>
      <c r="L4080" s="7">
        <v>406.1</v>
      </c>
      <c r="M4080" s="7">
        <v>331.5</v>
      </c>
      <c r="N4080" s="7">
        <v>232.1</v>
      </c>
      <c r="O4080" s="7">
        <v>144.69999999999999</v>
      </c>
      <c r="Q4080" s="7">
        <v>336.1</v>
      </c>
      <c r="R4080" s="7">
        <v>255.2</v>
      </c>
    </row>
    <row r="4081" spans="1:19" x14ac:dyDescent="0.2">
      <c r="A4081">
        <v>4080</v>
      </c>
      <c r="B4081" s="1">
        <v>40837</v>
      </c>
      <c r="C4081" t="s">
        <v>28</v>
      </c>
      <c r="D4081" s="7">
        <v>99</v>
      </c>
      <c r="E4081" s="7">
        <v>15</v>
      </c>
      <c r="F4081" s="7">
        <f t="shared" si="64"/>
        <v>6</v>
      </c>
      <c r="G4081" s="7" t="str">
        <f>LOOKUP(H4081,[1]startdates!$A$2:$A$10,[1]startdates!$B$2:$B$10)</f>
        <v>SMr</v>
      </c>
      <c r="H4081">
        <v>4</v>
      </c>
      <c r="I4081" s="7">
        <v>650.29999999999995</v>
      </c>
      <c r="K4081" s="7">
        <v>430.9</v>
      </c>
      <c r="L4081" s="7">
        <v>448.5</v>
      </c>
      <c r="M4081" s="7">
        <v>301.89999999999998</v>
      </c>
      <c r="N4081" s="7">
        <v>286.7</v>
      </c>
      <c r="O4081" s="7">
        <v>165.5</v>
      </c>
      <c r="R4081" s="7">
        <v>228.2</v>
      </c>
    </row>
    <row r="4082" spans="1:19" x14ac:dyDescent="0.2">
      <c r="A4082">
        <v>4081</v>
      </c>
      <c r="B4082" s="1">
        <v>40837</v>
      </c>
      <c r="C4082" t="s">
        <v>28</v>
      </c>
      <c r="D4082" s="7">
        <v>99</v>
      </c>
      <c r="E4082" s="7">
        <v>15</v>
      </c>
      <c r="F4082" s="7">
        <f t="shared" si="64"/>
        <v>6</v>
      </c>
      <c r="G4082" s="7" t="str">
        <f>LOOKUP(H4082,[1]startdates!$A$2:$A$10,[1]startdates!$B$2:$B$10)</f>
        <v>SMr</v>
      </c>
      <c r="H4082">
        <v>4</v>
      </c>
      <c r="I4082" s="7">
        <v>552.4</v>
      </c>
      <c r="K4082" s="7">
        <v>535.1</v>
      </c>
      <c r="L4082" s="7">
        <v>462.8</v>
      </c>
      <c r="M4082" s="7">
        <v>325.89999999999998</v>
      </c>
      <c r="N4082" s="7">
        <v>209.3</v>
      </c>
      <c r="O4082" s="7">
        <v>160.4</v>
      </c>
    </row>
    <row r="4083" spans="1:19" x14ac:dyDescent="0.2">
      <c r="A4083">
        <v>4082</v>
      </c>
      <c r="B4083" s="1">
        <v>40837</v>
      </c>
      <c r="C4083" t="s">
        <v>28</v>
      </c>
      <c r="D4083" s="7">
        <v>99</v>
      </c>
      <c r="E4083" s="7">
        <v>15</v>
      </c>
      <c r="F4083" s="7">
        <f t="shared" si="64"/>
        <v>6</v>
      </c>
      <c r="G4083" s="7" t="str">
        <f>LOOKUP(H4083,[1]startdates!$A$2:$A$10,[1]startdates!$B$2:$B$10)</f>
        <v>SMr</v>
      </c>
      <c r="H4083">
        <v>4</v>
      </c>
      <c r="I4083" s="7">
        <v>497.8</v>
      </c>
      <c r="K4083" s="7">
        <v>535.70000000000005</v>
      </c>
      <c r="M4083" s="7">
        <v>323.3</v>
      </c>
      <c r="N4083" s="7">
        <v>182.8</v>
      </c>
      <c r="O4083" s="7">
        <v>182.8</v>
      </c>
    </row>
    <row r="4084" spans="1:19" x14ac:dyDescent="0.2">
      <c r="A4084">
        <v>4083</v>
      </c>
      <c r="B4084" s="1">
        <v>40837</v>
      </c>
      <c r="C4084" t="s">
        <v>28</v>
      </c>
      <c r="D4084" s="7">
        <v>99</v>
      </c>
      <c r="E4084" s="7">
        <v>15</v>
      </c>
      <c r="F4084" s="7">
        <f t="shared" si="64"/>
        <v>6</v>
      </c>
      <c r="G4084" s="7" t="str">
        <f>LOOKUP(H4084,[1]startdates!$A$2:$A$10,[1]startdates!$B$2:$B$10)</f>
        <v>SMr</v>
      </c>
      <c r="H4084">
        <v>4</v>
      </c>
      <c r="I4084" s="7">
        <v>516.29999999999995</v>
      </c>
      <c r="K4084" s="7">
        <v>474.5</v>
      </c>
      <c r="M4084" s="7">
        <v>280.39999999999998</v>
      </c>
      <c r="N4084" s="7">
        <v>207.3</v>
      </c>
      <c r="O4084" s="7">
        <v>179.8</v>
      </c>
    </row>
    <row r="4085" spans="1:19" x14ac:dyDescent="0.2">
      <c r="A4085">
        <v>4084</v>
      </c>
      <c r="B4085" s="1">
        <v>40837</v>
      </c>
      <c r="C4085" t="s">
        <v>28</v>
      </c>
      <c r="D4085" s="7">
        <v>99</v>
      </c>
      <c r="E4085" s="7">
        <v>15</v>
      </c>
      <c r="F4085" s="7">
        <f t="shared" si="64"/>
        <v>6</v>
      </c>
      <c r="G4085" s="7" t="str">
        <f>LOOKUP(H4085,[1]startdates!$A$2:$A$10,[1]startdates!$B$2:$B$10)</f>
        <v>SMr</v>
      </c>
      <c r="H4085">
        <v>4</v>
      </c>
      <c r="I4085" s="7">
        <v>534.20000000000005</v>
      </c>
      <c r="M4085" s="7">
        <v>294.3</v>
      </c>
      <c r="N4085" s="7">
        <v>191.3</v>
      </c>
      <c r="O4085" s="7">
        <v>177.1</v>
      </c>
    </row>
    <row r="4086" spans="1:19" x14ac:dyDescent="0.2">
      <c r="A4086">
        <v>4085</v>
      </c>
      <c r="B4086" s="1">
        <v>40837</v>
      </c>
      <c r="C4086" t="s">
        <v>28</v>
      </c>
      <c r="D4086" s="7">
        <v>99</v>
      </c>
      <c r="E4086" s="7">
        <v>15</v>
      </c>
      <c r="F4086" s="7">
        <f t="shared" si="64"/>
        <v>6</v>
      </c>
      <c r="G4086" s="7" t="str">
        <f>LOOKUP(H4086,[1]startdates!$A$2:$A$10,[1]startdates!$B$2:$B$10)</f>
        <v>SMr</v>
      </c>
      <c r="H4086">
        <v>4</v>
      </c>
      <c r="I4086" s="7">
        <v>621.20000000000005</v>
      </c>
      <c r="M4086" s="7">
        <v>334.4</v>
      </c>
      <c r="N4086" s="7">
        <v>255.3</v>
      </c>
      <c r="O4086" s="7">
        <v>186.3</v>
      </c>
    </row>
    <row r="4087" spans="1:19" x14ac:dyDescent="0.2">
      <c r="A4087">
        <v>4086</v>
      </c>
      <c r="B4087" s="1">
        <v>40837</v>
      </c>
      <c r="C4087" t="s">
        <v>28</v>
      </c>
      <c r="D4087" s="7">
        <v>99</v>
      </c>
      <c r="E4087" s="7">
        <v>15</v>
      </c>
      <c r="F4087" s="7">
        <f t="shared" si="64"/>
        <v>6</v>
      </c>
      <c r="G4087" s="7" t="str">
        <f>LOOKUP(H4087,[1]startdates!$A$2:$A$10,[1]startdates!$B$2:$B$10)</f>
        <v>SMr</v>
      </c>
      <c r="H4087">
        <v>4</v>
      </c>
      <c r="I4087" s="7">
        <v>575</v>
      </c>
      <c r="M4087" s="7">
        <v>283.3</v>
      </c>
      <c r="N4087" s="7">
        <v>222.9</v>
      </c>
      <c r="O4087" s="7">
        <v>164.2</v>
      </c>
    </row>
    <row r="4088" spans="1:19" x14ac:dyDescent="0.2">
      <c r="A4088">
        <v>4087</v>
      </c>
      <c r="B4088" s="1">
        <v>40837</v>
      </c>
      <c r="C4088" t="s">
        <v>28</v>
      </c>
      <c r="D4088" s="7">
        <v>99</v>
      </c>
      <c r="E4088" s="7">
        <v>15</v>
      </c>
      <c r="F4088" s="7">
        <f t="shared" si="64"/>
        <v>6</v>
      </c>
      <c r="G4088" s="7" t="str">
        <f>LOOKUP(H4088,[1]startdates!$A$2:$A$10,[1]startdates!$B$2:$B$10)</f>
        <v>SMr</v>
      </c>
      <c r="H4088">
        <v>4</v>
      </c>
      <c r="I4088" s="7">
        <v>609.70000000000005</v>
      </c>
      <c r="M4088" s="7">
        <v>298.2</v>
      </c>
      <c r="N4088" s="7">
        <v>238.7</v>
      </c>
      <c r="O4088" s="7">
        <v>164.7</v>
      </c>
    </row>
    <row r="4089" spans="1:19" x14ac:dyDescent="0.2">
      <c r="A4089">
        <v>4088</v>
      </c>
      <c r="B4089" s="1">
        <v>40837</v>
      </c>
      <c r="C4089" t="s">
        <v>28</v>
      </c>
      <c r="D4089" s="7">
        <v>99</v>
      </c>
      <c r="E4089" s="7">
        <v>15</v>
      </c>
      <c r="F4089" s="7">
        <f t="shared" si="64"/>
        <v>6</v>
      </c>
      <c r="G4089" s="7" t="str">
        <f>LOOKUP(H4089,[1]startdates!$A$2:$A$10,[1]startdates!$B$2:$B$10)</f>
        <v>SMr</v>
      </c>
      <c r="H4089">
        <v>4</v>
      </c>
      <c r="I4089" s="7">
        <v>550.29999999999995</v>
      </c>
      <c r="M4089" s="7">
        <v>351</v>
      </c>
    </row>
    <row r="4090" spans="1:19" x14ac:dyDescent="0.2">
      <c r="A4090">
        <v>4089</v>
      </c>
      <c r="B4090" s="1">
        <v>40837</v>
      </c>
      <c r="C4090" t="s">
        <v>28</v>
      </c>
      <c r="D4090" s="7">
        <v>99</v>
      </c>
      <c r="E4090" s="7">
        <v>15</v>
      </c>
      <c r="F4090" s="7">
        <f t="shared" si="64"/>
        <v>6</v>
      </c>
      <c r="G4090" s="7" t="str">
        <f>LOOKUP(H4090,[1]startdates!$A$2:$A$10,[1]startdates!$B$2:$B$10)</f>
        <v>SMr</v>
      </c>
      <c r="H4090">
        <v>4</v>
      </c>
      <c r="I4090" s="7">
        <v>616.9</v>
      </c>
      <c r="M4090" s="7">
        <v>326.2</v>
      </c>
    </row>
    <row r="4091" spans="1:19" x14ac:dyDescent="0.2">
      <c r="A4091">
        <v>4090</v>
      </c>
      <c r="B4091" s="1">
        <v>40837</v>
      </c>
      <c r="C4091" t="s">
        <v>28</v>
      </c>
      <c r="D4091" s="7">
        <v>99</v>
      </c>
      <c r="E4091" s="7">
        <v>15</v>
      </c>
      <c r="F4091" s="7">
        <f t="shared" si="64"/>
        <v>6</v>
      </c>
      <c r="G4091" s="7" t="str">
        <f>LOOKUP(H4091,[1]startdates!$A$2:$A$10,[1]startdates!$B$2:$B$10)</f>
        <v>SMr</v>
      </c>
      <c r="H4091">
        <v>4</v>
      </c>
      <c r="I4091" s="7">
        <v>512.9</v>
      </c>
      <c r="M4091" s="7">
        <v>299.89999999999998</v>
      </c>
    </row>
    <row r="4092" spans="1:19" x14ac:dyDescent="0.2">
      <c r="A4092">
        <v>4091</v>
      </c>
      <c r="B4092" s="1">
        <v>40837</v>
      </c>
      <c r="C4092" t="s">
        <v>28</v>
      </c>
      <c r="D4092" s="7">
        <v>99</v>
      </c>
      <c r="E4092" s="7">
        <v>15</v>
      </c>
      <c r="F4092" s="7">
        <f t="shared" si="64"/>
        <v>6</v>
      </c>
      <c r="G4092" s="7" t="str">
        <f>LOOKUP(H4092,[1]startdates!$A$2:$A$10,[1]startdates!$B$2:$B$10)</f>
        <v>SMr</v>
      </c>
      <c r="H4092">
        <v>4</v>
      </c>
      <c r="I4092" s="7">
        <v>531.29999999999995</v>
      </c>
    </row>
    <row r="4093" spans="1:19" x14ac:dyDescent="0.2">
      <c r="A4093">
        <v>4092</v>
      </c>
      <c r="B4093" s="1">
        <v>40837</v>
      </c>
      <c r="C4093" t="s">
        <v>28</v>
      </c>
      <c r="D4093" s="7">
        <v>99</v>
      </c>
      <c r="E4093" s="7">
        <v>15</v>
      </c>
      <c r="F4093" s="7">
        <f t="shared" si="64"/>
        <v>6</v>
      </c>
      <c r="G4093" s="7" t="str">
        <f>LOOKUP(H4093,[1]startdates!$A$2:$A$10,[1]startdates!$B$2:$B$10)</f>
        <v>C</v>
      </c>
      <c r="H4093">
        <v>5</v>
      </c>
      <c r="I4093" s="7">
        <v>602.70000000000005</v>
      </c>
      <c r="J4093" s="7">
        <v>539.1</v>
      </c>
      <c r="K4093" s="7">
        <v>497.5</v>
      </c>
      <c r="L4093" s="7">
        <v>438.4</v>
      </c>
      <c r="M4093" s="7">
        <v>329.2</v>
      </c>
      <c r="N4093" s="7">
        <v>191.6</v>
      </c>
      <c r="O4093" s="7">
        <v>174.6</v>
      </c>
      <c r="P4093" s="7">
        <v>429.7</v>
      </c>
      <c r="Q4093" s="7">
        <v>311.60000000000002</v>
      </c>
      <c r="R4093" s="7">
        <v>245.8</v>
      </c>
      <c r="S4093" s="7">
        <v>227.7</v>
      </c>
    </row>
    <row r="4094" spans="1:19" x14ac:dyDescent="0.2">
      <c r="A4094">
        <v>4093</v>
      </c>
      <c r="B4094" s="1">
        <v>40837</v>
      </c>
      <c r="C4094" t="s">
        <v>28</v>
      </c>
      <c r="D4094" s="7">
        <v>99</v>
      </c>
      <c r="E4094" s="7">
        <v>15</v>
      </c>
      <c r="F4094" s="7">
        <f t="shared" si="64"/>
        <v>6</v>
      </c>
      <c r="G4094" s="7" t="str">
        <f>LOOKUP(H4094,[1]startdates!$A$2:$A$10,[1]startdates!$B$2:$B$10)</f>
        <v>C</v>
      </c>
      <c r="H4094">
        <v>5</v>
      </c>
      <c r="I4094" s="7">
        <v>586.29999999999995</v>
      </c>
      <c r="J4094" s="7">
        <v>562.20000000000005</v>
      </c>
      <c r="K4094" s="7">
        <v>507.6</v>
      </c>
      <c r="L4094" s="7">
        <v>400.2</v>
      </c>
      <c r="M4094" s="7">
        <v>300.2</v>
      </c>
      <c r="N4094" s="7">
        <v>205.1</v>
      </c>
      <c r="O4094" s="7">
        <v>164.2</v>
      </c>
      <c r="Q4094" s="7">
        <v>337.9</v>
      </c>
    </row>
    <row r="4095" spans="1:19" x14ac:dyDescent="0.2">
      <c r="A4095">
        <v>4094</v>
      </c>
      <c r="B4095" s="1">
        <v>40837</v>
      </c>
      <c r="C4095" t="s">
        <v>28</v>
      </c>
      <c r="D4095" s="7">
        <v>99</v>
      </c>
      <c r="E4095" s="7">
        <v>15</v>
      </c>
      <c r="F4095" s="7">
        <f t="shared" si="64"/>
        <v>6</v>
      </c>
      <c r="G4095" s="7" t="str">
        <f>LOOKUP(H4095,[1]startdates!$A$2:$A$10,[1]startdates!$B$2:$B$10)</f>
        <v>C</v>
      </c>
      <c r="H4095">
        <v>5</v>
      </c>
      <c r="I4095" s="7">
        <v>480</v>
      </c>
      <c r="K4095" s="7">
        <v>541.4</v>
      </c>
      <c r="L4095" s="7">
        <v>404.7</v>
      </c>
      <c r="M4095" s="7">
        <v>310.10000000000002</v>
      </c>
      <c r="N4095" s="7">
        <v>201.1</v>
      </c>
      <c r="O4095" s="7">
        <v>164.2</v>
      </c>
    </row>
    <row r="4096" spans="1:19" x14ac:dyDescent="0.2">
      <c r="A4096">
        <v>4095</v>
      </c>
      <c r="B4096" s="1">
        <v>40837</v>
      </c>
      <c r="C4096" t="s">
        <v>28</v>
      </c>
      <c r="D4096" s="7">
        <v>99</v>
      </c>
      <c r="E4096" s="7">
        <v>15</v>
      </c>
      <c r="F4096" s="7">
        <f t="shared" si="64"/>
        <v>6</v>
      </c>
      <c r="G4096" s="7" t="str">
        <f>LOOKUP(H4096,[1]startdates!$A$2:$A$10,[1]startdates!$B$2:$B$10)</f>
        <v>C</v>
      </c>
      <c r="H4096">
        <v>5</v>
      </c>
      <c r="I4096" s="7">
        <v>507.8</v>
      </c>
      <c r="K4096" s="7">
        <v>505.8</v>
      </c>
      <c r="L4096" s="7">
        <v>417.7</v>
      </c>
      <c r="M4096" s="7">
        <v>270</v>
      </c>
      <c r="N4096" s="7">
        <v>258.60000000000002</v>
      </c>
      <c r="O4096" s="7">
        <v>158.1</v>
      </c>
    </row>
    <row r="4097" spans="1:15" x14ac:dyDescent="0.2">
      <c r="A4097">
        <v>4096</v>
      </c>
      <c r="B4097" s="1">
        <v>40837</v>
      </c>
      <c r="C4097" t="s">
        <v>28</v>
      </c>
      <c r="D4097" s="7">
        <v>99</v>
      </c>
      <c r="E4097" s="7">
        <v>15</v>
      </c>
      <c r="F4097" s="7">
        <f t="shared" si="64"/>
        <v>6</v>
      </c>
      <c r="G4097" s="7" t="str">
        <f>LOOKUP(H4097,[1]startdates!$A$2:$A$10,[1]startdates!$B$2:$B$10)</f>
        <v>C</v>
      </c>
      <c r="H4097">
        <v>5</v>
      </c>
      <c r="I4097" s="7">
        <v>531.20000000000005</v>
      </c>
      <c r="K4097" s="7">
        <v>527.6</v>
      </c>
      <c r="L4097" s="7">
        <v>448.3</v>
      </c>
      <c r="M4097" s="7">
        <v>337.9</v>
      </c>
      <c r="N4097" s="7">
        <v>181.3</v>
      </c>
      <c r="O4097" s="7">
        <v>143</v>
      </c>
    </row>
    <row r="4098" spans="1:15" x14ac:dyDescent="0.2">
      <c r="A4098">
        <v>4097</v>
      </c>
      <c r="B4098" s="1">
        <v>40837</v>
      </c>
      <c r="C4098" t="s">
        <v>28</v>
      </c>
      <c r="D4098" s="7">
        <v>99</v>
      </c>
      <c r="E4098" s="7">
        <v>15</v>
      </c>
      <c r="F4098" s="7">
        <f t="shared" si="64"/>
        <v>6</v>
      </c>
      <c r="G4098" s="7" t="str">
        <f>LOOKUP(H4098,[1]startdates!$A$2:$A$10,[1]startdates!$B$2:$B$10)</f>
        <v>C</v>
      </c>
      <c r="H4098">
        <v>5</v>
      </c>
      <c r="I4098" s="7">
        <v>523</v>
      </c>
      <c r="K4098" s="7">
        <v>574.9</v>
      </c>
      <c r="L4098" s="7">
        <v>418.8</v>
      </c>
      <c r="M4098" s="7">
        <v>375.8</v>
      </c>
      <c r="N4098" s="7">
        <v>206.2</v>
      </c>
      <c r="O4098" s="7">
        <v>144</v>
      </c>
    </row>
    <row r="4099" spans="1:15" x14ac:dyDescent="0.2">
      <c r="A4099">
        <v>4098</v>
      </c>
      <c r="B4099" s="1">
        <v>40837</v>
      </c>
      <c r="C4099" t="s">
        <v>28</v>
      </c>
      <c r="D4099" s="7">
        <v>99</v>
      </c>
      <c r="E4099" s="7">
        <v>15</v>
      </c>
      <c r="F4099" s="7">
        <f t="shared" si="64"/>
        <v>6</v>
      </c>
      <c r="G4099" s="7" t="str">
        <f>LOOKUP(H4099,[1]startdates!$A$2:$A$10,[1]startdates!$B$2:$B$10)</f>
        <v>C</v>
      </c>
      <c r="H4099">
        <v>5</v>
      </c>
      <c r="I4099" s="7">
        <v>596.4</v>
      </c>
      <c r="K4099" s="7">
        <v>518.29999999999995</v>
      </c>
      <c r="L4099" s="7">
        <v>414</v>
      </c>
      <c r="M4099" s="7">
        <v>347.3</v>
      </c>
      <c r="N4099" s="7">
        <v>207.8</v>
      </c>
      <c r="O4099" s="7">
        <v>188.5</v>
      </c>
    </row>
    <row r="4100" spans="1:15" x14ac:dyDescent="0.2">
      <c r="A4100">
        <v>4099</v>
      </c>
      <c r="B4100" s="1">
        <v>40837</v>
      </c>
      <c r="C4100" t="s">
        <v>28</v>
      </c>
      <c r="D4100" s="7">
        <v>99</v>
      </c>
      <c r="E4100" s="7">
        <v>15</v>
      </c>
      <c r="F4100" s="7">
        <f t="shared" si="64"/>
        <v>6</v>
      </c>
      <c r="G4100" s="7" t="str">
        <f>LOOKUP(H4100,[1]startdates!$A$2:$A$10,[1]startdates!$B$2:$B$10)</f>
        <v>C</v>
      </c>
      <c r="H4100">
        <v>5</v>
      </c>
      <c r="I4100" s="7">
        <v>577.70000000000005</v>
      </c>
      <c r="K4100" s="7">
        <v>505.8</v>
      </c>
      <c r="L4100" s="7">
        <v>404.7</v>
      </c>
      <c r="M4100" s="7">
        <v>341.2</v>
      </c>
      <c r="N4100" s="7">
        <v>207.4</v>
      </c>
      <c r="O4100" s="7">
        <v>156.30000000000001</v>
      </c>
    </row>
    <row r="4101" spans="1:15" x14ac:dyDescent="0.2">
      <c r="A4101">
        <v>4100</v>
      </c>
      <c r="B4101" s="1">
        <v>40837</v>
      </c>
      <c r="C4101" t="s">
        <v>28</v>
      </c>
      <c r="D4101" s="7">
        <v>99</v>
      </c>
      <c r="E4101" s="7">
        <v>15</v>
      </c>
      <c r="F4101" s="7">
        <f t="shared" si="64"/>
        <v>6</v>
      </c>
      <c r="G4101" s="7" t="str">
        <f>LOOKUP(H4101,[1]startdates!$A$2:$A$10,[1]startdates!$B$2:$B$10)</f>
        <v>C</v>
      </c>
      <c r="H4101">
        <v>5</v>
      </c>
      <c r="I4101" s="7">
        <v>475.9</v>
      </c>
      <c r="K4101" s="7">
        <v>602.6</v>
      </c>
      <c r="L4101" s="7">
        <v>417.7</v>
      </c>
      <c r="M4101" s="7">
        <v>337.9</v>
      </c>
      <c r="N4101" s="7">
        <v>173.7</v>
      </c>
      <c r="O4101" s="7">
        <v>150.19999999999999</v>
      </c>
    </row>
    <row r="4102" spans="1:15" x14ac:dyDescent="0.2">
      <c r="A4102">
        <v>4101</v>
      </c>
      <c r="B4102" s="1">
        <v>40837</v>
      </c>
      <c r="C4102" t="s">
        <v>28</v>
      </c>
      <c r="D4102" s="7">
        <v>99</v>
      </c>
      <c r="E4102" s="7">
        <v>15</v>
      </c>
      <c r="F4102" s="7">
        <f t="shared" si="64"/>
        <v>6</v>
      </c>
      <c r="G4102" s="7" t="str">
        <f>LOOKUP(H4102,[1]startdates!$A$2:$A$10,[1]startdates!$B$2:$B$10)</f>
        <v>C</v>
      </c>
      <c r="H4102">
        <v>5</v>
      </c>
      <c r="I4102" s="7">
        <v>596.4</v>
      </c>
      <c r="K4102" s="7">
        <v>516.5</v>
      </c>
      <c r="L4102" s="7">
        <v>448.3</v>
      </c>
      <c r="N4102" s="7">
        <v>192.9</v>
      </c>
      <c r="O4102" s="7">
        <v>168</v>
      </c>
    </row>
    <row r="4103" spans="1:15" x14ac:dyDescent="0.2">
      <c r="A4103">
        <v>4102</v>
      </c>
      <c r="B4103" s="1">
        <v>40837</v>
      </c>
      <c r="C4103" t="s">
        <v>28</v>
      </c>
      <c r="D4103" s="7">
        <v>99</v>
      </c>
      <c r="E4103" s="7">
        <v>15</v>
      </c>
      <c r="F4103" s="7">
        <f t="shared" si="64"/>
        <v>6</v>
      </c>
      <c r="G4103" s="7" t="str">
        <f>LOOKUP(H4103,[1]startdates!$A$2:$A$10,[1]startdates!$B$2:$B$10)</f>
        <v>C</v>
      </c>
      <c r="H4103">
        <v>5</v>
      </c>
      <c r="I4103" s="7">
        <v>535.1</v>
      </c>
      <c r="N4103" s="7">
        <v>259.8</v>
      </c>
      <c r="O4103" s="7">
        <v>156.19999999999999</v>
      </c>
    </row>
    <row r="4104" spans="1:15" x14ac:dyDescent="0.2">
      <c r="A4104">
        <v>4103</v>
      </c>
      <c r="B4104" s="1">
        <v>40837</v>
      </c>
      <c r="C4104" t="s">
        <v>28</v>
      </c>
      <c r="D4104" s="7">
        <v>99</v>
      </c>
      <c r="E4104" s="7">
        <v>15</v>
      </c>
      <c r="F4104" s="7">
        <f t="shared" si="64"/>
        <v>6</v>
      </c>
      <c r="G4104" s="7" t="str">
        <f>LOOKUP(H4104,[1]startdates!$A$2:$A$10,[1]startdates!$B$2:$B$10)</f>
        <v>C</v>
      </c>
      <c r="H4104">
        <v>5</v>
      </c>
      <c r="I4104" s="7">
        <v>631.9</v>
      </c>
      <c r="N4104" s="7">
        <v>269</v>
      </c>
      <c r="O4104" s="7">
        <v>150.19999999999999</v>
      </c>
    </row>
    <row r="4105" spans="1:15" x14ac:dyDescent="0.2">
      <c r="A4105">
        <v>4104</v>
      </c>
      <c r="B4105" s="1">
        <v>40837</v>
      </c>
      <c r="C4105" t="s">
        <v>28</v>
      </c>
      <c r="D4105" s="7">
        <v>99</v>
      </c>
      <c r="E4105" s="7">
        <v>15</v>
      </c>
      <c r="F4105" s="7">
        <f t="shared" si="64"/>
        <v>6</v>
      </c>
      <c r="G4105" s="7" t="str">
        <f>LOOKUP(H4105,[1]startdates!$A$2:$A$10,[1]startdates!$B$2:$B$10)</f>
        <v>C</v>
      </c>
      <c r="H4105">
        <v>5</v>
      </c>
      <c r="I4105" s="7">
        <v>588.4</v>
      </c>
      <c r="O4105" s="7">
        <v>168</v>
      </c>
    </row>
    <row r="4106" spans="1:15" x14ac:dyDescent="0.2">
      <c r="A4106">
        <v>4105</v>
      </c>
      <c r="B4106" s="1">
        <v>40837</v>
      </c>
      <c r="C4106" t="s">
        <v>28</v>
      </c>
      <c r="D4106" s="7">
        <v>99</v>
      </c>
      <c r="E4106" s="7">
        <v>15</v>
      </c>
      <c r="F4106" s="7">
        <f t="shared" si="64"/>
        <v>6</v>
      </c>
      <c r="G4106" s="7" t="str">
        <f>LOOKUP(H4106,[1]startdates!$A$2:$A$10,[1]startdates!$B$2:$B$10)</f>
        <v>C</v>
      </c>
      <c r="H4106">
        <v>5</v>
      </c>
      <c r="I4106" s="7">
        <v>601.9</v>
      </c>
      <c r="O4106" s="7">
        <v>156.19999999999999</v>
      </c>
    </row>
    <row r="4107" spans="1:15" x14ac:dyDescent="0.2">
      <c r="A4107">
        <v>4106</v>
      </c>
      <c r="B4107" s="1">
        <v>40837</v>
      </c>
      <c r="C4107" t="s">
        <v>28</v>
      </c>
      <c r="D4107" s="7">
        <v>99</v>
      </c>
      <c r="E4107" s="7">
        <v>15</v>
      </c>
      <c r="F4107" s="7">
        <f t="shared" si="64"/>
        <v>6</v>
      </c>
      <c r="G4107" s="7" t="str">
        <f>LOOKUP(H4107,[1]startdates!$A$2:$A$10,[1]startdates!$B$2:$B$10)</f>
        <v>C</v>
      </c>
      <c r="H4107">
        <v>5</v>
      </c>
      <c r="I4107" s="7">
        <v>577.9</v>
      </c>
    </row>
    <row r="4108" spans="1:15" x14ac:dyDescent="0.2">
      <c r="A4108">
        <v>4107</v>
      </c>
      <c r="B4108" s="1">
        <v>40837</v>
      </c>
      <c r="C4108" t="s">
        <v>28</v>
      </c>
      <c r="D4108" s="7">
        <v>99</v>
      </c>
      <c r="E4108" s="7">
        <v>15</v>
      </c>
      <c r="F4108" s="7">
        <f t="shared" si="64"/>
        <v>6</v>
      </c>
      <c r="G4108" s="7" t="str">
        <f>LOOKUP(H4108,[1]startdates!$A$2:$A$10,[1]startdates!$B$2:$B$10)</f>
        <v>C</v>
      </c>
      <c r="H4108">
        <v>5</v>
      </c>
      <c r="I4108" s="7">
        <v>582.20000000000005</v>
      </c>
    </row>
    <row r="4109" spans="1:15" x14ac:dyDescent="0.2">
      <c r="A4109">
        <v>4108</v>
      </c>
      <c r="B4109" s="1">
        <v>40837</v>
      </c>
      <c r="C4109" t="s">
        <v>28</v>
      </c>
      <c r="D4109" s="7">
        <v>99</v>
      </c>
      <c r="E4109" s="7">
        <v>15</v>
      </c>
      <c r="F4109" s="7">
        <f t="shared" si="64"/>
        <v>6</v>
      </c>
      <c r="G4109" s="7" t="str">
        <f>LOOKUP(H4109,[1]startdates!$A$2:$A$10,[1]startdates!$B$2:$B$10)</f>
        <v>C</v>
      </c>
      <c r="H4109">
        <v>5</v>
      </c>
      <c r="I4109" s="7">
        <v>577.70000000000005</v>
      </c>
    </row>
    <row r="4110" spans="1:15" x14ac:dyDescent="0.2">
      <c r="A4110">
        <v>4109</v>
      </c>
      <c r="B4110" s="1">
        <v>40837</v>
      </c>
      <c r="C4110" t="s">
        <v>28</v>
      </c>
      <c r="D4110" s="7">
        <v>99</v>
      </c>
      <c r="E4110" s="7">
        <v>15</v>
      </c>
      <c r="F4110" s="7">
        <f t="shared" si="64"/>
        <v>6</v>
      </c>
      <c r="G4110" s="7" t="str">
        <f>LOOKUP(H4110,[1]startdates!$A$2:$A$10,[1]startdates!$B$2:$B$10)</f>
        <v>C</v>
      </c>
      <c r="H4110">
        <v>5</v>
      </c>
      <c r="I4110" s="7">
        <v>475.9</v>
      </c>
    </row>
    <row r="4111" spans="1:15" x14ac:dyDescent="0.2">
      <c r="A4111">
        <v>4110</v>
      </c>
      <c r="B4111" s="1">
        <v>40837</v>
      </c>
      <c r="C4111" t="s">
        <v>28</v>
      </c>
      <c r="D4111" s="7">
        <v>99</v>
      </c>
      <c r="E4111" s="7">
        <v>15</v>
      </c>
      <c r="F4111" s="7">
        <f t="shared" si="64"/>
        <v>6</v>
      </c>
      <c r="G4111" s="7" t="str">
        <f>LOOKUP(H4111,[1]startdates!$A$2:$A$10,[1]startdates!$B$2:$B$10)</f>
        <v>C</v>
      </c>
      <c r="H4111">
        <v>5</v>
      </c>
      <c r="I4111" s="7">
        <v>596.4</v>
      </c>
    </row>
    <row r="4112" spans="1:15" x14ac:dyDescent="0.2">
      <c r="A4112">
        <v>4111</v>
      </c>
      <c r="B4112" s="1">
        <v>40837</v>
      </c>
      <c r="C4112" t="s">
        <v>28</v>
      </c>
      <c r="D4112" s="7">
        <v>99</v>
      </c>
      <c r="E4112" s="7">
        <v>15</v>
      </c>
      <c r="F4112" s="7">
        <f t="shared" si="64"/>
        <v>6</v>
      </c>
      <c r="G4112" s="7" t="str">
        <f>LOOKUP(H4112,[1]startdates!$A$2:$A$10,[1]startdates!$B$2:$B$10)</f>
        <v>C</v>
      </c>
      <c r="H4112">
        <v>5</v>
      </c>
      <c r="I4112" s="7">
        <v>535.1</v>
      </c>
    </row>
    <row r="4113" spans="1:19" x14ac:dyDescent="0.2">
      <c r="A4113">
        <v>4112</v>
      </c>
      <c r="B4113" s="1">
        <v>40837</v>
      </c>
      <c r="C4113" t="s">
        <v>28</v>
      </c>
      <c r="D4113" s="7">
        <v>99</v>
      </c>
      <c r="E4113" s="7">
        <v>15</v>
      </c>
      <c r="F4113" s="7">
        <f t="shared" si="64"/>
        <v>6</v>
      </c>
      <c r="G4113" s="7" t="str">
        <f>LOOKUP(H4113,[1]startdates!$A$2:$A$10,[1]startdates!$B$2:$B$10)</f>
        <v>C</v>
      </c>
      <c r="H4113">
        <v>5</v>
      </c>
      <c r="I4113" s="7">
        <v>631.9</v>
      </c>
    </row>
    <row r="4114" spans="1:19" x14ac:dyDescent="0.2">
      <c r="A4114">
        <v>4113</v>
      </c>
      <c r="B4114" s="1">
        <v>40837</v>
      </c>
      <c r="C4114" t="s">
        <v>28</v>
      </c>
      <c r="D4114" s="7">
        <v>99</v>
      </c>
      <c r="E4114" s="7">
        <v>15</v>
      </c>
      <c r="F4114" s="7">
        <f t="shared" si="64"/>
        <v>6</v>
      </c>
      <c r="G4114" s="7" t="str">
        <f>LOOKUP(H4114,[1]startdates!$A$2:$A$10,[1]startdates!$B$2:$B$10)</f>
        <v>FMr</v>
      </c>
      <c r="H4114">
        <v>6</v>
      </c>
      <c r="I4114" s="7">
        <v>537.1</v>
      </c>
      <c r="J4114" s="7">
        <v>551.6</v>
      </c>
      <c r="K4114" s="7">
        <v>490.7</v>
      </c>
      <c r="L4114" s="7">
        <v>423.7</v>
      </c>
      <c r="M4114" s="7">
        <v>351.7</v>
      </c>
      <c r="N4114" s="7">
        <v>298.3</v>
      </c>
      <c r="O4114" s="7">
        <v>164.4</v>
      </c>
      <c r="P4114" s="7">
        <v>454.5</v>
      </c>
      <c r="Q4114" s="7">
        <v>392.4</v>
      </c>
      <c r="S4114" s="7">
        <v>254.5</v>
      </c>
    </row>
    <row r="4115" spans="1:19" x14ac:dyDescent="0.2">
      <c r="A4115">
        <v>4114</v>
      </c>
      <c r="B4115" s="1">
        <v>40837</v>
      </c>
      <c r="C4115" t="s">
        <v>28</v>
      </c>
      <c r="D4115" s="7">
        <v>99</v>
      </c>
      <c r="E4115" s="7">
        <v>15</v>
      </c>
      <c r="F4115" s="7">
        <f t="shared" si="64"/>
        <v>6</v>
      </c>
      <c r="G4115" s="7" t="str">
        <f>LOOKUP(H4115,[1]startdates!$A$2:$A$10,[1]startdates!$B$2:$B$10)</f>
        <v>FMr</v>
      </c>
      <c r="H4115">
        <v>6</v>
      </c>
      <c r="I4115" s="7">
        <v>639.79999999999995</v>
      </c>
      <c r="K4115" s="7">
        <v>505.5</v>
      </c>
      <c r="L4115" s="7">
        <v>438.9</v>
      </c>
      <c r="M4115" s="7">
        <v>331.5</v>
      </c>
      <c r="N4115" s="7">
        <v>251.3</v>
      </c>
      <c r="O4115" s="7">
        <v>178.1</v>
      </c>
      <c r="P4115" s="7">
        <v>467.9</v>
      </c>
      <c r="Q4115" s="7">
        <v>396.9</v>
      </c>
      <c r="S4115" s="7">
        <v>233.1</v>
      </c>
    </row>
    <row r="4116" spans="1:19" x14ac:dyDescent="0.2">
      <c r="A4116">
        <v>4115</v>
      </c>
      <c r="B4116" s="1">
        <v>40837</v>
      </c>
      <c r="C4116" t="s">
        <v>28</v>
      </c>
      <c r="D4116" s="7">
        <v>99</v>
      </c>
      <c r="E4116" s="7">
        <v>15</v>
      </c>
      <c r="F4116" s="7">
        <f t="shared" si="64"/>
        <v>6</v>
      </c>
      <c r="G4116" s="7" t="str">
        <f>LOOKUP(H4116,[1]startdates!$A$2:$A$10,[1]startdates!$B$2:$B$10)</f>
        <v>FMr</v>
      </c>
      <c r="H4116">
        <v>6</v>
      </c>
      <c r="I4116" s="7">
        <v>524.70000000000005</v>
      </c>
      <c r="K4116" s="7">
        <v>534.5</v>
      </c>
      <c r="L4116" s="7">
        <v>387.4</v>
      </c>
      <c r="M4116" s="7">
        <v>328.4</v>
      </c>
      <c r="N4116" s="7">
        <v>283.3</v>
      </c>
      <c r="O4116" s="7">
        <v>161.4</v>
      </c>
    </row>
    <row r="4117" spans="1:19" x14ac:dyDescent="0.2">
      <c r="A4117">
        <v>4116</v>
      </c>
      <c r="B4117" s="1">
        <v>40837</v>
      </c>
      <c r="C4117" t="s">
        <v>28</v>
      </c>
      <c r="D4117" s="7">
        <v>99</v>
      </c>
      <c r="E4117" s="7">
        <v>15</v>
      </c>
      <c r="F4117" s="7">
        <f t="shared" si="64"/>
        <v>6</v>
      </c>
      <c r="G4117" s="7" t="str">
        <f>LOOKUP(H4117,[1]startdates!$A$2:$A$10,[1]startdates!$B$2:$B$10)</f>
        <v>FMr</v>
      </c>
      <c r="H4117">
        <v>6</v>
      </c>
      <c r="I4117" s="7">
        <v>634.79999999999995</v>
      </c>
      <c r="K4117" s="7">
        <v>415</v>
      </c>
      <c r="L4117" s="7">
        <v>473.3</v>
      </c>
      <c r="M4117" s="7">
        <v>371.9</v>
      </c>
      <c r="N4117" s="7">
        <v>264.5</v>
      </c>
      <c r="O4117" s="7">
        <v>170</v>
      </c>
    </row>
    <row r="4118" spans="1:19" x14ac:dyDescent="0.2">
      <c r="A4118">
        <v>4117</v>
      </c>
      <c r="B4118" s="1">
        <v>40837</v>
      </c>
      <c r="C4118" t="s">
        <v>28</v>
      </c>
      <c r="D4118" s="7">
        <v>99</v>
      </c>
      <c r="E4118" s="7">
        <v>15</v>
      </c>
      <c r="F4118" s="7">
        <f t="shared" si="64"/>
        <v>6</v>
      </c>
      <c r="G4118" s="7" t="str">
        <f>LOOKUP(H4118,[1]startdates!$A$2:$A$10,[1]startdates!$B$2:$B$10)</f>
        <v>FMr</v>
      </c>
      <c r="H4118">
        <v>6</v>
      </c>
      <c r="I4118" s="7">
        <v>466.3</v>
      </c>
      <c r="K4118" s="7">
        <v>428.1</v>
      </c>
      <c r="L4118" s="7">
        <v>408.7</v>
      </c>
      <c r="M4118" s="7">
        <v>386.2</v>
      </c>
      <c r="N4118" s="7">
        <v>214.3</v>
      </c>
      <c r="O4118" s="7">
        <v>168.2</v>
      </c>
    </row>
    <row r="4119" spans="1:19" x14ac:dyDescent="0.2">
      <c r="A4119">
        <v>4118</v>
      </c>
      <c r="B4119" s="1">
        <v>40837</v>
      </c>
      <c r="C4119" t="s">
        <v>28</v>
      </c>
      <c r="D4119" s="7">
        <v>99</v>
      </c>
      <c r="E4119" s="7">
        <v>15</v>
      </c>
      <c r="F4119" s="7">
        <f t="shared" si="64"/>
        <v>6</v>
      </c>
      <c r="G4119" s="7" t="str">
        <f>LOOKUP(H4119,[1]startdates!$A$2:$A$10,[1]startdates!$B$2:$B$10)</f>
        <v>FMr</v>
      </c>
      <c r="H4119">
        <v>6</v>
      </c>
      <c r="I4119" s="7">
        <v>599.29999999999995</v>
      </c>
      <c r="K4119" s="7">
        <v>481.4</v>
      </c>
      <c r="L4119" s="7">
        <v>445.7</v>
      </c>
      <c r="M4119" s="7">
        <v>386.9</v>
      </c>
      <c r="N4119" s="7">
        <v>266.7</v>
      </c>
      <c r="O4119" s="7">
        <v>156.30000000000001</v>
      </c>
    </row>
    <row r="4120" spans="1:19" x14ac:dyDescent="0.2">
      <c r="A4120">
        <v>4119</v>
      </c>
      <c r="B4120" s="1">
        <v>40837</v>
      </c>
      <c r="C4120" t="s">
        <v>28</v>
      </c>
      <c r="D4120" s="7">
        <v>99</v>
      </c>
      <c r="E4120" s="7">
        <v>15</v>
      </c>
      <c r="F4120" s="7">
        <f t="shared" si="64"/>
        <v>6</v>
      </c>
      <c r="G4120" s="7" t="str">
        <f>LOOKUP(H4120,[1]startdates!$A$2:$A$10,[1]startdates!$B$2:$B$10)</f>
        <v>FMr</v>
      </c>
      <c r="H4120">
        <v>6</v>
      </c>
      <c r="I4120" s="7">
        <v>555.20000000000005</v>
      </c>
      <c r="M4120" s="7">
        <v>349</v>
      </c>
      <c r="N4120" s="7">
        <v>201.4</v>
      </c>
      <c r="O4120" s="7">
        <v>167</v>
      </c>
    </row>
    <row r="4121" spans="1:19" x14ac:dyDescent="0.2">
      <c r="A4121">
        <v>4120</v>
      </c>
      <c r="B4121" s="1">
        <v>40837</v>
      </c>
      <c r="C4121" t="s">
        <v>28</v>
      </c>
      <c r="D4121" s="7">
        <v>99</v>
      </c>
      <c r="E4121" s="7">
        <v>15</v>
      </c>
      <c r="F4121" s="7">
        <f t="shared" si="64"/>
        <v>6</v>
      </c>
      <c r="G4121" s="7" t="str">
        <f>LOOKUP(H4121,[1]startdates!$A$2:$A$10,[1]startdates!$B$2:$B$10)</f>
        <v>FMr</v>
      </c>
      <c r="H4121">
        <v>6</v>
      </c>
      <c r="I4121" s="7">
        <v>484.3</v>
      </c>
      <c r="M4121" s="7">
        <v>372.8</v>
      </c>
      <c r="N4121" s="7">
        <v>232.9</v>
      </c>
      <c r="O4121" s="7">
        <v>159.80000000000001</v>
      </c>
    </row>
    <row r="4122" spans="1:19" x14ac:dyDescent="0.2">
      <c r="A4122">
        <v>4121</v>
      </c>
      <c r="B4122" s="1">
        <v>40837</v>
      </c>
      <c r="C4122" t="s">
        <v>28</v>
      </c>
      <c r="D4122" s="7">
        <v>99</v>
      </c>
      <c r="E4122" s="7">
        <v>15</v>
      </c>
      <c r="F4122" s="7">
        <f t="shared" si="64"/>
        <v>6</v>
      </c>
      <c r="G4122" s="7" t="str">
        <f>LOOKUP(H4122,[1]startdates!$A$2:$A$10,[1]startdates!$B$2:$B$10)</f>
        <v>FMr</v>
      </c>
      <c r="H4122">
        <v>6</v>
      </c>
      <c r="I4122" s="7">
        <v>516.79999999999995</v>
      </c>
      <c r="M4122" s="7">
        <v>358.3</v>
      </c>
      <c r="N4122" s="7">
        <v>179.5</v>
      </c>
      <c r="O4122" s="7">
        <v>155.30000000000001</v>
      </c>
    </row>
    <row r="4123" spans="1:19" x14ac:dyDescent="0.2">
      <c r="A4123">
        <v>4122</v>
      </c>
      <c r="B4123" s="1">
        <v>40837</v>
      </c>
      <c r="C4123" t="s">
        <v>28</v>
      </c>
      <c r="D4123" s="7">
        <v>99</v>
      </c>
      <c r="E4123" s="7">
        <v>15</v>
      </c>
      <c r="F4123" s="7">
        <f t="shared" si="64"/>
        <v>6</v>
      </c>
      <c r="G4123" s="7" t="str">
        <f>LOOKUP(H4123,[1]startdates!$A$2:$A$10,[1]startdates!$B$2:$B$10)</f>
        <v>FMr</v>
      </c>
      <c r="H4123">
        <v>6</v>
      </c>
      <c r="I4123" s="7">
        <v>492</v>
      </c>
      <c r="M4123" s="7">
        <v>291.3</v>
      </c>
      <c r="N4123" s="7">
        <v>228.2</v>
      </c>
      <c r="O4123" s="7">
        <v>159.5</v>
      </c>
    </row>
    <row r="4124" spans="1:19" x14ac:dyDescent="0.2">
      <c r="A4124">
        <v>4123</v>
      </c>
      <c r="B4124" s="1">
        <v>40837</v>
      </c>
      <c r="C4124" t="s">
        <v>28</v>
      </c>
      <c r="D4124" s="7">
        <v>99</v>
      </c>
      <c r="E4124" s="7">
        <v>15</v>
      </c>
      <c r="F4124" s="7">
        <f t="shared" si="64"/>
        <v>6</v>
      </c>
      <c r="G4124" s="7" t="str">
        <f>LOOKUP(H4124,[1]startdates!$A$2:$A$10,[1]startdates!$B$2:$B$10)</f>
        <v>FMr</v>
      </c>
      <c r="H4124">
        <v>6</v>
      </c>
      <c r="I4124" s="7">
        <v>540.79999999999995</v>
      </c>
      <c r="M4124" s="7">
        <v>381.8</v>
      </c>
      <c r="N4124" s="7">
        <v>211</v>
      </c>
    </row>
    <row r="4125" spans="1:19" x14ac:dyDescent="0.2">
      <c r="A4125">
        <v>4124</v>
      </c>
      <c r="B4125" s="1">
        <v>40837</v>
      </c>
      <c r="C4125" t="s">
        <v>28</v>
      </c>
      <c r="D4125" s="7">
        <v>99</v>
      </c>
      <c r="E4125" s="7">
        <v>15</v>
      </c>
      <c r="F4125" s="7">
        <f t="shared" si="64"/>
        <v>6</v>
      </c>
      <c r="G4125" s="7" t="str">
        <f>LOOKUP(H4125,[1]startdates!$A$2:$A$10,[1]startdates!$B$2:$B$10)</f>
        <v>FMr</v>
      </c>
      <c r="H4125">
        <v>6</v>
      </c>
      <c r="M4125" s="7">
        <v>325.89999999999998</v>
      </c>
      <c r="N4125" s="7">
        <v>196.3</v>
      </c>
    </row>
    <row r="4126" spans="1:19" x14ac:dyDescent="0.2">
      <c r="A4126">
        <v>4125</v>
      </c>
      <c r="B4126" s="1">
        <v>40837</v>
      </c>
      <c r="C4126" t="s">
        <v>28</v>
      </c>
      <c r="D4126" s="7">
        <v>99</v>
      </c>
      <c r="E4126" s="7">
        <v>15</v>
      </c>
      <c r="F4126" s="7">
        <f t="shared" si="64"/>
        <v>6</v>
      </c>
      <c r="G4126" s="7" t="str">
        <f>LOOKUP(H4126,[1]startdates!$A$2:$A$10,[1]startdates!$B$2:$B$10)</f>
        <v>FMr</v>
      </c>
      <c r="H4126">
        <v>6</v>
      </c>
      <c r="M4126" s="7">
        <v>366.9</v>
      </c>
      <c r="N4126" s="7">
        <v>191.4</v>
      </c>
    </row>
    <row r="4127" spans="1:19" x14ac:dyDescent="0.2">
      <c r="A4127">
        <v>4126</v>
      </c>
      <c r="B4127" s="1">
        <v>40837</v>
      </c>
      <c r="C4127" t="s">
        <v>28</v>
      </c>
      <c r="D4127" s="7">
        <v>99</v>
      </c>
      <c r="E4127" s="7">
        <v>15</v>
      </c>
      <c r="F4127" s="7">
        <f t="shared" si="64"/>
        <v>6</v>
      </c>
      <c r="G4127" s="7" t="str">
        <f>LOOKUP(H4127,[1]startdates!$A$2:$A$10,[1]startdates!$B$2:$B$10)</f>
        <v>FMr</v>
      </c>
      <c r="H4127">
        <v>6</v>
      </c>
      <c r="M4127" s="7">
        <v>355</v>
      </c>
      <c r="N4127" s="7">
        <v>266.60000000000002</v>
      </c>
    </row>
    <row r="4128" spans="1:19" x14ac:dyDescent="0.2">
      <c r="A4128">
        <v>4127</v>
      </c>
      <c r="B4128" s="1">
        <v>40837</v>
      </c>
      <c r="C4128" t="s">
        <v>24</v>
      </c>
      <c r="D4128" s="7">
        <v>99</v>
      </c>
      <c r="E4128" s="7">
        <v>15</v>
      </c>
      <c r="F4128" s="7">
        <f t="shared" si="64"/>
        <v>6</v>
      </c>
      <c r="G4128" s="7" t="str">
        <f>LOOKUP(H4128,[1]startdates!$A$2:$A$10,[1]startdates!$B$2:$B$10)</f>
        <v>FMr</v>
      </c>
      <c r="H4128">
        <v>7</v>
      </c>
      <c r="I4128" s="7">
        <v>553.79999999999995</v>
      </c>
      <c r="J4128" s="7">
        <v>436.4</v>
      </c>
      <c r="K4128" s="7">
        <v>515.79999999999995</v>
      </c>
      <c r="L4128" s="7">
        <v>523.79999999999995</v>
      </c>
      <c r="M4128" s="7">
        <v>362.6</v>
      </c>
      <c r="N4128" s="7">
        <v>196.1</v>
      </c>
      <c r="O4128" s="7">
        <v>156.30000000000001</v>
      </c>
      <c r="P4128" s="7">
        <v>487.4</v>
      </c>
      <c r="R4128" s="7">
        <v>296.10000000000002</v>
      </c>
      <c r="S4128" s="7">
        <v>263.60000000000002</v>
      </c>
    </row>
    <row r="4129" spans="1:19" x14ac:dyDescent="0.2">
      <c r="A4129">
        <v>4128</v>
      </c>
      <c r="B4129" s="1">
        <v>40837</v>
      </c>
      <c r="C4129" t="s">
        <v>24</v>
      </c>
      <c r="D4129" s="7">
        <v>99</v>
      </c>
      <c r="E4129" s="7">
        <v>15</v>
      </c>
      <c r="F4129" s="7">
        <f t="shared" si="64"/>
        <v>6</v>
      </c>
      <c r="G4129" s="7" t="str">
        <f>LOOKUP(H4129,[1]startdates!$A$2:$A$10,[1]startdates!$B$2:$B$10)</f>
        <v>FMr</v>
      </c>
      <c r="H4129">
        <v>7</v>
      </c>
      <c r="I4129" s="7">
        <v>514</v>
      </c>
      <c r="J4129" s="7">
        <v>489</v>
      </c>
      <c r="K4129" s="7">
        <v>562</v>
      </c>
      <c r="L4129" s="7">
        <v>430.1</v>
      </c>
      <c r="M4129" s="7">
        <v>372.8</v>
      </c>
      <c r="N4129" s="7">
        <v>211</v>
      </c>
      <c r="O4129" s="7">
        <v>182.2</v>
      </c>
      <c r="S4129" s="7">
        <v>261.5</v>
      </c>
    </row>
    <row r="4130" spans="1:19" x14ac:dyDescent="0.2">
      <c r="A4130">
        <v>4129</v>
      </c>
      <c r="B4130" s="1">
        <v>40837</v>
      </c>
      <c r="C4130" t="s">
        <v>24</v>
      </c>
      <c r="D4130" s="7">
        <v>99</v>
      </c>
      <c r="E4130" s="7">
        <v>15</v>
      </c>
      <c r="F4130" s="7">
        <f t="shared" si="64"/>
        <v>6</v>
      </c>
      <c r="G4130" s="7" t="str">
        <f>LOOKUP(H4130,[1]startdates!$A$2:$A$10,[1]startdates!$B$2:$B$10)</f>
        <v>FMr</v>
      </c>
      <c r="H4130">
        <v>7</v>
      </c>
      <c r="I4130" s="7">
        <v>622.9</v>
      </c>
      <c r="K4130" s="7">
        <v>512</v>
      </c>
      <c r="M4130" s="7">
        <v>315.3</v>
      </c>
      <c r="N4130" s="7">
        <v>222.9</v>
      </c>
      <c r="O4130" s="7">
        <v>177.7</v>
      </c>
    </row>
    <row r="4131" spans="1:19" x14ac:dyDescent="0.2">
      <c r="A4131">
        <v>4130</v>
      </c>
      <c r="B4131" s="1">
        <v>40837</v>
      </c>
      <c r="C4131" t="s">
        <v>24</v>
      </c>
      <c r="D4131" s="7">
        <v>99</v>
      </c>
      <c r="E4131" s="7">
        <v>15</v>
      </c>
      <c r="F4131" s="7">
        <f t="shared" si="64"/>
        <v>6</v>
      </c>
      <c r="G4131" s="7" t="str">
        <f>LOOKUP(H4131,[1]startdates!$A$2:$A$10,[1]startdates!$B$2:$B$10)</f>
        <v>FMr</v>
      </c>
      <c r="H4131">
        <v>7</v>
      </c>
      <c r="I4131" s="7">
        <v>697.4</v>
      </c>
      <c r="K4131" s="7">
        <v>525.79999999999995</v>
      </c>
      <c r="M4131" s="7">
        <v>349.2</v>
      </c>
      <c r="N4131" s="7">
        <v>194.3</v>
      </c>
      <c r="O4131" s="7">
        <v>166.5</v>
      </c>
    </row>
    <row r="4132" spans="1:19" x14ac:dyDescent="0.2">
      <c r="A4132">
        <v>4131</v>
      </c>
      <c r="B4132" s="1">
        <v>40837</v>
      </c>
      <c r="C4132" t="s">
        <v>24</v>
      </c>
      <c r="D4132" s="7">
        <v>99</v>
      </c>
      <c r="E4132" s="7">
        <v>15</v>
      </c>
      <c r="F4132" s="7">
        <f t="shared" si="64"/>
        <v>6</v>
      </c>
      <c r="G4132" s="7" t="str">
        <f>LOOKUP(H4132,[1]startdates!$A$2:$A$10,[1]startdates!$B$2:$B$10)</f>
        <v>FMr</v>
      </c>
      <c r="H4132">
        <v>7</v>
      </c>
      <c r="I4132" s="7">
        <v>556.5</v>
      </c>
      <c r="K4132" s="7">
        <v>611.20000000000005</v>
      </c>
      <c r="M4132" s="7">
        <v>305</v>
      </c>
      <c r="N4132" s="7">
        <v>232.9</v>
      </c>
      <c r="O4132" s="7">
        <v>162</v>
      </c>
    </row>
    <row r="4133" spans="1:19" x14ac:dyDescent="0.2">
      <c r="A4133">
        <v>4132</v>
      </c>
      <c r="B4133" s="1">
        <v>40837</v>
      </c>
      <c r="C4133" t="s">
        <v>24</v>
      </c>
      <c r="D4133" s="7">
        <v>99</v>
      </c>
      <c r="E4133" s="7">
        <v>15</v>
      </c>
      <c r="F4133" s="7">
        <f t="shared" si="64"/>
        <v>6</v>
      </c>
      <c r="G4133" s="7" t="str">
        <f>LOOKUP(H4133,[1]startdates!$A$2:$A$10,[1]startdates!$B$2:$B$10)</f>
        <v>FMr</v>
      </c>
      <c r="H4133">
        <v>7</v>
      </c>
      <c r="I4133" s="7">
        <v>533.6</v>
      </c>
      <c r="K4133" s="7">
        <v>443.7</v>
      </c>
      <c r="N4133" s="7">
        <v>223.6</v>
      </c>
      <c r="O4133" s="7">
        <v>168.6</v>
      </c>
    </row>
    <row r="4134" spans="1:19" x14ac:dyDescent="0.2">
      <c r="A4134">
        <v>4133</v>
      </c>
      <c r="B4134" s="1">
        <v>40837</v>
      </c>
      <c r="C4134" t="s">
        <v>24</v>
      </c>
      <c r="D4134" s="7">
        <v>99</v>
      </c>
      <c r="E4134" s="7">
        <v>15</v>
      </c>
      <c r="F4134" s="7">
        <f t="shared" si="64"/>
        <v>6</v>
      </c>
      <c r="G4134" s="7" t="str">
        <f>LOOKUP(H4134,[1]startdates!$A$2:$A$10,[1]startdates!$B$2:$B$10)</f>
        <v>FMr</v>
      </c>
      <c r="H4134">
        <v>7</v>
      </c>
      <c r="I4134" s="7">
        <v>655.29999999999995</v>
      </c>
      <c r="K4134" s="7">
        <v>416.9</v>
      </c>
      <c r="N4134" s="7">
        <v>199.7</v>
      </c>
      <c r="O4134" s="7">
        <v>191.8</v>
      </c>
    </row>
    <row r="4135" spans="1:19" x14ac:dyDescent="0.2">
      <c r="A4135">
        <v>4134</v>
      </c>
      <c r="B4135" s="1">
        <v>40837</v>
      </c>
      <c r="C4135" t="s">
        <v>24</v>
      </c>
      <c r="D4135" s="7">
        <v>99</v>
      </c>
      <c r="E4135" s="7">
        <v>15</v>
      </c>
      <c r="F4135" s="7">
        <f t="shared" si="64"/>
        <v>6</v>
      </c>
      <c r="G4135" s="7" t="str">
        <f>LOOKUP(H4135,[1]startdates!$A$2:$A$10,[1]startdates!$B$2:$B$10)</f>
        <v>FMr</v>
      </c>
      <c r="H4135">
        <v>7</v>
      </c>
      <c r="I4135" s="7">
        <v>703.3</v>
      </c>
      <c r="K4135" s="7">
        <v>512.4</v>
      </c>
      <c r="N4135" s="7">
        <v>221.7</v>
      </c>
      <c r="O4135" s="7">
        <v>166.7</v>
      </c>
    </row>
    <row r="4136" spans="1:19" x14ac:dyDescent="0.2">
      <c r="A4136">
        <v>4135</v>
      </c>
      <c r="B4136" s="1">
        <v>40837</v>
      </c>
      <c r="C4136" t="s">
        <v>24</v>
      </c>
      <c r="D4136" s="7">
        <v>99</v>
      </c>
      <c r="E4136" s="7">
        <v>15</v>
      </c>
      <c r="F4136" s="7">
        <f t="shared" si="64"/>
        <v>6</v>
      </c>
      <c r="G4136" s="7" t="str">
        <f>LOOKUP(H4136,[1]startdates!$A$2:$A$10,[1]startdates!$B$2:$B$10)</f>
        <v>FMr</v>
      </c>
      <c r="H4136">
        <v>7</v>
      </c>
      <c r="I4136" s="7">
        <v>526.79999999999995</v>
      </c>
      <c r="K4136" s="7">
        <v>458</v>
      </c>
      <c r="N4136" s="7">
        <v>198.5</v>
      </c>
      <c r="O4136" s="7">
        <v>172.1</v>
      </c>
    </row>
    <row r="4137" spans="1:19" x14ac:dyDescent="0.2">
      <c r="A4137">
        <v>4136</v>
      </c>
      <c r="B4137" s="1">
        <v>40837</v>
      </c>
      <c r="C4137" t="s">
        <v>24</v>
      </c>
      <c r="D4137" s="7">
        <v>99</v>
      </c>
      <c r="E4137" s="7">
        <v>15</v>
      </c>
      <c r="F4137" s="7">
        <f t="shared" ref="F4137:F4200" si="65">WEEKDAY(B4137)</f>
        <v>6</v>
      </c>
      <c r="G4137" s="7" t="str">
        <f>LOOKUP(H4137,[1]startdates!$A$2:$A$10,[1]startdates!$B$2:$B$10)</f>
        <v>FMr</v>
      </c>
      <c r="H4137">
        <v>7</v>
      </c>
      <c r="I4137" s="7">
        <v>527.9</v>
      </c>
      <c r="N4137" s="7">
        <v>221.5</v>
      </c>
      <c r="O4137" s="7">
        <v>179.8</v>
      </c>
    </row>
    <row r="4138" spans="1:19" x14ac:dyDescent="0.2">
      <c r="A4138">
        <v>4137</v>
      </c>
      <c r="B4138" s="1">
        <v>40837</v>
      </c>
      <c r="C4138" t="s">
        <v>24</v>
      </c>
      <c r="D4138" s="7">
        <v>99</v>
      </c>
      <c r="E4138" s="7">
        <v>15</v>
      </c>
      <c r="F4138" s="7">
        <f t="shared" si="65"/>
        <v>6</v>
      </c>
      <c r="G4138" s="7" t="str">
        <f>LOOKUP(H4138,[1]startdates!$A$2:$A$10,[1]startdates!$B$2:$B$10)</f>
        <v>FMr</v>
      </c>
      <c r="H4138">
        <v>7</v>
      </c>
      <c r="I4138" s="7">
        <v>559.5</v>
      </c>
      <c r="M4138" s="7">
        <v>251.9</v>
      </c>
      <c r="N4138" s="7">
        <v>218</v>
      </c>
      <c r="O4138" s="7">
        <v>184.9</v>
      </c>
      <c r="Q4138" s="7">
        <v>398.5</v>
      </c>
      <c r="R4138" s="7">
        <v>274.2</v>
      </c>
      <c r="S4138" s="7">
        <v>266.7</v>
      </c>
    </row>
    <row r="4139" spans="1:19" x14ac:dyDescent="0.2">
      <c r="A4139">
        <v>4138</v>
      </c>
      <c r="B4139" s="1">
        <v>40837</v>
      </c>
      <c r="C4139" t="s">
        <v>24</v>
      </c>
      <c r="D4139" s="7">
        <v>99</v>
      </c>
      <c r="E4139" s="7">
        <v>15</v>
      </c>
      <c r="F4139" s="7">
        <f t="shared" si="65"/>
        <v>6</v>
      </c>
      <c r="G4139" s="7" t="str">
        <f>LOOKUP(H4139,[1]startdates!$A$2:$A$10,[1]startdates!$B$2:$B$10)</f>
        <v>C</v>
      </c>
      <c r="H4139">
        <v>8</v>
      </c>
      <c r="I4139" s="7">
        <v>639.29999999999995</v>
      </c>
      <c r="J4139" s="7">
        <v>555.4</v>
      </c>
      <c r="K4139" s="7">
        <v>565.79999999999995</v>
      </c>
      <c r="L4139" s="7">
        <v>410.1</v>
      </c>
      <c r="M4139" s="7">
        <v>331.6</v>
      </c>
      <c r="N4139" s="7">
        <v>191.1</v>
      </c>
      <c r="O4139" s="7">
        <v>160</v>
      </c>
      <c r="S4139" s="7">
        <v>293.10000000000002</v>
      </c>
    </row>
    <row r="4140" spans="1:19" x14ac:dyDescent="0.2">
      <c r="A4140">
        <v>4139</v>
      </c>
      <c r="B4140" s="1">
        <v>40837</v>
      </c>
      <c r="C4140" t="s">
        <v>24</v>
      </c>
      <c r="D4140" s="7">
        <v>99</v>
      </c>
      <c r="E4140" s="7">
        <v>15</v>
      </c>
      <c r="F4140" s="7">
        <f t="shared" si="65"/>
        <v>6</v>
      </c>
      <c r="G4140" s="7" t="str">
        <f>LOOKUP(H4140,[1]startdates!$A$2:$A$10,[1]startdates!$B$2:$B$10)</f>
        <v>C</v>
      </c>
      <c r="H4140">
        <v>8</v>
      </c>
      <c r="I4140" s="7">
        <v>599</v>
      </c>
      <c r="J4140" s="7">
        <v>586.20000000000005</v>
      </c>
      <c r="K4140" s="7">
        <v>656.5</v>
      </c>
      <c r="L4140" s="7">
        <v>413.8</v>
      </c>
      <c r="M4140" s="7">
        <v>387</v>
      </c>
      <c r="N4140" s="7">
        <v>215.7</v>
      </c>
      <c r="O4140" s="7">
        <v>158.5</v>
      </c>
      <c r="S4140" s="7">
        <v>304.8</v>
      </c>
    </row>
    <row r="4141" spans="1:19" x14ac:dyDescent="0.2">
      <c r="A4141">
        <v>4140</v>
      </c>
      <c r="B4141" s="1">
        <v>40837</v>
      </c>
      <c r="C4141" t="s">
        <v>24</v>
      </c>
      <c r="D4141" s="7">
        <v>99</v>
      </c>
      <c r="E4141" s="7">
        <v>15</v>
      </c>
      <c r="F4141" s="7">
        <f t="shared" si="65"/>
        <v>6</v>
      </c>
      <c r="G4141" s="7" t="str">
        <f>LOOKUP(H4141,[1]startdates!$A$2:$A$10,[1]startdates!$B$2:$B$10)</f>
        <v>C</v>
      </c>
      <c r="H4141">
        <v>8</v>
      </c>
      <c r="I4141" s="7">
        <v>706.9</v>
      </c>
      <c r="J4141" s="7">
        <v>602.9</v>
      </c>
      <c r="K4141" s="7">
        <v>683.8</v>
      </c>
      <c r="M4141" s="7">
        <v>294.7</v>
      </c>
      <c r="N4141" s="7">
        <v>221.7</v>
      </c>
      <c r="O4141" s="7">
        <v>169.7</v>
      </c>
    </row>
    <row r="4142" spans="1:19" x14ac:dyDescent="0.2">
      <c r="A4142">
        <v>4141</v>
      </c>
      <c r="B4142" s="1">
        <v>40837</v>
      </c>
      <c r="C4142" t="s">
        <v>24</v>
      </c>
      <c r="D4142" s="7">
        <v>99</v>
      </c>
      <c r="E4142" s="7">
        <v>15</v>
      </c>
      <c r="F4142" s="7">
        <f t="shared" si="65"/>
        <v>6</v>
      </c>
      <c r="G4142" s="7" t="str">
        <f>LOOKUP(H4142,[1]startdates!$A$2:$A$10,[1]startdates!$B$2:$B$10)</f>
        <v>C</v>
      </c>
      <c r="H4142">
        <v>8</v>
      </c>
      <c r="I4142" s="7">
        <v>456.7</v>
      </c>
      <c r="K4142" s="7">
        <v>628.29999999999995</v>
      </c>
      <c r="M4142" s="7">
        <v>324.89999999999998</v>
      </c>
      <c r="N4142" s="7">
        <v>181.1</v>
      </c>
      <c r="O4142" s="7">
        <v>166.5</v>
      </c>
    </row>
    <row r="4143" spans="1:19" x14ac:dyDescent="0.2">
      <c r="A4143">
        <v>4142</v>
      </c>
      <c r="B4143" s="1">
        <v>40837</v>
      </c>
      <c r="C4143" t="s">
        <v>24</v>
      </c>
      <c r="D4143" s="7">
        <v>99</v>
      </c>
      <c r="E4143" s="7">
        <v>15</v>
      </c>
      <c r="F4143" s="7">
        <f t="shared" si="65"/>
        <v>6</v>
      </c>
      <c r="G4143" s="7" t="str">
        <f>LOOKUP(H4143,[1]startdates!$A$2:$A$10,[1]startdates!$B$2:$B$10)</f>
        <v>C</v>
      </c>
      <c r="H4143">
        <v>8</v>
      </c>
      <c r="I4143" s="7">
        <v>556.5</v>
      </c>
      <c r="K4143" s="7">
        <v>687.1</v>
      </c>
      <c r="M4143" s="7">
        <v>259.89999999999998</v>
      </c>
      <c r="N4143" s="7">
        <v>253.6</v>
      </c>
      <c r="O4143" s="7">
        <v>191.6</v>
      </c>
    </row>
    <row r="4144" spans="1:19" x14ac:dyDescent="0.2">
      <c r="A4144">
        <v>4143</v>
      </c>
      <c r="B4144" s="1">
        <v>40837</v>
      </c>
      <c r="C4144" t="s">
        <v>24</v>
      </c>
      <c r="D4144" s="7">
        <v>99</v>
      </c>
      <c r="E4144" s="7">
        <v>15</v>
      </c>
      <c r="F4144" s="7">
        <f t="shared" si="65"/>
        <v>6</v>
      </c>
      <c r="G4144" s="7" t="str">
        <f>LOOKUP(H4144,[1]startdates!$A$2:$A$10,[1]startdates!$B$2:$B$10)</f>
        <v>C</v>
      </c>
      <c r="H4144">
        <v>8</v>
      </c>
      <c r="I4144" s="7">
        <v>588.1</v>
      </c>
      <c r="K4144" s="7">
        <v>522.29999999999995</v>
      </c>
      <c r="M4144" s="7">
        <v>307.89999999999998</v>
      </c>
      <c r="N4144" s="7">
        <v>164</v>
      </c>
      <c r="O4144" s="7">
        <v>175</v>
      </c>
    </row>
    <row r="4145" spans="1:19" x14ac:dyDescent="0.2">
      <c r="A4145">
        <v>4144</v>
      </c>
      <c r="B4145" s="1">
        <v>40837</v>
      </c>
      <c r="C4145" t="s">
        <v>24</v>
      </c>
      <c r="D4145" s="7">
        <v>99</v>
      </c>
      <c r="E4145" s="7">
        <v>15</v>
      </c>
      <c r="F4145" s="7">
        <f t="shared" si="65"/>
        <v>6</v>
      </c>
      <c r="G4145" s="7" t="str">
        <f>LOOKUP(H4145,[1]startdates!$A$2:$A$10,[1]startdates!$B$2:$B$10)</f>
        <v>C</v>
      </c>
      <c r="H4145">
        <v>8</v>
      </c>
      <c r="I4145" s="7">
        <v>607.70000000000005</v>
      </c>
      <c r="K4145" s="7">
        <v>651</v>
      </c>
      <c r="M4145" s="7">
        <v>352</v>
      </c>
      <c r="N4145" s="7">
        <v>215.7</v>
      </c>
      <c r="O4145" s="7">
        <v>189.5</v>
      </c>
    </row>
    <row r="4146" spans="1:19" x14ac:dyDescent="0.2">
      <c r="A4146">
        <v>4145</v>
      </c>
      <c r="B4146" s="1">
        <v>40837</v>
      </c>
      <c r="C4146" t="s">
        <v>24</v>
      </c>
      <c r="D4146" s="7">
        <v>99</v>
      </c>
      <c r="E4146" s="7">
        <v>15</v>
      </c>
      <c r="F4146" s="7">
        <f t="shared" si="65"/>
        <v>6</v>
      </c>
      <c r="G4146" s="7" t="str">
        <f>LOOKUP(H4146,[1]startdates!$A$2:$A$10,[1]startdates!$B$2:$B$10)</f>
        <v>C</v>
      </c>
      <c r="H4146">
        <v>8</v>
      </c>
      <c r="I4146" s="7">
        <v>678.6</v>
      </c>
      <c r="M4146" s="7">
        <v>321.89999999999998</v>
      </c>
      <c r="N4146" s="7">
        <v>220.6</v>
      </c>
      <c r="O4146" s="7">
        <v>172.6</v>
      </c>
    </row>
    <row r="4147" spans="1:19" x14ac:dyDescent="0.2">
      <c r="A4147">
        <v>4146</v>
      </c>
      <c r="B4147" s="1">
        <v>40837</v>
      </c>
      <c r="C4147" t="s">
        <v>24</v>
      </c>
      <c r="D4147" s="7">
        <v>99</v>
      </c>
      <c r="E4147" s="7">
        <v>15</v>
      </c>
      <c r="F4147" s="7">
        <f t="shared" si="65"/>
        <v>6</v>
      </c>
      <c r="G4147" s="7" t="str">
        <f>LOOKUP(H4147,[1]startdates!$A$2:$A$10,[1]startdates!$B$2:$B$10)</f>
        <v>C</v>
      </c>
      <c r="H4147">
        <v>8</v>
      </c>
      <c r="I4147" s="7">
        <v>523.79999999999995</v>
      </c>
      <c r="N4147" s="7">
        <v>210.9</v>
      </c>
      <c r="O4147" s="7">
        <v>171.8</v>
      </c>
    </row>
    <row r="4148" spans="1:19" x14ac:dyDescent="0.2">
      <c r="A4148">
        <v>4147</v>
      </c>
      <c r="B4148" s="1">
        <v>40837</v>
      </c>
      <c r="C4148" t="s">
        <v>24</v>
      </c>
      <c r="D4148" s="7">
        <v>99</v>
      </c>
      <c r="E4148" s="7">
        <v>15</v>
      </c>
      <c r="F4148" s="7">
        <f t="shared" si="65"/>
        <v>6</v>
      </c>
      <c r="G4148" s="7" t="str">
        <f>LOOKUP(H4148,[1]startdates!$A$2:$A$10,[1]startdates!$B$2:$B$10)</f>
        <v>C</v>
      </c>
      <c r="H4148">
        <v>8</v>
      </c>
      <c r="I4148" s="7">
        <v>668.4</v>
      </c>
      <c r="N4148" s="7">
        <v>266.39999999999998</v>
      </c>
      <c r="O4148" s="7">
        <v>159</v>
      </c>
    </row>
    <row r="4149" spans="1:19" x14ac:dyDescent="0.2">
      <c r="A4149">
        <v>4148</v>
      </c>
      <c r="B4149" s="1">
        <v>40837</v>
      </c>
      <c r="C4149" t="s">
        <v>24</v>
      </c>
      <c r="D4149" s="7">
        <v>99</v>
      </c>
      <c r="E4149" s="7">
        <v>15</v>
      </c>
      <c r="F4149" s="7">
        <f t="shared" si="65"/>
        <v>6</v>
      </c>
      <c r="G4149" s="7" t="str">
        <f>LOOKUP(H4149,[1]startdates!$A$2:$A$10,[1]startdates!$B$2:$B$10)</f>
        <v>C</v>
      </c>
      <c r="H4149">
        <v>8</v>
      </c>
      <c r="O4149" s="7">
        <v>167.7</v>
      </c>
    </row>
    <row r="4150" spans="1:19" x14ac:dyDescent="0.2">
      <c r="A4150">
        <v>4149</v>
      </c>
      <c r="B4150" s="1">
        <v>40837</v>
      </c>
      <c r="C4150" t="s">
        <v>24</v>
      </c>
      <c r="D4150" s="7">
        <v>99</v>
      </c>
      <c r="E4150" s="7">
        <v>15</v>
      </c>
      <c r="F4150" s="7">
        <f t="shared" si="65"/>
        <v>6</v>
      </c>
      <c r="G4150" s="7" t="str">
        <f>LOOKUP(H4150,[1]startdates!$A$2:$A$10,[1]startdates!$B$2:$B$10)</f>
        <v>C</v>
      </c>
      <c r="H4150">
        <v>8</v>
      </c>
      <c r="O4150" s="7">
        <v>196.1</v>
      </c>
    </row>
    <row r="4151" spans="1:19" x14ac:dyDescent="0.2">
      <c r="A4151">
        <v>4150</v>
      </c>
      <c r="B4151" s="1">
        <v>40837</v>
      </c>
      <c r="C4151" t="s">
        <v>24</v>
      </c>
      <c r="D4151" s="7">
        <v>99</v>
      </c>
      <c r="E4151" s="7">
        <v>15</v>
      </c>
      <c r="F4151" s="7">
        <f t="shared" si="65"/>
        <v>6</v>
      </c>
      <c r="G4151" s="7" t="str">
        <f>LOOKUP(H4151,[1]startdates!$A$2:$A$10,[1]startdates!$B$2:$B$10)</f>
        <v>FMr</v>
      </c>
      <c r="H4151">
        <v>9</v>
      </c>
      <c r="I4151" s="7">
        <v>587</v>
      </c>
      <c r="J4151" s="7">
        <v>477.3</v>
      </c>
      <c r="K4151" s="7">
        <v>515.6</v>
      </c>
      <c r="L4151" s="7">
        <v>416.7</v>
      </c>
      <c r="M4151" s="7">
        <v>309</v>
      </c>
      <c r="N4151" s="7">
        <v>202.5</v>
      </c>
      <c r="O4151" s="7">
        <v>176.8</v>
      </c>
      <c r="P4151" s="7">
        <v>430.9</v>
      </c>
      <c r="Q4151" s="7">
        <v>402.1</v>
      </c>
      <c r="S4151" s="7">
        <v>269.39999999999998</v>
      </c>
    </row>
    <row r="4152" spans="1:19" x14ac:dyDescent="0.2">
      <c r="A4152">
        <v>4151</v>
      </c>
      <c r="B4152" s="1">
        <v>40837</v>
      </c>
      <c r="C4152" t="s">
        <v>24</v>
      </c>
      <c r="D4152" s="7">
        <v>99</v>
      </c>
      <c r="E4152" s="7">
        <v>15</v>
      </c>
      <c r="F4152" s="7">
        <f t="shared" si="65"/>
        <v>6</v>
      </c>
      <c r="G4152" s="7" t="str">
        <f>LOOKUP(H4152,[1]startdates!$A$2:$A$10,[1]startdates!$B$2:$B$10)</f>
        <v>FMr</v>
      </c>
      <c r="H4152">
        <v>9</v>
      </c>
      <c r="I4152" s="7">
        <v>521.9</v>
      </c>
      <c r="J4152" s="7">
        <v>585.5</v>
      </c>
      <c r="K4152" s="7">
        <v>631.9</v>
      </c>
      <c r="M4152" s="7">
        <v>335.8</v>
      </c>
      <c r="N4152" s="7">
        <v>268.8</v>
      </c>
      <c r="O4152" s="7">
        <v>188.1</v>
      </c>
      <c r="Q4152" s="7">
        <v>377.1</v>
      </c>
      <c r="S4152" s="7">
        <v>259.89999999999998</v>
      </c>
    </row>
    <row r="4153" spans="1:19" x14ac:dyDescent="0.2">
      <c r="A4153">
        <v>4152</v>
      </c>
      <c r="B4153" s="1">
        <v>40837</v>
      </c>
      <c r="C4153" t="s">
        <v>24</v>
      </c>
      <c r="D4153" s="7">
        <v>99</v>
      </c>
      <c r="E4153" s="7">
        <v>15</v>
      </c>
      <c r="F4153" s="7">
        <f t="shared" si="65"/>
        <v>6</v>
      </c>
      <c r="G4153" s="7" t="str">
        <f>LOOKUP(H4153,[1]startdates!$A$2:$A$10,[1]startdates!$B$2:$B$10)</f>
        <v>FMr</v>
      </c>
      <c r="H4153">
        <v>9</v>
      </c>
      <c r="I4153" s="7">
        <v>548.70000000000005</v>
      </c>
      <c r="J4153" s="7">
        <v>516.1</v>
      </c>
      <c r="K4153" s="7">
        <v>543.4</v>
      </c>
      <c r="M4153" s="7">
        <v>366.8</v>
      </c>
      <c r="N4153" s="7">
        <v>205.3</v>
      </c>
      <c r="O4153" s="7">
        <v>175.6</v>
      </c>
    </row>
    <row r="4154" spans="1:19" x14ac:dyDescent="0.2">
      <c r="A4154">
        <v>4153</v>
      </c>
      <c r="B4154" s="1">
        <v>40837</v>
      </c>
      <c r="C4154" t="s">
        <v>24</v>
      </c>
      <c r="D4154" s="7">
        <v>99</v>
      </c>
      <c r="E4154" s="7">
        <v>15</v>
      </c>
      <c r="F4154" s="7">
        <f t="shared" si="65"/>
        <v>6</v>
      </c>
      <c r="G4154" s="7" t="str">
        <f>LOOKUP(H4154,[1]startdates!$A$2:$A$10,[1]startdates!$B$2:$B$10)</f>
        <v>FMr</v>
      </c>
      <c r="H4154">
        <v>9</v>
      </c>
      <c r="I4154" s="7">
        <v>556</v>
      </c>
      <c r="K4154" s="7">
        <v>452.1</v>
      </c>
      <c r="M4154" s="7">
        <v>313.5</v>
      </c>
      <c r="N4154" s="7">
        <v>228.7</v>
      </c>
      <c r="O4154" s="7">
        <v>191.3</v>
      </c>
    </row>
    <row r="4155" spans="1:19" x14ac:dyDescent="0.2">
      <c r="A4155">
        <v>4154</v>
      </c>
      <c r="B4155" s="1">
        <v>40837</v>
      </c>
      <c r="C4155" t="s">
        <v>24</v>
      </c>
      <c r="D4155" s="7">
        <v>99</v>
      </c>
      <c r="E4155" s="7">
        <v>15</v>
      </c>
      <c r="F4155" s="7">
        <f t="shared" si="65"/>
        <v>6</v>
      </c>
      <c r="G4155" s="7" t="str">
        <f>LOOKUP(H4155,[1]startdates!$A$2:$A$10,[1]startdates!$B$2:$B$10)</f>
        <v>FMr</v>
      </c>
      <c r="H4155">
        <v>9</v>
      </c>
      <c r="I4155" s="7">
        <v>559.29999999999995</v>
      </c>
      <c r="K4155" s="7">
        <v>486.8</v>
      </c>
      <c r="M4155" s="7">
        <v>365.6</v>
      </c>
      <c r="N4155" s="7">
        <v>222.4</v>
      </c>
      <c r="O4155" s="7">
        <v>188.5</v>
      </c>
    </row>
    <row r="4156" spans="1:19" x14ac:dyDescent="0.2">
      <c r="A4156">
        <v>4155</v>
      </c>
      <c r="B4156" s="1">
        <v>40837</v>
      </c>
      <c r="C4156" t="s">
        <v>24</v>
      </c>
      <c r="D4156" s="7">
        <v>99</v>
      </c>
      <c r="E4156" s="7">
        <v>15</v>
      </c>
      <c r="F4156" s="7">
        <f t="shared" si="65"/>
        <v>6</v>
      </c>
      <c r="G4156" s="7" t="str">
        <f>LOOKUP(H4156,[1]startdates!$A$2:$A$10,[1]startdates!$B$2:$B$10)</f>
        <v>FMr</v>
      </c>
      <c r="H4156">
        <v>9</v>
      </c>
      <c r="I4156" s="7">
        <v>524.29999999999995</v>
      </c>
      <c r="K4156" s="7">
        <v>477.3</v>
      </c>
      <c r="N4156" s="7">
        <v>224</v>
      </c>
      <c r="O4156" s="7">
        <v>174.6</v>
      </c>
    </row>
    <row r="4157" spans="1:19" x14ac:dyDescent="0.2">
      <c r="A4157">
        <v>4156</v>
      </c>
      <c r="B4157" s="1">
        <v>40837</v>
      </c>
      <c r="C4157" t="s">
        <v>24</v>
      </c>
      <c r="D4157" s="7">
        <v>99</v>
      </c>
      <c r="E4157" s="7">
        <v>15</v>
      </c>
      <c r="F4157" s="7">
        <f t="shared" si="65"/>
        <v>6</v>
      </c>
      <c r="G4157" s="7" t="str">
        <f>LOOKUP(H4157,[1]startdates!$A$2:$A$10,[1]startdates!$B$2:$B$10)</f>
        <v>FMr</v>
      </c>
      <c r="H4157">
        <v>9</v>
      </c>
      <c r="I4157" s="7">
        <v>507.7</v>
      </c>
      <c r="K4157" s="7">
        <v>465.7</v>
      </c>
      <c r="N4157" s="7">
        <v>222</v>
      </c>
      <c r="O4157" s="7">
        <v>158.30000000000001</v>
      </c>
    </row>
    <row r="4158" spans="1:19" x14ac:dyDescent="0.2">
      <c r="A4158">
        <v>4157</v>
      </c>
      <c r="B4158" s="1">
        <v>40837</v>
      </c>
      <c r="C4158" t="s">
        <v>24</v>
      </c>
      <c r="D4158" s="7">
        <v>99</v>
      </c>
      <c r="E4158" s="7">
        <v>15</v>
      </c>
      <c r="F4158" s="7">
        <f t="shared" si="65"/>
        <v>6</v>
      </c>
      <c r="G4158" s="7" t="str">
        <f>LOOKUP(H4158,[1]startdates!$A$2:$A$10,[1]startdates!$B$2:$B$10)</f>
        <v>FMr</v>
      </c>
      <c r="H4158">
        <v>9</v>
      </c>
      <c r="K4158" s="7">
        <v>636.6</v>
      </c>
      <c r="N4158" s="7">
        <v>226.9</v>
      </c>
      <c r="O4158" s="7">
        <v>187.7</v>
      </c>
    </row>
    <row r="4159" spans="1:19" x14ac:dyDescent="0.2">
      <c r="A4159">
        <v>4158</v>
      </c>
      <c r="B4159" s="1">
        <v>40837</v>
      </c>
      <c r="C4159" t="s">
        <v>24</v>
      </c>
      <c r="D4159" s="7">
        <v>99</v>
      </c>
      <c r="E4159" s="7">
        <v>15</v>
      </c>
      <c r="F4159" s="7">
        <f t="shared" si="65"/>
        <v>6</v>
      </c>
      <c r="G4159" s="7" t="str">
        <f>LOOKUP(H4159,[1]startdates!$A$2:$A$10,[1]startdates!$B$2:$B$10)</f>
        <v>FMr</v>
      </c>
      <c r="H4159">
        <v>9</v>
      </c>
      <c r="N4159" s="7">
        <v>211.9</v>
      </c>
      <c r="O4159" s="7">
        <v>164.5</v>
      </c>
    </row>
    <row r="4160" spans="1:19" x14ac:dyDescent="0.2">
      <c r="A4160">
        <v>4159</v>
      </c>
      <c r="B4160" s="1">
        <v>40837</v>
      </c>
      <c r="C4160" t="s">
        <v>24</v>
      </c>
      <c r="D4160" s="7">
        <v>99</v>
      </c>
      <c r="E4160" s="7">
        <v>15</v>
      </c>
      <c r="F4160" s="7">
        <f t="shared" si="65"/>
        <v>6</v>
      </c>
      <c r="G4160" s="7" t="str">
        <f>LOOKUP(H4160,[1]startdates!$A$2:$A$10,[1]startdates!$B$2:$B$10)</f>
        <v>FMr</v>
      </c>
      <c r="H4160">
        <v>9</v>
      </c>
      <c r="O4160" s="7">
        <v>193.7</v>
      </c>
    </row>
    <row r="4161" spans="1:21" x14ac:dyDescent="0.2">
      <c r="A4161">
        <v>4160</v>
      </c>
      <c r="B4161" s="1">
        <v>40837</v>
      </c>
      <c r="C4161" t="s">
        <v>24</v>
      </c>
      <c r="D4161" s="7">
        <v>99</v>
      </c>
      <c r="E4161" s="7">
        <v>15</v>
      </c>
      <c r="F4161" s="7">
        <f t="shared" si="65"/>
        <v>6</v>
      </c>
      <c r="G4161" s="7" t="str">
        <f>LOOKUP(H4161,[1]startdates!$A$2:$A$10,[1]startdates!$B$2:$B$10)</f>
        <v>FMr</v>
      </c>
      <c r="H4161">
        <v>9</v>
      </c>
      <c r="O4161" s="7">
        <v>172.6</v>
      </c>
    </row>
    <row r="4162" spans="1:21" x14ac:dyDescent="0.2">
      <c r="A4162">
        <v>4161</v>
      </c>
      <c r="B4162" s="1">
        <v>40841</v>
      </c>
      <c r="C4162" t="s">
        <v>28</v>
      </c>
      <c r="D4162" s="7">
        <v>103</v>
      </c>
      <c r="E4162" s="7">
        <v>16</v>
      </c>
      <c r="F4162" s="7">
        <f t="shared" si="65"/>
        <v>3</v>
      </c>
      <c r="G4162" s="7" t="str">
        <f>LOOKUP(H4162,[1]startdates!$A$2:$A$10,[1]startdates!$B$2:$B$10)</f>
        <v>SMr</v>
      </c>
      <c r="H4162">
        <v>1</v>
      </c>
      <c r="I4162" s="7">
        <v>609.5</v>
      </c>
      <c r="J4162" s="7">
        <v>471.4</v>
      </c>
      <c r="K4162" s="7">
        <v>526.29999999999995</v>
      </c>
      <c r="L4162" s="7">
        <v>485.9</v>
      </c>
      <c r="M4162" s="7">
        <v>292</v>
      </c>
      <c r="N4162" s="7">
        <v>207.8</v>
      </c>
      <c r="O4162" s="7">
        <v>167.7</v>
      </c>
      <c r="P4162" s="7">
        <v>400.5</v>
      </c>
      <c r="Q4162" s="7">
        <v>318.7</v>
      </c>
      <c r="R4162" s="7">
        <v>240.2</v>
      </c>
      <c r="S4162" s="7">
        <v>252.6</v>
      </c>
      <c r="U4162" s="7">
        <v>636.20000000000005</v>
      </c>
    </row>
    <row r="4163" spans="1:21" x14ac:dyDescent="0.2">
      <c r="A4163">
        <v>4162</v>
      </c>
      <c r="B4163" s="1">
        <v>40841</v>
      </c>
      <c r="C4163" t="s">
        <v>28</v>
      </c>
      <c r="D4163" s="7">
        <v>103</v>
      </c>
      <c r="E4163" s="7">
        <v>16</v>
      </c>
      <c r="F4163" s="7">
        <f t="shared" si="65"/>
        <v>3</v>
      </c>
      <c r="G4163" s="7" t="str">
        <f>LOOKUP(H4163,[1]startdates!$A$2:$A$10,[1]startdates!$B$2:$B$10)</f>
        <v>SMr</v>
      </c>
      <c r="H4163">
        <v>1</v>
      </c>
      <c r="I4163" s="7">
        <v>546.5</v>
      </c>
      <c r="J4163" s="7">
        <v>587.79999999999995</v>
      </c>
      <c r="K4163" s="7">
        <v>522.79999999999995</v>
      </c>
      <c r="L4163" s="7">
        <v>416.4</v>
      </c>
      <c r="M4163" s="7">
        <v>342.6</v>
      </c>
      <c r="N4163" s="7">
        <v>293.89999999999998</v>
      </c>
      <c r="O4163" s="7">
        <v>156.30000000000001</v>
      </c>
      <c r="Q4163" s="7">
        <v>331.7</v>
      </c>
      <c r="R4163" s="7">
        <v>246.3</v>
      </c>
      <c r="S4163" s="7">
        <v>257.7</v>
      </c>
    </row>
    <row r="4164" spans="1:21" x14ac:dyDescent="0.2">
      <c r="A4164">
        <v>4163</v>
      </c>
      <c r="B4164" s="1">
        <v>40841</v>
      </c>
      <c r="C4164" t="s">
        <v>28</v>
      </c>
      <c r="D4164" s="7">
        <v>103</v>
      </c>
      <c r="E4164" s="7">
        <v>16</v>
      </c>
      <c r="F4164" s="7">
        <f t="shared" si="65"/>
        <v>3</v>
      </c>
      <c r="G4164" s="7" t="str">
        <f>LOOKUP(H4164,[1]startdates!$A$2:$A$10,[1]startdates!$B$2:$B$10)</f>
        <v>SMr</v>
      </c>
      <c r="H4164">
        <v>1</v>
      </c>
      <c r="I4164" s="7">
        <v>619.4</v>
      </c>
      <c r="M4164" s="7">
        <v>295.89999999999998</v>
      </c>
      <c r="N4164" s="7">
        <v>230.4</v>
      </c>
      <c r="O4164" s="7">
        <v>169.7</v>
      </c>
      <c r="S4164" s="7">
        <v>250.7</v>
      </c>
    </row>
    <row r="4165" spans="1:21" x14ac:dyDescent="0.2">
      <c r="A4165">
        <v>4164</v>
      </c>
      <c r="B4165" s="1">
        <v>40841</v>
      </c>
      <c r="C4165" t="s">
        <v>28</v>
      </c>
      <c r="D4165" s="7">
        <v>103</v>
      </c>
      <c r="E4165" s="7">
        <v>16</v>
      </c>
      <c r="F4165" s="7">
        <f t="shared" si="65"/>
        <v>3</v>
      </c>
      <c r="G4165" s="7" t="str">
        <f>LOOKUP(H4165,[1]startdates!$A$2:$A$10,[1]startdates!$B$2:$B$10)</f>
        <v>SMr</v>
      </c>
      <c r="H4165">
        <v>1</v>
      </c>
      <c r="I4165" s="7">
        <v>663.1</v>
      </c>
      <c r="M4165" s="7">
        <v>331.5</v>
      </c>
      <c r="N4165" s="7">
        <v>241.3</v>
      </c>
      <c r="O4165" s="7">
        <v>156.5</v>
      </c>
    </row>
    <row r="4166" spans="1:21" x14ac:dyDescent="0.2">
      <c r="A4166">
        <v>4165</v>
      </c>
      <c r="B4166" s="1">
        <v>40841</v>
      </c>
      <c r="C4166" t="s">
        <v>28</v>
      </c>
      <c r="D4166" s="7">
        <v>103</v>
      </c>
      <c r="E4166" s="7">
        <v>16</v>
      </c>
      <c r="F4166" s="7">
        <f t="shared" si="65"/>
        <v>3</v>
      </c>
      <c r="G4166" s="7" t="str">
        <f>LOOKUP(H4166,[1]startdates!$A$2:$A$10,[1]startdates!$B$2:$B$10)</f>
        <v>SMr</v>
      </c>
      <c r="H4166">
        <v>1</v>
      </c>
      <c r="I4166" s="7">
        <v>603.4</v>
      </c>
      <c r="M4166" s="7">
        <v>371.3</v>
      </c>
      <c r="N4166" s="7">
        <v>197.9</v>
      </c>
      <c r="O4166" s="7">
        <v>174.4</v>
      </c>
    </row>
    <row r="4167" spans="1:21" x14ac:dyDescent="0.2">
      <c r="A4167">
        <v>4166</v>
      </c>
      <c r="B4167" s="1">
        <v>40841</v>
      </c>
      <c r="C4167" t="s">
        <v>28</v>
      </c>
      <c r="D4167" s="7">
        <v>103</v>
      </c>
      <c r="E4167" s="7">
        <v>16</v>
      </c>
      <c r="F4167" s="7">
        <f t="shared" si="65"/>
        <v>3</v>
      </c>
      <c r="G4167" s="7" t="str">
        <f>LOOKUP(H4167,[1]startdates!$A$2:$A$10,[1]startdates!$B$2:$B$10)</f>
        <v>SMr</v>
      </c>
      <c r="H4167">
        <v>1</v>
      </c>
      <c r="I4167" s="7">
        <v>521.70000000000005</v>
      </c>
      <c r="M4167" s="7">
        <v>323.2</v>
      </c>
      <c r="N4167" s="7">
        <v>204.9</v>
      </c>
      <c r="O4167" s="7">
        <v>151.1</v>
      </c>
    </row>
    <row r="4168" spans="1:21" x14ac:dyDescent="0.2">
      <c r="A4168">
        <v>4167</v>
      </c>
      <c r="B4168" s="1">
        <v>40841</v>
      </c>
      <c r="C4168" t="s">
        <v>28</v>
      </c>
      <c r="D4168" s="7">
        <v>103</v>
      </c>
      <c r="E4168" s="7">
        <v>16</v>
      </c>
      <c r="F4168" s="7">
        <f t="shared" si="65"/>
        <v>3</v>
      </c>
      <c r="G4168" s="7" t="str">
        <f>LOOKUP(H4168,[1]startdates!$A$2:$A$10,[1]startdates!$B$2:$B$10)</f>
        <v>SMr</v>
      </c>
      <c r="H4168">
        <v>1</v>
      </c>
      <c r="I4168" s="7">
        <v>645.29999999999995</v>
      </c>
      <c r="M4168" s="7">
        <v>379.1</v>
      </c>
      <c r="N4168" s="7">
        <v>224.2</v>
      </c>
      <c r="O4168" s="7">
        <v>174.9</v>
      </c>
    </row>
    <row r="4169" spans="1:21" x14ac:dyDescent="0.2">
      <c r="A4169">
        <v>4168</v>
      </c>
      <c r="B4169" s="1">
        <v>40841</v>
      </c>
      <c r="C4169" t="s">
        <v>28</v>
      </c>
      <c r="D4169" s="7">
        <v>103</v>
      </c>
      <c r="E4169" s="7">
        <v>16</v>
      </c>
      <c r="F4169" s="7">
        <f t="shared" si="65"/>
        <v>3</v>
      </c>
      <c r="G4169" s="7" t="str">
        <f>LOOKUP(H4169,[1]startdates!$A$2:$A$10,[1]startdates!$B$2:$B$10)</f>
        <v>SMr</v>
      </c>
      <c r="H4169">
        <v>1</v>
      </c>
      <c r="I4169" s="7">
        <v>570.1</v>
      </c>
      <c r="M4169" s="7">
        <v>346.3</v>
      </c>
      <c r="N4169" s="7">
        <v>188.7</v>
      </c>
      <c r="O4169" s="7">
        <v>171.3</v>
      </c>
    </row>
    <row r="4170" spans="1:21" x14ac:dyDescent="0.2">
      <c r="A4170">
        <v>4169</v>
      </c>
      <c r="B4170" s="1">
        <v>40841</v>
      </c>
      <c r="C4170" t="s">
        <v>28</v>
      </c>
      <c r="D4170" s="7">
        <v>103</v>
      </c>
      <c r="E4170" s="7">
        <v>16</v>
      </c>
      <c r="F4170" s="7">
        <f t="shared" si="65"/>
        <v>3</v>
      </c>
      <c r="G4170" s="7" t="str">
        <f>LOOKUP(H4170,[1]startdates!$A$2:$A$10,[1]startdates!$B$2:$B$10)</f>
        <v>SMr</v>
      </c>
      <c r="H4170">
        <v>1</v>
      </c>
      <c r="I4170" s="7">
        <v>630.79999999999995</v>
      </c>
      <c r="M4170" s="7">
        <v>294.60000000000002</v>
      </c>
      <c r="N4170" s="7">
        <v>227.4</v>
      </c>
      <c r="O4170" s="7">
        <v>154.6</v>
      </c>
    </row>
    <row r="4171" spans="1:21" x14ac:dyDescent="0.2">
      <c r="A4171">
        <v>4170</v>
      </c>
      <c r="B4171" s="1">
        <v>40841</v>
      </c>
      <c r="C4171" t="s">
        <v>28</v>
      </c>
      <c r="D4171" s="7">
        <v>103</v>
      </c>
      <c r="E4171" s="7">
        <v>16</v>
      </c>
      <c r="F4171" s="7">
        <f t="shared" si="65"/>
        <v>3</v>
      </c>
      <c r="G4171" s="7" t="str">
        <f>LOOKUP(H4171,[1]startdates!$A$2:$A$10,[1]startdates!$B$2:$B$10)</f>
        <v>SMr</v>
      </c>
      <c r="H4171">
        <v>1</v>
      </c>
      <c r="I4171" s="7">
        <v>618</v>
      </c>
      <c r="M4171" s="7">
        <v>326.2</v>
      </c>
      <c r="N4171" s="7">
        <v>281</v>
      </c>
      <c r="O4171" s="7">
        <v>159</v>
      </c>
    </row>
    <row r="4172" spans="1:21" x14ac:dyDescent="0.2">
      <c r="A4172">
        <v>4171</v>
      </c>
      <c r="B4172" s="1">
        <v>40841</v>
      </c>
      <c r="C4172" t="s">
        <v>28</v>
      </c>
      <c r="D4172" s="7">
        <v>103</v>
      </c>
      <c r="E4172" s="7">
        <v>16</v>
      </c>
      <c r="F4172" s="7">
        <f t="shared" si="65"/>
        <v>3</v>
      </c>
      <c r="G4172" s="7" t="str">
        <f>LOOKUP(H4172,[1]startdates!$A$2:$A$10,[1]startdates!$B$2:$B$10)</f>
        <v>SMr</v>
      </c>
      <c r="H4172">
        <v>1</v>
      </c>
      <c r="I4172" s="7">
        <v>525.79999999999995</v>
      </c>
    </row>
    <row r="4173" spans="1:21" x14ac:dyDescent="0.2">
      <c r="A4173">
        <v>4172</v>
      </c>
      <c r="B4173" s="1">
        <v>40841</v>
      </c>
      <c r="C4173" t="s">
        <v>28</v>
      </c>
      <c r="D4173" s="7">
        <v>103</v>
      </c>
      <c r="E4173" s="7">
        <v>16</v>
      </c>
      <c r="F4173" s="7">
        <f t="shared" si="65"/>
        <v>3</v>
      </c>
      <c r="G4173" s="7" t="str">
        <f>LOOKUP(H4173,[1]startdates!$A$2:$A$10,[1]startdates!$B$2:$B$10)</f>
        <v>SMr</v>
      </c>
      <c r="H4173">
        <v>1</v>
      </c>
      <c r="I4173" s="7">
        <v>589.1</v>
      </c>
    </row>
    <row r="4174" spans="1:21" x14ac:dyDescent="0.2">
      <c r="A4174">
        <v>4173</v>
      </c>
      <c r="B4174" s="1">
        <v>40841</v>
      </c>
      <c r="C4174" t="s">
        <v>28</v>
      </c>
      <c r="D4174" s="7">
        <v>103</v>
      </c>
      <c r="E4174" s="7">
        <v>16</v>
      </c>
      <c r="F4174" s="7">
        <f t="shared" si="65"/>
        <v>3</v>
      </c>
      <c r="G4174" s="7" t="str">
        <f>LOOKUP(H4174,[1]startdates!$A$2:$A$10,[1]startdates!$B$2:$B$10)</f>
        <v>SMr</v>
      </c>
      <c r="H4174">
        <v>1</v>
      </c>
      <c r="I4174" s="7">
        <v>632.6</v>
      </c>
    </row>
    <row r="4175" spans="1:21" x14ac:dyDescent="0.2">
      <c r="A4175">
        <v>4174</v>
      </c>
      <c r="B4175" s="1">
        <v>40841</v>
      </c>
      <c r="C4175" t="s">
        <v>28</v>
      </c>
      <c r="D4175" s="7">
        <v>103</v>
      </c>
      <c r="E4175" s="7">
        <v>16</v>
      </c>
      <c r="F4175" s="7">
        <f t="shared" si="65"/>
        <v>3</v>
      </c>
      <c r="G4175" s="7" t="str">
        <f>LOOKUP(H4175,[1]startdates!$A$2:$A$10,[1]startdates!$B$2:$B$10)</f>
        <v>SMr</v>
      </c>
      <c r="H4175">
        <v>2</v>
      </c>
      <c r="I4175" s="7">
        <v>548.9</v>
      </c>
      <c r="J4175" s="7">
        <v>548.29999999999995</v>
      </c>
      <c r="K4175" s="7">
        <v>482.4</v>
      </c>
      <c r="L4175" s="7">
        <v>415.3</v>
      </c>
      <c r="M4175" s="7">
        <v>322.5</v>
      </c>
      <c r="N4175" s="7">
        <v>274.39999999999998</v>
      </c>
      <c r="O4175" s="7">
        <v>188.5</v>
      </c>
      <c r="P4175" s="7">
        <v>446.7</v>
      </c>
      <c r="Q4175" s="7">
        <v>372</v>
      </c>
      <c r="R4175" s="7">
        <v>249</v>
      </c>
      <c r="S4175" s="7">
        <v>263.60000000000002</v>
      </c>
      <c r="U4175" s="7">
        <v>558.6</v>
      </c>
    </row>
    <row r="4176" spans="1:21" x14ac:dyDescent="0.2">
      <c r="A4176">
        <v>4175</v>
      </c>
      <c r="B4176" s="1">
        <v>40841</v>
      </c>
      <c r="C4176" t="s">
        <v>28</v>
      </c>
      <c r="D4176" s="7">
        <v>103</v>
      </c>
      <c r="E4176" s="7">
        <v>16</v>
      </c>
      <c r="F4176" s="7">
        <f t="shared" si="65"/>
        <v>3</v>
      </c>
      <c r="G4176" s="7" t="str">
        <f>LOOKUP(H4176,[1]startdates!$A$2:$A$10,[1]startdates!$B$2:$B$10)</f>
        <v>SMr</v>
      </c>
      <c r="H4176">
        <v>2</v>
      </c>
      <c r="I4176" s="7">
        <v>514</v>
      </c>
      <c r="J4176" s="7">
        <v>518.4</v>
      </c>
      <c r="K4176" s="7">
        <v>556.5</v>
      </c>
      <c r="L4176" s="7">
        <v>398.1</v>
      </c>
      <c r="M4176" s="7">
        <v>298.2</v>
      </c>
      <c r="N4176" s="7">
        <v>232.5</v>
      </c>
      <c r="O4176" s="7">
        <v>180.6</v>
      </c>
      <c r="P4176" s="7">
        <v>488.3</v>
      </c>
      <c r="U4176" s="7">
        <v>522.79999999999995</v>
      </c>
    </row>
    <row r="4177" spans="1:21" x14ac:dyDescent="0.2">
      <c r="A4177">
        <v>4176</v>
      </c>
      <c r="B4177" s="1">
        <v>40841</v>
      </c>
      <c r="C4177" t="s">
        <v>28</v>
      </c>
      <c r="D4177" s="7">
        <v>103</v>
      </c>
      <c r="E4177" s="7">
        <v>16</v>
      </c>
      <c r="F4177" s="7">
        <f t="shared" si="65"/>
        <v>3</v>
      </c>
      <c r="G4177" s="7" t="str">
        <f>LOOKUP(H4177,[1]startdates!$A$2:$A$10,[1]startdates!$B$2:$B$10)</f>
        <v>SMr</v>
      </c>
      <c r="H4177">
        <v>2</v>
      </c>
      <c r="I4177" s="7">
        <v>608.29999999999995</v>
      </c>
      <c r="K4177" s="7">
        <v>524.9</v>
      </c>
      <c r="L4177" s="7">
        <v>467.7</v>
      </c>
      <c r="M4177" s="7">
        <v>323.3</v>
      </c>
      <c r="N4177" s="7">
        <v>172.1</v>
      </c>
      <c r="O4177" s="7">
        <v>164.5</v>
      </c>
      <c r="U4177" s="7">
        <v>521</v>
      </c>
    </row>
    <row r="4178" spans="1:21" x14ac:dyDescent="0.2">
      <c r="A4178">
        <v>4177</v>
      </c>
      <c r="B4178" s="1">
        <v>40841</v>
      </c>
      <c r="C4178" t="s">
        <v>28</v>
      </c>
      <c r="D4178" s="7">
        <v>103</v>
      </c>
      <c r="E4178" s="7">
        <v>16</v>
      </c>
      <c r="F4178" s="7">
        <f t="shared" si="65"/>
        <v>3</v>
      </c>
      <c r="G4178" s="7" t="str">
        <f>LOOKUP(H4178,[1]startdates!$A$2:$A$10,[1]startdates!$B$2:$B$10)</f>
        <v>SMr</v>
      </c>
      <c r="H4178">
        <v>2</v>
      </c>
      <c r="I4178" s="7">
        <v>661.1</v>
      </c>
      <c r="K4178" s="7">
        <v>533.29999999999995</v>
      </c>
      <c r="L4178" s="7">
        <v>414.3</v>
      </c>
      <c r="M4178" s="7">
        <v>290.10000000000002</v>
      </c>
      <c r="N4178" s="7">
        <v>191.1</v>
      </c>
      <c r="O4178" s="7">
        <v>165.5</v>
      </c>
    </row>
    <row r="4179" spans="1:21" x14ac:dyDescent="0.2">
      <c r="A4179">
        <v>4178</v>
      </c>
      <c r="B4179" s="1">
        <v>40841</v>
      </c>
      <c r="C4179" t="s">
        <v>28</v>
      </c>
      <c r="D4179" s="7">
        <v>103</v>
      </c>
      <c r="E4179" s="7">
        <v>16</v>
      </c>
      <c r="F4179" s="7">
        <f t="shared" si="65"/>
        <v>3</v>
      </c>
      <c r="G4179" s="7" t="str">
        <f>LOOKUP(H4179,[1]startdates!$A$2:$A$10,[1]startdates!$B$2:$B$10)</f>
        <v>SMr</v>
      </c>
      <c r="H4179">
        <v>2</v>
      </c>
      <c r="I4179" s="7">
        <v>622.6</v>
      </c>
      <c r="L4179" s="7">
        <v>464.7</v>
      </c>
      <c r="M4179" s="7">
        <v>367.9</v>
      </c>
      <c r="N4179" s="7">
        <v>210.9</v>
      </c>
      <c r="O4179" s="7">
        <v>150.30000000000001</v>
      </c>
    </row>
    <row r="4180" spans="1:21" x14ac:dyDescent="0.2">
      <c r="A4180">
        <v>4179</v>
      </c>
      <c r="B4180" s="1">
        <v>40841</v>
      </c>
      <c r="C4180" t="s">
        <v>28</v>
      </c>
      <c r="D4180" s="7">
        <v>103</v>
      </c>
      <c r="E4180" s="7">
        <v>16</v>
      </c>
      <c r="F4180" s="7">
        <f t="shared" si="65"/>
        <v>3</v>
      </c>
      <c r="G4180" s="7" t="str">
        <f>LOOKUP(H4180,[1]startdates!$A$2:$A$10,[1]startdates!$B$2:$B$10)</f>
        <v>SMr</v>
      </c>
      <c r="H4180">
        <v>2</v>
      </c>
      <c r="I4180" s="7">
        <v>565.6</v>
      </c>
      <c r="L4180" s="7">
        <v>425.3</v>
      </c>
      <c r="M4180" s="7">
        <v>326.39999999999998</v>
      </c>
      <c r="N4180" s="7">
        <v>206.1</v>
      </c>
      <c r="O4180" s="7">
        <v>159.30000000000001</v>
      </c>
    </row>
    <row r="4181" spans="1:21" x14ac:dyDescent="0.2">
      <c r="A4181">
        <v>4180</v>
      </c>
      <c r="B4181" s="1">
        <v>40841</v>
      </c>
      <c r="C4181" t="s">
        <v>28</v>
      </c>
      <c r="D4181" s="7">
        <v>103</v>
      </c>
      <c r="E4181" s="7">
        <v>16</v>
      </c>
      <c r="F4181" s="7">
        <f t="shared" si="65"/>
        <v>3</v>
      </c>
      <c r="G4181" s="7" t="str">
        <f>LOOKUP(H4181,[1]startdates!$A$2:$A$10,[1]startdates!$B$2:$B$10)</f>
        <v>SMr</v>
      </c>
      <c r="H4181">
        <v>2</v>
      </c>
      <c r="I4181" s="7">
        <v>638.29999999999995</v>
      </c>
      <c r="M4181" s="7">
        <v>357.4</v>
      </c>
      <c r="N4181" s="7">
        <v>196.9</v>
      </c>
    </row>
    <row r="4182" spans="1:21" x14ac:dyDescent="0.2">
      <c r="A4182">
        <v>4181</v>
      </c>
      <c r="B4182" s="1">
        <v>40841</v>
      </c>
      <c r="C4182" t="s">
        <v>28</v>
      </c>
      <c r="D4182" s="7">
        <v>103</v>
      </c>
      <c r="E4182" s="7">
        <v>16</v>
      </c>
      <c r="F4182" s="7">
        <f t="shared" si="65"/>
        <v>3</v>
      </c>
      <c r="G4182" s="7" t="str">
        <f>LOOKUP(H4182,[1]startdates!$A$2:$A$10,[1]startdates!$B$2:$B$10)</f>
        <v>SMr</v>
      </c>
      <c r="H4182">
        <v>2</v>
      </c>
      <c r="I4182" s="7">
        <v>626.6</v>
      </c>
      <c r="M4182" s="7">
        <v>386.2</v>
      </c>
      <c r="N4182" s="7">
        <v>268.5</v>
      </c>
    </row>
    <row r="4183" spans="1:21" x14ac:dyDescent="0.2">
      <c r="A4183">
        <v>4182</v>
      </c>
      <c r="B4183" s="1">
        <v>40841</v>
      </c>
      <c r="C4183" t="s">
        <v>28</v>
      </c>
      <c r="D4183" s="7">
        <v>103</v>
      </c>
      <c r="E4183" s="7">
        <v>16</v>
      </c>
      <c r="F4183" s="7">
        <f t="shared" si="65"/>
        <v>3</v>
      </c>
      <c r="G4183" s="7" t="str">
        <f>LOOKUP(H4183,[1]startdates!$A$2:$A$10,[1]startdates!$B$2:$B$10)</f>
        <v>SMr</v>
      </c>
      <c r="H4183">
        <v>2</v>
      </c>
      <c r="I4183" s="7">
        <v>600.29999999999995</v>
      </c>
      <c r="M4183" s="7">
        <v>341.3</v>
      </c>
      <c r="N4183" s="7">
        <v>176.2</v>
      </c>
    </row>
    <row r="4184" spans="1:21" x14ac:dyDescent="0.2">
      <c r="A4184">
        <v>4183</v>
      </c>
      <c r="B4184" s="1">
        <v>40841</v>
      </c>
      <c r="C4184" t="s">
        <v>28</v>
      </c>
      <c r="D4184" s="7">
        <v>103</v>
      </c>
      <c r="E4184" s="7">
        <v>16</v>
      </c>
      <c r="F4184" s="7">
        <f t="shared" si="65"/>
        <v>3</v>
      </c>
      <c r="G4184" s="7" t="str">
        <f>LOOKUP(H4184,[1]startdates!$A$2:$A$10,[1]startdates!$B$2:$B$10)</f>
        <v>SMr</v>
      </c>
      <c r="H4184">
        <v>2</v>
      </c>
      <c r="I4184" s="7">
        <v>622.29999999999995</v>
      </c>
      <c r="M4184" s="7">
        <v>321.2</v>
      </c>
      <c r="N4184" s="7">
        <v>199.3</v>
      </c>
    </row>
    <row r="4185" spans="1:21" x14ac:dyDescent="0.2">
      <c r="A4185">
        <v>4184</v>
      </c>
      <c r="B4185" s="1">
        <v>40841</v>
      </c>
      <c r="C4185" t="s">
        <v>28</v>
      </c>
      <c r="D4185" s="7">
        <v>103</v>
      </c>
      <c r="E4185" s="7">
        <v>16</v>
      </c>
      <c r="F4185" s="7">
        <f t="shared" si="65"/>
        <v>3</v>
      </c>
      <c r="G4185" s="7" t="str">
        <f>LOOKUP(H4185,[1]startdates!$A$2:$A$10,[1]startdates!$B$2:$B$10)</f>
        <v>SMr</v>
      </c>
      <c r="H4185">
        <v>2</v>
      </c>
      <c r="I4185" s="7">
        <v>652.4</v>
      </c>
    </row>
    <row r="4186" spans="1:21" x14ac:dyDescent="0.2">
      <c r="A4186">
        <v>4185</v>
      </c>
      <c r="B4186" s="1">
        <v>40841</v>
      </c>
      <c r="C4186" t="s">
        <v>28</v>
      </c>
      <c r="D4186" s="7">
        <v>103</v>
      </c>
      <c r="E4186" s="7">
        <v>16</v>
      </c>
      <c r="F4186" s="7">
        <f t="shared" si="65"/>
        <v>3</v>
      </c>
      <c r="G4186" s="7" t="str">
        <f>LOOKUP(H4186,[1]startdates!$A$2:$A$10,[1]startdates!$B$2:$B$10)</f>
        <v>C</v>
      </c>
      <c r="H4186">
        <v>3</v>
      </c>
      <c r="I4186" s="7">
        <v>632.70000000000005</v>
      </c>
      <c r="J4186" s="7">
        <v>569.29999999999995</v>
      </c>
      <c r="K4186" s="7">
        <v>582.1</v>
      </c>
      <c r="L4186" s="7">
        <v>464.4</v>
      </c>
      <c r="M4186" s="7">
        <v>309.10000000000002</v>
      </c>
      <c r="N4186" s="7">
        <v>248.4</v>
      </c>
      <c r="O4186" s="7">
        <v>188.2</v>
      </c>
      <c r="Q4186" s="7">
        <v>351.2</v>
      </c>
      <c r="R4186" s="7">
        <v>251.3</v>
      </c>
      <c r="S4186" s="7">
        <v>276.10000000000002</v>
      </c>
    </row>
    <row r="4187" spans="1:21" x14ac:dyDescent="0.2">
      <c r="A4187">
        <v>4186</v>
      </c>
      <c r="B4187" s="1">
        <v>40841</v>
      </c>
      <c r="C4187" t="s">
        <v>28</v>
      </c>
      <c r="D4187" s="7">
        <v>103</v>
      </c>
      <c r="E4187" s="7">
        <v>16</v>
      </c>
      <c r="F4187" s="7">
        <f t="shared" si="65"/>
        <v>3</v>
      </c>
      <c r="G4187" s="7" t="str">
        <f>LOOKUP(H4187,[1]startdates!$A$2:$A$10,[1]startdates!$B$2:$B$10)</f>
        <v>C</v>
      </c>
      <c r="H4187">
        <v>3</v>
      </c>
      <c r="I4187" s="7">
        <v>671.9</v>
      </c>
      <c r="K4187" s="7">
        <v>587.79999999999995</v>
      </c>
      <c r="L4187" s="7">
        <v>479.3</v>
      </c>
      <c r="M4187" s="7">
        <v>350.5</v>
      </c>
      <c r="N4187" s="7">
        <v>259.3</v>
      </c>
      <c r="O4187" s="7">
        <v>168.9</v>
      </c>
    </row>
    <row r="4188" spans="1:21" x14ac:dyDescent="0.2">
      <c r="A4188">
        <v>4187</v>
      </c>
      <c r="B4188" s="1">
        <v>40841</v>
      </c>
      <c r="C4188" t="s">
        <v>28</v>
      </c>
      <c r="D4188" s="7">
        <v>103</v>
      </c>
      <c r="E4188" s="7">
        <v>16</v>
      </c>
      <c r="F4188" s="7">
        <f t="shared" si="65"/>
        <v>3</v>
      </c>
      <c r="G4188" s="7" t="str">
        <f>LOOKUP(H4188,[1]startdates!$A$2:$A$10,[1]startdates!$B$2:$B$10)</f>
        <v>C</v>
      </c>
      <c r="H4188">
        <v>3</v>
      </c>
      <c r="I4188" s="7">
        <v>680.3</v>
      </c>
      <c r="K4188" s="7">
        <v>578</v>
      </c>
      <c r="L4188" s="7">
        <v>404.4</v>
      </c>
      <c r="M4188" s="7">
        <v>285.39999999999998</v>
      </c>
      <c r="N4188" s="7">
        <v>195</v>
      </c>
      <c r="O4188" s="7">
        <v>159.69999999999999</v>
      </c>
    </row>
    <row r="4189" spans="1:21" x14ac:dyDescent="0.2">
      <c r="A4189">
        <v>4188</v>
      </c>
      <c r="B4189" s="1">
        <v>40841</v>
      </c>
      <c r="C4189" t="s">
        <v>28</v>
      </c>
      <c r="D4189" s="7">
        <v>103</v>
      </c>
      <c r="E4189" s="7">
        <v>16</v>
      </c>
      <c r="F4189" s="7">
        <f t="shared" si="65"/>
        <v>3</v>
      </c>
      <c r="G4189" s="7" t="str">
        <f>LOOKUP(H4189,[1]startdates!$A$2:$A$10,[1]startdates!$B$2:$B$10)</f>
        <v>C</v>
      </c>
      <c r="H4189">
        <v>3</v>
      </c>
      <c r="I4189" s="7">
        <v>655.29999999999995</v>
      </c>
      <c r="K4189" s="7">
        <v>490.3</v>
      </c>
      <c r="L4189" s="7">
        <v>405.4</v>
      </c>
      <c r="M4189" s="7">
        <v>325.8</v>
      </c>
      <c r="N4189" s="7">
        <v>242</v>
      </c>
      <c r="O4189" s="7">
        <v>167.7</v>
      </c>
    </row>
    <row r="4190" spans="1:21" x14ac:dyDescent="0.2">
      <c r="A4190">
        <v>4189</v>
      </c>
      <c r="B4190" s="1">
        <v>40841</v>
      </c>
      <c r="C4190" t="s">
        <v>28</v>
      </c>
      <c r="D4190" s="7">
        <v>103</v>
      </c>
      <c r="E4190" s="7">
        <v>16</v>
      </c>
      <c r="F4190" s="7">
        <f t="shared" si="65"/>
        <v>3</v>
      </c>
      <c r="G4190" s="7" t="str">
        <f>LOOKUP(H4190,[1]startdates!$A$2:$A$10,[1]startdates!$B$2:$B$10)</f>
        <v>C</v>
      </c>
      <c r="H4190">
        <v>3</v>
      </c>
      <c r="I4190" s="7">
        <v>494</v>
      </c>
      <c r="K4190" s="7">
        <v>528.1</v>
      </c>
      <c r="M4190" s="7">
        <v>333.3</v>
      </c>
      <c r="N4190" s="7">
        <v>232.2</v>
      </c>
      <c r="O4190" s="7">
        <v>161.5</v>
      </c>
    </row>
    <row r="4191" spans="1:21" x14ac:dyDescent="0.2">
      <c r="A4191">
        <v>4190</v>
      </c>
      <c r="B4191" s="1">
        <v>40841</v>
      </c>
      <c r="C4191" t="s">
        <v>28</v>
      </c>
      <c r="D4191" s="7">
        <v>103</v>
      </c>
      <c r="E4191" s="7">
        <v>16</v>
      </c>
      <c r="F4191" s="7">
        <f t="shared" si="65"/>
        <v>3</v>
      </c>
      <c r="G4191" s="7" t="str">
        <f>LOOKUP(H4191,[1]startdates!$A$2:$A$10,[1]startdates!$B$2:$B$10)</f>
        <v>C</v>
      </c>
      <c r="H4191">
        <v>3</v>
      </c>
      <c r="I4191" s="7">
        <v>642.9</v>
      </c>
      <c r="K4191" s="7">
        <v>490.8</v>
      </c>
      <c r="M4191" s="7">
        <v>341.4</v>
      </c>
      <c r="N4191" s="7">
        <v>204.9</v>
      </c>
      <c r="O4191" s="7">
        <v>154.69999999999999</v>
      </c>
    </row>
    <row r="4192" spans="1:21" x14ac:dyDescent="0.2">
      <c r="A4192">
        <v>4191</v>
      </c>
      <c r="B4192" s="1">
        <v>40841</v>
      </c>
      <c r="C4192" t="s">
        <v>28</v>
      </c>
      <c r="D4192" s="7">
        <v>103</v>
      </c>
      <c r="E4192" s="7">
        <v>16</v>
      </c>
      <c r="F4192" s="7">
        <f t="shared" si="65"/>
        <v>3</v>
      </c>
      <c r="G4192" s="7" t="str">
        <f>LOOKUP(H4192,[1]startdates!$A$2:$A$10,[1]startdates!$B$2:$B$10)</f>
        <v>C</v>
      </c>
      <c r="H4192">
        <v>3</v>
      </c>
      <c r="I4192" s="7">
        <v>517.4</v>
      </c>
      <c r="K4192" s="7">
        <v>464.6</v>
      </c>
      <c r="M4192" s="7">
        <v>385.8</v>
      </c>
      <c r="N4192" s="7">
        <v>198.3</v>
      </c>
      <c r="O4192" s="7">
        <v>174.9</v>
      </c>
    </row>
    <row r="4193" spans="1:21" x14ac:dyDescent="0.2">
      <c r="A4193">
        <v>4192</v>
      </c>
      <c r="B4193" s="1">
        <v>40841</v>
      </c>
      <c r="C4193" t="s">
        <v>28</v>
      </c>
      <c r="D4193" s="7">
        <v>103</v>
      </c>
      <c r="E4193" s="7">
        <v>16</v>
      </c>
      <c r="F4193" s="7">
        <f t="shared" si="65"/>
        <v>3</v>
      </c>
      <c r="G4193" s="7" t="str">
        <f>LOOKUP(H4193,[1]startdates!$A$2:$A$10,[1]startdates!$B$2:$B$10)</f>
        <v>C</v>
      </c>
      <c r="H4193">
        <v>3</v>
      </c>
      <c r="I4193" s="7">
        <v>551.29999999999995</v>
      </c>
      <c r="M4193" s="7">
        <v>394.2</v>
      </c>
      <c r="N4193" s="7">
        <v>195.1</v>
      </c>
      <c r="O4193" s="7">
        <v>144</v>
      </c>
    </row>
    <row r="4194" spans="1:21" x14ac:dyDescent="0.2">
      <c r="A4194">
        <v>4193</v>
      </c>
      <c r="B4194" s="1">
        <v>40841</v>
      </c>
      <c r="C4194" t="s">
        <v>28</v>
      </c>
      <c r="D4194" s="7">
        <v>103</v>
      </c>
      <c r="E4194" s="7">
        <v>16</v>
      </c>
      <c r="F4194" s="7">
        <f t="shared" si="65"/>
        <v>3</v>
      </c>
      <c r="G4194" s="7" t="str">
        <f>LOOKUP(H4194,[1]startdates!$A$2:$A$10,[1]startdates!$B$2:$B$10)</f>
        <v>C</v>
      </c>
      <c r="H4194">
        <v>3</v>
      </c>
      <c r="I4194" s="7">
        <v>470</v>
      </c>
      <c r="M4194" s="7">
        <v>326</v>
      </c>
      <c r="N4194" s="7">
        <v>198.3</v>
      </c>
      <c r="O4194" s="7">
        <v>171.7</v>
      </c>
    </row>
    <row r="4195" spans="1:21" x14ac:dyDescent="0.2">
      <c r="A4195">
        <v>4194</v>
      </c>
      <c r="B4195" s="1">
        <v>40841</v>
      </c>
      <c r="C4195" t="s">
        <v>28</v>
      </c>
      <c r="D4195" s="7">
        <v>103</v>
      </c>
      <c r="E4195" s="7">
        <v>16</v>
      </c>
      <c r="F4195" s="7">
        <f t="shared" si="65"/>
        <v>3</v>
      </c>
      <c r="G4195" s="7" t="str">
        <f>LOOKUP(H4195,[1]startdates!$A$2:$A$10,[1]startdates!$B$2:$B$10)</f>
        <v>C</v>
      </c>
      <c r="H4195">
        <v>3</v>
      </c>
      <c r="I4195" s="7">
        <v>540.20000000000005</v>
      </c>
      <c r="N4195" s="7">
        <v>273.7</v>
      </c>
      <c r="O4195" s="7">
        <v>167</v>
      </c>
    </row>
    <row r="4196" spans="1:21" x14ac:dyDescent="0.2">
      <c r="A4196">
        <v>4195</v>
      </c>
      <c r="B4196" s="1">
        <v>40841</v>
      </c>
      <c r="C4196" t="s">
        <v>28</v>
      </c>
      <c r="D4196" s="7">
        <v>103</v>
      </c>
      <c r="E4196" s="7">
        <v>16</v>
      </c>
      <c r="F4196" s="7">
        <f t="shared" si="65"/>
        <v>3</v>
      </c>
      <c r="G4196" s="7" t="str">
        <f>LOOKUP(H4196,[1]startdates!$A$2:$A$10,[1]startdates!$B$2:$B$10)</f>
        <v>C</v>
      </c>
      <c r="H4196">
        <v>3</v>
      </c>
      <c r="I4196" s="7">
        <v>738.1</v>
      </c>
    </row>
    <row r="4197" spans="1:21" x14ac:dyDescent="0.2">
      <c r="A4197">
        <v>4196</v>
      </c>
      <c r="B4197" s="1">
        <v>40841</v>
      </c>
      <c r="C4197" t="s">
        <v>28</v>
      </c>
      <c r="D4197" s="7">
        <v>103</v>
      </c>
      <c r="E4197" s="7">
        <v>16</v>
      </c>
      <c r="F4197" s="7">
        <f t="shared" si="65"/>
        <v>3</v>
      </c>
      <c r="G4197" s="7" t="str">
        <f>LOOKUP(H4197,[1]startdates!$A$2:$A$10,[1]startdates!$B$2:$B$10)</f>
        <v>C</v>
      </c>
      <c r="H4197">
        <v>3</v>
      </c>
      <c r="I4197" s="7">
        <v>515.70000000000005</v>
      </c>
    </row>
    <row r="4198" spans="1:21" x14ac:dyDescent="0.2">
      <c r="A4198">
        <v>4197</v>
      </c>
      <c r="B4198" s="1">
        <v>40841</v>
      </c>
      <c r="C4198" t="s">
        <v>28</v>
      </c>
      <c r="D4198" s="7">
        <v>103</v>
      </c>
      <c r="E4198" s="7">
        <v>16</v>
      </c>
      <c r="F4198" s="7">
        <f t="shared" si="65"/>
        <v>3</v>
      </c>
      <c r="G4198" s="7" t="str">
        <f>LOOKUP(H4198,[1]startdates!$A$2:$A$10,[1]startdates!$B$2:$B$10)</f>
        <v>C</v>
      </c>
      <c r="H4198">
        <v>3</v>
      </c>
      <c r="I4198" s="7">
        <v>540.20000000000005</v>
      </c>
    </row>
    <row r="4199" spans="1:21" x14ac:dyDescent="0.2">
      <c r="A4199">
        <v>4198</v>
      </c>
      <c r="B4199" s="1">
        <v>40841</v>
      </c>
      <c r="C4199" t="s">
        <v>28</v>
      </c>
      <c r="D4199" s="7">
        <v>103</v>
      </c>
      <c r="E4199" s="7">
        <v>16</v>
      </c>
      <c r="F4199" s="7">
        <f t="shared" si="65"/>
        <v>3</v>
      </c>
      <c r="G4199" s="7" t="str">
        <f>LOOKUP(H4199,[1]startdates!$A$2:$A$10,[1]startdates!$B$2:$B$10)</f>
        <v>C</v>
      </c>
      <c r="H4199">
        <v>3</v>
      </c>
      <c r="I4199" s="7">
        <v>582.9</v>
      </c>
    </row>
    <row r="4200" spans="1:21" x14ac:dyDescent="0.2">
      <c r="A4200">
        <v>4199</v>
      </c>
      <c r="B4200" s="1">
        <v>40841</v>
      </c>
      <c r="C4200" t="s">
        <v>28</v>
      </c>
      <c r="D4200" s="7">
        <v>103</v>
      </c>
      <c r="E4200" s="7">
        <v>16</v>
      </c>
      <c r="F4200" s="7">
        <f t="shared" si="65"/>
        <v>3</v>
      </c>
      <c r="G4200" s="7" t="str">
        <f>LOOKUP(H4200,[1]startdates!$A$2:$A$10,[1]startdates!$B$2:$B$10)</f>
        <v>SMr</v>
      </c>
      <c r="H4200">
        <v>4</v>
      </c>
      <c r="I4200" s="7">
        <v>522.20000000000005</v>
      </c>
      <c r="J4200" s="7">
        <v>587.20000000000005</v>
      </c>
      <c r="K4200" s="7">
        <v>473.8</v>
      </c>
      <c r="L4200" s="7">
        <v>449.9</v>
      </c>
      <c r="M4200" s="7">
        <v>368.5</v>
      </c>
      <c r="N4200" s="7">
        <v>238.1</v>
      </c>
      <c r="O4200" s="7">
        <v>166.7</v>
      </c>
      <c r="P4200" s="7">
        <v>422.8</v>
      </c>
      <c r="Q4200" s="7">
        <v>345.8</v>
      </c>
      <c r="S4200" s="7">
        <v>261.60000000000002</v>
      </c>
      <c r="U4200" s="7">
        <v>557</v>
      </c>
    </row>
    <row r="4201" spans="1:21" x14ac:dyDescent="0.2">
      <c r="A4201">
        <v>4200</v>
      </c>
      <c r="B4201" s="1">
        <v>40841</v>
      </c>
      <c r="C4201" t="s">
        <v>28</v>
      </c>
      <c r="D4201" s="7">
        <v>103</v>
      </c>
      <c r="E4201" s="7">
        <v>16</v>
      </c>
      <c r="F4201" s="7">
        <f t="shared" ref="F4201:F4264" si="66">WEEKDAY(B4201)</f>
        <v>3</v>
      </c>
      <c r="G4201" s="7" t="str">
        <f>LOOKUP(H4201,[1]startdates!$A$2:$A$10,[1]startdates!$B$2:$B$10)</f>
        <v>SMr</v>
      </c>
      <c r="H4201">
        <v>4</v>
      </c>
      <c r="I4201" s="7">
        <v>632.6</v>
      </c>
      <c r="K4201" s="7">
        <v>458.3</v>
      </c>
      <c r="L4201" s="7">
        <v>429.6</v>
      </c>
      <c r="M4201" s="7">
        <v>280.7</v>
      </c>
      <c r="N4201" s="7">
        <v>197.8</v>
      </c>
      <c r="O4201" s="7">
        <v>176.2</v>
      </c>
      <c r="P4201" s="7">
        <v>432</v>
      </c>
      <c r="Q4201" s="7">
        <v>348.1</v>
      </c>
      <c r="S4201" s="7">
        <v>269.7</v>
      </c>
      <c r="U4201" s="7">
        <v>479</v>
      </c>
    </row>
    <row r="4202" spans="1:21" x14ac:dyDescent="0.2">
      <c r="A4202">
        <v>4201</v>
      </c>
      <c r="B4202" s="1">
        <v>40841</v>
      </c>
      <c r="C4202" t="s">
        <v>28</v>
      </c>
      <c r="D4202" s="7">
        <v>103</v>
      </c>
      <c r="E4202" s="7">
        <v>16</v>
      </c>
      <c r="F4202" s="7">
        <f t="shared" si="66"/>
        <v>3</v>
      </c>
      <c r="G4202" s="7" t="str">
        <f>LOOKUP(H4202,[1]startdates!$A$2:$A$10,[1]startdates!$B$2:$B$10)</f>
        <v>SMr</v>
      </c>
      <c r="H4202">
        <v>4</v>
      </c>
      <c r="I4202" s="7">
        <v>588.5</v>
      </c>
      <c r="K4202" s="7">
        <v>503</v>
      </c>
      <c r="L4202" s="7">
        <v>452.9</v>
      </c>
      <c r="M4202" s="7">
        <v>302.89999999999998</v>
      </c>
      <c r="N4202" s="7">
        <v>219.7</v>
      </c>
      <c r="O4202" s="7">
        <v>156.19999999999999</v>
      </c>
      <c r="Q4202" s="7">
        <v>348.1</v>
      </c>
      <c r="U4202" s="7">
        <v>597.5</v>
      </c>
    </row>
    <row r="4203" spans="1:21" x14ac:dyDescent="0.2">
      <c r="A4203">
        <v>4202</v>
      </c>
      <c r="B4203" s="1">
        <v>40841</v>
      </c>
      <c r="C4203" t="s">
        <v>28</v>
      </c>
      <c r="D4203" s="7">
        <v>103</v>
      </c>
      <c r="E4203" s="7">
        <v>16</v>
      </c>
      <c r="F4203" s="7">
        <f t="shared" si="66"/>
        <v>3</v>
      </c>
      <c r="G4203" s="7" t="str">
        <f>LOOKUP(H4203,[1]startdates!$A$2:$A$10,[1]startdates!$B$2:$B$10)</f>
        <v>SMr</v>
      </c>
      <c r="H4203">
        <v>4</v>
      </c>
      <c r="I4203" s="7">
        <v>559.79999999999995</v>
      </c>
      <c r="L4203" s="7">
        <v>405.1</v>
      </c>
      <c r="M4203" s="7">
        <v>335.9</v>
      </c>
      <c r="N4203" s="7">
        <v>207.9</v>
      </c>
      <c r="O4203" s="7">
        <v>169.4</v>
      </c>
    </row>
    <row r="4204" spans="1:21" x14ac:dyDescent="0.2">
      <c r="A4204">
        <v>4203</v>
      </c>
      <c r="B4204" s="1">
        <v>40841</v>
      </c>
      <c r="C4204" t="s">
        <v>28</v>
      </c>
      <c r="D4204" s="7">
        <v>103</v>
      </c>
      <c r="E4204" s="7">
        <v>16</v>
      </c>
      <c r="F4204" s="7">
        <f t="shared" si="66"/>
        <v>3</v>
      </c>
      <c r="G4204" s="7" t="str">
        <f>LOOKUP(H4204,[1]startdates!$A$2:$A$10,[1]startdates!$B$2:$B$10)</f>
        <v>SMr</v>
      </c>
      <c r="H4204">
        <v>4</v>
      </c>
      <c r="I4204" s="7">
        <v>615</v>
      </c>
      <c r="M4204" s="7">
        <v>389.7</v>
      </c>
      <c r="N4204" s="7">
        <v>180.1</v>
      </c>
      <c r="O4204" s="7">
        <v>156.4</v>
      </c>
    </row>
    <row r="4205" spans="1:21" x14ac:dyDescent="0.2">
      <c r="A4205">
        <v>4204</v>
      </c>
      <c r="B4205" s="1">
        <v>40841</v>
      </c>
      <c r="C4205" t="s">
        <v>28</v>
      </c>
      <c r="D4205" s="7">
        <v>103</v>
      </c>
      <c r="E4205" s="7">
        <v>16</v>
      </c>
      <c r="F4205" s="7">
        <f t="shared" si="66"/>
        <v>3</v>
      </c>
      <c r="G4205" s="7" t="str">
        <f>LOOKUP(H4205,[1]startdates!$A$2:$A$10,[1]startdates!$B$2:$B$10)</f>
        <v>SMr</v>
      </c>
      <c r="H4205">
        <v>4</v>
      </c>
      <c r="I4205" s="7">
        <v>526.79999999999995</v>
      </c>
      <c r="M4205" s="7">
        <v>349.9</v>
      </c>
      <c r="N4205" s="7">
        <v>202.8</v>
      </c>
      <c r="O4205" s="7">
        <v>174.6</v>
      </c>
    </row>
    <row r="4206" spans="1:21" x14ac:dyDescent="0.2">
      <c r="A4206">
        <v>4205</v>
      </c>
      <c r="B4206" s="1">
        <v>40841</v>
      </c>
      <c r="C4206" t="s">
        <v>28</v>
      </c>
      <c r="D4206" s="7">
        <v>103</v>
      </c>
      <c r="E4206" s="7">
        <v>16</v>
      </c>
      <c r="F4206" s="7">
        <f t="shared" si="66"/>
        <v>3</v>
      </c>
      <c r="G4206" s="7" t="str">
        <f>LOOKUP(H4206,[1]startdates!$A$2:$A$10,[1]startdates!$B$2:$B$10)</f>
        <v>SMr</v>
      </c>
      <c r="H4206">
        <v>4</v>
      </c>
      <c r="I4206" s="7">
        <v>541.20000000000005</v>
      </c>
      <c r="M4206" s="7">
        <v>293.5</v>
      </c>
      <c r="N4206" s="7">
        <v>166.7</v>
      </c>
      <c r="O4206" s="7">
        <v>192.9</v>
      </c>
    </row>
    <row r="4207" spans="1:21" x14ac:dyDescent="0.2">
      <c r="A4207">
        <v>4206</v>
      </c>
      <c r="B4207" s="1">
        <v>40841</v>
      </c>
      <c r="C4207" t="s">
        <v>28</v>
      </c>
      <c r="D4207" s="7">
        <v>103</v>
      </c>
      <c r="E4207" s="7">
        <v>16</v>
      </c>
      <c r="F4207" s="7">
        <f t="shared" si="66"/>
        <v>3</v>
      </c>
      <c r="G4207" s="7" t="str">
        <f>LOOKUP(H4207,[1]startdates!$A$2:$A$10,[1]startdates!$B$2:$B$10)</f>
        <v>SMr</v>
      </c>
      <c r="H4207">
        <v>4</v>
      </c>
      <c r="I4207" s="7">
        <v>575</v>
      </c>
      <c r="M4207" s="7">
        <v>384.2</v>
      </c>
      <c r="N4207" s="7">
        <v>219.2</v>
      </c>
      <c r="O4207" s="7">
        <v>170.6</v>
      </c>
    </row>
    <row r="4208" spans="1:21" x14ac:dyDescent="0.2">
      <c r="A4208">
        <v>4207</v>
      </c>
      <c r="B4208" s="1">
        <v>40841</v>
      </c>
      <c r="C4208" t="s">
        <v>28</v>
      </c>
      <c r="D4208" s="7">
        <v>103</v>
      </c>
      <c r="E4208" s="7">
        <v>16</v>
      </c>
      <c r="F4208" s="7">
        <f t="shared" si="66"/>
        <v>3</v>
      </c>
      <c r="G4208" s="7" t="str">
        <f>LOOKUP(H4208,[1]startdates!$A$2:$A$10,[1]startdates!$B$2:$B$10)</f>
        <v>SMr</v>
      </c>
      <c r="H4208">
        <v>4</v>
      </c>
      <c r="I4208" s="7">
        <v>634.20000000000005</v>
      </c>
      <c r="M4208" s="7">
        <v>375.8</v>
      </c>
      <c r="N4208" s="7">
        <v>242.7</v>
      </c>
      <c r="O4208" s="7">
        <v>163.4</v>
      </c>
    </row>
    <row r="4209" spans="1:19" x14ac:dyDescent="0.2">
      <c r="A4209">
        <v>4208</v>
      </c>
      <c r="B4209" s="1">
        <v>40841</v>
      </c>
      <c r="C4209" t="s">
        <v>28</v>
      </c>
      <c r="D4209" s="7">
        <v>103</v>
      </c>
      <c r="E4209" s="7">
        <v>16</v>
      </c>
      <c r="F4209" s="7">
        <f t="shared" si="66"/>
        <v>3</v>
      </c>
      <c r="G4209" s="7" t="str">
        <f>LOOKUP(H4209,[1]startdates!$A$2:$A$10,[1]startdates!$B$2:$B$10)</f>
        <v>SMr</v>
      </c>
      <c r="H4209">
        <v>4</v>
      </c>
      <c r="I4209" s="7">
        <v>626.4</v>
      </c>
      <c r="M4209" s="7">
        <v>388.8</v>
      </c>
      <c r="N4209" s="7">
        <v>246.1</v>
      </c>
      <c r="O4209" s="7">
        <v>169.7</v>
      </c>
    </row>
    <row r="4210" spans="1:19" x14ac:dyDescent="0.2">
      <c r="A4210">
        <v>4209</v>
      </c>
      <c r="B4210" s="1">
        <v>40841</v>
      </c>
      <c r="C4210" t="s">
        <v>28</v>
      </c>
      <c r="D4210" s="7">
        <v>103</v>
      </c>
      <c r="E4210" s="7">
        <v>16</v>
      </c>
      <c r="F4210" s="7">
        <f t="shared" si="66"/>
        <v>3</v>
      </c>
      <c r="G4210" s="7" t="str">
        <f>LOOKUP(H4210,[1]startdates!$A$2:$A$10,[1]startdates!$B$2:$B$10)</f>
        <v>SMr</v>
      </c>
      <c r="H4210">
        <v>4</v>
      </c>
      <c r="I4210" s="7">
        <v>507.5</v>
      </c>
      <c r="M4210" s="7">
        <v>367.7</v>
      </c>
      <c r="N4210" s="7">
        <v>201</v>
      </c>
    </row>
    <row r="4211" spans="1:19" x14ac:dyDescent="0.2">
      <c r="A4211">
        <v>4210</v>
      </c>
      <c r="B4211" s="1">
        <v>40841</v>
      </c>
      <c r="C4211" t="s">
        <v>28</v>
      </c>
      <c r="D4211" s="7">
        <v>103</v>
      </c>
      <c r="E4211" s="7">
        <v>16</v>
      </c>
      <c r="F4211" s="7">
        <f t="shared" si="66"/>
        <v>3</v>
      </c>
      <c r="G4211" s="7" t="str">
        <f>LOOKUP(H4211,[1]startdates!$A$2:$A$10,[1]startdates!$B$2:$B$10)</f>
        <v>SMr</v>
      </c>
      <c r="H4211">
        <v>4</v>
      </c>
      <c r="I4211" s="7">
        <v>653.70000000000005</v>
      </c>
    </row>
    <row r="4212" spans="1:19" x14ac:dyDescent="0.2">
      <c r="A4212">
        <v>4211</v>
      </c>
      <c r="B4212" s="1">
        <v>40841</v>
      </c>
      <c r="C4212" t="s">
        <v>28</v>
      </c>
      <c r="D4212" s="7">
        <v>103</v>
      </c>
      <c r="E4212" s="7">
        <v>16</v>
      </c>
      <c r="F4212" s="7">
        <f t="shared" si="66"/>
        <v>3</v>
      </c>
      <c r="G4212" s="7" t="str">
        <f>LOOKUP(H4212,[1]startdates!$A$2:$A$10,[1]startdates!$B$2:$B$10)</f>
        <v>SMr</v>
      </c>
      <c r="H4212">
        <v>4</v>
      </c>
      <c r="I4212" s="7">
        <v>513.4</v>
      </c>
    </row>
    <row r="4213" spans="1:19" x14ac:dyDescent="0.2">
      <c r="A4213">
        <v>4212</v>
      </c>
      <c r="B4213" s="1">
        <v>40841</v>
      </c>
      <c r="C4213" t="s">
        <v>24</v>
      </c>
      <c r="D4213" s="7">
        <v>103</v>
      </c>
      <c r="E4213" s="7">
        <v>16</v>
      </c>
      <c r="F4213" s="7">
        <f t="shared" si="66"/>
        <v>3</v>
      </c>
      <c r="G4213" s="7" t="str">
        <f>LOOKUP(H4213,[1]startdates!$A$2:$A$10,[1]startdates!$B$2:$B$10)</f>
        <v>C</v>
      </c>
      <c r="H4213">
        <v>5</v>
      </c>
      <c r="I4213" s="7">
        <v>585.5</v>
      </c>
      <c r="J4213" s="7">
        <v>522.29999999999995</v>
      </c>
      <c r="K4213" s="7">
        <v>585.9</v>
      </c>
      <c r="L4213" s="7">
        <v>503.6</v>
      </c>
      <c r="M4213" s="7">
        <v>283.8</v>
      </c>
      <c r="N4213" s="7">
        <v>213.7</v>
      </c>
      <c r="O4213" s="7">
        <v>186.3</v>
      </c>
      <c r="P4213" s="7">
        <v>539.4</v>
      </c>
      <c r="Q4213" s="7">
        <v>422.4</v>
      </c>
      <c r="R4213" s="7">
        <v>333.6</v>
      </c>
    </row>
    <row r="4214" spans="1:19" x14ac:dyDescent="0.2">
      <c r="A4214">
        <v>4213</v>
      </c>
      <c r="B4214" s="1">
        <v>40841</v>
      </c>
      <c r="C4214" t="s">
        <v>24</v>
      </c>
      <c r="D4214" s="7">
        <v>103</v>
      </c>
      <c r="E4214" s="7">
        <v>16</v>
      </c>
      <c r="F4214" s="7">
        <f t="shared" si="66"/>
        <v>3</v>
      </c>
      <c r="G4214" s="7" t="str">
        <f>LOOKUP(H4214,[1]startdates!$A$2:$A$10,[1]startdates!$B$2:$B$10)</f>
        <v>C</v>
      </c>
      <c r="H4214">
        <v>5</v>
      </c>
      <c r="I4214" s="7">
        <v>601.9</v>
      </c>
      <c r="J4214" s="7">
        <v>477</v>
      </c>
      <c r="K4214" s="7">
        <v>362.3</v>
      </c>
      <c r="L4214" s="7">
        <v>422</v>
      </c>
      <c r="M4214" s="7">
        <v>313.5</v>
      </c>
      <c r="N4214" s="7">
        <v>247.1</v>
      </c>
      <c r="O4214" s="7">
        <v>196.8</v>
      </c>
      <c r="P4214" s="7">
        <v>534.20000000000005</v>
      </c>
      <c r="Q4214" s="7">
        <v>425.2</v>
      </c>
    </row>
    <row r="4215" spans="1:19" x14ac:dyDescent="0.2">
      <c r="A4215">
        <v>4214</v>
      </c>
      <c r="B4215" s="1">
        <v>40841</v>
      </c>
      <c r="C4215" t="s">
        <v>24</v>
      </c>
      <c r="D4215" s="7">
        <v>103</v>
      </c>
      <c r="E4215" s="7">
        <v>16</v>
      </c>
      <c r="F4215" s="7">
        <f t="shared" si="66"/>
        <v>3</v>
      </c>
      <c r="G4215" s="7" t="str">
        <f>LOOKUP(H4215,[1]startdates!$A$2:$A$10,[1]startdates!$B$2:$B$10)</f>
        <v>C</v>
      </c>
      <c r="H4215">
        <v>5</v>
      </c>
      <c r="I4215" s="7">
        <v>536.4</v>
      </c>
      <c r="K4215" s="7">
        <v>469</v>
      </c>
      <c r="L4215" s="7">
        <v>428.1</v>
      </c>
      <c r="M4215" s="7">
        <v>311.89999999999998</v>
      </c>
      <c r="N4215" s="7">
        <v>265.10000000000002</v>
      </c>
      <c r="O4215" s="7">
        <v>167.1</v>
      </c>
      <c r="P4215" s="7">
        <v>460.8</v>
      </c>
      <c r="Q4215" s="7">
        <v>419.7</v>
      </c>
    </row>
    <row r="4216" spans="1:19" x14ac:dyDescent="0.2">
      <c r="A4216">
        <v>4215</v>
      </c>
      <c r="B4216" s="1">
        <v>40841</v>
      </c>
      <c r="C4216" t="s">
        <v>24</v>
      </c>
      <c r="D4216" s="7">
        <v>103</v>
      </c>
      <c r="E4216" s="7">
        <v>16</v>
      </c>
      <c r="F4216" s="7">
        <f t="shared" si="66"/>
        <v>3</v>
      </c>
      <c r="G4216" s="7" t="str">
        <f>LOOKUP(H4216,[1]startdates!$A$2:$A$10,[1]startdates!$B$2:$B$10)</f>
        <v>C</v>
      </c>
      <c r="H4216">
        <v>5</v>
      </c>
      <c r="I4216" s="7">
        <v>644.6</v>
      </c>
      <c r="K4216" s="7">
        <v>496.9</v>
      </c>
      <c r="M4216" s="7">
        <v>290.5</v>
      </c>
      <c r="N4216" s="7">
        <v>198.1</v>
      </c>
      <c r="O4216" s="7">
        <v>201.1</v>
      </c>
      <c r="P4216" s="7">
        <v>481.5</v>
      </c>
      <c r="Q4216" s="7">
        <v>339.9</v>
      </c>
    </row>
    <row r="4217" spans="1:19" x14ac:dyDescent="0.2">
      <c r="A4217">
        <v>4216</v>
      </c>
      <c r="B4217" s="1">
        <v>40841</v>
      </c>
      <c r="C4217" t="s">
        <v>24</v>
      </c>
      <c r="D4217" s="7">
        <v>103</v>
      </c>
      <c r="E4217" s="7">
        <v>16</v>
      </c>
      <c r="F4217" s="7">
        <f t="shared" si="66"/>
        <v>3</v>
      </c>
      <c r="G4217" s="7" t="str">
        <f>LOOKUP(H4217,[1]startdates!$A$2:$A$10,[1]startdates!$B$2:$B$10)</f>
        <v>C</v>
      </c>
      <c r="H4217">
        <v>5</v>
      </c>
      <c r="I4217" s="7">
        <v>668.6</v>
      </c>
      <c r="K4217" s="7">
        <v>451.8</v>
      </c>
      <c r="M4217" s="7">
        <v>320.2</v>
      </c>
      <c r="N4217" s="7">
        <v>240.2</v>
      </c>
      <c r="O4217" s="7">
        <v>162</v>
      </c>
      <c r="P4217" s="7">
        <v>475</v>
      </c>
    </row>
    <row r="4218" spans="1:19" x14ac:dyDescent="0.2">
      <c r="A4218">
        <v>4217</v>
      </c>
      <c r="B4218" s="1">
        <v>40841</v>
      </c>
      <c r="C4218" t="s">
        <v>24</v>
      </c>
      <c r="D4218" s="7">
        <v>103</v>
      </c>
      <c r="E4218" s="7">
        <v>16</v>
      </c>
      <c r="F4218" s="7">
        <f t="shared" si="66"/>
        <v>3</v>
      </c>
      <c r="G4218" s="7" t="str">
        <f>LOOKUP(H4218,[1]startdates!$A$2:$A$10,[1]startdates!$B$2:$B$10)</f>
        <v>C</v>
      </c>
      <c r="H4218">
        <v>5</v>
      </c>
      <c r="I4218" s="7">
        <v>504.9</v>
      </c>
      <c r="K4218" s="7">
        <v>491.7</v>
      </c>
      <c r="M4218" s="7">
        <v>388.6</v>
      </c>
      <c r="N4218" s="7">
        <v>214.5</v>
      </c>
      <c r="O4218" s="7">
        <v>178.1</v>
      </c>
    </row>
    <row r="4219" spans="1:19" x14ac:dyDescent="0.2">
      <c r="A4219">
        <v>4218</v>
      </c>
      <c r="B4219" s="1">
        <v>40841</v>
      </c>
      <c r="C4219" t="s">
        <v>24</v>
      </c>
      <c r="D4219" s="7">
        <v>103</v>
      </c>
      <c r="E4219" s="7">
        <v>16</v>
      </c>
      <c r="F4219" s="7">
        <f t="shared" si="66"/>
        <v>3</v>
      </c>
      <c r="G4219" s="7" t="str">
        <f>LOOKUP(H4219,[1]startdates!$A$2:$A$10,[1]startdates!$B$2:$B$10)</f>
        <v>C</v>
      </c>
      <c r="H4219">
        <v>5</v>
      </c>
      <c r="I4219" s="7">
        <v>633.9</v>
      </c>
      <c r="K4219" s="7">
        <v>617.4</v>
      </c>
      <c r="M4219" s="7">
        <v>329.7</v>
      </c>
      <c r="N4219" s="7">
        <v>216.7</v>
      </c>
      <c r="O4219" s="7">
        <v>162</v>
      </c>
    </row>
    <row r="4220" spans="1:19" x14ac:dyDescent="0.2">
      <c r="A4220">
        <v>4219</v>
      </c>
      <c r="B4220" s="1">
        <v>40841</v>
      </c>
      <c r="C4220" t="s">
        <v>24</v>
      </c>
      <c r="D4220" s="7">
        <v>103</v>
      </c>
      <c r="E4220" s="7">
        <v>16</v>
      </c>
      <c r="F4220" s="7">
        <f t="shared" si="66"/>
        <v>3</v>
      </c>
      <c r="G4220" s="7" t="str">
        <f>LOOKUP(H4220,[1]startdates!$A$2:$A$10,[1]startdates!$B$2:$B$10)</f>
        <v>C</v>
      </c>
      <c r="H4220">
        <v>5</v>
      </c>
      <c r="I4220" s="7">
        <v>567.70000000000005</v>
      </c>
      <c r="M4220" s="7">
        <v>337.3</v>
      </c>
      <c r="N4220" s="7">
        <v>252.2</v>
      </c>
      <c r="O4220" s="7">
        <v>189.3</v>
      </c>
    </row>
    <row r="4221" spans="1:19" x14ac:dyDescent="0.2">
      <c r="A4221">
        <v>4220</v>
      </c>
      <c r="B4221" s="1">
        <v>40841</v>
      </c>
      <c r="C4221" t="s">
        <v>24</v>
      </c>
      <c r="D4221" s="7">
        <v>103</v>
      </c>
      <c r="E4221" s="7">
        <v>16</v>
      </c>
      <c r="F4221" s="7">
        <f t="shared" si="66"/>
        <v>3</v>
      </c>
      <c r="G4221" s="7" t="str">
        <f>LOOKUP(H4221,[1]startdates!$A$2:$A$10,[1]startdates!$B$2:$B$10)</f>
        <v>C</v>
      </c>
      <c r="H4221">
        <v>5</v>
      </c>
      <c r="N4221" s="7">
        <v>250.6</v>
      </c>
      <c r="O4221" s="7">
        <v>169.7</v>
      </c>
    </row>
    <row r="4222" spans="1:19" x14ac:dyDescent="0.2">
      <c r="A4222">
        <v>4221</v>
      </c>
      <c r="B4222" s="1">
        <v>40841</v>
      </c>
      <c r="C4222" t="s">
        <v>24</v>
      </c>
      <c r="D4222" s="7">
        <v>103</v>
      </c>
      <c r="E4222" s="7">
        <v>16</v>
      </c>
      <c r="F4222" s="7">
        <f t="shared" si="66"/>
        <v>3</v>
      </c>
      <c r="G4222" s="7" t="str">
        <f>LOOKUP(H4222,[1]startdates!$A$2:$A$10,[1]startdates!$B$2:$B$10)</f>
        <v>C</v>
      </c>
      <c r="H4222">
        <v>5</v>
      </c>
      <c r="N4222" s="7">
        <v>249.2</v>
      </c>
      <c r="O4222" s="7">
        <v>187.5</v>
      </c>
    </row>
    <row r="4223" spans="1:19" x14ac:dyDescent="0.2">
      <c r="A4223">
        <v>4222</v>
      </c>
      <c r="B4223" s="1">
        <v>40841</v>
      </c>
      <c r="C4223" t="s">
        <v>24</v>
      </c>
      <c r="D4223" s="7">
        <v>103</v>
      </c>
      <c r="E4223" s="7">
        <v>16</v>
      </c>
      <c r="F4223" s="7">
        <f t="shared" si="66"/>
        <v>3</v>
      </c>
      <c r="G4223" s="7" t="str">
        <f>LOOKUP(H4223,[1]startdates!$A$2:$A$10,[1]startdates!$B$2:$B$10)</f>
        <v>C</v>
      </c>
      <c r="H4223">
        <v>5</v>
      </c>
      <c r="N4223" s="7">
        <v>220.6</v>
      </c>
      <c r="O4223" s="7">
        <v>135.4</v>
      </c>
    </row>
    <row r="4224" spans="1:19" x14ac:dyDescent="0.2">
      <c r="A4224">
        <v>4223</v>
      </c>
      <c r="B4224" s="1">
        <v>40841</v>
      </c>
      <c r="C4224" t="s">
        <v>24</v>
      </c>
      <c r="D4224" s="7">
        <v>103</v>
      </c>
      <c r="E4224" s="7">
        <v>16</v>
      </c>
      <c r="F4224" s="7">
        <f t="shared" si="66"/>
        <v>3</v>
      </c>
      <c r="G4224" s="7" t="str">
        <f>LOOKUP(H4224,[1]startdates!$A$2:$A$10,[1]startdates!$B$2:$B$10)</f>
        <v>FMr</v>
      </c>
      <c r="H4224">
        <v>6</v>
      </c>
      <c r="I4224" s="7">
        <v>506.2</v>
      </c>
      <c r="J4224" s="7">
        <v>522.79999999999995</v>
      </c>
      <c r="K4224" s="7">
        <v>507.8</v>
      </c>
      <c r="L4224" s="7">
        <v>416.8</v>
      </c>
      <c r="M4224" s="7">
        <v>320.3</v>
      </c>
      <c r="N4224" s="7">
        <v>248</v>
      </c>
      <c r="O4224" s="7">
        <v>148.19999999999999</v>
      </c>
      <c r="P4224" s="7">
        <v>446.4</v>
      </c>
      <c r="Q4224" s="7">
        <v>341</v>
      </c>
      <c r="R4224" s="7">
        <v>253.9</v>
      </c>
      <c r="S4224" s="7">
        <v>261.2</v>
      </c>
    </row>
    <row r="4225" spans="1:19" x14ac:dyDescent="0.2">
      <c r="A4225">
        <v>4224</v>
      </c>
      <c r="B4225" s="1">
        <v>40841</v>
      </c>
      <c r="C4225" t="s">
        <v>24</v>
      </c>
      <c r="D4225" s="7">
        <v>103</v>
      </c>
      <c r="E4225" s="7">
        <v>16</v>
      </c>
      <c r="F4225" s="7">
        <f t="shared" si="66"/>
        <v>3</v>
      </c>
      <c r="G4225" s="7" t="str">
        <f>LOOKUP(H4225,[1]startdates!$A$2:$A$10,[1]startdates!$B$2:$B$10)</f>
        <v>FMr</v>
      </c>
      <c r="H4225">
        <v>6</v>
      </c>
      <c r="I4225" s="7">
        <v>563.6</v>
      </c>
      <c r="K4225" s="7">
        <v>549.29999999999995</v>
      </c>
      <c r="L4225" s="7">
        <v>485.7</v>
      </c>
      <c r="M4225" s="7">
        <v>382.2</v>
      </c>
      <c r="N4225" s="7">
        <v>230.7</v>
      </c>
      <c r="O4225" s="7">
        <v>164</v>
      </c>
      <c r="Q4225" s="7">
        <v>346.2</v>
      </c>
      <c r="R4225" s="7">
        <v>250.9</v>
      </c>
      <c r="S4225" s="7">
        <v>276.60000000000002</v>
      </c>
    </row>
    <row r="4226" spans="1:19" x14ac:dyDescent="0.2">
      <c r="A4226">
        <v>4225</v>
      </c>
      <c r="B4226" s="1">
        <v>40841</v>
      </c>
      <c r="C4226" t="s">
        <v>24</v>
      </c>
      <c r="D4226" s="7">
        <v>103</v>
      </c>
      <c r="E4226" s="7">
        <v>16</v>
      </c>
      <c r="F4226" s="7">
        <f t="shared" si="66"/>
        <v>3</v>
      </c>
      <c r="G4226" s="7" t="str">
        <f>LOOKUP(H4226,[1]startdates!$A$2:$A$10,[1]startdates!$B$2:$B$10)</f>
        <v>FMr</v>
      </c>
      <c r="H4226">
        <v>6</v>
      </c>
      <c r="I4226" s="7">
        <v>497.6</v>
      </c>
      <c r="K4226" s="7">
        <v>448.3</v>
      </c>
      <c r="L4226" s="7">
        <v>433.1</v>
      </c>
      <c r="M4226" s="7">
        <v>327</v>
      </c>
      <c r="N4226" s="7">
        <v>221.7</v>
      </c>
      <c r="O4226" s="7">
        <v>154.69999999999999</v>
      </c>
      <c r="Q4226" s="7">
        <v>331.1</v>
      </c>
      <c r="R4226" s="7">
        <v>268.8</v>
      </c>
      <c r="S4226" s="7">
        <v>242.8</v>
      </c>
    </row>
    <row r="4227" spans="1:19" x14ac:dyDescent="0.2">
      <c r="A4227">
        <v>4226</v>
      </c>
      <c r="B4227" s="1">
        <v>40841</v>
      </c>
      <c r="C4227" t="s">
        <v>24</v>
      </c>
      <c r="D4227" s="7">
        <v>103</v>
      </c>
      <c r="E4227" s="7">
        <v>16</v>
      </c>
      <c r="F4227" s="7">
        <f t="shared" si="66"/>
        <v>3</v>
      </c>
      <c r="G4227" s="7" t="str">
        <f>LOOKUP(H4227,[1]startdates!$A$2:$A$10,[1]startdates!$B$2:$B$10)</f>
        <v>FMr</v>
      </c>
      <c r="H4227">
        <v>6</v>
      </c>
      <c r="I4227" s="7">
        <v>621.9</v>
      </c>
      <c r="K4227" s="7">
        <v>486.8</v>
      </c>
      <c r="M4227" s="7">
        <v>325</v>
      </c>
      <c r="N4227" s="7">
        <v>199.3</v>
      </c>
      <c r="O4227" s="7">
        <v>168.1</v>
      </c>
      <c r="R4227" s="7">
        <v>328.8</v>
      </c>
    </row>
    <row r="4228" spans="1:19" x14ac:dyDescent="0.2">
      <c r="A4228">
        <v>4227</v>
      </c>
      <c r="B4228" s="1">
        <v>40841</v>
      </c>
      <c r="C4228" t="s">
        <v>24</v>
      </c>
      <c r="D4228" s="7">
        <v>103</v>
      </c>
      <c r="E4228" s="7">
        <v>16</v>
      </c>
      <c r="F4228" s="7">
        <f t="shared" si="66"/>
        <v>3</v>
      </c>
      <c r="G4228" s="7" t="str">
        <f>LOOKUP(H4228,[1]startdates!$A$2:$A$10,[1]startdates!$B$2:$B$10)</f>
        <v>FMr</v>
      </c>
      <c r="H4228">
        <v>6</v>
      </c>
      <c r="I4228" s="7">
        <v>642.70000000000005</v>
      </c>
      <c r="K4228" s="7">
        <v>441.1</v>
      </c>
      <c r="M4228" s="7">
        <v>346.6</v>
      </c>
      <c r="N4228" s="7">
        <v>211</v>
      </c>
      <c r="O4228" s="7">
        <v>165</v>
      </c>
    </row>
    <row r="4229" spans="1:19" x14ac:dyDescent="0.2">
      <c r="A4229">
        <v>4228</v>
      </c>
      <c r="B4229" s="1">
        <v>40841</v>
      </c>
      <c r="C4229" t="s">
        <v>24</v>
      </c>
      <c r="D4229" s="7">
        <v>103</v>
      </c>
      <c r="E4229" s="7">
        <v>16</v>
      </c>
      <c r="F4229" s="7">
        <f t="shared" si="66"/>
        <v>3</v>
      </c>
      <c r="G4229" s="7" t="str">
        <f>LOOKUP(H4229,[1]startdates!$A$2:$A$10,[1]startdates!$B$2:$B$10)</f>
        <v>FMr</v>
      </c>
      <c r="H4229">
        <v>6</v>
      </c>
      <c r="I4229" s="7">
        <v>592.9</v>
      </c>
      <c r="K4229" s="7">
        <v>571.6</v>
      </c>
      <c r="N4229" s="7">
        <v>255.7</v>
      </c>
      <c r="O4229" s="7">
        <v>148.6</v>
      </c>
    </row>
    <row r="4230" spans="1:19" x14ac:dyDescent="0.2">
      <c r="A4230">
        <v>4229</v>
      </c>
      <c r="B4230" s="1">
        <v>40841</v>
      </c>
      <c r="C4230" t="s">
        <v>24</v>
      </c>
      <c r="D4230" s="7">
        <v>103</v>
      </c>
      <c r="E4230" s="7">
        <v>16</v>
      </c>
      <c r="F4230" s="7">
        <f t="shared" si="66"/>
        <v>3</v>
      </c>
      <c r="G4230" s="7" t="str">
        <f>LOOKUP(H4230,[1]startdates!$A$2:$A$10,[1]startdates!$B$2:$B$10)</f>
        <v>FMr</v>
      </c>
      <c r="H4230">
        <v>6</v>
      </c>
      <c r="I4230" s="7">
        <v>539.9</v>
      </c>
      <c r="K4230" s="7">
        <v>574.4</v>
      </c>
      <c r="N4230" s="7">
        <v>254.7</v>
      </c>
      <c r="O4230" s="7">
        <v>153.80000000000001</v>
      </c>
    </row>
    <row r="4231" spans="1:19" x14ac:dyDescent="0.2">
      <c r="A4231">
        <v>4230</v>
      </c>
      <c r="B4231" s="1">
        <v>40841</v>
      </c>
      <c r="C4231" t="s">
        <v>24</v>
      </c>
      <c r="D4231" s="7">
        <v>103</v>
      </c>
      <c r="E4231" s="7">
        <v>16</v>
      </c>
      <c r="F4231" s="7">
        <f t="shared" si="66"/>
        <v>3</v>
      </c>
      <c r="G4231" s="7" t="str">
        <f>LOOKUP(H4231,[1]startdates!$A$2:$A$10,[1]startdates!$B$2:$B$10)</f>
        <v>FMr</v>
      </c>
      <c r="H4231">
        <v>6</v>
      </c>
      <c r="I4231" s="7">
        <v>626</v>
      </c>
      <c r="K4231" s="7">
        <v>489.5</v>
      </c>
      <c r="O4231" s="7">
        <v>151.4</v>
      </c>
    </row>
    <row r="4232" spans="1:19" x14ac:dyDescent="0.2">
      <c r="A4232">
        <v>4231</v>
      </c>
      <c r="B4232" s="1">
        <v>40841</v>
      </c>
      <c r="C4232" t="s">
        <v>24</v>
      </c>
      <c r="D4232" s="7">
        <v>103</v>
      </c>
      <c r="E4232" s="7">
        <v>16</v>
      </c>
      <c r="F4232" s="7">
        <f t="shared" si="66"/>
        <v>3</v>
      </c>
      <c r="G4232" s="7" t="str">
        <f>LOOKUP(H4232,[1]startdates!$A$2:$A$10,[1]startdates!$B$2:$B$10)</f>
        <v>FMr</v>
      </c>
      <c r="H4232">
        <v>6</v>
      </c>
      <c r="I4232" s="7">
        <v>678.1</v>
      </c>
      <c r="K4232" s="7">
        <v>430.9</v>
      </c>
      <c r="O4232" s="7">
        <v>190.2</v>
      </c>
    </row>
    <row r="4233" spans="1:19" x14ac:dyDescent="0.2">
      <c r="A4233">
        <v>4232</v>
      </c>
      <c r="B4233" s="1">
        <v>40841</v>
      </c>
      <c r="C4233" t="s">
        <v>24</v>
      </c>
      <c r="D4233" s="7">
        <v>103</v>
      </c>
      <c r="E4233" s="7">
        <v>16</v>
      </c>
      <c r="F4233" s="7">
        <f t="shared" si="66"/>
        <v>3</v>
      </c>
      <c r="G4233" s="7" t="str">
        <f>LOOKUP(H4233,[1]startdates!$A$2:$A$10,[1]startdates!$B$2:$B$10)</f>
        <v>FMr</v>
      </c>
      <c r="H4233">
        <v>6</v>
      </c>
      <c r="I4233" s="7">
        <v>520.9</v>
      </c>
      <c r="O4233" s="7">
        <v>196</v>
      </c>
    </row>
    <row r="4234" spans="1:19" x14ac:dyDescent="0.2">
      <c r="A4234">
        <v>4233</v>
      </c>
      <c r="B4234" s="1">
        <v>40841</v>
      </c>
      <c r="C4234" t="s">
        <v>24</v>
      </c>
      <c r="D4234" s="7">
        <v>103</v>
      </c>
      <c r="E4234" s="7">
        <v>16</v>
      </c>
      <c r="F4234" s="7">
        <f t="shared" si="66"/>
        <v>3</v>
      </c>
      <c r="G4234" s="7" t="str">
        <f>LOOKUP(H4234,[1]startdates!$A$2:$A$10,[1]startdates!$B$2:$B$10)</f>
        <v>FMr</v>
      </c>
      <c r="H4234">
        <v>6</v>
      </c>
      <c r="I4234" s="7">
        <v>678.1</v>
      </c>
      <c r="O4234" s="7">
        <v>160.5</v>
      </c>
    </row>
    <row r="4235" spans="1:19" x14ac:dyDescent="0.2">
      <c r="A4235">
        <v>4234</v>
      </c>
      <c r="B4235" s="1">
        <v>40841</v>
      </c>
      <c r="C4235" t="s">
        <v>24</v>
      </c>
      <c r="D4235" s="7">
        <v>103</v>
      </c>
      <c r="E4235" s="7">
        <v>16</v>
      </c>
      <c r="F4235" s="7">
        <f t="shared" si="66"/>
        <v>3</v>
      </c>
      <c r="G4235" s="7" t="str">
        <f>LOOKUP(H4235,[1]startdates!$A$2:$A$10,[1]startdates!$B$2:$B$10)</f>
        <v>FMr</v>
      </c>
      <c r="H4235">
        <v>6</v>
      </c>
      <c r="I4235" s="7">
        <v>520.9</v>
      </c>
    </row>
    <row r="4236" spans="1:19" x14ac:dyDescent="0.2">
      <c r="A4236">
        <v>4235</v>
      </c>
      <c r="B4236" s="1">
        <v>40841</v>
      </c>
      <c r="C4236" t="s">
        <v>24</v>
      </c>
      <c r="D4236" s="7">
        <v>103</v>
      </c>
      <c r="E4236" s="7">
        <v>16</v>
      </c>
      <c r="F4236" s="7">
        <f t="shared" si="66"/>
        <v>3</v>
      </c>
      <c r="G4236" s="7" t="str">
        <f>LOOKUP(H4236,[1]startdates!$A$2:$A$10,[1]startdates!$B$2:$B$10)</f>
        <v>FMr</v>
      </c>
      <c r="H4236">
        <v>6</v>
      </c>
      <c r="I4236" s="7">
        <v>521.70000000000005</v>
      </c>
    </row>
    <row r="4237" spans="1:19" x14ac:dyDescent="0.2">
      <c r="A4237">
        <v>4236</v>
      </c>
      <c r="B4237" s="1">
        <v>40841</v>
      </c>
      <c r="C4237" t="s">
        <v>24</v>
      </c>
      <c r="D4237" s="7">
        <v>103</v>
      </c>
      <c r="E4237" s="7">
        <v>16</v>
      </c>
      <c r="F4237" s="7">
        <f t="shared" si="66"/>
        <v>3</v>
      </c>
      <c r="G4237" s="7" t="str">
        <f>LOOKUP(H4237,[1]startdates!$A$2:$A$10,[1]startdates!$B$2:$B$10)</f>
        <v>FMr</v>
      </c>
      <c r="H4237">
        <v>6</v>
      </c>
      <c r="I4237" s="7">
        <v>309.5</v>
      </c>
    </row>
    <row r="4238" spans="1:19" x14ac:dyDescent="0.2">
      <c r="A4238">
        <v>4237</v>
      </c>
      <c r="B4238" s="1">
        <v>40841</v>
      </c>
      <c r="C4238" t="s">
        <v>24</v>
      </c>
      <c r="D4238" s="7">
        <v>103</v>
      </c>
      <c r="E4238" s="7">
        <v>16</v>
      </c>
      <c r="F4238" s="7">
        <f t="shared" si="66"/>
        <v>3</v>
      </c>
      <c r="G4238" s="7" t="str">
        <f>LOOKUP(H4238,[1]startdates!$A$2:$A$10,[1]startdates!$B$2:$B$10)</f>
        <v>FMr</v>
      </c>
      <c r="H4238">
        <v>7</v>
      </c>
      <c r="I4238" s="7">
        <v>463.4</v>
      </c>
      <c r="J4238" s="7">
        <v>454.9</v>
      </c>
      <c r="K4238" s="7">
        <v>493.4</v>
      </c>
      <c r="L4238" s="7">
        <v>489.1</v>
      </c>
      <c r="M4238" s="7">
        <v>360.9</v>
      </c>
      <c r="N4238" s="7">
        <v>244.1</v>
      </c>
      <c r="O4238" s="7">
        <v>170.2</v>
      </c>
      <c r="P4238" s="7">
        <v>491.2</v>
      </c>
      <c r="Q4238" s="7">
        <v>369.9</v>
      </c>
    </row>
    <row r="4239" spans="1:19" x14ac:dyDescent="0.2">
      <c r="A4239">
        <v>4238</v>
      </c>
      <c r="B4239" s="1">
        <v>40841</v>
      </c>
      <c r="C4239" t="s">
        <v>24</v>
      </c>
      <c r="D4239" s="7">
        <v>103</v>
      </c>
      <c r="E4239" s="7">
        <v>16</v>
      </c>
      <c r="F4239" s="7">
        <f t="shared" si="66"/>
        <v>3</v>
      </c>
      <c r="G4239" s="7" t="str">
        <f>LOOKUP(H4239,[1]startdates!$A$2:$A$10,[1]startdates!$B$2:$B$10)</f>
        <v>FMr</v>
      </c>
      <c r="H4239">
        <v>7</v>
      </c>
      <c r="I4239" s="7">
        <v>535.70000000000005</v>
      </c>
      <c r="K4239" s="7">
        <v>413.4</v>
      </c>
      <c r="L4239" s="7">
        <v>421</v>
      </c>
      <c r="M4239" s="7">
        <v>327.9</v>
      </c>
      <c r="N4239" s="7">
        <v>225.6</v>
      </c>
      <c r="O4239" s="7">
        <v>182.2</v>
      </c>
      <c r="P4239" s="7">
        <v>426.2</v>
      </c>
      <c r="Q4239" s="7">
        <v>359.8</v>
      </c>
    </row>
    <row r="4240" spans="1:19" x14ac:dyDescent="0.2">
      <c r="A4240">
        <v>4239</v>
      </c>
      <c r="B4240" s="1">
        <v>40841</v>
      </c>
      <c r="C4240" t="s">
        <v>24</v>
      </c>
      <c r="D4240" s="7">
        <v>103</v>
      </c>
      <c r="E4240" s="7">
        <v>16</v>
      </c>
      <c r="F4240" s="7">
        <f t="shared" si="66"/>
        <v>3</v>
      </c>
      <c r="G4240" s="7" t="str">
        <f>LOOKUP(H4240,[1]startdates!$A$2:$A$10,[1]startdates!$B$2:$B$10)</f>
        <v>FMr</v>
      </c>
      <c r="H4240">
        <v>7</v>
      </c>
      <c r="I4240" s="7">
        <v>598</v>
      </c>
      <c r="K4240" s="7">
        <v>464.4</v>
      </c>
      <c r="L4240" s="7">
        <v>415</v>
      </c>
      <c r="M4240" s="7">
        <v>330.9</v>
      </c>
      <c r="N4240" s="7">
        <v>211</v>
      </c>
      <c r="O4240" s="7">
        <v>169.7</v>
      </c>
    </row>
    <row r="4241" spans="1:19" x14ac:dyDescent="0.2">
      <c r="A4241">
        <v>4240</v>
      </c>
      <c r="B4241" s="1">
        <v>40841</v>
      </c>
      <c r="C4241" t="s">
        <v>24</v>
      </c>
      <c r="D4241" s="7">
        <v>103</v>
      </c>
      <c r="E4241" s="7">
        <v>16</v>
      </c>
      <c r="F4241" s="7">
        <f t="shared" si="66"/>
        <v>3</v>
      </c>
      <c r="G4241" s="7" t="str">
        <f>LOOKUP(H4241,[1]startdates!$A$2:$A$10,[1]startdates!$B$2:$B$10)</f>
        <v>FMr</v>
      </c>
      <c r="H4241">
        <v>7</v>
      </c>
      <c r="I4241" s="7">
        <v>622.6</v>
      </c>
      <c r="K4241" s="7">
        <v>466</v>
      </c>
      <c r="M4241" s="7">
        <v>267.10000000000002</v>
      </c>
      <c r="N4241" s="7">
        <v>234.2</v>
      </c>
      <c r="O4241" s="7">
        <v>174.4</v>
      </c>
    </row>
    <row r="4242" spans="1:19" x14ac:dyDescent="0.2">
      <c r="A4242">
        <v>4241</v>
      </c>
      <c r="B4242" s="1">
        <v>40841</v>
      </c>
      <c r="C4242" t="s">
        <v>24</v>
      </c>
      <c r="D4242" s="7">
        <v>103</v>
      </c>
      <c r="E4242" s="7">
        <v>16</v>
      </c>
      <c r="F4242" s="7">
        <f t="shared" si="66"/>
        <v>3</v>
      </c>
      <c r="G4242" s="7" t="str">
        <f>LOOKUP(H4242,[1]startdates!$A$2:$A$10,[1]startdates!$B$2:$B$10)</f>
        <v>FMr</v>
      </c>
      <c r="H4242">
        <v>7</v>
      </c>
      <c r="I4242" s="7">
        <v>549.4</v>
      </c>
      <c r="K4242" s="7">
        <v>520.70000000000005</v>
      </c>
      <c r="M4242" s="7">
        <v>325.8</v>
      </c>
      <c r="N4242" s="7">
        <v>178.7</v>
      </c>
      <c r="O4242" s="7">
        <v>178.1</v>
      </c>
    </row>
    <row r="4243" spans="1:19" x14ac:dyDescent="0.2">
      <c r="A4243">
        <v>4242</v>
      </c>
      <c r="B4243" s="1">
        <v>40841</v>
      </c>
      <c r="C4243" t="s">
        <v>24</v>
      </c>
      <c r="D4243" s="7">
        <v>103</v>
      </c>
      <c r="E4243" s="7">
        <v>16</v>
      </c>
      <c r="F4243" s="7">
        <f t="shared" si="66"/>
        <v>3</v>
      </c>
      <c r="G4243" s="7" t="str">
        <f>LOOKUP(H4243,[1]startdates!$A$2:$A$10,[1]startdates!$B$2:$B$10)</f>
        <v>FMr</v>
      </c>
      <c r="H4243">
        <v>7</v>
      </c>
      <c r="I4243" s="7">
        <v>539.1</v>
      </c>
      <c r="K4243" s="7">
        <v>467.1</v>
      </c>
      <c r="M4243" s="7">
        <v>335.9</v>
      </c>
      <c r="N4243" s="7">
        <v>250.9</v>
      </c>
      <c r="O4243" s="7">
        <v>171.9</v>
      </c>
    </row>
    <row r="4244" spans="1:19" x14ac:dyDescent="0.2">
      <c r="A4244">
        <v>4243</v>
      </c>
      <c r="B4244" s="1">
        <v>40841</v>
      </c>
      <c r="C4244" t="s">
        <v>24</v>
      </c>
      <c r="D4244" s="7">
        <v>103</v>
      </c>
      <c r="E4244" s="7">
        <v>16</v>
      </c>
      <c r="F4244" s="7">
        <f t="shared" si="66"/>
        <v>3</v>
      </c>
      <c r="G4244" s="7" t="str">
        <f>LOOKUP(H4244,[1]startdates!$A$2:$A$10,[1]startdates!$B$2:$B$10)</f>
        <v>FMr</v>
      </c>
      <c r="H4244">
        <v>7</v>
      </c>
      <c r="I4244" s="7">
        <v>553.1</v>
      </c>
      <c r="K4244" s="7">
        <v>520.6</v>
      </c>
      <c r="M4244" s="7">
        <v>347</v>
      </c>
      <c r="N4244" s="7">
        <v>242.3</v>
      </c>
      <c r="O4244" s="7">
        <v>162</v>
      </c>
    </row>
    <row r="4245" spans="1:19" x14ac:dyDescent="0.2">
      <c r="A4245">
        <v>4244</v>
      </c>
      <c r="B4245" s="1">
        <v>40841</v>
      </c>
      <c r="C4245" t="s">
        <v>24</v>
      </c>
      <c r="D4245" s="7">
        <v>103</v>
      </c>
      <c r="E4245" s="7">
        <v>16</v>
      </c>
      <c r="F4245" s="7">
        <f t="shared" si="66"/>
        <v>3</v>
      </c>
      <c r="G4245" s="7" t="str">
        <f>LOOKUP(H4245,[1]startdates!$A$2:$A$10,[1]startdates!$B$2:$B$10)</f>
        <v>FMr</v>
      </c>
      <c r="H4245">
        <v>7</v>
      </c>
      <c r="I4245" s="7">
        <v>553.1</v>
      </c>
      <c r="K4245" s="7">
        <v>437.6</v>
      </c>
      <c r="N4245" s="7">
        <v>197.9</v>
      </c>
      <c r="O4245" s="7">
        <v>169.7</v>
      </c>
    </row>
    <row r="4246" spans="1:19" x14ac:dyDescent="0.2">
      <c r="A4246">
        <v>4245</v>
      </c>
      <c r="B4246" s="1">
        <v>40841</v>
      </c>
      <c r="C4246" t="s">
        <v>24</v>
      </c>
      <c r="D4246" s="7">
        <v>103</v>
      </c>
      <c r="E4246" s="7">
        <v>16</v>
      </c>
      <c r="F4246" s="7">
        <f t="shared" si="66"/>
        <v>3</v>
      </c>
      <c r="G4246" s="7" t="str">
        <f>LOOKUP(H4246,[1]startdates!$A$2:$A$10,[1]startdates!$B$2:$B$10)</f>
        <v>FMr</v>
      </c>
      <c r="H4246">
        <v>7</v>
      </c>
      <c r="I4246" s="7">
        <v>607.70000000000005</v>
      </c>
      <c r="K4246" s="7">
        <v>422</v>
      </c>
      <c r="N4246" s="7">
        <v>218.7</v>
      </c>
      <c r="O4246" s="7">
        <v>151.6</v>
      </c>
    </row>
    <row r="4247" spans="1:19" x14ac:dyDescent="0.2">
      <c r="A4247">
        <v>4246</v>
      </c>
      <c r="B4247" s="1">
        <v>40841</v>
      </c>
      <c r="C4247" t="s">
        <v>24</v>
      </c>
      <c r="D4247" s="7">
        <v>103</v>
      </c>
      <c r="E4247" s="7">
        <v>16</v>
      </c>
      <c r="F4247" s="7">
        <f t="shared" si="66"/>
        <v>3</v>
      </c>
      <c r="G4247" s="7" t="str">
        <f>LOOKUP(H4247,[1]startdates!$A$2:$A$10,[1]startdates!$B$2:$B$10)</f>
        <v>FMr</v>
      </c>
      <c r="H4247">
        <v>7</v>
      </c>
      <c r="I4247" s="7">
        <v>599.70000000000005</v>
      </c>
      <c r="K4247" s="7">
        <v>490.7</v>
      </c>
      <c r="N4247" s="7">
        <v>186.2</v>
      </c>
      <c r="O4247" s="7">
        <v>173.5</v>
      </c>
    </row>
    <row r="4248" spans="1:19" x14ac:dyDescent="0.2">
      <c r="A4248">
        <v>4247</v>
      </c>
      <c r="B4248" s="1">
        <v>40841</v>
      </c>
      <c r="C4248" t="s">
        <v>24</v>
      </c>
      <c r="D4248" s="7">
        <v>103</v>
      </c>
      <c r="E4248" s="7">
        <v>16</v>
      </c>
      <c r="F4248" s="7">
        <f t="shared" si="66"/>
        <v>3</v>
      </c>
      <c r="G4248" s="7" t="str">
        <f>LOOKUP(H4248,[1]startdates!$A$2:$A$10,[1]startdates!$B$2:$B$10)</f>
        <v>FMr</v>
      </c>
      <c r="H4248">
        <v>7</v>
      </c>
      <c r="I4248" s="7">
        <v>598.6</v>
      </c>
      <c r="K4248" s="7">
        <v>568.4</v>
      </c>
      <c r="O4248" s="7">
        <v>169</v>
      </c>
    </row>
    <row r="4249" spans="1:19" x14ac:dyDescent="0.2">
      <c r="A4249">
        <v>4248</v>
      </c>
      <c r="B4249" s="1">
        <v>40841</v>
      </c>
      <c r="C4249" t="s">
        <v>24</v>
      </c>
      <c r="D4249" s="7">
        <v>103</v>
      </c>
      <c r="E4249" s="7">
        <v>16</v>
      </c>
      <c r="F4249" s="7">
        <f t="shared" si="66"/>
        <v>3</v>
      </c>
      <c r="G4249" s="7" t="str">
        <f>LOOKUP(H4249,[1]startdates!$A$2:$A$10,[1]startdates!$B$2:$B$10)</f>
        <v>FMr</v>
      </c>
      <c r="H4249">
        <v>7</v>
      </c>
      <c r="I4249" s="7">
        <v>571.70000000000005</v>
      </c>
    </row>
    <row r="4250" spans="1:19" x14ac:dyDescent="0.2">
      <c r="A4250">
        <v>4249</v>
      </c>
      <c r="B4250" s="1">
        <v>40841</v>
      </c>
      <c r="C4250" t="s">
        <v>24</v>
      </c>
      <c r="D4250" s="7">
        <v>103</v>
      </c>
      <c r="E4250" s="7">
        <v>16</v>
      </c>
      <c r="F4250" s="7">
        <f t="shared" si="66"/>
        <v>3</v>
      </c>
      <c r="G4250" s="7" t="str">
        <f>LOOKUP(H4250,[1]startdates!$A$2:$A$10,[1]startdates!$B$2:$B$10)</f>
        <v>C</v>
      </c>
      <c r="H4250">
        <v>8</v>
      </c>
      <c r="I4250" s="7">
        <v>678.8</v>
      </c>
      <c r="J4250" s="7">
        <v>488.1</v>
      </c>
      <c r="K4250" s="7">
        <v>508.9</v>
      </c>
      <c r="L4250" s="7">
        <v>395.8</v>
      </c>
      <c r="M4250" s="7">
        <v>385.3</v>
      </c>
      <c r="N4250" s="7">
        <v>196.5</v>
      </c>
      <c r="O4250" s="7">
        <v>183.1</v>
      </c>
      <c r="Q4250" s="7">
        <v>379.8</v>
      </c>
      <c r="R4250" s="7">
        <v>269.7</v>
      </c>
      <c r="S4250" s="7">
        <v>292.3</v>
      </c>
    </row>
    <row r="4251" spans="1:19" x14ac:dyDescent="0.2">
      <c r="A4251">
        <v>4250</v>
      </c>
      <c r="B4251" s="1">
        <v>40841</v>
      </c>
      <c r="C4251" t="s">
        <v>24</v>
      </c>
      <c r="D4251" s="7">
        <v>103</v>
      </c>
      <c r="E4251" s="7">
        <v>16</v>
      </c>
      <c r="F4251" s="7">
        <f t="shared" si="66"/>
        <v>3</v>
      </c>
      <c r="G4251" s="7" t="str">
        <f>LOOKUP(H4251,[1]startdates!$A$2:$A$10,[1]startdates!$B$2:$B$10)</f>
        <v>C</v>
      </c>
      <c r="H4251">
        <v>8</v>
      </c>
      <c r="I4251" s="7">
        <v>556.6</v>
      </c>
      <c r="J4251" s="7">
        <v>560.29999999999995</v>
      </c>
      <c r="K4251" s="7">
        <v>515.4</v>
      </c>
      <c r="L4251" s="7">
        <v>460.2</v>
      </c>
      <c r="M4251" s="7">
        <v>341.1</v>
      </c>
      <c r="N4251" s="7">
        <v>244.8</v>
      </c>
      <c r="O4251" s="7">
        <v>167.9</v>
      </c>
      <c r="Q4251" s="7">
        <v>337.6</v>
      </c>
      <c r="S4251" s="7">
        <v>286.7</v>
      </c>
    </row>
    <row r="4252" spans="1:19" x14ac:dyDescent="0.2">
      <c r="A4252">
        <v>4251</v>
      </c>
      <c r="B4252" s="1">
        <v>40841</v>
      </c>
      <c r="C4252" t="s">
        <v>24</v>
      </c>
      <c r="D4252" s="7">
        <v>103</v>
      </c>
      <c r="E4252" s="7">
        <v>16</v>
      </c>
      <c r="F4252" s="7">
        <f t="shared" si="66"/>
        <v>3</v>
      </c>
      <c r="G4252" s="7" t="str">
        <f>LOOKUP(H4252,[1]startdates!$A$2:$A$10,[1]startdates!$B$2:$B$10)</f>
        <v>C</v>
      </c>
      <c r="H4252">
        <v>8</v>
      </c>
      <c r="I4252" s="7">
        <v>577.70000000000005</v>
      </c>
      <c r="K4252" s="7">
        <v>524.4</v>
      </c>
      <c r="L4252" s="7">
        <v>434.3</v>
      </c>
      <c r="M4252" s="7">
        <v>348.9</v>
      </c>
      <c r="N4252" s="7">
        <v>208.8</v>
      </c>
      <c r="O4252" s="7">
        <v>187.4</v>
      </c>
      <c r="S4252" s="7">
        <v>287.2</v>
      </c>
    </row>
    <row r="4253" spans="1:19" x14ac:dyDescent="0.2">
      <c r="A4253">
        <v>4252</v>
      </c>
      <c r="B4253" s="1">
        <v>40841</v>
      </c>
      <c r="C4253" t="s">
        <v>24</v>
      </c>
      <c r="D4253" s="7">
        <v>103</v>
      </c>
      <c r="E4253" s="7">
        <v>16</v>
      </c>
      <c r="F4253" s="7">
        <f t="shared" si="66"/>
        <v>3</v>
      </c>
      <c r="G4253" s="7" t="str">
        <f>LOOKUP(H4253,[1]startdates!$A$2:$A$10,[1]startdates!$B$2:$B$10)</f>
        <v>C</v>
      </c>
      <c r="H4253">
        <v>8</v>
      </c>
      <c r="I4253" s="7">
        <v>695.9</v>
      </c>
      <c r="K4253" s="7">
        <v>616.70000000000005</v>
      </c>
      <c r="L4253" s="7">
        <v>459.4</v>
      </c>
      <c r="M4253" s="7">
        <v>342.6</v>
      </c>
      <c r="N4253" s="7">
        <v>253.6</v>
      </c>
      <c r="O4253" s="7">
        <v>177.3</v>
      </c>
      <c r="S4253" s="7">
        <v>254.1</v>
      </c>
    </row>
    <row r="4254" spans="1:19" x14ac:dyDescent="0.2">
      <c r="A4254">
        <v>4253</v>
      </c>
      <c r="B4254" s="1">
        <v>40841</v>
      </c>
      <c r="C4254" t="s">
        <v>24</v>
      </c>
      <c r="D4254" s="7">
        <v>103</v>
      </c>
      <c r="E4254" s="7">
        <v>16</v>
      </c>
      <c r="F4254" s="7">
        <f t="shared" si="66"/>
        <v>3</v>
      </c>
      <c r="G4254" s="7" t="str">
        <f>LOOKUP(H4254,[1]startdates!$A$2:$A$10,[1]startdates!$B$2:$B$10)</f>
        <v>C</v>
      </c>
      <c r="H4254">
        <v>8</v>
      </c>
      <c r="I4254" s="7">
        <v>549.5</v>
      </c>
      <c r="K4254" s="7">
        <v>567.6</v>
      </c>
      <c r="M4254" s="7">
        <v>344</v>
      </c>
      <c r="N4254" s="7">
        <v>213.7</v>
      </c>
      <c r="O4254" s="7">
        <v>210.4</v>
      </c>
    </row>
    <row r="4255" spans="1:19" x14ac:dyDescent="0.2">
      <c r="A4255">
        <v>4254</v>
      </c>
      <c r="B4255" s="1">
        <v>40841</v>
      </c>
      <c r="C4255" t="s">
        <v>24</v>
      </c>
      <c r="D4255" s="7">
        <v>103</v>
      </c>
      <c r="E4255" s="7">
        <v>16</v>
      </c>
      <c r="F4255" s="7">
        <f t="shared" si="66"/>
        <v>3</v>
      </c>
      <c r="G4255" s="7" t="str">
        <f>LOOKUP(H4255,[1]startdates!$A$2:$A$10,[1]startdates!$B$2:$B$10)</f>
        <v>C</v>
      </c>
      <c r="H4255">
        <v>8</v>
      </c>
      <c r="I4255" s="7">
        <v>726.4</v>
      </c>
      <c r="K4255" s="7">
        <v>584.1</v>
      </c>
      <c r="M4255" s="7">
        <v>310.10000000000002</v>
      </c>
      <c r="N4255" s="7">
        <v>237</v>
      </c>
      <c r="O4255" s="7">
        <v>188.3</v>
      </c>
    </row>
    <row r="4256" spans="1:19" x14ac:dyDescent="0.2">
      <c r="A4256">
        <v>4255</v>
      </c>
      <c r="B4256" s="1">
        <v>40841</v>
      </c>
      <c r="C4256" t="s">
        <v>24</v>
      </c>
      <c r="D4256" s="7">
        <v>103</v>
      </c>
      <c r="E4256" s="7">
        <v>16</v>
      </c>
      <c r="F4256" s="7">
        <f t="shared" si="66"/>
        <v>3</v>
      </c>
      <c r="G4256" s="7" t="str">
        <f>LOOKUP(H4256,[1]startdates!$A$2:$A$10,[1]startdates!$B$2:$B$10)</f>
        <v>C</v>
      </c>
      <c r="H4256">
        <v>8</v>
      </c>
      <c r="I4256" s="7">
        <v>600.29999999999995</v>
      </c>
      <c r="M4256" s="7">
        <v>313.8</v>
      </c>
      <c r="N4256" s="7">
        <v>209.6</v>
      </c>
      <c r="O4256" s="7">
        <v>187.8</v>
      </c>
    </row>
    <row r="4257" spans="1:22" x14ac:dyDescent="0.2">
      <c r="A4257">
        <v>4256</v>
      </c>
      <c r="B4257" s="1">
        <v>40841</v>
      </c>
      <c r="C4257" t="s">
        <v>24</v>
      </c>
      <c r="D4257" s="7">
        <v>103</v>
      </c>
      <c r="E4257" s="7">
        <v>16</v>
      </c>
      <c r="F4257" s="7">
        <f t="shared" si="66"/>
        <v>3</v>
      </c>
      <c r="G4257" s="7" t="str">
        <f>LOOKUP(H4257,[1]startdates!$A$2:$A$10,[1]startdates!$B$2:$B$10)</f>
        <v>C</v>
      </c>
      <c r="H4257">
        <v>8</v>
      </c>
      <c r="I4257" s="7">
        <v>788.8</v>
      </c>
      <c r="N4257" s="7">
        <v>242.7</v>
      </c>
      <c r="O4257" s="7">
        <v>192.8</v>
      </c>
    </row>
    <row r="4258" spans="1:22" x14ac:dyDescent="0.2">
      <c r="A4258">
        <v>4257</v>
      </c>
      <c r="B4258" s="1">
        <v>40841</v>
      </c>
      <c r="C4258" t="s">
        <v>24</v>
      </c>
      <c r="D4258" s="7">
        <v>103</v>
      </c>
      <c r="E4258" s="7">
        <v>16</v>
      </c>
      <c r="F4258" s="7">
        <f t="shared" si="66"/>
        <v>3</v>
      </c>
      <c r="G4258" s="7" t="str">
        <f>LOOKUP(H4258,[1]startdates!$A$2:$A$10,[1]startdates!$B$2:$B$10)</f>
        <v>C</v>
      </c>
      <c r="H4258">
        <v>8</v>
      </c>
      <c r="I4258" s="7">
        <v>661.9</v>
      </c>
      <c r="N4258" s="7">
        <v>222.9</v>
      </c>
      <c r="O4258" s="7">
        <v>192.8</v>
      </c>
    </row>
    <row r="4259" spans="1:22" x14ac:dyDescent="0.2">
      <c r="A4259">
        <v>4258</v>
      </c>
      <c r="B4259" s="1">
        <v>40841</v>
      </c>
      <c r="C4259" t="s">
        <v>24</v>
      </c>
      <c r="D4259" s="7">
        <v>103</v>
      </c>
      <c r="E4259" s="7">
        <v>16</v>
      </c>
      <c r="F4259" s="7">
        <f t="shared" si="66"/>
        <v>3</v>
      </c>
      <c r="G4259" s="7" t="str">
        <f>LOOKUP(H4259,[1]startdates!$A$2:$A$10,[1]startdates!$B$2:$B$10)</f>
        <v>C</v>
      </c>
      <c r="H4259">
        <v>8</v>
      </c>
      <c r="N4259" s="7">
        <v>237.5</v>
      </c>
      <c r="O4259" s="7">
        <v>179.8</v>
      </c>
    </row>
    <row r="4260" spans="1:22" x14ac:dyDescent="0.2">
      <c r="A4260">
        <v>4259</v>
      </c>
      <c r="B4260" s="1">
        <v>40841</v>
      </c>
      <c r="C4260" t="s">
        <v>24</v>
      </c>
      <c r="D4260" s="7">
        <v>103</v>
      </c>
      <c r="E4260" s="7">
        <v>16</v>
      </c>
      <c r="F4260" s="7">
        <f t="shared" si="66"/>
        <v>3</v>
      </c>
      <c r="G4260" s="7" t="str">
        <f>LOOKUP(H4260,[1]startdates!$A$2:$A$10,[1]startdates!$B$2:$B$10)</f>
        <v>C</v>
      </c>
      <c r="H4260">
        <v>8</v>
      </c>
      <c r="O4260" s="7">
        <v>187</v>
      </c>
    </row>
    <row r="4261" spans="1:22" x14ac:dyDescent="0.2">
      <c r="A4261">
        <v>4260</v>
      </c>
      <c r="B4261" s="1">
        <v>40841</v>
      </c>
      <c r="C4261" t="s">
        <v>24</v>
      </c>
      <c r="D4261" s="7">
        <v>103</v>
      </c>
      <c r="E4261" s="7">
        <v>16</v>
      </c>
      <c r="F4261" s="7">
        <f t="shared" si="66"/>
        <v>3</v>
      </c>
      <c r="G4261" s="7" t="str">
        <f>LOOKUP(H4261,[1]startdates!$A$2:$A$10,[1]startdates!$B$2:$B$10)</f>
        <v>C</v>
      </c>
      <c r="H4261">
        <v>8</v>
      </c>
      <c r="O4261" s="7">
        <v>175</v>
      </c>
    </row>
    <row r="4262" spans="1:22" x14ac:dyDescent="0.2">
      <c r="A4262">
        <v>4261</v>
      </c>
      <c r="B4262" s="1">
        <v>40841</v>
      </c>
      <c r="C4262" t="s">
        <v>24</v>
      </c>
      <c r="D4262" s="7">
        <v>103</v>
      </c>
      <c r="E4262" s="7">
        <v>16</v>
      </c>
      <c r="F4262" s="7">
        <f t="shared" si="66"/>
        <v>3</v>
      </c>
      <c r="G4262" s="7" t="str">
        <f>LOOKUP(H4262,[1]startdates!$A$2:$A$10,[1]startdates!$B$2:$B$10)</f>
        <v>FMr</v>
      </c>
      <c r="H4262">
        <v>9</v>
      </c>
      <c r="I4262" s="7">
        <v>572.9</v>
      </c>
      <c r="J4262" s="7">
        <v>496.5</v>
      </c>
      <c r="K4262" s="7">
        <v>512.1</v>
      </c>
      <c r="L4262" s="7">
        <v>377.2</v>
      </c>
      <c r="M4262" s="7">
        <v>319.10000000000002</v>
      </c>
      <c r="N4262" s="7">
        <v>222.6</v>
      </c>
      <c r="O4262" s="7">
        <v>174.9</v>
      </c>
      <c r="P4262" s="7">
        <v>504.2</v>
      </c>
      <c r="Q4262" s="7">
        <v>388.3</v>
      </c>
      <c r="R4262" s="7">
        <v>332.6</v>
      </c>
      <c r="V4262" s="7">
        <v>496.4</v>
      </c>
    </row>
    <row r="4263" spans="1:22" x14ac:dyDescent="0.2">
      <c r="A4263">
        <v>4262</v>
      </c>
      <c r="B4263" s="1">
        <v>40841</v>
      </c>
      <c r="C4263" t="s">
        <v>24</v>
      </c>
      <c r="D4263" s="7">
        <v>103</v>
      </c>
      <c r="E4263" s="7">
        <v>16</v>
      </c>
      <c r="F4263" s="7">
        <f t="shared" si="66"/>
        <v>3</v>
      </c>
      <c r="G4263" s="7" t="str">
        <f>LOOKUP(H4263,[1]startdates!$A$2:$A$10,[1]startdates!$B$2:$B$10)</f>
        <v>FMr</v>
      </c>
      <c r="H4263">
        <v>9</v>
      </c>
      <c r="I4263" s="7">
        <v>601.70000000000005</v>
      </c>
      <c r="K4263" s="7">
        <v>497.2</v>
      </c>
      <c r="L4263" s="7">
        <v>450.4</v>
      </c>
      <c r="M4263" s="7">
        <v>349.1</v>
      </c>
      <c r="N4263" s="7">
        <v>202.8</v>
      </c>
      <c r="O4263" s="7">
        <v>167.9</v>
      </c>
      <c r="P4263" s="7">
        <v>435.7</v>
      </c>
      <c r="R4263" s="7">
        <v>270.3</v>
      </c>
    </row>
    <row r="4264" spans="1:22" x14ac:dyDescent="0.2">
      <c r="A4264">
        <v>4263</v>
      </c>
      <c r="B4264" s="1">
        <v>40841</v>
      </c>
      <c r="C4264" t="s">
        <v>24</v>
      </c>
      <c r="D4264" s="7">
        <v>103</v>
      </c>
      <c r="E4264" s="7">
        <v>16</v>
      </c>
      <c r="F4264" s="7">
        <f t="shared" si="66"/>
        <v>3</v>
      </c>
      <c r="G4264" s="7" t="str">
        <f>LOOKUP(H4264,[1]startdates!$A$2:$A$10,[1]startdates!$B$2:$B$10)</f>
        <v>FMr</v>
      </c>
      <c r="H4264">
        <v>9</v>
      </c>
      <c r="I4264" s="7">
        <v>469.3</v>
      </c>
      <c r="K4264" s="7">
        <v>486.7</v>
      </c>
      <c r="L4264" s="7">
        <v>430.9</v>
      </c>
      <c r="M4264" s="7">
        <v>290</v>
      </c>
      <c r="N4264" s="7">
        <v>173.7</v>
      </c>
      <c r="O4264" s="7">
        <v>182.2</v>
      </c>
      <c r="P4264" s="7">
        <v>517.20000000000005</v>
      </c>
    </row>
    <row r="4265" spans="1:22" x14ac:dyDescent="0.2">
      <c r="A4265">
        <v>4264</v>
      </c>
      <c r="B4265" s="1">
        <v>40841</v>
      </c>
      <c r="C4265" t="s">
        <v>24</v>
      </c>
      <c r="D4265" s="7">
        <v>103</v>
      </c>
      <c r="E4265" s="7">
        <v>16</v>
      </c>
      <c r="F4265" s="7">
        <f t="shared" ref="F4265:F4328" si="67">WEEKDAY(B4265)</f>
        <v>3</v>
      </c>
      <c r="G4265" s="7" t="str">
        <f>LOOKUP(H4265,[1]startdates!$A$2:$A$10,[1]startdates!$B$2:$B$10)</f>
        <v>FMr</v>
      </c>
      <c r="H4265">
        <v>9</v>
      </c>
      <c r="I4265" s="7">
        <v>522.4</v>
      </c>
      <c r="K4265" s="7">
        <v>420.6</v>
      </c>
      <c r="L4265" s="7">
        <v>415.3</v>
      </c>
      <c r="M4265" s="7">
        <v>272.2</v>
      </c>
      <c r="N4265" s="7">
        <v>209.9</v>
      </c>
      <c r="O4265" s="7">
        <v>171.3</v>
      </c>
    </row>
    <row r="4266" spans="1:22" x14ac:dyDescent="0.2">
      <c r="A4266">
        <v>4265</v>
      </c>
      <c r="B4266" s="1">
        <v>40841</v>
      </c>
      <c r="C4266" t="s">
        <v>24</v>
      </c>
      <c r="D4266" s="7">
        <v>103</v>
      </c>
      <c r="E4266" s="7">
        <v>16</v>
      </c>
      <c r="F4266" s="7">
        <f t="shared" si="67"/>
        <v>3</v>
      </c>
      <c r="G4266" s="7" t="str">
        <f>LOOKUP(H4266,[1]startdates!$A$2:$A$10,[1]startdates!$B$2:$B$10)</f>
        <v>FMr</v>
      </c>
      <c r="H4266">
        <v>9</v>
      </c>
      <c r="I4266" s="7">
        <v>614.20000000000005</v>
      </c>
      <c r="K4266" s="7">
        <v>602</v>
      </c>
      <c r="L4266" s="7">
        <v>462.7</v>
      </c>
      <c r="M4266" s="7">
        <v>323.7</v>
      </c>
      <c r="N4266" s="7">
        <v>209</v>
      </c>
      <c r="O4266" s="7">
        <v>180.6</v>
      </c>
    </row>
    <row r="4267" spans="1:22" x14ac:dyDescent="0.2">
      <c r="A4267">
        <v>4266</v>
      </c>
      <c r="B4267" s="1">
        <v>40841</v>
      </c>
      <c r="C4267" t="s">
        <v>24</v>
      </c>
      <c r="D4267" s="7">
        <v>103</v>
      </c>
      <c r="E4267" s="7">
        <v>16</v>
      </c>
      <c r="F4267" s="7">
        <f t="shared" si="67"/>
        <v>3</v>
      </c>
      <c r="G4267" s="7" t="str">
        <f>LOOKUP(H4267,[1]startdates!$A$2:$A$10,[1]startdates!$B$2:$B$10)</f>
        <v>FMr</v>
      </c>
      <c r="H4267">
        <v>9</v>
      </c>
      <c r="I4267" s="7">
        <v>440.2</v>
      </c>
      <c r="K4267" s="7">
        <v>596.4</v>
      </c>
      <c r="M4267" s="7">
        <v>292.60000000000002</v>
      </c>
      <c r="N4267" s="7">
        <v>240</v>
      </c>
      <c r="O4267" s="7">
        <v>163.4</v>
      </c>
    </row>
    <row r="4268" spans="1:22" x14ac:dyDescent="0.2">
      <c r="A4268">
        <v>4267</v>
      </c>
      <c r="B4268" s="1">
        <v>40841</v>
      </c>
      <c r="C4268" t="s">
        <v>24</v>
      </c>
      <c r="D4268" s="7">
        <v>103</v>
      </c>
      <c r="E4268" s="7">
        <v>16</v>
      </c>
      <c r="F4268" s="7">
        <f t="shared" si="67"/>
        <v>3</v>
      </c>
      <c r="G4268" s="7" t="str">
        <f>LOOKUP(H4268,[1]startdates!$A$2:$A$10,[1]startdates!$B$2:$B$10)</f>
        <v>FMr</v>
      </c>
      <c r="H4268">
        <v>9</v>
      </c>
      <c r="I4268" s="7">
        <v>675.3</v>
      </c>
      <c r="K4268" s="7">
        <v>545.70000000000005</v>
      </c>
      <c r="M4268" s="7">
        <v>279.5</v>
      </c>
      <c r="N4268" s="7">
        <v>176.2</v>
      </c>
      <c r="O4268" s="7">
        <v>178.6</v>
      </c>
    </row>
    <row r="4269" spans="1:22" x14ac:dyDescent="0.2">
      <c r="A4269">
        <v>4268</v>
      </c>
      <c r="B4269" s="1">
        <v>40841</v>
      </c>
      <c r="C4269" t="s">
        <v>24</v>
      </c>
      <c r="D4269" s="7">
        <v>103</v>
      </c>
      <c r="E4269" s="7">
        <v>16</v>
      </c>
      <c r="F4269" s="7">
        <f t="shared" si="67"/>
        <v>3</v>
      </c>
      <c r="G4269" s="7" t="str">
        <f>LOOKUP(H4269,[1]startdates!$A$2:$A$10,[1]startdates!$B$2:$B$10)</f>
        <v>FMr</v>
      </c>
      <c r="H4269">
        <v>9</v>
      </c>
      <c r="I4269" s="7">
        <v>575.1</v>
      </c>
      <c r="K4269" s="7">
        <v>587.1</v>
      </c>
      <c r="M4269" s="7">
        <v>245.2</v>
      </c>
      <c r="N4269" s="7">
        <v>152.69999999999999</v>
      </c>
      <c r="O4269" s="7">
        <v>171.2</v>
      </c>
    </row>
    <row r="4270" spans="1:22" x14ac:dyDescent="0.2">
      <c r="A4270">
        <v>4269</v>
      </c>
      <c r="B4270" s="1">
        <v>40841</v>
      </c>
      <c r="C4270" t="s">
        <v>24</v>
      </c>
      <c r="D4270" s="7">
        <v>103</v>
      </c>
      <c r="E4270" s="7">
        <v>16</v>
      </c>
      <c r="F4270" s="7">
        <f t="shared" si="67"/>
        <v>3</v>
      </c>
      <c r="G4270" s="7" t="str">
        <f>LOOKUP(H4270,[1]startdates!$A$2:$A$10,[1]startdates!$B$2:$B$10)</f>
        <v>FMr</v>
      </c>
      <c r="H4270">
        <v>9</v>
      </c>
      <c r="I4270" s="7">
        <v>571.4</v>
      </c>
      <c r="K4270" s="7">
        <v>528</v>
      </c>
      <c r="M4270" s="7">
        <v>382.3</v>
      </c>
      <c r="N4270" s="7">
        <v>247.5</v>
      </c>
      <c r="O4270" s="7">
        <v>181.9</v>
      </c>
    </row>
    <row r="4271" spans="1:22" x14ac:dyDescent="0.2">
      <c r="A4271">
        <v>4270</v>
      </c>
      <c r="B4271" s="1">
        <v>40841</v>
      </c>
      <c r="C4271" t="s">
        <v>24</v>
      </c>
      <c r="D4271" s="7">
        <v>103</v>
      </c>
      <c r="E4271" s="7">
        <v>16</v>
      </c>
      <c r="F4271" s="7">
        <f t="shared" si="67"/>
        <v>3</v>
      </c>
      <c r="G4271" s="7" t="str">
        <f>LOOKUP(H4271,[1]startdates!$A$2:$A$10,[1]startdates!$B$2:$B$10)</f>
        <v>FMr</v>
      </c>
      <c r="H4271">
        <v>9</v>
      </c>
      <c r="I4271" s="7">
        <v>606.20000000000005</v>
      </c>
      <c r="K4271" s="7">
        <v>553.29999999999995</v>
      </c>
      <c r="N4271" s="7">
        <v>222.5</v>
      </c>
      <c r="O4271" s="7">
        <v>190.1</v>
      </c>
    </row>
    <row r="4272" spans="1:22" x14ac:dyDescent="0.2">
      <c r="A4272">
        <v>4271</v>
      </c>
      <c r="B4272" s="1">
        <v>40841</v>
      </c>
      <c r="C4272" t="s">
        <v>24</v>
      </c>
      <c r="D4272" s="7">
        <v>103</v>
      </c>
      <c r="E4272" s="7">
        <v>16</v>
      </c>
      <c r="F4272" s="7">
        <f t="shared" si="67"/>
        <v>3</v>
      </c>
      <c r="G4272" s="7" t="str">
        <f>LOOKUP(H4272,[1]startdates!$A$2:$A$10,[1]startdates!$B$2:$B$10)</f>
        <v>FMr</v>
      </c>
      <c r="H4272">
        <v>9</v>
      </c>
      <c r="I4272" s="7">
        <v>585.4</v>
      </c>
      <c r="O4272" s="7">
        <v>153.30000000000001</v>
      </c>
    </row>
    <row r="4273" spans="1:20" x14ac:dyDescent="0.2">
      <c r="A4273">
        <v>4272</v>
      </c>
      <c r="B4273" s="1">
        <v>40841</v>
      </c>
      <c r="C4273" t="s">
        <v>24</v>
      </c>
      <c r="D4273" s="7">
        <v>103</v>
      </c>
      <c r="E4273" s="7">
        <v>16</v>
      </c>
      <c r="F4273" s="7">
        <f t="shared" si="67"/>
        <v>3</v>
      </c>
      <c r="G4273" s="7" t="str">
        <f>LOOKUP(H4273,[1]startdates!$A$2:$A$10,[1]startdates!$B$2:$B$10)</f>
        <v>FMr</v>
      </c>
      <c r="H4273">
        <v>9</v>
      </c>
      <c r="I4273" s="7">
        <v>547.29999999999995</v>
      </c>
    </row>
    <row r="4274" spans="1:20" x14ac:dyDescent="0.2">
      <c r="A4274">
        <v>4273</v>
      </c>
      <c r="B4274" s="1">
        <v>40844</v>
      </c>
      <c r="C4274" t="s">
        <v>28</v>
      </c>
      <c r="D4274" s="7">
        <v>106</v>
      </c>
      <c r="E4274" s="7">
        <v>16</v>
      </c>
      <c r="F4274" s="7">
        <f t="shared" si="67"/>
        <v>6</v>
      </c>
      <c r="G4274" s="7" t="str">
        <f>LOOKUP(H4274,[1]startdates!$A$2:$A$10,[1]startdates!$B$2:$B$10)</f>
        <v>SMr</v>
      </c>
      <c r="H4274">
        <v>1</v>
      </c>
      <c r="I4274" s="7">
        <v>604.5</v>
      </c>
      <c r="J4274" s="7">
        <v>484.3</v>
      </c>
      <c r="K4274" s="7">
        <v>548.70000000000005</v>
      </c>
      <c r="L4274" s="7">
        <v>435.6</v>
      </c>
      <c r="M4274" s="7">
        <v>306.7</v>
      </c>
      <c r="N4274" s="7">
        <v>210.9</v>
      </c>
      <c r="O4274" s="7">
        <v>167.9</v>
      </c>
      <c r="P4274" s="7">
        <v>495.7</v>
      </c>
      <c r="Q4274" s="7">
        <v>300.2</v>
      </c>
      <c r="R4274" s="7">
        <v>224.4</v>
      </c>
      <c r="S4274" s="7">
        <v>258.39999999999998</v>
      </c>
    </row>
    <row r="4275" spans="1:20" x14ac:dyDescent="0.2">
      <c r="A4275">
        <v>4274</v>
      </c>
      <c r="B4275" s="1">
        <v>40844</v>
      </c>
      <c r="C4275" t="s">
        <v>28</v>
      </c>
      <c r="D4275" s="7">
        <v>106</v>
      </c>
      <c r="E4275" s="7">
        <v>16</v>
      </c>
      <c r="F4275" s="7">
        <f t="shared" si="67"/>
        <v>6</v>
      </c>
      <c r="G4275" s="7" t="str">
        <f>LOOKUP(H4275,[1]startdates!$A$2:$A$10,[1]startdates!$B$2:$B$10)</f>
        <v>SMr</v>
      </c>
      <c r="H4275">
        <v>1</v>
      </c>
      <c r="I4275" s="7">
        <v>629.70000000000005</v>
      </c>
      <c r="K4275" s="7">
        <v>474.9</v>
      </c>
      <c r="L4275" s="7">
        <v>439.7</v>
      </c>
      <c r="M4275" s="7">
        <v>294.60000000000002</v>
      </c>
      <c r="N4275" s="7">
        <v>208.9</v>
      </c>
      <c r="O4275" s="7">
        <v>151.1</v>
      </c>
      <c r="P4275" s="7">
        <v>469.1</v>
      </c>
      <c r="Q4275" s="7">
        <v>331.4</v>
      </c>
      <c r="R4275" s="7">
        <v>260.3</v>
      </c>
      <c r="S4275" s="7">
        <v>253.4</v>
      </c>
    </row>
    <row r="4276" spans="1:20" x14ac:dyDescent="0.2">
      <c r="A4276">
        <v>4275</v>
      </c>
      <c r="B4276" s="1">
        <v>40844</v>
      </c>
      <c r="C4276" t="s">
        <v>28</v>
      </c>
      <c r="D4276" s="7">
        <v>106</v>
      </c>
      <c r="E4276" s="7">
        <v>16</v>
      </c>
      <c r="F4276" s="7">
        <f t="shared" si="67"/>
        <v>6</v>
      </c>
      <c r="G4276" s="7" t="str">
        <f>LOOKUP(H4276,[1]startdates!$A$2:$A$10,[1]startdates!$B$2:$B$10)</f>
        <v>SMr</v>
      </c>
      <c r="H4276">
        <v>1</v>
      </c>
      <c r="I4276" s="7">
        <v>557.1</v>
      </c>
      <c r="K4276" s="7">
        <v>591.5</v>
      </c>
      <c r="L4276" s="7">
        <v>428.6</v>
      </c>
      <c r="M4276" s="7">
        <v>317.2</v>
      </c>
      <c r="N4276" s="7">
        <v>195.7</v>
      </c>
      <c r="O4276" s="7">
        <v>178.6</v>
      </c>
      <c r="P4276" s="7">
        <v>478.6</v>
      </c>
      <c r="Q4276" s="7">
        <v>336.5</v>
      </c>
      <c r="S4276" s="7">
        <v>250.4</v>
      </c>
    </row>
    <row r="4277" spans="1:20" x14ac:dyDescent="0.2">
      <c r="A4277">
        <v>4276</v>
      </c>
      <c r="B4277" s="1">
        <v>40844</v>
      </c>
      <c r="C4277" t="s">
        <v>28</v>
      </c>
      <c r="D4277" s="7">
        <v>106</v>
      </c>
      <c r="E4277" s="7">
        <v>16</v>
      </c>
      <c r="F4277" s="7">
        <f t="shared" si="67"/>
        <v>6</v>
      </c>
      <c r="G4277" s="7" t="str">
        <f>LOOKUP(H4277,[1]startdates!$A$2:$A$10,[1]startdates!$B$2:$B$10)</f>
        <v>SMr</v>
      </c>
      <c r="H4277">
        <v>1</v>
      </c>
      <c r="I4277" s="7">
        <v>554.4</v>
      </c>
      <c r="K4277" s="7">
        <v>554.29999999999995</v>
      </c>
      <c r="M4277" s="7">
        <v>306.39999999999998</v>
      </c>
      <c r="N4277" s="7">
        <v>153</v>
      </c>
      <c r="O4277" s="7">
        <v>169.6</v>
      </c>
      <c r="P4277" s="7">
        <v>461.7</v>
      </c>
      <c r="Q4277" s="7">
        <v>335.1</v>
      </c>
      <c r="S4277" s="7">
        <v>263.60000000000002</v>
      </c>
    </row>
    <row r="4278" spans="1:20" x14ac:dyDescent="0.2">
      <c r="A4278">
        <v>4277</v>
      </c>
      <c r="B4278" s="1">
        <v>40844</v>
      </c>
      <c r="C4278" t="s">
        <v>28</v>
      </c>
      <c r="D4278" s="7">
        <v>106</v>
      </c>
      <c r="E4278" s="7">
        <v>16</v>
      </c>
      <c r="F4278" s="7">
        <f t="shared" si="67"/>
        <v>6</v>
      </c>
      <c r="G4278" s="7" t="str">
        <f>LOOKUP(H4278,[1]startdates!$A$2:$A$10,[1]startdates!$B$2:$B$10)</f>
        <v>SMr</v>
      </c>
      <c r="H4278">
        <v>1</v>
      </c>
      <c r="I4278" s="7">
        <v>567.6</v>
      </c>
      <c r="K4278" s="7">
        <v>422</v>
      </c>
      <c r="M4278" s="7">
        <v>331.5</v>
      </c>
      <c r="N4278" s="7">
        <v>218</v>
      </c>
      <c r="O4278" s="7">
        <v>144</v>
      </c>
      <c r="P4278" s="7">
        <v>434.3</v>
      </c>
      <c r="Q4278" s="7">
        <v>330.9</v>
      </c>
      <c r="S4278" s="7">
        <v>251.9</v>
      </c>
    </row>
    <row r="4279" spans="1:20" x14ac:dyDescent="0.2">
      <c r="A4279">
        <v>4278</v>
      </c>
      <c r="B4279" s="1">
        <v>40844</v>
      </c>
      <c r="C4279" t="s">
        <v>28</v>
      </c>
      <c r="D4279" s="7">
        <v>106</v>
      </c>
      <c r="E4279" s="7">
        <v>16</v>
      </c>
      <c r="F4279" s="7">
        <f t="shared" si="67"/>
        <v>6</v>
      </c>
      <c r="G4279" s="7" t="str">
        <f>LOOKUP(H4279,[1]startdates!$A$2:$A$10,[1]startdates!$B$2:$B$10)</f>
        <v>SMr</v>
      </c>
      <c r="H4279">
        <v>1</v>
      </c>
      <c r="I4279" s="7">
        <v>585.4</v>
      </c>
      <c r="K4279" s="7">
        <v>510.5</v>
      </c>
      <c r="M4279" s="7">
        <v>379.6</v>
      </c>
      <c r="N4279" s="7">
        <v>182.2</v>
      </c>
      <c r="O4279" s="7">
        <v>147.69999999999999</v>
      </c>
    </row>
    <row r="4280" spans="1:20" x14ac:dyDescent="0.2">
      <c r="A4280">
        <v>4279</v>
      </c>
      <c r="B4280" s="1">
        <v>40844</v>
      </c>
      <c r="C4280" t="s">
        <v>28</v>
      </c>
      <c r="D4280" s="7">
        <v>106</v>
      </c>
      <c r="E4280" s="7">
        <v>16</v>
      </c>
      <c r="F4280" s="7">
        <f t="shared" si="67"/>
        <v>6</v>
      </c>
      <c r="G4280" s="7" t="str">
        <f>LOOKUP(H4280,[1]startdates!$A$2:$A$10,[1]startdates!$B$2:$B$10)</f>
        <v>SMr</v>
      </c>
      <c r="H4280">
        <v>1</v>
      </c>
      <c r="I4280" s="7">
        <v>546.20000000000005</v>
      </c>
      <c r="K4280" s="7">
        <v>579.70000000000005</v>
      </c>
      <c r="M4280" s="7">
        <v>288</v>
      </c>
      <c r="N4280" s="7">
        <v>209.2</v>
      </c>
      <c r="O4280" s="7">
        <v>178.4</v>
      </c>
    </row>
    <row r="4281" spans="1:20" x14ac:dyDescent="0.2">
      <c r="A4281">
        <v>4280</v>
      </c>
      <c r="B4281" s="1">
        <v>40844</v>
      </c>
      <c r="C4281" t="s">
        <v>28</v>
      </c>
      <c r="D4281" s="7">
        <v>106</v>
      </c>
      <c r="E4281" s="7">
        <v>16</v>
      </c>
      <c r="F4281" s="7">
        <f t="shared" si="67"/>
        <v>6</v>
      </c>
      <c r="G4281" s="7" t="str">
        <f>LOOKUP(H4281,[1]startdates!$A$2:$A$10,[1]startdates!$B$2:$B$10)</f>
        <v>SMr</v>
      </c>
      <c r="H4281">
        <v>1</v>
      </c>
      <c r="I4281" s="7">
        <v>538.5</v>
      </c>
      <c r="M4281" s="7">
        <v>383.3</v>
      </c>
      <c r="N4281" s="7">
        <v>203.7</v>
      </c>
      <c r="O4281" s="7">
        <v>159.30000000000001</v>
      </c>
    </row>
    <row r="4282" spans="1:20" x14ac:dyDescent="0.2">
      <c r="A4282">
        <v>4281</v>
      </c>
      <c r="B4282" s="1">
        <v>40844</v>
      </c>
      <c r="C4282" t="s">
        <v>28</v>
      </c>
      <c r="D4282" s="7">
        <v>106</v>
      </c>
      <c r="E4282" s="7">
        <v>16</v>
      </c>
      <c r="F4282" s="7">
        <f t="shared" si="67"/>
        <v>6</v>
      </c>
      <c r="G4282" s="7" t="str">
        <f>LOOKUP(H4282,[1]startdates!$A$2:$A$10,[1]startdates!$B$2:$B$10)</f>
        <v>SMr</v>
      </c>
      <c r="H4282">
        <v>1</v>
      </c>
      <c r="I4282" s="7">
        <v>676.9</v>
      </c>
      <c r="M4282" s="7">
        <v>383.7</v>
      </c>
      <c r="N4282" s="7">
        <v>211.4</v>
      </c>
      <c r="O4282" s="7">
        <v>169</v>
      </c>
    </row>
    <row r="4283" spans="1:20" x14ac:dyDescent="0.2">
      <c r="A4283">
        <v>4282</v>
      </c>
      <c r="B4283" s="1">
        <v>40844</v>
      </c>
      <c r="C4283" t="s">
        <v>28</v>
      </c>
      <c r="D4283" s="7">
        <v>106</v>
      </c>
      <c r="E4283" s="7">
        <v>16</v>
      </c>
      <c r="F4283" s="7">
        <f t="shared" si="67"/>
        <v>6</v>
      </c>
      <c r="G4283" s="7" t="str">
        <f>LOOKUP(H4283,[1]startdates!$A$2:$A$10,[1]startdates!$B$2:$B$10)</f>
        <v>SMr</v>
      </c>
      <c r="H4283">
        <v>1</v>
      </c>
      <c r="I4283" s="7">
        <v>631.6</v>
      </c>
      <c r="M4283" s="7">
        <v>364.4</v>
      </c>
      <c r="N4283" s="7">
        <v>219.7</v>
      </c>
      <c r="O4283" s="7">
        <v>188.9</v>
      </c>
    </row>
    <row r="4284" spans="1:20" x14ac:dyDescent="0.2">
      <c r="A4284">
        <v>4283</v>
      </c>
      <c r="B4284" s="1">
        <v>40844</v>
      </c>
      <c r="C4284" t="s">
        <v>28</v>
      </c>
      <c r="D4284" s="7">
        <v>106</v>
      </c>
      <c r="E4284" s="7">
        <v>16</v>
      </c>
      <c r="F4284" s="7">
        <f t="shared" si="67"/>
        <v>6</v>
      </c>
      <c r="G4284" s="7" t="str">
        <f>LOOKUP(H4284,[1]startdates!$A$2:$A$10,[1]startdates!$B$2:$B$10)</f>
        <v>SMr</v>
      </c>
      <c r="H4284">
        <v>1</v>
      </c>
      <c r="I4284" s="7">
        <v>690</v>
      </c>
      <c r="N4284" s="7">
        <v>268.60000000000002</v>
      </c>
    </row>
    <row r="4285" spans="1:20" x14ac:dyDescent="0.2">
      <c r="A4285">
        <v>4284</v>
      </c>
      <c r="B4285" s="1">
        <v>40844</v>
      </c>
      <c r="C4285" t="s">
        <v>28</v>
      </c>
      <c r="D4285" s="7">
        <v>106</v>
      </c>
      <c r="E4285" s="7">
        <v>16</v>
      </c>
      <c r="F4285" s="7">
        <f t="shared" si="67"/>
        <v>6</v>
      </c>
      <c r="G4285" s="7" t="str">
        <f>LOOKUP(H4285,[1]startdates!$A$2:$A$10,[1]startdates!$B$2:$B$10)</f>
        <v>SMr</v>
      </c>
      <c r="H4285">
        <v>1</v>
      </c>
      <c r="I4285" s="7">
        <v>600.70000000000005</v>
      </c>
    </row>
    <row r="4286" spans="1:20" x14ac:dyDescent="0.2">
      <c r="A4286">
        <v>4285</v>
      </c>
      <c r="B4286" s="1">
        <v>40844</v>
      </c>
      <c r="C4286" t="s">
        <v>28</v>
      </c>
      <c r="D4286" s="7">
        <v>106</v>
      </c>
      <c r="E4286" s="7">
        <v>16</v>
      </c>
      <c r="F4286" s="7">
        <f t="shared" si="67"/>
        <v>6</v>
      </c>
      <c r="G4286" s="7" t="str">
        <f>LOOKUP(H4286,[1]startdates!$A$2:$A$10,[1]startdates!$B$2:$B$10)</f>
        <v>SMr</v>
      </c>
      <c r="H4286">
        <v>1</v>
      </c>
      <c r="I4286" s="7">
        <v>671.9</v>
      </c>
    </row>
    <row r="4287" spans="1:20" x14ac:dyDescent="0.2">
      <c r="A4287">
        <v>4286</v>
      </c>
      <c r="B4287" s="1">
        <v>40844</v>
      </c>
      <c r="C4287" t="s">
        <v>28</v>
      </c>
      <c r="D4287" s="7">
        <v>106</v>
      </c>
      <c r="E4287" s="7">
        <v>16</v>
      </c>
      <c r="F4287" s="7">
        <f t="shared" si="67"/>
        <v>6</v>
      </c>
      <c r="G4287" s="7" t="str">
        <f>LOOKUP(H4287,[1]startdates!$A$2:$A$10,[1]startdates!$B$2:$B$10)</f>
        <v>SMr</v>
      </c>
      <c r="H4287">
        <v>1</v>
      </c>
      <c r="I4287" s="7">
        <v>600</v>
      </c>
    </row>
    <row r="4288" spans="1:20" x14ac:dyDescent="0.2">
      <c r="A4288">
        <v>4287</v>
      </c>
      <c r="B4288" s="1">
        <v>40844</v>
      </c>
      <c r="C4288" t="s">
        <v>24</v>
      </c>
      <c r="D4288" s="7">
        <v>106</v>
      </c>
      <c r="E4288" s="7">
        <v>16</v>
      </c>
      <c r="F4288" s="7">
        <f t="shared" si="67"/>
        <v>6</v>
      </c>
      <c r="G4288" s="7" t="str">
        <f>LOOKUP(H4288,[1]startdates!$A$2:$A$10,[1]startdates!$B$2:$B$10)</f>
        <v>SMr</v>
      </c>
      <c r="H4288">
        <v>2</v>
      </c>
      <c r="I4288" s="7">
        <v>504.8</v>
      </c>
      <c r="J4288" s="7">
        <v>539.20000000000005</v>
      </c>
      <c r="K4288" s="7">
        <v>509.3</v>
      </c>
      <c r="L4288" s="7">
        <v>353.6</v>
      </c>
      <c r="M4288" s="7">
        <v>321.2</v>
      </c>
      <c r="N4288" s="7">
        <v>199.3</v>
      </c>
      <c r="O4288" s="7">
        <v>177.7</v>
      </c>
      <c r="P4288" s="7">
        <v>516.79999999999995</v>
      </c>
      <c r="Q4288" s="7">
        <v>369.3</v>
      </c>
      <c r="R4288" s="7">
        <v>221.7</v>
      </c>
      <c r="T4288" s="7">
        <v>286.89999999999998</v>
      </c>
    </row>
    <row r="4289" spans="1:20" x14ac:dyDescent="0.2">
      <c r="A4289">
        <v>4288</v>
      </c>
      <c r="B4289" s="1">
        <v>40844</v>
      </c>
      <c r="C4289" t="s">
        <v>24</v>
      </c>
      <c r="D4289" s="7">
        <v>106</v>
      </c>
      <c r="E4289" s="7">
        <v>16</v>
      </c>
      <c r="F4289" s="7">
        <f t="shared" si="67"/>
        <v>6</v>
      </c>
      <c r="G4289" s="7" t="str">
        <f>LOOKUP(H4289,[1]startdates!$A$2:$A$10,[1]startdates!$B$2:$B$10)</f>
        <v>SMr</v>
      </c>
      <c r="H4289">
        <v>2</v>
      </c>
      <c r="I4289" s="7">
        <v>664.1</v>
      </c>
      <c r="J4289" s="7">
        <v>503.3</v>
      </c>
      <c r="K4289" s="7">
        <v>466</v>
      </c>
      <c r="L4289" s="7">
        <v>376.2</v>
      </c>
      <c r="M4289" s="7">
        <v>313.5</v>
      </c>
      <c r="N4289" s="7">
        <v>204.1</v>
      </c>
      <c r="O4289" s="7">
        <v>158.80000000000001</v>
      </c>
      <c r="P4289" s="7">
        <v>487.5</v>
      </c>
      <c r="Q4289" s="7">
        <v>366.3</v>
      </c>
      <c r="R4289" s="7">
        <v>287.8</v>
      </c>
      <c r="T4289" s="7">
        <v>251.7</v>
      </c>
    </row>
    <row r="4290" spans="1:20" x14ac:dyDescent="0.2">
      <c r="A4290">
        <v>4289</v>
      </c>
      <c r="B4290" s="1">
        <v>40844</v>
      </c>
      <c r="C4290" t="s">
        <v>24</v>
      </c>
      <c r="D4290" s="7">
        <v>106</v>
      </c>
      <c r="E4290" s="7">
        <v>16</v>
      </c>
      <c r="F4290" s="7">
        <f t="shared" si="67"/>
        <v>6</v>
      </c>
      <c r="G4290" s="7" t="str">
        <f>LOOKUP(H4290,[1]startdates!$A$2:$A$10,[1]startdates!$B$2:$B$10)</f>
        <v>SMr</v>
      </c>
      <c r="H4290">
        <v>2</v>
      </c>
      <c r="I4290" s="7">
        <v>533.1</v>
      </c>
      <c r="J4290" s="7">
        <v>533.6</v>
      </c>
      <c r="K4290" s="7">
        <v>532.70000000000005</v>
      </c>
      <c r="L4290" s="7">
        <v>431</v>
      </c>
      <c r="M4290" s="7">
        <v>316.8</v>
      </c>
      <c r="N4290" s="7">
        <v>217.3</v>
      </c>
      <c r="O4290" s="7">
        <v>168.9</v>
      </c>
      <c r="P4290" s="7">
        <v>461.7</v>
      </c>
    </row>
    <row r="4291" spans="1:20" x14ac:dyDescent="0.2">
      <c r="A4291">
        <v>4290</v>
      </c>
      <c r="B4291" s="1">
        <v>40844</v>
      </c>
      <c r="C4291" t="s">
        <v>24</v>
      </c>
      <c r="D4291" s="7">
        <v>106</v>
      </c>
      <c r="E4291" s="7">
        <v>16</v>
      </c>
      <c r="F4291" s="7">
        <f t="shared" si="67"/>
        <v>6</v>
      </c>
      <c r="G4291" s="7" t="str">
        <f>LOOKUP(H4291,[1]startdates!$A$2:$A$10,[1]startdates!$B$2:$B$10)</f>
        <v>SMr</v>
      </c>
      <c r="H4291">
        <v>2</v>
      </c>
      <c r="I4291" s="7">
        <v>535.70000000000005</v>
      </c>
      <c r="K4291" s="7">
        <v>467.6</v>
      </c>
      <c r="L4291" s="7">
        <v>439.4</v>
      </c>
      <c r="M4291" s="7">
        <v>319.5</v>
      </c>
      <c r="N4291" s="7">
        <v>188.7</v>
      </c>
      <c r="O4291" s="7">
        <v>173.7</v>
      </c>
    </row>
    <row r="4292" spans="1:20" x14ac:dyDescent="0.2">
      <c r="A4292">
        <v>4291</v>
      </c>
      <c r="B4292" s="1">
        <v>40844</v>
      </c>
      <c r="C4292" t="s">
        <v>24</v>
      </c>
      <c r="D4292" s="7">
        <v>106</v>
      </c>
      <c r="E4292" s="7">
        <v>16</v>
      </c>
      <c r="F4292" s="7">
        <f t="shared" si="67"/>
        <v>6</v>
      </c>
      <c r="G4292" s="7" t="str">
        <f>LOOKUP(H4292,[1]startdates!$A$2:$A$10,[1]startdates!$B$2:$B$10)</f>
        <v>SMr</v>
      </c>
      <c r="H4292">
        <v>2</v>
      </c>
      <c r="I4292" s="7">
        <v>649.5</v>
      </c>
      <c r="K4292" s="7">
        <v>511.2</v>
      </c>
      <c r="L4292" s="7">
        <v>402</v>
      </c>
      <c r="M4292" s="7">
        <v>316.3</v>
      </c>
      <c r="N4292" s="7">
        <v>210.1</v>
      </c>
      <c r="O4292" s="7">
        <v>164</v>
      </c>
    </row>
    <row r="4293" spans="1:20" x14ac:dyDescent="0.2">
      <c r="A4293">
        <v>4292</v>
      </c>
      <c r="B4293" s="1">
        <v>40844</v>
      </c>
      <c r="C4293" t="s">
        <v>24</v>
      </c>
      <c r="D4293" s="7">
        <v>106</v>
      </c>
      <c r="E4293" s="7">
        <v>16</v>
      </c>
      <c r="F4293" s="7">
        <f t="shared" si="67"/>
        <v>6</v>
      </c>
      <c r="G4293" s="7" t="str">
        <f>LOOKUP(H4293,[1]startdates!$A$2:$A$10,[1]startdates!$B$2:$B$10)</f>
        <v>SMr</v>
      </c>
      <c r="H4293">
        <v>2</v>
      </c>
      <c r="I4293" s="7">
        <v>619.6</v>
      </c>
      <c r="K4293" s="7">
        <v>496.3</v>
      </c>
      <c r="M4293" s="7">
        <v>391.4</v>
      </c>
      <c r="N4293" s="7">
        <v>195.1</v>
      </c>
      <c r="O4293" s="7">
        <v>187.7</v>
      </c>
    </row>
    <row r="4294" spans="1:20" x14ac:dyDescent="0.2">
      <c r="A4294">
        <v>4293</v>
      </c>
      <c r="B4294" s="1">
        <v>40844</v>
      </c>
      <c r="C4294" t="s">
        <v>24</v>
      </c>
      <c r="D4294" s="7">
        <v>106</v>
      </c>
      <c r="E4294" s="7">
        <v>16</v>
      </c>
      <c r="F4294" s="7">
        <f t="shared" si="67"/>
        <v>6</v>
      </c>
      <c r="G4294" s="7" t="str">
        <f>LOOKUP(H4294,[1]startdates!$A$2:$A$10,[1]startdates!$B$2:$B$10)</f>
        <v>SMr</v>
      </c>
      <c r="H4294">
        <v>2</v>
      </c>
      <c r="I4294" s="7">
        <v>568.70000000000005</v>
      </c>
      <c r="M4294" s="7">
        <v>287.39999999999998</v>
      </c>
      <c r="N4294" s="7">
        <v>199.3</v>
      </c>
      <c r="O4294" s="7">
        <v>182.8</v>
      </c>
    </row>
    <row r="4295" spans="1:20" x14ac:dyDescent="0.2">
      <c r="A4295">
        <v>4294</v>
      </c>
      <c r="B4295" s="1">
        <v>40844</v>
      </c>
      <c r="C4295" t="s">
        <v>24</v>
      </c>
      <c r="D4295" s="7">
        <v>106</v>
      </c>
      <c r="E4295" s="7">
        <v>16</v>
      </c>
      <c r="F4295" s="7">
        <f t="shared" si="67"/>
        <v>6</v>
      </c>
      <c r="G4295" s="7" t="str">
        <f>LOOKUP(H4295,[1]startdates!$A$2:$A$10,[1]startdates!$B$2:$B$10)</f>
        <v>SMr</v>
      </c>
      <c r="H4295">
        <v>2</v>
      </c>
      <c r="I4295" s="7">
        <v>633.4</v>
      </c>
      <c r="M4295" s="7">
        <v>323.3</v>
      </c>
      <c r="N4295" s="7">
        <v>200.5</v>
      </c>
      <c r="O4295" s="7">
        <v>175.8</v>
      </c>
    </row>
    <row r="4296" spans="1:20" x14ac:dyDescent="0.2">
      <c r="A4296">
        <v>4295</v>
      </c>
      <c r="B4296" s="1">
        <v>40844</v>
      </c>
      <c r="C4296" t="s">
        <v>24</v>
      </c>
      <c r="D4296" s="7">
        <v>106</v>
      </c>
      <c r="E4296" s="7">
        <v>16</v>
      </c>
      <c r="F4296" s="7">
        <f t="shared" si="67"/>
        <v>6</v>
      </c>
      <c r="G4296" s="7" t="str">
        <f>LOOKUP(H4296,[1]startdates!$A$2:$A$10,[1]startdates!$B$2:$B$10)</f>
        <v>SMr</v>
      </c>
      <c r="H4296">
        <v>2</v>
      </c>
      <c r="I4296" s="7">
        <v>601.20000000000005</v>
      </c>
      <c r="M4296" s="7">
        <v>295.5</v>
      </c>
      <c r="N4296" s="7">
        <v>255.2</v>
      </c>
    </row>
    <row r="4297" spans="1:20" x14ac:dyDescent="0.2">
      <c r="A4297">
        <v>4296</v>
      </c>
      <c r="B4297" s="1">
        <v>40844</v>
      </c>
      <c r="C4297" t="s">
        <v>24</v>
      </c>
      <c r="D4297" s="7">
        <v>106</v>
      </c>
      <c r="E4297" s="7">
        <v>16</v>
      </c>
      <c r="F4297" s="7">
        <f t="shared" si="67"/>
        <v>6</v>
      </c>
      <c r="G4297" s="7" t="str">
        <f>LOOKUP(H4297,[1]startdates!$A$2:$A$10,[1]startdates!$B$2:$B$10)</f>
        <v>SMr</v>
      </c>
      <c r="H4297">
        <v>2</v>
      </c>
      <c r="I4297" s="7">
        <v>586.70000000000005</v>
      </c>
      <c r="M4297" s="7">
        <v>340.3</v>
      </c>
    </row>
    <row r="4298" spans="1:20" x14ac:dyDescent="0.2">
      <c r="A4298">
        <v>4297</v>
      </c>
      <c r="B4298" s="1">
        <v>40844</v>
      </c>
      <c r="C4298" t="s">
        <v>24</v>
      </c>
      <c r="D4298" s="7">
        <v>106</v>
      </c>
      <c r="E4298" s="7">
        <v>16</v>
      </c>
      <c r="F4298" s="7">
        <f t="shared" si="67"/>
        <v>6</v>
      </c>
      <c r="G4298" s="7" t="str">
        <f>LOOKUP(H4298,[1]startdates!$A$2:$A$10,[1]startdates!$B$2:$B$10)</f>
        <v>SMr</v>
      </c>
      <c r="H4298">
        <v>2</v>
      </c>
      <c r="I4298" s="7">
        <v>597.70000000000005</v>
      </c>
    </row>
    <row r="4299" spans="1:20" x14ac:dyDescent="0.2">
      <c r="A4299">
        <v>4298</v>
      </c>
      <c r="B4299" s="1">
        <v>40844</v>
      </c>
      <c r="C4299" t="s">
        <v>24</v>
      </c>
      <c r="D4299" s="7">
        <v>106</v>
      </c>
      <c r="E4299" s="7">
        <v>16</v>
      </c>
      <c r="F4299" s="7">
        <f t="shared" si="67"/>
        <v>6</v>
      </c>
      <c r="G4299" s="7" t="str">
        <f>LOOKUP(H4299,[1]startdates!$A$2:$A$10,[1]startdates!$B$2:$B$10)</f>
        <v>SMr</v>
      </c>
      <c r="H4299">
        <v>2</v>
      </c>
      <c r="I4299" s="7">
        <v>353.5</v>
      </c>
    </row>
    <row r="4300" spans="1:20" x14ac:dyDescent="0.2">
      <c r="A4300">
        <v>4299</v>
      </c>
      <c r="B4300" s="1">
        <v>40844</v>
      </c>
      <c r="C4300" t="s">
        <v>24</v>
      </c>
      <c r="D4300" s="7">
        <v>106</v>
      </c>
      <c r="E4300" s="7">
        <v>16</v>
      </c>
      <c r="F4300" s="7">
        <f t="shared" si="67"/>
        <v>6</v>
      </c>
      <c r="G4300" s="7" t="str">
        <f>LOOKUP(H4300,[1]startdates!$A$2:$A$10,[1]startdates!$B$2:$B$10)</f>
        <v>SMr</v>
      </c>
      <c r="H4300">
        <v>2</v>
      </c>
      <c r="I4300" s="7">
        <v>534</v>
      </c>
    </row>
    <row r="4301" spans="1:20" x14ac:dyDescent="0.2">
      <c r="A4301">
        <v>4300</v>
      </c>
      <c r="B4301" s="1">
        <v>40844</v>
      </c>
      <c r="C4301" t="s">
        <v>24</v>
      </c>
      <c r="D4301" s="7">
        <v>106</v>
      </c>
      <c r="E4301" s="7">
        <v>16</v>
      </c>
      <c r="F4301" s="7">
        <f t="shared" si="67"/>
        <v>6</v>
      </c>
      <c r="G4301" s="7" t="str">
        <f>LOOKUP(H4301,[1]startdates!$A$2:$A$10,[1]startdates!$B$2:$B$10)</f>
        <v>SMr</v>
      </c>
      <c r="H4301">
        <v>2</v>
      </c>
      <c r="I4301" s="7">
        <v>578.29999999999995</v>
      </c>
    </row>
    <row r="4302" spans="1:20" x14ac:dyDescent="0.2">
      <c r="A4302">
        <v>4301</v>
      </c>
      <c r="B4302" s="1">
        <v>40844</v>
      </c>
      <c r="C4302" t="s">
        <v>24</v>
      </c>
      <c r="D4302" s="7">
        <v>106</v>
      </c>
      <c r="E4302" s="7">
        <v>16</v>
      </c>
      <c r="F4302" s="7">
        <f t="shared" si="67"/>
        <v>6</v>
      </c>
      <c r="G4302" s="7" t="str">
        <f>LOOKUP(H4302,[1]startdates!$A$2:$A$10,[1]startdates!$B$2:$B$10)</f>
        <v>SMr</v>
      </c>
      <c r="H4302">
        <v>2</v>
      </c>
      <c r="I4302" s="7">
        <v>611.29999999999995</v>
      </c>
    </row>
    <row r="4303" spans="1:20" x14ac:dyDescent="0.2">
      <c r="A4303">
        <v>4302</v>
      </c>
      <c r="B4303" s="1">
        <v>40844</v>
      </c>
      <c r="C4303" t="s">
        <v>24</v>
      </c>
      <c r="D4303" s="7">
        <v>106</v>
      </c>
      <c r="E4303" s="7">
        <v>16</v>
      </c>
      <c r="F4303" s="7">
        <f t="shared" si="67"/>
        <v>6</v>
      </c>
      <c r="G4303" s="7" t="str">
        <f>LOOKUP(H4303,[1]startdates!$A$2:$A$10,[1]startdates!$B$2:$B$10)</f>
        <v>SMr</v>
      </c>
      <c r="H4303">
        <v>2</v>
      </c>
      <c r="I4303" s="7">
        <v>454.3</v>
      </c>
    </row>
    <row r="4304" spans="1:20" x14ac:dyDescent="0.2">
      <c r="A4304">
        <v>4303</v>
      </c>
      <c r="B4304" s="1">
        <v>40844</v>
      </c>
      <c r="C4304" t="s">
        <v>24</v>
      </c>
      <c r="D4304" s="7">
        <v>106</v>
      </c>
      <c r="E4304" s="7">
        <v>16</v>
      </c>
      <c r="F4304" s="7">
        <f t="shared" si="67"/>
        <v>6</v>
      </c>
      <c r="G4304" s="7" t="str">
        <f>LOOKUP(H4304,[1]startdates!$A$2:$A$10,[1]startdates!$B$2:$B$10)</f>
        <v>C</v>
      </c>
      <c r="H4304">
        <v>3</v>
      </c>
      <c r="I4304" s="7">
        <v>572.20000000000005</v>
      </c>
      <c r="K4304" s="7">
        <v>560.6</v>
      </c>
      <c r="L4304" s="7">
        <v>440</v>
      </c>
      <c r="M4304" s="7">
        <v>310.7</v>
      </c>
      <c r="N4304" s="7">
        <v>202.9</v>
      </c>
      <c r="O4304" s="7">
        <v>181.3</v>
      </c>
      <c r="P4304" s="7">
        <v>485.3</v>
      </c>
      <c r="Q4304" s="7">
        <v>322.8</v>
      </c>
      <c r="S4304" s="7">
        <v>225.7</v>
      </c>
      <c r="T4304" s="7">
        <v>378.6</v>
      </c>
    </row>
    <row r="4305" spans="1:18" x14ac:dyDescent="0.2">
      <c r="A4305">
        <v>4304</v>
      </c>
      <c r="B4305" s="1">
        <v>40844</v>
      </c>
      <c r="C4305" t="s">
        <v>24</v>
      </c>
      <c r="D4305" s="7">
        <v>106</v>
      </c>
      <c r="E4305" s="7">
        <v>16</v>
      </c>
      <c r="F4305" s="7">
        <f t="shared" si="67"/>
        <v>6</v>
      </c>
      <c r="G4305" s="7" t="str">
        <f>LOOKUP(H4305,[1]startdates!$A$2:$A$10,[1]startdates!$B$2:$B$10)</f>
        <v>C</v>
      </c>
      <c r="H4305">
        <v>3</v>
      </c>
      <c r="I4305" s="7">
        <v>513.4</v>
      </c>
      <c r="K4305" s="7">
        <v>422.1</v>
      </c>
      <c r="L4305" s="7">
        <v>412.9</v>
      </c>
      <c r="M4305" s="7">
        <v>308.39999999999998</v>
      </c>
      <c r="N4305" s="7">
        <v>209.9</v>
      </c>
      <c r="O4305" s="7">
        <v>174.9</v>
      </c>
      <c r="P4305" s="7">
        <v>538.6</v>
      </c>
      <c r="Q4305" s="7">
        <v>351.5</v>
      </c>
    </row>
    <row r="4306" spans="1:18" x14ac:dyDescent="0.2">
      <c r="A4306">
        <v>4305</v>
      </c>
      <c r="B4306" s="1">
        <v>40844</v>
      </c>
      <c r="C4306" t="s">
        <v>24</v>
      </c>
      <c r="D4306" s="7">
        <v>106</v>
      </c>
      <c r="E4306" s="7">
        <v>16</v>
      </c>
      <c r="F4306" s="7">
        <f t="shared" si="67"/>
        <v>6</v>
      </c>
      <c r="G4306" s="7" t="str">
        <f>LOOKUP(H4306,[1]startdates!$A$2:$A$10,[1]startdates!$B$2:$B$10)</f>
        <v>C</v>
      </c>
      <c r="H4306">
        <v>3</v>
      </c>
      <c r="I4306" s="7">
        <v>660.5</v>
      </c>
      <c r="K4306" s="7">
        <v>606.1</v>
      </c>
      <c r="M4306" s="7">
        <v>355.1</v>
      </c>
      <c r="N4306" s="7">
        <v>235.5</v>
      </c>
      <c r="O4306" s="7">
        <v>175.8</v>
      </c>
      <c r="P4306" s="7">
        <v>497.1</v>
      </c>
      <c r="Q4306" s="7">
        <v>367</v>
      </c>
    </row>
    <row r="4307" spans="1:18" x14ac:dyDescent="0.2">
      <c r="A4307">
        <v>4306</v>
      </c>
      <c r="B4307" s="1">
        <v>40844</v>
      </c>
      <c r="C4307" t="s">
        <v>24</v>
      </c>
      <c r="D4307" s="7">
        <v>106</v>
      </c>
      <c r="E4307" s="7">
        <v>16</v>
      </c>
      <c r="F4307" s="7">
        <f t="shared" si="67"/>
        <v>6</v>
      </c>
      <c r="G4307" s="7" t="str">
        <f>LOOKUP(H4307,[1]startdates!$A$2:$A$10,[1]startdates!$B$2:$B$10)</f>
        <v>C</v>
      </c>
      <c r="H4307">
        <v>3</v>
      </c>
      <c r="I4307" s="7">
        <v>646.20000000000005</v>
      </c>
      <c r="K4307" s="7">
        <v>575.5</v>
      </c>
      <c r="M4307" s="7">
        <v>353.5</v>
      </c>
      <c r="N4307" s="7">
        <v>221.4</v>
      </c>
      <c r="O4307" s="7">
        <v>187</v>
      </c>
      <c r="P4307" s="7">
        <v>478.6</v>
      </c>
    </row>
    <row r="4308" spans="1:18" x14ac:dyDescent="0.2">
      <c r="A4308">
        <v>4307</v>
      </c>
      <c r="B4308" s="1">
        <v>40844</v>
      </c>
      <c r="C4308" t="s">
        <v>24</v>
      </c>
      <c r="D4308" s="7">
        <v>106</v>
      </c>
      <c r="E4308" s="7">
        <v>16</v>
      </c>
      <c r="F4308" s="7">
        <f t="shared" si="67"/>
        <v>6</v>
      </c>
      <c r="G4308" s="7" t="str">
        <f>LOOKUP(H4308,[1]startdates!$A$2:$A$10,[1]startdates!$B$2:$B$10)</f>
        <v>C</v>
      </c>
      <c r="H4308">
        <v>3</v>
      </c>
      <c r="I4308" s="7">
        <v>517</v>
      </c>
      <c r="K4308" s="7">
        <v>469.7</v>
      </c>
      <c r="N4308" s="7">
        <v>255.3</v>
      </c>
      <c r="O4308" s="7">
        <v>196.1</v>
      </c>
    </row>
    <row r="4309" spans="1:18" x14ac:dyDescent="0.2">
      <c r="A4309">
        <v>4308</v>
      </c>
      <c r="B4309" s="1">
        <v>40844</v>
      </c>
      <c r="C4309" t="s">
        <v>24</v>
      </c>
      <c r="D4309" s="7">
        <v>106</v>
      </c>
      <c r="E4309" s="7">
        <v>16</v>
      </c>
      <c r="F4309" s="7">
        <f t="shared" si="67"/>
        <v>6</v>
      </c>
      <c r="G4309" s="7" t="str">
        <f>LOOKUP(H4309,[1]startdates!$A$2:$A$10,[1]startdates!$B$2:$B$10)</f>
        <v>C</v>
      </c>
      <c r="H4309">
        <v>3</v>
      </c>
      <c r="I4309" s="7">
        <v>547.29999999999995</v>
      </c>
      <c r="K4309" s="7">
        <v>580</v>
      </c>
      <c r="N4309" s="7">
        <v>230.4</v>
      </c>
      <c r="O4309" s="7">
        <v>176</v>
      </c>
    </row>
    <row r="4310" spans="1:18" x14ac:dyDescent="0.2">
      <c r="A4310">
        <v>4309</v>
      </c>
      <c r="B4310" s="1">
        <v>40844</v>
      </c>
      <c r="C4310" t="s">
        <v>24</v>
      </c>
      <c r="D4310" s="7">
        <v>106</v>
      </c>
      <c r="E4310" s="7">
        <v>16</v>
      </c>
      <c r="F4310" s="7">
        <f t="shared" si="67"/>
        <v>6</v>
      </c>
      <c r="G4310" s="7" t="str">
        <f>LOOKUP(H4310,[1]startdates!$A$2:$A$10,[1]startdates!$B$2:$B$10)</f>
        <v>C</v>
      </c>
      <c r="H4310">
        <v>3</v>
      </c>
      <c r="I4310" s="7">
        <v>517.1</v>
      </c>
      <c r="K4310" s="7">
        <v>617.9</v>
      </c>
      <c r="N4310" s="7">
        <v>192.7</v>
      </c>
      <c r="O4310" s="7">
        <v>193.2</v>
      </c>
    </row>
    <row r="4311" spans="1:18" x14ac:dyDescent="0.2">
      <c r="A4311">
        <v>4310</v>
      </c>
      <c r="B4311" s="1">
        <v>40844</v>
      </c>
      <c r="C4311" t="s">
        <v>24</v>
      </c>
      <c r="D4311" s="7">
        <v>106</v>
      </c>
      <c r="E4311" s="7">
        <v>16</v>
      </c>
      <c r="F4311" s="7">
        <f t="shared" si="67"/>
        <v>6</v>
      </c>
      <c r="G4311" s="7" t="str">
        <f>LOOKUP(H4311,[1]startdates!$A$2:$A$10,[1]startdates!$B$2:$B$10)</f>
        <v>C</v>
      </c>
      <c r="H4311">
        <v>3</v>
      </c>
      <c r="I4311" s="7">
        <v>558.70000000000005</v>
      </c>
      <c r="K4311" s="7">
        <v>553.79999999999995</v>
      </c>
      <c r="N4311" s="7">
        <v>239.8</v>
      </c>
      <c r="O4311" s="7">
        <v>169</v>
      </c>
    </row>
    <row r="4312" spans="1:18" x14ac:dyDescent="0.2">
      <c r="A4312">
        <v>4311</v>
      </c>
      <c r="B4312" s="1">
        <v>40844</v>
      </c>
      <c r="C4312" t="s">
        <v>24</v>
      </c>
      <c r="D4312" s="7">
        <v>106</v>
      </c>
      <c r="E4312" s="7">
        <v>16</v>
      </c>
      <c r="F4312" s="7">
        <f t="shared" si="67"/>
        <v>6</v>
      </c>
      <c r="G4312" s="7" t="str">
        <f>LOOKUP(H4312,[1]startdates!$A$2:$A$10,[1]startdates!$B$2:$B$10)</f>
        <v>C</v>
      </c>
      <c r="H4312">
        <v>3</v>
      </c>
      <c r="I4312" s="7">
        <v>556.9</v>
      </c>
      <c r="N4312" s="7">
        <v>270.8</v>
      </c>
      <c r="O4312" s="7">
        <v>169.7</v>
      </c>
    </row>
    <row r="4313" spans="1:18" x14ac:dyDescent="0.2">
      <c r="A4313">
        <v>4312</v>
      </c>
      <c r="B4313" s="1">
        <v>40844</v>
      </c>
      <c r="C4313" t="s">
        <v>24</v>
      </c>
      <c r="D4313" s="7">
        <v>106</v>
      </c>
      <c r="E4313" s="7">
        <v>16</v>
      </c>
      <c r="F4313" s="7">
        <f t="shared" si="67"/>
        <v>6</v>
      </c>
      <c r="G4313" s="7" t="str">
        <f>LOOKUP(H4313,[1]startdates!$A$2:$A$10,[1]startdates!$B$2:$B$10)</f>
        <v>C</v>
      </c>
      <c r="H4313">
        <v>3</v>
      </c>
      <c r="I4313" s="7">
        <v>588.9</v>
      </c>
      <c r="O4313" s="7">
        <v>192.1</v>
      </c>
    </row>
    <row r="4314" spans="1:18" x14ac:dyDescent="0.2">
      <c r="A4314">
        <v>4313</v>
      </c>
      <c r="B4314" s="1">
        <v>40844</v>
      </c>
      <c r="C4314" t="s">
        <v>24</v>
      </c>
      <c r="D4314" s="7">
        <v>106</v>
      </c>
      <c r="E4314" s="7">
        <v>16</v>
      </c>
      <c r="F4314" s="7">
        <f t="shared" si="67"/>
        <v>6</v>
      </c>
      <c r="G4314" s="7" t="str">
        <f>LOOKUP(H4314,[1]startdates!$A$2:$A$10,[1]startdates!$B$2:$B$10)</f>
        <v>C</v>
      </c>
      <c r="H4314">
        <v>3</v>
      </c>
      <c r="I4314" s="7">
        <v>550.70000000000005</v>
      </c>
    </row>
    <row r="4315" spans="1:18" x14ac:dyDescent="0.2">
      <c r="A4315">
        <v>4314</v>
      </c>
      <c r="B4315" s="1">
        <v>40844</v>
      </c>
      <c r="C4315" t="s">
        <v>24</v>
      </c>
      <c r="D4315" s="7">
        <v>106</v>
      </c>
      <c r="E4315" s="7">
        <v>16</v>
      </c>
      <c r="F4315" s="7">
        <f t="shared" si="67"/>
        <v>6</v>
      </c>
      <c r="G4315" s="7" t="str">
        <f>LOOKUP(H4315,[1]startdates!$A$2:$A$10,[1]startdates!$B$2:$B$10)</f>
        <v>SMr</v>
      </c>
      <c r="H4315">
        <v>4</v>
      </c>
      <c r="I4315" s="7">
        <v>531.4</v>
      </c>
      <c r="J4315" s="7">
        <v>559.29999999999995</v>
      </c>
      <c r="K4315" s="7">
        <v>498.4</v>
      </c>
      <c r="L4315" s="7">
        <v>414.6</v>
      </c>
      <c r="M4315" s="7">
        <v>343.5</v>
      </c>
      <c r="N4315" s="7">
        <v>190.2</v>
      </c>
      <c r="O4315" s="7">
        <v>200.6</v>
      </c>
      <c r="P4315" s="7">
        <v>427</v>
      </c>
      <c r="Q4315" s="7">
        <v>340.7</v>
      </c>
      <c r="R4315" s="7">
        <v>252.2</v>
      </c>
    </row>
    <row r="4316" spans="1:18" x14ac:dyDescent="0.2">
      <c r="A4316">
        <v>4315</v>
      </c>
      <c r="B4316" s="1">
        <v>40844</v>
      </c>
      <c r="C4316" t="s">
        <v>24</v>
      </c>
      <c r="D4316" s="7">
        <v>106</v>
      </c>
      <c r="E4316" s="7">
        <v>16</v>
      </c>
      <c r="F4316" s="7">
        <f t="shared" si="67"/>
        <v>6</v>
      </c>
      <c r="G4316" s="7" t="str">
        <f>LOOKUP(H4316,[1]startdates!$A$2:$A$10,[1]startdates!$B$2:$B$10)</f>
        <v>SMr</v>
      </c>
      <c r="H4316">
        <v>4</v>
      </c>
      <c r="I4316" s="7">
        <v>600.6</v>
      </c>
      <c r="K4316" s="7">
        <v>502.8</v>
      </c>
      <c r="L4316" s="7">
        <v>438.9</v>
      </c>
      <c r="M4316" s="7">
        <v>313.5</v>
      </c>
      <c r="N4316" s="7">
        <v>218.7</v>
      </c>
      <c r="O4316" s="7">
        <v>173.2</v>
      </c>
      <c r="P4316" s="7">
        <v>427.3</v>
      </c>
      <c r="Q4316" s="7">
        <v>365</v>
      </c>
    </row>
    <row r="4317" spans="1:18" x14ac:dyDescent="0.2">
      <c r="A4317">
        <v>4316</v>
      </c>
      <c r="B4317" s="1">
        <v>40844</v>
      </c>
      <c r="C4317" t="s">
        <v>24</v>
      </c>
      <c r="D4317" s="7">
        <v>106</v>
      </c>
      <c r="E4317" s="7">
        <v>16</v>
      </c>
      <c r="F4317" s="7">
        <f t="shared" si="67"/>
        <v>6</v>
      </c>
      <c r="G4317" s="7" t="str">
        <f>LOOKUP(H4317,[1]startdates!$A$2:$A$10,[1]startdates!$B$2:$B$10)</f>
        <v>SMr</v>
      </c>
      <c r="H4317">
        <v>4</v>
      </c>
      <c r="I4317" s="7">
        <v>612.79999999999995</v>
      </c>
      <c r="K4317" s="7">
        <v>385.8</v>
      </c>
      <c r="L4317" s="7">
        <v>432.3</v>
      </c>
      <c r="M4317" s="7">
        <v>339.4</v>
      </c>
      <c r="N4317" s="7">
        <v>216.8</v>
      </c>
      <c r="O4317" s="7">
        <v>177.3</v>
      </c>
      <c r="Q4317" s="7">
        <v>340.2</v>
      </c>
    </row>
    <row r="4318" spans="1:18" x14ac:dyDescent="0.2">
      <c r="A4318">
        <v>4317</v>
      </c>
      <c r="B4318" s="1">
        <v>40844</v>
      </c>
      <c r="C4318" t="s">
        <v>24</v>
      </c>
      <c r="D4318" s="7">
        <v>106</v>
      </c>
      <c r="E4318" s="7">
        <v>16</v>
      </c>
      <c r="F4318" s="7">
        <f t="shared" si="67"/>
        <v>6</v>
      </c>
      <c r="G4318" s="7" t="str">
        <f>LOOKUP(H4318,[1]startdates!$A$2:$A$10,[1]startdates!$B$2:$B$10)</f>
        <v>SMr</v>
      </c>
      <c r="H4318">
        <v>4</v>
      </c>
      <c r="I4318" s="7">
        <v>620.6</v>
      </c>
      <c r="K4318" s="7">
        <v>424.6</v>
      </c>
      <c r="L4318" s="7">
        <v>387.5</v>
      </c>
      <c r="M4318" s="7">
        <v>307.60000000000002</v>
      </c>
      <c r="N4318" s="7">
        <v>189.5</v>
      </c>
      <c r="O4318" s="7">
        <v>185</v>
      </c>
      <c r="Q4318" s="7">
        <v>343.5</v>
      </c>
    </row>
    <row r="4319" spans="1:18" x14ac:dyDescent="0.2">
      <c r="A4319">
        <v>4318</v>
      </c>
      <c r="B4319" s="1">
        <v>40844</v>
      </c>
      <c r="C4319" t="s">
        <v>24</v>
      </c>
      <c r="D4319" s="7">
        <v>106</v>
      </c>
      <c r="E4319" s="7">
        <v>16</v>
      </c>
      <c r="F4319" s="7">
        <f t="shared" si="67"/>
        <v>6</v>
      </c>
      <c r="G4319" s="7" t="str">
        <f>LOOKUP(H4319,[1]startdates!$A$2:$A$10,[1]startdates!$B$2:$B$10)</f>
        <v>SMr</v>
      </c>
      <c r="H4319">
        <v>4</v>
      </c>
      <c r="I4319" s="7">
        <v>517</v>
      </c>
      <c r="M4319" s="7">
        <v>310.10000000000002</v>
      </c>
      <c r="N4319" s="7">
        <v>175.5</v>
      </c>
      <c r="O4319" s="7">
        <v>184.4</v>
      </c>
      <c r="Q4319" s="7">
        <v>350.2</v>
      </c>
    </row>
    <row r="4320" spans="1:18" x14ac:dyDescent="0.2">
      <c r="A4320">
        <v>4319</v>
      </c>
      <c r="B4320" s="1">
        <v>40844</v>
      </c>
      <c r="C4320" t="s">
        <v>24</v>
      </c>
      <c r="D4320" s="7">
        <v>106</v>
      </c>
      <c r="E4320" s="7">
        <v>16</v>
      </c>
      <c r="F4320" s="7">
        <f t="shared" si="67"/>
        <v>6</v>
      </c>
      <c r="G4320" s="7" t="str">
        <f>LOOKUP(H4320,[1]startdates!$A$2:$A$10,[1]startdates!$B$2:$B$10)</f>
        <v>SMr</v>
      </c>
      <c r="H4320">
        <v>4</v>
      </c>
      <c r="I4320" s="7">
        <v>564.5</v>
      </c>
      <c r="M4320" s="7">
        <v>349.1</v>
      </c>
      <c r="N4320" s="7">
        <v>225.7</v>
      </c>
      <c r="O4320" s="7">
        <v>171.9</v>
      </c>
    </row>
    <row r="4321" spans="1:18" x14ac:dyDescent="0.2">
      <c r="A4321">
        <v>4320</v>
      </c>
      <c r="B4321" s="1">
        <v>40844</v>
      </c>
      <c r="C4321" t="s">
        <v>24</v>
      </c>
      <c r="D4321" s="7">
        <v>106</v>
      </c>
      <c r="E4321" s="7">
        <v>16</v>
      </c>
      <c r="F4321" s="7">
        <f t="shared" si="67"/>
        <v>6</v>
      </c>
      <c r="G4321" s="7" t="str">
        <f>LOOKUP(H4321,[1]startdates!$A$2:$A$10,[1]startdates!$B$2:$B$10)</f>
        <v>SMr</v>
      </c>
      <c r="H4321">
        <v>4</v>
      </c>
      <c r="I4321" s="7">
        <v>607.79999999999995</v>
      </c>
      <c r="M4321" s="7">
        <v>312.60000000000002</v>
      </c>
      <c r="N4321" s="7">
        <v>181.2</v>
      </c>
      <c r="O4321" s="7">
        <v>207.9</v>
      </c>
    </row>
    <row r="4322" spans="1:18" x14ac:dyDescent="0.2">
      <c r="A4322">
        <v>4321</v>
      </c>
      <c r="B4322" s="1">
        <v>40844</v>
      </c>
      <c r="C4322" t="s">
        <v>24</v>
      </c>
      <c r="D4322" s="7">
        <v>106</v>
      </c>
      <c r="E4322" s="7">
        <v>16</v>
      </c>
      <c r="F4322" s="7">
        <f t="shared" si="67"/>
        <v>6</v>
      </c>
      <c r="G4322" s="7" t="str">
        <f>LOOKUP(H4322,[1]startdates!$A$2:$A$10,[1]startdates!$B$2:$B$10)</f>
        <v>SMr</v>
      </c>
      <c r="H4322">
        <v>4</v>
      </c>
      <c r="I4322" s="7">
        <v>634.20000000000005</v>
      </c>
      <c r="M4322" s="7">
        <v>289.3</v>
      </c>
      <c r="N4322" s="7">
        <v>224.8</v>
      </c>
      <c r="O4322" s="7">
        <v>181</v>
      </c>
    </row>
    <row r="4323" spans="1:18" x14ac:dyDescent="0.2">
      <c r="A4323">
        <v>4322</v>
      </c>
      <c r="B4323" s="1">
        <v>40844</v>
      </c>
      <c r="C4323" t="s">
        <v>24</v>
      </c>
      <c r="D4323" s="7">
        <v>106</v>
      </c>
      <c r="E4323" s="7">
        <v>16</v>
      </c>
      <c r="F4323" s="7">
        <f t="shared" si="67"/>
        <v>6</v>
      </c>
      <c r="G4323" s="7" t="str">
        <f>LOOKUP(H4323,[1]startdates!$A$2:$A$10,[1]startdates!$B$2:$B$10)</f>
        <v>SMr</v>
      </c>
      <c r="H4323">
        <v>4</v>
      </c>
      <c r="M4323" s="7">
        <v>358.9</v>
      </c>
      <c r="N4323" s="7">
        <v>200.3</v>
      </c>
      <c r="O4323" s="7">
        <v>149.9</v>
      </c>
    </row>
    <row r="4324" spans="1:18" x14ac:dyDescent="0.2">
      <c r="A4324">
        <v>4323</v>
      </c>
      <c r="B4324" s="1">
        <v>40844</v>
      </c>
      <c r="C4324" t="s">
        <v>24</v>
      </c>
      <c r="D4324" s="7">
        <v>106</v>
      </c>
      <c r="E4324" s="7">
        <v>16</v>
      </c>
      <c r="F4324" s="7">
        <f t="shared" si="67"/>
        <v>6</v>
      </c>
      <c r="G4324" s="7" t="str">
        <f>LOOKUP(H4324,[1]startdates!$A$2:$A$10,[1]startdates!$B$2:$B$10)</f>
        <v>SMr</v>
      </c>
      <c r="H4324">
        <v>4</v>
      </c>
      <c r="O4324" s="7">
        <v>162.5</v>
      </c>
    </row>
    <row r="4325" spans="1:18" x14ac:dyDescent="0.2">
      <c r="A4325">
        <v>4324</v>
      </c>
      <c r="B4325" s="1">
        <v>40844</v>
      </c>
      <c r="C4325" t="s">
        <v>24</v>
      </c>
      <c r="D4325" s="7">
        <v>106</v>
      </c>
      <c r="E4325" s="7">
        <v>16</v>
      </c>
      <c r="F4325" s="7">
        <f t="shared" si="67"/>
        <v>6</v>
      </c>
      <c r="G4325" s="7" t="str">
        <f>LOOKUP(H4325,[1]startdates!$A$2:$A$10,[1]startdates!$B$2:$B$10)</f>
        <v>SMr</v>
      </c>
      <c r="H4325">
        <v>4</v>
      </c>
      <c r="O4325" s="7">
        <v>172.9</v>
      </c>
    </row>
    <row r="4326" spans="1:18" x14ac:dyDescent="0.2">
      <c r="A4326">
        <v>4325</v>
      </c>
      <c r="B4326" s="1">
        <v>40844</v>
      </c>
      <c r="C4326" t="s">
        <v>28</v>
      </c>
      <c r="D4326" s="7">
        <v>106</v>
      </c>
      <c r="E4326" s="7">
        <v>16</v>
      </c>
      <c r="F4326" s="7">
        <f t="shared" si="67"/>
        <v>6</v>
      </c>
      <c r="G4326" s="7" t="str">
        <f>LOOKUP(H4326,[1]startdates!$A$2:$A$10,[1]startdates!$B$2:$B$10)</f>
        <v>C</v>
      </c>
      <c r="H4326">
        <v>5</v>
      </c>
      <c r="I4326" s="7">
        <v>512.4</v>
      </c>
      <c r="J4326" s="7">
        <v>556</v>
      </c>
      <c r="K4326" s="7">
        <v>474.8</v>
      </c>
      <c r="L4326" s="7">
        <v>486.3</v>
      </c>
      <c r="M4326" s="7">
        <v>331.4</v>
      </c>
      <c r="N4326" s="7">
        <v>211.9</v>
      </c>
      <c r="O4326" s="7">
        <v>167.3</v>
      </c>
      <c r="P4326" s="7">
        <v>402.9</v>
      </c>
      <c r="Q4326" s="7">
        <v>361.8</v>
      </c>
      <c r="R4326" s="7">
        <v>266</v>
      </c>
    </row>
    <row r="4327" spans="1:18" x14ac:dyDescent="0.2">
      <c r="A4327">
        <v>4326</v>
      </c>
      <c r="B4327" s="1">
        <v>40844</v>
      </c>
      <c r="C4327" t="s">
        <v>28</v>
      </c>
      <c r="D4327" s="7">
        <v>106</v>
      </c>
      <c r="E4327" s="7">
        <v>16</v>
      </c>
      <c r="F4327" s="7">
        <f t="shared" si="67"/>
        <v>6</v>
      </c>
      <c r="G4327" s="7" t="str">
        <f>LOOKUP(H4327,[1]startdates!$A$2:$A$10,[1]startdates!$B$2:$B$10)</f>
        <v>C</v>
      </c>
      <c r="H4327">
        <v>5</v>
      </c>
      <c r="I4327" s="7">
        <v>733.7</v>
      </c>
      <c r="J4327" s="7">
        <v>555</v>
      </c>
      <c r="K4327" s="7">
        <v>523.70000000000005</v>
      </c>
      <c r="L4327" s="7">
        <v>403.7</v>
      </c>
      <c r="M4327" s="7">
        <v>432.9</v>
      </c>
      <c r="N4327" s="7">
        <v>222.9</v>
      </c>
      <c r="O4327" s="7">
        <v>159</v>
      </c>
      <c r="Q4327" s="7">
        <v>338.1</v>
      </c>
    </row>
    <row r="4328" spans="1:18" x14ac:dyDescent="0.2">
      <c r="A4328">
        <v>4327</v>
      </c>
      <c r="B4328" s="1">
        <v>40844</v>
      </c>
      <c r="C4328" t="s">
        <v>28</v>
      </c>
      <c r="D4328" s="7">
        <v>106</v>
      </c>
      <c r="E4328" s="7">
        <v>16</v>
      </c>
      <c r="F4328" s="7">
        <f t="shared" si="67"/>
        <v>6</v>
      </c>
      <c r="G4328" s="7" t="str">
        <f>LOOKUP(H4328,[1]startdates!$A$2:$A$10,[1]startdates!$B$2:$B$10)</f>
        <v>C</v>
      </c>
      <c r="H4328">
        <v>5</v>
      </c>
      <c r="I4328" s="7">
        <v>526.6</v>
      </c>
      <c r="K4328" s="7">
        <v>473.9</v>
      </c>
      <c r="L4328" s="7">
        <v>458.9</v>
      </c>
      <c r="M4328" s="7">
        <v>350.8</v>
      </c>
      <c r="N4328" s="7">
        <v>218.7</v>
      </c>
      <c r="O4328" s="7">
        <v>143.30000000000001</v>
      </c>
      <c r="Q4328" s="7">
        <v>314.8</v>
      </c>
    </row>
    <row r="4329" spans="1:18" x14ac:dyDescent="0.2">
      <c r="A4329">
        <v>4328</v>
      </c>
      <c r="B4329" s="1">
        <v>40844</v>
      </c>
      <c r="C4329" t="s">
        <v>28</v>
      </c>
      <c r="D4329" s="7">
        <v>106</v>
      </c>
      <c r="E4329" s="7">
        <v>16</v>
      </c>
      <c r="F4329" s="7">
        <f t="shared" ref="F4329:F4392" si="68">WEEKDAY(B4329)</f>
        <v>6</v>
      </c>
      <c r="G4329" s="7" t="str">
        <f>LOOKUP(H4329,[1]startdates!$A$2:$A$10,[1]startdates!$B$2:$B$10)</f>
        <v>C</v>
      </c>
      <c r="H4329">
        <v>5</v>
      </c>
      <c r="I4329" s="7">
        <v>576.5</v>
      </c>
      <c r="K4329" s="7">
        <v>593.29999999999995</v>
      </c>
      <c r="L4329" s="7">
        <v>439.7</v>
      </c>
      <c r="M4329" s="7">
        <v>334.9</v>
      </c>
      <c r="N4329" s="7">
        <v>171.6</v>
      </c>
      <c r="O4329" s="7">
        <v>159.30000000000001</v>
      </c>
      <c r="Q4329" s="7">
        <v>374.1</v>
      </c>
    </row>
    <row r="4330" spans="1:18" x14ac:dyDescent="0.2">
      <c r="A4330">
        <v>4329</v>
      </c>
      <c r="B4330" s="1">
        <v>40844</v>
      </c>
      <c r="C4330" t="s">
        <v>28</v>
      </c>
      <c r="D4330" s="7">
        <v>106</v>
      </c>
      <c r="E4330" s="7">
        <v>16</v>
      </c>
      <c r="F4330" s="7">
        <f t="shared" si="68"/>
        <v>6</v>
      </c>
      <c r="G4330" s="7" t="str">
        <f>LOOKUP(H4330,[1]startdates!$A$2:$A$10,[1]startdates!$B$2:$B$10)</f>
        <v>C</v>
      </c>
      <c r="H4330">
        <v>5</v>
      </c>
      <c r="I4330" s="7">
        <v>536.9</v>
      </c>
      <c r="K4330" s="7">
        <v>416.9</v>
      </c>
      <c r="L4330" s="7">
        <v>421.3</v>
      </c>
      <c r="M4330" s="7">
        <v>328.4</v>
      </c>
      <c r="N4330" s="7">
        <v>214.5</v>
      </c>
      <c r="O4330" s="7">
        <v>176.8</v>
      </c>
    </row>
    <row r="4331" spans="1:18" x14ac:dyDescent="0.2">
      <c r="A4331">
        <v>4330</v>
      </c>
      <c r="B4331" s="1">
        <v>40844</v>
      </c>
      <c r="C4331" t="s">
        <v>28</v>
      </c>
      <c r="D4331" s="7">
        <v>106</v>
      </c>
      <c r="E4331" s="7">
        <v>16</v>
      </c>
      <c r="F4331" s="7">
        <f t="shared" si="68"/>
        <v>6</v>
      </c>
      <c r="G4331" s="7" t="str">
        <f>LOOKUP(H4331,[1]startdates!$A$2:$A$10,[1]startdates!$B$2:$B$10)</f>
        <v>C</v>
      </c>
      <c r="H4331">
        <v>5</v>
      </c>
      <c r="I4331" s="7">
        <v>573.6</v>
      </c>
      <c r="K4331" s="7">
        <v>502</v>
      </c>
      <c r="L4331" s="7">
        <v>415.8</v>
      </c>
      <c r="M4331" s="7">
        <v>295.10000000000002</v>
      </c>
      <c r="N4331" s="7">
        <v>234.3</v>
      </c>
      <c r="O4331" s="7">
        <v>158.5</v>
      </c>
    </row>
    <row r="4332" spans="1:18" x14ac:dyDescent="0.2">
      <c r="A4332">
        <v>4331</v>
      </c>
      <c r="B4332" s="1">
        <v>40844</v>
      </c>
      <c r="C4332" t="s">
        <v>28</v>
      </c>
      <c r="D4332" s="7">
        <v>106</v>
      </c>
      <c r="E4332" s="7">
        <v>16</v>
      </c>
      <c r="F4332" s="7">
        <f t="shared" si="68"/>
        <v>6</v>
      </c>
      <c r="G4332" s="7" t="str">
        <f>LOOKUP(H4332,[1]startdates!$A$2:$A$10,[1]startdates!$B$2:$B$10)</f>
        <v>C</v>
      </c>
      <c r="H4332">
        <v>5</v>
      </c>
      <c r="I4332" s="7">
        <v>602</v>
      </c>
      <c r="L4332" s="7">
        <v>412.4</v>
      </c>
      <c r="M4332" s="7">
        <v>359.8</v>
      </c>
      <c r="N4332" s="7">
        <v>191.5</v>
      </c>
      <c r="O4332" s="7">
        <v>162.69999999999999</v>
      </c>
    </row>
    <row r="4333" spans="1:18" x14ac:dyDescent="0.2">
      <c r="A4333">
        <v>4332</v>
      </c>
      <c r="B4333" s="1">
        <v>40844</v>
      </c>
      <c r="C4333" t="s">
        <v>28</v>
      </c>
      <c r="D4333" s="7">
        <v>106</v>
      </c>
      <c r="E4333" s="7">
        <v>16</v>
      </c>
      <c r="F4333" s="7">
        <f t="shared" si="68"/>
        <v>6</v>
      </c>
      <c r="G4333" s="7" t="str">
        <f>LOOKUP(H4333,[1]startdates!$A$2:$A$10,[1]startdates!$B$2:$B$10)</f>
        <v>C</v>
      </c>
      <c r="H4333">
        <v>5</v>
      </c>
      <c r="I4333" s="7">
        <v>631.6</v>
      </c>
      <c r="L4333" s="7">
        <v>412.6</v>
      </c>
      <c r="M4333" s="7">
        <v>341.3</v>
      </c>
      <c r="N4333" s="7">
        <v>192</v>
      </c>
      <c r="O4333" s="7">
        <v>158.1</v>
      </c>
    </row>
    <row r="4334" spans="1:18" x14ac:dyDescent="0.2">
      <c r="A4334">
        <v>4333</v>
      </c>
      <c r="B4334" s="1">
        <v>40844</v>
      </c>
      <c r="C4334" t="s">
        <v>28</v>
      </c>
      <c r="D4334" s="7">
        <v>106</v>
      </c>
      <c r="E4334" s="7">
        <v>16</v>
      </c>
      <c r="F4334" s="7">
        <f t="shared" si="68"/>
        <v>6</v>
      </c>
      <c r="G4334" s="7" t="str">
        <f>LOOKUP(H4334,[1]startdates!$A$2:$A$10,[1]startdates!$B$2:$B$10)</f>
        <v>C</v>
      </c>
      <c r="H4334">
        <v>5</v>
      </c>
      <c r="I4334" s="7">
        <v>573</v>
      </c>
      <c r="M4334" s="7">
        <v>339.9</v>
      </c>
      <c r="N4334" s="7">
        <v>202.6</v>
      </c>
      <c r="O4334" s="7">
        <v>144</v>
      </c>
    </row>
    <row r="4335" spans="1:18" x14ac:dyDescent="0.2">
      <c r="A4335">
        <v>4334</v>
      </c>
      <c r="B4335" s="1">
        <v>40844</v>
      </c>
      <c r="C4335" t="s">
        <v>28</v>
      </c>
      <c r="D4335" s="7">
        <v>106</v>
      </c>
      <c r="E4335" s="7">
        <v>16</v>
      </c>
      <c r="F4335" s="7">
        <f t="shared" si="68"/>
        <v>6</v>
      </c>
      <c r="G4335" s="7" t="str">
        <f>LOOKUP(H4335,[1]startdates!$A$2:$A$10,[1]startdates!$B$2:$B$10)</f>
        <v>C</v>
      </c>
      <c r="H4335">
        <v>5</v>
      </c>
      <c r="I4335" s="7">
        <v>544.70000000000005</v>
      </c>
      <c r="M4335" s="7">
        <v>345.3</v>
      </c>
      <c r="N4335" s="7">
        <v>221</v>
      </c>
      <c r="O4335" s="7">
        <v>155.30000000000001</v>
      </c>
    </row>
    <row r="4336" spans="1:18" x14ac:dyDescent="0.2">
      <c r="A4336">
        <v>4335</v>
      </c>
      <c r="B4336" s="1">
        <v>40844</v>
      </c>
      <c r="C4336" t="s">
        <v>28</v>
      </c>
      <c r="D4336" s="7">
        <v>106</v>
      </c>
      <c r="E4336" s="7">
        <v>16</v>
      </c>
      <c r="F4336" s="7">
        <f t="shared" si="68"/>
        <v>6</v>
      </c>
      <c r="G4336" s="7" t="str">
        <f>LOOKUP(H4336,[1]startdates!$A$2:$A$10,[1]startdates!$B$2:$B$10)</f>
        <v>C</v>
      </c>
      <c r="H4336">
        <v>5</v>
      </c>
      <c r="I4336" s="7">
        <v>632.6</v>
      </c>
      <c r="M4336" s="7">
        <v>275.10000000000002</v>
      </c>
    </row>
    <row r="4337" spans="1:19" x14ac:dyDescent="0.2">
      <c r="A4337">
        <v>4336</v>
      </c>
      <c r="B4337" s="1">
        <v>40844</v>
      </c>
      <c r="C4337" t="s">
        <v>28</v>
      </c>
      <c r="D4337" s="7">
        <v>106</v>
      </c>
      <c r="E4337" s="7">
        <v>16</v>
      </c>
      <c r="F4337" s="7">
        <f t="shared" si="68"/>
        <v>6</v>
      </c>
      <c r="G4337" s="7" t="str">
        <f>LOOKUP(H4337,[1]startdates!$A$2:$A$10,[1]startdates!$B$2:$B$10)</f>
        <v>C</v>
      </c>
      <c r="H4337">
        <v>5</v>
      </c>
      <c r="I4337" s="7">
        <v>672.7</v>
      </c>
    </row>
    <row r="4338" spans="1:19" x14ac:dyDescent="0.2">
      <c r="A4338">
        <v>4337</v>
      </c>
      <c r="B4338" s="1">
        <v>40844</v>
      </c>
      <c r="C4338" t="s">
        <v>28</v>
      </c>
      <c r="D4338" s="7">
        <v>106</v>
      </c>
      <c r="E4338" s="7">
        <v>16</v>
      </c>
      <c r="F4338" s="7">
        <f t="shared" si="68"/>
        <v>6</v>
      </c>
      <c r="G4338" s="7" t="str">
        <f>LOOKUP(H4338,[1]startdates!$A$2:$A$10,[1]startdates!$B$2:$B$10)</f>
        <v>C</v>
      </c>
      <c r="H4338">
        <v>5</v>
      </c>
      <c r="I4338" s="7">
        <v>538.1</v>
      </c>
    </row>
    <row r="4339" spans="1:19" x14ac:dyDescent="0.2">
      <c r="A4339">
        <v>4338</v>
      </c>
      <c r="B4339" s="1">
        <v>40844</v>
      </c>
      <c r="C4339" t="s">
        <v>24</v>
      </c>
      <c r="D4339" s="7">
        <v>106</v>
      </c>
      <c r="E4339" s="7">
        <v>16</v>
      </c>
      <c r="F4339" s="7">
        <f t="shared" si="68"/>
        <v>6</v>
      </c>
      <c r="G4339" s="7" t="str">
        <f>LOOKUP(H4339,[1]startdates!$A$2:$A$10,[1]startdates!$B$2:$B$10)</f>
        <v>FMr</v>
      </c>
      <c r="H4339">
        <v>6</v>
      </c>
      <c r="I4339" s="7">
        <v>612.79999999999995</v>
      </c>
      <c r="J4339" s="7">
        <v>574.20000000000005</v>
      </c>
      <c r="K4339" s="7">
        <v>528.5</v>
      </c>
      <c r="L4339" s="7">
        <v>447.3</v>
      </c>
      <c r="M4339" s="7">
        <v>302</v>
      </c>
      <c r="N4339" s="7">
        <v>177.7</v>
      </c>
      <c r="O4339" s="7">
        <v>164.7</v>
      </c>
      <c r="Q4339" s="7">
        <v>337.6</v>
      </c>
      <c r="R4339" s="7">
        <v>259.89999999999998</v>
      </c>
    </row>
    <row r="4340" spans="1:19" x14ac:dyDescent="0.2">
      <c r="A4340">
        <v>4339</v>
      </c>
      <c r="B4340" s="1">
        <v>40844</v>
      </c>
      <c r="C4340" t="s">
        <v>24</v>
      </c>
      <c r="D4340" s="7">
        <v>106</v>
      </c>
      <c r="E4340" s="7">
        <v>16</v>
      </c>
      <c r="F4340" s="7">
        <f t="shared" si="68"/>
        <v>6</v>
      </c>
      <c r="G4340" s="7" t="str">
        <f>LOOKUP(H4340,[1]startdates!$A$2:$A$10,[1]startdates!$B$2:$B$10)</f>
        <v>FMr</v>
      </c>
      <c r="H4340">
        <v>6</v>
      </c>
      <c r="I4340" s="7">
        <v>693.4</v>
      </c>
      <c r="K4340" s="7">
        <v>547.9</v>
      </c>
      <c r="L4340" s="7">
        <v>377</v>
      </c>
      <c r="M4340" s="7">
        <v>305.60000000000002</v>
      </c>
      <c r="N4340" s="7">
        <v>233.5</v>
      </c>
      <c r="O4340" s="7">
        <v>174.4</v>
      </c>
      <c r="Q4340" s="7">
        <v>366.6</v>
      </c>
      <c r="R4340" s="7">
        <v>275.39999999999998</v>
      </c>
    </row>
    <row r="4341" spans="1:19" x14ac:dyDescent="0.2">
      <c r="A4341">
        <v>4340</v>
      </c>
      <c r="B4341" s="1">
        <v>40844</v>
      </c>
      <c r="C4341" t="s">
        <v>24</v>
      </c>
      <c r="D4341" s="7">
        <v>106</v>
      </c>
      <c r="E4341" s="7">
        <v>16</v>
      </c>
      <c r="F4341" s="7">
        <f t="shared" si="68"/>
        <v>6</v>
      </c>
      <c r="G4341" s="7" t="str">
        <f>LOOKUP(H4341,[1]startdates!$A$2:$A$10,[1]startdates!$B$2:$B$10)</f>
        <v>FMr</v>
      </c>
      <c r="H4341">
        <v>6</v>
      </c>
      <c r="I4341" s="7">
        <v>666.9</v>
      </c>
      <c r="K4341" s="7">
        <v>568.20000000000005</v>
      </c>
      <c r="L4341" s="7">
        <v>399.3</v>
      </c>
      <c r="M4341" s="7">
        <v>401</v>
      </c>
      <c r="N4341" s="7">
        <v>213.6</v>
      </c>
      <c r="O4341" s="7">
        <v>184.4</v>
      </c>
      <c r="R4341" s="7">
        <v>249.3</v>
      </c>
    </row>
    <row r="4342" spans="1:19" x14ac:dyDescent="0.2">
      <c r="A4342">
        <v>4341</v>
      </c>
      <c r="B4342" s="1">
        <v>40844</v>
      </c>
      <c r="C4342" t="s">
        <v>24</v>
      </c>
      <c r="D4342" s="7">
        <v>106</v>
      </c>
      <c r="E4342" s="7">
        <v>16</v>
      </c>
      <c r="F4342" s="7">
        <f t="shared" si="68"/>
        <v>6</v>
      </c>
      <c r="G4342" s="7" t="str">
        <f>LOOKUP(H4342,[1]startdates!$A$2:$A$10,[1]startdates!$B$2:$B$10)</f>
        <v>FMr</v>
      </c>
      <c r="H4342">
        <v>6</v>
      </c>
      <c r="I4342" s="7">
        <v>504.4</v>
      </c>
      <c r="K4342" s="7">
        <v>478.8</v>
      </c>
      <c r="L4342" s="7">
        <v>382</v>
      </c>
      <c r="M4342" s="7">
        <v>309</v>
      </c>
      <c r="N4342" s="7">
        <v>191.1</v>
      </c>
      <c r="O4342" s="7">
        <v>162</v>
      </c>
      <c r="R4342" s="7">
        <v>306.5</v>
      </c>
    </row>
    <row r="4343" spans="1:19" x14ac:dyDescent="0.2">
      <c r="A4343">
        <v>4342</v>
      </c>
      <c r="B4343" s="1">
        <v>40844</v>
      </c>
      <c r="C4343" t="s">
        <v>24</v>
      </c>
      <c r="D4343" s="7">
        <v>106</v>
      </c>
      <c r="E4343" s="7">
        <v>16</v>
      </c>
      <c r="F4343" s="7">
        <f t="shared" si="68"/>
        <v>6</v>
      </c>
      <c r="G4343" s="7" t="str">
        <f>LOOKUP(H4343,[1]startdates!$A$2:$A$10,[1]startdates!$B$2:$B$10)</f>
        <v>FMr</v>
      </c>
      <c r="H4343">
        <v>6</v>
      </c>
      <c r="I4343" s="7">
        <v>574.20000000000005</v>
      </c>
      <c r="K4343" s="7">
        <v>444.9</v>
      </c>
      <c r="L4343" s="7">
        <v>507.3</v>
      </c>
      <c r="M4343" s="7">
        <v>369.1</v>
      </c>
      <c r="N4343" s="7">
        <v>224.9</v>
      </c>
      <c r="O4343" s="7">
        <v>181.3</v>
      </c>
    </row>
    <row r="4344" spans="1:19" x14ac:dyDescent="0.2">
      <c r="A4344">
        <v>4343</v>
      </c>
      <c r="B4344" s="1">
        <v>40844</v>
      </c>
      <c r="C4344" t="s">
        <v>24</v>
      </c>
      <c r="D4344" s="7">
        <v>106</v>
      </c>
      <c r="E4344" s="7">
        <v>16</v>
      </c>
      <c r="F4344" s="7">
        <f t="shared" si="68"/>
        <v>6</v>
      </c>
      <c r="G4344" s="7" t="str">
        <f>LOOKUP(H4344,[1]startdates!$A$2:$A$10,[1]startdates!$B$2:$B$10)</f>
        <v>FMr</v>
      </c>
      <c r="H4344">
        <v>6</v>
      </c>
      <c r="I4344" s="7">
        <v>631.1</v>
      </c>
      <c r="K4344" s="7">
        <v>458.8</v>
      </c>
      <c r="N4344" s="7">
        <v>198.3</v>
      </c>
      <c r="O4344" s="7">
        <v>182.9</v>
      </c>
    </row>
    <row r="4345" spans="1:19" x14ac:dyDescent="0.2">
      <c r="A4345">
        <v>4344</v>
      </c>
      <c r="B4345" s="1">
        <v>40844</v>
      </c>
      <c r="C4345" t="s">
        <v>24</v>
      </c>
      <c r="D4345" s="7">
        <v>106</v>
      </c>
      <c r="E4345" s="7">
        <v>16</v>
      </c>
      <c r="F4345" s="7">
        <f t="shared" si="68"/>
        <v>6</v>
      </c>
      <c r="G4345" s="7" t="str">
        <f>LOOKUP(H4345,[1]startdates!$A$2:$A$10,[1]startdates!$B$2:$B$10)</f>
        <v>FMr</v>
      </c>
      <c r="H4345">
        <v>6</v>
      </c>
      <c r="I4345" s="7">
        <v>644.70000000000005</v>
      </c>
      <c r="K4345" s="7">
        <v>452.9</v>
      </c>
      <c r="N4345" s="7">
        <v>190.1</v>
      </c>
      <c r="O4345" s="7">
        <v>180.1</v>
      </c>
    </row>
    <row r="4346" spans="1:19" x14ac:dyDescent="0.2">
      <c r="A4346">
        <v>4345</v>
      </c>
      <c r="B4346" s="1">
        <v>40844</v>
      </c>
      <c r="C4346" t="s">
        <v>24</v>
      </c>
      <c r="D4346" s="7">
        <v>106</v>
      </c>
      <c r="E4346" s="7">
        <v>16</v>
      </c>
      <c r="F4346" s="7">
        <f t="shared" si="68"/>
        <v>6</v>
      </c>
      <c r="G4346" s="7" t="str">
        <f>LOOKUP(H4346,[1]startdates!$A$2:$A$10,[1]startdates!$B$2:$B$10)</f>
        <v>FMr</v>
      </c>
      <c r="H4346">
        <v>6</v>
      </c>
      <c r="K4346" s="7">
        <v>447.6</v>
      </c>
      <c r="N4346" s="7">
        <v>256.39999999999998</v>
      </c>
      <c r="O4346" s="7">
        <v>171.3</v>
      </c>
    </row>
    <row r="4347" spans="1:19" x14ac:dyDescent="0.2">
      <c r="A4347">
        <v>4346</v>
      </c>
      <c r="B4347" s="1">
        <v>40844</v>
      </c>
      <c r="C4347" t="s">
        <v>24</v>
      </c>
      <c r="D4347" s="7">
        <v>106</v>
      </c>
      <c r="E4347" s="7">
        <v>16</v>
      </c>
      <c r="F4347" s="7">
        <f t="shared" si="68"/>
        <v>6</v>
      </c>
      <c r="G4347" s="7" t="str">
        <f>LOOKUP(H4347,[1]startdates!$A$2:$A$10,[1]startdates!$B$2:$B$10)</f>
        <v>FMr</v>
      </c>
      <c r="H4347">
        <v>6</v>
      </c>
      <c r="K4347" s="7">
        <v>454.6</v>
      </c>
      <c r="N4347" s="7">
        <v>166.5</v>
      </c>
      <c r="O4347" s="7">
        <v>218.7</v>
      </c>
    </row>
    <row r="4348" spans="1:19" x14ac:dyDescent="0.2">
      <c r="A4348">
        <v>4347</v>
      </c>
      <c r="B4348" s="1">
        <v>40844</v>
      </c>
      <c r="C4348" t="s">
        <v>24</v>
      </c>
      <c r="D4348" s="7">
        <v>106</v>
      </c>
      <c r="E4348" s="7">
        <v>16</v>
      </c>
      <c r="F4348" s="7">
        <f t="shared" si="68"/>
        <v>6</v>
      </c>
      <c r="G4348" s="7" t="str">
        <f>LOOKUP(H4348,[1]startdates!$A$2:$A$10,[1]startdates!$B$2:$B$10)</f>
        <v>FMr</v>
      </c>
      <c r="H4348">
        <v>6</v>
      </c>
      <c r="N4348" s="7">
        <v>279.10000000000002</v>
      </c>
      <c r="O4348" s="7">
        <v>158.4</v>
      </c>
    </row>
    <row r="4349" spans="1:19" x14ac:dyDescent="0.2">
      <c r="A4349">
        <v>4348</v>
      </c>
      <c r="B4349" s="1">
        <v>40844</v>
      </c>
      <c r="C4349" t="s">
        <v>24</v>
      </c>
      <c r="D4349" s="7">
        <v>106</v>
      </c>
      <c r="E4349" s="7">
        <v>16</v>
      </c>
      <c r="F4349" s="7">
        <f t="shared" si="68"/>
        <v>6</v>
      </c>
      <c r="G4349" s="7" t="str">
        <f>LOOKUP(H4349,[1]startdates!$A$2:$A$10,[1]startdates!$B$2:$B$10)</f>
        <v>FMr</v>
      </c>
      <c r="H4349">
        <v>6</v>
      </c>
      <c r="O4349" s="7">
        <v>168.3</v>
      </c>
    </row>
    <row r="4350" spans="1:19" x14ac:dyDescent="0.2">
      <c r="A4350">
        <v>4349</v>
      </c>
      <c r="B4350" s="1">
        <v>40844</v>
      </c>
      <c r="C4350" t="s">
        <v>28</v>
      </c>
      <c r="D4350" s="7">
        <v>106</v>
      </c>
      <c r="E4350" s="7">
        <v>16</v>
      </c>
      <c r="F4350" s="7">
        <f t="shared" si="68"/>
        <v>6</v>
      </c>
      <c r="G4350" s="7" t="str">
        <f>LOOKUP(H4350,[1]startdates!$A$2:$A$10,[1]startdates!$B$2:$B$10)</f>
        <v>FMr</v>
      </c>
      <c r="H4350">
        <v>7</v>
      </c>
      <c r="I4350" s="7">
        <v>647.4</v>
      </c>
      <c r="J4350" s="7">
        <v>491.4</v>
      </c>
      <c r="K4350" s="7">
        <v>574.79999999999995</v>
      </c>
      <c r="L4350" s="7">
        <v>436.1</v>
      </c>
      <c r="M4350" s="7">
        <v>298.39999999999998</v>
      </c>
      <c r="N4350" s="7">
        <v>197.6</v>
      </c>
      <c r="O4350" s="7">
        <v>152.1</v>
      </c>
      <c r="P4350" s="7">
        <v>403.6</v>
      </c>
      <c r="Q4350" s="7">
        <v>380.9</v>
      </c>
      <c r="R4350" s="7">
        <v>220.9</v>
      </c>
      <c r="S4350" s="7">
        <v>272.7</v>
      </c>
    </row>
    <row r="4351" spans="1:19" x14ac:dyDescent="0.2">
      <c r="A4351">
        <v>4350</v>
      </c>
      <c r="B4351" s="1">
        <v>40844</v>
      </c>
      <c r="C4351" t="s">
        <v>28</v>
      </c>
      <c r="D4351" s="7">
        <v>106</v>
      </c>
      <c r="E4351" s="7">
        <v>16</v>
      </c>
      <c r="F4351" s="7">
        <f t="shared" si="68"/>
        <v>6</v>
      </c>
      <c r="G4351" s="7" t="str">
        <f>LOOKUP(H4351,[1]startdates!$A$2:$A$10,[1]startdates!$B$2:$B$10)</f>
        <v>FMr</v>
      </c>
      <c r="H4351">
        <v>7</v>
      </c>
      <c r="I4351" s="7">
        <v>530.9</v>
      </c>
      <c r="K4351" s="7">
        <v>571.4</v>
      </c>
      <c r="L4351" s="7">
        <v>444.5</v>
      </c>
      <c r="M4351" s="7">
        <v>360.6</v>
      </c>
      <c r="N4351" s="7">
        <v>218.6</v>
      </c>
      <c r="O4351" s="7">
        <v>167.5</v>
      </c>
      <c r="R4351" s="7">
        <v>244.4</v>
      </c>
    </row>
    <row r="4352" spans="1:19" x14ac:dyDescent="0.2">
      <c r="A4352">
        <v>4351</v>
      </c>
      <c r="B4352" s="1">
        <v>40844</v>
      </c>
      <c r="C4352" t="s">
        <v>28</v>
      </c>
      <c r="D4352" s="7">
        <v>106</v>
      </c>
      <c r="E4352" s="7">
        <v>16</v>
      </c>
      <c r="F4352" s="7">
        <f t="shared" si="68"/>
        <v>6</v>
      </c>
      <c r="G4352" s="7" t="str">
        <f>LOOKUP(H4352,[1]startdates!$A$2:$A$10,[1]startdates!$B$2:$B$10)</f>
        <v>FMr</v>
      </c>
      <c r="H4352">
        <v>7</v>
      </c>
      <c r="I4352" s="7">
        <v>640.79999999999995</v>
      </c>
      <c r="K4352" s="7">
        <v>538.9</v>
      </c>
      <c r="L4352" s="7">
        <v>428.5</v>
      </c>
      <c r="M4352" s="7">
        <v>327.2</v>
      </c>
      <c r="N4352" s="7">
        <v>185.3</v>
      </c>
      <c r="O4352" s="7">
        <v>143.80000000000001</v>
      </c>
      <c r="R4352" s="7">
        <v>260.5</v>
      </c>
    </row>
    <row r="4353" spans="1:20" x14ac:dyDescent="0.2">
      <c r="A4353">
        <v>4352</v>
      </c>
      <c r="B4353" s="1">
        <v>40844</v>
      </c>
      <c r="C4353" t="s">
        <v>28</v>
      </c>
      <c r="D4353" s="7">
        <v>106</v>
      </c>
      <c r="E4353" s="7">
        <v>16</v>
      </c>
      <c r="F4353" s="7">
        <f t="shared" si="68"/>
        <v>6</v>
      </c>
      <c r="G4353" s="7" t="str">
        <f>LOOKUP(H4353,[1]startdates!$A$2:$A$10,[1]startdates!$B$2:$B$10)</f>
        <v>FMr</v>
      </c>
      <c r="H4353">
        <v>7</v>
      </c>
      <c r="I4353" s="7">
        <v>553.5</v>
      </c>
      <c r="K4353" s="7">
        <v>482.1</v>
      </c>
      <c r="L4353" s="7">
        <v>486</v>
      </c>
      <c r="M4353" s="7">
        <v>310.7</v>
      </c>
      <c r="N4353" s="7">
        <v>199.1</v>
      </c>
      <c r="O4353" s="7">
        <v>166.8</v>
      </c>
      <c r="R4353" s="7">
        <v>254.2</v>
      </c>
    </row>
    <row r="4354" spans="1:20" x14ac:dyDescent="0.2">
      <c r="A4354">
        <v>4353</v>
      </c>
      <c r="B4354" s="1">
        <v>40844</v>
      </c>
      <c r="C4354" t="s">
        <v>28</v>
      </c>
      <c r="D4354" s="7">
        <v>106</v>
      </c>
      <c r="E4354" s="7">
        <v>16</v>
      </c>
      <c r="F4354" s="7">
        <f t="shared" si="68"/>
        <v>6</v>
      </c>
      <c r="G4354" s="7" t="str">
        <f>LOOKUP(H4354,[1]startdates!$A$2:$A$10,[1]startdates!$B$2:$B$10)</f>
        <v>FMr</v>
      </c>
      <c r="H4354">
        <v>7</v>
      </c>
      <c r="I4354" s="7">
        <v>519.70000000000005</v>
      </c>
      <c r="K4354" s="7">
        <v>474</v>
      </c>
      <c r="L4354" s="7">
        <v>468.8</v>
      </c>
      <c r="M4354" s="7">
        <v>302.7</v>
      </c>
      <c r="N4354" s="7">
        <v>230.6</v>
      </c>
      <c r="O4354" s="7">
        <v>156.4</v>
      </c>
    </row>
    <row r="4355" spans="1:20" x14ac:dyDescent="0.2">
      <c r="A4355">
        <v>4354</v>
      </c>
      <c r="B4355" s="1">
        <v>40844</v>
      </c>
      <c r="C4355" t="s">
        <v>28</v>
      </c>
      <c r="D4355" s="7">
        <v>106</v>
      </c>
      <c r="E4355" s="7">
        <v>16</v>
      </c>
      <c r="F4355" s="7">
        <f t="shared" si="68"/>
        <v>6</v>
      </c>
      <c r="G4355" s="7" t="str">
        <f>LOOKUP(H4355,[1]startdates!$A$2:$A$10,[1]startdates!$B$2:$B$10)</f>
        <v>FMr</v>
      </c>
      <c r="H4355">
        <v>7</v>
      </c>
      <c r="I4355" s="7">
        <v>507.7</v>
      </c>
      <c r="K4355" s="7">
        <v>534.5</v>
      </c>
      <c r="L4355" s="7">
        <v>457.2</v>
      </c>
      <c r="M4355" s="7">
        <v>351.7</v>
      </c>
      <c r="N4355" s="7">
        <v>201.2</v>
      </c>
      <c r="O4355" s="7">
        <v>165.4</v>
      </c>
    </row>
    <row r="4356" spans="1:20" x14ac:dyDescent="0.2">
      <c r="A4356">
        <v>4355</v>
      </c>
      <c r="B4356" s="1">
        <v>40844</v>
      </c>
      <c r="C4356" t="s">
        <v>28</v>
      </c>
      <c r="D4356" s="7">
        <v>106</v>
      </c>
      <c r="E4356" s="7">
        <v>16</v>
      </c>
      <c r="F4356" s="7">
        <f t="shared" si="68"/>
        <v>6</v>
      </c>
      <c r="G4356" s="7" t="str">
        <f>LOOKUP(H4356,[1]startdates!$A$2:$A$10,[1]startdates!$B$2:$B$10)</f>
        <v>FMr</v>
      </c>
      <c r="H4356">
        <v>7</v>
      </c>
      <c r="I4356" s="7">
        <v>629</v>
      </c>
      <c r="K4356" s="7">
        <v>528.70000000000005</v>
      </c>
      <c r="L4356" s="7">
        <v>405.2</v>
      </c>
      <c r="M4356" s="7">
        <v>382.2</v>
      </c>
      <c r="N4356" s="7">
        <v>203.3</v>
      </c>
      <c r="O4356" s="7">
        <v>168</v>
      </c>
    </row>
    <row r="4357" spans="1:20" x14ac:dyDescent="0.2">
      <c r="A4357">
        <v>4356</v>
      </c>
      <c r="B4357" s="1">
        <v>40844</v>
      </c>
      <c r="C4357" t="s">
        <v>28</v>
      </c>
      <c r="D4357" s="7">
        <v>106</v>
      </c>
      <c r="E4357" s="7">
        <v>16</v>
      </c>
      <c r="F4357" s="7">
        <f t="shared" si="68"/>
        <v>6</v>
      </c>
      <c r="G4357" s="7" t="str">
        <f>LOOKUP(H4357,[1]startdates!$A$2:$A$10,[1]startdates!$B$2:$B$10)</f>
        <v>FMr</v>
      </c>
      <c r="H4357">
        <v>7</v>
      </c>
      <c r="I4357" s="7">
        <v>594.1</v>
      </c>
      <c r="M4357" s="7">
        <v>314.39999999999998</v>
      </c>
      <c r="N4357" s="7">
        <v>244.8</v>
      </c>
      <c r="O4357" s="7">
        <v>143.4</v>
      </c>
    </row>
    <row r="4358" spans="1:20" x14ac:dyDescent="0.2">
      <c r="A4358">
        <v>4357</v>
      </c>
      <c r="B4358" s="1">
        <v>40844</v>
      </c>
      <c r="C4358" t="s">
        <v>28</v>
      </c>
      <c r="D4358" s="7">
        <v>106</v>
      </c>
      <c r="E4358" s="7">
        <v>16</v>
      </c>
      <c r="F4358" s="7">
        <f t="shared" si="68"/>
        <v>6</v>
      </c>
      <c r="G4358" s="7" t="str">
        <f>LOOKUP(H4358,[1]startdates!$A$2:$A$10,[1]startdates!$B$2:$B$10)</f>
        <v>FMr</v>
      </c>
      <c r="H4358">
        <v>7</v>
      </c>
      <c r="I4358" s="7">
        <v>557.5</v>
      </c>
      <c r="M4358" s="7">
        <v>377.3</v>
      </c>
      <c r="N4358" s="7">
        <v>248.4</v>
      </c>
      <c r="O4358" s="7">
        <v>150.19999999999999</v>
      </c>
    </row>
    <row r="4359" spans="1:20" x14ac:dyDescent="0.2">
      <c r="A4359">
        <v>4358</v>
      </c>
      <c r="B4359" s="1">
        <v>40844</v>
      </c>
      <c r="C4359" t="s">
        <v>28</v>
      </c>
      <c r="D4359" s="7">
        <v>106</v>
      </c>
      <c r="E4359" s="7">
        <v>16</v>
      </c>
      <c r="F4359" s="7">
        <f t="shared" si="68"/>
        <v>6</v>
      </c>
      <c r="G4359" s="7" t="str">
        <f>LOOKUP(H4359,[1]startdates!$A$2:$A$10,[1]startdates!$B$2:$B$10)</f>
        <v>FMr</v>
      </c>
      <c r="H4359">
        <v>7</v>
      </c>
      <c r="I4359" s="7">
        <v>571</v>
      </c>
      <c r="M4359" s="7">
        <v>360.8</v>
      </c>
      <c r="N4359" s="7">
        <v>218.7</v>
      </c>
      <c r="O4359" s="7">
        <v>151</v>
      </c>
    </row>
    <row r="4360" spans="1:20" x14ac:dyDescent="0.2">
      <c r="A4360">
        <v>4359</v>
      </c>
      <c r="B4360" s="1">
        <v>40844</v>
      </c>
      <c r="C4360" t="s">
        <v>28</v>
      </c>
      <c r="D4360" s="7">
        <v>106</v>
      </c>
      <c r="E4360" s="7">
        <v>16</v>
      </c>
      <c r="F4360" s="7">
        <f t="shared" si="68"/>
        <v>6</v>
      </c>
      <c r="G4360" s="7" t="str">
        <f>LOOKUP(H4360,[1]startdates!$A$2:$A$10,[1]startdates!$B$2:$B$10)</f>
        <v>FMr</v>
      </c>
      <c r="H4360">
        <v>7</v>
      </c>
      <c r="M4360" s="7">
        <v>315.89999999999998</v>
      </c>
      <c r="N4360" s="7">
        <v>278.5</v>
      </c>
      <c r="O4360" s="7">
        <v>179.8</v>
      </c>
    </row>
    <row r="4361" spans="1:20" x14ac:dyDescent="0.2">
      <c r="A4361">
        <v>4360</v>
      </c>
      <c r="B4361" s="1">
        <v>40844</v>
      </c>
      <c r="C4361" t="s">
        <v>28</v>
      </c>
      <c r="D4361" s="7">
        <v>106</v>
      </c>
      <c r="E4361" s="7">
        <v>16</v>
      </c>
      <c r="F4361" s="7">
        <f t="shared" si="68"/>
        <v>6</v>
      </c>
      <c r="G4361" s="7" t="str">
        <f>LOOKUP(H4361,[1]startdates!$A$2:$A$10,[1]startdates!$B$2:$B$10)</f>
        <v>FMr</v>
      </c>
      <c r="H4361">
        <v>7</v>
      </c>
      <c r="O4361" s="7">
        <v>156.5</v>
      </c>
    </row>
    <row r="4362" spans="1:20" x14ac:dyDescent="0.2">
      <c r="A4362">
        <v>4361</v>
      </c>
      <c r="B4362" s="1">
        <v>40844</v>
      </c>
      <c r="C4362" t="s">
        <v>28</v>
      </c>
      <c r="D4362" s="7">
        <v>106</v>
      </c>
      <c r="E4362" s="7">
        <v>16</v>
      </c>
      <c r="F4362" s="7">
        <f t="shared" si="68"/>
        <v>6</v>
      </c>
      <c r="G4362" s="7" t="str">
        <f>LOOKUP(H4362,[1]startdates!$A$2:$A$10,[1]startdates!$B$2:$B$10)</f>
        <v>FMr</v>
      </c>
      <c r="H4362">
        <v>7</v>
      </c>
      <c r="O4362" s="7">
        <v>160.4</v>
      </c>
    </row>
    <row r="4363" spans="1:20" x14ac:dyDescent="0.2">
      <c r="A4363">
        <v>4362</v>
      </c>
      <c r="B4363" s="1">
        <v>40844</v>
      </c>
      <c r="C4363" t="s">
        <v>28</v>
      </c>
      <c r="D4363" s="7">
        <v>106</v>
      </c>
      <c r="E4363" s="7">
        <v>16</v>
      </c>
      <c r="F4363" s="7">
        <f t="shared" si="68"/>
        <v>6</v>
      </c>
      <c r="G4363" s="7" t="str">
        <f>LOOKUP(H4363,[1]startdates!$A$2:$A$10,[1]startdates!$B$2:$B$10)</f>
        <v>FMr</v>
      </c>
      <c r="H4363">
        <v>7</v>
      </c>
      <c r="O4363" s="7">
        <v>161.69999999999999</v>
      </c>
    </row>
    <row r="4364" spans="1:20" x14ac:dyDescent="0.2">
      <c r="A4364">
        <v>4363</v>
      </c>
      <c r="B4364" s="1">
        <v>40844</v>
      </c>
      <c r="C4364" t="s">
        <v>28</v>
      </c>
      <c r="D4364" s="7">
        <v>106</v>
      </c>
      <c r="E4364" s="7">
        <v>16</v>
      </c>
      <c r="F4364" s="7">
        <f t="shared" si="68"/>
        <v>6</v>
      </c>
      <c r="G4364" s="7" t="str">
        <f>LOOKUP(H4364,[1]startdates!$A$2:$A$10,[1]startdates!$B$2:$B$10)</f>
        <v>FMr</v>
      </c>
      <c r="H4364">
        <v>7</v>
      </c>
      <c r="O4364" s="7">
        <v>157.30000000000001</v>
      </c>
    </row>
    <row r="4365" spans="1:20" x14ac:dyDescent="0.2">
      <c r="A4365">
        <v>4364</v>
      </c>
      <c r="B4365" s="1">
        <v>40844</v>
      </c>
      <c r="C4365" t="s">
        <v>28</v>
      </c>
      <c r="D4365" s="7">
        <v>106</v>
      </c>
      <c r="E4365" s="7">
        <v>16</v>
      </c>
      <c r="F4365" s="7">
        <f t="shared" si="68"/>
        <v>6</v>
      </c>
      <c r="G4365" s="7" t="str">
        <f>LOOKUP(H4365,[1]startdates!$A$2:$A$10,[1]startdates!$B$2:$B$10)</f>
        <v>C</v>
      </c>
      <c r="H4365">
        <v>8</v>
      </c>
      <c r="I4365" s="7">
        <v>643.79999999999995</v>
      </c>
      <c r="J4365" s="7">
        <v>578.70000000000005</v>
      </c>
      <c r="K4365" s="7">
        <v>537.1</v>
      </c>
      <c r="L4365" s="7">
        <v>447.8</v>
      </c>
      <c r="M4365" s="7">
        <v>393.4</v>
      </c>
      <c r="N4365" s="7">
        <v>242.1</v>
      </c>
      <c r="O4365" s="7">
        <v>196.1</v>
      </c>
      <c r="P4365" s="7">
        <v>415.3</v>
      </c>
      <c r="R4365" s="7">
        <v>257.10000000000002</v>
      </c>
      <c r="S4365" s="7">
        <v>264.5</v>
      </c>
      <c r="T4365" s="7">
        <v>364</v>
      </c>
    </row>
    <row r="4366" spans="1:20" x14ac:dyDescent="0.2">
      <c r="A4366">
        <v>4365</v>
      </c>
      <c r="B4366" s="1">
        <v>40844</v>
      </c>
      <c r="C4366" t="s">
        <v>28</v>
      </c>
      <c r="D4366" s="7">
        <v>106</v>
      </c>
      <c r="E4366" s="7">
        <v>16</v>
      </c>
      <c r="F4366" s="7">
        <f t="shared" si="68"/>
        <v>6</v>
      </c>
      <c r="G4366" s="7" t="str">
        <f>LOOKUP(H4366,[1]startdates!$A$2:$A$10,[1]startdates!$B$2:$B$10)</f>
        <v>C</v>
      </c>
      <c r="H4366">
        <v>8</v>
      </c>
      <c r="I4366" s="7">
        <v>639.70000000000005</v>
      </c>
      <c r="J4366" s="7">
        <v>553.1</v>
      </c>
      <c r="K4366" s="7">
        <v>522.79999999999995</v>
      </c>
      <c r="L4366" s="7">
        <v>418.2</v>
      </c>
      <c r="M4366" s="7">
        <v>320.3</v>
      </c>
      <c r="N4366" s="7">
        <v>298.10000000000002</v>
      </c>
      <c r="O4366" s="7">
        <v>190.2</v>
      </c>
      <c r="S4366" s="7">
        <v>260.3</v>
      </c>
    </row>
    <row r="4367" spans="1:20" x14ac:dyDescent="0.2">
      <c r="A4367">
        <v>4366</v>
      </c>
      <c r="B4367" s="1">
        <v>40844</v>
      </c>
      <c r="C4367" t="s">
        <v>28</v>
      </c>
      <c r="D4367" s="7">
        <v>106</v>
      </c>
      <c r="E4367" s="7">
        <v>16</v>
      </c>
      <c r="F4367" s="7">
        <f t="shared" si="68"/>
        <v>6</v>
      </c>
      <c r="G4367" s="7" t="str">
        <f>LOOKUP(H4367,[1]startdates!$A$2:$A$10,[1]startdates!$B$2:$B$10)</f>
        <v>C</v>
      </c>
      <c r="H4367">
        <v>8</v>
      </c>
      <c r="I4367" s="7">
        <v>670.8</v>
      </c>
      <c r="J4367" s="7">
        <v>557.5</v>
      </c>
      <c r="K4367" s="7">
        <v>565.4</v>
      </c>
      <c r="M4367" s="7">
        <v>379.7</v>
      </c>
      <c r="N4367" s="7">
        <v>177.7</v>
      </c>
      <c r="O4367" s="7">
        <v>148.19999999999999</v>
      </c>
      <c r="S4367" s="7">
        <v>268</v>
      </c>
    </row>
    <row r="4368" spans="1:20" x14ac:dyDescent="0.2">
      <c r="A4368">
        <v>4367</v>
      </c>
      <c r="B4368" s="1">
        <v>40844</v>
      </c>
      <c r="C4368" t="s">
        <v>28</v>
      </c>
      <c r="D4368" s="7">
        <v>106</v>
      </c>
      <c r="E4368" s="7">
        <v>16</v>
      </c>
      <c r="F4368" s="7">
        <f t="shared" si="68"/>
        <v>6</v>
      </c>
      <c r="G4368" s="7" t="str">
        <f>LOOKUP(H4368,[1]startdates!$A$2:$A$10,[1]startdates!$B$2:$B$10)</f>
        <v>C</v>
      </c>
      <c r="H4368">
        <v>8</v>
      </c>
      <c r="I4368" s="7">
        <v>638</v>
      </c>
      <c r="K4368" s="7">
        <v>657.3</v>
      </c>
      <c r="M4368" s="7">
        <v>358.7</v>
      </c>
      <c r="N4368" s="7">
        <v>191.4</v>
      </c>
      <c r="O4368" s="7">
        <v>161.69999999999999</v>
      </c>
      <c r="S4368" s="7">
        <v>252.9</v>
      </c>
    </row>
    <row r="4369" spans="1:19" x14ac:dyDescent="0.2">
      <c r="A4369">
        <v>4368</v>
      </c>
      <c r="B4369" s="1">
        <v>40844</v>
      </c>
      <c r="C4369" t="s">
        <v>28</v>
      </c>
      <c r="D4369" s="7">
        <v>106</v>
      </c>
      <c r="E4369" s="7">
        <v>16</v>
      </c>
      <c r="F4369" s="7">
        <f t="shared" si="68"/>
        <v>6</v>
      </c>
      <c r="G4369" s="7" t="str">
        <f>LOOKUP(H4369,[1]startdates!$A$2:$A$10,[1]startdates!$B$2:$B$10)</f>
        <v>C</v>
      </c>
      <c r="H4369">
        <v>8</v>
      </c>
      <c r="I4369" s="7">
        <v>624.29999999999995</v>
      </c>
      <c r="K4369" s="7">
        <v>511.6</v>
      </c>
      <c r="M4369" s="7">
        <v>382.2</v>
      </c>
      <c r="N4369" s="7">
        <v>214.2</v>
      </c>
      <c r="O4369" s="7">
        <v>177.1</v>
      </c>
      <c r="S4369" s="7">
        <v>250.7</v>
      </c>
    </row>
    <row r="4370" spans="1:19" x14ac:dyDescent="0.2">
      <c r="A4370">
        <v>4369</v>
      </c>
      <c r="B4370" s="1">
        <v>40844</v>
      </c>
      <c r="C4370" t="s">
        <v>28</v>
      </c>
      <c r="D4370" s="7">
        <v>106</v>
      </c>
      <c r="E4370" s="7">
        <v>16</v>
      </c>
      <c r="F4370" s="7">
        <f t="shared" si="68"/>
        <v>6</v>
      </c>
      <c r="G4370" s="7" t="str">
        <f>LOOKUP(H4370,[1]startdates!$A$2:$A$10,[1]startdates!$B$2:$B$10)</f>
        <v>C</v>
      </c>
      <c r="H4370">
        <v>8</v>
      </c>
      <c r="I4370" s="7">
        <v>667.7</v>
      </c>
      <c r="K4370" s="7">
        <v>624.9</v>
      </c>
      <c r="M4370" s="7">
        <v>390.4</v>
      </c>
      <c r="N4370" s="7">
        <v>196.4</v>
      </c>
      <c r="O4370" s="7">
        <v>184.9</v>
      </c>
      <c r="S4370" s="7">
        <v>297.5</v>
      </c>
    </row>
    <row r="4371" spans="1:19" x14ac:dyDescent="0.2">
      <c r="A4371">
        <v>4370</v>
      </c>
      <c r="B4371" s="1">
        <v>40844</v>
      </c>
      <c r="C4371" t="s">
        <v>28</v>
      </c>
      <c r="D4371" s="7">
        <v>106</v>
      </c>
      <c r="E4371" s="7">
        <v>16</v>
      </c>
      <c r="F4371" s="7">
        <f t="shared" si="68"/>
        <v>6</v>
      </c>
      <c r="G4371" s="7" t="str">
        <f>LOOKUP(H4371,[1]startdates!$A$2:$A$10,[1]startdates!$B$2:$B$10)</f>
        <v>C</v>
      </c>
      <c r="H4371">
        <v>8</v>
      </c>
      <c r="I4371" s="7">
        <v>676.7</v>
      </c>
      <c r="K4371" s="7">
        <v>689</v>
      </c>
      <c r="M4371" s="7">
        <v>377.5</v>
      </c>
      <c r="N4371" s="7">
        <v>191.5</v>
      </c>
      <c r="O4371" s="7">
        <v>164.4</v>
      </c>
      <c r="S4371" s="7">
        <v>268.5</v>
      </c>
    </row>
    <row r="4372" spans="1:19" x14ac:dyDescent="0.2">
      <c r="A4372">
        <v>4371</v>
      </c>
      <c r="B4372" s="1">
        <v>40844</v>
      </c>
      <c r="C4372" t="s">
        <v>28</v>
      </c>
      <c r="D4372" s="7">
        <v>106</v>
      </c>
      <c r="E4372" s="7">
        <v>16</v>
      </c>
      <c r="F4372" s="7">
        <f t="shared" si="68"/>
        <v>6</v>
      </c>
      <c r="G4372" s="7" t="str">
        <f>LOOKUP(H4372,[1]startdates!$A$2:$A$10,[1]startdates!$B$2:$B$10)</f>
        <v>C</v>
      </c>
      <c r="H4372">
        <v>8</v>
      </c>
      <c r="I4372" s="7">
        <v>656.3</v>
      </c>
      <c r="K4372" s="7">
        <v>630.4</v>
      </c>
      <c r="M4372" s="7">
        <v>380.1</v>
      </c>
      <c r="N4372" s="7">
        <v>218</v>
      </c>
      <c r="O4372" s="7">
        <v>171.3</v>
      </c>
      <c r="S4372" s="7">
        <v>278.60000000000002</v>
      </c>
    </row>
    <row r="4373" spans="1:19" x14ac:dyDescent="0.2">
      <c r="A4373">
        <v>4372</v>
      </c>
      <c r="B4373" s="1">
        <v>40844</v>
      </c>
      <c r="C4373" t="s">
        <v>28</v>
      </c>
      <c r="D4373" s="7">
        <v>106</v>
      </c>
      <c r="E4373" s="7">
        <v>16</v>
      </c>
      <c r="F4373" s="7">
        <f t="shared" si="68"/>
        <v>6</v>
      </c>
      <c r="G4373" s="7" t="str">
        <f>LOOKUP(H4373,[1]startdates!$A$2:$A$10,[1]startdates!$B$2:$B$10)</f>
        <v>C</v>
      </c>
      <c r="H4373">
        <v>8</v>
      </c>
      <c r="I4373" s="7">
        <v>591.1</v>
      </c>
      <c r="K4373" s="7">
        <v>561.6</v>
      </c>
      <c r="N4373" s="7">
        <v>185.8</v>
      </c>
      <c r="O4373" s="7">
        <v>169.7</v>
      </c>
      <c r="S4373" s="7">
        <v>268.8</v>
      </c>
    </row>
    <row r="4374" spans="1:19" x14ac:dyDescent="0.2">
      <c r="A4374">
        <v>4373</v>
      </c>
      <c r="B4374" s="1">
        <v>40844</v>
      </c>
      <c r="C4374" t="s">
        <v>28</v>
      </c>
      <c r="D4374" s="7">
        <v>106</v>
      </c>
      <c r="E4374" s="7">
        <v>16</v>
      </c>
      <c r="F4374" s="7">
        <f t="shared" si="68"/>
        <v>6</v>
      </c>
      <c r="G4374" s="7" t="str">
        <f>LOOKUP(H4374,[1]startdates!$A$2:$A$10,[1]startdates!$B$2:$B$10)</f>
        <v>C</v>
      </c>
      <c r="H4374">
        <v>8</v>
      </c>
      <c r="N4374" s="7">
        <v>257.2</v>
      </c>
      <c r="O4374" s="7">
        <v>172.5</v>
      </c>
      <c r="S4374" s="7">
        <v>219.2</v>
      </c>
    </row>
    <row r="4375" spans="1:19" x14ac:dyDescent="0.2">
      <c r="A4375">
        <v>4374</v>
      </c>
      <c r="B4375" s="1">
        <v>40844</v>
      </c>
      <c r="C4375" t="s">
        <v>28</v>
      </c>
      <c r="D4375" s="7">
        <v>106</v>
      </c>
      <c r="E4375" s="7">
        <v>16</v>
      </c>
      <c r="F4375" s="7">
        <f t="shared" si="68"/>
        <v>6</v>
      </c>
      <c r="G4375" s="7" t="str">
        <f>LOOKUP(H4375,[1]startdates!$A$2:$A$10,[1]startdates!$B$2:$B$10)</f>
        <v>C</v>
      </c>
      <c r="H4375">
        <v>8</v>
      </c>
      <c r="S4375" s="7">
        <v>301.89999999999998</v>
      </c>
    </row>
    <row r="4376" spans="1:19" x14ac:dyDescent="0.2">
      <c r="A4376">
        <v>4375</v>
      </c>
      <c r="B4376" s="1">
        <v>40844</v>
      </c>
      <c r="C4376" t="s">
        <v>28</v>
      </c>
      <c r="D4376" s="7">
        <v>106</v>
      </c>
      <c r="E4376" s="7">
        <v>16</v>
      </c>
      <c r="F4376" s="7">
        <f t="shared" si="68"/>
        <v>6</v>
      </c>
      <c r="G4376" s="7" t="str">
        <f>LOOKUP(H4376,[1]startdates!$A$2:$A$10,[1]startdates!$B$2:$B$10)</f>
        <v>C</v>
      </c>
      <c r="H4376">
        <v>8</v>
      </c>
      <c r="S4376" s="7">
        <v>277.2</v>
      </c>
    </row>
    <row r="4377" spans="1:19" x14ac:dyDescent="0.2">
      <c r="A4377">
        <v>4376</v>
      </c>
      <c r="B4377" s="1">
        <v>40844</v>
      </c>
      <c r="C4377" t="s">
        <v>24</v>
      </c>
      <c r="D4377" s="7">
        <v>106</v>
      </c>
      <c r="E4377" s="7">
        <v>16</v>
      </c>
      <c r="F4377" s="7">
        <f t="shared" si="68"/>
        <v>6</v>
      </c>
      <c r="G4377" s="7" t="str">
        <f>LOOKUP(H4377,[1]startdates!$A$2:$A$10,[1]startdates!$B$2:$B$10)</f>
        <v>FMr</v>
      </c>
      <c r="H4377">
        <v>9</v>
      </c>
      <c r="I4377" s="7">
        <v>602.1</v>
      </c>
      <c r="J4377" s="7">
        <v>453.3</v>
      </c>
      <c r="K4377" s="7">
        <v>549</v>
      </c>
      <c r="L4377" s="7">
        <v>430.8</v>
      </c>
      <c r="M4377" s="7">
        <v>338.6</v>
      </c>
      <c r="N4377" s="7">
        <v>205.2</v>
      </c>
      <c r="O4377" s="7">
        <v>175.8</v>
      </c>
      <c r="P4377" s="7">
        <v>454.5</v>
      </c>
      <c r="Q4377" s="7">
        <v>339.7</v>
      </c>
      <c r="R4377" s="7">
        <v>265.10000000000002</v>
      </c>
    </row>
    <row r="4378" spans="1:19" x14ac:dyDescent="0.2">
      <c r="A4378">
        <v>4377</v>
      </c>
      <c r="B4378" s="1">
        <v>40844</v>
      </c>
      <c r="C4378" t="s">
        <v>24</v>
      </c>
      <c r="D4378" s="7">
        <v>106</v>
      </c>
      <c r="E4378" s="7">
        <v>16</v>
      </c>
      <c r="F4378" s="7">
        <f t="shared" si="68"/>
        <v>6</v>
      </c>
      <c r="G4378" s="7" t="str">
        <f>LOOKUP(H4378,[1]startdates!$A$2:$A$10,[1]startdates!$B$2:$B$10)</f>
        <v>FMr</v>
      </c>
      <c r="H4378">
        <v>9</v>
      </c>
      <c r="I4378" s="7">
        <v>587.1</v>
      </c>
      <c r="K4378" s="7">
        <v>542.70000000000005</v>
      </c>
      <c r="L4378" s="7">
        <v>437.6</v>
      </c>
      <c r="M4378" s="7">
        <v>366</v>
      </c>
      <c r="N4378" s="7">
        <v>203.3</v>
      </c>
      <c r="O4378" s="7">
        <v>164.9</v>
      </c>
      <c r="P4378" s="7">
        <v>448.5</v>
      </c>
      <c r="Q4378" s="7">
        <v>349.1</v>
      </c>
      <c r="R4378" s="7">
        <v>256.39999999999998</v>
      </c>
    </row>
    <row r="4379" spans="1:19" x14ac:dyDescent="0.2">
      <c r="A4379">
        <v>4378</v>
      </c>
      <c r="B4379" s="1">
        <v>40844</v>
      </c>
      <c r="C4379" t="s">
        <v>24</v>
      </c>
      <c r="D4379" s="7">
        <v>106</v>
      </c>
      <c r="E4379" s="7">
        <v>16</v>
      </c>
      <c r="F4379" s="7">
        <f t="shared" si="68"/>
        <v>6</v>
      </c>
      <c r="G4379" s="7" t="str">
        <f>LOOKUP(H4379,[1]startdates!$A$2:$A$10,[1]startdates!$B$2:$B$10)</f>
        <v>FMr</v>
      </c>
      <c r="H4379">
        <v>9</v>
      </c>
      <c r="I4379" s="7">
        <v>659.4</v>
      </c>
      <c r="K4379" s="7">
        <v>496.6</v>
      </c>
      <c r="L4379" s="7">
        <v>433.8</v>
      </c>
      <c r="M4379" s="7">
        <v>343.4</v>
      </c>
      <c r="N4379" s="7">
        <v>198.8</v>
      </c>
      <c r="O4379" s="7">
        <v>173.7</v>
      </c>
      <c r="R4379" s="7">
        <v>244.8</v>
      </c>
    </row>
    <row r="4380" spans="1:19" x14ac:dyDescent="0.2">
      <c r="A4380">
        <v>4379</v>
      </c>
      <c r="B4380" s="1">
        <v>40844</v>
      </c>
      <c r="C4380" t="s">
        <v>24</v>
      </c>
      <c r="D4380" s="7">
        <v>106</v>
      </c>
      <c r="E4380" s="7">
        <v>16</v>
      </c>
      <c r="F4380" s="7">
        <f t="shared" si="68"/>
        <v>6</v>
      </c>
      <c r="G4380" s="7" t="str">
        <f>LOOKUP(H4380,[1]startdates!$A$2:$A$10,[1]startdates!$B$2:$B$10)</f>
        <v>FMr</v>
      </c>
      <c r="H4380">
        <v>9</v>
      </c>
      <c r="I4380" s="7">
        <v>592.70000000000005</v>
      </c>
      <c r="K4380" s="7">
        <v>464.7</v>
      </c>
      <c r="L4380" s="7">
        <v>434.7</v>
      </c>
      <c r="M4380" s="7">
        <v>336.6</v>
      </c>
      <c r="N4380" s="7">
        <v>198.9</v>
      </c>
      <c r="O4380" s="7">
        <v>162.19999999999999</v>
      </c>
    </row>
    <row r="4381" spans="1:19" x14ac:dyDescent="0.2">
      <c r="A4381">
        <v>4380</v>
      </c>
      <c r="B4381" s="1">
        <v>40844</v>
      </c>
      <c r="C4381" t="s">
        <v>24</v>
      </c>
      <c r="D4381" s="7">
        <v>106</v>
      </c>
      <c r="E4381" s="7">
        <v>16</v>
      </c>
      <c r="F4381" s="7">
        <f t="shared" si="68"/>
        <v>6</v>
      </c>
      <c r="G4381" s="7" t="str">
        <f>LOOKUP(H4381,[1]startdates!$A$2:$A$10,[1]startdates!$B$2:$B$10)</f>
        <v>FMr</v>
      </c>
      <c r="H4381">
        <v>9</v>
      </c>
      <c r="I4381" s="7">
        <v>512.6</v>
      </c>
      <c r="K4381" s="7">
        <v>435.7</v>
      </c>
      <c r="N4381" s="7">
        <v>235.2</v>
      </c>
      <c r="O4381" s="7">
        <v>185</v>
      </c>
    </row>
    <row r="4382" spans="1:19" x14ac:dyDescent="0.2">
      <c r="A4382">
        <v>4381</v>
      </c>
      <c r="B4382" s="1">
        <v>40844</v>
      </c>
      <c r="C4382" t="s">
        <v>24</v>
      </c>
      <c r="D4382" s="7">
        <v>106</v>
      </c>
      <c r="E4382" s="7">
        <v>16</v>
      </c>
      <c r="F4382" s="7">
        <f t="shared" si="68"/>
        <v>6</v>
      </c>
      <c r="G4382" s="7" t="str">
        <f>LOOKUP(H4382,[1]startdates!$A$2:$A$10,[1]startdates!$B$2:$B$10)</f>
        <v>FMr</v>
      </c>
      <c r="H4382">
        <v>9</v>
      </c>
      <c r="I4382" s="7">
        <v>548.4</v>
      </c>
      <c r="K4382" s="7">
        <v>555.79999999999995</v>
      </c>
      <c r="N4382" s="7">
        <v>201</v>
      </c>
      <c r="O4382" s="7">
        <v>176.8</v>
      </c>
    </row>
    <row r="4383" spans="1:19" x14ac:dyDescent="0.2">
      <c r="A4383">
        <v>4382</v>
      </c>
      <c r="B4383" s="1">
        <v>40844</v>
      </c>
      <c r="C4383" t="s">
        <v>24</v>
      </c>
      <c r="D4383" s="7">
        <v>106</v>
      </c>
      <c r="E4383" s="7">
        <v>16</v>
      </c>
      <c r="F4383" s="7">
        <f t="shared" si="68"/>
        <v>6</v>
      </c>
      <c r="G4383" s="7" t="str">
        <f>LOOKUP(H4383,[1]startdates!$A$2:$A$10,[1]startdates!$B$2:$B$10)</f>
        <v>FMr</v>
      </c>
      <c r="H4383">
        <v>9</v>
      </c>
      <c r="I4383" s="7">
        <v>546.79999999999995</v>
      </c>
      <c r="K4383" s="7">
        <v>479.6</v>
      </c>
      <c r="N4383" s="7">
        <v>272.8</v>
      </c>
      <c r="O4383" s="7">
        <v>180.7</v>
      </c>
    </row>
    <row r="4384" spans="1:19" x14ac:dyDescent="0.2">
      <c r="A4384">
        <v>4383</v>
      </c>
      <c r="B4384" s="1">
        <v>40844</v>
      </c>
      <c r="C4384" t="s">
        <v>24</v>
      </c>
      <c r="D4384" s="7">
        <v>106</v>
      </c>
      <c r="E4384" s="7">
        <v>16</v>
      </c>
      <c r="F4384" s="7">
        <f t="shared" si="68"/>
        <v>6</v>
      </c>
      <c r="G4384" s="7" t="str">
        <f>LOOKUP(H4384,[1]startdates!$A$2:$A$10,[1]startdates!$B$2:$B$10)</f>
        <v>FMr</v>
      </c>
      <c r="H4384">
        <v>9</v>
      </c>
      <c r="I4384" s="7">
        <v>483.7</v>
      </c>
      <c r="K4384" s="7">
        <v>642</v>
      </c>
      <c r="N4384" s="7">
        <v>198.3</v>
      </c>
      <c r="O4384" s="7">
        <v>194</v>
      </c>
    </row>
    <row r="4385" spans="1:18" x14ac:dyDescent="0.2">
      <c r="A4385">
        <v>4384</v>
      </c>
      <c r="B4385" s="1">
        <v>40844</v>
      </c>
      <c r="C4385" t="s">
        <v>24</v>
      </c>
      <c r="D4385" s="7">
        <v>106</v>
      </c>
      <c r="E4385" s="7">
        <v>16</v>
      </c>
      <c r="F4385" s="7">
        <f t="shared" si="68"/>
        <v>6</v>
      </c>
      <c r="G4385" s="7" t="str">
        <f>LOOKUP(H4385,[1]startdates!$A$2:$A$10,[1]startdates!$B$2:$B$10)</f>
        <v>FMr</v>
      </c>
      <c r="H4385">
        <v>9</v>
      </c>
      <c r="I4385" s="7">
        <v>626.5</v>
      </c>
      <c r="K4385" s="7">
        <v>640.79999999999995</v>
      </c>
      <c r="N4385" s="7">
        <v>255.3</v>
      </c>
      <c r="O4385" s="7">
        <v>192</v>
      </c>
    </row>
    <row r="4386" spans="1:18" x14ac:dyDescent="0.2">
      <c r="A4386">
        <v>4385</v>
      </c>
      <c r="B4386" s="1">
        <v>40844</v>
      </c>
      <c r="C4386" t="s">
        <v>24</v>
      </c>
      <c r="D4386" s="7">
        <v>106</v>
      </c>
      <c r="E4386" s="7">
        <v>16</v>
      </c>
      <c r="F4386" s="7">
        <f t="shared" si="68"/>
        <v>6</v>
      </c>
      <c r="G4386" s="7" t="str">
        <f>LOOKUP(H4386,[1]startdates!$A$2:$A$10,[1]startdates!$B$2:$B$10)</f>
        <v>FMr</v>
      </c>
      <c r="H4386">
        <v>9</v>
      </c>
      <c r="K4386" s="7">
        <v>500.2</v>
      </c>
      <c r="O4386" s="7">
        <v>181.2</v>
      </c>
    </row>
    <row r="4387" spans="1:18" x14ac:dyDescent="0.2">
      <c r="A4387">
        <v>4386</v>
      </c>
      <c r="B4387" s="1">
        <v>40844</v>
      </c>
      <c r="C4387" t="s">
        <v>24</v>
      </c>
      <c r="D4387" s="7">
        <v>106</v>
      </c>
      <c r="E4387" s="7">
        <v>16</v>
      </c>
      <c r="F4387" s="7">
        <f t="shared" si="68"/>
        <v>6</v>
      </c>
      <c r="G4387" s="7" t="str">
        <f>LOOKUP(H4387,[1]startdates!$A$2:$A$10,[1]startdates!$B$2:$B$10)</f>
        <v>FMr</v>
      </c>
      <c r="H4387">
        <v>9</v>
      </c>
      <c r="K4387" s="7">
        <v>569.70000000000005</v>
      </c>
      <c r="O4387" s="7">
        <v>149.19999999999999</v>
      </c>
    </row>
    <row r="4388" spans="1:18" x14ac:dyDescent="0.2">
      <c r="A4388">
        <v>4387</v>
      </c>
      <c r="B4388" s="1">
        <v>40844</v>
      </c>
      <c r="C4388" t="s">
        <v>24</v>
      </c>
      <c r="D4388" s="7">
        <v>106</v>
      </c>
      <c r="E4388" s="7">
        <v>16</v>
      </c>
      <c r="F4388" s="7">
        <f t="shared" si="68"/>
        <v>6</v>
      </c>
      <c r="G4388" s="7" t="str">
        <f>LOOKUP(H4388,[1]startdates!$A$2:$A$10,[1]startdates!$B$2:$B$10)</f>
        <v>FMr</v>
      </c>
      <c r="H4388">
        <v>9</v>
      </c>
      <c r="O4388" s="7">
        <v>183.2</v>
      </c>
    </row>
    <row r="4389" spans="1:18" x14ac:dyDescent="0.2">
      <c r="A4389">
        <v>4388</v>
      </c>
      <c r="B4389" s="1">
        <v>40851</v>
      </c>
      <c r="C4389" t="s">
        <v>24</v>
      </c>
      <c r="D4389" s="7">
        <v>112</v>
      </c>
      <c r="E4389" s="7">
        <v>17</v>
      </c>
      <c r="F4389" s="7">
        <f t="shared" si="68"/>
        <v>6</v>
      </c>
      <c r="G4389" s="7" t="str">
        <f>LOOKUP(H4389,[1]startdates!$A$2:$A$10,[1]startdates!$B$2:$B$10)</f>
        <v>SMr</v>
      </c>
      <c r="H4389">
        <v>1</v>
      </c>
      <c r="I4389" s="7">
        <v>627</v>
      </c>
      <c r="J4389" s="7">
        <v>504.5</v>
      </c>
      <c r="K4389" s="7">
        <v>456.5</v>
      </c>
      <c r="L4389" s="7">
        <v>400.1</v>
      </c>
      <c r="M4389" s="7">
        <v>354.1</v>
      </c>
      <c r="N4389" s="7">
        <v>224.3</v>
      </c>
      <c r="O4389" s="7">
        <v>193.8</v>
      </c>
      <c r="P4389" s="7">
        <v>499.7</v>
      </c>
      <c r="Q4389" s="7">
        <v>405.4</v>
      </c>
      <c r="R4389" s="7">
        <v>283.60000000000002</v>
      </c>
    </row>
    <row r="4390" spans="1:18" x14ac:dyDescent="0.2">
      <c r="A4390">
        <v>4389</v>
      </c>
      <c r="B4390" s="1">
        <v>40851</v>
      </c>
      <c r="C4390" t="s">
        <v>24</v>
      </c>
      <c r="D4390" s="7">
        <v>112</v>
      </c>
      <c r="E4390" s="7">
        <v>17</v>
      </c>
      <c r="F4390" s="7">
        <f t="shared" si="68"/>
        <v>6</v>
      </c>
      <c r="G4390" s="7" t="str">
        <f>LOOKUP(H4390,[1]startdates!$A$2:$A$10,[1]startdates!$B$2:$B$10)</f>
        <v>SMr</v>
      </c>
      <c r="H4390">
        <v>1</v>
      </c>
      <c r="I4390" s="7">
        <v>625.9</v>
      </c>
      <c r="J4390" s="7">
        <v>388.6</v>
      </c>
      <c r="K4390" s="7">
        <v>496.9</v>
      </c>
      <c r="L4390" s="7">
        <v>443.2</v>
      </c>
      <c r="M4390" s="7">
        <v>293.5</v>
      </c>
      <c r="N4390" s="7">
        <v>205.1</v>
      </c>
      <c r="O4390" s="7">
        <v>174.6</v>
      </c>
      <c r="Q4390" s="7">
        <v>369.1</v>
      </c>
      <c r="R4390" s="7">
        <v>297.5</v>
      </c>
    </row>
    <row r="4391" spans="1:18" x14ac:dyDescent="0.2">
      <c r="A4391">
        <v>4390</v>
      </c>
      <c r="B4391" s="1">
        <v>40851</v>
      </c>
      <c r="C4391" t="s">
        <v>24</v>
      </c>
      <c r="D4391" s="7">
        <v>112</v>
      </c>
      <c r="E4391" s="7">
        <v>17</v>
      </c>
      <c r="F4391" s="7">
        <f t="shared" si="68"/>
        <v>6</v>
      </c>
      <c r="G4391" s="7" t="str">
        <f>LOOKUP(H4391,[1]startdates!$A$2:$A$10,[1]startdates!$B$2:$B$10)</f>
        <v>SMr</v>
      </c>
      <c r="H4391">
        <v>1</v>
      </c>
      <c r="I4391" s="7">
        <v>690.4</v>
      </c>
      <c r="J4391" s="7">
        <v>479.5</v>
      </c>
      <c r="L4391" s="7">
        <v>438.5</v>
      </c>
      <c r="M4391" s="7">
        <v>349.8</v>
      </c>
      <c r="N4391" s="7">
        <v>190.1</v>
      </c>
      <c r="O4391" s="7">
        <v>177.1</v>
      </c>
      <c r="R4391" s="7">
        <v>261.2</v>
      </c>
    </row>
    <row r="4392" spans="1:18" x14ac:dyDescent="0.2">
      <c r="A4392">
        <v>4391</v>
      </c>
      <c r="B4392" s="1">
        <v>40851</v>
      </c>
      <c r="C4392" t="s">
        <v>24</v>
      </c>
      <c r="D4392" s="7">
        <v>112</v>
      </c>
      <c r="E4392" s="7">
        <v>17</v>
      </c>
      <c r="F4392" s="7">
        <f t="shared" si="68"/>
        <v>6</v>
      </c>
      <c r="G4392" s="7" t="str">
        <f>LOOKUP(H4392,[1]startdates!$A$2:$A$10,[1]startdates!$B$2:$B$10)</f>
        <v>SMr</v>
      </c>
      <c r="H4392">
        <v>1</v>
      </c>
      <c r="I4392" s="7">
        <v>553.5</v>
      </c>
      <c r="J4392" s="7">
        <v>552.29999999999995</v>
      </c>
      <c r="M4392" s="7">
        <v>315.60000000000002</v>
      </c>
      <c r="N4392" s="7">
        <v>191.3</v>
      </c>
      <c r="O4392" s="7">
        <v>186.3</v>
      </c>
    </row>
    <row r="4393" spans="1:18" x14ac:dyDescent="0.2">
      <c r="A4393">
        <v>4392</v>
      </c>
      <c r="B4393" s="1">
        <v>40851</v>
      </c>
      <c r="C4393" t="s">
        <v>24</v>
      </c>
      <c r="D4393" s="7">
        <v>112</v>
      </c>
      <c r="E4393" s="7">
        <v>17</v>
      </c>
      <c r="F4393" s="7">
        <f t="shared" ref="F4393:F4456" si="69">WEEKDAY(B4393)</f>
        <v>6</v>
      </c>
      <c r="G4393" s="7" t="str">
        <f>LOOKUP(H4393,[1]startdates!$A$2:$A$10,[1]startdates!$B$2:$B$10)</f>
        <v>SMr</v>
      </c>
      <c r="H4393">
        <v>1</v>
      </c>
      <c r="I4393" s="7">
        <v>475.2</v>
      </c>
      <c r="M4393" s="7">
        <v>328.7</v>
      </c>
      <c r="N4393" s="7">
        <v>239.8</v>
      </c>
      <c r="O4393" s="7">
        <v>156.80000000000001</v>
      </c>
    </row>
    <row r="4394" spans="1:18" x14ac:dyDescent="0.2">
      <c r="A4394">
        <v>4393</v>
      </c>
      <c r="B4394" s="1">
        <v>40851</v>
      </c>
      <c r="C4394" t="s">
        <v>24</v>
      </c>
      <c r="D4394" s="7">
        <v>112</v>
      </c>
      <c r="E4394" s="7">
        <v>17</v>
      </c>
      <c r="F4394" s="7">
        <f t="shared" si="69"/>
        <v>6</v>
      </c>
      <c r="G4394" s="7" t="str">
        <f>LOOKUP(H4394,[1]startdates!$A$2:$A$10,[1]startdates!$B$2:$B$10)</f>
        <v>SMr</v>
      </c>
      <c r="H4394">
        <v>1</v>
      </c>
      <c r="I4394" s="7">
        <v>548.29999999999995</v>
      </c>
      <c r="M4394" s="7">
        <v>280.2</v>
      </c>
      <c r="N4394" s="7">
        <v>220.3</v>
      </c>
      <c r="O4394" s="7">
        <v>166.6</v>
      </c>
    </row>
    <row r="4395" spans="1:18" x14ac:dyDescent="0.2">
      <c r="A4395">
        <v>4394</v>
      </c>
      <c r="B4395" s="1">
        <v>40851</v>
      </c>
      <c r="C4395" t="s">
        <v>24</v>
      </c>
      <c r="D4395" s="7">
        <v>112</v>
      </c>
      <c r="E4395" s="7">
        <v>17</v>
      </c>
      <c r="F4395" s="7">
        <f t="shared" si="69"/>
        <v>6</v>
      </c>
      <c r="G4395" s="7" t="str">
        <f>LOOKUP(H4395,[1]startdates!$A$2:$A$10,[1]startdates!$B$2:$B$10)</f>
        <v>SMr</v>
      </c>
      <c r="H4395">
        <v>1</v>
      </c>
      <c r="I4395" s="7">
        <v>589.5</v>
      </c>
      <c r="N4395" s="7">
        <v>200.6</v>
      </c>
      <c r="O4395" s="7">
        <v>174.6</v>
      </c>
    </row>
    <row r="4396" spans="1:18" x14ac:dyDescent="0.2">
      <c r="A4396">
        <v>4395</v>
      </c>
      <c r="B4396" s="1">
        <v>40851</v>
      </c>
      <c r="C4396" t="s">
        <v>24</v>
      </c>
      <c r="D4396" s="7">
        <v>112</v>
      </c>
      <c r="E4396" s="7">
        <v>17</v>
      </c>
      <c r="F4396" s="7">
        <f t="shared" si="69"/>
        <v>6</v>
      </c>
      <c r="G4396" s="7" t="str">
        <f>LOOKUP(H4396,[1]startdates!$A$2:$A$10,[1]startdates!$B$2:$B$10)</f>
        <v>SMr</v>
      </c>
      <c r="H4396">
        <v>1</v>
      </c>
      <c r="I4396" s="7">
        <v>635.6</v>
      </c>
      <c r="N4396" s="7">
        <v>181.3</v>
      </c>
      <c r="O4396" s="7">
        <v>184.1</v>
      </c>
    </row>
    <row r="4397" spans="1:18" x14ac:dyDescent="0.2">
      <c r="A4397">
        <v>4396</v>
      </c>
      <c r="B4397" s="1">
        <v>40851</v>
      </c>
      <c r="C4397" t="s">
        <v>24</v>
      </c>
      <c r="D4397" s="7">
        <v>112</v>
      </c>
      <c r="E4397" s="7">
        <v>17</v>
      </c>
      <c r="F4397" s="7">
        <f t="shared" si="69"/>
        <v>6</v>
      </c>
      <c r="G4397" s="7" t="str">
        <f>LOOKUP(H4397,[1]startdates!$A$2:$A$10,[1]startdates!$B$2:$B$10)</f>
        <v>SMr</v>
      </c>
      <c r="H4397">
        <v>1</v>
      </c>
      <c r="I4397" s="7">
        <v>580.6</v>
      </c>
      <c r="N4397" s="7">
        <v>207.4</v>
      </c>
    </row>
    <row r="4398" spans="1:18" x14ac:dyDescent="0.2">
      <c r="A4398">
        <v>4397</v>
      </c>
      <c r="B4398" s="1">
        <v>40851</v>
      </c>
      <c r="C4398" t="s">
        <v>24</v>
      </c>
      <c r="D4398" s="7">
        <v>112</v>
      </c>
      <c r="E4398" s="7">
        <v>17</v>
      </c>
      <c r="F4398" s="7">
        <f t="shared" si="69"/>
        <v>6</v>
      </c>
      <c r="G4398" s="7" t="str">
        <f>LOOKUP(H4398,[1]startdates!$A$2:$A$10,[1]startdates!$B$2:$B$10)</f>
        <v>SMr</v>
      </c>
      <c r="H4398">
        <v>1</v>
      </c>
      <c r="I4398" s="7">
        <v>593.4</v>
      </c>
      <c r="N4398" s="7">
        <v>207.3</v>
      </c>
    </row>
    <row r="4399" spans="1:18" x14ac:dyDescent="0.2">
      <c r="A4399">
        <v>4398</v>
      </c>
      <c r="B4399" s="1">
        <v>40851</v>
      </c>
      <c r="C4399" t="s">
        <v>24</v>
      </c>
      <c r="D4399" s="7">
        <v>112</v>
      </c>
      <c r="E4399" s="7">
        <v>17</v>
      </c>
      <c r="F4399" s="7">
        <f t="shared" si="69"/>
        <v>6</v>
      </c>
      <c r="G4399" s="7" t="str">
        <f>LOOKUP(H4399,[1]startdates!$A$2:$A$10,[1]startdates!$B$2:$B$10)</f>
        <v>SMr</v>
      </c>
      <c r="H4399">
        <v>1</v>
      </c>
      <c r="I4399" s="7">
        <v>455.5</v>
      </c>
    </row>
    <row r="4400" spans="1:18" x14ac:dyDescent="0.2">
      <c r="A4400">
        <v>4399</v>
      </c>
      <c r="B4400" s="1">
        <v>40851</v>
      </c>
      <c r="C4400" t="s">
        <v>24</v>
      </c>
      <c r="D4400" s="7">
        <v>112</v>
      </c>
      <c r="E4400" s="7">
        <v>17</v>
      </c>
      <c r="F4400" s="7">
        <f t="shared" si="69"/>
        <v>6</v>
      </c>
      <c r="G4400" s="7" t="str">
        <f>LOOKUP(H4400,[1]startdates!$A$2:$A$10,[1]startdates!$B$2:$B$10)</f>
        <v>SMr</v>
      </c>
      <c r="H4400">
        <v>1</v>
      </c>
      <c r="I4400" s="7">
        <v>463.5</v>
      </c>
    </row>
    <row r="4401" spans="1:20" x14ac:dyDescent="0.2">
      <c r="A4401">
        <v>4400</v>
      </c>
      <c r="B4401" s="1">
        <v>40851</v>
      </c>
      <c r="C4401" t="s">
        <v>24</v>
      </c>
      <c r="D4401" s="7">
        <v>112</v>
      </c>
      <c r="E4401" s="7">
        <v>17</v>
      </c>
      <c r="F4401" s="7">
        <f t="shared" si="69"/>
        <v>6</v>
      </c>
      <c r="G4401" s="7" t="str">
        <f>LOOKUP(H4401,[1]startdates!$A$2:$A$10,[1]startdates!$B$2:$B$10)</f>
        <v>SMr</v>
      </c>
      <c r="H4401">
        <v>1</v>
      </c>
      <c r="I4401" s="7">
        <v>435.2</v>
      </c>
    </row>
    <row r="4402" spans="1:20" x14ac:dyDescent="0.2">
      <c r="A4402">
        <v>4401</v>
      </c>
      <c r="B4402" s="1">
        <v>40851</v>
      </c>
      <c r="C4402" t="s">
        <v>24</v>
      </c>
      <c r="D4402" s="7">
        <v>112</v>
      </c>
      <c r="E4402" s="7">
        <v>17</v>
      </c>
      <c r="F4402" s="7">
        <f t="shared" si="69"/>
        <v>6</v>
      </c>
      <c r="G4402" s="7" t="str">
        <f>LOOKUP(H4402,[1]startdates!$A$2:$A$10,[1]startdates!$B$2:$B$10)</f>
        <v>SMr</v>
      </c>
      <c r="H4402">
        <v>1</v>
      </c>
      <c r="I4402" s="7">
        <v>533.5</v>
      </c>
    </row>
    <row r="4403" spans="1:20" x14ac:dyDescent="0.2">
      <c r="A4403">
        <v>4402</v>
      </c>
      <c r="B4403" s="1">
        <v>40851</v>
      </c>
      <c r="C4403" t="s">
        <v>24</v>
      </c>
      <c r="D4403" s="7">
        <v>112</v>
      </c>
      <c r="E4403" s="7">
        <v>17</v>
      </c>
      <c r="F4403" s="7">
        <f t="shared" si="69"/>
        <v>6</v>
      </c>
      <c r="G4403" s="7" t="str">
        <f>LOOKUP(H4403,[1]startdates!$A$2:$A$10,[1]startdates!$B$2:$B$10)</f>
        <v>SMr</v>
      </c>
      <c r="H4403">
        <v>1</v>
      </c>
      <c r="I4403" s="7">
        <v>594.70000000000005</v>
      </c>
    </row>
    <row r="4404" spans="1:20" x14ac:dyDescent="0.2">
      <c r="A4404">
        <v>4403</v>
      </c>
      <c r="B4404" s="1">
        <v>40851</v>
      </c>
      <c r="C4404" t="s">
        <v>24</v>
      </c>
      <c r="D4404" s="7">
        <v>112</v>
      </c>
      <c r="E4404" s="7">
        <v>17</v>
      </c>
      <c r="F4404" s="7">
        <f t="shared" si="69"/>
        <v>6</v>
      </c>
      <c r="G4404" s="7" t="str">
        <f>LOOKUP(H4404,[1]startdates!$A$2:$A$10,[1]startdates!$B$2:$B$10)</f>
        <v>SMr</v>
      </c>
      <c r="H4404">
        <v>2</v>
      </c>
      <c r="I4404" s="7">
        <v>595.79999999999995</v>
      </c>
      <c r="J4404" s="7">
        <v>549.20000000000005</v>
      </c>
      <c r="K4404" s="7">
        <v>495.1</v>
      </c>
      <c r="L4404" s="7">
        <v>405.4</v>
      </c>
      <c r="M4404" s="7">
        <v>399.1</v>
      </c>
      <c r="N4404" s="7">
        <v>195.4</v>
      </c>
      <c r="O4404" s="7">
        <v>156.80000000000001</v>
      </c>
      <c r="R4404" s="7">
        <v>216.6</v>
      </c>
      <c r="S4404" s="7">
        <v>298.2</v>
      </c>
    </row>
    <row r="4405" spans="1:20" x14ac:dyDescent="0.2">
      <c r="A4405">
        <v>4404</v>
      </c>
      <c r="B4405" s="1">
        <v>40851</v>
      </c>
      <c r="C4405" t="s">
        <v>24</v>
      </c>
      <c r="D4405" s="7">
        <v>112</v>
      </c>
      <c r="E4405" s="7">
        <v>17</v>
      </c>
      <c r="F4405" s="7">
        <f t="shared" si="69"/>
        <v>6</v>
      </c>
      <c r="G4405" s="7" t="str">
        <f>LOOKUP(H4405,[1]startdates!$A$2:$A$10,[1]startdates!$B$2:$B$10)</f>
        <v>SMr</v>
      </c>
      <c r="H4405">
        <v>2</v>
      </c>
      <c r="I4405" s="7">
        <v>609</v>
      </c>
      <c r="J4405" s="7">
        <v>544.4</v>
      </c>
      <c r="K4405" s="7">
        <v>470.4</v>
      </c>
      <c r="L4405" s="7">
        <v>368.6</v>
      </c>
      <c r="M4405" s="7">
        <v>324.5</v>
      </c>
      <c r="N4405" s="7">
        <v>218.1</v>
      </c>
      <c r="O4405" s="7">
        <v>164.2</v>
      </c>
      <c r="S4405" s="7">
        <v>264.5</v>
      </c>
    </row>
    <row r="4406" spans="1:20" x14ac:dyDescent="0.2">
      <c r="A4406">
        <v>4405</v>
      </c>
      <c r="B4406" s="1">
        <v>40851</v>
      </c>
      <c r="C4406" t="s">
        <v>24</v>
      </c>
      <c r="D4406" s="7">
        <v>112</v>
      </c>
      <c r="E4406" s="7">
        <v>17</v>
      </c>
      <c r="F4406" s="7">
        <f t="shared" si="69"/>
        <v>6</v>
      </c>
      <c r="G4406" s="7" t="str">
        <f>LOOKUP(H4406,[1]startdates!$A$2:$A$10,[1]startdates!$B$2:$B$10)</f>
        <v>SMr</v>
      </c>
      <c r="H4406">
        <v>2</v>
      </c>
      <c r="I4406" s="7">
        <v>639.20000000000005</v>
      </c>
      <c r="J4406" s="7">
        <v>521.1</v>
      </c>
      <c r="K4406" s="7">
        <v>440.1</v>
      </c>
      <c r="L4406" s="7">
        <v>427.9</v>
      </c>
      <c r="M4406" s="7">
        <v>319.39999999999998</v>
      </c>
      <c r="N4406" s="7">
        <v>226.7</v>
      </c>
      <c r="O4406" s="7">
        <v>174.6</v>
      </c>
      <c r="S4406" s="7">
        <v>259</v>
      </c>
    </row>
    <row r="4407" spans="1:20" x14ac:dyDescent="0.2">
      <c r="A4407">
        <v>4406</v>
      </c>
      <c r="B4407" s="1">
        <v>40851</v>
      </c>
      <c r="C4407" t="s">
        <v>24</v>
      </c>
      <c r="D4407" s="7">
        <v>112</v>
      </c>
      <c r="E4407" s="7">
        <v>17</v>
      </c>
      <c r="F4407" s="7">
        <f t="shared" si="69"/>
        <v>6</v>
      </c>
      <c r="G4407" s="7" t="str">
        <f>LOOKUP(H4407,[1]startdates!$A$2:$A$10,[1]startdates!$B$2:$B$10)</f>
        <v>SMr</v>
      </c>
      <c r="H4407">
        <v>2</v>
      </c>
      <c r="I4407" s="7">
        <v>558.9</v>
      </c>
      <c r="K4407" s="7">
        <v>455.2</v>
      </c>
      <c r="L4407" s="7">
        <v>361.8</v>
      </c>
      <c r="M4407" s="7">
        <v>277.8</v>
      </c>
      <c r="N4407" s="7">
        <v>236.1</v>
      </c>
      <c r="O4407" s="7">
        <v>155.30000000000001</v>
      </c>
    </row>
    <row r="4408" spans="1:20" x14ac:dyDescent="0.2">
      <c r="A4408">
        <v>4407</v>
      </c>
      <c r="B4408" s="1">
        <v>40851</v>
      </c>
      <c r="C4408" t="s">
        <v>24</v>
      </c>
      <c r="D4408" s="7">
        <v>112</v>
      </c>
      <c r="E4408" s="7">
        <v>17</v>
      </c>
      <c r="F4408" s="7">
        <f t="shared" si="69"/>
        <v>6</v>
      </c>
      <c r="G4408" s="7" t="str">
        <f>LOOKUP(H4408,[1]startdates!$A$2:$A$10,[1]startdates!$B$2:$B$10)</f>
        <v>SMr</v>
      </c>
      <c r="H4408">
        <v>2</v>
      </c>
      <c r="I4408" s="7">
        <v>523.9</v>
      </c>
      <c r="K4408" s="7">
        <v>494.7</v>
      </c>
      <c r="M4408" s="7">
        <v>290.2</v>
      </c>
      <c r="N4408" s="7">
        <v>180.7</v>
      </c>
      <c r="O4408" s="7">
        <v>192.2</v>
      </c>
    </row>
    <row r="4409" spans="1:20" x14ac:dyDescent="0.2">
      <c r="A4409">
        <v>4408</v>
      </c>
      <c r="B4409" s="1">
        <v>40851</v>
      </c>
      <c r="C4409" t="s">
        <v>24</v>
      </c>
      <c r="D4409" s="7">
        <v>112</v>
      </c>
      <c r="E4409" s="7">
        <v>17</v>
      </c>
      <c r="F4409" s="7">
        <f t="shared" si="69"/>
        <v>6</v>
      </c>
      <c r="G4409" s="7" t="str">
        <f>LOOKUP(H4409,[1]startdates!$A$2:$A$10,[1]startdates!$B$2:$B$10)</f>
        <v>SMr</v>
      </c>
      <c r="H4409">
        <v>2</v>
      </c>
      <c r="I4409" s="7">
        <v>607.79999999999995</v>
      </c>
      <c r="K4409" s="7">
        <v>412.4</v>
      </c>
      <c r="M4409" s="7">
        <v>281.3</v>
      </c>
      <c r="N4409" s="7">
        <v>201.6</v>
      </c>
      <c r="O4409" s="7">
        <v>132</v>
      </c>
    </row>
    <row r="4410" spans="1:20" x14ac:dyDescent="0.2">
      <c r="A4410">
        <v>4409</v>
      </c>
      <c r="B4410" s="1">
        <v>40851</v>
      </c>
      <c r="C4410" t="s">
        <v>24</v>
      </c>
      <c r="D4410" s="7">
        <v>112</v>
      </c>
      <c r="E4410" s="7">
        <v>17</v>
      </c>
      <c r="F4410" s="7">
        <f t="shared" si="69"/>
        <v>6</v>
      </c>
      <c r="G4410" s="7" t="str">
        <f>LOOKUP(H4410,[1]startdates!$A$2:$A$10,[1]startdates!$B$2:$B$10)</f>
        <v>SMr</v>
      </c>
      <c r="H4410">
        <v>2</v>
      </c>
      <c r="I4410" s="7">
        <v>491.7</v>
      </c>
      <c r="K4410" s="7">
        <v>530.20000000000005</v>
      </c>
      <c r="N4410" s="7">
        <v>192.1</v>
      </c>
      <c r="O4410" s="7">
        <v>183.4</v>
      </c>
    </row>
    <row r="4411" spans="1:20" x14ac:dyDescent="0.2">
      <c r="A4411">
        <v>4410</v>
      </c>
      <c r="B4411" s="1">
        <v>40851</v>
      </c>
      <c r="C4411" t="s">
        <v>24</v>
      </c>
      <c r="D4411" s="7">
        <v>112</v>
      </c>
      <c r="E4411" s="7">
        <v>17</v>
      </c>
      <c r="F4411" s="7">
        <f t="shared" si="69"/>
        <v>6</v>
      </c>
      <c r="G4411" s="7" t="str">
        <f>LOOKUP(H4411,[1]startdates!$A$2:$A$10,[1]startdates!$B$2:$B$10)</f>
        <v>SMr</v>
      </c>
      <c r="H4411">
        <v>2</v>
      </c>
      <c r="N4411" s="7">
        <v>233.8</v>
      </c>
      <c r="O4411" s="7">
        <v>173.1</v>
      </c>
    </row>
    <row r="4412" spans="1:20" x14ac:dyDescent="0.2">
      <c r="A4412">
        <v>4411</v>
      </c>
      <c r="B4412" s="1">
        <v>40851</v>
      </c>
      <c r="C4412" t="s">
        <v>24</v>
      </c>
      <c r="D4412" s="7">
        <v>112</v>
      </c>
      <c r="E4412" s="7">
        <v>17</v>
      </c>
      <c r="F4412" s="7">
        <f t="shared" si="69"/>
        <v>6</v>
      </c>
      <c r="G4412" s="7" t="str">
        <f>LOOKUP(H4412,[1]startdates!$A$2:$A$10,[1]startdates!$B$2:$B$10)</f>
        <v>SMr</v>
      </c>
      <c r="H4412">
        <v>2</v>
      </c>
      <c r="O4412" s="7">
        <v>160.69999999999999</v>
      </c>
    </row>
    <row r="4413" spans="1:20" x14ac:dyDescent="0.2">
      <c r="A4413">
        <v>4412</v>
      </c>
      <c r="B4413" s="1">
        <v>40851</v>
      </c>
      <c r="C4413" t="s">
        <v>24</v>
      </c>
      <c r="D4413" s="7">
        <v>112</v>
      </c>
      <c r="E4413" s="7">
        <v>17</v>
      </c>
      <c r="F4413" s="7">
        <f t="shared" si="69"/>
        <v>6</v>
      </c>
      <c r="G4413" s="7" t="str">
        <f>LOOKUP(H4413,[1]startdates!$A$2:$A$10,[1]startdates!$B$2:$B$10)</f>
        <v>SMr</v>
      </c>
      <c r="H4413">
        <v>2</v>
      </c>
      <c r="O4413" s="7">
        <v>165</v>
      </c>
    </row>
    <row r="4414" spans="1:20" x14ac:dyDescent="0.2">
      <c r="A4414">
        <v>4413</v>
      </c>
      <c r="B4414" s="1">
        <v>40851</v>
      </c>
      <c r="C4414" t="s">
        <v>24</v>
      </c>
      <c r="D4414" s="7">
        <v>112</v>
      </c>
      <c r="E4414" s="7">
        <v>17</v>
      </c>
      <c r="F4414" s="7">
        <f t="shared" si="69"/>
        <v>6</v>
      </c>
      <c r="G4414" s="7" t="str">
        <f>LOOKUP(H4414,[1]startdates!$A$2:$A$10,[1]startdates!$B$2:$B$10)</f>
        <v>SMr</v>
      </c>
      <c r="H4414">
        <v>2</v>
      </c>
      <c r="O4414" s="7">
        <v>167.5</v>
      </c>
    </row>
    <row r="4415" spans="1:20" x14ac:dyDescent="0.2">
      <c r="A4415">
        <v>4414</v>
      </c>
      <c r="B4415" s="1">
        <v>40851</v>
      </c>
      <c r="C4415" t="s">
        <v>24</v>
      </c>
      <c r="D4415" s="7">
        <v>112</v>
      </c>
      <c r="E4415" s="7">
        <v>17</v>
      </c>
      <c r="F4415" s="7">
        <f t="shared" si="69"/>
        <v>6</v>
      </c>
      <c r="G4415" s="7" t="str">
        <f>LOOKUP(H4415,[1]startdates!$A$2:$A$10,[1]startdates!$B$2:$B$10)</f>
        <v>C</v>
      </c>
      <c r="H4415">
        <v>3</v>
      </c>
      <c r="I4415" s="7">
        <v>578.20000000000005</v>
      </c>
      <c r="K4415" s="7">
        <v>608</v>
      </c>
      <c r="L4415" s="7">
        <v>458.3</v>
      </c>
      <c r="M4415" s="7">
        <v>334.1</v>
      </c>
      <c r="N4415" s="7">
        <v>206.5</v>
      </c>
      <c r="O4415" s="7">
        <v>151.4</v>
      </c>
      <c r="P4415" s="7">
        <v>453.4</v>
      </c>
      <c r="Q4415" s="7">
        <v>390.6</v>
      </c>
      <c r="R4415" s="7">
        <v>259.60000000000002</v>
      </c>
      <c r="S4415" s="7">
        <v>244.8</v>
      </c>
      <c r="T4415" s="7">
        <v>305.7</v>
      </c>
    </row>
    <row r="4416" spans="1:20" x14ac:dyDescent="0.2">
      <c r="A4416">
        <v>4415</v>
      </c>
      <c r="B4416" s="1">
        <v>40851</v>
      </c>
      <c r="C4416" t="s">
        <v>24</v>
      </c>
      <c r="D4416" s="7">
        <v>112</v>
      </c>
      <c r="E4416" s="7">
        <v>17</v>
      </c>
      <c r="F4416" s="7">
        <f t="shared" si="69"/>
        <v>6</v>
      </c>
      <c r="G4416" s="7" t="str">
        <f>LOOKUP(H4416,[1]startdates!$A$2:$A$10,[1]startdates!$B$2:$B$10)</f>
        <v>C</v>
      </c>
      <c r="H4416">
        <v>3</v>
      </c>
      <c r="I4416" s="7">
        <v>584.6</v>
      </c>
      <c r="K4416" s="7">
        <v>475.9</v>
      </c>
      <c r="L4416" s="7">
        <v>407.9</v>
      </c>
      <c r="M4416" s="7">
        <v>308.8</v>
      </c>
      <c r="N4416" s="7">
        <v>196.9</v>
      </c>
      <c r="O4416" s="7">
        <v>174.9</v>
      </c>
      <c r="P4416" s="7">
        <v>458.8</v>
      </c>
      <c r="Q4416" s="7">
        <v>344.2</v>
      </c>
      <c r="R4416" s="7">
        <v>300.2</v>
      </c>
    </row>
    <row r="4417" spans="1:19" x14ac:dyDescent="0.2">
      <c r="A4417">
        <v>4416</v>
      </c>
      <c r="B4417" s="1">
        <v>40851</v>
      </c>
      <c r="C4417" t="s">
        <v>24</v>
      </c>
      <c r="D4417" s="7">
        <v>112</v>
      </c>
      <c r="E4417" s="7">
        <v>17</v>
      </c>
      <c r="F4417" s="7">
        <f t="shared" si="69"/>
        <v>6</v>
      </c>
      <c r="G4417" s="7" t="str">
        <f>LOOKUP(H4417,[1]startdates!$A$2:$A$10,[1]startdates!$B$2:$B$10)</f>
        <v>C</v>
      </c>
      <c r="H4417">
        <v>3</v>
      </c>
      <c r="I4417" s="7">
        <v>579.79999999999995</v>
      </c>
      <c r="K4417" s="7">
        <v>522.9</v>
      </c>
      <c r="L4417" s="7">
        <v>367.2</v>
      </c>
      <c r="M4417" s="7">
        <v>307.39999999999998</v>
      </c>
      <c r="N4417" s="7">
        <v>210.9</v>
      </c>
      <c r="O4417" s="7">
        <v>178.4</v>
      </c>
      <c r="P4417" s="7">
        <v>488.7</v>
      </c>
    </row>
    <row r="4418" spans="1:19" x14ac:dyDescent="0.2">
      <c r="A4418">
        <v>4417</v>
      </c>
      <c r="B4418" s="1">
        <v>40851</v>
      </c>
      <c r="C4418" t="s">
        <v>24</v>
      </c>
      <c r="D4418" s="7">
        <v>112</v>
      </c>
      <c r="E4418" s="7">
        <v>17</v>
      </c>
      <c r="F4418" s="7">
        <f t="shared" si="69"/>
        <v>6</v>
      </c>
      <c r="G4418" s="7" t="str">
        <f>LOOKUP(H4418,[1]startdates!$A$2:$A$10,[1]startdates!$B$2:$B$10)</f>
        <v>C</v>
      </c>
      <c r="H4418">
        <v>3</v>
      </c>
      <c r="I4418" s="7">
        <v>561.9</v>
      </c>
      <c r="K4418" s="7">
        <v>541.29999999999995</v>
      </c>
      <c r="L4418" s="7">
        <v>430.5</v>
      </c>
      <c r="M4418" s="7">
        <v>328.7</v>
      </c>
      <c r="N4418" s="7">
        <v>212.2</v>
      </c>
      <c r="O4418" s="7">
        <v>185.3</v>
      </c>
      <c r="P4418" s="7">
        <v>425.1</v>
      </c>
    </row>
    <row r="4419" spans="1:19" x14ac:dyDescent="0.2">
      <c r="A4419">
        <v>4418</v>
      </c>
      <c r="B4419" s="1">
        <v>40851</v>
      </c>
      <c r="C4419" t="s">
        <v>24</v>
      </c>
      <c r="D4419" s="7">
        <v>112</v>
      </c>
      <c r="E4419" s="7">
        <v>17</v>
      </c>
      <c r="F4419" s="7">
        <f t="shared" si="69"/>
        <v>6</v>
      </c>
      <c r="G4419" s="7" t="str">
        <f>LOOKUP(H4419,[1]startdates!$A$2:$A$10,[1]startdates!$B$2:$B$10)</f>
        <v>C</v>
      </c>
      <c r="H4419">
        <v>3</v>
      </c>
      <c r="I4419" s="7">
        <v>637.29999999999995</v>
      </c>
      <c r="K4419" s="7">
        <v>579.1</v>
      </c>
      <c r="M4419" s="7">
        <v>266.8</v>
      </c>
      <c r="N4419" s="7">
        <v>195.1</v>
      </c>
      <c r="O4419" s="7">
        <v>176.5</v>
      </c>
      <c r="P4419" s="7">
        <v>464</v>
      </c>
    </row>
    <row r="4420" spans="1:19" x14ac:dyDescent="0.2">
      <c r="A4420">
        <v>4419</v>
      </c>
      <c r="B4420" s="1">
        <v>40851</v>
      </c>
      <c r="C4420" t="s">
        <v>24</v>
      </c>
      <c r="D4420" s="7">
        <v>112</v>
      </c>
      <c r="E4420" s="7">
        <v>17</v>
      </c>
      <c r="F4420" s="7">
        <f t="shared" si="69"/>
        <v>6</v>
      </c>
      <c r="G4420" s="7" t="str">
        <f>LOOKUP(H4420,[1]startdates!$A$2:$A$10,[1]startdates!$B$2:$B$10)</f>
        <v>C</v>
      </c>
      <c r="H4420">
        <v>3</v>
      </c>
      <c r="I4420" s="7">
        <v>624.5</v>
      </c>
      <c r="K4420" s="7">
        <v>534.79999999999995</v>
      </c>
      <c r="N4420" s="7">
        <v>229.6</v>
      </c>
      <c r="O4420" s="7">
        <v>151</v>
      </c>
    </row>
    <row r="4421" spans="1:19" x14ac:dyDescent="0.2">
      <c r="A4421">
        <v>4420</v>
      </c>
      <c r="B4421" s="1">
        <v>40851</v>
      </c>
      <c r="C4421" t="s">
        <v>24</v>
      </c>
      <c r="D4421" s="7">
        <v>112</v>
      </c>
      <c r="E4421" s="7">
        <v>17</v>
      </c>
      <c r="F4421" s="7">
        <f t="shared" si="69"/>
        <v>6</v>
      </c>
      <c r="G4421" s="7" t="str">
        <f>LOOKUP(H4421,[1]startdates!$A$2:$A$10,[1]startdates!$B$2:$B$10)</f>
        <v>C</v>
      </c>
      <c r="H4421">
        <v>3</v>
      </c>
      <c r="I4421" s="7">
        <v>610.6</v>
      </c>
      <c r="K4421" s="7">
        <v>484.7</v>
      </c>
      <c r="N4421" s="7">
        <v>195.7</v>
      </c>
      <c r="O4421" s="7">
        <v>185</v>
      </c>
    </row>
    <row r="4422" spans="1:19" x14ac:dyDescent="0.2">
      <c r="A4422">
        <v>4421</v>
      </c>
      <c r="B4422" s="1">
        <v>40851</v>
      </c>
      <c r="C4422" t="s">
        <v>24</v>
      </c>
      <c r="D4422" s="7">
        <v>112</v>
      </c>
      <c r="E4422" s="7">
        <v>17</v>
      </c>
      <c r="F4422" s="7">
        <f t="shared" si="69"/>
        <v>6</v>
      </c>
      <c r="G4422" s="7" t="str">
        <f>LOOKUP(H4422,[1]startdates!$A$2:$A$10,[1]startdates!$B$2:$B$10)</f>
        <v>C</v>
      </c>
      <c r="H4422">
        <v>3</v>
      </c>
      <c r="N4422" s="7">
        <v>181</v>
      </c>
      <c r="O4422" s="7">
        <v>184.9</v>
      </c>
    </row>
    <row r="4423" spans="1:19" x14ac:dyDescent="0.2">
      <c r="A4423">
        <v>4422</v>
      </c>
      <c r="B4423" s="1">
        <v>40851</v>
      </c>
      <c r="C4423" t="s">
        <v>24</v>
      </c>
      <c r="D4423" s="7">
        <v>112</v>
      </c>
      <c r="E4423" s="7">
        <v>17</v>
      </c>
      <c r="F4423" s="7">
        <f t="shared" si="69"/>
        <v>6</v>
      </c>
      <c r="G4423" s="7" t="str">
        <f>LOOKUP(H4423,[1]startdates!$A$2:$A$10,[1]startdates!$B$2:$B$10)</f>
        <v>C</v>
      </c>
      <c r="H4423">
        <v>3</v>
      </c>
      <c r="O4423" s="7">
        <v>162</v>
      </c>
    </row>
    <row r="4424" spans="1:19" x14ac:dyDescent="0.2">
      <c r="A4424">
        <v>4423</v>
      </c>
      <c r="B4424" s="1">
        <v>40851</v>
      </c>
      <c r="C4424" t="s">
        <v>24</v>
      </c>
      <c r="D4424" s="7">
        <v>112</v>
      </c>
      <c r="E4424" s="7">
        <v>17</v>
      </c>
      <c r="F4424" s="7">
        <f t="shared" si="69"/>
        <v>6</v>
      </c>
      <c r="G4424" s="7" t="str">
        <f>LOOKUP(H4424,[1]startdates!$A$2:$A$10,[1]startdates!$B$2:$B$10)</f>
        <v>C</v>
      </c>
      <c r="H4424">
        <v>3</v>
      </c>
      <c r="O4424" s="7">
        <v>189.1</v>
      </c>
    </row>
    <row r="4425" spans="1:19" x14ac:dyDescent="0.2">
      <c r="A4425">
        <v>4424</v>
      </c>
      <c r="B4425" s="1">
        <v>40851</v>
      </c>
      <c r="C4425" t="s">
        <v>28</v>
      </c>
      <c r="D4425" s="7">
        <v>112</v>
      </c>
      <c r="E4425" s="7">
        <v>17</v>
      </c>
      <c r="F4425" s="7">
        <f t="shared" si="69"/>
        <v>6</v>
      </c>
      <c r="G4425" s="7" t="str">
        <f>LOOKUP(H4425,[1]startdates!$A$2:$A$10,[1]startdates!$B$2:$B$10)</f>
        <v>SMr</v>
      </c>
      <c r="H4425">
        <v>4</v>
      </c>
      <c r="I4425" s="7">
        <v>721.6</v>
      </c>
      <c r="K4425" s="7">
        <v>591.4</v>
      </c>
      <c r="L4425" s="7">
        <v>413.8</v>
      </c>
      <c r="M4425" s="7">
        <v>302.89999999999998</v>
      </c>
      <c r="N4425" s="7">
        <v>198.9</v>
      </c>
      <c r="O4425" s="7">
        <v>198.1</v>
      </c>
      <c r="P4425" s="7">
        <v>459.7</v>
      </c>
      <c r="Q4425" s="7">
        <v>321.10000000000002</v>
      </c>
      <c r="S4425" s="7">
        <v>273.39999999999998</v>
      </c>
    </row>
    <row r="4426" spans="1:19" x14ac:dyDescent="0.2">
      <c r="A4426">
        <v>4425</v>
      </c>
      <c r="B4426" s="1">
        <v>40851</v>
      </c>
      <c r="C4426" t="s">
        <v>28</v>
      </c>
      <c r="D4426" s="7">
        <v>112</v>
      </c>
      <c r="E4426" s="7">
        <v>17</v>
      </c>
      <c r="F4426" s="7">
        <f t="shared" si="69"/>
        <v>6</v>
      </c>
      <c r="G4426" s="7" t="str">
        <f>LOOKUP(H4426,[1]startdates!$A$2:$A$10,[1]startdates!$B$2:$B$10)</f>
        <v>SMr</v>
      </c>
      <c r="H4426">
        <v>4</v>
      </c>
      <c r="I4426" s="7">
        <v>601.6</v>
      </c>
      <c r="K4426" s="7">
        <v>496</v>
      </c>
      <c r="L4426" s="7">
        <v>426.6</v>
      </c>
      <c r="M4426" s="7">
        <v>383.1</v>
      </c>
      <c r="N4426" s="7">
        <v>231.1</v>
      </c>
      <c r="O4426" s="7">
        <v>177.7</v>
      </c>
      <c r="P4426" s="7">
        <v>428.8</v>
      </c>
      <c r="Q4426" s="7">
        <v>302.89999999999998</v>
      </c>
      <c r="S4426" s="7">
        <v>255.6</v>
      </c>
    </row>
    <row r="4427" spans="1:19" x14ac:dyDescent="0.2">
      <c r="A4427">
        <v>4426</v>
      </c>
      <c r="B4427" s="1">
        <v>40851</v>
      </c>
      <c r="C4427" t="s">
        <v>28</v>
      </c>
      <c r="D4427" s="7">
        <v>112</v>
      </c>
      <c r="E4427" s="7">
        <v>17</v>
      </c>
      <c r="F4427" s="7">
        <f t="shared" si="69"/>
        <v>6</v>
      </c>
      <c r="G4427" s="7" t="str">
        <f>LOOKUP(H4427,[1]startdates!$A$2:$A$10,[1]startdates!$B$2:$B$10)</f>
        <v>SMr</v>
      </c>
      <c r="H4427">
        <v>4</v>
      </c>
      <c r="I4427" s="7">
        <v>510.6</v>
      </c>
      <c r="K4427" s="7">
        <v>471.6</v>
      </c>
      <c r="L4427" s="7">
        <v>410.5</v>
      </c>
      <c r="M4427" s="7">
        <v>315.2</v>
      </c>
      <c r="N4427" s="7">
        <v>239.6</v>
      </c>
      <c r="O4427" s="7">
        <v>178.1</v>
      </c>
      <c r="P4427" s="7">
        <v>415</v>
      </c>
      <c r="Q4427" s="7">
        <v>346.2</v>
      </c>
    </row>
    <row r="4428" spans="1:19" x14ac:dyDescent="0.2">
      <c r="A4428">
        <v>4427</v>
      </c>
      <c r="B4428" s="1">
        <v>40851</v>
      </c>
      <c r="C4428" t="s">
        <v>28</v>
      </c>
      <c r="D4428" s="7">
        <v>112</v>
      </c>
      <c r="E4428" s="7">
        <v>17</v>
      </c>
      <c r="F4428" s="7">
        <f t="shared" si="69"/>
        <v>6</v>
      </c>
      <c r="G4428" s="7" t="str">
        <f>LOOKUP(H4428,[1]startdates!$A$2:$A$10,[1]startdates!$B$2:$B$10)</f>
        <v>SMr</v>
      </c>
      <c r="H4428">
        <v>4</v>
      </c>
      <c r="I4428" s="7">
        <v>517</v>
      </c>
      <c r="K4428" s="7">
        <v>589.29999999999995</v>
      </c>
      <c r="L4428" s="7">
        <v>435.9</v>
      </c>
      <c r="M4428" s="7">
        <v>352.4</v>
      </c>
      <c r="N4428" s="7">
        <v>286.8</v>
      </c>
      <c r="O4428" s="7">
        <v>180.1</v>
      </c>
      <c r="P4428" s="7">
        <v>415.3</v>
      </c>
      <c r="Q4428" s="7">
        <v>317.10000000000002</v>
      </c>
    </row>
    <row r="4429" spans="1:19" x14ac:dyDescent="0.2">
      <c r="A4429">
        <v>4428</v>
      </c>
      <c r="B4429" s="1">
        <v>40851</v>
      </c>
      <c r="C4429" t="s">
        <v>28</v>
      </c>
      <c r="D4429" s="7">
        <v>112</v>
      </c>
      <c r="E4429" s="7">
        <v>17</v>
      </c>
      <c r="F4429" s="7">
        <f t="shared" si="69"/>
        <v>6</v>
      </c>
      <c r="G4429" s="7" t="str">
        <f>LOOKUP(H4429,[1]startdates!$A$2:$A$10,[1]startdates!$B$2:$B$10)</f>
        <v>SMr</v>
      </c>
      <c r="H4429">
        <v>4</v>
      </c>
      <c r="I4429" s="7">
        <v>586.70000000000005</v>
      </c>
      <c r="K4429" s="7">
        <v>544.79999999999995</v>
      </c>
      <c r="L4429" s="7">
        <v>439.6</v>
      </c>
      <c r="M4429" s="7">
        <v>306.5</v>
      </c>
      <c r="N4429" s="7">
        <v>228.3</v>
      </c>
      <c r="O4429" s="7">
        <v>168.1</v>
      </c>
      <c r="P4429" s="7">
        <v>458.3</v>
      </c>
      <c r="Q4429" s="7">
        <v>308.10000000000002</v>
      </c>
    </row>
    <row r="4430" spans="1:19" x14ac:dyDescent="0.2">
      <c r="A4430">
        <v>4429</v>
      </c>
      <c r="B4430" s="1">
        <v>40851</v>
      </c>
      <c r="C4430" t="s">
        <v>28</v>
      </c>
      <c r="D4430" s="7">
        <v>112</v>
      </c>
      <c r="E4430" s="7">
        <v>17</v>
      </c>
      <c r="F4430" s="7">
        <f t="shared" si="69"/>
        <v>6</v>
      </c>
      <c r="G4430" s="7" t="str">
        <f>LOOKUP(H4430,[1]startdates!$A$2:$A$10,[1]startdates!$B$2:$B$10)</f>
        <v>SMr</v>
      </c>
      <c r="H4430">
        <v>4</v>
      </c>
      <c r="I4430" s="7">
        <v>541.4</v>
      </c>
      <c r="K4430" s="7">
        <v>558.20000000000005</v>
      </c>
      <c r="L4430" s="7">
        <v>484.1</v>
      </c>
      <c r="M4430" s="7">
        <v>326.39999999999998</v>
      </c>
      <c r="N4430" s="7">
        <v>230.6</v>
      </c>
      <c r="O4430" s="7">
        <v>172.6</v>
      </c>
      <c r="P4430" s="7">
        <v>407.5</v>
      </c>
    </row>
    <row r="4431" spans="1:19" x14ac:dyDescent="0.2">
      <c r="A4431">
        <v>4430</v>
      </c>
      <c r="B4431" s="1">
        <v>40851</v>
      </c>
      <c r="C4431" t="s">
        <v>28</v>
      </c>
      <c r="D4431" s="7">
        <v>112</v>
      </c>
      <c r="E4431" s="7">
        <v>17</v>
      </c>
      <c r="F4431" s="7">
        <f t="shared" si="69"/>
        <v>6</v>
      </c>
      <c r="G4431" s="7" t="str">
        <f>LOOKUP(H4431,[1]startdates!$A$2:$A$10,[1]startdates!$B$2:$B$10)</f>
        <v>SMr</v>
      </c>
      <c r="H4431">
        <v>4</v>
      </c>
      <c r="I4431" s="7">
        <v>590.5</v>
      </c>
      <c r="K4431" s="7">
        <v>578.20000000000005</v>
      </c>
      <c r="L4431" s="7">
        <v>464.2</v>
      </c>
      <c r="M4431" s="7">
        <v>318.60000000000002</v>
      </c>
      <c r="N4431" s="7">
        <v>247.5</v>
      </c>
      <c r="O4431" s="7">
        <v>190.9</v>
      </c>
    </row>
    <row r="4432" spans="1:19" x14ac:dyDescent="0.2">
      <c r="A4432">
        <v>4431</v>
      </c>
      <c r="B4432" s="1">
        <v>40851</v>
      </c>
      <c r="C4432" t="s">
        <v>28</v>
      </c>
      <c r="D4432" s="7">
        <v>112</v>
      </c>
      <c r="E4432" s="7">
        <v>17</v>
      </c>
      <c r="F4432" s="7">
        <f t="shared" si="69"/>
        <v>6</v>
      </c>
      <c r="G4432" s="7" t="str">
        <f>LOOKUP(H4432,[1]startdates!$A$2:$A$10,[1]startdates!$B$2:$B$10)</f>
        <v>SMr</v>
      </c>
      <c r="H4432">
        <v>4</v>
      </c>
      <c r="I4432" s="7">
        <v>471.4</v>
      </c>
      <c r="K4432" s="7">
        <v>441.4</v>
      </c>
      <c r="L4432" s="7">
        <v>398.7</v>
      </c>
      <c r="M4432" s="7">
        <v>330.7</v>
      </c>
      <c r="N4432" s="7">
        <v>235</v>
      </c>
      <c r="O4432" s="7">
        <v>168.9</v>
      </c>
    </row>
    <row r="4433" spans="1:18" x14ac:dyDescent="0.2">
      <c r="A4433">
        <v>4432</v>
      </c>
      <c r="B4433" s="1">
        <v>40851</v>
      </c>
      <c r="C4433" t="s">
        <v>28</v>
      </c>
      <c r="D4433" s="7">
        <v>112</v>
      </c>
      <c r="E4433" s="7">
        <v>17</v>
      </c>
      <c r="F4433" s="7">
        <f t="shared" si="69"/>
        <v>6</v>
      </c>
      <c r="G4433" s="7" t="str">
        <f>LOOKUP(H4433,[1]startdates!$A$2:$A$10,[1]startdates!$B$2:$B$10)</f>
        <v>SMr</v>
      </c>
      <c r="H4433">
        <v>4</v>
      </c>
      <c r="I4433" s="7">
        <v>594.70000000000005</v>
      </c>
      <c r="K4433" s="7">
        <v>530.20000000000005</v>
      </c>
      <c r="M4433" s="7">
        <v>302.5</v>
      </c>
      <c r="N4433" s="7">
        <v>199.4</v>
      </c>
      <c r="O4433" s="7">
        <v>166.7</v>
      </c>
    </row>
    <row r="4434" spans="1:18" x14ac:dyDescent="0.2">
      <c r="A4434">
        <v>4433</v>
      </c>
      <c r="B4434" s="1">
        <v>40851</v>
      </c>
      <c r="C4434" t="s">
        <v>28</v>
      </c>
      <c r="D4434" s="7">
        <v>112</v>
      </c>
      <c r="E4434" s="7">
        <v>17</v>
      </c>
      <c r="F4434" s="7">
        <f t="shared" si="69"/>
        <v>6</v>
      </c>
      <c r="G4434" s="7" t="str">
        <f>LOOKUP(H4434,[1]startdates!$A$2:$A$10,[1]startdates!$B$2:$B$10)</f>
        <v>SMr</v>
      </c>
      <c r="H4434">
        <v>4</v>
      </c>
      <c r="I4434" s="7">
        <v>523.9</v>
      </c>
      <c r="K4434" s="7">
        <v>491.2</v>
      </c>
      <c r="M4434" s="7">
        <v>320.60000000000002</v>
      </c>
      <c r="N4434" s="7">
        <v>244.8</v>
      </c>
      <c r="O4434" s="7">
        <v>169.4</v>
      </c>
    </row>
    <row r="4435" spans="1:18" x14ac:dyDescent="0.2">
      <c r="A4435">
        <v>4434</v>
      </c>
      <c r="B4435" s="1">
        <v>40851</v>
      </c>
      <c r="C4435" t="s">
        <v>28</v>
      </c>
      <c r="D4435" s="7">
        <v>112</v>
      </c>
      <c r="E4435" s="7">
        <v>17</v>
      </c>
      <c r="F4435" s="7">
        <f t="shared" si="69"/>
        <v>6</v>
      </c>
      <c r="G4435" s="7" t="str">
        <f>LOOKUP(H4435,[1]startdates!$A$2:$A$10,[1]startdates!$B$2:$B$10)</f>
        <v>SMr</v>
      </c>
      <c r="H4435">
        <v>4</v>
      </c>
      <c r="I4435" s="7">
        <v>544.29999999999995</v>
      </c>
    </row>
    <row r="4436" spans="1:18" x14ac:dyDescent="0.2">
      <c r="A4436">
        <v>4435</v>
      </c>
      <c r="B4436" s="1">
        <v>40851</v>
      </c>
      <c r="C4436" t="s">
        <v>28</v>
      </c>
      <c r="D4436" s="7">
        <v>112</v>
      </c>
      <c r="E4436" s="7">
        <v>17</v>
      </c>
      <c r="F4436" s="7">
        <f t="shared" si="69"/>
        <v>6</v>
      </c>
      <c r="G4436" s="7" t="str">
        <f>LOOKUP(H4436,[1]startdates!$A$2:$A$10,[1]startdates!$B$2:$B$10)</f>
        <v>SMr</v>
      </c>
      <c r="H4436">
        <v>4</v>
      </c>
      <c r="I4436" s="7">
        <v>619.9</v>
      </c>
    </row>
    <row r="4437" spans="1:18" x14ac:dyDescent="0.2">
      <c r="A4437">
        <v>4436</v>
      </c>
      <c r="B4437" s="1">
        <v>40851</v>
      </c>
      <c r="C4437" t="s">
        <v>28</v>
      </c>
      <c r="D4437" s="7">
        <v>112</v>
      </c>
      <c r="E4437" s="7">
        <v>17</v>
      </c>
      <c r="F4437" s="7">
        <f t="shared" si="69"/>
        <v>6</v>
      </c>
      <c r="G4437" s="7" t="str">
        <f>LOOKUP(H4437,[1]startdates!$A$2:$A$10,[1]startdates!$B$2:$B$10)</f>
        <v>SMr</v>
      </c>
      <c r="H4437">
        <v>4</v>
      </c>
      <c r="I4437" s="7">
        <v>471.4</v>
      </c>
    </row>
    <row r="4438" spans="1:18" x14ac:dyDescent="0.2">
      <c r="A4438">
        <v>4437</v>
      </c>
      <c r="B4438" s="1">
        <v>40851</v>
      </c>
      <c r="C4438" t="s">
        <v>28</v>
      </c>
      <c r="D4438" s="7">
        <v>112</v>
      </c>
      <c r="E4438" s="7">
        <v>17</v>
      </c>
      <c r="F4438" s="7">
        <f t="shared" si="69"/>
        <v>6</v>
      </c>
      <c r="G4438" s="7" t="str">
        <f>LOOKUP(H4438,[1]startdates!$A$2:$A$10,[1]startdates!$B$2:$B$10)</f>
        <v>SMr</v>
      </c>
      <c r="H4438">
        <v>4</v>
      </c>
      <c r="I4438" s="7">
        <v>505.2</v>
      </c>
    </row>
    <row r="4439" spans="1:18" x14ac:dyDescent="0.2">
      <c r="A4439">
        <v>4438</v>
      </c>
      <c r="B4439" s="1">
        <v>40851</v>
      </c>
      <c r="C4439" t="s">
        <v>28</v>
      </c>
      <c r="D4439" s="7">
        <v>112</v>
      </c>
      <c r="E4439" s="7">
        <v>17</v>
      </c>
      <c r="F4439" s="7">
        <f t="shared" si="69"/>
        <v>6</v>
      </c>
      <c r="G4439" s="7" t="str">
        <f>LOOKUP(H4439,[1]startdates!$A$2:$A$10,[1]startdates!$B$2:$B$10)</f>
        <v>SMr</v>
      </c>
      <c r="H4439">
        <v>4</v>
      </c>
      <c r="I4439" s="7">
        <v>608.9</v>
      </c>
    </row>
    <row r="4440" spans="1:18" x14ac:dyDescent="0.2">
      <c r="A4440">
        <v>4439</v>
      </c>
      <c r="B4440" s="1">
        <v>40851</v>
      </c>
      <c r="C4440" t="s">
        <v>28</v>
      </c>
      <c r="D4440" s="7">
        <v>112</v>
      </c>
      <c r="E4440" s="7">
        <v>17</v>
      </c>
      <c r="F4440" s="7">
        <f t="shared" si="69"/>
        <v>6</v>
      </c>
      <c r="G4440" s="7" t="str">
        <f>LOOKUP(H4440,[1]startdates!$A$2:$A$10,[1]startdates!$B$2:$B$10)</f>
        <v>SMr</v>
      </c>
      <c r="H4440">
        <v>4</v>
      </c>
      <c r="I4440" s="7">
        <v>495.6</v>
      </c>
    </row>
    <row r="4441" spans="1:18" x14ac:dyDescent="0.2">
      <c r="A4441">
        <v>4440</v>
      </c>
      <c r="B4441" s="1">
        <v>40851</v>
      </c>
      <c r="C4441" t="s">
        <v>24</v>
      </c>
      <c r="D4441" s="7">
        <v>112</v>
      </c>
      <c r="E4441" s="7">
        <v>17</v>
      </c>
      <c r="F4441" s="7">
        <f t="shared" si="69"/>
        <v>6</v>
      </c>
      <c r="G4441" s="7" t="str">
        <f>LOOKUP(H4441,[1]startdates!$A$2:$A$10,[1]startdates!$B$2:$B$10)</f>
        <v>C</v>
      </c>
      <c r="H4441">
        <v>5</v>
      </c>
      <c r="I4441" s="7">
        <v>622.9</v>
      </c>
      <c r="J4441" s="7">
        <v>489.7</v>
      </c>
      <c r="K4441" s="7">
        <v>531.20000000000005</v>
      </c>
      <c r="L4441" s="7">
        <v>459</v>
      </c>
      <c r="M4441" s="7">
        <v>341.6</v>
      </c>
      <c r="N4441" s="7">
        <v>227.9</v>
      </c>
      <c r="O4441" s="7">
        <v>163.5</v>
      </c>
      <c r="P4441" s="7">
        <v>416.6</v>
      </c>
      <c r="Q4441" s="7">
        <v>341.7</v>
      </c>
      <c r="R4441" s="7">
        <v>287.3</v>
      </c>
    </row>
    <row r="4442" spans="1:18" x14ac:dyDescent="0.2">
      <c r="A4442">
        <v>4441</v>
      </c>
      <c r="B4442" s="1">
        <v>40851</v>
      </c>
      <c r="C4442" t="s">
        <v>24</v>
      </c>
      <c r="D4442" s="7">
        <v>112</v>
      </c>
      <c r="E4442" s="7">
        <v>17</v>
      </c>
      <c r="F4442" s="7">
        <f t="shared" si="69"/>
        <v>6</v>
      </c>
      <c r="G4442" s="7" t="str">
        <f>LOOKUP(H4442,[1]startdates!$A$2:$A$10,[1]startdates!$B$2:$B$10)</f>
        <v>C</v>
      </c>
      <c r="H4442">
        <v>5</v>
      </c>
      <c r="I4442" s="7">
        <v>512.4</v>
      </c>
      <c r="J4442" s="7">
        <v>477.2</v>
      </c>
      <c r="K4442" s="7">
        <v>408.1</v>
      </c>
      <c r="L4442" s="7">
        <v>410.1</v>
      </c>
      <c r="M4442" s="7">
        <v>283.2</v>
      </c>
      <c r="N4442" s="7">
        <v>201.6</v>
      </c>
      <c r="O4442" s="7">
        <v>145.9</v>
      </c>
      <c r="Q4442" s="7">
        <v>327.5</v>
      </c>
    </row>
    <row r="4443" spans="1:18" x14ac:dyDescent="0.2">
      <c r="A4443">
        <v>4442</v>
      </c>
      <c r="B4443" s="1">
        <v>40851</v>
      </c>
      <c r="C4443" t="s">
        <v>24</v>
      </c>
      <c r="D4443" s="7">
        <v>112</v>
      </c>
      <c r="E4443" s="7">
        <v>17</v>
      </c>
      <c r="F4443" s="7">
        <f t="shared" si="69"/>
        <v>6</v>
      </c>
      <c r="G4443" s="7" t="str">
        <f>LOOKUP(H4443,[1]startdates!$A$2:$A$10,[1]startdates!$B$2:$B$10)</f>
        <v>C</v>
      </c>
      <c r="H4443">
        <v>5</v>
      </c>
      <c r="I4443" s="7">
        <v>648.6</v>
      </c>
      <c r="K4443" s="7">
        <v>504.2</v>
      </c>
      <c r="L4443" s="7">
        <v>466.4</v>
      </c>
      <c r="M4443" s="7">
        <v>251.9</v>
      </c>
      <c r="N4443" s="7">
        <v>185.7</v>
      </c>
      <c r="O4443" s="7">
        <v>145.9</v>
      </c>
    </row>
    <row r="4444" spans="1:18" x14ac:dyDescent="0.2">
      <c r="A4444">
        <v>4443</v>
      </c>
      <c r="B4444" s="1">
        <v>40851</v>
      </c>
      <c r="C4444" t="s">
        <v>24</v>
      </c>
      <c r="D4444" s="7">
        <v>112</v>
      </c>
      <c r="E4444" s="7">
        <v>17</v>
      </c>
      <c r="F4444" s="7">
        <f t="shared" si="69"/>
        <v>6</v>
      </c>
      <c r="G4444" s="7" t="str">
        <f>LOOKUP(H4444,[1]startdates!$A$2:$A$10,[1]startdates!$B$2:$B$10)</f>
        <v>C</v>
      </c>
      <c r="H4444">
        <v>5</v>
      </c>
      <c r="I4444" s="7">
        <v>530.20000000000005</v>
      </c>
      <c r="K4444" s="7">
        <v>438.9</v>
      </c>
      <c r="L4444" s="7">
        <v>506.4</v>
      </c>
      <c r="M4444" s="7">
        <v>299.39999999999998</v>
      </c>
      <c r="N4444" s="7">
        <v>176.2</v>
      </c>
      <c r="O4444" s="7">
        <v>167.3</v>
      </c>
    </row>
    <row r="4445" spans="1:18" x14ac:dyDescent="0.2">
      <c r="A4445">
        <v>4444</v>
      </c>
      <c r="B4445" s="1">
        <v>40851</v>
      </c>
      <c r="C4445" t="s">
        <v>24</v>
      </c>
      <c r="D4445" s="7">
        <v>112</v>
      </c>
      <c r="E4445" s="7">
        <v>17</v>
      </c>
      <c r="F4445" s="7">
        <f t="shared" si="69"/>
        <v>6</v>
      </c>
      <c r="G4445" s="7" t="str">
        <f>LOOKUP(H4445,[1]startdates!$A$2:$A$10,[1]startdates!$B$2:$B$10)</f>
        <v>C</v>
      </c>
      <c r="H4445">
        <v>5</v>
      </c>
      <c r="I4445" s="7">
        <v>516.29999999999995</v>
      </c>
      <c r="K4445" s="7">
        <v>373.8</v>
      </c>
      <c r="M4445" s="7">
        <v>318.10000000000002</v>
      </c>
      <c r="N4445" s="7">
        <v>196.1</v>
      </c>
      <c r="O4445" s="7">
        <v>156</v>
      </c>
    </row>
    <row r="4446" spans="1:18" x14ac:dyDescent="0.2">
      <c r="A4446">
        <v>4445</v>
      </c>
      <c r="B4446" s="1">
        <v>40851</v>
      </c>
      <c r="C4446" t="s">
        <v>24</v>
      </c>
      <c r="D4446" s="7">
        <v>112</v>
      </c>
      <c r="E4446" s="7">
        <v>17</v>
      </c>
      <c r="F4446" s="7">
        <f t="shared" si="69"/>
        <v>6</v>
      </c>
      <c r="G4446" s="7" t="str">
        <f>LOOKUP(H4446,[1]startdates!$A$2:$A$10,[1]startdates!$B$2:$B$10)</f>
        <v>C</v>
      </c>
      <c r="H4446">
        <v>5</v>
      </c>
      <c r="I4446" s="7">
        <v>488.5</v>
      </c>
      <c r="K4446" s="7">
        <v>559.9</v>
      </c>
      <c r="N4446" s="7">
        <v>206.1</v>
      </c>
      <c r="O4446" s="7">
        <v>173.1</v>
      </c>
    </row>
    <row r="4447" spans="1:18" x14ac:dyDescent="0.2">
      <c r="A4447">
        <v>4446</v>
      </c>
      <c r="B4447" s="1">
        <v>40851</v>
      </c>
      <c r="C4447" t="s">
        <v>24</v>
      </c>
      <c r="D4447" s="7">
        <v>112</v>
      </c>
      <c r="E4447" s="7">
        <v>17</v>
      </c>
      <c r="F4447" s="7">
        <f t="shared" si="69"/>
        <v>6</v>
      </c>
      <c r="G4447" s="7" t="str">
        <f>LOOKUP(H4447,[1]startdates!$A$2:$A$10,[1]startdates!$B$2:$B$10)</f>
        <v>C</v>
      </c>
      <c r="H4447">
        <v>5</v>
      </c>
      <c r="I4447" s="7">
        <v>501.2</v>
      </c>
      <c r="K4447" s="7">
        <v>434.4</v>
      </c>
      <c r="N4447" s="7">
        <v>198.3</v>
      </c>
      <c r="O4447" s="7">
        <v>158.4</v>
      </c>
    </row>
    <row r="4448" spans="1:18" x14ac:dyDescent="0.2">
      <c r="A4448">
        <v>4447</v>
      </c>
      <c r="B4448" s="1">
        <v>40851</v>
      </c>
      <c r="C4448" t="s">
        <v>24</v>
      </c>
      <c r="D4448" s="7">
        <v>112</v>
      </c>
      <c r="E4448" s="7">
        <v>17</v>
      </c>
      <c r="F4448" s="7">
        <f t="shared" si="69"/>
        <v>6</v>
      </c>
      <c r="G4448" s="7" t="str">
        <f>LOOKUP(H4448,[1]startdates!$A$2:$A$10,[1]startdates!$B$2:$B$10)</f>
        <v>C</v>
      </c>
      <c r="H4448">
        <v>5</v>
      </c>
      <c r="I4448" s="7">
        <v>533.9</v>
      </c>
      <c r="K4448" s="7">
        <v>376.7</v>
      </c>
      <c r="N4448" s="7">
        <v>214.7</v>
      </c>
      <c r="O4448" s="7">
        <v>165.5</v>
      </c>
    </row>
    <row r="4449" spans="1:19" x14ac:dyDescent="0.2">
      <c r="A4449">
        <v>4448</v>
      </c>
      <c r="B4449" s="1">
        <v>40851</v>
      </c>
      <c r="C4449" t="s">
        <v>24</v>
      </c>
      <c r="D4449" s="7">
        <v>112</v>
      </c>
      <c r="E4449" s="7">
        <v>17</v>
      </c>
      <c r="F4449" s="7">
        <f t="shared" si="69"/>
        <v>6</v>
      </c>
      <c r="G4449" s="7" t="str">
        <f>LOOKUP(H4449,[1]startdates!$A$2:$A$10,[1]startdates!$B$2:$B$10)</f>
        <v>C</v>
      </c>
      <c r="H4449">
        <v>5</v>
      </c>
      <c r="I4449" s="7">
        <v>577.5</v>
      </c>
    </row>
    <row r="4450" spans="1:19" x14ac:dyDescent="0.2">
      <c r="A4450">
        <v>4449</v>
      </c>
      <c r="B4450" s="1">
        <v>40851</v>
      </c>
      <c r="C4450" t="s">
        <v>24</v>
      </c>
      <c r="D4450" s="7">
        <v>112</v>
      </c>
      <c r="E4450" s="7">
        <v>17</v>
      </c>
      <c r="F4450" s="7">
        <f t="shared" si="69"/>
        <v>6</v>
      </c>
      <c r="G4450" s="7" t="str">
        <f>LOOKUP(H4450,[1]startdates!$A$2:$A$10,[1]startdates!$B$2:$B$10)</f>
        <v>C</v>
      </c>
      <c r="H4450">
        <v>5</v>
      </c>
      <c r="I4450" s="7">
        <v>471.3</v>
      </c>
    </row>
    <row r="4451" spans="1:19" x14ac:dyDescent="0.2">
      <c r="A4451">
        <v>4450</v>
      </c>
      <c r="B4451" s="1">
        <v>40851</v>
      </c>
      <c r="C4451" t="s">
        <v>24</v>
      </c>
      <c r="D4451" s="7">
        <v>112</v>
      </c>
      <c r="E4451" s="7">
        <v>17</v>
      </c>
      <c r="F4451" s="7">
        <f t="shared" si="69"/>
        <v>6</v>
      </c>
      <c r="G4451" s="7" t="str">
        <f>LOOKUP(H4451,[1]startdates!$A$2:$A$10,[1]startdates!$B$2:$B$10)</f>
        <v>C</v>
      </c>
      <c r="H4451">
        <v>5</v>
      </c>
      <c r="I4451" s="7">
        <v>655.5</v>
      </c>
    </row>
    <row r="4452" spans="1:19" x14ac:dyDescent="0.2">
      <c r="A4452">
        <v>4451</v>
      </c>
      <c r="B4452" s="1">
        <v>40851</v>
      </c>
      <c r="C4452" t="s">
        <v>24</v>
      </c>
      <c r="D4452" s="7">
        <v>112</v>
      </c>
      <c r="E4452" s="7">
        <v>17</v>
      </c>
      <c r="F4452" s="7">
        <f t="shared" si="69"/>
        <v>6</v>
      </c>
      <c r="G4452" s="7" t="str">
        <f>LOOKUP(H4452,[1]startdates!$A$2:$A$10,[1]startdates!$B$2:$B$10)</f>
        <v>C</v>
      </c>
      <c r="H4452">
        <v>5</v>
      </c>
      <c r="I4452" s="7">
        <v>538.70000000000005</v>
      </c>
    </row>
    <row r="4453" spans="1:19" x14ac:dyDescent="0.2">
      <c r="A4453">
        <v>4452</v>
      </c>
      <c r="B4453" s="1">
        <v>40851</v>
      </c>
      <c r="C4453" t="s">
        <v>24</v>
      </c>
      <c r="D4453" s="7">
        <v>112</v>
      </c>
      <c r="E4453" s="7">
        <v>17</v>
      </c>
      <c r="F4453" s="7">
        <f t="shared" si="69"/>
        <v>6</v>
      </c>
      <c r="G4453" s="7" t="str">
        <f>LOOKUP(H4453,[1]startdates!$A$2:$A$10,[1]startdates!$B$2:$B$10)</f>
        <v>C</v>
      </c>
      <c r="H4453">
        <v>5</v>
      </c>
      <c r="I4453" s="7">
        <v>549.4</v>
      </c>
    </row>
    <row r="4454" spans="1:19" x14ac:dyDescent="0.2">
      <c r="A4454">
        <v>4453</v>
      </c>
      <c r="B4454" s="1">
        <v>40851</v>
      </c>
      <c r="C4454" t="s">
        <v>28</v>
      </c>
      <c r="D4454" s="7">
        <v>112</v>
      </c>
      <c r="E4454" s="7">
        <v>17</v>
      </c>
      <c r="F4454" s="7">
        <f t="shared" si="69"/>
        <v>6</v>
      </c>
      <c r="G4454" s="7" t="str">
        <f>LOOKUP(H4454,[1]startdates!$A$2:$A$10,[1]startdates!$B$2:$B$10)</f>
        <v>FMr</v>
      </c>
      <c r="H4454">
        <v>6</v>
      </c>
      <c r="I4454" s="7">
        <v>555.5</v>
      </c>
      <c r="J4454" s="7">
        <v>516.20000000000005</v>
      </c>
      <c r="K4454" s="7">
        <v>529.79999999999995</v>
      </c>
      <c r="L4454" s="7">
        <v>452.9</v>
      </c>
      <c r="M4454" s="7">
        <v>357.2</v>
      </c>
      <c r="N4454" s="7">
        <v>218.6</v>
      </c>
      <c r="O4454" s="7">
        <v>144</v>
      </c>
      <c r="P4454" s="7">
        <v>403.5</v>
      </c>
      <c r="Q4454" s="7">
        <v>293.2</v>
      </c>
      <c r="R4454" s="7">
        <v>227.7</v>
      </c>
      <c r="S4454" s="7">
        <v>268.8</v>
      </c>
    </row>
    <row r="4455" spans="1:19" x14ac:dyDescent="0.2">
      <c r="A4455">
        <v>4454</v>
      </c>
      <c r="B4455" s="1">
        <v>40851</v>
      </c>
      <c r="C4455" t="s">
        <v>28</v>
      </c>
      <c r="D4455" s="7">
        <v>112</v>
      </c>
      <c r="E4455" s="7">
        <v>17</v>
      </c>
      <c r="F4455" s="7">
        <f t="shared" si="69"/>
        <v>6</v>
      </c>
      <c r="G4455" s="7" t="str">
        <f>LOOKUP(H4455,[1]startdates!$A$2:$A$10,[1]startdates!$B$2:$B$10)</f>
        <v>FMr</v>
      </c>
      <c r="H4455">
        <v>6</v>
      </c>
      <c r="I4455" s="7">
        <v>602.6</v>
      </c>
      <c r="J4455" s="7">
        <v>551.9</v>
      </c>
      <c r="K4455" s="7">
        <v>545</v>
      </c>
      <c r="L4455" s="7">
        <v>398.4</v>
      </c>
      <c r="M4455" s="7">
        <v>316.8</v>
      </c>
      <c r="N4455" s="7">
        <v>184.9</v>
      </c>
      <c r="O4455" s="7">
        <v>172.1</v>
      </c>
      <c r="P4455" s="7">
        <v>364.4</v>
      </c>
      <c r="S4455" s="7">
        <v>277.10000000000002</v>
      </c>
    </row>
    <row r="4456" spans="1:19" x14ac:dyDescent="0.2">
      <c r="A4456">
        <v>4455</v>
      </c>
      <c r="B4456" s="1">
        <v>40851</v>
      </c>
      <c r="C4456" t="s">
        <v>28</v>
      </c>
      <c r="D4456" s="7">
        <v>112</v>
      </c>
      <c r="E4456" s="7">
        <v>17</v>
      </c>
      <c r="F4456" s="7">
        <f t="shared" si="69"/>
        <v>6</v>
      </c>
      <c r="G4456" s="7" t="str">
        <f>LOOKUP(H4456,[1]startdates!$A$2:$A$10,[1]startdates!$B$2:$B$10)</f>
        <v>FMr</v>
      </c>
      <c r="H4456">
        <v>6</v>
      </c>
      <c r="I4456" s="7">
        <v>600.5</v>
      </c>
      <c r="K4456" s="7">
        <v>490.9</v>
      </c>
      <c r="L4456" s="7">
        <v>477.7</v>
      </c>
      <c r="M4456" s="7">
        <v>379.7</v>
      </c>
      <c r="N4456" s="7">
        <v>192.2</v>
      </c>
      <c r="O4456" s="7">
        <v>177</v>
      </c>
    </row>
    <row r="4457" spans="1:19" x14ac:dyDescent="0.2">
      <c r="A4457">
        <v>4456</v>
      </c>
      <c r="B4457" s="1">
        <v>40851</v>
      </c>
      <c r="C4457" t="s">
        <v>28</v>
      </c>
      <c r="D4457" s="7">
        <v>112</v>
      </c>
      <c r="E4457" s="7">
        <v>17</v>
      </c>
      <c r="F4457" s="7">
        <f t="shared" ref="F4457:F4520" si="70">WEEKDAY(B4457)</f>
        <v>6</v>
      </c>
      <c r="G4457" s="7" t="str">
        <f>LOOKUP(H4457,[1]startdates!$A$2:$A$10,[1]startdates!$B$2:$B$10)</f>
        <v>FMr</v>
      </c>
      <c r="H4457">
        <v>6</v>
      </c>
      <c r="I4457" s="7">
        <v>517.6</v>
      </c>
      <c r="K4457" s="7">
        <v>488.5</v>
      </c>
      <c r="L4457" s="7">
        <v>460.8</v>
      </c>
      <c r="M4457" s="7">
        <v>354.4</v>
      </c>
      <c r="N4457" s="7">
        <v>178.1</v>
      </c>
      <c r="O4457" s="7">
        <v>162.19999999999999</v>
      </c>
    </row>
    <row r="4458" spans="1:19" x14ac:dyDescent="0.2">
      <c r="A4458">
        <v>4457</v>
      </c>
      <c r="B4458" s="1">
        <v>40851</v>
      </c>
      <c r="C4458" t="s">
        <v>28</v>
      </c>
      <c r="D4458" s="7">
        <v>112</v>
      </c>
      <c r="E4458" s="7">
        <v>17</v>
      </c>
      <c r="F4458" s="7">
        <f t="shared" si="70"/>
        <v>6</v>
      </c>
      <c r="G4458" s="7" t="str">
        <f>LOOKUP(H4458,[1]startdates!$A$2:$A$10,[1]startdates!$B$2:$B$10)</f>
        <v>FMr</v>
      </c>
      <c r="H4458">
        <v>6</v>
      </c>
      <c r="I4458" s="7">
        <v>540</v>
      </c>
      <c r="K4458" s="7">
        <v>534.79999999999995</v>
      </c>
      <c r="L4458" s="7">
        <v>418.6</v>
      </c>
      <c r="M4458" s="7">
        <v>369.7</v>
      </c>
      <c r="N4458" s="7">
        <v>260.7</v>
      </c>
      <c r="O4458" s="7">
        <v>147.30000000000001</v>
      </c>
    </row>
    <row r="4459" spans="1:19" x14ac:dyDescent="0.2">
      <c r="A4459">
        <v>4458</v>
      </c>
      <c r="B4459" s="1">
        <v>40851</v>
      </c>
      <c r="C4459" t="s">
        <v>28</v>
      </c>
      <c r="D4459" s="7">
        <v>112</v>
      </c>
      <c r="E4459" s="7">
        <v>17</v>
      </c>
      <c r="F4459" s="7">
        <f t="shared" si="70"/>
        <v>6</v>
      </c>
      <c r="G4459" s="7" t="str">
        <f>LOOKUP(H4459,[1]startdates!$A$2:$A$10,[1]startdates!$B$2:$B$10)</f>
        <v>FMr</v>
      </c>
      <c r="H4459">
        <v>6</v>
      </c>
      <c r="I4459" s="7">
        <v>620.9</v>
      </c>
      <c r="K4459" s="7">
        <v>534.6</v>
      </c>
      <c r="L4459" s="7">
        <v>393.1</v>
      </c>
      <c r="M4459" s="7">
        <v>366.3</v>
      </c>
      <c r="N4459" s="7">
        <v>229.6</v>
      </c>
      <c r="O4459" s="7">
        <v>156.30000000000001</v>
      </c>
    </row>
    <row r="4460" spans="1:19" x14ac:dyDescent="0.2">
      <c r="A4460">
        <v>4459</v>
      </c>
      <c r="B4460" s="1">
        <v>40851</v>
      </c>
      <c r="C4460" t="s">
        <v>28</v>
      </c>
      <c r="D4460" s="7">
        <v>112</v>
      </c>
      <c r="E4460" s="7">
        <v>17</v>
      </c>
      <c r="F4460" s="7">
        <f t="shared" si="70"/>
        <v>6</v>
      </c>
      <c r="G4460" s="7" t="str">
        <f>LOOKUP(H4460,[1]startdates!$A$2:$A$10,[1]startdates!$B$2:$B$10)</f>
        <v>FMr</v>
      </c>
      <c r="H4460">
        <v>6</v>
      </c>
      <c r="I4460" s="7">
        <v>513.4</v>
      </c>
      <c r="K4460" s="7">
        <v>482</v>
      </c>
      <c r="L4460" s="7">
        <v>463.2</v>
      </c>
      <c r="M4460" s="7">
        <v>380.2</v>
      </c>
      <c r="N4460" s="7">
        <v>242.8</v>
      </c>
      <c r="O4460" s="7">
        <v>167.3</v>
      </c>
    </row>
    <row r="4461" spans="1:19" x14ac:dyDescent="0.2">
      <c r="A4461">
        <v>4460</v>
      </c>
      <c r="B4461" s="1">
        <v>40851</v>
      </c>
      <c r="C4461" t="s">
        <v>28</v>
      </c>
      <c r="D4461" s="7">
        <v>112</v>
      </c>
      <c r="E4461" s="7">
        <v>17</v>
      </c>
      <c r="F4461" s="7">
        <f t="shared" si="70"/>
        <v>6</v>
      </c>
      <c r="G4461" s="7" t="str">
        <f>LOOKUP(H4461,[1]startdates!$A$2:$A$10,[1]startdates!$B$2:$B$10)</f>
        <v>FMr</v>
      </c>
      <c r="H4461">
        <v>6</v>
      </c>
      <c r="I4461" s="7">
        <v>519.20000000000005</v>
      </c>
      <c r="K4461" s="7">
        <v>469.5</v>
      </c>
      <c r="L4461" s="7">
        <v>461.8</v>
      </c>
      <c r="M4461" s="7">
        <v>297.39999999999998</v>
      </c>
      <c r="N4461" s="7">
        <v>192.1</v>
      </c>
      <c r="O4461" s="7">
        <v>188.2</v>
      </c>
    </row>
    <row r="4462" spans="1:19" x14ac:dyDescent="0.2">
      <c r="A4462">
        <v>4461</v>
      </c>
      <c r="B4462" s="1">
        <v>40851</v>
      </c>
      <c r="C4462" t="s">
        <v>28</v>
      </c>
      <c r="D4462" s="7">
        <v>112</v>
      </c>
      <c r="E4462" s="7">
        <v>17</v>
      </c>
      <c r="F4462" s="7">
        <f t="shared" si="70"/>
        <v>6</v>
      </c>
      <c r="G4462" s="7" t="str">
        <f>LOOKUP(H4462,[1]startdates!$A$2:$A$10,[1]startdates!$B$2:$B$10)</f>
        <v>FMr</v>
      </c>
      <c r="H4462">
        <v>6</v>
      </c>
      <c r="I4462" s="7">
        <v>472.4</v>
      </c>
      <c r="L4462" s="7">
        <v>404.5</v>
      </c>
      <c r="M4462" s="7">
        <v>300.5</v>
      </c>
      <c r="N4462" s="7">
        <v>216.8</v>
      </c>
      <c r="O4462" s="7">
        <v>162.19999999999999</v>
      </c>
    </row>
    <row r="4463" spans="1:19" x14ac:dyDescent="0.2">
      <c r="A4463">
        <v>4462</v>
      </c>
      <c r="B4463" s="1">
        <v>40851</v>
      </c>
      <c r="C4463" t="s">
        <v>28</v>
      </c>
      <c r="D4463" s="7">
        <v>112</v>
      </c>
      <c r="E4463" s="7">
        <v>17</v>
      </c>
      <c r="F4463" s="7">
        <f t="shared" si="70"/>
        <v>6</v>
      </c>
      <c r="G4463" s="7" t="str">
        <f>LOOKUP(H4463,[1]startdates!$A$2:$A$10,[1]startdates!$B$2:$B$10)</f>
        <v>FMr</v>
      </c>
      <c r="H4463">
        <v>6</v>
      </c>
      <c r="I4463" s="7">
        <v>530.5</v>
      </c>
      <c r="M4463" s="7">
        <v>357.4</v>
      </c>
      <c r="N4463" s="7">
        <v>279.89999999999998</v>
      </c>
      <c r="O4463" s="7">
        <v>168</v>
      </c>
    </row>
    <row r="4464" spans="1:19" x14ac:dyDescent="0.2">
      <c r="A4464">
        <v>4463</v>
      </c>
      <c r="B4464" s="1">
        <v>40851</v>
      </c>
      <c r="C4464" t="s">
        <v>28</v>
      </c>
      <c r="D4464" s="7">
        <v>112</v>
      </c>
      <c r="E4464" s="7">
        <v>17</v>
      </c>
      <c r="F4464" s="7">
        <f t="shared" si="70"/>
        <v>6</v>
      </c>
      <c r="G4464" s="7" t="str">
        <f>LOOKUP(H4464,[1]startdates!$A$2:$A$10,[1]startdates!$B$2:$B$10)</f>
        <v>FMr</v>
      </c>
      <c r="H4464">
        <v>6</v>
      </c>
      <c r="I4464" s="7">
        <v>603</v>
      </c>
      <c r="M4464" s="7">
        <v>384.4</v>
      </c>
      <c r="N4464" s="7">
        <v>181</v>
      </c>
    </row>
    <row r="4465" spans="1:19" x14ac:dyDescent="0.2">
      <c r="A4465">
        <v>4464</v>
      </c>
      <c r="B4465" s="1">
        <v>40851</v>
      </c>
      <c r="C4465" t="s">
        <v>28</v>
      </c>
      <c r="D4465" s="7">
        <v>112</v>
      </c>
      <c r="E4465" s="7">
        <v>17</v>
      </c>
      <c r="F4465" s="7">
        <f t="shared" si="70"/>
        <v>6</v>
      </c>
      <c r="G4465" s="7" t="str">
        <f>LOOKUP(H4465,[1]startdates!$A$2:$A$10,[1]startdates!$B$2:$B$10)</f>
        <v>FMr</v>
      </c>
      <c r="H4465">
        <v>6</v>
      </c>
      <c r="I4465" s="7">
        <v>491.9</v>
      </c>
      <c r="M4465" s="7">
        <v>375.6</v>
      </c>
    </row>
    <row r="4466" spans="1:19" x14ac:dyDescent="0.2">
      <c r="A4466">
        <v>4465</v>
      </c>
      <c r="B4466" s="1">
        <v>40851</v>
      </c>
      <c r="C4466" t="s">
        <v>28</v>
      </c>
      <c r="D4466" s="7">
        <v>112</v>
      </c>
      <c r="E4466" s="7">
        <v>17</v>
      </c>
      <c r="F4466" s="7">
        <f t="shared" si="70"/>
        <v>6</v>
      </c>
      <c r="G4466" s="7" t="str">
        <f>LOOKUP(H4466,[1]startdates!$A$2:$A$10,[1]startdates!$B$2:$B$10)</f>
        <v>FMr</v>
      </c>
      <c r="H4466">
        <v>6</v>
      </c>
      <c r="I4466" s="7">
        <v>572.70000000000005</v>
      </c>
    </row>
    <row r="4467" spans="1:19" x14ac:dyDescent="0.2">
      <c r="A4467">
        <v>4466</v>
      </c>
      <c r="B4467" s="1">
        <v>40851</v>
      </c>
      <c r="C4467" t="s">
        <v>24</v>
      </c>
      <c r="D4467" s="7">
        <v>112</v>
      </c>
      <c r="E4467" s="7">
        <v>17</v>
      </c>
      <c r="F4467" s="7">
        <f t="shared" si="70"/>
        <v>6</v>
      </c>
      <c r="G4467" s="7" t="str">
        <f>LOOKUP(H4467,[1]startdates!$A$2:$A$10,[1]startdates!$B$2:$B$10)</f>
        <v>FMr</v>
      </c>
      <c r="H4467">
        <v>7</v>
      </c>
      <c r="I4467" s="7">
        <v>562.4</v>
      </c>
      <c r="J4467" s="7">
        <v>446.1</v>
      </c>
      <c r="K4467" s="7">
        <v>505.5</v>
      </c>
      <c r="L4467" s="7">
        <v>372.8</v>
      </c>
      <c r="M4467" s="7">
        <v>325.5</v>
      </c>
      <c r="N4467" s="7">
        <v>214</v>
      </c>
      <c r="O4467" s="7">
        <v>178.6</v>
      </c>
      <c r="P4467" s="7">
        <v>422.1</v>
      </c>
      <c r="R4467" s="7">
        <v>266</v>
      </c>
    </row>
    <row r="4468" spans="1:19" x14ac:dyDescent="0.2">
      <c r="A4468">
        <v>4467</v>
      </c>
      <c r="B4468" s="1">
        <v>40851</v>
      </c>
      <c r="C4468" t="s">
        <v>24</v>
      </c>
      <c r="D4468" s="7">
        <v>112</v>
      </c>
      <c r="E4468" s="7">
        <v>17</v>
      </c>
      <c r="F4468" s="7">
        <f t="shared" si="70"/>
        <v>6</v>
      </c>
      <c r="G4468" s="7" t="str">
        <f>LOOKUP(H4468,[1]startdates!$A$2:$A$10,[1]startdates!$B$2:$B$10)</f>
        <v>FMr</v>
      </c>
      <c r="H4468">
        <v>7</v>
      </c>
      <c r="I4468" s="7">
        <v>532.1</v>
      </c>
      <c r="J4468" s="7">
        <v>414.6</v>
      </c>
      <c r="K4468" s="7">
        <v>489.1</v>
      </c>
      <c r="L4468" s="7">
        <v>419.2</v>
      </c>
      <c r="M4468" s="7">
        <v>281.2</v>
      </c>
      <c r="N4468" s="7">
        <v>194.4</v>
      </c>
      <c r="O4468" s="7">
        <v>168.9</v>
      </c>
      <c r="P4468" s="7">
        <v>412.6</v>
      </c>
      <c r="R4468" s="7">
        <v>227.2</v>
      </c>
    </row>
    <row r="4469" spans="1:19" x14ac:dyDescent="0.2">
      <c r="A4469">
        <v>4468</v>
      </c>
      <c r="B4469" s="1">
        <v>40851</v>
      </c>
      <c r="C4469" t="s">
        <v>24</v>
      </c>
      <c r="D4469" s="7">
        <v>112</v>
      </c>
      <c r="E4469" s="7">
        <v>17</v>
      </c>
      <c r="F4469" s="7">
        <f t="shared" si="70"/>
        <v>6</v>
      </c>
      <c r="G4469" s="7" t="str">
        <f>LOOKUP(H4469,[1]startdates!$A$2:$A$10,[1]startdates!$B$2:$B$10)</f>
        <v>FMr</v>
      </c>
      <c r="H4469">
        <v>7</v>
      </c>
      <c r="I4469" s="7">
        <v>523.5</v>
      </c>
      <c r="K4469" s="7">
        <v>373.5</v>
      </c>
      <c r="L4469" s="7">
        <v>374.3</v>
      </c>
      <c r="M4469" s="7">
        <v>281.60000000000002</v>
      </c>
      <c r="N4469" s="7">
        <v>182.5</v>
      </c>
      <c r="O4469" s="7">
        <v>151</v>
      </c>
    </row>
    <row r="4470" spans="1:19" x14ac:dyDescent="0.2">
      <c r="A4470">
        <v>4469</v>
      </c>
      <c r="B4470" s="1">
        <v>40851</v>
      </c>
      <c r="C4470" t="s">
        <v>24</v>
      </c>
      <c r="D4470" s="7">
        <v>112</v>
      </c>
      <c r="E4470" s="7">
        <v>17</v>
      </c>
      <c r="F4470" s="7">
        <f t="shared" si="70"/>
        <v>6</v>
      </c>
      <c r="G4470" s="7" t="str">
        <f>LOOKUP(H4470,[1]startdates!$A$2:$A$10,[1]startdates!$B$2:$B$10)</f>
        <v>FMr</v>
      </c>
      <c r="H4470">
        <v>7</v>
      </c>
      <c r="I4470" s="7">
        <v>576.29999999999995</v>
      </c>
      <c r="K4470" s="7">
        <v>484</v>
      </c>
      <c r="L4470" s="7">
        <v>447.2</v>
      </c>
      <c r="M4470" s="7">
        <v>272.2</v>
      </c>
      <c r="N4470" s="7">
        <v>171.3</v>
      </c>
      <c r="O4470" s="7">
        <v>157.30000000000001</v>
      </c>
    </row>
    <row r="4471" spans="1:19" x14ac:dyDescent="0.2">
      <c r="A4471">
        <v>4470</v>
      </c>
      <c r="B4471" s="1">
        <v>40851</v>
      </c>
      <c r="C4471" t="s">
        <v>24</v>
      </c>
      <c r="D4471" s="7">
        <v>112</v>
      </c>
      <c r="E4471" s="7">
        <v>17</v>
      </c>
      <c r="F4471" s="7">
        <f t="shared" si="70"/>
        <v>6</v>
      </c>
      <c r="G4471" s="7" t="str">
        <f>LOOKUP(H4471,[1]startdates!$A$2:$A$10,[1]startdates!$B$2:$B$10)</f>
        <v>FMr</v>
      </c>
      <c r="H4471">
        <v>7</v>
      </c>
      <c r="I4471" s="7">
        <v>592</v>
      </c>
      <c r="K4471" s="7">
        <v>470.9</v>
      </c>
      <c r="M4471" s="7">
        <v>285.89999999999998</v>
      </c>
      <c r="N4471" s="7">
        <v>177.3</v>
      </c>
      <c r="O4471" s="7">
        <v>146.6</v>
      </c>
    </row>
    <row r="4472" spans="1:19" x14ac:dyDescent="0.2">
      <c r="A4472">
        <v>4471</v>
      </c>
      <c r="B4472" s="1">
        <v>40851</v>
      </c>
      <c r="C4472" t="s">
        <v>24</v>
      </c>
      <c r="D4472" s="7">
        <v>112</v>
      </c>
      <c r="E4472" s="7">
        <v>17</v>
      </c>
      <c r="F4472" s="7">
        <f t="shared" si="70"/>
        <v>6</v>
      </c>
      <c r="G4472" s="7" t="str">
        <f>LOOKUP(H4472,[1]startdates!$A$2:$A$10,[1]startdates!$B$2:$B$10)</f>
        <v>FMr</v>
      </c>
      <c r="H4472">
        <v>7</v>
      </c>
      <c r="I4472" s="7">
        <v>490.4</v>
      </c>
      <c r="K4472" s="7">
        <v>444.1</v>
      </c>
      <c r="M4472" s="7">
        <v>288</v>
      </c>
      <c r="N4472" s="7">
        <v>220.2</v>
      </c>
      <c r="O4472" s="7">
        <v>175.6</v>
      </c>
    </row>
    <row r="4473" spans="1:19" x14ac:dyDescent="0.2">
      <c r="A4473">
        <v>4472</v>
      </c>
      <c r="B4473" s="1">
        <v>40851</v>
      </c>
      <c r="C4473" t="s">
        <v>24</v>
      </c>
      <c r="D4473" s="7">
        <v>112</v>
      </c>
      <c r="E4473" s="7">
        <v>17</v>
      </c>
      <c r="F4473" s="7">
        <f t="shared" si="70"/>
        <v>6</v>
      </c>
      <c r="G4473" s="7" t="str">
        <f>LOOKUP(H4473,[1]startdates!$A$2:$A$10,[1]startdates!$B$2:$B$10)</f>
        <v>FMr</v>
      </c>
      <c r="H4473">
        <v>7</v>
      </c>
      <c r="I4473" s="7">
        <v>577.70000000000005</v>
      </c>
      <c r="M4473" s="7">
        <v>263.10000000000002</v>
      </c>
      <c r="N4473" s="7">
        <v>212.4</v>
      </c>
      <c r="O4473" s="7">
        <v>170</v>
      </c>
    </row>
    <row r="4474" spans="1:19" x14ac:dyDescent="0.2">
      <c r="A4474">
        <v>4473</v>
      </c>
      <c r="B4474" s="1">
        <v>40851</v>
      </c>
      <c r="C4474" t="s">
        <v>24</v>
      </c>
      <c r="D4474" s="7">
        <v>112</v>
      </c>
      <c r="E4474" s="7">
        <v>17</v>
      </c>
      <c r="F4474" s="7">
        <f t="shared" si="70"/>
        <v>6</v>
      </c>
      <c r="G4474" s="7" t="str">
        <f>LOOKUP(H4474,[1]startdates!$A$2:$A$10,[1]startdates!$B$2:$B$10)</f>
        <v>FMr</v>
      </c>
      <c r="H4474">
        <v>7</v>
      </c>
      <c r="I4474" s="7">
        <v>666.5</v>
      </c>
      <c r="N4474" s="7">
        <v>197.6</v>
      </c>
      <c r="O4474" s="7">
        <v>154.69999999999999</v>
      </c>
    </row>
    <row r="4475" spans="1:19" x14ac:dyDescent="0.2">
      <c r="A4475">
        <v>4474</v>
      </c>
      <c r="B4475" s="1">
        <v>40851</v>
      </c>
      <c r="C4475" t="s">
        <v>24</v>
      </c>
      <c r="D4475" s="7">
        <v>112</v>
      </c>
      <c r="E4475" s="7">
        <v>17</v>
      </c>
      <c r="F4475" s="7">
        <f t="shared" si="70"/>
        <v>6</v>
      </c>
      <c r="G4475" s="7" t="str">
        <f>LOOKUP(H4475,[1]startdates!$A$2:$A$10,[1]startdates!$B$2:$B$10)</f>
        <v>FMr</v>
      </c>
      <c r="H4475">
        <v>7</v>
      </c>
      <c r="I4475" s="7">
        <v>616.4</v>
      </c>
      <c r="N4475" s="7">
        <v>214</v>
      </c>
      <c r="O4475" s="7">
        <v>171.9</v>
      </c>
    </row>
    <row r="4476" spans="1:19" x14ac:dyDescent="0.2">
      <c r="A4476">
        <v>4475</v>
      </c>
      <c r="B4476" s="1">
        <v>40851</v>
      </c>
      <c r="C4476" t="s">
        <v>24</v>
      </c>
      <c r="D4476" s="7">
        <v>112</v>
      </c>
      <c r="E4476" s="7">
        <v>17</v>
      </c>
      <c r="F4476" s="7">
        <f t="shared" si="70"/>
        <v>6</v>
      </c>
      <c r="G4476" s="7" t="str">
        <f>LOOKUP(H4476,[1]startdates!$A$2:$A$10,[1]startdates!$B$2:$B$10)</f>
        <v>FMr</v>
      </c>
      <c r="H4476">
        <v>7</v>
      </c>
      <c r="I4476" s="7">
        <v>534.79999999999995</v>
      </c>
      <c r="N4476" s="7">
        <v>182.2</v>
      </c>
      <c r="O4476" s="7">
        <v>171.7</v>
      </c>
    </row>
    <row r="4477" spans="1:19" x14ac:dyDescent="0.2">
      <c r="A4477">
        <v>4476</v>
      </c>
      <c r="B4477" s="1">
        <v>40851</v>
      </c>
      <c r="C4477" t="s">
        <v>24</v>
      </c>
      <c r="D4477" s="7">
        <v>112</v>
      </c>
      <c r="E4477" s="7">
        <v>17</v>
      </c>
      <c r="F4477" s="7">
        <f t="shared" si="70"/>
        <v>6</v>
      </c>
      <c r="G4477" s="7" t="str">
        <f>LOOKUP(H4477,[1]startdates!$A$2:$A$10,[1]startdates!$B$2:$B$10)</f>
        <v>FMr</v>
      </c>
      <c r="H4477">
        <v>7</v>
      </c>
      <c r="I4477" s="7">
        <v>542.1</v>
      </c>
      <c r="N4477" s="7">
        <v>234.5</v>
      </c>
    </row>
    <row r="4478" spans="1:19" x14ac:dyDescent="0.2">
      <c r="A4478">
        <v>4477</v>
      </c>
      <c r="B4478" s="1">
        <v>40851</v>
      </c>
      <c r="C4478" t="s">
        <v>28</v>
      </c>
      <c r="D4478" s="7">
        <v>112</v>
      </c>
      <c r="E4478" s="7">
        <v>17</v>
      </c>
      <c r="F4478" s="7">
        <f t="shared" si="70"/>
        <v>6</v>
      </c>
      <c r="G4478" s="7" t="str">
        <f>LOOKUP(H4478,[1]startdates!$A$2:$A$10,[1]startdates!$B$2:$B$10)</f>
        <v>C</v>
      </c>
      <c r="H4478">
        <v>8</v>
      </c>
      <c r="I4478" s="7">
        <v>708.2</v>
      </c>
      <c r="J4478" s="7">
        <v>559.6</v>
      </c>
      <c r="K4478" s="7">
        <v>654.70000000000005</v>
      </c>
      <c r="L4478" s="7">
        <v>457.3</v>
      </c>
      <c r="M4478" s="7">
        <v>302.60000000000002</v>
      </c>
      <c r="N4478" s="7">
        <v>214.3</v>
      </c>
      <c r="O4478" s="7">
        <v>165</v>
      </c>
      <c r="P4478" s="7">
        <v>426.8</v>
      </c>
      <c r="S4478" s="7">
        <v>264.5</v>
      </c>
    </row>
    <row r="4479" spans="1:19" x14ac:dyDescent="0.2">
      <c r="A4479">
        <v>4478</v>
      </c>
      <c r="B4479" s="1">
        <v>40851</v>
      </c>
      <c r="C4479" t="s">
        <v>28</v>
      </c>
      <c r="D4479" s="7">
        <v>112</v>
      </c>
      <c r="E4479" s="7">
        <v>17</v>
      </c>
      <c r="F4479" s="7">
        <f t="shared" si="70"/>
        <v>6</v>
      </c>
      <c r="G4479" s="7" t="str">
        <f>LOOKUP(H4479,[1]startdates!$A$2:$A$10,[1]startdates!$B$2:$B$10)</f>
        <v>C</v>
      </c>
      <c r="H4479">
        <v>8</v>
      </c>
      <c r="I4479" s="7">
        <v>659</v>
      </c>
      <c r="J4479" s="7">
        <v>497.4</v>
      </c>
      <c r="K4479" s="7">
        <v>553.20000000000005</v>
      </c>
      <c r="L4479" s="7">
        <v>402</v>
      </c>
      <c r="M4479" s="7">
        <v>309.89999999999998</v>
      </c>
      <c r="N4479" s="7">
        <v>251.3</v>
      </c>
      <c r="O4479" s="7">
        <v>154.19999999999999</v>
      </c>
      <c r="S4479" s="7">
        <v>260.39999999999998</v>
      </c>
    </row>
    <row r="4480" spans="1:19" x14ac:dyDescent="0.2">
      <c r="A4480">
        <v>4479</v>
      </c>
      <c r="B4480" s="1">
        <v>40851</v>
      </c>
      <c r="C4480" t="s">
        <v>28</v>
      </c>
      <c r="D4480" s="7">
        <v>112</v>
      </c>
      <c r="E4480" s="7">
        <v>17</v>
      </c>
      <c r="F4480" s="7">
        <f t="shared" si="70"/>
        <v>6</v>
      </c>
      <c r="G4480" s="7" t="str">
        <f>LOOKUP(H4480,[1]startdates!$A$2:$A$10,[1]startdates!$B$2:$B$10)</f>
        <v>C</v>
      </c>
      <c r="H4480">
        <v>8</v>
      </c>
      <c r="I4480" s="7">
        <v>695.5</v>
      </c>
      <c r="J4480" s="7">
        <v>502.3</v>
      </c>
      <c r="K4480" s="7">
        <v>500.1</v>
      </c>
      <c r="L4480" s="7">
        <v>390.8</v>
      </c>
      <c r="M4480" s="7">
        <v>297.39999999999998</v>
      </c>
      <c r="N4480" s="7">
        <v>175</v>
      </c>
      <c r="O4480" s="7">
        <v>170.2</v>
      </c>
      <c r="S4480" s="7">
        <v>272.5</v>
      </c>
    </row>
    <row r="4481" spans="1:19" x14ac:dyDescent="0.2">
      <c r="A4481">
        <v>4480</v>
      </c>
      <c r="B4481" s="1">
        <v>40851</v>
      </c>
      <c r="C4481" t="s">
        <v>28</v>
      </c>
      <c r="D4481" s="7">
        <v>112</v>
      </c>
      <c r="E4481" s="7">
        <v>17</v>
      </c>
      <c r="F4481" s="7">
        <f t="shared" si="70"/>
        <v>6</v>
      </c>
      <c r="G4481" s="7" t="str">
        <f>LOOKUP(H4481,[1]startdates!$A$2:$A$10,[1]startdates!$B$2:$B$10)</f>
        <v>C</v>
      </c>
      <c r="H4481">
        <v>8</v>
      </c>
      <c r="I4481" s="7">
        <v>659.3</v>
      </c>
      <c r="J4481" s="7">
        <v>556.20000000000005</v>
      </c>
      <c r="K4481" s="7">
        <v>654.70000000000005</v>
      </c>
      <c r="L4481" s="7">
        <v>451.3</v>
      </c>
      <c r="M4481" s="7">
        <v>324</v>
      </c>
      <c r="N4481" s="7">
        <v>253.6</v>
      </c>
      <c r="O4481" s="7">
        <v>172.1</v>
      </c>
      <c r="S4481" s="7">
        <v>228.7</v>
      </c>
    </row>
    <row r="4482" spans="1:19" x14ac:dyDescent="0.2">
      <c r="A4482">
        <v>4481</v>
      </c>
      <c r="B4482" s="1">
        <v>40851</v>
      </c>
      <c r="C4482" t="s">
        <v>28</v>
      </c>
      <c r="D4482" s="7">
        <v>112</v>
      </c>
      <c r="E4482" s="7">
        <v>17</v>
      </c>
      <c r="F4482" s="7">
        <f t="shared" si="70"/>
        <v>6</v>
      </c>
      <c r="G4482" s="7" t="str">
        <f>LOOKUP(H4482,[1]startdates!$A$2:$A$10,[1]startdates!$B$2:$B$10)</f>
        <v>C</v>
      </c>
      <c r="H4482">
        <v>8</v>
      </c>
      <c r="I4482" s="7">
        <v>643.9</v>
      </c>
      <c r="J4482" s="7">
        <v>529</v>
      </c>
      <c r="K4482" s="7">
        <v>553.20000000000005</v>
      </c>
      <c r="M4482" s="7">
        <v>351.7</v>
      </c>
      <c r="N4482" s="7">
        <v>266.60000000000002</v>
      </c>
      <c r="O4482" s="7">
        <v>146.6</v>
      </c>
      <c r="S4482" s="7">
        <v>231</v>
      </c>
    </row>
    <row r="4483" spans="1:19" x14ac:dyDescent="0.2">
      <c r="A4483">
        <v>4482</v>
      </c>
      <c r="B4483" s="1">
        <v>40851</v>
      </c>
      <c r="C4483" t="s">
        <v>28</v>
      </c>
      <c r="D4483" s="7">
        <v>112</v>
      </c>
      <c r="E4483" s="7">
        <v>17</v>
      </c>
      <c r="F4483" s="7">
        <f t="shared" si="70"/>
        <v>6</v>
      </c>
      <c r="G4483" s="7" t="str">
        <f>LOOKUP(H4483,[1]startdates!$A$2:$A$10,[1]startdates!$B$2:$B$10)</f>
        <v>C</v>
      </c>
      <c r="H4483">
        <v>8</v>
      </c>
      <c r="I4483" s="7">
        <v>736.4</v>
      </c>
      <c r="J4483" s="7">
        <v>533.20000000000005</v>
      </c>
      <c r="K4483" s="7">
        <v>500.1</v>
      </c>
      <c r="M4483" s="7">
        <v>367.5</v>
      </c>
      <c r="N4483" s="7">
        <v>210.4</v>
      </c>
      <c r="O4483" s="7">
        <v>169.7</v>
      </c>
      <c r="S4483" s="7">
        <v>293.2</v>
      </c>
    </row>
    <row r="4484" spans="1:19" x14ac:dyDescent="0.2">
      <c r="A4484">
        <v>4483</v>
      </c>
      <c r="B4484" s="1">
        <v>40851</v>
      </c>
      <c r="C4484" t="s">
        <v>28</v>
      </c>
      <c r="D4484" s="7">
        <v>112</v>
      </c>
      <c r="E4484" s="7">
        <v>17</v>
      </c>
      <c r="F4484" s="7">
        <f t="shared" si="70"/>
        <v>6</v>
      </c>
      <c r="G4484" s="7" t="str">
        <f>LOOKUP(H4484,[1]startdates!$A$2:$A$10,[1]startdates!$B$2:$B$10)</f>
        <v>C</v>
      </c>
      <c r="H4484">
        <v>8</v>
      </c>
      <c r="I4484" s="7">
        <v>638.29999999999995</v>
      </c>
      <c r="K4484" s="7">
        <v>582.9</v>
      </c>
      <c r="M4484" s="7">
        <v>327.8</v>
      </c>
      <c r="N4484" s="7">
        <v>233.1</v>
      </c>
      <c r="O4484" s="7">
        <v>155.30000000000001</v>
      </c>
      <c r="S4484" s="7">
        <v>208.4</v>
      </c>
    </row>
    <row r="4485" spans="1:19" x14ac:dyDescent="0.2">
      <c r="A4485">
        <v>4484</v>
      </c>
      <c r="B4485" s="1">
        <v>40851</v>
      </c>
      <c r="C4485" t="s">
        <v>28</v>
      </c>
      <c r="D4485" s="7">
        <v>112</v>
      </c>
      <c r="E4485" s="7">
        <v>17</v>
      </c>
      <c r="F4485" s="7">
        <f t="shared" si="70"/>
        <v>6</v>
      </c>
      <c r="G4485" s="7" t="str">
        <f>LOOKUP(H4485,[1]startdates!$A$2:$A$10,[1]startdates!$B$2:$B$10)</f>
        <v>C</v>
      </c>
      <c r="H4485">
        <v>8</v>
      </c>
      <c r="I4485" s="7">
        <v>631.4</v>
      </c>
      <c r="K4485" s="7">
        <v>545.1</v>
      </c>
      <c r="N4485" s="7">
        <v>214.7</v>
      </c>
      <c r="O4485" s="7">
        <v>148.19999999999999</v>
      </c>
      <c r="S4485" s="7">
        <v>290.2</v>
      </c>
    </row>
    <row r="4486" spans="1:19" x14ac:dyDescent="0.2">
      <c r="A4486">
        <v>4485</v>
      </c>
      <c r="B4486" s="1">
        <v>40851</v>
      </c>
      <c r="C4486" t="s">
        <v>28</v>
      </c>
      <c r="D4486" s="7">
        <v>112</v>
      </c>
      <c r="E4486" s="7">
        <v>17</v>
      </c>
      <c r="F4486" s="7">
        <f t="shared" si="70"/>
        <v>6</v>
      </c>
      <c r="G4486" s="7" t="str">
        <f>LOOKUP(H4486,[1]startdates!$A$2:$A$10,[1]startdates!$B$2:$B$10)</f>
        <v>C</v>
      </c>
      <c r="H4486">
        <v>8</v>
      </c>
      <c r="I4486" s="7">
        <v>612.70000000000005</v>
      </c>
      <c r="K4486" s="7">
        <v>653.70000000000005</v>
      </c>
      <c r="N4486" s="7">
        <v>253.8</v>
      </c>
      <c r="O4486" s="7">
        <v>165</v>
      </c>
      <c r="S4486" s="7">
        <v>260.8</v>
      </c>
    </row>
    <row r="4487" spans="1:19" x14ac:dyDescent="0.2">
      <c r="A4487">
        <v>4486</v>
      </c>
      <c r="B4487" s="1">
        <v>40851</v>
      </c>
      <c r="C4487" t="s">
        <v>28</v>
      </c>
      <c r="D4487" s="7">
        <v>112</v>
      </c>
      <c r="E4487" s="7">
        <v>17</v>
      </c>
      <c r="F4487" s="7">
        <f t="shared" si="70"/>
        <v>6</v>
      </c>
      <c r="G4487" s="7" t="str">
        <f>LOOKUP(H4487,[1]startdates!$A$2:$A$10,[1]startdates!$B$2:$B$10)</f>
        <v>C</v>
      </c>
      <c r="H4487">
        <v>8</v>
      </c>
      <c r="I4487" s="7">
        <v>591.29999999999995</v>
      </c>
      <c r="K4487" s="7">
        <v>535.5</v>
      </c>
      <c r="N4487" s="7">
        <v>239.6</v>
      </c>
      <c r="O4487" s="7">
        <v>147.30000000000001</v>
      </c>
    </row>
    <row r="4488" spans="1:19" x14ac:dyDescent="0.2">
      <c r="A4488">
        <v>4487</v>
      </c>
      <c r="B4488" s="1">
        <v>40851</v>
      </c>
      <c r="C4488" t="s">
        <v>28</v>
      </c>
      <c r="D4488" s="7">
        <v>112</v>
      </c>
      <c r="E4488" s="7">
        <v>17</v>
      </c>
      <c r="F4488" s="7">
        <f t="shared" si="70"/>
        <v>6</v>
      </c>
      <c r="G4488" s="7" t="str">
        <f>LOOKUP(H4488,[1]startdates!$A$2:$A$10,[1]startdates!$B$2:$B$10)</f>
        <v>C</v>
      </c>
      <c r="H4488">
        <v>8</v>
      </c>
      <c r="I4488" s="7">
        <v>658</v>
      </c>
    </row>
    <row r="4489" spans="1:19" x14ac:dyDescent="0.2">
      <c r="A4489">
        <v>4488</v>
      </c>
      <c r="B4489" s="1">
        <v>40851</v>
      </c>
      <c r="C4489" t="s">
        <v>28</v>
      </c>
      <c r="D4489" s="7">
        <v>112</v>
      </c>
      <c r="E4489" s="7">
        <v>17</v>
      </c>
      <c r="F4489" s="7">
        <f t="shared" si="70"/>
        <v>6</v>
      </c>
      <c r="G4489" s="7" t="str">
        <f>LOOKUP(H4489,[1]startdates!$A$2:$A$10,[1]startdates!$B$2:$B$10)</f>
        <v>C</v>
      </c>
      <c r="H4489">
        <v>8</v>
      </c>
      <c r="I4489" s="7">
        <v>679.5</v>
      </c>
    </row>
    <row r="4490" spans="1:19" x14ac:dyDescent="0.2">
      <c r="A4490">
        <v>4489</v>
      </c>
      <c r="B4490" s="1">
        <v>40851</v>
      </c>
      <c r="C4490" t="s">
        <v>28</v>
      </c>
      <c r="D4490" s="7">
        <v>112</v>
      </c>
      <c r="E4490" s="7">
        <v>17</v>
      </c>
      <c r="F4490" s="7">
        <f t="shared" si="70"/>
        <v>6</v>
      </c>
      <c r="G4490" s="7" t="str">
        <f>LOOKUP(H4490,[1]startdates!$A$2:$A$10,[1]startdates!$B$2:$B$10)</f>
        <v>C</v>
      </c>
      <c r="H4490">
        <v>8</v>
      </c>
      <c r="I4490" s="7">
        <v>709.8</v>
      </c>
    </row>
    <row r="4491" spans="1:19" x14ac:dyDescent="0.2">
      <c r="A4491">
        <v>4490</v>
      </c>
      <c r="B4491" s="1">
        <v>40851</v>
      </c>
      <c r="C4491" t="s">
        <v>28</v>
      </c>
      <c r="D4491" s="7">
        <v>112</v>
      </c>
      <c r="E4491" s="7">
        <v>17</v>
      </c>
      <c r="F4491" s="7">
        <f t="shared" si="70"/>
        <v>6</v>
      </c>
      <c r="G4491" s="7" t="str">
        <f>LOOKUP(H4491,[1]startdates!$A$2:$A$10,[1]startdates!$B$2:$B$10)</f>
        <v>C</v>
      </c>
      <c r="H4491">
        <v>8</v>
      </c>
      <c r="I4491" s="7">
        <v>654.1</v>
      </c>
    </row>
    <row r="4492" spans="1:19" x14ac:dyDescent="0.2">
      <c r="A4492">
        <v>4491</v>
      </c>
      <c r="B4492" s="1">
        <v>40851</v>
      </c>
      <c r="C4492" t="s">
        <v>28</v>
      </c>
      <c r="D4492" s="7">
        <v>112</v>
      </c>
      <c r="E4492" s="7">
        <v>17</v>
      </c>
      <c r="F4492" s="7">
        <f t="shared" si="70"/>
        <v>6</v>
      </c>
      <c r="G4492" s="7" t="str">
        <f>LOOKUP(H4492,[1]startdates!$A$2:$A$10,[1]startdates!$B$2:$B$10)</f>
        <v>C</v>
      </c>
      <c r="H4492">
        <v>8</v>
      </c>
      <c r="I4492" s="7">
        <v>725.4</v>
      </c>
    </row>
    <row r="4493" spans="1:19" x14ac:dyDescent="0.2">
      <c r="A4493">
        <v>4492</v>
      </c>
      <c r="B4493" s="1">
        <v>40851</v>
      </c>
      <c r="C4493" t="s">
        <v>28</v>
      </c>
      <c r="D4493" s="7">
        <v>112</v>
      </c>
      <c r="E4493" s="7">
        <v>17</v>
      </c>
      <c r="F4493" s="7">
        <f t="shared" si="70"/>
        <v>6</v>
      </c>
      <c r="G4493" s="7" t="str">
        <f>LOOKUP(H4493,[1]startdates!$A$2:$A$10,[1]startdates!$B$2:$B$10)</f>
        <v>C</v>
      </c>
      <c r="H4493">
        <v>8</v>
      </c>
      <c r="I4493" s="7">
        <v>674.6</v>
      </c>
    </row>
    <row r="4494" spans="1:19" x14ac:dyDescent="0.2">
      <c r="A4494">
        <v>4493</v>
      </c>
      <c r="B4494" s="1">
        <v>40851</v>
      </c>
      <c r="C4494" t="s">
        <v>28</v>
      </c>
      <c r="D4494" s="7">
        <v>112</v>
      </c>
      <c r="E4494" s="7">
        <v>17</v>
      </c>
      <c r="F4494" s="7">
        <f t="shared" si="70"/>
        <v>6</v>
      </c>
      <c r="G4494" s="7" t="str">
        <f>LOOKUP(H4494,[1]startdates!$A$2:$A$10,[1]startdates!$B$2:$B$10)</f>
        <v>FMr</v>
      </c>
      <c r="H4494">
        <v>9</v>
      </c>
      <c r="I4494" s="7">
        <v>515.5</v>
      </c>
      <c r="K4494" s="7">
        <v>560.6</v>
      </c>
      <c r="L4494" s="7">
        <v>409.4</v>
      </c>
      <c r="M4494" s="7">
        <v>387</v>
      </c>
      <c r="N4494" s="7">
        <v>269.10000000000002</v>
      </c>
      <c r="O4494" s="7">
        <v>169.7</v>
      </c>
      <c r="R4494" s="7">
        <v>283.89999999999998</v>
      </c>
      <c r="S4494" s="7">
        <v>288.10000000000002</v>
      </c>
    </row>
    <row r="4495" spans="1:19" x14ac:dyDescent="0.2">
      <c r="A4495">
        <v>4494</v>
      </c>
      <c r="B4495" s="1">
        <v>40851</v>
      </c>
      <c r="C4495" t="s">
        <v>28</v>
      </c>
      <c r="D4495" s="7">
        <v>112</v>
      </c>
      <c r="E4495" s="7">
        <v>17</v>
      </c>
      <c r="F4495" s="7">
        <f t="shared" si="70"/>
        <v>6</v>
      </c>
      <c r="G4495" s="7" t="str">
        <f>LOOKUP(H4495,[1]startdates!$A$2:$A$10,[1]startdates!$B$2:$B$10)</f>
        <v>FMr</v>
      </c>
      <c r="H4495">
        <v>9</v>
      </c>
      <c r="I4495" s="7">
        <v>572.4</v>
      </c>
      <c r="K4495" s="7">
        <v>453.1</v>
      </c>
      <c r="L4495" s="7">
        <v>399.5</v>
      </c>
      <c r="M4495" s="7">
        <v>386.6</v>
      </c>
      <c r="N4495" s="7">
        <v>265.5</v>
      </c>
      <c r="O4495" s="7">
        <v>169.6</v>
      </c>
    </row>
    <row r="4496" spans="1:19" x14ac:dyDescent="0.2">
      <c r="A4496">
        <v>4495</v>
      </c>
      <c r="B4496" s="1">
        <v>40851</v>
      </c>
      <c r="C4496" t="s">
        <v>28</v>
      </c>
      <c r="D4496" s="7">
        <v>112</v>
      </c>
      <c r="E4496" s="7">
        <v>17</v>
      </c>
      <c r="F4496" s="7">
        <f t="shared" si="70"/>
        <v>6</v>
      </c>
      <c r="G4496" s="7" t="str">
        <f>LOOKUP(H4496,[1]startdates!$A$2:$A$10,[1]startdates!$B$2:$B$10)</f>
        <v>FMr</v>
      </c>
      <c r="H4496">
        <v>9</v>
      </c>
      <c r="I4496" s="7">
        <v>696.5</v>
      </c>
      <c r="K4496" s="7">
        <v>592.20000000000005</v>
      </c>
      <c r="L4496" s="7">
        <v>445.5</v>
      </c>
      <c r="M4496" s="7">
        <v>347</v>
      </c>
      <c r="N4496" s="7">
        <v>196.8</v>
      </c>
      <c r="O4496" s="7">
        <v>143.80000000000001</v>
      </c>
    </row>
    <row r="4497" spans="1:21" x14ac:dyDescent="0.2">
      <c r="A4497">
        <v>4496</v>
      </c>
      <c r="B4497" s="1">
        <v>40851</v>
      </c>
      <c r="C4497" t="s">
        <v>28</v>
      </c>
      <c r="D4497" s="7">
        <v>112</v>
      </c>
      <c r="E4497" s="7">
        <v>17</v>
      </c>
      <c r="F4497" s="7">
        <f t="shared" si="70"/>
        <v>6</v>
      </c>
      <c r="G4497" s="7" t="str">
        <f>LOOKUP(H4497,[1]startdates!$A$2:$A$10,[1]startdates!$B$2:$B$10)</f>
        <v>FMr</v>
      </c>
      <c r="H4497">
        <v>9</v>
      </c>
      <c r="I4497" s="7">
        <v>519.20000000000005</v>
      </c>
      <c r="K4497" s="7">
        <v>516.4</v>
      </c>
      <c r="M4497" s="7">
        <v>324.89999999999998</v>
      </c>
      <c r="N4497" s="7">
        <v>227.2</v>
      </c>
      <c r="O4497" s="7">
        <v>174.6</v>
      </c>
    </row>
    <row r="4498" spans="1:21" x14ac:dyDescent="0.2">
      <c r="A4498">
        <v>4497</v>
      </c>
      <c r="B4498" s="1">
        <v>40851</v>
      </c>
      <c r="C4498" t="s">
        <v>28</v>
      </c>
      <c r="D4498" s="7">
        <v>112</v>
      </c>
      <c r="E4498" s="7">
        <v>17</v>
      </c>
      <c r="F4498" s="7">
        <f t="shared" si="70"/>
        <v>6</v>
      </c>
      <c r="G4498" s="7" t="str">
        <f>LOOKUP(H4498,[1]startdates!$A$2:$A$10,[1]startdates!$B$2:$B$10)</f>
        <v>FMr</v>
      </c>
      <c r="H4498">
        <v>9</v>
      </c>
      <c r="I4498" s="7">
        <v>650.6</v>
      </c>
      <c r="K4498" s="7">
        <v>603.5</v>
      </c>
      <c r="M4498" s="7">
        <v>378.1</v>
      </c>
      <c r="N4498" s="7">
        <v>196.1</v>
      </c>
      <c r="O4498" s="7">
        <v>162.19999999999999</v>
      </c>
    </row>
    <row r="4499" spans="1:21" x14ac:dyDescent="0.2">
      <c r="A4499">
        <v>4498</v>
      </c>
      <c r="B4499" s="1">
        <v>40851</v>
      </c>
      <c r="C4499" t="s">
        <v>28</v>
      </c>
      <c r="D4499" s="7">
        <v>112</v>
      </c>
      <c r="E4499" s="7">
        <v>17</v>
      </c>
      <c r="F4499" s="7">
        <f t="shared" si="70"/>
        <v>6</v>
      </c>
      <c r="G4499" s="7" t="str">
        <f>LOOKUP(H4499,[1]startdates!$A$2:$A$10,[1]startdates!$B$2:$B$10)</f>
        <v>FMr</v>
      </c>
      <c r="H4499">
        <v>9</v>
      </c>
      <c r="I4499" s="7">
        <v>499.5</v>
      </c>
      <c r="K4499" s="7">
        <v>559.29999999999995</v>
      </c>
      <c r="M4499" s="7">
        <v>373.8</v>
      </c>
      <c r="N4499" s="7">
        <v>210.9</v>
      </c>
      <c r="O4499" s="7">
        <v>174.9</v>
      </c>
    </row>
    <row r="4500" spans="1:21" x14ac:dyDescent="0.2">
      <c r="A4500">
        <v>4499</v>
      </c>
      <c r="B4500" s="1">
        <v>40851</v>
      </c>
      <c r="C4500" t="s">
        <v>28</v>
      </c>
      <c r="D4500" s="7">
        <v>112</v>
      </c>
      <c r="E4500" s="7">
        <v>17</v>
      </c>
      <c r="F4500" s="7">
        <f t="shared" si="70"/>
        <v>6</v>
      </c>
      <c r="G4500" s="7" t="str">
        <f>LOOKUP(H4500,[1]startdates!$A$2:$A$10,[1]startdates!$B$2:$B$10)</f>
        <v>FMr</v>
      </c>
      <c r="H4500">
        <v>9</v>
      </c>
      <c r="I4500" s="7">
        <v>577.5</v>
      </c>
      <c r="K4500" s="7">
        <v>746</v>
      </c>
      <c r="M4500" s="7">
        <v>354.2</v>
      </c>
      <c r="N4500" s="7">
        <v>220.1</v>
      </c>
      <c r="O4500" s="7">
        <v>156.6</v>
      </c>
    </row>
    <row r="4501" spans="1:21" x14ac:dyDescent="0.2">
      <c r="A4501">
        <v>4500</v>
      </c>
      <c r="B4501" s="1">
        <v>40851</v>
      </c>
      <c r="C4501" t="s">
        <v>28</v>
      </c>
      <c r="D4501" s="7">
        <v>112</v>
      </c>
      <c r="E4501" s="7">
        <v>17</v>
      </c>
      <c r="F4501" s="7">
        <f t="shared" si="70"/>
        <v>6</v>
      </c>
      <c r="G4501" s="7" t="str">
        <f>LOOKUP(H4501,[1]startdates!$A$2:$A$10,[1]startdates!$B$2:$B$10)</f>
        <v>FMr</v>
      </c>
      <c r="H4501">
        <v>9</v>
      </c>
      <c r="I4501" s="7">
        <v>538.9</v>
      </c>
      <c r="K4501" s="7">
        <v>607.4</v>
      </c>
      <c r="M4501" s="7">
        <v>367.9</v>
      </c>
      <c r="N4501" s="7">
        <v>185.9</v>
      </c>
      <c r="O4501" s="7">
        <v>163</v>
      </c>
    </row>
    <row r="4502" spans="1:21" x14ac:dyDescent="0.2">
      <c r="A4502">
        <v>4501</v>
      </c>
      <c r="B4502" s="1">
        <v>40851</v>
      </c>
      <c r="C4502" t="s">
        <v>28</v>
      </c>
      <c r="D4502" s="7">
        <v>112</v>
      </c>
      <c r="E4502" s="7">
        <v>17</v>
      </c>
      <c r="F4502" s="7">
        <f t="shared" si="70"/>
        <v>6</v>
      </c>
      <c r="G4502" s="7" t="str">
        <f>LOOKUP(H4502,[1]startdates!$A$2:$A$10,[1]startdates!$B$2:$B$10)</f>
        <v>FMr</v>
      </c>
      <c r="H4502">
        <v>9</v>
      </c>
      <c r="I4502" s="7">
        <v>645.79999999999995</v>
      </c>
      <c r="M4502" s="7">
        <v>334.3</v>
      </c>
      <c r="N4502" s="7">
        <v>266</v>
      </c>
      <c r="O4502" s="7">
        <v>171.3</v>
      </c>
    </row>
    <row r="4503" spans="1:21" x14ac:dyDescent="0.2">
      <c r="A4503">
        <v>4502</v>
      </c>
      <c r="B4503" s="1">
        <v>40851</v>
      </c>
      <c r="C4503" t="s">
        <v>28</v>
      </c>
      <c r="D4503" s="7">
        <v>112</v>
      </c>
      <c r="E4503" s="7">
        <v>17</v>
      </c>
      <c r="F4503" s="7">
        <f t="shared" si="70"/>
        <v>6</v>
      </c>
      <c r="G4503" s="7" t="str">
        <f>LOOKUP(H4503,[1]startdates!$A$2:$A$10,[1]startdates!$B$2:$B$10)</f>
        <v>FMr</v>
      </c>
      <c r="H4503">
        <v>9</v>
      </c>
      <c r="I4503" s="7">
        <v>541.29999999999995</v>
      </c>
      <c r="M4503" s="7">
        <v>342.6</v>
      </c>
      <c r="N4503" s="7">
        <v>172.1</v>
      </c>
      <c r="O4503" s="7">
        <v>177</v>
      </c>
    </row>
    <row r="4504" spans="1:21" x14ac:dyDescent="0.2">
      <c r="A4504">
        <v>4503</v>
      </c>
      <c r="B4504" s="1">
        <v>40851</v>
      </c>
      <c r="C4504" t="s">
        <v>28</v>
      </c>
      <c r="D4504" s="7">
        <v>112</v>
      </c>
      <c r="E4504" s="7">
        <v>17</v>
      </c>
      <c r="F4504" s="7">
        <f t="shared" si="70"/>
        <v>6</v>
      </c>
      <c r="G4504" s="7" t="str">
        <f>LOOKUP(H4504,[1]startdates!$A$2:$A$10,[1]startdates!$B$2:$B$10)</f>
        <v>FMr</v>
      </c>
      <c r="H4504">
        <v>9</v>
      </c>
      <c r="I4504" s="7">
        <v>644.70000000000005</v>
      </c>
      <c r="N4504" s="7">
        <v>249</v>
      </c>
    </row>
    <row r="4505" spans="1:21" x14ac:dyDescent="0.2">
      <c r="A4505">
        <v>4504</v>
      </c>
      <c r="B4505" s="1">
        <v>40851</v>
      </c>
      <c r="C4505" t="s">
        <v>28</v>
      </c>
      <c r="D4505" s="7">
        <v>112</v>
      </c>
      <c r="E4505" s="7">
        <v>17</v>
      </c>
      <c r="F4505" s="7">
        <f t="shared" si="70"/>
        <v>6</v>
      </c>
      <c r="G4505" s="7" t="str">
        <f>LOOKUP(H4505,[1]startdates!$A$2:$A$10,[1]startdates!$B$2:$B$10)</f>
        <v>FMr</v>
      </c>
      <c r="H4505">
        <v>9</v>
      </c>
      <c r="I4505" s="7">
        <v>669.3</v>
      </c>
    </row>
    <row r="4506" spans="1:21" x14ac:dyDescent="0.2">
      <c r="A4506">
        <v>4505</v>
      </c>
      <c r="B4506" s="1">
        <v>40855</v>
      </c>
      <c r="C4506" t="s">
        <v>28</v>
      </c>
      <c r="D4506" s="7">
        <v>116</v>
      </c>
      <c r="E4506" s="7">
        <v>18</v>
      </c>
      <c r="F4506" s="7">
        <f t="shared" si="70"/>
        <v>3</v>
      </c>
      <c r="G4506" s="7" t="str">
        <f>LOOKUP(H4506,[1]startdates!$A$2:$A$10,[1]startdates!$B$2:$B$10)</f>
        <v>SMr</v>
      </c>
      <c r="H4506">
        <v>1</v>
      </c>
      <c r="I4506" s="7">
        <v>647.29999999999995</v>
      </c>
      <c r="J4506" s="7">
        <v>556.5</v>
      </c>
      <c r="K4506" s="7">
        <v>553.79999999999995</v>
      </c>
      <c r="L4506" s="7">
        <v>446.2</v>
      </c>
      <c r="M4506" s="7">
        <v>378.4</v>
      </c>
      <c r="N4506" s="7">
        <v>251.9</v>
      </c>
      <c r="O4506" s="7">
        <v>153.1</v>
      </c>
      <c r="P4506" s="7">
        <v>472.9</v>
      </c>
      <c r="Q4506" s="7">
        <v>364.1</v>
      </c>
      <c r="S4506" s="7">
        <v>265.10000000000002</v>
      </c>
      <c r="U4506" s="7">
        <v>526.70000000000005</v>
      </c>
    </row>
    <row r="4507" spans="1:21" x14ac:dyDescent="0.2">
      <c r="A4507">
        <v>4506</v>
      </c>
      <c r="B4507" s="1">
        <v>40855</v>
      </c>
      <c r="C4507" t="s">
        <v>28</v>
      </c>
      <c r="D4507" s="7">
        <v>116</v>
      </c>
      <c r="E4507" s="7">
        <v>18</v>
      </c>
      <c r="F4507" s="7">
        <f t="shared" si="70"/>
        <v>3</v>
      </c>
      <c r="G4507" s="7" t="str">
        <f>LOOKUP(H4507,[1]startdates!$A$2:$A$10,[1]startdates!$B$2:$B$10)</f>
        <v>SMr</v>
      </c>
      <c r="H4507">
        <v>1</v>
      </c>
      <c r="I4507" s="7">
        <v>639.6</v>
      </c>
      <c r="J4507" s="7">
        <v>457.6</v>
      </c>
      <c r="K4507" s="7">
        <v>509.5</v>
      </c>
      <c r="L4507" s="7">
        <v>418.7</v>
      </c>
      <c r="M4507" s="7">
        <v>337.5</v>
      </c>
      <c r="N4507" s="7">
        <v>178.1</v>
      </c>
      <c r="O4507" s="7">
        <v>181.3</v>
      </c>
      <c r="P4507" s="7">
        <v>458.5</v>
      </c>
      <c r="Q4507" s="7">
        <v>307</v>
      </c>
      <c r="S4507" s="7">
        <v>255.6</v>
      </c>
      <c r="U4507" s="7">
        <v>552.5</v>
      </c>
    </row>
    <row r="4508" spans="1:21" x14ac:dyDescent="0.2">
      <c r="A4508">
        <v>4507</v>
      </c>
      <c r="B4508" s="1">
        <v>40855</v>
      </c>
      <c r="C4508" t="s">
        <v>28</v>
      </c>
      <c r="D4508" s="7">
        <v>116</v>
      </c>
      <c r="E4508" s="7">
        <v>18</v>
      </c>
      <c r="F4508" s="7">
        <f t="shared" si="70"/>
        <v>3</v>
      </c>
      <c r="G4508" s="7" t="str">
        <f>LOOKUP(H4508,[1]startdates!$A$2:$A$10,[1]startdates!$B$2:$B$10)</f>
        <v>SMr</v>
      </c>
      <c r="H4508">
        <v>1</v>
      </c>
      <c r="I4508" s="7">
        <v>491.9</v>
      </c>
      <c r="J4508" s="7">
        <v>497.8</v>
      </c>
      <c r="K4508" s="7">
        <v>563.4</v>
      </c>
      <c r="L4508" s="7">
        <v>440.5</v>
      </c>
      <c r="M4508" s="7">
        <v>316.60000000000002</v>
      </c>
      <c r="N4508" s="7">
        <v>210.4</v>
      </c>
      <c r="O4508" s="7">
        <v>162.69999999999999</v>
      </c>
      <c r="P4508" s="7">
        <v>539.1</v>
      </c>
      <c r="Q4508" s="7">
        <v>335.9</v>
      </c>
    </row>
    <row r="4509" spans="1:21" x14ac:dyDescent="0.2">
      <c r="A4509">
        <v>4508</v>
      </c>
      <c r="B4509" s="1">
        <v>40855</v>
      </c>
      <c r="C4509" t="s">
        <v>28</v>
      </c>
      <c r="D4509" s="7">
        <v>116</v>
      </c>
      <c r="E4509" s="7">
        <v>18</v>
      </c>
      <c r="F4509" s="7">
        <f t="shared" si="70"/>
        <v>3</v>
      </c>
      <c r="G4509" s="7" t="str">
        <f>LOOKUP(H4509,[1]startdates!$A$2:$A$10,[1]startdates!$B$2:$B$10)</f>
        <v>SMr</v>
      </c>
      <c r="H4509">
        <v>1</v>
      </c>
      <c r="I4509" s="7">
        <v>574.6</v>
      </c>
      <c r="J4509" s="7">
        <v>529.79999999999995</v>
      </c>
      <c r="M4509" s="7">
        <v>379.9</v>
      </c>
      <c r="N4509" s="7">
        <v>214.5</v>
      </c>
      <c r="O4509" s="7">
        <v>162.4</v>
      </c>
      <c r="P4509" s="7">
        <v>457.1</v>
      </c>
      <c r="Q4509" s="7">
        <v>381.4</v>
      </c>
    </row>
    <row r="4510" spans="1:21" x14ac:dyDescent="0.2">
      <c r="A4510">
        <v>4509</v>
      </c>
      <c r="B4510" s="1">
        <v>40855</v>
      </c>
      <c r="C4510" t="s">
        <v>28</v>
      </c>
      <c r="D4510" s="7">
        <v>116</v>
      </c>
      <c r="E4510" s="7">
        <v>18</v>
      </c>
      <c r="F4510" s="7">
        <f t="shared" si="70"/>
        <v>3</v>
      </c>
      <c r="G4510" s="7" t="str">
        <f>LOOKUP(H4510,[1]startdates!$A$2:$A$10,[1]startdates!$B$2:$B$10)</f>
        <v>SMr</v>
      </c>
      <c r="H4510">
        <v>1</v>
      </c>
      <c r="I4510" s="7">
        <v>511.8</v>
      </c>
      <c r="M4510" s="7">
        <v>302.2</v>
      </c>
      <c r="N4510" s="7">
        <v>222.5</v>
      </c>
      <c r="O4510" s="7">
        <v>154.1</v>
      </c>
      <c r="P4510" s="7">
        <v>411.2</v>
      </c>
      <c r="Q4510" s="7">
        <v>375.1</v>
      </c>
    </row>
    <row r="4511" spans="1:21" x14ac:dyDescent="0.2">
      <c r="A4511">
        <v>4510</v>
      </c>
      <c r="B4511" s="1">
        <v>40855</v>
      </c>
      <c r="C4511" t="s">
        <v>28</v>
      </c>
      <c r="D4511" s="7">
        <v>116</v>
      </c>
      <c r="E4511" s="7">
        <v>18</v>
      </c>
      <c r="F4511" s="7">
        <f t="shared" si="70"/>
        <v>3</v>
      </c>
      <c r="G4511" s="7" t="str">
        <f>LOOKUP(H4511,[1]startdates!$A$2:$A$10,[1]startdates!$B$2:$B$10)</f>
        <v>SMr</v>
      </c>
      <c r="H4511">
        <v>1</v>
      </c>
      <c r="I4511" s="7">
        <v>592.79999999999995</v>
      </c>
      <c r="M4511" s="7">
        <v>372.1</v>
      </c>
      <c r="N4511" s="7">
        <v>234</v>
      </c>
      <c r="O4511" s="7">
        <v>184.9</v>
      </c>
    </row>
    <row r="4512" spans="1:21" x14ac:dyDescent="0.2">
      <c r="A4512">
        <v>4511</v>
      </c>
      <c r="B4512" s="1">
        <v>40855</v>
      </c>
      <c r="C4512" t="s">
        <v>28</v>
      </c>
      <c r="D4512" s="7">
        <v>116</v>
      </c>
      <c r="E4512" s="7">
        <v>18</v>
      </c>
      <c r="F4512" s="7">
        <f t="shared" si="70"/>
        <v>3</v>
      </c>
      <c r="G4512" s="7" t="str">
        <f>LOOKUP(H4512,[1]startdates!$A$2:$A$10,[1]startdates!$B$2:$B$10)</f>
        <v>SMr</v>
      </c>
      <c r="H4512">
        <v>1</v>
      </c>
      <c r="I4512" s="7">
        <v>508.4</v>
      </c>
      <c r="M4512" s="7">
        <v>374.9</v>
      </c>
      <c r="N4512" s="7">
        <v>232.5</v>
      </c>
      <c r="O4512" s="7">
        <v>172.1</v>
      </c>
    </row>
    <row r="4513" spans="1:21" x14ac:dyDescent="0.2">
      <c r="A4513">
        <v>4512</v>
      </c>
      <c r="B4513" s="1">
        <v>40855</v>
      </c>
      <c r="C4513" t="s">
        <v>28</v>
      </c>
      <c r="D4513" s="7">
        <v>116</v>
      </c>
      <c r="E4513" s="7">
        <v>18</v>
      </c>
      <c r="F4513" s="7">
        <f t="shared" si="70"/>
        <v>3</v>
      </c>
      <c r="G4513" s="7" t="str">
        <f>LOOKUP(H4513,[1]startdates!$A$2:$A$10,[1]startdates!$B$2:$B$10)</f>
        <v>SMr</v>
      </c>
      <c r="H4513">
        <v>1</v>
      </c>
      <c r="I4513" s="7">
        <v>561.70000000000005</v>
      </c>
      <c r="M4513" s="7">
        <v>344.5</v>
      </c>
      <c r="N4513" s="7">
        <v>184.9</v>
      </c>
      <c r="O4513" s="7">
        <v>160</v>
      </c>
    </row>
    <row r="4514" spans="1:21" x14ac:dyDescent="0.2">
      <c r="A4514">
        <v>4513</v>
      </c>
      <c r="B4514" s="1">
        <v>40855</v>
      </c>
      <c r="C4514" t="s">
        <v>28</v>
      </c>
      <c r="D4514" s="7">
        <v>116</v>
      </c>
      <c r="E4514" s="7">
        <v>18</v>
      </c>
      <c r="F4514" s="7">
        <f t="shared" si="70"/>
        <v>3</v>
      </c>
      <c r="G4514" s="7" t="str">
        <f>LOOKUP(H4514,[1]startdates!$A$2:$A$10,[1]startdates!$B$2:$B$10)</f>
        <v>SMr</v>
      </c>
      <c r="H4514">
        <v>1</v>
      </c>
      <c r="I4514" s="7">
        <v>545.20000000000005</v>
      </c>
      <c r="M4514" s="7">
        <v>321.89999999999998</v>
      </c>
      <c r="N4514" s="7">
        <v>199.3</v>
      </c>
      <c r="O4514" s="7">
        <v>169.4</v>
      </c>
    </row>
    <row r="4515" spans="1:21" x14ac:dyDescent="0.2">
      <c r="A4515">
        <v>4514</v>
      </c>
      <c r="B4515" s="1">
        <v>40855</v>
      </c>
      <c r="C4515" t="s">
        <v>28</v>
      </c>
      <c r="D4515" s="7">
        <v>116</v>
      </c>
      <c r="E4515" s="7">
        <v>18</v>
      </c>
      <c r="F4515" s="7">
        <f t="shared" si="70"/>
        <v>3</v>
      </c>
      <c r="G4515" s="7" t="str">
        <f>LOOKUP(H4515,[1]startdates!$A$2:$A$10,[1]startdates!$B$2:$B$10)</f>
        <v>SMr</v>
      </c>
      <c r="H4515">
        <v>1</v>
      </c>
      <c r="I4515" s="7">
        <v>560.79999999999995</v>
      </c>
      <c r="M4515" s="7">
        <v>301.39999999999998</v>
      </c>
      <c r="O4515" s="7">
        <v>156.30000000000001</v>
      </c>
    </row>
    <row r="4516" spans="1:21" x14ac:dyDescent="0.2">
      <c r="A4516">
        <v>4515</v>
      </c>
      <c r="B4516" s="1">
        <v>40855</v>
      </c>
      <c r="C4516" t="s">
        <v>28</v>
      </c>
      <c r="D4516" s="7">
        <v>116</v>
      </c>
      <c r="E4516" s="7">
        <v>18</v>
      </c>
      <c r="F4516" s="7">
        <f t="shared" si="70"/>
        <v>3</v>
      </c>
      <c r="G4516" s="7" t="str">
        <f>LOOKUP(H4516,[1]startdates!$A$2:$A$10,[1]startdates!$B$2:$B$10)</f>
        <v>SMr</v>
      </c>
      <c r="H4516">
        <v>1</v>
      </c>
      <c r="I4516" s="7">
        <v>653.5</v>
      </c>
      <c r="M4516" s="7">
        <v>314.5</v>
      </c>
    </row>
    <row r="4517" spans="1:21" x14ac:dyDescent="0.2">
      <c r="A4517">
        <v>4516</v>
      </c>
      <c r="B4517" s="1">
        <v>40855</v>
      </c>
      <c r="C4517" t="s">
        <v>28</v>
      </c>
      <c r="D4517" s="7">
        <v>116</v>
      </c>
      <c r="E4517" s="7">
        <v>18</v>
      </c>
      <c r="F4517" s="7">
        <f t="shared" si="70"/>
        <v>3</v>
      </c>
      <c r="G4517" s="7" t="str">
        <f>LOOKUP(H4517,[1]startdates!$A$2:$A$10,[1]startdates!$B$2:$B$10)</f>
        <v>SMr</v>
      </c>
      <c r="H4517">
        <v>1</v>
      </c>
      <c r="I4517" s="7">
        <v>590</v>
      </c>
    </row>
    <row r="4518" spans="1:21" x14ac:dyDescent="0.2">
      <c r="A4518">
        <v>4517</v>
      </c>
      <c r="B4518" s="1">
        <v>40855</v>
      </c>
      <c r="C4518" t="s">
        <v>28</v>
      </c>
      <c r="D4518" s="7">
        <v>116</v>
      </c>
      <c r="E4518" s="7">
        <v>18</v>
      </c>
      <c r="F4518" s="7">
        <f t="shared" si="70"/>
        <v>3</v>
      </c>
      <c r="G4518" s="7" t="str">
        <f>LOOKUP(H4518,[1]startdates!$A$2:$A$10,[1]startdates!$B$2:$B$10)</f>
        <v>SMr</v>
      </c>
      <c r="H4518">
        <v>1</v>
      </c>
      <c r="I4518" s="7">
        <v>662.6</v>
      </c>
    </row>
    <row r="4519" spans="1:21" x14ac:dyDescent="0.2">
      <c r="A4519">
        <v>4518</v>
      </c>
      <c r="B4519" s="1">
        <v>40855</v>
      </c>
      <c r="C4519" t="s">
        <v>28</v>
      </c>
      <c r="D4519" s="7">
        <v>116</v>
      </c>
      <c r="E4519" s="7">
        <v>18</v>
      </c>
      <c r="F4519" s="7">
        <f t="shared" si="70"/>
        <v>3</v>
      </c>
      <c r="G4519" s="7" t="str">
        <f>LOOKUP(H4519,[1]startdates!$A$2:$A$10,[1]startdates!$B$2:$B$10)</f>
        <v>SMr</v>
      </c>
      <c r="H4519">
        <v>2</v>
      </c>
      <c r="I4519" s="7">
        <v>615.79999999999995</v>
      </c>
      <c r="J4519" s="7">
        <v>553.6</v>
      </c>
      <c r="K4519" s="7">
        <v>519.20000000000005</v>
      </c>
      <c r="L4519" s="7">
        <v>452.7</v>
      </c>
      <c r="M4519" s="7">
        <v>326.8</v>
      </c>
      <c r="N4519" s="7">
        <v>228.3</v>
      </c>
      <c r="O4519" s="7">
        <v>159.80000000000001</v>
      </c>
      <c r="P4519" s="7">
        <v>432.2</v>
      </c>
      <c r="Q4519" s="7">
        <v>320.7</v>
      </c>
      <c r="S4519" s="7">
        <v>286.7</v>
      </c>
      <c r="U4519" s="7">
        <v>501.6</v>
      </c>
    </row>
    <row r="4520" spans="1:21" x14ac:dyDescent="0.2">
      <c r="A4520">
        <v>4519</v>
      </c>
      <c r="B4520" s="1">
        <v>40855</v>
      </c>
      <c r="C4520" t="s">
        <v>28</v>
      </c>
      <c r="D4520" s="7">
        <v>116</v>
      </c>
      <c r="E4520" s="7">
        <v>18</v>
      </c>
      <c r="F4520" s="7">
        <f t="shared" si="70"/>
        <v>3</v>
      </c>
      <c r="G4520" s="7" t="str">
        <f>LOOKUP(H4520,[1]startdates!$A$2:$A$10,[1]startdates!$B$2:$B$10)</f>
        <v>SMr</v>
      </c>
      <c r="H4520">
        <v>2</v>
      </c>
      <c r="I4520" s="7">
        <v>622.70000000000005</v>
      </c>
      <c r="J4520" s="7">
        <v>518.79999999999995</v>
      </c>
      <c r="K4520" s="7">
        <v>509.2</v>
      </c>
      <c r="L4520" s="7">
        <v>479.5</v>
      </c>
      <c r="M4520" s="7">
        <v>353.8</v>
      </c>
      <c r="N4520" s="7">
        <v>251.3</v>
      </c>
      <c r="O4520" s="7">
        <v>170.6</v>
      </c>
      <c r="P4520" s="7">
        <v>441.1</v>
      </c>
      <c r="S4520" s="7">
        <v>305.89999999999998</v>
      </c>
      <c r="U4520" s="7">
        <v>535.5</v>
      </c>
    </row>
    <row r="4521" spans="1:21" x14ac:dyDescent="0.2">
      <c r="A4521">
        <v>4520</v>
      </c>
      <c r="B4521" s="1">
        <v>40855</v>
      </c>
      <c r="C4521" t="s">
        <v>28</v>
      </c>
      <c r="D4521" s="7">
        <v>116</v>
      </c>
      <c r="E4521" s="7">
        <v>18</v>
      </c>
      <c r="F4521" s="7">
        <f t="shared" ref="F4521:F4584" si="71">WEEKDAY(B4521)</f>
        <v>3</v>
      </c>
      <c r="G4521" s="7" t="str">
        <f>LOOKUP(H4521,[1]startdates!$A$2:$A$10,[1]startdates!$B$2:$B$10)</f>
        <v>SMr</v>
      </c>
      <c r="H4521">
        <v>2</v>
      </c>
      <c r="I4521" s="7">
        <v>662</v>
      </c>
      <c r="K4521" s="7">
        <v>514.1</v>
      </c>
      <c r="L4521" s="7">
        <v>435.8</v>
      </c>
      <c r="M4521" s="7">
        <v>330.7</v>
      </c>
      <c r="N4521" s="7">
        <v>223.6</v>
      </c>
      <c r="O4521" s="7">
        <v>156.30000000000001</v>
      </c>
      <c r="P4521" s="7">
        <v>477</v>
      </c>
      <c r="U4521" s="7">
        <v>439.5</v>
      </c>
    </row>
    <row r="4522" spans="1:21" x14ac:dyDescent="0.2">
      <c r="A4522">
        <v>4521</v>
      </c>
      <c r="B4522" s="1">
        <v>40855</v>
      </c>
      <c r="C4522" t="s">
        <v>28</v>
      </c>
      <c r="D4522" s="7">
        <v>116</v>
      </c>
      <c r="E4522" s="7">
        <v>18</v>
      </c>
      <c r="F4522" s="7">
        <f t="shared" si="71"/>
        <v>3</v>
      </c>
      <c r="G4522" s="7" t="str">
        <f>LOOKUP(H4522,[1]startdates!$A$2:$A$10,[1]startdates!$B$2:$B$10)</f>
        <v>SMr</v>
      </c>
      <c r="H4522">
        <v>2</v>
      </c>
      <c r="I4522" s="7">
        <v>638.79999999999995</v>
      </c>
      <c r="K4522" s="7">
        <v>557.1</v>
      </c>
      <c r="L4522" s="7">
        <v>474.2</v>
      </c>
      <c r="M4522" s="7">
        <v>317.89999999999998</v>
      </c>
      <c r="N4522" s="7">
        <v>190.1</v>
      </c>
      <c r="O4522" s="7">
        <v>148.19999999999999</v>
      </c>
      <c r="P4522" s="7">
        <v>485.1</v>
      </c>
      <c r="U4522" s="7">
        <v>497.9</v>
      </c>
    </row>
    <row r="4523" spans="1:21" x14ac:dyDescent="0.2">
      <c r="A4523">
        <v>4522</v>
      </c>
      <c r="B4523" s="1">
        <v>40855</v>
      </c>
      <c r="C4523" t="s">
        <v>28</v>
      </c>
      <c r="D4523" s="7">
        <v>116</v>
      </c>
      <c r="E4523" s="7">
        <v>18</v>
      </c>
      <c r="F4523" s="7">
        <f t="shared" si="71"/>
        <v>3</v>
      </c>
      <c r="G4523" s="7" t="str">
        <f>LOOKUP(H4523,[1]startdates!$A$2:$A$10,[1]startdates!$B$2:$B$10)</f>
        <v>SMr</v>
      </c>
      <c r="H4523">
        <v>2</v>
      </c>
      <c r="I4523" s="7">
        <v>676.7</v>
      </c>
      <c r="K4523" s="7">
        <v>467.2</v>
      </c>
      <c r="L4523" s="7">
        <v>457.3</v>
      </c>
      <c r="M4523" s="7">
        <v>291.8</v>
      </c>
      <c r="N4523" s="7">
        <v>205.8</v>
      </c>
      <c r="O4523" s="7">
        <v>140.1</v>
      </c>
      <c r="P4523" s="7">
        <v>408.6</v>
      </c>
      <c r="U4523" s="7">
        <v>545.20000000000005</v>
      </c>
    </row>
    <row r="4524" spans="1:21" x14ac:dyDescent="0.2">
      <c r="A4524">
        <v>4523</v>
      </c>
      <c r="B4524" s="1">
        <v>40855</v>
      </c>
      <c r="C4524" t="s">
        <v>28</v>
      </c>
      <c r="D4524" s="7">
        <v>116</v>
      </c>
      <c r="E4524" s="7">
        <v>18</v>
      </c>
      <c r="F4524" s="7">
        <f t="shared" si="71"/>
        <v>3</v>
      </c>
      <c r="G4524" s="7" t="str">
        <f>LOOKUP(H4524,[1]startdates!$A$2:$A$10,[1]startdates!$B$2:$B$10)</f>
        <v>SMr</v>
      </c>
      <c r="H4524">
        <v>2</v>
      </c>
      <c r="I4524" s="7">
        <v>593.79999999999995</v>
      </c>
      <c r="L4524" s="7">
        <v>451.5</v>
      </c>
      <c r="M4524" s="7">
        <v>281.39999999999998</v>
      </c>
      <c r="N4524" s="7">
        <v>254.1</v>
      </c>
      <c r="O4524" s="7">
        <v>161.5</v>
      </c>
    </row>
    <row r="4525" spans="1:21" x14ac:dyDescent="0.2">
      <c r="A4525">
        <v>4524</v>
      </c>
      <c r="B4525" s="1">
        <v>40855</v>
      </c>
      <c r="C4525" t="s">
        <v>28</v>
      </c>
      <c r="D4525" s="7">
        <v>116</v>
      </c>
      <c r="E4525" s="7">
        <v>18</v>
      </c>
      <c r="F4525" s="7">
        <f t="shared" si="71"/>
        <v>3</v>
      </c>
      <c r="G4525" s="7" t="str">
        <f>LOOKUP(H4525,[1]startdates!$A$2:$A$10,[1]startdates!$B$2:$B$10)</f>
        <v>SMr</v>
      </c>
      <c r="H4525">
        <v>2</v>
      </c>
      <c r="I4525" s="7">
        <v>767.8</v>
      </c>
      <c r="L4525" s="7">
        <v>418.9</v>
      </c>
      <c r="M4525" s="7">
        <v>310.10000000000002</v>
      </c>
      <c r="N4525" s="7">
        <v>229.3</v>
      </c>
      <c r="O4525" s="7">
        <v>162</v>
      </c>
    </row>
    <row r="4526" spans="1:21" x14ac:dyDescent="0.2">
      <c r="A4526">
        <v>4525</v>
      </c>
      <c r="B4526" s="1">
        <v>40855</v>
      </c>
      <c r="C4526" t="s">
        <v>28</v>
      </c>
      <c r="D4526" s="7">
        <v>116</v>
      </c>
      <c r="E4526" s="7">
        <v>18</v>
      </c>
      <c r="F4526" s="7">
        <f t="shared" si="71"/>
        <v>3</v>
      </c>
      <c r="G4526" s="7" t="str">
        <f>LOOKUP(H4526,[1]startdates!$A$2:$A$10,[1]startdates!$B$2:$B$10)</f>
        <v>SMr</v>
      </c>
      <c r="H4526">
        <v>2</v>
      </c>
      <c r="I4526" s="7">
        <v>636.29999999999995</v>
      </c>
      <c r="L4526" s="7">
        <v>442.4</v>
      </c>
      <c r="M4526" s="7">
        <v>359.9</v>
      </c>
      <c r="N4526" s="7">
        <v>177.7</v>
      </c>
      <c r="O4526" s="7">
        <v>174.6</v>
      </c>
    </row>
    <row r="4527" spans="1:21" x14ac:dyDescent="0.2">
      <c r="A4527">
        <v>4526</v>
      </c>
      <c r="B4527" s="1">
        <v>40855</v>
      </c>
      <c r="C4527" t="s">
        <v>28</v>
      </c>
      <c r="D4527" s="7">
        <v>116</v>
      </c>
      <c r="E4527" s="7">
        <v>18</v>
      </c>
      <c r="F4527" s="7">
        <f t="shared" si="71"/>
        <v>3</v>
      </c>
      <c r="G4527" s="7" t="str">
        <f>LOOKUP(H4527,[1]startdates!$A$2:$A$10,[1]startdates!$B$2:$B$10)</f>
        <v>SMr</v>
      </c>
      <c r="H4527">
        <v>2</v>
      </c>
      <c r="I4527" s="7">
        <v>550.20000000000005</v>
      </c>
      <c r="L4527" s="7">
        <v>405.2</v>
      </c>
      <c r="M4527" s="7">
        <v>304.5</v>
      </c>
      <c r="N4527" s="7">
        <v>220.7</v>
      </c>
      <c r="O4527" s="7">
        <v>202.6</v>
      </c>
    </row>
    <row r="4528" spans="1:21" x14ac:dyDescent="0.2">
      <c r="A4528">
        <v>4527</v>
      </c>
      <c r="B4528" s="1">
        <v>40855</v>
      </c>
      <c r="C4528" t="s">
        <v>28</v>
      </c>
      <c r="D4528" s="7">
        <v>116</v>
      </c>
      <c r="E4528" s="7">
        <v>18</v>
      </c>
      <c r="F4528" s="7">
        <f t="shared" si="71"/>
        <v>3</v>
      </c>
      <c r="G4528" s="7" t="str">
        <f>LOOKUP(H4528,[1]startdates!$A$2:$A$10,[1]startdates!$B$2:$B$10)</f>
        <v>SMr</v>
      </c>
      <c r="H4528">
        <v>2</v>
      </c>
      <c r="I4528" s="7">
        <v>548.1</v>
      </c>
      <c r="M4528" s="7">
        <v>372.6</v>
      </c>
      <c r="N4528" s="7">
        <v>239.6</v>
      </c>
      <c r="O4528" s="7">
        <v>181.6</v>
      </c>
    </row>
    <row r="4529" spans="1:21" x14ac:dyDescent="0.2">
      <c r="A4529">
        <v>4528</v>
      </c>
      <c r="B4529" s="1">
        <v>40855</v>
      </c>
      <c r="C4529" t="s">
        <v>28</v>
      </c>
      <c r="D4529" s="7">
        <v>116</v>
      </c>
      <c r="E4529" s="7">
        <v>18</v>
      </c>
      <c r="F4529" s="7">
        <f t="shared" si="71"/>
        <v>3</v>
      </c>
      <c r="G4529" s="7" t="str">
        <f>LOOKUP(H4529,[1]startdates!$A$2:$A$10,[1]startdates!$B$2:$B$10)</f>
        <v>SMr</v>
      </c>
      <c r="H4529">
        <v>2</v>
      </c>
      <c r="I4529" s="7">
        <v>589.29999999999995</v>
      </c>
      <c r="M4529" s="7">
        <v>306.3</v>
      </c>
    </row>
    <row r="4530" spans="1:21" x14ac:dyDescent="0.2">
      <c r="A4530">
        <v>4529</v>
      </c>
      <c r="B4530" s="1">
        <v>40855</v>
      </c>
      <c r="C4530" t="s">
        <v>28</v>
      </c>
      <c r="D4530" s="7">
        <v>116</v>
      </c>
      <c r="E4530" s="7">
        <v>18</v>
      </c>
      <c r="F4530" s="7">
        <f t="shared" si="71"/>
        <v>3</v>
      </c>
      <c r="G4530" s="7" t="str">
        <f>LOOKUP(H4530,[1]startdates!$A$2:$A$10,[1]startdates!$B$2:$B$10)</f>
        <v>SMr</v>
      </c>
      <c r="H4530">
        <v>2</v>
      </c>
      <c r="I4530" s="7">
        <v>508.9</v>
      </c>
      <c r="M4530" s="7">
        <v>352.9</v>
      </c>
    </row>
    <row r="4531" spans="1:21" x14ac:dyDescent="0.2">
      <c r="A4531">
        <v>4530</v>
      </c>
      <c r="B4531" s="1">
        <v>40855</v>
      </c>
      <c r="C4531" t="s">
        <v>28</v>
      </c>
      <c r="D4531" s="7">
        <v>116</v>
      </c>
      <c r="E4531" s="7">
        <v>18</v>
      </c>
      <c r="F4531" s="7">
        <f t="shared" si="71"/>
        <v>3</v>
      </c>
      <c r="G4531" s="7" t="str">
        <f>LOOKUP(H4531,[1]startdates!$A$2:$A$10,[1]startdates!$B$2:$B$10)</f>
        <v>C</v>
      </c>
      <c r="H4531">
        <v>3</v>
      </c>
      <c r="I4531" s="7">
        <v>615.4</v>
      </c>
      <c r="K4531" s="7">
        <v>612.6</v>
      </c>
      <c r="L4531" s="7">
        <v>432.8</v>
      </c>
      <c r="M4531" s="7">
        <v>348.4</v>
      </c>
      <c r="N4531" s="7">
        <v>244.9</v>
      </c>
      <c r="O4531" s="7">
        <v>151.69999999999999</v>
      </c>
      <c r="P4531" s="7">
        <v>431.5</v>
      </c>
      <c r="Q4531" s="7">
        <v>372.5</v>
      </c>
      <c r="R4531" s="7">
        <v>268.5</v>
      </c>
      <c r="S4531" s="7">
        <v>273.60000000000002</v>
      </c>
    </row>
    <row r="4532" spans="1:21" x14ac:dyDescent="0.2">
      <c r="A4532">
        <v>4531</v>
      </c>
      <c r="B4532" s="1">
        <v>40855</v>
      </c>
      <c r="C4532" t="s">
        <v>28</v>
      </c>
      <c r="D4532" s="7">
        <v>116</v>
      </c>
      <c r="E4532" s="7">
        <v>18</v>
      </c>
      <c r="F4532" s="7">
        <f t="shared" si="71"/>
        <v>3</v>
      </c>
      <c r="G4532" s="7" t="str">
        <f>LOOKUP(H4532,[1]startdates!$A$2:$A$10,[1]startdates!$B$2:$B$10)</f>
        <v>C</v>
      </c>
      <c r="H4532">
        <v>3</v>
      </c>
      <c r="I4532" s="7">
        <v>606</v>
      </c>
      <c r="K4532" s="7">
        <v>501.2</v>
      </c>
      <c r="L4532" s="7">
        <v>396.2</v>
      </c>
      <c r="N4532" s="7">
        <v>253.6</v>
      </c>
      <c r="O4532" s="7">
        <v>158.30000000000001</v>
      </c>
      <c r="P4532" s="7">
        <v>440</v>
      </c>
      <c r="S4532" s="7">
        <v>259.39999999999998</v>
      </c>
    </row>
    <row r="4533" spans="1:21" x14ac:dyDescent="0.2">
      <c r="A4533">
        <v>4532</v>
      </c>
      <c r="B4533" s="1">
        <v>40855</v>
      </c>
      <c r="C4533" t="s">
        <v>28</v>
      </c>
      <c r="D4533" s="7">
        <v>116</v>
      </c>
      <c r="E4533" s="7">
        <v>18</v>
      </c>
      <c r="F4533" s="7">
        <f t="shared" si="71"/>
        <v>3</v>
      </c>
      <c r="G4533" s="7" t="str">
        <f>LOOKUP(H4533,[1]startdates!$A$2:$A$10,[1]startdates!$B$2:$B$10)</f>
        <v>C</v>
      </c>
      <c r="H4533">
        <v>3</v>
      </c>
      <c r="I4533" s="7">
        <v>624.20000000000005</v>
      </c>
      <c r="K4533" s="7">
        <v>537.79999999999995</v>
      </c>
      <c r="L4533" s="7">
        <v>392.2</v>
      </c>
      <c r="N4533" s="7">
        <v>249.2</v>
      </c>
      <c r="O4533" s="7">
        <v>166.3</v>
      </c>
      <c r="P4533" s="7">
        <v>449.2</v>
      </c>
    </row>
    <row r="4534" spans="1:21" x14ac:dyDescent="0.2">
      <c r="A4534">
        <v>4533</v>
      </c>
      <c r="B4534" s="1">
        <v>40855</v>
      </c>
      <c r="C4534" t="s">
        <v>28</v>
      </c>
      <c r="D4534" s="7">
        <v>116</v>
      </c>
      <c r="E4534" s="7">
        <v>18</v>
      </c>
      <c r="F4534" s="7">
        <f t="shared" si="71"/>
        <v>3</v>
      </c>
      <c r="G4534" s="7" t="str">
        <f>LOOKUP(H4534,[1]startdates!$A$2:$A$10,[1]startdates!$B$2:$B$10)</f>
        <v>C</v>
      </c>
      <c r="H4534">
        <v>3</v>
      </c>
      <c r="I4534" s="7">
        <v>522.9</v>
      </c>
      <c r="K4534" s="7">
        <v>552.4</v>
      </c>
      <c r="L4534" s="7">
        <v>420.7</v>
      </c>
      <c r="N4534" s="7">
        <v>197.3</v>
      </c>
      <c r="O4534" s="7">
        <v>155.69999999999999</v>
      </c>
      <c r="P4534" s="7">
        <v>419.9</v>
      </c>
    </row>
    <row r="4535" spans="1:21" x14ac:dyDescent="0.2">
      <c r="A4535">
        <v>4534</v>
      </c>
      <c r="B4535" s="1">
        <v>40855</v>
      </c>
      <c r="C4535" t="s">
        <v>28</v>
      </c>
      <c r="D4535" s="7">
        <v>116</v>
      </c>
      <c r="E4535" s="7">
        <v>18</v>
      </c>
      <c r="F4535" s="7">
        <f t="shared" si="71"/>
        <v>3</v>
      </c>
      <c r="G4535" s="7" t="str">
        <f>LOOKUP(H4535,[1]startdates!$A$2:$A$10,[1]startdates!$B$2:$B$10)</f>
        <v>C</v>
      </c>
      <c r="H4535">
        <v>3</v>
      </c>
      <c r="I4535" s="7">
        <v>519.70000000000005</v>
      </c>
      <c r="K4535" s="7">
        <v>484.5</v>
      </c>
      <c r="L4535" s="7">
        <v>386.4</v>
      </c>
      <c r="N4535" s="7">
        <v>226.1</v>
      </c>
      <c r="O4535" s="7">
        <v>139.69999999999999</v>
      </c>
    </row>
    <row r="4536" spans="1:21" x14ac:dyDescent="0.2">
      <c r="A4536">
        <v>4535</v>
      </c>
      <c r="B4536" s="1">
        <v>40855</v>
      </c>
      <c r="C4536" t="s">
        <v>28</v>
      </c>
      <c r="D4536" s="7">
        <v>116</v>
      </c>
      <c r="E4536" s="7">
        <v>18</v>
      </c>
      <c r="F4536" s="7">
        <f t="shared" si="71"/>
        <v>3</v>
      </c>
      <c r="G4536" s="7" t="str">
        <f>LOOKUP(H4536,[1]startdates!$A$2:$A$10,[1]startdates!$B$2:$B$10)</f>
        <v>C</v>
      </c>
      <c r="H4536">
        <v>3</v>
      </c>
      <c r="I4536" s="7">
        <v>560.70000000000005</v>
      </c>
      <c r="K4536" s="7">
        <v>569.1</v>
      </c>
      <c r="L4536" s="7">
        <v>392.9</v>
      </c>
      <c r="N4536" s="7">
        <v>179.8</v>
      </c>
      <c r="O4536" s="7">
        <v>177.1</v>
      </c>
    </row>
    <row r="4537" spans="1:21" x14ac:dyDescent="0.2">
      <c r="A4537">
        <v>4536</v>
      </c>
      <c r="B4537" s="1">
        <v>40855</v>
      </c>
      <c r="C4537" t="s">
        <v>28</v>
      </c>
      <c r="D4537" s="7">
        <v>116</v>
      </c>
      <c r="E4537" s="7">
        <v>18</v>
      </c>
      <c r="F4537" s="7">
        <f t="shared" si="71"/>
        <v>3</v>
      </c>
      <c r="G4537" s="7" t="str">
        <f>LOOKUP(H4537,[1]startdates!$A$2:$A$10,[1]startdates!$B$2:$B$10)</f>
        <v>C</v>
      </c>
      <c r="H4537">
        <v>3</v>
      </c>
      <c r="I4537" s="7">
        <v>590.5</v>
      </c>
      <c r="K4537" s="7">
        <v>534.1</v>
      </c>
      <c r="N4537" s="7">
        <v>222.9</v>
      </c>
      <c r="O4537" s="7">
        <v>160.80000000000001</v>
      </c>
    </row>
    <row r="4538" spans="1:21" x14ac:dyDescent="0.2">
      <c r="A4538">
        <v>4537</v>
      </c>
      <c r="B4538" s="1">
        <v>40855</v>
      </c>
      <c r="C4538" t="s">
        <v>28</v>
      </c>
      <c r="D4538" s="7">
        <v>116</v>
      </c>
      <c r="E4538" s="7">
        <v>18</v>
      </c>
      <c r="F4538" s="7">
        <f t="shared" si="71"/>
        <v>3</v>
      </c>
      <c r="G4538" s="7" t="str">
        <f>LOOKUP(H4538,[1]startdates!$A$2:$A$10,[1]startdates!$B$2:$B$10)</f>
        <v>C</v>
      </c>
      <c r="H4538">
        <v>3</v>
      </c>
      <c r="I4538" s="7">
        <v>593.5</v>
      </c>
      <c r="N4538" s="7">
        <v>204.6</v>
      </c>
      <c r="O4538" s="7">
        <v>164</v>
      </c>
    </row>
    <row r="4539" spans="1:21" x14ac:dyDescent="0.2">
      <c r="A4539">
        <v>4538</v>
      </c>
      <c r="B4539" s="1">
        <v>40855</v>
      </c>
      <c r="C4539" t="s">
        <v>28</v>
      </c>
      <c r="D4539" s="7">
        <v>116</v>
      </c>
      <c r="E4539" s="7">
        <v>18</v>
      </c>
      <c r="F4539" s="7">
        <f t="shared" si="71"/>
        <v>3</v>
      </c>
      <c r="G4539" s="7" t="str">
        <f>LOOKUP(H4539,[1]startdates!$A$2:$A$10,[1]startdates!$B$2:$B$10)</f>
        <v>C</v>
      </c>
      <c r="H4539">
        <v>3</v>
      </c>
      <c r="I4539" s="7">
        <v>580</v>
      </c>
      <c r="O4539" s="7">
        <v>172.4</v>
      </c>
    </row>
    <row r="4540" spans="1:21" x14ac:dyDescent="0.2">
      <c r="A4540">
        <v>4539</v>
      </c>
      <c r="B4540" s="1">
        <v>40855</v>
      </c>
      <c r="C4540" t="s">
        <v>28</v>
      </c>
      <c r="D4540" s="7">
        <v>116</v>
      </c>
      <c r="E4540" s="7">
        <v>18</v>
      </c>
      <c r="F4540" s="7">
        <f t="shared" si="71"/>
        <v>3</v>
      </c>
      <c r="G4540" s="7" t="str">
        <f>LOOKUP(H4540,[1]startdates!$A$2:$A$10,[1]startdates!$B$2:$B$10)</f>
        <v>C</v>
      </c>
      <c r="H4540">
        <v>3</v>
      </c>
      <c r="I4540" s="7">
        <v>520.29999999999995</v>
      </c>
      <c r="O4540" s="7">
        <v>144.30000000000001</v>
      </c>
    </row>
    <row r="4541" spans="1:21" x14ac:dyDescent="0.2">
      <c r="A4541">
        <v>4540</v>
      </c>
      <c r="B4541" s="1">
        <v>40855</v>
      </c>
      <c r="C4541" t="s">
        <v>28</v>
      </c>
      <c r="D4541" s="7">
        <v>116</v>
      </c>
      <c r="E4541" s="7">
        <v>18</v>
      </c>
      <c r="F4541" s="7">
        <f t="shared" si="71"/>
        <v>3</v>
      </c>
      <c r="G4541" s="7" t="str">
        <f>LOOKUP(H4541,[1]startdates!$A$2:$A$10,[1]startdates!$B$2:$B$10)</f>
        <v>C</v>
      </c>
      <c r="H4541">
        <v>3</v>
      </c>
      <c r="I4541" s="7">
        <v>524.1</v>
      </c>
    </row>
    <row r="4542" spans="1:21" x14ac:dyDescent="0.2">
      <c r="A4542">
        <v>4541</v>
      </c>
      <c r="B4542" s="1">
        <v>40855</v>
      </c>
      <c r="C4542" t="s">
        <v>28</v>
      </c>
      <c r="D4542" s="7">
        <v>116</v>
      </c>
      <c r="E4542" s="7">
        <v>18</v>
      </c>
      <c r="F4542" s="7">
        <f t="shared" si="71"/>
        <v>3</v>
      </c>
      <c r="G4542" s="7" t="str">
        <f>LOOKUP(H4542,[1]startdates!$A$2:$A$10,[1]startdates!$B$2:$B$10)</f>
        <v>C</v>
      </c>
      <c r="H4542">
        <v>3</v>
      </c>
      <c r="I4542" s="7">
        <v>553.29999999999995</v>
      </c>
    </row>
    <row r="4543" spans="1:21" x14ac:dyDescent="0.2">
      <c r="A4543">
        <v>4542</v>
      </c>
      <c r="B4543" s="1">
        <v>40855</v>
      </c>
      <c r="C4543" t="s">
        <v>28</v>
      </c>
      <c r="D4543" s="7">
        <v>116</v>
      </c>
      <c r="E4543" s="7">
        <v>18</v>
      </c>
      <c r="F4543" s="7">
        <f t="shared" si="71"/>
        <v>3</v>
      </c>
      <c r="G4543" s="7" t="str">
        <f>LOOKUP(H4543,[1]startdates!$A$2:$A$10,[1]startdates!$B$2:$B$10)</f>
        <v>C</v>
      </c>
      <c r="H4543">
        <v>3</v>
      </c>
      <c r="I4543" s="7">
        <v>608.20000000000005</v>
      </c>
    </row>
    <row r="4544" spans="1:21" x14ac:dyDescent="0.2">
      <c r="A4544">
        <v>4543</v>
      </c>
      <c r="B4544" s="1">
        <v>40855</v>
      </c>
      <c r="C4544" t="s">
        <v>28</v>
      </c>
      <c r="D4544" s="7">
        <v>116</v>
      </c>
      <c r="E4544" s="7">
        <v>18</v>
      </c>
      <c r="F4544" s="7">
        <f t="shared" si="71"/>
        <v>3</v>
      </c>
      <c r="G4544" s="7" t="str">
        <f>LOOKUP(H4544,[1]startdates!$A$2:$A$10,[1]startdates!$B$2:$B$10)</f>
        <v>SMr</v>
      </c>
      <c r="H4544">
        <v>4</v>
      </c>
      <c r="I4544" s="7">
        <v>586.5</v>
      </c>
      <c r="J4544" s="7">
        <v>497.5</v>
      </c>
      <c r="K4544" s="7">
        <v>480.5</v>
      </c>
      <c r="L4544" s="7">
        <v>443.1</v>
      </c>
      <c r="M4544" s="7">
        <v>303</v>
      </c>
      <c r="N4544" s="7">
        <v>220.6</v>
      </c>
      <c r="O4544" s="7">
        <v>181.9</v>
      </c>
      <c r="P4544" s="7">
        <v>435</v>
      </c>
      <c r="Q4544" s="7">
        <v>311</v>
      </c>
      <c r="R4544" s="7">
        <v>233</v>
      </c>
      <c r="S4544" s="7">
        <v>228.5</v>
      </c>
      <c r="U4544" s="7">
        <v>483.5</v>
      </c>
    </row>
    <row r="4545" spans="1:21" x14ac:dyDescent="0.2">
      <c r="A4545">
        <v>4544</v>
      </c>
      <c r="B4545" s="1">
        <v>40855</v>
      </c>
      <c r="C4545" t="s">
        <v>28</v>
      </c>
      <c r="D4545" s="7">
        <v>116</v>
      </c>
      <c r="E4545" s="7">
        <v>18</v>
      </c>
      <c r="F4545" s="7">
        <f t="shared" si="71"/>
        <v>3</v>
      </c>
      <c r="G4545" s="7" t="str">
        <f>LOOKUP(H4545,[1]startdates!$A$2:$A$10,[1]startdates!$B$2:$B$10)</f>
        <v>SMr</v>
      </c>
      <c r="H4545">
        <v>4</v>
      </c>
      <c r="I4545" s="7">
        <v>481.6</v>
      </c>
      <c r="K4545" s="7">
        <v>438.5</v>
      </c>
      <c r="L4545" s="7">
        <v>400.2</v>
      </c>
      <c r="M4545" s="7">
        <v>375.9</v>
      </c>
      <c r="N4545" s="7">
        <v>252.6</v>
      </c>
      <c r="O4545" s="7">
        <v>162.4</v>
      </c>
      <c r="P4545" s="7">
        <v>440.5</v>
      </c>
      <c r="Q4545" s="7">
        <v>315.2</v>
      </c>
      <c r="R4545" s="7">
        <v>254.5</v>
      </c>
      <c r="S4545" s="7">
        <v>257.89999999999998</v>
      </c>
      <c r="U4545" s="7">
        <v>570.6</v>
      </c>
    </row>
    <row r="4546" spans="1:21" x14ac:dyDescent="0.2">
      <c r="A4546">
        <v>4545</v>
      </c>
      <c r="B4546" s="1">
        <v>40855</v>
      </c>
      <c r="C4546" t="s">
        <v>28</v>
      </c>
      <c r="D4546" s="7">
        <v>116</v>
      </c>
      <c r="E4546" s="7">
        <v>18</v>
      </c>
      <c r="F4546" s="7">
        <f t="shared" si="71"/>
        <v>3</v>
      </c>
      <c r="G4546" s="7" t="str">
        <f>LOOKUP(H4546,[1]startdates!$A$2:$A$10,[1]startdates!$B$2:$B$10)</f>
        <v>SMr</v>
      </c>
      <c r="H4546">
        <v>4</v>
      </c>
      <c r="I4546" s="7">
        <v>490.4</v>
      </c>
      <c r="K4546" s="7">
        <v>520.6</v>
      </c>
      <c r="L4546" s="7">
        <v>466</v>
      </c>
      <c r="M4546" s="7">
        <v>386.6</v>
      </c>
      <c r="N4546" s="7">
        <v>257.7</v>
      </c>
      <c r="O4546" s="7">
        <v>169.5</v>
      </c>
      <c r="P4546" s="7">
        <v>473.9</v>
      </c>
      <c r="U4546" s="7">
        <v>488.7</v>
      </c>
    </row>
    <row r="4547" spans="1:21" x14ac:dyDescent="0.2">
      <c r="A4547">
        <v>4546</v>
      </c>
      <c r="B4547" s="1">
        <v>40855</v>
      </c>
      <c r="C4547" t="s">
        <v>28</v>
      </c>
      <c r="D4547" s="7">
        <v>116</v>
      </c>
      <c r="E4547" s="7">
        <v>18</v>
      </c>
      <c r="F4547" s="7">
        <f t="shared" si="71"/>
        <v>3</v>
      </c>
      <c r="G4547" s="7" t="str">
        <f>LOOKUP(H4547,[1]startdates!$A$2:$A$10,[1]startdates!$B$2:$B$10)</f>
        <v>SMr</v>
      </c>
      <c r="H4547">
        <v>4</v>
      </c>
      <c r="I4547" s="7">
        <v>557.1</v>
      </c>
      <c r="K4547" s="7">
        <v>576.70000000000005</v>
      </c>
      <c r="L4547" s="7">
        <v>447.7</v>
      </c>
      <c r="M4547" s="7">
        <v>346.1</v>
      </c>
      <c r="N4547" s="7">
        <v>247.4</v>
      </c>
      <c r="O4547" s="7">
        <v>153.1</v>
      </c>
      <c r="P4547" s="7">
        <v>392.4</v>
      </c>
      <c r="U4547" s="7">
        <v>453.1</v>
      </c>
    </row>
    <row r="4548" spans="1:21" x14ac:dyDescent="0.2">
      <c r="A4548">
        <v>4547</v>
      </c>
      <c r="B4548" s="1">
        <v>40855</v>
      </c>
      <c r="C4548" t="s">
        <v>28</v>
      </c>
      <c r="D4548" s="7">
        <v>116</v>
      </c>
      <c r="E4548" s="7">
        <v>18</v>
      </c>
      <c r="F4548" s="7">
        <f t="shared" si="71"/>
        <v>3</v>
      </c>
      <c r="G4548" s="7" t="str">
        <f>LOOKUP(H4548,[1]startdates!$A$2:$A$10,[1]startdates!$B$2:$B$10)</f>
        <v>SMr</v>
      </c>
      <c r="H4548">
        <v>4</v>
      </c>
      <c r="I4548" s="7">
        <v>514</v>
      </c>
      <c r="K4548" s="7">
        <v>486.7</v>
      </c>
      <c r="L4548" s="7">
        <v>423.4</v>
      </c>
      <c r="M4548" s="7">
        <v>355.5</v>
      </c>
      <c r="N4548" s="7">
        <v>229.1</v>
      </c>
      <c r="O4548" s="7">
        <v>171.6</v>
      </c>
      <c r="U4548" s="7">
        <v>546.1</v>
      </c>
    </row>
    <row r="4549" spans="1:21" x14ac:dyDescent="0.2">
      <c r="A4549">
        <v>4548</v>
      </c>
      <c r="B4549" s="1">
        <v>40855</v>
      </c>
      <c r="C4549" t="s">
        <v>28</v>
      </c>
      <c r="D4549" s="7">
        <v>116</v>
      </c>
      <c r="E4549" s="7">
        <v>18</v>
      </c>
      <c r="F4549" s="7">
        <f t="shared" si="71"/>
        <v>3</v>
      </c>
      <c r="G4549" s="7" t="str">
        <f>LOOKUP(H4549,[1]startdates!$A$2:$A$10,[1]startdates!$B$2:$B$10)</f>
        <v>SMr</v>
      </c>
      <c r="H4549">
        <v>4</v>
      </c>
      <c r="I4549" s="7">
        <v>534.1</v>
      </c>
      <c r="K4549" s="7">
        <v>494</v>
      </c>
      <c r="L4549" s="7">
        <v>391.7</v>
      </c>
      <c r="M4549" s="7">
        <v>385.3</v>
      </c>
      <c r="N4549" s="7">
        <v>214</v>
      </c>
      <c r="O4549" s="7">
        <v>197.6</v>
      </c>
    </row>
    <row r="4550" spans="1:21" x14ac:dyDescent="0.2">
      <c r="A4550">
        <v>4549</v>
      </c>
      <c r="B4550" s="1">
        <v>40855</v>
      </c>
      <c r="C4550" t="s">
        <v>28</v>
      </c>
      <c r="D4550" s="7">
        <v>116</v>
      </c>
      <c r="E4550" s="7">
        <v>18</v>
      </c>
      <c r="F4550" s="7">
        <f t="shared" si="71"/>
        <v>3</v>
      </c>
      <c r="G4550" s="7" t="str">
        <f>LOOKUP(H4550,[1]startdates!$A$2:$A$10,[1]startdates!$B$2:$B$10)</f>
        <v>SMr</v>
      </c>
      <c r="H4550">
        <v>4</v>
      </c>
      <c r="I4550" s="7">
        <v>668.9</v>
      </c>
      <c r="L4550" s="7">
        <v>410.6</v>
      </c>
      <c r="M4550" s="7">
        <v>362.3</v>
      </c>
      <c r="N4550" s="7">
        <v>245.6</v>
      </c>
      <c r="O4550" s="7">
        <v>159.80000000000001</v>
      </c>
    </row>
    <row r="4551" spans="1:21" x14ac:dyDescent="0.2">
      <c r="A4551">
        <v>4550</v>
      </c>
      <c r="B4551" s="1">
        <v>40855</v>
      </c>
      <c r="C4551" t="s">
        <v>28</v>
      </c>
      <c r="D4551" s="7">
        <v>116</v>
      </c>
      <c r="E4551" s="7">
        <v>18</v>
      </c>
      <c r="F4551" s="7">
        <f t="shared" si="71"/>
        <v>3</v>
      </c>
      <c r="G4551" s="7" t="str">
        <f>LOOKUP(H4551,[1]startdates!$A$2:$A$10,[1]startdates!$B$2:$B$10)</f>
        <v>SMr</v>
      </c>
      <c r="H4551">
        <v>4</v>
      </c>
      <c r="I4551" s="7">
        <v>584.70000000000005</v>
      </c>
      <c r="L4551" s="7">
        <v>395</v>
      </c>
      <c r="N4551" s="7">
        <v>250</v>
      </c>
      <c r="O4551" s="7">
        <v>169.4</v>
      </c>
    </row>
    <row r="4552" spans="1:21" x14ac:dyDescent="0.2">
      <c r="A4552">
        <v>4551</v>
      </c>
      <c r="B4552" s="1">
        <v>40855</v>
      </c>
      <c r="C4552" t="s">
        <v>28</v>
      </c>
      <c r="D4552" s="7">
        <v>116</v>
      </c>
      <c r="E4552" s="7">
        <v>18</v>
      </c>
      <c r="F4552" s="7">
        <f t="shared" si="71"/>
        <v>3</v>
      </c>
      <c r="G4552" s="7" t="str">
        <f>LOOKUP(H4552,[1]startdates!$A$2:$A$10,[1]startdates!$B$2:$B$10)</f>
        <v>SMr</v>
      </c>
      <c r="H4552">
        <v>4</v>
      </c>
      <c r="I4552" s="7">
        <v>516.20000000000005</v>
      </c>
      <c r="N4552" s="7">
        <v>185</v>
      </c>
      <c r="O4552" s="7">
        <v>166.3</v>
      </c>
    </row>
    <row r="4553" spans="1:21" x14ac:dyDescent="0.2">
      <c r="A4553">
        <v>4552</v>
      </c>
      <c r="B4553" s="1">
        <v>40855</v>
      </c>
      <c r="C4553" t="s">
        <v>28</v>
      </c>
      <c r="D4553" s="7">
        <v>116</v>
      </c>
      <c r="E4553" s="7">
        <v>18</v>
      </c>
      <c r="F4553" s="7">
        <f t="shared" si="71"/>
        <v>3</v>
      </c>
      <c r="G4553" s="7" t="str">
        <f>LOOKUP(H4553,[1]startdates!$A$2:$A$10,[1]startdates!$B$2:$B$10)</f>
        <v>SMr</v>
      </c>
      <c r="H4553">
        <v>4</v>
      </c>
      <c r="I4553" s="7">
        <v>577.5</v>
      </c>
      <c r="N4553" s="7">
        <v>193.8</v>
      </c>
      <c r="O4553" s="7">
        <v>159</v>
      </c>
    </row>
    <row r="4554" spans="1:21" x14ac:dyDescent="0.2">
      <c r="A4554">
        <v>4553</v>
      </c>
      <c r="B4554" s="1">
        <v>40855</v>
      </c>
      <c r="C4554" t="s">
        <v>28</v>
      </c>
      <c r="D4554" s="7">
        <v>116</v>
      </c>
      <c r="E4554" s="7">
        <v>18</v>
      </c>
      <c r="F4554" s="7">
        <f t="shared" si="71"/>
        <v>3</v>
      </c>
      <c r="G4554" s="7" t="str">
        <f>LOOKUP(H4554,[1]startdates!$A$2:$A$10,[1]startdates!$B$2:$B$10)</f>
        <v>SMr</v>
      </c>
      <c r="H4554">
        <v>4</v>
      </c>
      <c r="I4554" s="7">
        <v>548.6</v>
      </c>
    </row>
    <row r="4555" spans="1:21" x14ac:dyDescent="0.2">
      <c r="A4555">
        <v>4554</v>
      </c>
      <c r="B4555" s="1">
        <v>40855</v>
      </c>
      <c r="C4555" t="s">
        <v>28</v>
      </c>
      <c r="D4555" s="7">
        <v>116</v>
      </c>
      <c r="E4555" s="7">
        <v>18</v>
      </c>
      <c r="F4555" s="7">
        <f t="shared" si="71"/>
        <v>3</v>
      </c>
      <c r="G4555" s="7" t="str">
        <f>LOOKUP(H4555,[1]startdates!$A$2:$A$10,[1]startdates!$B$2:$B$10)</f>
        <v>SMr</v>
      </c>
      <c r="H4555">
        <v>4</v>
      </c>
      <c r="I4555" s="7">
        <v>557.4</v>
      </c>
    </row>
    <row r="4556" spans="1:21" x14ac:dyDescent="0.2">
      <c r="A4556">
        <v>4555</v>
      </c>
      <c r="B4556" s="1">
        <v>40855</v>
      </c>
      <c r="C4556" t="s">
        <v>28</v>
      </c>
      <c r="D4556" s="7">
        <v>116</v>
      </c>
      <c r="E4556" s="7">
        <v>18</v>
      </c>
      <c r="F4556" s="7">
        <f t="shared" si="71"/>
        <v>3</v>
      </c>
      <c r="G4556" s="7" t="str">
        <f>LOOKUP(H4556,[1]startdates!$A$2:$A$10,[1]startdates!$B$2:$B$10)</f>
        <v>C</v>
      </c>
      <c r="H4556">
        <v>5</v>
      </c>
      <c r="I4556" s="7">
        <v>702.1</v>
      </c>
      <c r="J4556" s="7">
        <v>471.6</v>
      </c>
      <c r="K4556" s="7">
        <v>507.7</v>
      </c>
      <c r="L4556" s="7">
        <v>464.4</v>
      </c>
      <c r="M4556" s="7">
        <v>334.2</v>
      </c>
      <c r="N4556" s="7">
        <v>231.2</v>
      </c>
      <c r="O4556" s="7">
        <v>152.6</v>
      </c>
      <c r="P4556" s="7">
        <v>486.8</v>
      </c>
      <c r="Q4556" s="7">
        <v>377.8</v>
      </c>
      <c r="R4556" s="7">
        <v>221.5</v>
      </c>
      <c r="S4556" s="7">
        <v>244.9</v>
      </c>
    </row>
    <row r="4557" spans="1:21" x14ac:dyDescent="0.2">
      <c r="A4557">
        <v>4556</v>
      </c>
      <c r="B4557" s="1">
        <v>40855</v>
      </c>
      <c r="C4557" t="s">
        <v>28</v>
      </c>
      <c r="D4557" s="7">
        <v>116</v>
      </c>
      <c r="E4557" s="7">
        <v>18</v>
      </c>
      <c r="F4557" s="7">
        <f t="shared" si="71"/>
        <v>3</v>
      </c>
      <c r="G4557" s="7" t="str">
        <f>LOOKUP(H4557,[1]startdates!$A$2:$A$10,[1]startdates!$B$2:$B$10)</f>
        <v>C</v>
      </c>
      <c r="H4557">
        <v>5</v>
      </c>
      <c r="I4557" s="7">
        <v>720.1</v>
      </c>
      <c r="K4557" s="7">
        <v>506</v>
      </c>
      <c r="L4557" s="7">
        <v>462.8</v>
      </c>
      <c r="M4557" s="7">
        <v>301.3</v>
      </c>
      <c r="N4557" s="7">
        <v>266.60000000000002</v>
      </c>
      <c r="O4557" s="7">
        <v>161.4</v>
      </c>
      <c r="P4557" s="7">
        <v>434.7</v>
      </c>
      <c r="Q4557" s="7">
        <v>355</v>
      </c>
      <c r="R4557" s="7">
        <v>282.39999999999998</v>
      </c>
    </row>
    <row r="4558" spans="1:21" x14ac:dyDescent="0.2">
      <c r="A4558">
        <v>4557</v>
      </c>
      <c r="B4558" s="1">
        <v>40855</v>
      </c>
      <c r="C4558" t="s">
        <v>28</v>
      </c>
      <c r="D4558" s="7">
        <v>116</v>
      </c>
      <c r="E4558" s="7">
        <v>18</v>
      </c>
      <c r="F4558" s="7">
        <f t="shared" si="71"/>
        <v>3</v>
      </c>
      <c r="G4558" s="7" t="str">
        <f>LOOKUP(H4558,[1]startdates!$A$2:$A$10,[1]startdates!$B$2:$B$10)</f>
        <v>C</v>
      </c>
      <c r="H4558">
        <v>5</v>
      </c>
      <c r="I4558" s="7">
        <v>692</v>
      </c>
      <c r="K4558" s="7">
        <v>579.6</v>
      </c>
      <c r="L4558" s="7">
        <v>440</v>
      </c>
      <c r="M4558" s="7">
        <v>308.2</v>
      </c>
      <c r="N4558" s="7">
        <v>239.7</v>
      </c>
      <c r="O4558" s="7">
        <v>153.80000000000001</v>
      </c>
      <c r="R4558" s="7">
        <v>264</v>
      </c>
    </row>
    <row r="4559" spans="1:21" x14ac:dyDescent="0.2">
      <c r="A4559">
        <v>4558</v>
      </c>
      <c r="B4559" s="1">
        <v>40855</v>
      </c>
      <c r="C4559" t="s">
        <v>28</v>
      </c>
      <c r="D4559" s="7">
        <v>116</v>
      </c>
      <c r="E4559" s="7">
        <v>18</v>
      </c>
      <c r="F4559" s="7">
        <f t="shared" si="71"/>
        <v>3</v>
      </c>
      <c r="G4559" s="7" t="str">
        <f>LOOKUP(H4559,[1]startdates!$A$2:$A$10,[1]startdates!$B$2:$B$10)</f>
        <v>C</v>
      </c>
      <c r="H4559">
        <v>5</v>
      </c>
      <c r="I4559" s="7">
        <v>680.3</v>
      </c>
      <c r="K4559" s="7">
        <v>557.5</v>
      </c>
      <c r="L4559" s="7">
        <v>429.8</v>
      </c>
      <c r="M4559" s="7">
        <v>283.89999999999998</v>
      </c>
      <c r="N4559" s="7">
        <v>255</v>
      </c>
      <c r="O4559" s="7">
        <v>187</v>
      </c>
      <c r="R4559" s="7">
        <v>289.5</v>
      </c>
    </row>
    <row r="4560" spans="1:21" x14ac:dyDescent="0.2">
      <c r="A4560">
        <v>4559</v>
      </c>
      <c r="B4560" s="1">
        <v>40855</v>
      </c>
      <c r="C4560" t="s">
        <v>28</v>
      </c>
      <c r="D4560" s="7">
        <v>116</v>
      </c>
      <c r="E4560" s="7">
        <v>18</v>
      </c>
      <c r="F4560" s="7">
        <f t="shared" si="71"/>
        <v>3</v>
      </c>
      <c r="G4560" s="7" t="str">
        <f>LOOKUP(H4560,[1]startdates!$A$2:$A$10,[1]startdates!$B$2:$B$10)</f>
        <v>C</v>
      </c>
      <c r="H4560">
        <v>5</v>
      </c>
      <c r="I4560" s="7">
        <v>536.20000000000005</v>
      </c>
      <c r="K4560" s="7">
        <v>494.4</v>
      </c>
      <c r="M4560" s="7">
        <v>386.4</v>
      </c>
      <c r="N4560" s="7">
        <v>253.9</v>
      </c>
      <c r="O4560" s="7">
        <v>169.7</v>
      </c>
      <c r="R4560" s="7">
        <v>254.8</v>
      </c>
    </row>
    <row r="4561" spans="1:19" x14ac:dyDescent="0.2">
      <c r="A4561">
        <v>4560</v>
      </c>
      <c r="B4561" s="1">
        <v>40855</v>
      </c>
      <c r="C4561" t="s">
        <v>28</v>
      </c>
      <c r="D4561" s="7">
        <v>116</v>
      </c>
      <c r="E4561" s="7">
        <v>18</v>
      </c>
      <c r="F4561" s="7">
        <f t="shared" si="71"/>
        <v>3</v>
      </c>
      <c r="G4561" s="7" t="str">
        <f>LOOKUP(H4561,[1]startdates!$A$2:$A$10,[1]startdates!$B$2:$B$10)</f>
        <v>C</v>
      </c>
      <c r="H4561">
        <v>5</v>
      </c>
      <c r="I4561" s="7">
        <v>533.79999999999995</v>
      </c>
      <c r="M4561" s="7">
        <v>322.89999999999998</v>
      </c>
      <c r="N4561" s="7">
        <v>190.2</v>
      </c>
      <c r="O4561" s="7">
        <v>192.6</v>
      </c>
    </row>
    <row r="4562" spans="1:19" x14ac:dyDescent="0.2">
      <c r="A4562">
        <v>4561</v>
      </c>
      <c r="B4562" s="1">
        <v>40855</v>
      </c>
      <c r="C4562" t="s">
        <v>28</v>
      </c>
      <c r="D4562" s="7">
        <v>116</v>
      </c>
      <c r="E4562" s="7">
        <v>18</v>
      </c>
      <c r="F4562" s="7">
        <f t="shared" si="71"/>
        <v>3</v>
      </c>
      <c r="G4562" s="7" t="str">
        <f>LOOKUP(H4562,[1]startdates!$A$2:$A$10,[1]startdates!$B$2:$B$10)</f>
        <v>C</v>
      </c>
      <c r="H4562">
        <v>5</v>
      </c>
      <c r="I4562" s="7">
        <v>604.5</v>
      </c>
      <c r="M4562" s="7">
        <v>317</v>
      </c>
      <c r="N4562" s="7">
        <v>242.8</v>
      </c>
      <c r="O4562" s="7">
        <v>197.6</v>
      </c>
    </row>
    <row r="4563" spans="1:19" x14ac:dyDescent="0.2">
      <c r="A4563">
        <v>4562</v>
      </c>
      <c r="B4563" s="1">
        <v>40855</v>
      </c>
      <c r="C4563" t="s">
        <v>28</v>
      </c>
      <c r="D4563" s="7">
        <v>116</v>
      </c>
      <c r="E4563" s="7">
        <v>18</v>
      </c>
      <c r="F4563" s="7">
        <f t="shared" si="71"/>
        <v>3</v>
      </c>
      <c r="G4563" s="7" t="str">
        <f>LOOKUP(H4563,[1]startdates!$A$2:$A$10,[1]startdates!$B$2:$B$10)</f>
        <v>C</v>
      </c>
      <c r="H4563">
        <v>5</v>
      </c>
      <c r="I4563" s="7">
        <v>612.79999999999995</v>
      </c>
      <c r="M4563" s="7">
        <v>324.3</v>
      </c>
      <c r="N4563" s="7">
        <v>218.7</v>
      </c>
      <c r="O4563" s="7">
        <v>169.7</v>
      </c>
    </row>
    <row r="4564" spans="1:19" x14ac:dyDescent="0.2">
      <c r="A4564">
        <v>4563</v>
      </c>
      <c r="B4564" s="1">
        <v>40855</v>
      </c>
      <c r="C4564" t="s">
        <v>28</v>
      </c>
      <c r="D4564" s="7">
        <v>116</v>
      </c>
      <c r="E4564" s="7">
        <v>18</v>
      </c>
      <c r="F4564" s="7">
        <f t="shared" si="71"/>
        <v>3</v>
      </c>
      <c r="G4564" s="7" t="str">
        <f>LOOKUP(H4564,[1]startdates!$A$2:$A$10,[1]startdates!$B$2:$B$10)</f>
        <v>C</v>
      </c>
      <c r="H4564">
        <v>5</v>
      </c>
      <c r="I4564" s="7">
        <v>639.29999999999995</v>
      </c>
      <c r="M4564" s="7">
        <v>333.4</v>
      </c>
      <c r="N4564" s="7">
        <v>200.3</v>
      </c>
      <c r="O4564" s="7">
        <v>160</v>
      </c>
    </row>
    <row r="4565" spans="1:19" x14ac:dyDescent="0.2">
      <c r="A4565">
        <v>4564</v>
      </c>
      <c r="B4565" s="1">
        <v>40855</v>
      </c>
      <c r="C4565" t="s">
        <v>28</v>
      </c>
      <c r="D4565" s="7">
        <v>116</v>
      </c>
      <c r="E4565" s="7">
        <v>18</v>
      </c>
      <c r="F4565" s="7">
        <f t="shared" si="71"/>
        <v>3</v>
      </c>
      <c r="G4565" s="7" t="str">
        <f>LOOKUP(H4565,[1]startdates!$A$2:$A$10,[1]startdates!$B$2:$B$10)</f>
        <v>C</v>
      </c>
      <c r="H4565">
        <v>5</v>
      </c>
      <c r="I4565" s="7">
        <v>698.6</v>
      </c>
      <c r="M4565" s="7">
        <v>304.10000000000002</v>
      </c>
      <c r="N4565" s="7">
        <v>234.3</v>
      </c>
      <c r="O4565" s="7">
        <v>166.5</v>
      </c>
    </row>
    <row r="4566" spans="1:19" x14ac:dyDescent="0.2">
      <c r="A4566">
        <v>4565</v>
      </c>
      <c r="B4566" s="1">
        <v>40855</v>
      </c>
      <c r="C4566" t="s">
        <v>28</v>
      </c>
      <c r="D4566" s="7">
        <v>116</v>
      </c>
      <c r="E4566" s="7">
        <v>18</v>
      </c>
      <c r="F4566" s="7">
        <f t="shared" si="71"/>
        <v>3</v>
      </c>
      <c r="G4566" s="7" t="str">
        <f>LOOKUP(H4566,[1]startdates!$A$2:$A$10,[1]startdates!$B$2:$B$10)</f>
        <v>FMr</v>
      </c>
      <c r="H4566">
        <v>6</v>
      </c>
      <c r="I4566" s="7">
        <v>614.70000000000005</v>
      </c>
      <c r="J4566" s="7">
        <v>549.5</v>
      </c>
      <c r="K4566" s="7">
        <v>527.29999999999995</v>
      </c>
      <c r="L4566" s="7">
        <v>415.8</v>
      </c>
      <c r="M4566" s="7">
        <v>320.10000000000002</v>
      </c>
      <c r="N4566" s="7">
        <v>204.2</v>
      </c>
      <c r="O4566" s="7">
        <v>164</v>
      </c>
      <c r="P4566" s="7">
        <v>519.9</v>
      </c>
      <c r="Q4566" s="7">
        <v>309.7</v>
      </c>
      <c r="R4566" s="7">
        <v>293.7</v>
      </c>
      <c r="S4566" s="7">
        <v>259.60000000000002</v>
      </c>
    </row>
    <row r="4567" spans="1:19" x14ac:dyDescent="0.2">
      <c r="A4567">
        <v>4566</v>
      </c>
      <c r="B4567" s="1">
        <v>40855</v>
      </c>
      <c r="C4567" t="s">
        <v>28</v>
      </c>
      <c r="D4567" s="7">
        <v>116</v>
      </c>
      <c r="E4567" s="7">
        <v>18</v>
      </c>
      <c r="F4567" s="7">
        <f t="shared" si="71"/>
        <v>3</v>
      </c>
      <c r="G4567" s="7" t="str">
        <f>LOOKUP(H4567,[1]startdates!$A$2:$A$10,[1]startdates!$B$2:$B$10)</f>
        <v>FMr</v>
      </c>
      <c r="H4567">
        <v>6</v>
      </c>
      <c r="I4567" s="7">
        <v>532.70000000000005</v>
      </c>
      <c r="K4567" s="7">
        <v>480.4</v>
      </c>
      <c r="L4567" s="7">
        <v>387.7</v>
      </c>
      <c r="M4567" s="7">
        <v>286.39999999999998</v>
      </c>
      <c r="N4567" s="7">
        <v>284.89999999999998</v>
      </c>
      <c r="O4567" s="7">
        <v>144.30000000000001</v>
      </c>
      <c r="P4567" s="7">
        <v>423.1</v>
      </c>
      <c r="Q4567" s="7">
        <v>388.7</v>
      </c>
      <c r="R4567" s="7">
        <v>238.1</v>
      </c>
      <c r="S4567" s="7">
        <v>244.8</v>
      </c>
    </row>
    <row r="4568" spans="1:19" x14ac:dyDescent="0.2">
      <c r="A4568">
        <v>4567</v>
      </c>
      <c r="B4568" s="1">
        <v>40855</v>
      </c>
      <c r="C4568" t="s">
        <v>28</v>
      </c>
      <c r="D4568" s="7">
        <v>116</v>
      </c>
      <c r="E4568" s="7">
        <v>18</v>
      </c>
      <c r="F4568" s="7">
        <f t="shared" si="71"/>
        <v>3</v>
      </c>
      <c r="G4568" s="7" t="str">
        <f>LOOKUP(H4568,[1]startdates!$A$2:$A$10,[1]startdates!$B$2:$B$10)</f>
        <v>FMr</v>
      </c>
      <c r="H4568">
        <v>6</v>
      </c>
      <c r="I4568" s="7">
        <v>556.70000000000005</v>
      </c>
      <c r="K4568" s="7">
        <v>510</v>
      </c>
      <c r="L4568" s="7">
        <v>421.7</v>
      </c>
      <c r="M4568" s="7">
        <v>345.3</v>
      </c>
      <c r="N4568" s="7">
        <v>218.1</v>
      </c>
      <c r="O4568" s="7">
        <v>156.30000000000001</v>
      </c>
      <c r="P4568" s="7">
        <v>438.5</v>
      </c>
      <c r="Q4568" s="7">
        <v>359.4</v>
      </c>
    </row>
    <row r="4569" spans="1:19" x14ac:dyDescent="0.2">
      <c r="A4569">
        <v>4568</v>
      </c>
      <c r="B4569" s="1">
        <v>40855</v>
      </c>
      <c r="C4569" t="s">
        <v>28</v>
      </c>
      <c r="D4569" s="7">
        <v>116</v>
      </c>
      <c r="E4569" s="7">
        <v>18</v>
      </c>
      <c r="F4569" s="7">
        <f t="shared" si="71"/>
        <v>3</v>
      </c>
      <c r="G4569" s="7" t="str">
        <f>LOOKUP(H4569,[1]startdates!$A$2:$A$10,[1]startdates!$B$2:$B$10)</f>
        <v>FMr</v>
      </c>
      <c r="H4569">
        <v>6</v>
      </c>
      <c r="I4569" s="7">
        <v>559.70000000000005</v>
      </c>
      <c r="K4569" s="7">
        <v>511.8</v>
      </c>
      <c r="L4569" s="7">
        <v>403.6</v>
      </c>
      <c r="M4569" s="7">
        <v>384.9</v>
      </c>
      <c r="N4569" s="7">
        <v>221.7</v>
      </c>
      <c r="O4569" s="7">
        <v>163</v>
      </c>
      <c r="P4569" s="7">
        <v>426.1</v>
      </c>
    </row>
    <row r="4570" spans="1:19" x14ac:dyDescent="0.2">
      <c r="A4570">
        <v>4569</v>
      </c>
      <c r="B4570" s="1">
        <v>40855</v>
      </c>
      <c r="C4570" t="s">
        <v>28</v>
      </c>
      <c r="D4570" s="7">
        <v>116</v>
      </c>
      <c r="E4570" s="7">
        <v>18</v>
      </c>
      <c r="F4570" s="7">
        <f t="shared" si="71"/>
        <v>3</v>
      </c>
      <c r="G4570" s="7" t="str">
        <f>LOOKUP(H4570,[1]startdates!$A$2:$A$10,[1]startdates!$B$2:$B$10)</f>
        <v>FMr</v>
      </c>
      <c r="H4570">
        <v>6</v>
      </c>
      <c r="I4570" s="7">
        <v>584.70000000000005</v>
      </c>
      <c r="K4570" s="7">
        <v>515.5</v>
      </c>
      <c r="M4570" s="7">
        <v>327.9</v>
      </c>
      <c r="N4570" s="7">
        <v>218.3</v>
      </c>
      <c r="O4570" s="7">
        <v>161.69999999999999</v>
      </c>
    </row>
    <row r="4571" spans="1:19" x14ac:dyDescent="0.2">
      <c r="A4571">
        <v>4570</v>
      </c>
      <c r="B4571" s="1">
        <v>40855</v>
      </c>
      <c r="C4571" t="s">
        <v>28</v>
      </c>
      <c r="D4571" s="7">
        <v>116</v>
      </c>
      <c r="E4571" s="7">
        <v>18</v>
      </c>
      <c r="F4571" s="7">
        <f t="shared" si="71"/>
        <v>3</v>
      </c>
      <c r="G4571" s="7" t="str">
        <f>LOOKUP(H4571,[1]startdates!$A$2:$A$10,[1]startdates!$B$2:$B$10)</f>
        <v>FMr</v>
      </c>
      <c r="H4571">
        <v>6</v>
      </c>
      <c r="I4571" s="7">
        <v>646.70000000000005</v>
      </c>
      <c r="K4571" s="7">
        <v>528.6</v>
      </c>
      <c r="M4571" s="7">
        <v>342.5</v>
      </c>
      <c r="N4571" s="7">
        <v>236.4</v>
      </c>
      <c r="O4571" s="7">
        <v>164.4</v>
      </c>
    </row>
    <row r="4572" spans="1:19" x14ac:dyDescent="0.2">
      <c r="A4572">
        <v>4571</v>
      </c>
      <c r="B4572" s="1">
        <v>40855</v>
      </c>
      <c r="C4572" t="s">
        <v>28</v>
      </c>
      <c r="D4572" s="7">
        <v>116</v>
      </c>
      <c r="E4572" s="7">
        <v>18</v>
      </c>
      <c r="F4572" s="7">
        <f t="shared" si="71"/>
        <v>3</v>
      </c>
      <c r="G4572" s="7" t="str">
        <f>LOOKUP(H4572,[1]startdates!$A$2:$A$10,[1]startdates!$B$2:$B$10)</f>
        <v>FMr</v>
      </c>
      <c r="H4572">
        <v>6</v>
      </c>
      <c r="I4572" s="7">
        <v>551.6</v>
      </c>
      <c r="M4572" s="7">
        <v>343</v>
      </c>
      <c r="N4572" s="7">
        <v>178.4</v>
      </c>
      <c r="O4572" s="7">
        <v>176</v>
      </c>
    </row>
    <row r="4573" spans="1:19" x14ac:dyDescent="0.2">
      <c r="A4573">
        <v>4572</v>
      </c>
      <c r="B4573" s="1">
        <v>40855</v>
      </c>
      <c r="C4573" t="s">
        <v>28</v>
      </c>
      <c r="D4573" s="7">
        <v>116</v>
      </c>
      <c r="E4573" s="7">
        <v>18</v>
      </c>
      <c r="F4573" s="7">
        <f t="shared" si="71"/>
        <v>3</v>
      </c>
      <c r="G4573" s="7" t="str">
        <f>LOOKUP(H4573,[1]startdates!$A$2:$A$10,[1]startdates!$B$2:$B$10)</f>
        <v>FMr</v>
      </c>
      <c r="H4573">
        <v>6</v>
      </c>
      <c r="I4573" s="7">
        <v>557.20000000000005</v>
      </c>
      <c r="M4573" s="7">
        <v>315.7</v>
      </c>
      <c r="N4573" s="7">
        <v>234</v>
      </c>
      <c r="O4573" s="7">
        <v>167.1</v>
      </c>
    </row>
    <row r="4574" spans="1:19" x14ac:dyDescent="0.2">
      <c r="A4574">
        <v>4573</v>
      </c>
      <c r="B4574" s="1">
        <v>40855</v>
      </c>
      <c r="C4574" t="s">
        <v>28</v>
      </c>
      <c r="D4574" s="7">
        <v>116</v>
      </c>
      <c r="E4574" s="7">
        <v>18</v>
      </c>
      <c r="F4574" s="7">
        <f t="shared" si="71"/>
        <v>3</v>
      </c>
      <c r="G4574" s="7" t="str">
        <f>LOOKUP(H4574,[1]startdates!$A$2:$A$10,[1]startdates!$B$2:$B$10)</f>
        <v>FMr</v>
      </c>
      <c r="H4574">
        <v>6</v>
      </c>
      <c r="I4574" s="7">
        <v>548.4</v>
      </c>
      <c r="M4574" s="7">
        <v>302.3</v>
      </c>
      <c r="N4574" s="7">
        <v>240.8</v>
      </c>
      <c r="O4574" s="7">
        <v>154.80000000000001</v>
      </c>
    </row>
    <row r="4575" spans="1:19" x14ac:dyDescent="0.2">
      <c r="A4575">
        <v>4574</v>
      </c>
      <c r="B4575" s="1">
        <v>40855</v>
      </c>
      <c r="C4575" t="s">
        <v>28</v>
      </c>
      <c r="D4575" s="7">
        <v>116</v>
      </c>
      <c r="E4575" s="7">
        <v>18</v>
      </c>
      <c r="F4575" s="7">
        <f t="shared" si="71"/>
        <v>3</v>
      </c>
      <c r="G4575" s="7" t="str">
        <f>LOOKUP(H4575,[1]startdates!$A$2:$A$10,[1]startdates!$B$2:$B$10)</f>
        <v>FMr</v>
      </c>
      <c r="H4575">
        <v>6</v>
      </c>
      <c r="I4575" s="7">
        <v>534</v>
      </c>
      <c r="M4575" s="7">
        <v>331.1</v>
      </c>
      <c r="N4575" s="7">
        <v>181</v>
      </c>
      <c r="O4575" s="7">
        <v>174.6</v>
      </c>
    </row>
    <row r="4576" spans="1:19" x14ac:dyDescent="0.2">
      <c r="A4576">
        <v>4575</v>
      </c>
      <c r="B4576" s="1">
        <v>40855</v>
      </c>
      <c r="C4576" t="s">
        <v>28</v>
      </c>
      <c r="D4576" s="7">
        <v>116</v>
      </c>
      <c r="E4576" s="7">
        <v>18</v>
      </c>
      <c r="F4576" s="7">
        <f t="shared" si="71"/>
        <v>3</v>
      </c>
      <c r="G4576" s="7" t="str">
        <f>LOOKUP(H4576,[1]startdates!$A$2:$A$10,[1]startdates!$B$2:$B$10)</f>
        <v>FMr</v>
      </c>
      <c r="H4576">
        <v>6</v>
      </c>
      <c r="I4576" s="7">
        <v>548.4</v>
      </c>
    </row>
    <row r="4577" spans="1:19" x14ac:dyDescent="0.2">
      <c r="A4577">
        <v>4576</v>
      </c>
      <c r="B4577" s="1">
        <v>40855</v>
      </c>
      <c r="C4577" t="s">
        <v>28</v>
      </c>
      <c r="D4577" s="7">
        <v>116</v>
      </c>
      <c r="E4577" s="7">
        <v>18</v>
      </c>
      <c r="F4577" s="7">
        <f t="shared" si="71"/>
        <v>3</v>
      </c>
      <c r="G4577" s="7" t="str">
        <f>LOOKUP(H4577,[1]startdates!$A$2:$A$10,[1]startdates!$B$2:$B$10)</f>
        <v>FMr</v>
      </c>
      <c r="H4577">
        <v>6</v>
      </c>
      <c r="I4577" s="7">
        <v>562.70000000000005</v>
      </c>
    </row>
    <row r="4578" spans="1:19" x14ac:dyDescent="0.2">
      <c r="A4578">
        <v>4577</v>
      </c>
      <c r="B4578" s="1">
        <v>40855</v>
      </c>
      <c r="C4578" t="s">
        <v>28</v>
      </c>
      <c r="D4578" s="7">
        <v>116</v>
      </c>
      <c r="E4578" s="7">
        <v>18</v>
      </c>
      <c r="F4578" s="7">
        <f t="shared" si="71"/>
        <v>3</v>
      </c>
      <c r="G4578" s="7" t="str">
        <f>LOOKUP(H4578,[1]startdates!$A$2:$A$10,[1]startdates!$B$2:$B$10)</f>
        <v>FMr</v>
      </c>
      <c r="H4578">
        <v>6</v>
      </c>
      <c r="I4578" s="7">
        <v>529</v>
      </c>
    </row>
    <row r="4579" spans="1:19" x14ac:dyDescent="0.2">
      <c r="A4579">
        <v>4578</v>
      </c>
      <c r="B4579" s="1">
        <v>40855</v>
      </c>
      <c r="C4579" t="s">
        <v>28</v>
      </c>
      <c r="D4579" s="7">
        <v>116</v>
      </c>
      <c r="E4579" s="7">
        <v>18</v>
      </c>
      <c r="F4579" s="7">
        <f t="shared" si="71"/>
        <v>3</v>
      </c>
      <c r="G4579" s="7" t="str">
        <f>LOOKUP(H4579,[1]startdates!$A$2:$A$10,[1]startdates!$B$2:$B$10)</f>
        <v>FMr</v>
      </c>
      <c r="H4579">
        <v>6</v>
      </c>
      <c r="I4579" s="7">
        <v>483.1</v>
      </c>
    </row>
    <row r="4580" spans="1:19" x14ac:dyDescent="0.2">
      <c r="A4580">
        <v>4579</v>
      </c>
      <c r="B4580" s="1">
        <v>40855</v>
      </c>
      <c r="C4580" t="s">
        <v>28</v>
      </c>
      <c r="D4580" s="7">
        <v>116</v>
      </c>
      <c r="E4580" s="7">
        <v>18</v>
      </c>
      <c r="F4580" s="7">
        <f t="shared" si="71"/>
        <v>3</v>
      </c>
      <c r="G4580" s="7" t="str">
        <f>LOOKUP(H4580,[1]startdates!$A$2:$A$10,[1]startdates!$B$2:$B$10)</f>
        <v>FMr</v>
      </c>
      <c r="H4580">
        <v>7</v>
      </c>
      <c r="I4580" s="7">
        <v>557.70000000000005</v>
      </c>
      <c r="J4580" s="7">
        <v>491.2</v>
      </c>
      <c r="K4580" s="7">
        <v>504.5</v>
      </c>
      <c r="L4580" s="7">
        <v>462</v>
      </c>
      <c r="M4580" s="7">
        <v>305.60000000000002</v>
      </c>
      <c r="N4580" s="7">
        <v>274.8</v>
      </c>
      <c r="O4580" s="7">
        <v>143</v>
      </c>
      <c r="P4580" s="7">
        <v>420.7</v>
      </c>
      <c r="Q4580" s="7">
        <v>336.5</v>
      </c>
      <c r="R4580" s="7">
        <v>243.9</v>
      </c>
    </row>
    <row r="4581" spans="1:19" x14ac:dyDescent="0.2">
      <c r="A4581">
        <v>4580</v>
      </c>
      <c r="B4581" s="1">
        <v>40855</v>
      </c>
      <c r="C4581" t="s">
        <v>28</v>
      </c>
      <c r="D4581" s="7">
        <v>116</v>
      </c>
      <c r="E4581" s="7">
        <v>18</v>
      </c>
      <c r="F4581" s="7">
        <f t="shared" si="71"/>
        <v>3</v>
      </c>
      <c r="G4581" s="7" t="str">
        <f>LOOKUP(H4581,[1]startdates!$A$2:$A$10,[1]startdates!$B$2:$B$10)</f>
        <v>FMr</v>
      </c>
      <c r="H4581">
        <v>7</v>
      </c>
      <c r="I4581" s="7">
        <v>633.4</v>
      </c>
      <c r="K4581" s="7">
        <v>461.3</v>
      </c>
      <c r="L4581" s="7">
        <v>453.3</v>
      </c>
      <c r="M4581" s="7">
        <v>371.9</v>
      </c>
      <c r="N4581" s="7">
        <v>202.8</v>
      </c>
      <c r="O4581" s="7">
        <v>166.8</v>
      </c>
      <c r="P4581" s="7">
        <v>394.1</v>
      </c>
      <c r="Q4581" s="7">
        <v>292.7</v>
      </c>
      <c r="R4581" s="7">
        <v>240.7</v>
      </c>
    </row>
    <row r="4582" spans="1:19" x14ac:dyDescent="0.2">
      <c r="A4582">
        <v>4581</v>
      </c>
      <c r="B4582" s="1">
        <v>40855</v>
      </c>
      <c r="C4582" t="s">
        <v>28</v>
      </c>
      <c r="D4582" s="7">
        <v>116</v>
      </c>
      <c r="E4582" s="7">
        <v>18</v>
      </c>
      <c r="F4582" s="7">
        <f t="shared" si="71"/>
        <v>3</v>
      </c>
      <c r="G4582" s="7" t="str">
        <f>LOOKUP(H4582,[1]startdates!$A$2:$A$10,[1]startdates!$B$2:$B$10)</f>
        <v>FMr</v>
      </c>
      <c r="H4582">
        <v>7</v>
      </c>
      <c r="I4582" s="7">
        <v>631.20000000000005</v>
      </c>
      <c r="K4582" s="7">
        <v>509.7</v>
      </c>
      <c r="L4582" s="7">
        <v>400.8</v>
      </c>
      <c r="M4582" s="7">
        <v>363.3</v>
      </c>
      <c r="N4582" s="7">
        <v>209.9</v>
      </c>
      <c r="O4582" s="7">
        <v>156.80000000000001</v>
      </c>
      <c r="R4582" s="7">
        <v>241.3</v>
      </c>
    </row>
    <row r="4583" spans="1:19" x14ac:dyDescent="0.2">
      <c r="A4583">
        <v>4582</v>
      </c>
      <c r="B4583" s="1">
        <v>40855</v>
      </c>
      <c r="C4583" t="s">
        <v>28</v>
      </c>
      <c r="D4583" s="7">
        <v>116</v>
      </c>
      <c r="E4583" s="7">
        <v>18</v>
      </c>
      <c r="F4583" s="7">
        <f t="shared" si="71"/>
        <v>3</v>
      </c>
      <c r="G4583" s="7" t="str">
        <f>LOOKUP(H4583,[1]startdates!$A$2:$A$10,[1]startdates!$B$2:$B$10)</f>
        <v>FMr</v>
      </c>
      <c r="H4583">
        <v>7</v>
      </c>
      <c r="I4583" s="7">
        <v>580.6</v>
      </c>
      <c r="K4583" s="7">
        <v>471.8</v>
      </c>
      <c r="L4583" s="7">
        <v>392.2</v>
      </c>
      <c r="M4583" s="7">
        <v>339.8</v>
      </c>
      <c r="N4583" s="7">
        <v>240</v>
      </c>
      <c r="O4583" s="7">
        <v>160</v>
      </c>
      <c r="R4583" s="7">
        <v>271.8</v>
      </c>
    </row>
    <row r="4584" spans="1:19" x14ac:dyDescent="0.2">
      <c r="A4584">
        <v>4583</v>
      </c>
      <c r="B4584" s="1">
        <v>40855</v>
      </c>
      <c r="C4584" t="s">
        <v>28</v>
      </c>
      <c r="D4584" s="7">
        <v>116</v>
      </c>
      <c r="E4584" s="7">
        <v>18</v>
      </c>
      <c r="F4584" s="7">
        <f t="shared" si="71"/>
        <v>3</v>
      </c>
      <c r="G4584" s="7" t="str">
        <f>LOOKUP(H4584,[1]startdates!$A$2:$A$10,[1]startdates!$B$2:$B$10)</f>
        <v>FMr</v>
      </c>
      <c r="H4584">
        <v>7</v>
      </c>
      <c r="I4584" s="7">
        <v>558.6</v>
      </c>
      <c r="K4584" s="7">
        <v>521.29999999999995</v>
      </c>
      <c r="L4584" s="7">
        <v>386.9</v>
      </c>
      <c r="M4584" s="7">
        <v>348.1</v>
      </c>
      <c r="N4584" s="7">
        <v>221.3</v>
      </c>
      <c r="O4584" s="7">
        <v>153.80000000000001</v>
      </c>
      <c r="R4584" s="7">
        <v>243.7</v>
      </c>
    </row>
    <row r="4585" spans="1:19" x14ac:dyDescent="0.2">
      <c r="A4585">
        <v>4584</v>
      </c>
      <c r="B4585" s="1">
        <v>40855</v>
      </c>
      <c r="C4585" t="s">
        <v>28</v>
      </c>
      <c r="D4585" s="7">
        <v>116</v>
      </c>
      <c r="E4585" s="7">
        <v>18</v>
      </c>
      <c r="F4585" s="7">
        <f t="shared" ref="F4585:F4648" si="72">WEEKDAY(B4585)</f>
        <v>3</v>
      </c>
      <c r="G4585" s="7" t="str">
        <f>LOOKUP(H4585,[1]startdates!$A$2:$A$10,[1]startdates!$B$2:$B$10)</f>
        <v>FMr</v>
      </c>
      <c r="H4585">
        <v>7</v>
      </c>
      <c r="I4585" s="7">
        <v>603.70000000000005</v>
      </c>
      <c r="K4585" s="7">
        <v>602.1</v>
      </c>
      <c r="L4585" s="7">
        <v>482.4</v>
      </c>
      <c r="M4585" s="7">
        <v>280.39999999999998</v>
      </c>
      <c r="N4585" s="7">
        <v>241</v>
      </c>
      <c r="O4585" s="7">
        <v>155.69999999999999</v>
      </c>
    </row>
    <row r="4586" spans="1:19" x14ac:dyDescent="0.2">
      <c r="A4586">
        <v>4585</v>
      </c>
      <c r="B4586" s="1">
        <v>40855</v>
      </c>
      <c r="C4586" t="s">
        <v>28</v>
      </c>
      <c r="D4586" s="7">
        <v>116</v>
      </c>
      <c r="E4586" s="7">
        <v>18</v>
      </c>
      <c r="F4586" s="7">
        <f t="shared" si="72"/>
        <v>3</v>
      </c>
      <c r="G4586" s="7" t="str">
        <f>LOOKUP(H4586,[1]startdates!$A$2:$A$10,[1]startdates!$B$2:$B$10)</f>
        <v>FMr</v>
      </c>
      <c r="H4586">
        <v>7</v>
      </c>
      <c r="I4586" s="7">
        <v>508.8</v>
      </c>
      <c r="L4586" s="7">
        <v>457.2</v>
      </c>
      <c r="M4586" s="7">
        <v>282.2</v>
      </c>
      <c r="N4586" s="7">
        <v>224.1</v>
      </c>
      <c r="O4586" s="7">
        <v>149.5</v>
      </c>
    </row>
    <row r="4587" spans="1:19" x14ac:dyDescent="0.2">
      <c r="A4587">
        <v>4586</v>
      </c>
      <c r="B4587" s="1">
        <v>40855</v>
      </c>
      <c r="C4587" t="s">
        <v>28</v>
      </c>
      <c r="D4587" s="7">
        <v>116</v>
      </c>
      <c r="E4587" s="7">
        <v>18</v>
      </c>
      <c r="F4587" s="7">
        <f t="shared" si="72"/>
        <v>3</v>
      </c>
      <c r="G4587" s="7" t="str">
        <f>LOOKUP(H4587,[1]startdates!$A$2:$A$10,[1]startdates!$B$2:$B$10)</f>
        <v>FMr</v>
      </c>
      <c r="H4587">
        <v>7</v>
      </c>
      <c r="I4587" s="7">
        <v>550.9</v>
      </c>
      <c r="L4587" s="7">
        <v>438.4</v>
      </c>
      <c r="M4587" s="7">
        <v>312.39999999999998</v>
      </c>
      <c r="N4587" s="7">
        <v>268.8</v>
      </c>
      <c r="O4587" s="7">
        <v>171.9</v>
      </c>
    </row>
    <row r="4588" spans="1:19" x14ac:dyDescent="0.2">
      <c r="A4588">
        <v>4587</v>
      </c>
      <c r="B4588" s="1">
        <v>40855</v>
      </c>
      <c r="C4588" t="s">
        <v>28</v>
      </c>
      <c r="D4588" s="7">
        <v>116</v>
      </c>
      <c r="E4588" s="7">
        <v>18</v>
      </c>
      <c r="F4588" s="7">
        <f t="shared" si="72"/>
        <v>3</v>
      </c>
      <c r="G4588" s="7" t="str">
        <f>LOOKUP(H4588,[1]startdates!$A$2:$A$10,[1]startdates!$B$2:$B$10)</f>
        <v>FMr</v>
      </c>
      <c r="H4588">
        <v>7</v>
      </c>
      <c r="I4588" s="7">
        <v>494.8</v>
      </c>
      <c r="L4588" s="7">
        <v>440.4</v>
      </c>
      <c r="M4588" s="7">
        <v>310.3</v>
      </c>
      <c r="N4588" s="7">
        <v>247.1</v>
      </c>
      <c r="O4588" s="7">
        <v>173.8</v>
      </c>
    </row>
    <row r="4589" spans="1:19" x14ac:dyDescent="0.2">
      <c r="A4589">
        <v>4588</v>
      </c>
      <c r="B4589" s="1">
        <v>40855</v>
      </c>
      <c r="C4589" t="s">
        <v>28</v>
      </c>
      <c r="D4589" s="7">
        <v>116</v>
      </c>
      <c r="E4589" s="7">
        <v>18</v>
      </c>
      <c r="F4589" s="7">
        <f t="shared" si="72"/>
        <v>3</v>
      </c>
      <c r="G4589" s="7" t="str">
        <f>LOOKUP(H4589,[1]startdates!$A$2:$A$10,[1]startdates!$B$2:$B$10)</f>
        <v>FMr</v>
      </c>
      <c r="H4589">
        <v>7</v>
      </c>
      <c r="I4589" s="7">
        <v>618.1</v>
      </c>
      <c r="L4589" s="7">
        <v>483.7</v>
      </c>
      <c r="M4589" s="7">
        <v>305.10000000000002</v>
      </c>
      <c r="N4589" s="7">
        <v>184.9</v>
      </c>
      <c r="O4589" s="7">
        <v>165.7</v>
      </c>
    </row>
    <row r="4590" spans="1:19" x14ac:dyDescent="0.2">
      <c r="A4590">
        <v>4589</v>
      </c>
      <c r="B4590" s="1">
        <v>40855</v>
      </c>
      <c r="C4590" t="s">
        <v>28</v>
      </c>
      <c r="D4590" s="7">
        <v>116</v>
      </c>
      <c r="E4590" s="7">
        <v>18</v>
      </c>
      <c r="F4590" s="7">
        <f t="shared" si="72"/>
        <v>3</v>
      </c>
      <c r="G4590" s="7" t="str">
        <f>LOOKUP(H4590,[1]startdates!$A$2:$A$10,[1]startdates!$B$2:$B$10)</f>
        <v>FMr</v>
      </c>
      <c r="H4590">
        <v>7</v>
      </c>
      <c r="I4590" s="7">
        <v>461.7</v>
      </c>
      <c r="N4590" s="7">
        <v>265.5</v>
      </c>
    </row>
    <row r="4591" spans="1:19" x14ac:dyDescent="0.2">
      <c r="A4591">
        <v>4590</v>
      </c>
      <c r="B4591" s="1">
        <v>40855</v>
      </c>
      <c r="C4591" t="s">
        <v>28</v>
      </c>
      <c r="D4591" s="7">
        <v>116</v>
      </c>
      <c r="E4591" s="7">
        <v>18</v>
      </c>
      <c r="F4591" s="7">
        <f t="shared" si="72"/>
        <v>3</v>
      </c>
      <c r="G4591" s="7" t="str">
        <f>LOOKUP(H4591,[1]startdates!$A$2:$A$10,[1]startdates!$B$2:$B$10)</f>
        <v>FMr</v>
      </c>
      <c r="H4591">
        <v>7</v>
      </c>
      <c r="I4591" s="7">
        <v>571.5</v>
      </c>
      <c r="N4591" s="7">
        <v>279.10000000000002</v>
      </c>
    </row>
    <row r="4592" spans="1:19" x14ac:dyDescent="0.2">
      <c r="A4592">
        <v>4591</v>
      </c>
      <c r="B4592" s="1">
        <v>40855</v>
      </c>
      <c r="C4592" t="s">
        <v>28</v>
      </c>
      <c r="D4592" s="7">
        <v>116</v>
      </c>
      <c r="E4592" s="7">
        <v>18</v>
      </c>
      <c r="F4592" s="7">
        <f t="shared" si="72"/>
        <v>3</v>
      </c>
      <c r="G4592" s="7" t="str">
        <f>LOOKUP(H4592,[1]startdates!$A$2:$A$10,[1]startdates!$B$2:$B$10)</f>
        <v>C</v>
      </c>
      <c r="H4592">
        <v>8</v>
      </c>
      <c r="I4592" s="7">
        <v>675.3</v>
      </c>
      <c r="J4592" s="7">
        <v>568.29999999999995</v>
      </c>
      <c r="K4592" s="7">
        <v>610.6</v>
      </c>
      <c r="L4592" s="7">
        <v>432.4</v>
      </c>
      <c r="M4592" s="7">
        <v>314.2</v>
      </c>
      <c r="N4592" s="7">
        <v>213.5</v>
      </c>
      <c r="O4592" s="7">
        <v>156.30000000000001</v>
      </c>
      <c r="P4592" s="7">
        <v>475.5</v>
      </c>
      <c r="Q4592" s="7">
        <v>374.4</v>
      </c>
      <c r="S4592" s="7">
        <v>254</v>
      </c>
    </row>
    <row r="4593" spans="1:19" x14ac:dyDescent="0.2">
      <c r="A4593">
        <v>4592</v>
      </c>
      <c r="B4593" s="1">
        <v>40855</v>
      </c>
      <c r="C4593" t="s">
        <v>28</v>
      </c>
      <c r="D4593" s="7">
        <v>116</v>
      </c>
      <c r="E4593" s="7">
        <v>18</v>
      </c>
      <c r="F4593" s="7">
        <f t="shared" si="72"/>
        <v>3</v>
      </c>
      <c r="G4593" s="7" t="str">
        <f>LOOKUP(H4593,[1]startdates!$A$2:$A$10,[1]startdates!$B$2:$B$10)</f>
        <v>C</v>
      </c>
      <c r="H4593">
        <v>8</v>
      </c>
      <c r="I4593" s="7">
        <v>606.1</v>
      </c>
      <c r="J4593" s="7">
        <v>519.20000000000005</v>
      </c>
      <c r="K4593" s="7">
        <v>588.79999999999995</v>
      </c>
      <c r="M4593" s="7">
        <v>285.3</v>
      </c>
      <c r="N4593" s="7">
        <v>237.3</v>
      </c>
      <c r="O4593" s="7">
        <v>159.69999999999999</v>
      </c>
      <c r="Q4593" s="7">
        <v>375.8</v>
      </c>
      <c r="S4593" s="7">
        <v>243.4</v>
      </c>
    </row>
    <row r="4594" spans="1:19" x14ac:dyDescent="0.2">
      <c r="A4594">
        <v>4593</v>
      </c>
      <c r="B4594" s="1">
        <v>40855</v>
      </c>
      <c r="C4594" t="s">
        <v>28</v>
      </c>
      <c r="D4594" s="7">
        <v>116</v>
      </c>
      <c r="E4594" s="7">
        <v>18</v>
      </c>
      <c r="F4594" s="7">
        <f t="shared" si="72"/>
        <v>3</v>
      </c>
      <c r="G4594" s="7" t="str">
        <f>LOOKUP(H4594,[1]startdates!$A$2:$A$10,[1]startdates!$B$2:$B$10)</f>
        <v>C</v>
      </c>
      <c r="H4594">
        <v>8</v>
      </c>
      <c r="I4594" s="7">
        <v>648.29999999999995</v>
      </c>
      <c r="J4594" s="7">
        <v>518</v>
      </c>
      <c r="K4594" s="7">
        <v>593.29999999999995</v>
      </c>
      <c r="M4594" s="7">
        <v>325.3</v>
      </c>
      <c r="N4594" s="7">
        <v>228.2</v>
      </c>
      <c r="O4594" s="7">
        <v>176.8</v>
      </c>
      <c r="S4594" s="7">
        <v>258.8</v>
      </c>
    </row>
    <row r="4595" spans="1:19" x14ac:dyDescent="0.2">
      <c r="A4595">
        <v>4594</v>
      </c>
      <c r="B4595" s="1">
        <v>40855</v>
      </c>
      <c r="C4595" t="s">
        <v>28</v>
      </c>
      <c r="D4595" s="7">
        <v>116</v>
      </c>
      <c r="E4595" s="7">
        <v>18</v>
      </c>
      <c r="F4595" s="7">
        <f t="shared" si="72"/>
        <v>3</v>
      </c>
      <c r="G4595" s="7" t="str">
        <f>LOOKUP(H4595,[1]startdates!$A$2:$A$10,[1]startdates!$B$2:$B$10)</f>
        <v>C</v>
      </c>
      <c r="H4595">
        <v>8</v>
      </c>
      <c r="I4595" s="7">
        <v>604.29999999999995</v>
      </c>
      <c r="J4595" s="7">
        <v>509.2</v>
      </c>
      <c r="K4595" s="7">
        <v>583.20000000000005</v>
      </c>
      <c r="M4595" s="7">
        <v>314.7</v>
      </c>
      <c r="N4595" s="7">
        <v>213.8</v>
      </c>
      <c r="O4595" s="7">
        <v>156</v>
      </c>
      <c r="S4595" s="7">
        <v>271.60000000000002</v>
      </c>
    </row>
    <row r="4596" spans="1:19" x14ac:dyDescent="0.2">
      <c r="A4596">
        <v>4595</v>
      </c>
      <c r="B4596" s="1">
        <v>40855</v>
      </c>
      <c r="C4596" t="s">
        <v>28</v>
      </c>
      <c r="D4596" s="7">
        <v>116</v>
      </c>
      <c r="E4596" s="7">
        <v>18</v>
      </c>
      <c r="F4596" s="7">
        <f t="shared" si="72"/>
        <v>3</v>
      </c>
      <c r="G4596" s="7" t="str">
        <f>LOOKUP(H4596,[1]startdates!$A$2:$A$10,[1]startdates!$B$2:$B$10)</f>
        <v>C</v>
      </c>
      <c r="H4596">
        <v>8</v>
      </c>
      <c r="I4596" s="7">
        <v>707.8</v>
      </c>
      <c r="K4596" s="7">
        <v>594.9</v>
      </c>
      <c r="M4596" s="7">
        <v>315.89999999999998</v>
      </c>
      <c r="N4596" s="7">
        <v>241.3</v>
      </c>
      <c r="O4596" s="7">
        <v>196</v>
      </c>
      <c r="S4596" s="7">
        <v>274</v>
      </c>
    </row>
    <row r="4597" spans="1:19" x14ac:dyDescent="0.2">
      <c r="A4597">
        <v>4596</v>
      </c>
      <c r="B4597" s="1">
        <v>40855</v>
      </c>
      <c r="C4597" t="s">
        <v>28</v>
      </c>
      <c r="D4597" s="7">
        <v>116</v>
      </c>
      <c r="E4597" s="7">
        <v>18</v>
      </c>
      <c r="F4597" s="7">
        <f t="shared" si="72"/>
        <v>3</v>
      </c>
      <c r="G4597" s="7" t="str">
        <f>LOOKUP(H4597,[1]startdates!$A$2:$A$10,[1]startdates!$B$2:$B$10)</f>
        <v>C</v>
      </c>
      <c r="H4597">
        <v>8</v>
      </c>
      <c r="I4597" s="7">
        <v>632.79999999999995</v>
      </c>
      <c r="K4597" s="7">
        <v>511.5</v>
      </c>
      <c r="M4597" s="7">
        <v>309.5</v>
      </c>
      <c r="N4597" s="7">
        <v>216.6</v>
      </c>
      <c r="O4597" s="7">
        <v>164.5</v>
      </c>
    </row>
    <row r="4598" spans="1:19" x14ac:dyDescent="0.2">
      <c r="A4598">
        <v>4597</v>
      </c>
      <c r="B4598" s="1">
        <v>40855</v>
      </c>
      <c r="C4598" t="s">
        <v>28</v>
      </c>
      <c r="D4598" s="7">
        <v>116</v>
      </c>
      <c r="E4598" s="7">
        <v>18</v>
      </c>
      <c r="F4598" s="7">
        <f t="shared" si="72"/>
        <v>3</v>
      </c>
      <c r="G4598" s="7" t="str">
        <f>LOOKUP(H4598,[1]startdates!$A$2:$A$10,[1]startdates!$B$2:$B$10)</f>
        <v>C</v>
      </c>
      <c r="H4598">
        <v>8</v>
      </c>
      <c r="I4598" s="7">
        <v>722</v>
      </c>
      <c r="M4598" s="7">
        <v>369.1</v>
      </c>
      <c r="N4598" s="7">
        <v>255.7</v>
      </c>
      <c r="O4598" s="7">
        <v>171.6</v>
      </c>
    </row>
    <row r="4599" spans="1:19" x14ac:dyDescent="0.2">
      <c r="A4599">
        <v>4598</v>
      </c>
      <c r="B4599" s="1">
        <v>40855</v>
      </c>
      <c r="C4599" t="s">
        <v>28</v>
      </c>
      <c r="D4599" s="7">
        <v>116</v>
      </c>
      <c r="E4599" s="7">
        <v>18</v>
      </c>
      <c r="F4599" s="7">
        <f t="shared" si="72"/>
        <v>3</v>
      </c>
      <c r="G4599" s="7" t="str">
        <f>LOOKUP(H4599,[1]startdates!$A$2:$A$10,[1]startdates!$B$2:$B$10)</f>
        <v>C</v>
      </c>
      <c r="H4599">
        <v>8</v>
      </c>
      <c r="I4599" s="7">
        <v>629.6</v>
      </c>
      <c r="M4599" s="7">
        <v>321.89999999999998</v>
      </c>
      <c r="N4599" s="7">
        <v>238.9</v>
      </c>
      <c r="O4599" s="7">
        <v>151.4</v>
      </c>
    </row>
    <row r="4600" spans="1:19" x14ac:dyDescent="0.2">
      <c r="A4600">
        <v>4599</v>
      </c>
      <c r="B4600" s="1">
        <v>40855</v>
      </c>
      <c r="C4600" t="s">
        <v>28</v>
      </c>
      <c r="D4600" s="7">
        <v>116</v>
      </c>
      <c r="E4600" s="7">
        <v>18</v>
      </c>
      <c r="F4600" s="7">
        <f t="shared" si="72"/>
        <v>3</v>
      </c>
      <c r="G4600" s="7" t="str">
        <f>LOOKUP(H4600,[1]startdates!$A$2:$A$10,[1]startdates!$B$2:$B$10)</f>
        <v>C</v>
      </c>
      <c r="H4600">
        <v>8</v>
      </c>
      <c r="I4600" s="7">
        <v>479.5</v>
      </c>
      <c r="M4600" s="7">
        <v>280.60000000000002</v>
      </c>
      <c r="N4600" s="7">
        <v>247.1</v>
      </c>
      <c r="O4600" s="7">
        <v>174.6</v>
      </c>
    </row>
    <row r="4601" spans="1:19" x14ac:dyDescent="0.2">
      <c r="A4601">
        <v>4600</v>
      </c>
      <c r="B4601" s="1">
        <v>40855</v>
      </c>
      <c r="C4601" t="s">
        <v>28</v>
      </c>
      <c r="D4601" s="7">
        <v>116</v>
      </c>
      <c r="E4601" s="7">
        <v>18</v>
      </c>
      <c r="F4601" s="7">
        <f t="shared" si="72"/>
        <v>3</v>
      </c>
      <c r="G4601" s="7" t="str">
        <f>LOOKUP(H4601,[1]startdates!$A$2:$A$10,[1]startdates!$B$2:$B$10)</f>
        <v>C</v>
      </c>
      <c r="H4601">
        <v>8</v>
      </c>
      <c r="I4601" s="7">
        <v>646.29999999999995</v>
      </c>
      <c r="M4601" s="7">
        <v>363.3</v>
      </c>
      <c r="N4601" s="7">
        <v>246.7</v>
      </c>
      <c r="O4601" s="7">
        <v>191.3</v>
      </c>
    </row>
    <row r="4602" spans="1:19" x14ac:dyDescent="0.2">
      <c r="A4602">
        <v>4601</v>
      </c>
      <c r="B4602" s="1">
        <v>40855</v>
      </c>
      <c r="C4602" t="s">
        <v>28</v>
      </c>
      <c r="D4602" s="7">
        <v>116</v>
      </c>
      <c r="E4602" s="7">
        <v>18</v>
      </c>
      <c r="F4602" s="7">
        <f t="shared" si="72"/>
        <v>3</v>
      </c>
      <c r="G4602" s="7" t="str">
        <f>LOOKUP(H4602,[1]startdates!$A$2:$A$10,[1]startdates!$B$2:$B$10)</f>
        <v>C</v>
      </c>
      <c r="H4602">
        <v>8</v>
      </c>
      <c r="I4602" s="7">
        <v>721.4</v>
      </c>
      <c r="M4602" s="7">
        <v>372.7</v>
      </c>
      <c r="N4602" s="7">
        <v>248.4</v>
      </c>
    </row>
    <row r="4603" spans="1:19" x14ac:dyDescent="0.2">
      <c r="A4603">
        <v>4602</v>
      </c>
      <c r="B4603" s="1">
        <v>40855</v>
      </c>
      <c r="C4603" t="s">
        <v>28</v>
      </c>
      <c r="D4603" s="7">
        <v>116</v>
      </c>
      <c r="E4603" s="7">
        <v>18</v>
      </c>
      <c r="F4603" s="7">
        <f t="shared" si="72"/>
        <v>3</v>
      </c>
      <c r="G4603" s="7" t="str">
        <f>LOOKUP(H4603,[1]startdates!$A$2:$A$10,[1]startdates!$B$2:$B$10)</f>
        <v>C</v>
      </c>
      <c r="H4603">
        <v>8</v>
      </c>
      <c r="I4603" s="7">
        <v>679.1</v>
      </c>
      <c r="M4603" s="7">
        <v>349.8</v>
      </c>
      <c r="N4603" s="7">
        <v>287.60000000000002</v>
      </c>
    </row>
    <row r="4604" spans="1:19" x14ac:dyDescent="0.2">
      <c r="A4604">
        <v>4603</v>
      </c>
      <c r="B4604" s="1">
        <v>40855</v>
      </c>
      <c r="C4604" t="s">
        <v>28</v>
      </c>
      <c r="D4604" s="7">
        <v>116</v>
      </c>
      <c r="E4604" s="7">
        <v>18</v>
      </c>
      <c r="F4604" s="7">
        <f t="shared" si="72"/>
        <v>3</v>
      </c>
      <c r="G4604" s="7" t="str">
        <f>LOOKUP(H4604,[1]startdates!$A$2:$A$10,[1]startdates!$B$2:$B$10)</f>
        <v>C</v>
      </c>
      <c r="H4604">
        <v>8</v>
      </c>
      <c r="N4604" s="7">
        <v>282.7</v>
      </c>
    </row>
    <row r="4605" spans="1:19" x14ac:dyDescent="0.2">
      <c r="A4605">
        <v>4604</v>
      </c>
      <c r="B4605" s="1">
        <v>40855</v>
      </c>
      <c r="C4605" t="s">
        <v>28</v>
      </c>
      <c r="D4605" s="7">
        <v>116</v>
      </c>
      <c r="E4605" s="7">
        <v>18</v>
      </c>
      <c r="F4605" s="7">
        <f t="shared" si="72"/>
        <v>3</v>
      </c>
      <c r="G4605" s="7" t="str">
        <f>LOOKUP(H4605,[1]startdates!$A$2:$A$10,[1]startdates!$B$2:$B$10)</f>
        <v>FMr</v>
      </c>
      <c r="H4605">
        <v>9</v>
      </c>
      <c r="I4605" s="7">
        <v>621.70000000000005</v>
      </c>
      <c r="K4605" s="7">
        <v>500</v>
      </c>
      <c r="L4605" s="7">
        <v>452.4</v>
      </c>
      <c r="M4605" s="7">
        <v>292.89999999999998</v>
      </c>
      <c r="N4605" s="7">
        <v>217.7</v>
      </c>
      <c r="O4605" s="7">
        <v>167.5</v>
      </c>
      <c r="Q4605" s="7">
        <v>295.10000000000002</v>
      </c>
    </row>
    <row r="4606" spans="1:19" x14ac:dyDescent="0.2">
      <c r="A4606">
        <v>4605</v>
      </c>
      <c r="B4606" s="1">
        <v>40855</v>
      </c>
      <c r="C4606" t="s">
        <v>28</v>
      </c>
      <c r="D4606" s="7">
        <v>116</v>
      </c>
      <c r="E4606" s="7">
        <v>18</v>
      </c>
      <c r="F4606" s="7">
        <f t="shared" si="72"/>
        <v>3</v>
      </c>
      <c r="G4606" s="7" t="str">
        <f>LOOKUP(H4606,[1]startdates!$A$2:$A$10,[1]startdates!$B$2:$B$10)</f>
        <v>FMr</v>
      </c>
      <c r="H4606">
        <v>9</v>
      </c>
      <c r="I4606" s="7">
        <v>647.1</v>
      </c>
      <c r="K4606" s="7">
        <v>477</v>
      </c>
      <c r="L4606" s="7">
        <v>418.1</v>
      </c>
      <c r="M4606" s="7">
        <v>318.89999999999998</v>
      </c>
      <c r="N4606" s="7">
        <v>296.3</v>
      </c>
      <c r="O4606" s="7">
        <v>168.9</v>
      </c>
      <c r="Q4606" s="7">
        <v>333.4</v>
      </c>
    </row>
    <row r="4607" spans="1:19" x14ac:dyDescent="0.2">
      <c r="A4607">
        <v>4606</v>
      </c>
      <c r="B4607" s="1">
        <v>40855</v>
      </c>
      <c r="C4607" t="s">
        <v>28</v>
      </c>
      <c r="D4607" s="7">
        <v>116</v>
      </c>
      <c r="E4607" s="7">
        <v>18</v>
      </c>
      <c r="F4607" s="7">
        <f t="shared" si="72"/>
        <v>3</v>
      </c>
      <c r="G4607" s="7" t="str">
        <f>LOOKUP(H4607,[1]startdates!$A$2:$A$10,[1]startdates!$B$2:$B$10)</f>
        <v>FMr</v>
      </c>
      <c r="H4607">
        <v>9</v>
      </c>
      <c r="I4607" s="7">
        <v>574</v>
      </c>
      <c r="K4607" s="7">
        <v>553.29999999999995</v>
      </c>
      <c r="L4607" s="7">
        <v>432.2</v>
      </c>
      <c r="M4607" s="7">
        <v>333.9</v>
      </c>
      <c r="N4607" s="7">
        <v>224.2</v>
      </c>
      <c r="O4607" s="7">
        <v>182.8</v>
      </c>
    </row>
    <row r="4608" spans="1:19" x14ac:dyDescent="0.2">
      <c r="A4608">
        <v>4607</v>
      </c>
      <c r="B4608" s="1">
        <v>40855</v>
      </c>
      <c r="C4608" t="s">
        <v>28</v>
      </c>
      <c r="D4608" s="7">
        <v>116</v>
      </c>
      <c r="E4608" s="7">
        <v>18</v>
      </c>
      <c r="F4608" s="7">
        <f t="shared" si="72"/>
        <v>3</v>
      </c>
      <c r="G4608" s="7" t="str">
        <f>LOOKUP(H4608,[1]startdates!$A$2:$A$10,[1]startdates!$B$2:$B$10)</f>
        <v>FMr</v>
      </c>
      <c r="H4608">
        <v>9</v>
      </c>
      <c r="I4608" s="7">
        <v>535.1</v>
      </c>
      <c r="K4608" s="7">
        <v>537.70000000000005</v>
      </c>
      <c r="L4608" s="7">
        <v>418.2</v>
      </c>
      <c r="M4608" s="7">
        <v>332.3</v>
      </c>
      <c r="N4608" s="7">
        <v>230.8</v>
      </c>
      <c r="O4608" s="7">
        <v>169.4</v>
      </c>
    </row>
    <row r="4609" spans="1:20" x14ac:dyDescent="0.2">
      <c r="A4609">
        <v>4608</v>
      </c>
      <c r="B4609" s="1">
        <v>40855</v>
      </c>
      <c r="C4609" t="s">
        <v>28</v>
      </c>
      <c r="D4609" s="7">
        <v>116</v>
      </c>
      <c r="E4609" s="7">
        <v>18</v>
      </c>
      <c r="F4609" s="7">
        <f t="shared" si="72"/>
        <v>3</v>
      </c>
      <c r="G4609" s="7" t="str">
        <f>LOOKUP(H4609,[1]startdates!$A$2:$A$10,[1]startdates!$B$2:$B$10)</f>
        <v>FMr</v>
      </c>
      <c r="H4609">
        <v>9</v>
      </c>
      <c r="I4609" s="7">
        <v>709</v>
      </c>
      <c r="K4609" s="7">
        <v>440.2</v>
      </c>
      <c r="L4609" s="7">
        <v>408.7</v>
      </c>
      <c r="M4609" s="7">
        <v>342.7</v>
      </c>
      <c r="N4609" s="7">
        <v>228.9</v>
      </c>
      <c r="O4609" s="7">
        <v>179.7</v>
      </c>
    </row>
    <row r="4610" spans="1:20" x14ac:dyDescent="0.2">
      <c r="A4610">
        <v>4609</v>
      </c>
      <c r="B4610" s="1">
        <v>40855</v>
      </c>
      <c r="C4610" t="s">
        <v>28</v>
      </c>
      <c r="D4610" s="7">
        <v>116</v>
      </c>
      <c r="E4610" s="7">
        <v>18</v>
      </c>
      <c r="F4610" s="7">
        <f t="shared" si="72"/>
        <v>3</v>
      </c>
      <c r="G4610" s="7" t="str">
        <f>LOOKUP(H4610,[1]startdates!$A$2:$A$10,[1]startdates!$B$2:$B$10)</f>
        <v>FMr</v>
      </c>
      <c r="H4610">
        <v>9</v>
      </c>
      <c r="I4610" s="7">
        <v>588.79999999999995</v>
      </c>
      <c r="K4610" s="7">
        <v>502</v>
      </c>
      <c r="M4610" s="7">
        <v>369.1</v>
      </c>
      <c r="N4610" s="7">
        <v>211.5</v>
      </c>
      <c r="O4610" s="7">
        <v>206</v>
      </c>
    </row>
    <row r="4611" spans="1:20" x14ac:dyDescent="0.2">
      <c r="A4611">
        <v>4610</v>
      </c>
      <c r="B4611" s="1">
        <v>40855</v>
      </c>
      <c r="C4611" t="s">
        <v>28</v>
      </c>
      <c r="D4611" s="7">
        <v>116</v>
      </c>
      <c r="E4611" s="7">
        <v>18</v>
      </c>
      <c r="F4611" s="7">
        <f t="shared" si="72"/>
        <v>3</v>
      </c>
      <c r="G4611" s="7" t="str">
        <f>LOOKUP(H4611,[1]startdates!$A$2:$A$10,[1]startdates!$B$2:$B$10)</f>
        <v>FMr</v>
      </c>
      <c r="H4611">
        <v>9</v>
      </c>
      <c r="I4611" s="7">
        <v>665.1</v>
      </c>
      <c r="K4611" s="7">
        <v>557.20000000000005</v>
      </c>
      <c r="M4611" s="7">
        <v>353.6</v>
      </c>
      <c r="N4611" s="7">
        <v>218.8</v>
      </c>
      <c r="O4611" s="7">
        <v>169.5</v>
      </c>
    </row>
    <row r="4612" spans="1:20" x14ac:dyDescent="0.2">
      <c r="A4612">
        <v>4611</v>
      </c>
      <c r="B4612" s="1">
        <v>40855</v>
      </c>
      <c r="C4612" t="s">
        <v>28</v>
      </c>
      <c r="D4612" s="7">
        <v>116</v>
      </c>
      <c r="E4612" s="7">
        <v>18</v>
      </c>
      <c r="F4612" s="7">
        <f t="shared" si="72"/>
        <v>3</v>
      </c>
      <c r="G4612" s="7" t="str">
        <f>LOOKUP(H4612,[1]startdates!$A$2:$A$10,[1]startdates!$B$2:$B$10)</f>
        <v>FMr</v>
      </c>
      <c r="H4612">
        <v>9</v>
      </c>
      <c r="I4612" s="7">
        <v>671.6</v>
      </c>
      <c r="K4612" s="7">
        <v>537.79999999999995</v>
      </c>
      <c r="M4612" s="7">
        <v>356.5</v>
      </c>
      <c r="N4612" s="7">
        <v>250</v>
      </c>
      <c r="O4612" s="7">
        <v>156.19999999999999</v>
      </c>
    </row>
    <row r="4613" spans="1:20" x14ac:dyDescent="0.2">
      <c r="A4613">
        <v>4612</v>
      </c>
      <c r="B4613" s="1">
        <v>40855</v>
      </c>
      <c r="C4613" t="s">
        <v>28</v>
      </c>
      <c r="D4613" s="7">
        <v>116</v>
      </c>
      <c r="E4613" s="7">
        <v>18</v>
      </c>
      <c r="F4613" s="7">
        <f t="shared" si="72"/>
        <v>3</v>
      </c>
      <c r="G4613" s="7" t="str">
        <f>LOOKUP(H4613,[1]startdates!$A$2:$A$10,[1]startdates!$B$2:$B$10)</f>
        <v>FMr</v>
      </c>
      <c r="H4613">
        <v>9</v>
      </c>
      <c r="I4613" s="7">
        <v>487.4</v>
      </c>
      <c r="N4613" s="7">
        <v>231.3</v>
      </c>
      <c r="O4613" s="7">
        <v>160.4</v>
      </c>
    </row>
    <row r="4614" spans="1:20" x14ac:dyDescent="0.2">
      <c r="A4614">
        <v>4613</v>
      </c>
      <c r="B4614" s="1">
        <v>40855</v>
      </c>
      <c r="C4614" t="s">
        <v>28</v>
      </c>
      <c r="D4614" s="7">
        <v>116</v>
      </c>
      <c r="E4614" s="7">
        <v>18</v>
      </c>
      <c r="F4614" s="7">
        <f t="shared" si="72"/>
        <v>3</v>
      </c>
      <c r="G4614" s="7" t="str">
        <f>LOOKUP(H4614,[1]startdates!$A$2:$A$10,[1]startdates!$B$2:$B$10)</f>
        <v>FMr</v>
      </c>
      <c r="H4614">
        <v>9</v>
      </c>
      <c r="I4614" s="7">
        <v>597.4</v>
      </c>
      <c r="N4614" s="7">
        <v>271.8</v>
      </c>
      <c r="O4614" s="7">
        <v>166.6</v>
      </c>
    </row>
    <row r="4615" spans="1:20" x14ac:dyDescent="0.2">
      <c r="A4615">
        <v>4614</v>
      </c>
      <c r="B4615" s="1">
        <v>40855</v>
      </c>
      <c r="C4615" t="s">
        <v>28</v>
      </c>
      <c r="D4615" s="7">
        <v>116</v>
      </c>
      <c r="E4615" s="7">
        <v>18</v>
      </c>
      <c r="F4615" s="7">
        <f t="shared" si="72"/>
        <v>3</v>
      </c>
      <c r="G4615" s="7" t="str">
        <f>LOOKUP(H4615,[1]startdates!$A$2:$A$10,[1]startdates!$B$2:$B$10)</f>
        <v>FMr</v>
      </c>
      <c r="H4615">
        <v>9</v>
      </c>
      <c r="I4615" s="7">
        <v>626.20000000000005</v>
      </c>
    </row>
    <row r="4616" spans="1:20" x14ac:dyDescent="0.2">
      <c r="A4616">
        <v>4615</v>
      </c>
      <c r="B4616" s="1">
        <v>40855</v>
      </c>
      <c r="C4616" t="s">
        <v>28</v>
      </c>
      <c r="D4616" s="7">
        <v>116</v>
      </c>
      <c r="E4616" s="7">
        <v>18</v>
      </c>
      <c r="F4616" s="7">
        <f t="shared" si="72"/>
        <v>3</v>
      </c>
      <c r="G4616" s="7" t="str">
        <f>LOOKUP(H4616,[1]startdates!$A$2:$A$10,[1]startdates!$B$2:$B$10)</f>
        <v>FMr</v>
      </c>
      <c r="H4616">
        <v>9</v>
      </c>
      <c r="I4616" s="7">
        <v>668.7</v>
      </c>
    </row>
    <row r="4617" spans="1:20" x14ac:dyDescent="0.2">
      <c r="A4617">
        <v>4616</v>
      </c>
      <c r="B4617" s="1">
        <v>40855</v>
      </c>
      <c r="C4617" t="s">
        <v>28</v>
      </c>
      <c r="D4617" s="7">
        <v>116</v>
      </c>
      <c r="E4617" s="7">
        <v>18</v>
      </c>
      <c r="F4617" s="7">
        <f t="shared" si="72"/>
        <v>3</v>
      </c>
      <c r="G4617" s="7" t="str">
        <f>LOOKUP(H4617,[1]startdates!$A$2:$A$10,[1]startdates!$B$2:$B$10)</f>
        <v>FMr</v>
      </c>
      <c r="H4617">
        <v>9</v>
      </c>
      <c r="I4617" s="7">
        <v>534.1</v>
      </c>
    </row>
    <row r="4618" spans="1:20" x14ac:dyDescent="0.2">
      <c r="A4618">
        <v>4617</v>
      </c>
      <c r="B4618" s="1">
        <v>40855</v>
      </c>
      <c r="C4618" t="s">
        <v>28</v>
      </c>
      <c r="D4618" s="7">
        <v>116</v>
      </c>
      <c r="E4618" s="7">
        <v>18</v>
      </c>
      <c r="F4618" s="7">
        <f t="shared" si="72"/>
        <v>3</v>
      </c>
      <c r="G4618" s="7" t="str">
        <f>LOOKUP(H4618,[1]startdates!$A$2:$A$10,[1]startdates!$B$2:$B$10)</f>
        <v>FMr</v>
      </c>
      <c r="H4618">
        <v>9</v>
      </c>
      <c r="I4618" s="7">
        <v>517</v>
      </c>
    </row>
    <row r="4619" spans="1:20" x14ac:dyDescent="0.2">
      <c r="A4619">
        <v>4618</v>
      </c>
      <c r="B4619" s="1">
        <v>40858</v>
      </c>
      <c r="C4619" t="s">
        <v>28</v>
      </c>
      <c r="D4619" s="7">
        <v>119</v>
      </c>
      <c r="E4619" s="7">
        <v>18</v>
      </c>
      <c r="F4619" s="7">
        <f t="shared" si="72"/>
        <v>6</v>
      </c>
      <c r="G4619" s="7" t="str">
        <f>LOOKUP(H4619,[1]startdates!$A$2:$A$10,[1]startdates!$B$2:$B$10)</f>
        <v>SMr</v>
      </c>
      <c r="H4619">
        <v>1</v>
      </c>
      <c r="I4619" s="7">
        <v>606.20000000000005</v>
      </c>
      <c r="J4619" s="7">
        <v>532.4</v>
      </c>
      <c r="K4619" s="7">
        <v>539.79999999999995</v>
      </c>
      <c r="L4619" s="7">
        <v>435.1</v>
      </c>
      <c r="M4619" s="7">
        <v>290.89999999999998</v>
      </c>
      <c r="N4619" s="7">
        <v>228.4</v>
      </c>
      <c r="O4619" s="7">
        <v>157.30000000000001</v>
      </c>
      <c r="P4619" s="7">
        <v>400.1</v>
      </c>
      <c r="Q4619" s="7">
        <v>317.89999999999998</v>
      </c>
      <c r="R4619" s="7">
        <v>253.2</v>
      </c>
      <c r="S4619" s="7">
        <v>276.7</v>
      </c>
      <c r="T4619" s="7">
        <v>304.39999999999998</v>
      </c>
    </row>
    <row r="4620" spans="1:20" x14ac:dyDescent="0.2">
      <c r="A4620">
        <v>4619</v>
      </c>
      <c r="B4620" s="1">
        <v>40858</v>
      </c>
      <c r="C4620" t="s">
        <v>28</v>
      </c>
      <c r="D4620" s="7">
        <v>119</v>
      </c>
      <c r="E4620" s="7">
        <v>18</v>
      </c>
      <c r="F4620" s="7">
        <f t="shared" si="72"/>
        <v>6</v>
      </c>
      <c r="G4620" s="7" t="str">
        <f>LOOKUP(H4620,[1]startdates!$A$2:$A$10,[1]startdates!$B$2:$B$10)</f>
        <v>SMr</v>
      </c>
      <c r="H4620">
        <v>1</v>
      </c>
      <c r="I4620" s="7">
        <v>531.1</v>
      </c>
      <c r="J4620" s="7">
        <v>466.7</v>
      </c>
      <c r="K4620" s="7">
        <v>549.5</v>
      </c>
      <c r="L4620" s="7">
        <v>409.1</v>
      </c>
      <c r="M4620" s="7">
        <v>380.9</v>
      </c>
      <c r="N4620" s="7">
        <v>261</v>
      </c>
      <c r="O4620" s="7">
        <v>169.6</v>
      </c>
      <c r="P4620" s="7">
        <v>407.3</v>
      </c>
      <c r="R4620" s="7">
        <v>214.7</v>
      </c>
    </row>
    <row r="4621" spans="1:20" x14ac:dyDescent="0.2">
      <c r="A4621">
        <v>4620</v>
      </c>
      <c r="B4621" s="1">
        <v>40858</v>
      </c>
      <c r="C4621" t="s">
        <v>28</v>
      </c>
      <c r="D4621" s="7">
        <v>119</v>
      </c>
      <c r="E4621" s="7">
        <v>18</v>
      </c>
      <c r="F4621" s="7">
        <f t="shared" si="72"/>
        <v>6</v>
      </c>
      <c r="G4621" s="7" t="str">
        <f>LOOKUP(H4621,[1]startdates!$A$2:$A$10,[1]startdates!$B$2:$B$10)</f>
        <v>SMr</v>
      </c>
      <c r="H4621">
        <v>1</v>
      </c>
      <c r="I4621" s="7">
        <v>606.79999999999995</v>
      </c>
      <c r="J4621" s="7">
        <v>494.1</v>
      </c>
      <c r="K4621" s="7">
        <v>533.20000000000005</v>
      </c>
      <c r="L4621" s="7">
        <v>435.9</v>
      </c>
      <c r="M4621" s="7">
        <v>350.8</v>
      </c>
      <c r="N4621" s="7">
        <v>226.9</v>
      </c>
      <c r="O4621" s="7">
        <v>156.30000000000001</v>
      </c>
      <c r="R4621" s="7">
        <v>234</v>
      </c>
    </row>
    <row r="4622" spans="1:20" x14ac:dyDescent="0.2">
      <c r="A4622">
        <v>4621</v>
      </c>
      <c r="B4622" s="1">
        <v>40858</v>
      </c>
      <c r="C4622" t="s">
        <v>28</v>
      </c>
      <c r="D4622" s="7">
        <v>119</v>
      </c>
      <c r="E4622" s="7">
        <v>18</v>
      </c>
      <c r="F4622" s="7">
        <f t="shared" si="72"/>
        <v>6</v>
      </c>
      <c r="G4622" s="7" t="str">
        <f>LOOKUP(H4622,[1]startdates!$A$2:$A$10,[1]startdates!$B$2:$B$10)</f>
        <v>SMr</v>
      </c>
      <c r="H4622">
        <v>1</v>
      </c>
      <c r="I4622" s="7">
        <v>616.79999999999995</v>
      </c>
      <c r="J4622" s="7">
        <v>511.9</v>
      </c>
      <c r="K4622" s="7">
        <v>548.4</v>
      </c>
      <c r="L4622" s="7">
        <v>414</v>
      </c>
      <c r="M4622" s="7">
        <v>345.8</v>
      </c>
      <c r="N4622" s="7">
        <v>210.9</v>
      </c>
      <c r="O4622" s="7">
        <v>158.5</v>
      </c>
      <c r="R4622" s="7">
        <v>245.6</v>
      </c>
    </row>
    <row r="4623" spans="1:20" x14ac:dyDescent="0.2">
      <c r="A4623">
        <v>4622</v>
      </c>
      <c r="B4623" s="1">
        <v>40858</v>
      </c>
      <c r="C4623" t="s">
        <v>28</v>
      </c>
      <c r="D4623" s="7">
        <v>119</v>
      </c>
      <c r="E4623" s="7">
        <v>18</v>
      </c>
      <c r="F4623" s="7">
        <f t="shared" si="72"/>
        <v>6</v>
      </c>
      <c r="G4623" s="7" t="str">
        <f>LOOKUP(H4623,[1]startdates!$A$2:$A$10,[1]startdates!$B$2:$B$10)</f>
        <v>SMr</v>
      </c>
      <c r="H4623">
        <v>1</v>
      </c>
      <c r="I4623" s="7">
        <v>579.20000000000005</v>
      </c>
      <c r="K4623" s="7">
        <v>429.5</v>
      </c>
      <c r="L4623" s="7">
        <v>407.8</v>
      </c>
      <c r="M4623" s="7">
        <v>318.60000000000002</v>
      </c>
      <c r="N4623" s="7">
        <v>194.3</v>
      </c>
      <c r="O4623" s="7">
        <v>166.8</v>
      </c>
      <c r="R4623" s="7">
        <v>258.60000000000002</v>
      </c>
    </row>
    <row r="4624" spans="1:20" x14ac:dyDescent="0.2">
      <c r="A4624">
        <v>4623</v>
      </c>
      <c r="B4624" s="1">
        <v>40858</v>
      </c>
      <c r="C4624" t="s">
        <v>28</v>
      </c>
      <c r="D4624" s="7">
        <v>119</v>
      </c>
      <c r="E4624" s="7">
        <v>18</v>
      </c>
      <c r="F4624" s="7">
        <f t="shared" si="72"/>
        <v>6</v>
      </c>
      <c r="G4624" s="7" t="str">
        <f>LOOKUP(H4624,[1]startdates!$A$2:$A$10,[1]startdates!$B$2:$B$10)</f>
        <v>SMr</v>
      </c>
      <c r="H4624">
        <v>1</v>
      </c>
      <c r="I4624" s="7">
        <v>541.5</v>
      </c>
      <c r="K4624" s="7">
        <v>568.29999999999995</v>
      </c>
      <c r="L4624" s="7">
        <v>453.5</v>
      </c>
      <c r="M4624" s="7">
        <v>353.9</v>
      </c>
      <c r="N4624" s="7">
        <v>212.2</v>
      </c>
      <c r="O4624" s="7">
        <v>163.5</v>
      </c>
      <c r="R4624" s="7">
        <v>253</v>
      </c>
    </row>
    <row r="4625" spans="1:19" x14ac:dyDescent="0.2">
      <c r="A4625">
        <v>4624</v>
      </c>
      <c r="B4625" s="1">
        <v>40858</v>
      </c>
      <c r="C4625" t="s">
        <v>28</v>
      </c>
      <c r="D4625" s="7">
        <v>119</v>
      </c>
      <c r="E4625" s="7">
        <v>18</v>
      </c>
      <c r="F4625" s="7">
        <f t="shared" si="72"/>
        <v>6</v>
      </c>
      <c r="G4625" s="7" t="str">
        <f>LOOKUP(H4625,[1]startdates!$A$2:$A$10,[1]startdates!$B$2:$B$10)</f>
        <v>SMr</v>
      </c>
      <c r="H4625">
        <v>1</v>
      </c>
      <c r="I4625" s="7">
        <v>545.4</v>
      </c>
      <c r="L4625" s="7">
        <v>442.1</v>
      </c>
      <c r="M4625" s="7">
        <v>345.8</v>
      </c>
      <c r="N4625" s="7">
        <v>178.7</v>
      </c>
      <c r="O4625" s="7">
        <v>161</v>
      </c>
    </row>
    <row r="4626" spans="1:19" x14ac:dyDescent="0.2">
      <c r="A4626">
        <v>4625</v>
      </c>
      <c r="B4626" s="1">
        <v>40858</v>
      </c>
      <c r="C4626" t="s">
        <v>28</v>
      </c>
      <c r="D4626" s="7">
        <v>119</v>
      </c>
      <c r="E4626" s="7">
        <v>18</v>
      </c>
      <c r="F4626" s="7">
        <f t="shared" si="72"/>
        <v>6</v>
      </c>
      <c r="G4626" s="7" t="str">
        <f>LOOKUP(H4626,[1]startdates!$A$2:$A$10,[1]startdates!$B$2:$B$10)</f>
        <v>SMr</v>
      </c>
      <c r="H4626">
        <v>1</v>
      </c>
      <c r="I4626" s="7">
        <v>496.4</v>
      </c>
      <c r="M4626" s="7">
        <v>317.8</v>
      </c>
      <c r="N4626" s="7">
        <v>235</v>
      </c>
      <c r="O4626" s="7">
        <v>160</v>
      </c>
    </row>
    <row r="4627" spans="1:19" x14ac:dyDescent="0.2">
      <c r="A4627">
        <v>4626</v>
      </c>
      <c r="B4627" s="1">
        <v>40858</v>
      </c>
      <c r="C4627" t="s">
        <v>28</v>
      </c>
      <c r="D4627" s="7">
        <v>119</v>
      </c>
      <c r="E4627" s="7">
        <v>18</v>
      </c>
      <c r="F4627" s="7">
        <f t="shared" si="72"/>
        <v>6</v>
      </c>
      <c r="G4627" s="7" t="str">
        <f>LOOKUP(H4627,[1]startdates!$A$2:$A$10,[1]startdates!$B$2:$B$10)</f>
        <v>SMr</v>
      </c>
      <c r="H4627">
        <v>1</v>
      </c>
      <c r="I4627" s="7">
        <v>665.5</v>
      </c>
      <c r="N4627" s="7">
        <v>196.7</v>
      </c>
      <c r="O4627" s="7">
        <v>166.1</v>
      </c>
    </row>
    <row r="4628" spans="1:19" x14ac:dyDescent="0.2">
      <c r="A4628">
        <v>4627</v>
      </c>
      <c r="B4628" s="1">
        <v>40858</v>
      </c>
      <c r="C4628" t="s">
        <v>28</v>
      </c>
      <c r="D4628" s="7">
        <v>119</v>
      </c>
      <c r="E4628" s="7">
        <v>18</v>
      </c>
      <c r="F4628" s="7">
        <f t="shared" si="72"/>
        <v>6</v>
      </c>
      <c r="G4628" s="7" t="str">
        <f>LOOKUP(H4628,[1]startdates!$A$2:$A$10,[1]startdates!$B$2:$B$10)</f>
        <v>SMr</v>
      </c>
      <c r="H4628">
        <v>1</v>
      </c>
      <c r="I4628" s="7">
        <v>601.70000000000005</v>
      </c>
      <c r="N4628" s="7">
        <v>207.3</v>
      </c>
    </row>
    <row r="4629" spans="1:19" x14ac:dyDescent="0.2">
      <c r="A4629">
        <v>4628</v>
      </c>
      <c r="B4629" s="1">
        <v>40858</v>
      </c>
      <c r="C4629" t="s">
        <v>28</v>
      </c>
      <c r="D4629" s="7">
        <v>119</v>
      </c>
      <c r="E4629" s="7">
        <v>18</v>
      </c>
      <c r="F4629" s="7">
        <f t="shared" si="72"/>
        <v>6</v>
      </c>
      <c r="G4629" s="7" t="str">
        <f>LOOKUP(H4629,[1]startdates!$A$2:$A$10,[1]startdates!$B$2:$B$10)</f>
        <v>SMr</v>
      </c>
      <c r="H4629">
        <v>1</v>
      </c>
      <c r="I4629" s="7">
        <v>582.6</v>
      </c>
    </row>
    <row r="4630" spans="1:19" x14ac:dyDescent="0.2">
      <c r="A4630">
        <v>4629</v>
      </c>
      <c r="B4630" s="1">
        <v>40858</v>
      </c>
      <c r="C4630" t="s">
        <v>28</v>
      </c>
      <c r="D4630" s="7">
        <v>119</v>
      </c>
      <c r="E4630" s="7">
        <v>18</v>
      </c>
      <c r="F4630" s="7">
        <f t="shared" si="72"/>
        <v>6</v>
      </c>
      <c r="G4630" s="7" t="str">
        <f>LOOKUP(H4630,[1]startdates!$A$2:$A$10,[1]startdates!$B$2:$B$10)</f>
        <v>SMr</v>
      </c>
      <c r="H4630">
        <v>1</v>
      </c>
      <c r="I4630" s="7">
        <v>532.5</v>
      </c>
    </row>
    <row r="4631" spans="1:19" x14ac:dyDescent="0.2">
      <c r="A4631">
        <v>4630</v>
      </c>
      <c r="B4631" s="1">
        <v>40858</v>
      </c>
      <c r="C4631" t="s">
        <v>28</v>
      </c>
      <c r="D4631" s="7">
        <v>119</v>
      </c>
      <c r="E4631" s="7">
        <v>18</v>
      </c>
      <c r="F4631" s="7">
        <f t="shared" si="72"/>
        <v>6</v>
      </c>
      <c r="G4631" s="7" t="str">
        <f>LOOKUP(H4631,[1]startdates!$A$2:$A$10,[1]startdates!$B$2:$B$10)</f>
        <v>SMr</v>
      </c>
      <c r="H4631">
        <v>1</v>
      </c>
      <c r="I4631" s="7">
        <v>471.8</v>
      </c>
    </row>
    <row r="4632" spans="1:19" x14ac:dyDescent="0.2">
      <c r="A4632">
        <v>4631</v>
      </c>
      <c r="B4632" s="1">
        <v>40858</v>
      </c>
      <c r="C4632" t="s">
        <v>28</v>
      </c>
      <c r="D4632" s="7">
        <v>119</v>
      </c>
      <c r="E4632" s="7">
        <v>18</v>
      </c>
      <c r="F4632" s="7">
        <f t="shared" si="72"/>
        <v>6</v>
      </c>
      <c r="G4632" s="7" t="str">
        <f>LOOKUP(H4632,[1]startdates!$A$2:$A$10,[1]startdates!$B$2:$B$10)</f>
        <v>SMr</v>
      </c>
      <c r="H4632">
        <v>1</v>
      </c>
      <c r="I4632" s="7">
        <v>561.70000000000005</v>
      </c>
    </row>
    <row r="4633" spans="1:19" x14ac:dyDescent="0.2">
      <c r="A4633">
        <v>4632</v>
      </c>
      <c r="B4633" s="1">
        <v>40858</v>
      </c>
      <c r="C4633" t="s">
        <v>28</v>
      </c>
      <c r="D4633" s="7">
        <v>119</v>
      </c>
      <c r="E4633" s="7">
        <v>18</v>
      </c>
      <c r="F4633" s="7">
        <f t="shared" si="72"/>
        <v>6</v>
      </c>
      <c r="G4633" s="7" t="str">
        <f>LOOKUP(H4633,[1]startdates!$A$2:$A$10,[1]startdates!$B$2:$B$10)</f>
        <v>SMr</v>
      </c>
      <c r="H4633">
        <v>1</v>
      </c>
      <c r="I4633" s="7">
        <v>552.6</v>
      </c>
    </row>
    <row r="4634" spans="1:19" x14ac:dyDescent="0.2">
      <c r="A4634">
        <v>4633</v>
      </c>
      <c r="B4634" s="1">
        <v>40858</v>
      </c>
      <c r="C4634" t="s">
        <v>28</v>
      </c>
      <c r="D4634" s="7">
        <v>119</v>
      </c>
      <c r="E4634" s="7">
        <v>18</v>
      </c>
      <c r="F4634" s="7">
        <f t="shared" si="72"/>
        <v>6</v>
      </c>
      <c r="G4634" s="7" t="str">
        <f>LOOKUP(H4634,[1]startdates!$A$2:$A$10,[1]startdates!$B$2:$B$10)</f>
        <v>SMr</v>
      </c>
      <c r="H4634">
        <v>1</v>
      </c>
      <c r="I4634" s="7">
        <v>565.79999999999995</v>
      </c>
    </row>
    <row r="4635" spans="1:19" x14ac:dyDescent="0.2">
      <c r="A4635">
        <v>4634</v>
      </c>
      <c r="B4635" s="1">
        <v>40858</v>
      </c>
      <c r="C4635" t="s">
        <v>28</v>
      </c>
      <c r="D4635" s="7">
        <v>119</v>
      </c>
      <c r="E4635" s="7">
        <v>18</v>
      </c>
      <c r="F4635" s="7">
        <f t="shared" si="72"/>
        <v>6</v>
      </c>
      <c r="G4635" s="7" t="str">
        <f>LOOKUP(H4635,[1]startdates!$A$2:$A$10,[1]startdates!$B$2:$B$10)</f>
        <v>SMr</v>
      </c>
      <c r="H4635">
        <v>2</v>
      </c>
      <c r="I4635" s="7">
        <v>617.1</v>
      </c>
      <c r="J4635" s="7">
        <v>518.4</v>
      </c>
      <c r="K4635" s="7">
        <v>505.7</v>
      </c>
      <c r="L4635" s="7">
        <v>434</v>
      </c>
      <c r="M4635" s="7">
        <v>359.4</v>
      </c>
      <c r="N4635" s="7">
        <v>204.2</v>
      </c>
      <c r="O4635" s="7">
        <v>163.4</v>
      </c>
      <c r="P4635" s="7">
        <v>417.4</v>
      </c>
      <c r="R4635" s="7">
        <v>265.10000000000002</v>
      </c>
      <c r="S4635" s="7">
        <v>264</v>
      </c>
    </row>
    <row r="4636" spans="1:19" x14ac:dyDescent="0.2">
      <c r="A4636">
        <v>4635</v>
      </c>
      <c r="B4636" s="1">
        <v>40858</v>
      </c>
      <c r="C4636" t="s">
        <v>28</v>
      </c>
      <c r="D4636" s="7">
        <v>119</v>
      </c>
      <c r="E4636" s="7">
        <v>18</v>
      </c>
      <c r="F4636" s="7">
        <f t="shared" si="72"/>
        <v>6</v>
      </c>
      <c r="G4636" s="7" t="str">
        <f>LOOKUP(H4636,[1]startdates!$A$2:$A$10,[1]startdates!$B$2:$B$10)</f>
        <v>SMr</v>
      </c>
      <c r="H4636">
        <v>2</v>
      </c>
      <c r="I4636" s="7">
        <v>531.5</v>
      </c>
      <c r="J4636" s="7">
        <v>601.5</v>
      </c>
      <c r="K4636" s="7">
        <v>491.5</v>
      </c>
      <c r="L4636" s="7">
        <v>421.7</v>
      </c>
      <c r="M4636" s="7">
        <v>348</v>
      </c>
      <c r="N4636" s="7">
        <v>237.1</v>
      </c>
      <c r="O4636" s="7">
        <v>195.4</v>
      </c>
      <c r="P4636" s="7">
        <v>422.5</v>
      </c>
      <c r="R4636" s="7">
        <v>224.6</v>
      </c>
    </row>
    <row r="4637" spans="1:19" x14ac:dyDescent="0.2">
      <c r="A4637">
        <v>4636</v>
      </c>
      <c r="B4637" s="1">
        <v>40858</v>
      </c>
      <c r="C4637" t="s">
        <v>28</v>
      </c>
      <c r="D4637" s="7">
        <v>119</v>
      </c>
      <c r="E4637" s="7">
        <v>18</v>
      </c>
      <c r="F4637" s="7">
        <f t="shared" si="72"/>
        <v>6</v>
      </c>
      <c r="G4637" s="7" t="str">
        <f>LOOKUP(H4637,[1]startdates!$A$2:$A$10,[1]startdates!$B$2:$B$10)</f>
        <v>SMr</v>
      </c>
      <c r="H4637">
        <v>2</v>
      </c>
      <c r="I4637" s="7">
        <v>532.9</v>
      </c>
      <c r="K4637" s="7">
        <v>520.70000000000005</v>
      </c>
      <c r="L4637" s="7">
        <v>445.5</v>
      </c>
      <c r="M4637" s="7">
        <v>305.10000000000002</v>
      </c>
      <c r="N4637" s="7">
        <v>227.1</v>
      </c>
      <c r="O4637" s="7">
        <v>151.69999999999999</v>
      </c>
      <c r="P4637" s="7">
        <v>481.8</v>
      </c>
      <c r="R4637" s="7">
        <v>251.7</v>
      </c>
    </row>
    <row r="4638" spans="1:19" x14ac:dyDescent="0.2">
      <c r="A4638">
        <v>4637</v>
      </c>
      <c r="B4638" s="1">
        <v>40858</v>
      </c>
      <c r="C4638" t="s">
        <v>28</v>
      </c>
      <c r="D4638" s="7">
        <v>119</v>
      </c>
      <c r="E4638" s="7">
        <v>18</v>
      </c>
      <c r="F4638" s="7">
        <f t="shared" si="72"/>
        <v>6</v>
      </c>
      <c r="G4638" s="7" t="str">
        <f>LOOKUP(H4638,[1]startdates!$A$2:$A$10,[1]startdates!$B$2:$B$10)</f>
        <v>SMr</v>
      </c>
      <c r="H4638">
        <v>2</v>
      </c>
      <c r="I4638" s="7">
        <v>496.9</v>
      </c>
      <c r="K4638" s="7">
        <v>509.2</v>
      </c>
      <c r="L4638" s="7">
        <v>440.9</v>
      </c>
      <c r="M4638" s="7">
        <v>333.6</v>
      </c>
      <c r="N4638" s="7">
        <v>258.5</v>
      </c>
      <c r="O4638" s="7">
        <v>170.6</v>
      </c>
    </row>
    <row r="4639" spans="1:19" x14ac:dyDescent="0.2">
      <c r="A4639">
        <v>4638</v>
      </c>
      <c r="B4639" s="1">
        <v>40858</v>
      </c>
      <c r="C4639" t="s">
        <v>28</v>
      </c>
      <c r="D4639" s="7">
        <v>119</v>
      </c>
      <c r="E4639" s="7">
        <v>18</v>
      </c>
      <c r="F4639" s="7">
        <f t="shared" si="72"/>
        <v>6</v>
      </c>
      <c r="G4639" s="7" t="str">
        <f>LOOKUP(H4639,[1]startdates!$A$2:$A$10,[1]startdates!$B$2:$B$10)</f>
        <v>SMr</v>
      </c>
      <c r="H4639">
        <v>2</v>
      </c>
      <c r="I4639" s="7">
        <v>483</v>
      </c>
      <c r="M4639" s="7">
        <v>359.3</v>
      </c>
      <c r="N4639" s="7">
        <v>184.1</v>
      </c>
      <c r="O4639" s="7">
        <v>182.3</v>
      </c>
    </row>
    <row r="4640" spans="1:19" x14ac:dyDescent="0.2">
      <c r="A4640">
        <v>4639</v>
      </c>
      <c r="B4640" s="1">
        <v>40858</v>
      </c>
      <c r="C4640" t="s">
        <v>28</v>
      </c>
      <c r="D4640" s="7">
        <v>119</v>
      </c>
      <c r="E4640" s="7">
        <v>18</v>
      </c>
      <c r="F4640" s="7">
        <f t="shared" si="72"/>
        <v>6</v>
      </c>
      <c r="G4640" s="7" t="str">
        <f>LOOKUP(H4640,[1]startdates!$A$2:$A$10,[1]startdates!$B$2:$B$10)</f>
        <v>SMr</v>
      </c>
      <c r="H4640">
        <v>2</v>
      </c>
      <c r="I4640" s="7">
        <v>481.3</v>
      </c>
      <c r="N4640" s="7">
        <v>285.2</v>
      </c>
      <c r="O4640" s="7">
        <v>159.80000000000001</v>
      </c>
    </row>
    <row r="4641" spans="1:19" x14ac:dyDescent="0.2">
      <c r="A4641">
        <v>4640</v>
      </c>
      <c r="B4641" s="1">
        <v>40858</v>
      </c>
      <c r="C4641" t="s">
        <v>28</v>
      </c>
      <c r="D4641" s="7">
        <v>119</v>
      </c>
      <c r="E4641" s="7">
        <v>18</v>
      </c>
      <c r="F4641" s="7">
        <f t="shared" si="72"/>
        <v>6</v>
      </c>
      <c r="G4641" s="7" t="str">
        <f>LOOKUP(H4641,[1]startdates!$A$2:$A$10,[1]startdates!$B$2:$B$10)</f>
        <v>SMr</v>
      </c>
      <c r="H4641">
        <v>2</v>
      </c>
      <c r="I4641" s="7">
        <v>517</v>
      </c>
      <c r="N4641" s="7">
        <v>211.9</v>
      </c>
      <c r="O4641" s="7">
        <v>171.3</v>
      </c>
    </row>
    <row r="4642" spans="1:19" x14ac:dyDescent="0.2">
      <c r="A4642">
        <v>4641</v>
      </c>
      <c r="B4642" s="1">
        <v>40858</v>
      </c>
      <c r="C4642" t="s">
        <v>28</v>
      </c>
      <c r="D4642" s="7">
        <v>119</v>
      </c>
      <c r="E4642" s="7">
        <v>18</v>
      </c>
      <c r="F4642" s="7">
        <f t="shared" si="72"/>
        <v>6</v>
      </c>
      <c r="G4642" s="7" t="str">
        <f>LOOKUP(H4642,[1]startdates!$A$2:$A$10,[1]startdates!$B$2:$B$10)</f>
        <v>SMr</v>
      </c>
      <c r="H4642">
        <v>2</v>
      </c>
      <c r="I4642" s="7">
        <v>642.70000000000005</v>
      </c>
      <c r="N4642" s="7">
        <v>250.3</v>
      </c>
      <c r="O4642" s="7">
        <v>163</v>
      </c>
    </row>
    <row r="4643" spans="1:19" x14ac:dyDescent="0.2">
      <c r="A4643">
        <v>4642</v>
      </c>
      <c r="B4643" s="1">
        <v>40858</v>
      </c>
      <c r="C4643" t="s">
        <v>28</v>
      </c>
      <c r="D4643" s="7">
        <v>119</v>
      </c>
      <c r="E4643" s="7">
        <v>18</v>
      </c>
      <c r="F4643" s="7">
        <f t="shared" si="72"/>
        <v>6</v>
      </c>
      <c r="G4643" s="7" t="str">
        <f>LOOKUP(H4643,[1]startdates!$A$2:$A$10,[1]startdates!$B$2:$B$10)</f>
        <v>SMr</v>
      </c>
      <c r="H4643">
        <v>2</v>
      </c>
      <c r="I4643" s="7">
        <v>611.70000000000005</v>
      </c>
      <c r="N4643" s="7">
        <v>220.9</v>
      </c>
      <c r="O4643" s="7">
        <v>167.7</v>
      </c>
    </row>
    <row r="4644" spans="1:19" x14ac:dyDescent="0.2">
      <c r="A4644">
        <v>4643</v>
      </c>
      <c r="B4644" s="1">
        <v>40858</v>
      </c>
      <c r="C4644" t="s">
        <v>28</v>
      </c>
      <c r="D4644" s="7">
        <v>119</v>
      </c>
      <c r="E4644" s="7">
        <v>18</v>
      </c>
      <c r="F4644" s="7">
        <f t="shared" si="72"/>
        <v>6</v>
      </c>
      <c r="G4644" s="7" t="str">
        <f>LOOKUP(H4644,[1]startdates!$A$2:$A$10,[1]startdates!$B$2:$B$10)</f>
        <v>SMr</v>
      </c>
      <c r="H4644">
        <v>2</v>
      </c>
      <c r="I4644" s="7">
        <v>634.20000000000005</v>
      </c>
      <c r="N4644" s="7">
        <v>260</v>
      </c>
      <c r="O4644" s="7">
        <v>167.9</v>
      </c>
    </row>
    <row r="4645" spans="1:19" x14ac:dyDescent="0.2">
      <c r="A4645">
        <v>4644</v>
      </c>
      <c r="B4645" s="1">
        <v>40858</v>
      </c>
      <c r="C4645" t="s">
        <v>28</v>
      </c>
      <c r="D4645" s="7">
        <v>119</v>
      </c>
      <c r="E4645" s="7">
        <v>18</v>
      </c>
      <c r="F4645" s="7">
        <f t="shared" si="72"/>
        <v>6</v>
      </c>
      <c r="G4645" s="7" t="str">
        <f>LOOKUP(H4645,[1]startdates!$A$2:$A$10,[1]startdates!$B$2:$B$10)</f>
        <v>SMr</v>
      </c>
      <c r="H4645">
        <v>2</v>
      </c>
      <c r="I4645" s="7">
        <v>666</v>
      </c>
    </row>
    <row r="4646" spans="1:19" x14ac:dyDescent="0.2">
      <c r="A4646">
        <v>4645</v>
      </c>
      <c r="B4646" s="1">
        <v>40858</v>
      </c>
      <c r="C4646" t="s">
        <v>28</v>
      </c>
      <c r="D4646" s="7">
        <v>119</v>
      </c>
      <c r="E4646" s="7">
        <v>18</v>
      </c>
      <c r="F4646" s="7">
        <f t="shared" si="72"/>
        <v>6</v>
      </c>
      <c r="G4646" s="7" t="str">
        <f>LOOKUP(H4646,[1]startdates!$A$2:$A$10,[1]startdates!$B$2:$B$10)</f>
        <v>SMr</v>
      </c>
      <c r="H4646">
        <v>2</v>
      </c>
      <c r="I4646" s="7">
        <v>669.5</v>
      </c>
    </row>
    <row r="4647" spans="1:19" x14ac:dyDescent="0.2">
      <c r="A4647">
        <v>4646</v>
      </c>
      <c r="B4647" s="1">
        <v>40858</v>
      </c>
      <c r="C4647" t="s">
        <v>28</v>
      </c>
      <c r="D4647" s="7">
        <v>119</v>
      </c>
      <c r="E4647" s="7">
        <v>18</v>
      </c>
      <c r="F4647" s="7">
        <f t="shared" si="72"/>
        <v>6</v>
      </c>
      <c r="G4647" s="7" t="str">
        <f>LOOKUP(H4647,[1]startdates!$A$2:$A$10,[1]startdates!$B$2:$B$10)</f>
        <v>SMr</v>
      </c>
      <c r="H4647">
        <v>2</v>
      </c>
      <c r="I4647" s="7">
        <v>539.20000000000005</v>
      </c>
    </row>
    <row r="4648" spans="1:19" x14ac:dyDescent="0.2">
      <c r="A4648">
        <v>4647</v>
      </c>
      <c r="B4648" s="1">
        <v>40858</v>
      </c>
      <c r="C4648" t="s">
        <v>28</v>
      </c>
      <c r="D4648" s="7">
        <v>119</v>
      </c>
      <c r="E4648" s="7">
        <v>18</v>
      </c>
      <c r="F4648" s="7">
        <f t="shared" si="72"/>
        <v>6</v>
      </c>
      <c r="G4648" s="7" t="str">
        <f>LOOKUP(H4648,[1]startdates!$A$2:$A$10,[1]startdates!$B$2:$B$10)</f>
        <v>SMr</v>
      </c>
      <c r="H4648">
        <v>2</v>
      </c>
      <c r="I4648" s="7">
        <v>606.5</v>
      </c>
    </row>
    <row r="4649" spans="1:19" x14ac:dyDescent="0.2">
      <c r="A4649">
        <v>4648</v>
      </c>
      <c r="B4649" s="1">
        <v>40858</v>
      </c>
      <c r="C4649" t="s">
        <v>28</v>
      </c>
      <c r="D4649" s="7">
        <v>119</v>
      </c>
      <c r="E4649" s="7">
        <v>18</v>
      </c>
      <c r="F4649" s="7">
        <f t="shared" ref="F4649:F4712" si="73">WEEKDAY(B4649)</f>
        <v>6</v>
      </c>
      <c r="G4649" s="7" t="str">
        <f>LOOKUP(H4649,[1]startdates!$A$2:$A$10,[1]startdates!$B$2:$B$10)</f>
        <v>C</v>
      </c>
      <c r="H4649">
        <v>3</v>
      </c>
      <c r="I4649" s="7">
        <v>619.4</v>
      </c>
      <c r="K4649" s="7">
        <v>450.4</v>
      </c>
      <c r="L4649" s="7">
        <v>441.4</v>
      </c>
      <c r="M4649" s="7">
        <v>359</v>
      </c>
      <c r="N4649" s="7">
        <v>191.2</v>
      </c>
      <c r="O4649" s="7">
        <v>122.9</v>
      </c>
      <c r="P4649" s="7">
        <v>426</v>
      </c>
      <c r="Q4649" s="7">
        <v>355.4</v>
      </c>
      <c r="S4649" s="7">
        <v>221.7</v>
      </c>
    </row>
    <row r="4650" spans="1:19" x14ac:dyDescent="0.2">
      <c r="A4650">
        <v>4649</v>
      </c>
      <c r="B4650" s="1">
        <v>40858</v>
      </c>
      <c r="C4650" t="s">
        <v>28</v>
      </c>
      <c r="D4650" s="7">
        <v>119</v>
      </c>
      <c r="E4650" s="7">
        <v>18</v>
      </c>
      <c r="F4650" s="7">
        <f t="shared" si="73"/>
        <v>6</v>
      </c>
      <c r="G4650" s="7" t="str">
        <f>LOOKUP(H4650,[1]startdates!$A$2:$A$10,[1]startdates!$B$2:$B$10)</f>
        <v>C</v>
      </c>
      <c r="H4650">
        <v>3</v>
      </c>
      <c r="I4650" s="7">
        <v>555.4</v>
      </c>
      <c r="K4650" s="7">
        <v>566.70000000000005</v>
      </c>
      <c r="L4650" s="7">
        <v>431.5</v>
      </c>
      <c r="M4650" s="7">
        <v>324.89999999999998</v>
      </c>
      <c r="N4650" s="7">
        <v>192.9</v>
      </c>
      <c r="O4650" s="7">
        <v>156.19999999999999</v>
      </c>
      <c r="Q4650" s="7">
        <v>340.8</v>
      </c>
    </row>
    <row r="4651" spans="1:19" x14ac:dyDescent="0.2">
      <c r="A4651">
        <v>4650</v>
      </c>
      <c r="B4651" s="1">
        <v>40858</v>
      </c>
      <c r="C4651" t="s">
        <v>28</v>
      </c>
      <c r="D4651" s="7">
        <v>119</v>
      </c>
      <c r="E4651" s="7">
        <v>18</v>
      </c>
      <c r="F4651" s="7">
        <f t="shared" si="73"/>
        <v>6</v>
      </c>
      <c r="G4651" s="7" t="str">
        <f>LOOKUP(H4651,[1]startdates!$A$2:$A$10,[1]startdates!$B$2:$B$10)</f>
        <v>C</v>
      </c>
      <c r="H4651">
        <v>3</v>
      </c>
      <c r="I4651" s="7">
        <v>607</v>
      </c>
      <c r="K4651" s="7">
        <v>555.79999999999995</v>
      </c>
      <c r="L4651" s="7">
        <v>456.8</v>
      </c>
      <c r="M4651" s="7">
        <v>317.89999999999998</v>
      </c>
      <c r="N4651" s="7">
        <v>234.9</v>
      </c>
      <c r="O4651" s="7">
        <v>150.4</v>
      </c>
    </row>
    <row r="4652" spans="1:19" x14ac:dyDescent="0.2">
      <c r="A4652">
        <v>4651</v>
      </c>
      <c r="B4652" s="1">
        <v>40858</v>
      </c>
      <c r="C4652" t="s">
        <v>28</v>
      </c>
      <c r="D4652" s="7">
        <v>119</v>
      </c>
      <c r="E4652" s="7">
        <v>18</v>
      </c>
      <c r="F4652" s="7">
        <f t="shared" si="73"/>
        <v>6</v>
      </c>
      <c r="G4652" s="7" t="str">
        <f>LOOKUP(H4652,[1]startdates!$A$2:$A$10,[1]startdates!$B$2:$B$10)</f>
        <v>C</v>
      </c>
      <c r="H4652">
        <v>3</v>
      </c>
      <c r="I4652" s="7">
        <v>655.5</v>
      </c>
      <c r="K4652" s="7">
        <v>532.6</v>
      </c>
      <c r="L4652" s="7">
        <v>402.1</v>
      </c>
      <c r="M4652" s="7">
        <v>317.2</v>
      </c>
      <c r="N4652" s="7">
        <v>225.1</v>
      </c>
      <c r="O4652" s="7">
        <v>185.3</v>
      </c>
    </row>
    <row r="4653" spans="1:19" x14ac:dyDescent="0.2">
      <c r="A4653">
        <v>4652</v>
      </c>
      <c r="B4653" s="1">
        <v>40858</v>
      </c>
      <c r="C4653" t="s">
        <v>28</v>
      </c>
      <c r="D4653" s="7">
        <v>119</v>
      </c>
      <c r="E4653" s="7">
        <v>18</v>
      </c>
      <c r="F4653" s="7">
        <f t="shared" si="73"/>
        <v>6</v>
      </c>
      <c r="G4653" s="7" t="str">
        <f>LOOKUP(H4653,[1]startdates!$A$2:$A$10,[1]startdates!$B$2:$B$10)</f>
        <v>C</v>
      </c>
      <c r="H4653">
        <v>3</v>
      </c>
      <c r="I4653" s="7">
        <v>557.4</v>
      </c>
      <c r="K4653" s="7">
        <v>511.9</v>
      </c>
      <c r="L4653" s="7">
        <v>393.1</v>
      </c>
      <c r="M4653" s="7">
        <v>364.6</v>
      </c>
      <c r="N4653" s="7">
        <v>196.5</v>
      </c>
      <c r="O4653" s="7">
        <v>158.30000000000001</v>
      </c>
    </row>
    <row r="4654" spans="1:19" x14ac:dyDescent="0.2">
      <c r="A4654">
        <v>4653</v>
      </c>
      <c r="B4654" s="1">
        <v>40858</v>
      </c>
      <c r="C4654" t="s">
        <v>28</v>
      </c>
      <c r="D4654" s="7">
        <v>119</v>
      </c>
      <c r="E4654" s="7">
        <v>18</v>
      </c>
      <c r="F4654" s="7">
        <f t="shared" si="73"/>
        <v>6</v>
      </c>
      <c r="G4654" s="7" t="str">
        <f>LOOKUP(H4654,[1]startdates!$A$2:$A$10,[1]startdates!$B$2:$B$10)</f>
        <v>C</v>
      </c>
      <c r="H4654">
        <v>3</v>
      </c>
      <c r="I4654" s="7">
        <v>586.4</v>
      </c>
      <c r="K4654" s="7">
        <v>504.6</v>
      </c>
      <c r="L4654" s="7">
        <v>414.1</v>
      </c>
      <c r="M4654" s="7">
        <v>332.4</v>
      </c>
      <c r="N4654" s="7">
        <v>218.1</v>
      </c>
      <c r="O4654" s="7">
        <v>184.9</v>
      </c>
    </row>
    <row r="4655" spans="1:19" x14ac:dyDescent="0.2">
      <c r="A4655">
        <v>4654</v>
      </c>
      <c r="B4655" s="1">
        <v>40858</v>
      </c>
      <c r="C4655" t="s">
        <v>28</v>
      </c>
      <c r="D4655" s="7">
        <v>119</v>
      </c>
      <c r="E4655" s="7">
        <v>18</v>
      </c>
      <c r="F4655" s="7">
        <f t="shared" si="73"/>
        <v>6</v>
      </c>
      <c r="G4655" s="7" t="str">
        <f>LOOKUP(H4655,[1]startdates!$A$2:$A$10,[1]startdates!$B$2:$B$10)</f>
        <v>C</v>
      </c>
      <c r="H4655">
        <v>3</v>
      </c>
      <c r="I4655" s="7">
        <v>481</v>
      </c>
      <c r="K4655" s="7">
        <v>528.70000000000005</v>
      </c>
      <c r="M4655" s="7">
        <v>337.6</v>
      </c>
      <c r="N4655" s="7">
        <v>224.3</v>
      </c>
      <c r="O4655" s="7">
        <v>153.80000000000001</v>
      </c>
    </row>
    <row r="4656" spans="1:19" x14ac:dyDescent="0.2">
      <c r="A4656">
        <v>4655</v>
      </c>
      <c r="B4656" s="1">
        <v>40858</v>
      </c>
      <c r="C4656" t="s">
        <v>28</v>
      </c>
      <c r="D4656" s="7">
        <v>119</v>
      </c>
      <c r="E4656" s="7">
        <v>18</v>
      </c>
      <c r="F4656" s="7">
        <f t="shared" si="73"/>
        <v>6</v>
      </c>
      <c r="G4656" s="7" t="str">
        <f>LOOKUP(H4656,[1]startdates!$A$2:$A$10,[1]startdates!$B$2:$B$10)</f>
        <v>C</v>
      </c>
      <c r="H4656">
        <v>3</v>
      </c>
      <c r="I4656" s="7">
        <v>601.9</v>
      </c>
      <c r="K4656" s="7">
        <v>557.29999999999995</v>
      </c>
      <c r="M4656" s="7">
        <v>309.5</v>
      </c>
      <c r="N4656" s="7">
        <v>191.2</v>
      </c>
      <c r="O4656" s="7">
        <v>172.5</v>
      </c>
    </row>
    <row r="4657" spans="1:19" x14ac:dyDescent="0.2">
      <c r="A4657">
        <v>4656</v>
      </c>
      <c r="B4657" s="1">
        <v>40858</v>
      </c>
      <c r="C4657" t="s">
        <v>28</v>
      </c>
      <c r="D4657" s="7">
        <v>119</v>
      </c>
      <c r="E4657" s="7">
        <v>18</v>
      </c>
      <c r="F4657" s="7">
        <f t="shared" si="73"/>
        <v>6</v>
      </c>
      <c r="G4657" s="7" t="str">
        <f>LOOKUP(H4657,[1]startdates!$A$2:$A$10,[1]startdates!$B$2:$B$10)</f>
        <v>C</v>
      </c>
      <c r="H4657">
        <v>3</v>
      </c>
      <c r="I4657" s="7">
        <v>549.5</v>
      </c>
      <c r="K4657" s="7">
        <v>496</v>
      </c>
      <c r="M4657" s="7">
        <v>325.2</v>
      </c>
      <c r="N4657" s="7">
        <v>214.5</v>
      </c>
      <c r="O4657" s="7">
        <v>184.7</v>
      </c>
    </row>
    <row r="4658" spans="1:19" x14ac:dyDescent="0.2">
      <c r="A4658">
        <v>4657</v>
      </c>
      <c r="B4658" s="1">
        <v>40858</v>
      </c>
      <c r="C4658" t="s">
        <v>28</v>
      </c>
      <c r="D4658" s="7">
        <v>119</v>
      </c>
      <c r="E4658" s="7">
        <v>18</v>
      </c>
      <c r="F4658" s="7">
        <f t="shared" si="73"/>
        <v>6</v>
      </c>
      <c r="G4658" s="7" t="str">
        <f>LOOKUP(H4658,[1]startdates!$A$2:$A$10,[1]startdates!$B$2:$B$10)</f>
        <v>C</v>
      </c>
      <c r="H4658">
        <v>3</v>
      </c>
      <c r="I4658" s="7">
        <v>646.4</v>
      </c>
      <c r="M4658" s="7">
        <v>368.2</v>
      </c>
      <c r="N4658" s="7">
        <v>180.5</v>
      </c>
      <c r="O4658" s="7">
        <v>169.7</v>
      </c>
    </row>
    <row r="4659" spans="1:19" x14ac:dyDescent="0.2">
      <c r="A4659">
        <v>4658</v>
      </c>
      <c r="B4659" s="1">
        <v>40858</v>
      </c>
      <c r="C4659" t="s">
        <v>28</v>
      </c>
      <c r="D4659" s="7">
        <v>119</v>
      </c>
      <c r="E4659" s="7">
        <v>18</v>
      </c>
      <c r="F4659" s="7">
        <f t="shared" si="73"/>
        <v>6</v>
      </c>
      <c r="G4659" s="7" t="str">
        <f>LOOKUP(H4659,[1]startdates!$A$2:$A$10,[1]startdates!$B$2:$B$10)</f>
        <v>C</v>
      </c>
      <c r="H4659">
        <v>3</v>
      </c>
      <c r="I4659" s="7">
        <v>622.4</v>
      </c>
      <c r="M4659" s="7">
        <v>360.8</v>
      </c>
    </row>
    <row r="4660" spans="1:19" x14ac:dyDescent="0.2">
      <c r="A4660">
        <v>4659</v>
      </c>
      <c r="B4660" s="1">
        <v>40858</v>
      </c>
      <c r="C4660" t="s">
        <v>28</v>
      </c>
      <c r="D4660" s="7">
        <v>119</v>
      </c>
      <c r="E4660" s="7">
        <v>18</v>
      </c>
      <c r="F4660" s="7">
        <f t="shared" si="73"/>
        <v>6</v>
      </c>
      <c r="G4660" s="7" t="str">
        <f>LOOKUP(H4660,[1]startdates!$A$2:$A$10,[1]startdates!$B$2:$B$10)</f>
        <v>C</v>
      </c>
      <c r="H4660">
        <v>3</v>
      </c>
      <c r="I4660" s="7">
        <v>616.5</v>
      </c>
      <c r="M4660" s="7">
        <v>314</v>
      </c>
    </row>
    <row r="4661" spans="1:19" x14ac:dyDescent="0.2">
      <c r="A4661">
        <v>4660</v>
      </c>
      <c r="B4661" s="1">
        <v>40858</v>
      </c>
      <c r="C4661" t="s">
        <v>28</v>
      </c>
      <c r="D4661" s="7">
        <v>119</v>
      </c>
      <c r="E4661" s="7">
        <v>18</v>
      </c>
      <c r="F4661" s="7">
        <f t="shared" si="73"/>
        <v>6</v>
      </c>
      <c r="G4661" s="7" t="str">
        <f>LOOKUP(H4661,[1]startdates!$A$2:$A$10,[1]startdates!$B$2:$B$10)</f>
        <v>SMr</v>
      </c>
      <c r="H4661">
        <v>4</v>
      </c>
      <c r="I4661" s="7">
        <v>640.79999999999995</v>
      </c>
      <c r="K4661" s="7">
        <v>523</v>
      </c>
      <c r="L4661" s="7">
        <v>405.1</v>
      </c>
      <c r="M4661" s="7">
        <v>349.1</v>
      </c>
      <c r="N4661" s="7">
        <v>192.9</v>
      </c>
      <c r="O4661" s="7">
        <v>169.7</v>
      </c>
      <c r="P4661" s="7">
        <v>435.2</v>
      </c>
      <c r="Q4661" s="7">
        <v>309</v>
      </c>
      <c r="R4661" s="7">
        <v>244.8</v>
      </c>
      <c r="S4661" s="7">
        <v>246.1</v>
      </c>
    </row>
    <row r="4662" spans="1:19" x14ac:dyDescent="0.2">
      <c r="A4662">
        <v>4661</v>
      </c>
      <c r="B4662" s="1">
        <v>40858</v>
      </c>
      <c r="C4662" t="s">
        <v>28</v>
      </c>
      <c r="D4662" s="7">
        <v>119</v>
      </c>
      <c r="E4662" s="7">
        <v>18</v>
      </c>
      <c r="F4662" s="7">
        <f t="shared" si="73"/>
        <v>6</v>
      </c>
      <c r="G4662" s="7" t="str">
        <f>LOOKUP(H4662,[1]startdates!$A$2:$A$10,[1]startdates!$B$2:$B$10)</f>
        <v>SMr</v>
      </c>
      <c r="H4662">
        <v>4</v>
      </c>
      <c r="I4662" s="7">
        <v>668.1</v>
      </c>
      <c r="K4662" s="7">
        <v>462.8</v>
      </c>
      <c r="L4662" s="7">
        <v>391.2</v>
      </c>
      <c r="M4662" s="7">
        <v>290</v>
      </c>
      <c r="N4662" s="7">
        <v>214</v>
      </c>
      <c r="O4662" s="7">
        <v>166.5</v>
      </c>
      <c r="P4662" s="7">
        <v>402.8</v>
      </c>
      <c r="Q4662" s="7">
        <v>381.9</v>
      </c>
      <c r="S4662" s="7">
        <v>246.7</v>
      </c>
    </row>
    <row r="4663" spans="1:19" x14ac:dyDescent="0.2">
      <c r="A4663">
        <v>4662</v>
      </c>
      <c r="B4663" s="1">
        <v>40858</v>
      </c>
      <c r="C4663" t="s">
        <v>28</v>
      </c>
      <c r="D4663" s="7">
        <v>119</v>
      </c>
      <c r="E4663" s="7">
        <v>18</v>
      </c>
      <c r="F4663" s="7">
        <f t="shared" si="73"/>
        <v>6</v>
      </c>
      <c r="G4663" s="7" t="str">
        <f>LOOKUP(H4663,[1]startdates!$A$2:$A$10,[1]startdates!$B$2:$B$10)</f>
        <v>SMr</v>
      </c>
      <c r="H4663">
        <v>4</v>
      </c>
      <c r="I4663" s="7">
        <v>535.4</v>
      </c>
      <c r="K4663" s="7">
        <v>480.6</v>
      </c>
      <c r="L4663" s="7">
        <v>432.3</v>
      </c>
      <c r="M4663" s="7">
        <v>357.8</v>
      </c>
      <c r="N4663" s="7">
        <v>222.9</v>
      </c>
      <c r="O4663" s="7">
        <v>156.80000000000001</v>
      </c>
      <c r="Q4663" s="7">
        <v>339.2</v>
      </c>
    </row>
    <row r="4664" spans="1:19" x14ac:dyDescent="0.2">
      <c r="A4664">
        <v>4663</v>
      </c>
      <c r="B4664" s="1">
        <v>40858</v>
      </c>
      <c r="C4664" t="s">
        <v>28</v>
      </c>
      <c r="D4664" s="7">
        <v>119</v>
      </c>
      <c r="E4664" s="7">
        <v>18</v>
      </c>
      <c r="F4664" s="7">
        <f t="shared" si="73"/>
        <v>6</v>
      </c>
      <c r="G4664" s="7" t="str">
        <f>LOOKUP(H4664,[1]startdates!$A$2:$A$10,[1]startdates!$B$2:$B$10)</f>
        <v>SMr</v>
      </c>
      <c r="H4664">
        <v>4</v>
      </c>
      <c r="I4664" s="7">
        <v>704.1</v>
      </c>
      <c r="K4664" s="7">
        <v>520.5</v>
      </c>
      <c r="L4664" s="7">
        <v>460.2</v>
      </c>
      <c r="M4664" s="7">
        <v>350.5</v>
      </c>
      <c r="N4664" s="7">
        <v>266.7</v>
      </c>
      <c r="O4664" s="7">
        <v>180.6</v>
      </c>
    </row>
    <row r="4665" spans="1:19" x14ac:dyDescent="0.2">
      <c r="A4665">
        <v>4664</v>
      </c>
      <c r="B4665" s="1">
        <v>40858</v>
      </c>
      <c r="C4665" t="s">
        <v>28</v>
      </c>
      <c r="D4665" s="7">
        <v>119</v>
      </c>
      <c r="E4665" s="7">
        <v>18</v>
      </c>
      <c r="F4665" s="7">
        <f t="shared" si="73"/>
        <v>6</v>
      </c>
      <c r="G4665" s="7" t="str">
        <f>LOOKUP(H4665,[1]startdates!$A$2:$A$10,[1]startdates!$B$2:$B$10)</f>
        <v>SMr</v>
      </c>
      <c r="H4665">
        <v>4</v>
      </c>
      <c r="I4665" s="7">
        <v>620.9</v>
      </c>
      <c r="K4665" s="7">
        <v>520.29999999999995</v>
      </c>
      <c r="L4665" s="7">
        <v>447.3</v>
      </c>
      <c r="M4665" s="7">
        <v>308.60000000000002</v>
      </c>
      <c r="N4665" s="7">
        <v>284.89999999999998</v>
      </c>
      <c r="O4665" s="7">
        <v>148.1</v>
      </c>
    </row>
    <row r="4666" spans="1:19" x14ac:dyDescent="0.2">
      <c r="A4666">
        <v>4665</v>
      </c>
      <c r="B4666" s="1">
        <v>40858</v>
      </c>
      <c r="C4666" t="s">
        <v>28</v>
      </c>
      <c r="D4666" s="7">
        <v>119</v>
      </c>
      <c r="E4666" s="7">
        <v>18</v>
      </c>
      <c r="F4666" s="7">
        <f t="shared" si="73"/>
        <v>6</v>
      </c>
      <c r="G4666" s="7" t="str">
        <f>LOOKUP(H4666,[1]startdates!$A$2:$A$10,[1]startdates!$B$2:$B$10)</f>
        <v>SMr</v>
      </c>
      <c r="H4666">
        <v>4</v>
      </c>
      <c r="I4666" s="7">
        <v>559.6</v>
      </c>
      <c r="K4666" s="7">
        <v>479.2</v>
      </c>
      <c r="M4666" s="7">
        <v>302.7</v>
      </c>
      <c r="N4666" s="7">
        <v>196.9</v>
      </c>
      <c r="O4666" s="7">
        <v>172.1</v>
      </c>
    </row>
    <row r="4667" spans="1:19" x14ac:dyDescent="0.2">
      <c r="A4667">
        <v>4666</v>
      </c>
      <c r="B4667" s="1">
        <v>40858</v>
      </c>
      <c r="C4667" t="s">
        <v>28</v>
      </c>
      <c r="D4667" s="7">
        <v>119</v>
      </c>
      <c r="E4667" s="7">
        <v>18</v>
      </c>
      <c r="F4667" s="7">
        <f t="shared" si="73"/>
        <v>6</v>
      </c>
      <c r="G4667" s="7" t="str">
        <f>LOOKUP(H4667,[1]startdates!$A$2:$A$10,[1]startdates!$B$2:$B$10)</f>
        <v>SMr</v>
      </c>
      <c r="H4667">
        <v>4</v>
      </c>
      <c r="I4667" s="7">
        <v>645.1</v>
      </c>
      <c r="K4667" s="7">
        <v>530.6</v>
      </c>
      <c r="M4667" s="7">
        <v>318.3</v>
      </c>
      <c r="N4667" s="7">
        <v>216.1</v>
      </c>
      <c r="O4667" s="7">
        <v>162.19999999999999</v>
      </c>
    </row>
    <row r="4668" spans="1:19" x14ac:dyDescent="0.2">
      <c r="A4668">
        <v>4667</v>
      </c>
      <c r="B4668" s="1">
        <v>40858</v>
      </c>
      <c r="C4668" t="s">
        <v>28</v>
      </c>
      <c r="D4668" s="7">
        <v>119</v>
      </c>
      <c r="E4668" s="7">
        <v>18</v>
      </c>
      <c r="F4668" s="7">
        <f t="shared" si="73"/>
        <v>6</v>
      </c>
      <c r="G4668" s="7" t="str">
        <f>LOOKUP(H4668,[1]startdates!$A$2:$A$10,[1]startdates!$B$2:$B$10)</f>
        <v>SMr</v>
      </c>
      <c r="H4668">
        <v>4</v>
      </c>
      <c r="I4668" s="7">
        <v>581.9</v>
      </c>
      <c r="K4668" s="7">
        <v>529.79999999999995</v>
      </c>
      <c r="M4668" s="7">
        <v>303.3</v>
      </c>
      <c r="N4668" s="7">
        <v>209.3</v>
      </c>
      <c r="O4668" s="7">
        <v>164.2</v>
      </c>
    </row>
    <row r="4669" spans="1:19" x14ac:dyDescent="0.2">
      <c r="A4669">
        <v>4668</v>
      </c>
      <c r="B4669" s="1">
        <v>40858</v>
      </c>
      <c r="C4669" t="s">
        <v>28</v>
      </c>
      <c r="D4669" s="7">
        <v>119</v>
      </c>
      <c r="E4669" s="7">
        <v>18</v>
      </c>
      <c r="F4669" s="7">
        <f t="shared" si="73"/>
        <v>6</v>
      </c>
      <c r="G4669" s="7" t="str">
        <f>LOOKUP(H4669,[1]startdates!$A$2:$A$10,[1]startdates!$B$2:$B$10)</f>
        <v>SMr</v>
      </c>
      <c r="H4669">
        <v>4</v>
      </c>
      <c r="I4669" s="7">
        <v>473.8</v>
      </c>
      <c r="K4669" s="7">
        <v>546</v>
      </c>
      <c r="M4669" s="7">
        <v>364</v>
      </c>
      <c r="N4669" s="7">
        <v>218.1</v>
      </c>
      <c r="O4669" s="7">
        <v>176</v>
      </c>
    </row>
    <row r="4670" spans="1:19" x14ac:dyDescent="0.2">
      <c r="A4670">
        <v>4669</v>
      </c>
      <c r="B4670" s="1">
        <v>40858</v>
      </c>
      <c r="C4670" t="s">
        <v>28</v>
      </c>
      <c r="D4670" s="7">
        <v>119</v>
      </c>
      <c r="E4670" s="7">
        <v>18</v>
      </c>
      <c r="F4670" s="7">
        <f t="shared" si="73"/>
        <v>6</v>
      </c>
      <c r="G4670" s="7" t="str">
        <f>LOOKUP(H4670,[1]startdates!$A$2:$A$10,[1]startdates!$B$2:$B$10)</f>
        <v>SMr</v>
      </c>
      <c r="H4670">
        <v>4</v>
      </c>
      <c r="I4670" s="7">
        <v>563.5</v>
      </c>
      <c r="K4670" s="7">
        <v>568.20000000000005</v>
      </c>
      <c r="M4670" s="7">
        <v>314.7</v>
      </c>
      <c r="N4670" s="7">
        <v>230.8</v>
      </c>
      <c r="O4670" s="7">
        <v>179.7</v>
      </c>
    </row>
    <row r="4671" spans="1:19" x14ac:dyDescent="0.2">
      <c r="A4671">
        <v>4670</v>
      </c>
      <c r="B4671" s="1">
        <v>40858</v>
      </c>
      <c r="C4671" t="s">
        <v>28</v>
      </c>
      <c r="D4671" s="7">
        <v>119</v>
      </c>
      <c r="E4671" s="7">
        <v>18</v>
      </c>
      <c r="F4671" s="7">
        <f t="shared" si="73"/>
        <v>6</v>
      </c>
      <c r="G4671" s="7" t="str">
        <f>LOOKUP(H4671,[1]startdates!$A$2:$A$10,[1]startdates!$B$2:$B$10)</f>
        <v>SMr</v>
      </c>
      <c r="H4671">
        <v>4</v>
      </c>
      <c r="I4671" s="7">
        <v>516.5</v>
      </c>
    </row>
    <row r="4672" spans="1:19" x14ac:dyDescent="0.2">
      <c r="A4672">
        <v>4671</v>
      </c>
      <c r="B4672" s="1">
        <v>40858</v>
      </c>
      <c r="C4672" t="s">
        <v>28</v>
      </c>
      <c r="D4672" s="7">
        <v>119</v>
      </c>
      <c r="E4672" s="7">
        <v>18</v>
      </c>
      <c r="F4672" s="7">
        <f t="shared" si="73"/>
        <v>6</v>
      </c>
      <c r="G4672" s="7" t="str">
        <f>LOOKUP(H4672,[1]startdates!$A$2:$A$10,[1]startdates!$B$2:$B$10)</f>
        <v>SMr</v>
      </c>
      <c r="H4672">
        <v>4</v>
      </c>
      <c r="I4672" s="7">
        <v>597.4</v>
      </c>
    </row>
    <row r="4673" spans="1:19" x14ac:dyDescent="0.2">
      <c r="A4673">
        <v>4672</v>
      </c>
      <c r="B4673" s="1">
        <v>40858</v>
      </c>
      <c r="C4673" t="s">
        <v>28</v>
      </c>
      <c r="D4673" s="7">
        <v>119</v>
      </c>
      <c r="E4673" s="7">
        <v>18</v>
      </c>
      <c r="F4673" s="7">
        <f t="shared" si="73"/>
        <v>6</v>
      </c>
      <c r="G4673" s="7" t="str">
        <f>LOOKUP(H4673,[1]startdates!$A$2:$A$10,[1]startdates!$B$2:$B$10)</f>
        <v>SMr</v>
      </c>
      <c r="H4673">
        <v>4</v>
      </c>
      <c r="I4673" s="7">
        <v>545.5</v>
      </c>
    </row>
    <row r="4674" spans="1:19" x14ac:dyDescent="0.2">
      <c r="A4674">
        <v>4673</v>
      </c>
      <c r="B4674" s="1">
        <v>40858</v>
      </c>
      <c r="C4674" t="s">
        <v>28</v>
      </c>
      <c r="D4674" s="7">
        <v>119</v>
      </c>
      <c r="E4674" s="7">
        <v>18</v>
      </c>
      <c r="F4674" s="7">
        <f t="shared" si="73"/>
        <v>6</v>
      </c>
      <c r="G4674" s="7" t="str">
        <f>LOOKUP(H4674,[1]startdates!$A$2:$A$10,[1]startdates!$B$2:$B$10)</f>
        <v>SMr</v>
      </c>
      <c r="H4674">
        <v>4</v>
      </c>
      <c r="I4674" s="7">
        <v>538.6</v>
      </c>
    </row>
    <row r="4675" spans="1:19" x14ac:dyDescent="0.2">
      <c r="A4675">
        <v>4674</v>
      </c>
      <c r="B4675" s="1">
        <v>40858</v>
      </c>
      <c r="C4675" t="s">
        <v>28</v>
      </c>
      <c r="D4675" s="7">
        <v>119</v>
      </c>
      <c r="E4675" s="7">
        <v>18</v>
      </c>
      <c r="F4675" s="7">
        <f t="shared" si="73"/>
        <v>6</v>
      </c>
      <c r="G4675" s="7" t="str">
        <f>LOOKUP(H4675,[1]startdates!$A$2:$A$10,[1]startdates!$B$2:$B$10)</f>
        <v>SMr</v>
      </c>
      <c r="H4675">
        <v>4</v>
      </c>
      <c r="I4675" s="7">
        <v>518.4</v>
      </c>
    </row>
    <row r="4676" spans="1:19" x14ac:dyDescent="0.2">
      <c r="A4676">
        <v>4675</v>
      </c>
      <c r="B4676" s="1">
        <v>40858</v>
      </c>
      <c r="C4676" t="s">
        <v>28</v>
      </c>
      <c r="D4676" s="7">
        <v>119</v>
      </c>
      <c r="E4676" s="7">
        <v>18</v>
      </c>
      <c r="F4676" s="7">
        <f t="shared" si="73"/>
        <v>6</v>
      </c>
      <c r="G4676" s="7" t="str">
        <f>LOOKUP(H4676,[1]startdates!$A$2:$A$10,[1]startdates!$B$2:$B$10)</f>
        <v>C</v>
      </c>
      <c r="H4676">
        <v>5</v>
      </c>
      <c r="I4676" s="7">
        <v>590.70000000000005</v>
      </c>
      <c r="J4676" s="7">
        <v>467.8</v>
      </c>
      <c r="K4676" s="7">
        <v>527</v>
      </c>
      <c r="L4676" s="7">
        <v>390.5</v>
      </c>
      <c r="M4676" s="7">
        <v>359.4</v>
      </c>
      <c r="N4676" s="7">
        <v>201.2</v>
      </c>
      <c r="O4676" s="7">
        <v>162</v>
      </c>
      <c r="P4676" s="7">
        <v>456.4</v>
      </c>
      <c r="Q4676" s="7">
        <v>326.3</v>
      </c>
      <c r="R4676" s="7">
        <v>260.3</v>
      </c>
      <c r="S4676" s="7">
        <v>209.3</v>
      </c>
    </row>
    <row r="4677" spans="1:19" x14ac:dyDescent="0.2">
      <c r="A4677">
        <v>4676</v>
      </c>
      <c r="B4677" s="1">
        <v>40858</v>
      </c>
      <c r="C4677" t="s">
        <v>28</v>
      </c>
      <c r="D4677" s="7">
        <v>119</v>
      </c>
      <c r="E4677" s="7">
        <v>18</v>
      </c>
      <c r="F4677" s="7">
        <f t="shared" si="73"/>
        <v>6</v>
      </c>
      <c r="G4677" s="7" t="str">
        <f>LOOKUP(H4677,[1]startdates!$A$2:$A$10,[1]startdates!$B$2:$B$10)</f>
        <v>C</v>
      </c>
      <c r="H4677">
        <v>5</v>
      </c>
      <c r="I4677" s="7">
        <v>704.1</v>
      </c>
      <c r="K4677" s="7">
        <v>538.1</v>
      </c>
      <c r="L4677" s="7">
        <v>434.3</v>
      </c>
      <c r="M4677" s="7">
        <v>353.6</v>
      </c>
      <c r="N4677" s="7">
        <v>211.3</v>
      </c>
      <c r="O4677" s="7">
        <v>164.4</v>
      </c>
      <c r="Q4677" s="7">
        <v>336</v>
      </c>
      <c r="R4677" s="7">
        <v>254.3</v>
      </c>
    </row>
    <row r="4678" spans="1:19" x14ac:dyDescent="0.2">
      <c r="A4678">
        <v>4677</v>
      </c>
      <c r="B4678" s="1">
        <v>40858</v>
      </c>
      <c r="C4678" t="s">
        <v>28</v>
      </c>
      <c r="D4678" s="7">
        <v>119</v>
      </c>
      <c r="E4678" s="7">
        <v>18</v>
      </c>
      <c r="F4678" s="7">
        <f t="shared" si="73"/>
        <v>6</v>
      </c>
      <c r="G4678" s="7" t="str">
        <f>LOOKUP(H4678,[1]startdates!$A$2:$A$10,[1]startdates!$B$2:$B$10)</f>
        <v>C</v>
      </c>
      <c r="H4678">
        <v>5</v>
      </c>
      <c r="I4678" s="7">
        <v>621.79999999999995</v>
      </c>
      <c r="K4678" s="7">
        <v>543.79999999999995</v>
      </c>
      <c r="L4678" s="7">
        <v>419.8</v>
      </c>
      <c r="M4678" s="7">
        <v>291.10000000000002</v>
      </c>
      <c r="N4678" s="7">
        <v>194.9</v>
      </c>
      <c r="O4678" s="7">
        <v>189.2</v>
      </c>
      <c r="Q4678" s="7">
        <v>351.4</v>
      </c>
    </row>
    <row r="4679" spans="1:19" x14ac:dyDescent="0.2">
      <c r="A4679">
        <v>4678</v>
      </c>
      <c r="B4679" s="1">
        <v>40858</v>
      </c>
      <c r="C4679" t="s">
        <v>28</v>
      </c>
      <c r="D4679" s="7">
        <v>119</v>
      </c>
      <c r="E4679" s="7">
        <v>18</v>
      </c>
      <c r="F4679" s="7">
        <f t="shared" si="73"/>
        <v>6</v>
      </c>
      <c r="G4679" s="7" t="str">
        <f>LOOKUP(H4679,[1]startdates!$A$2:$A$10,[1]startdates!$B$2:$B$10)</f>
        <v>C</v>
      </c>
      <c r="H4679">
        <v>5</v>
      </c>
      <c r="I4679" s="7">
        <v>559.9</v>
      </c>
      <c r="K4679" s="7">
        <v>603.79999999999995</v>
      </c>
      <c r="L4679" s="7">
        <v>395.7</v>
      </c>
      <c r="M4679" s="7">
        <v>350.5</v>
      </c>
      <c r="N4679" s="7">
        <v>246.1</v>
      </c>
      <c r="O4679" s="7">
        <v>181.9</v>
      </c>
      <c r="Q4679" s="7">
        <v>313</v>
      </c>
    </row>
    <row r="4680" spans="1:19" x14ac:dyDescent="0.2">
      <c r="A4680">
        <v>4679</v>
      </c>
      <c r="B4680" s="1">
        <v>40858</v>
      </c>
      <c r="C4680" t="s">
        <v>28</v>
      </c>
      <c r="D4680" s="7">
        <v>119</v>
      </c>
      <c r="E4680" s="7">
        <v>18</v>
      </c>
      <c r="F4680" s="7">
        <f t="shared" si="73"/>
        <v>6</v>
      </c>
      <c r="G4680" s="7" t="str">
        <f>LOOKUP(H4680,[1]startdates!$A$2:$A$10,[1]startdates!$B$2:$B$10)</f>
        <v>C</v>
      </c>
      <c r="H4680">
        <v>5</v>
      </c>
      <c r="I4680" s="7">
        <v>634</v>
      </c>
      <c r="K4680" s="7">
        <v>492.7</v>
      </c>
      <c r="L4680" s="7">
        <v>449.4</v>
      </c>
      <c r="M4680" s="7">
        <v>302</v>
      </c>
      <c r="N4680" s="7">
        <v>209.3</v>
      </c>
      <c r="O4680" s="7">
        <v>151.1</v>
      </c>
    </row>
    <row r="4681" spans="1:19" x14ac:dyDescent="0.2">
      <c r="A4681">
        <v>4680</v>
      </c>
      <c r="B4681" s="1">
        <v>40858</v>
      </c>
      <c r="C4681" t="s">
        <v>28</v>
      </c>
      <c r="D4681" s="7">
        <v>119</v>
      </c>
      <c r="E4681" s="7">
        <v>18</v>
      </c>
      <c r="F4681" s="7">
        <f t="shared" si="73"/>
        <v>6</v>
      </c>
      <c r="G4681" s="7" t="str">
        <f>LOOKUP(H4681,[1]startdates!$A$2:$A$10,[1]startdates!$B$2:$B$10)</f>
        <v>C</v>
      </c>
      <c r="H4681">
        <v>5</v>
      </c>
      <c r="I4681" s="7">
        <v>686.5</v>
      </c>
      <c r="L4681" s="7">
        <v>414.9</v>
      </c>
      <c r="M4681" s="7">
        <v>295.39999999999998</v>
      </c>
      <c r="N4681" s="7">
        <v>268.5</v>
      </c>
      <c r="O4681" s="7">
        <v>186.3</v>
      </c>
    </row>
    <row r="4682" spans="1:19" x14ac:dyDescent="0.2">
      <c r="A4682">
        <v>4681</v>
      </c>
      <c r="B4682" s="1">
        <v>40858</v>
      </c>
      <c r="C4682" t="s">
        <v>28</v>
      </c>
      <c r="D4682" s="7">
        <v>119</v>
      </c>
      <c r="E4682" s="7">
        <v>18</v>
      </c>
      <c r="F4682" s="7">
        <f t="shared" si="73"/>
        <v>6</v>
      </c>
      <c r="G4682" s="7" t="str">
        <f>LOOKUP(H4682,[1]startdates!$A$2:$A$10,[1]startdates!$B$2:$B$10)</f>
        <v>C</v>
      </c>
      <c r="H4682">
        <v>5</v>
      </c>
      <c r="I4682" s="7">
        <v>662.4</v>
      </c>
      <c r="L4682" s="7">
        <v>392.4</v>
      </c>
      <c r="M4682" s="7">
        <v>308.8</v>
      </c>
      <c r="N4682" s="7">
        <v>260.8</v>
      </c>
      <c r="O4682" s="7">
        <v>201</v>
      </c>
    </row>
    <row r="4683" spans="1:19" x14ac:dyDescent="0.2">
      <c r="A4683">
        <v>4682</v>
      </c>
      <c r="B4683" s="1">
        <v>40858</v>
      </c>
      <c r="C4683" t="s">
        <v>28</v>
      </c>
      <c r="D4683" s="7">
        <v>119</v>
      </c>
      <c r="E4683" s="7">
        <v>18</v>
      </c>
      <c r="F4683" s="7">
        <f t="shared" si="73"/>
        <v>6</v>
      </c>
      <c r="G4683" s="7" t="str">
        <f>LOOKUP(H4683,[1]startdates!$A$2:$A$10,[1]startdates!$B$2:$B$10)</f>
        <v>C</v>
      </c>
      <c r="H4683">
        <v>5</v>
      </c>
      <c r="I4683" s="7">
        <v>612.5</v>
      </c>
      <c r="L4683" s="7">
        <v>416</v>
      </c>
      <c r="M4683" s="7">
        <v>374.9</v>
      </c>
      <c r="N4683" s="7">
        <v>244.8</v>
      </c>
      <c r="O4683" s="7">
        <v>171.3</v>
      </c>
    </row>
    <row r="4684" spans="1:19" x14ac:dyDescent="0.2">
      <c r="A4684">
        <v>4683</v>
      </c>
      <c r="B4684" s="1">
        <v>40858</v>
      </c>
      <c r="C4684" t="s">
        <v>28</v>
      </c>
      <c r="D4684" s="7">
        <v>119</v>
      </c>
      <c r="E4684" s="7">
        <v>18</v>
      </c>
      <c r="F4684" s="7">
        <f t="shared" si="73"/>
        <v>6</v>
      </c>
      <c r="G4684" s="7" t="str">
        <f>LOOKUP(H4684,[1]startdates!$A$2:$A$10,[1]startdates!$B$2:$B$10)</f>
        <v>C</v>
      </c>
      <c r="H4684">
        <v>5</v>
      </c>
      <c r="I4684" s="7">
        <v>545.70000000000005</v>
      </c>
      <c r="M4684" s="7">
        <v>383.8</v>
      </c>
      <c r="N4684" s="7">
        <v>222.4</v>
      </c>
      <c r="O4684" s="7">
        <v>180.6</v>
      </c>
    </row>
    <row r="4685" spans="1:19" x14ac:dyDescent="0.2">
      <c r="A4685">
        <v>4684</v>
      </c>
      <c r="B4685" s="1">
        <v>40858</v>
      </c>
      <c r="C4685" t="s">
        <v>28</v>
      </c>
      <c r="D4685" s="7">
        <v>119</v>
      </c>
      <c r="E4685" s="7">
        <v>18</v>
      </c>
      <c r="F4685" s="7">
        <f t="shared" si="73"/>
        <v>6</v>
      </c>
      <c r="G4685" s="7" t="str">
        <f>LOOKUP(H4685,[1]startdates!$A$2:$A$10,[1]startdates!$B$2:$B$10)</f>
        <v>C</v>
      </c>
      <c r="H4685">
        <v>5</v>
      </c>
      <c r="I4685" s="7">
        <v>555.5</v>
      </c>
      <c r="M4685" s="7">
        <v>298.60000000000002</v>
      </c>
      <c r="N4685" s="7">
        <v>213.7</v>
      </c>
      <c r="O4685" s="7">
        <v>164.9</v>
      </c>
    </row>
    <row r="4686" spans="1:19" x14ac:dyDescent="0.2">
      <c r="A4686">
        <v>4685</v>
      </c>
      <c r="B4686" s="1">
        <v>40858</v>
      </c>
      <c r="C4686" t="s">
        <v>28</v>
      </c>
      <c r="D4686" s="7">
        <v>119</v>
      </c>
      <c r="E4686" s="7">
        <v>18</v>
      </c>
      <c r="F4686" s="7">
        <f t="shared" si="73"/>
        <v>6</v>
      </c>
      <c r="G4686" s="7" t="str">
        <f>LOOKUP(H4686,[1]startdates!$A$2:$A$10,[1]startdates!$B$2:$B$10)</f>
        <v>C</v>
      </c>
      <c r="H4686">
        <v>5</v>
      </c>
      <c r="M4686" s="7">
        <v>316.7</v>
      </c>
    </row>
    <row r="4687" spans="1:19" x14ac:dyDescent="0.2">
      <c r="A4687">
        <v>4686</v>
      </c>
      <c r="B4687" s="1">
        <v>40858</v>
      </c>
      <c r="C4687" t="s">
        <v>28</v>
      </c>
      <c r="D4687" s="7">
        <v>119</v>
      </c>
      <c r="E4687" s="7">
        <v>18</v>
      </c>
      <c r="F4687" s="7">
        <f t="shared" si="73"/>
        <v>6</v>
      </c>
      <c r="G4687" s="7" t="str">
        <f>LOOKUP(H4687,[1]startdates!$A$2:$A$10,[1]startdates!$B$2:$B$10)</f>
        <v>FMr</v>
      </c>
      <c r="H4687">
        <v>6</v>
      </c>
      <c r="I4687" s="7">
        <v>518</v>
      </c>
      <c r="K4687" s="7">
        <v>480.8</v>
      </c>
      <c r="L4687" s="7">
        <v>415.3</v>
      </c>
      <c r="M4687" s="7">
        <v>376.4</v>
      </c>
      <c r="N4687" s="7">
        <v>192</v>
      </c>
      <c r="O4687" s="7">
        <v>156</v>
      </c>
      <c r="P4687" s="7">
        <v>401.8</v>
      </c>
      <c r="Q4687" s="7">
        <v>306.7</v>
      </c>
      <c r="R4687" s="7">
        <v>297.10000000000002</v>
      </c>
      <c r="S4687" s="7">
        <v>286.10000000000002</v>
      </c>
    </row>
    <row r="4688" spans="1:19" x14ac:dyDescent="0.2">
      <c r="A4688">
        <v>4687</v>
      </c>
      <c r="B4688" s="1">
        <v>40858</v>
      </c>
      <c r="C4688" t="s">
        <v>28</v>
      </c>
      <c r="D4688" s="7">
        <v>119</v>
      </c>
      <c r="E4688" s="7">
        <v>18</v>
      </c>
      <c r="F4688" s="7">
        <f t="shared" si="73"/>
        <v>6</v>
      </c>
      <c r="G4688" s="7" t="str">
        <f>LOOKUP(H4688,[1]startdates!$A$2:$A$10,[1]startdates!$B$2:$B$10)</f>
        <v>FMr</v>
      </c>
      <c r="H4688">
        <v>6</v>
      </c>
      <c r="I4688" s="7">
        <v>608.79999999999995</v>
      </c>
      <c r="K4688" s="7">
        <v>531</v>
      </c>
      <c r="L4688" s="7">
        <v>430.1</v>
      </c>
      <c r="M4688" s="7">
        <v>318.39999999999998</v>
      </c>
      <c r="N4688" s="7">
        <v>281.60000000000002</v>
      </c>
      <c r="O4688" s="7">
        <v>171.5</v>
      </c>
      <c r="Q4688" s="7">
        <v>337.9</v>
      </c>
      <c r="R4688" s="7">
        <v>284.39999999999998</v>
      </c>
      <c r="S4688" s="7">
        <v>269.2</v>
      </c>
    </row>
    <row r="4689" spans="1:18" x14ac:dyDescent="0.2">
      <c r="A4689">
        <v>4688</v>
      </c>
      <c r="B4689" s="1">
        <v>40858</v>
      </c>
      <c r="C4689" t="s">
        <v>28</v>
      </c>
      <c r="D4689" s="7">
        <v>119</v>
      </c>
      <c r="E4689" s="7">
        <v>18</v>
      </c>
      <c r="F4689" s="7">
        <f t="shared" si="73"/>
        <v>6</v>
      </c>
      <c r="G4689" s="7" t="str">
        <f>LOOKUP(H4689,[1]startdates!$A$2:$A$10,[1]startdates!$B$2:$B$10)</f>
        <v>FMr</v>
      </c>
      <c r="H4689">
        <v>6</v>
      </c>
      <c r="I4689" s="7">
        <v>601.5</v>
      </c>
      <c r="K4689" s="7">
        <v>484.7</v>
      </c>
      <c r="L4689" s="7">
        <v>396</v>
      </c>
      <c r="M4689" s="7">
        <v>310.8</v>
      </c>
      <c r="N4689" s="7">
        <v>223.4</v>
      </c>
      <c r="O4689" s="7">
        <v>151</v>
      </c>
      <c r="R4689" s="7">
        <v>297.5</v>
      </c>
    </row>
    <row r="4690" spans="1:18" x14ac:dyDescent="0.2">
      <c r="A4690">
        <v>4689</v>
      </c>
      <c r="B4690" s="1">
        <v>40858</v>
      </c>
      <c r="C4690" t="s">
        <v>28</v>
      </c>
      <c r="D4690" s="7">
        <v>119</v>
      </c>
      <c r="E4690" s="7">
        <v>18</v>
      </c>
      <c r="F4690" s="7">
        <f t="shared" si="73"/>
        <v>6</v>
      </c>
      <c r="G4690" s="7" t="str">
        <f>LOOKUP(H4690,[1]startdates!$A$2:$A$10,[1]startdates!$B$2:$B$10)</f>
        <v>FMr</v>
      </c>
      <c r="H4690">
        <v>6</v>
      </c>
      <c r="I4690" s="7">
        <v>539.29999999999995</v>
      </c>
      <c r="K4690" s="7">
        <v>563.4</v>
      </c>
      <c r="L4690" s="7">
        <v>423.8</v>
      </c>
      <c r="M4690" s="7">
        <v>387</v>
      </c>
      <c r="N4690" s="7">
        <v>232.4</v>
      </c>
      <c r="O4690" s="7">
        <v>175</v>
      </c>
    </row>
    <row r="4691" spans="1:18" x14ac:dyDescent="0.2">
      <c r="A4691">
        <v>4690</v>
      </c>
      <c r="B4691" s="1">
        <v>40858</v>
      </c>
      <c r="C4691" t="s">
        <v>28</v>
      </c>
      <c r="D4691" s="7">
        <v>119</v>
      </c>
      <c r="E4691" s="7">
        <v>18</v>
      </c>
      <c r="F4691" s="7">
        <f t="shared" si="73"/>
        <v>6</v>
      </c>
      <c r="G4691" s="7" t="str">
        <f>LOOKUP(H4691,[1]startdates!$A$2:$A$10,[1]startdates!$B$2:$B$10)</f>
        <v>FMr</v>
      </c>
      <c r="H4691">
        <v>6</v>
      </c>
      <c r="I4691" s="7">
        <v>610.9</v>
      </c>
      <c r="K4691" s="7">
        <v>471.4</v>
      </c>
      <c r="L4691" s="7">
        <v>429.8</v>
      </c>
      <c r="M4691" s="7">
        <v>367.1</v>
      </c>
      <c r="N4691" s="7">
        <v>262</v>
      </c>
      <c r="O4691" s="7">
        <v>176.8</v>
      </c>
    </row>
    <row r="4692" spans="1:18" x14ac:dyDescent="0.2">
      <c r="A4692">
        <v>4691</v>
      </c>
      <c r="B4692" s="1">
        <v>40858</v>
      </c>
      <c r="C4692" t="s">
        <v>28</v>
      </c>
      <c r="D4692" s="7">
        <v>119</v>
      </c>
      <c r="E4692" s="7">
        <v>18</v>
      </c>
      <c r="F4692" s="7">
        <f t="shared" si="73"/>
        <v>6</v>
      </c>
      <c r="G4692" s="7" t="str">
        <f>LOOKUP(H4692,[1]startdates!$A$2:$A$10,[1]startdates!$B$2:$B$10)</f>
        <v>FMr</v>
      </c>
      <c r="H4692">
        <v>6</v>
      </c>
      <c r="I4692" s="7">
        <v>576.9</v>
      </c>
      <c r="K4692" s="7">
        <v>519.6</v>
      </c>
      <c r="L4692" s="7">
        <v>460.2</v>
      </c>
      <c r="M4692" s="7">
        <v>291</v>
      </c>
      <c r="N4692" s="7">
        <v>182.2</v>
      </c>
      <c r="O4692" s="7">
        <v>176</v>
      </c>
    </row>
    <row r="4693" spans="1:18" x14ac:dyDescent="0.2">
      <c r="A4693">
        <v>4692</v>
      </c>
      <c r="B4693" s="1">
        <v>40858</v>
      </c>
      <c r="C4693" t="s">
        <v>28</v>
      </c>
      <c r="D4693" s="7">
        <v>119</v>
      </c>
      <c r="E4693" s="7">
        <v>18</v>
      </c>
      <c r="F4693" s="7">
        <f t="shared" si="73"/>
        <v>6</v>
      </c>
      <c r="G4693" s="7" t="str">
        <f>LOOKUP(H4693,[1]startdates!$A$2:$A$10,[1]startdates!$B$2:$B$10)</f>
        <v>FMr</v>
      </c>
      <c r="H4693">
        <v>6</v>
      </c>
      <c r="I4693" s="7">
        <v>484.5</v>
      </c>
      <c r="K4693" s="7">
        <v>557.1</v>
      </c>
      <c r="L4693" s="7">
        <v>449.5</v>
      </c>
      <c r="M4693" s="7">
        <v>312.7</v>
      </c>
      <c r="N4693" s="7">
        <v>237.5</v>
      </c>
      <c r="O4693" s="7">
        <v>166.3</v>
      </c>
    </row>
    <row r="4694" spans="1:18" x14ac:dyDescent="0.2">
      <c r="A4694">
        <v>4693</v>
      </c>
      <c r="B4694" s="1">
        <v>40858</v>
      </c>
      <c r="C4694" t="s">
        <v>28</v>
      </c>
      <c r="D4694" s="7">
        <v>119</v>
      </c>
      <c r="E4694" s="7">
        <v>18</v>
      </c>
      <c r="F4694" s="7">
        <f t="shared" si="73"/>
        <v>6</v>
      </c>
      <c r="G4694" s="7" t="str">
        <f>LOOKUP(H4694,[1]startdates!$A$2:$A$10,[1]startdates!$B$2:$B$10)</f>
        <v>FMr</v>
      </c>
      <c r="H4694">
        <v>6</v>
      </c>
      <c r="I4694" s="7">
        <v>470.4</v>
      </c>
      <c r="K4694" s="7">
        <v>488</v>
      </c>
      <c r="L4694" s="7">
        <v>452.9</v>
      </c>
      <c r="M4694" s="7">
        <v>349</v>
      </c>
      <c r="N4694" s="7">
        <v>219.7</v>
      </c>
      <c r="O4694" s="7">
        <v>178.1</v>
      </c>
    </row>
    <row r="4695" spans="1:18" x14ac:dyDescent="0.2">
      <c r="A4695">
        <v>4694</v>
      </c>
      <c r="B4695" s="1">
        <v>40858</v>
      </c>
      <c r="C4695" t="s">
        <v>28</v>
      </c>
      <c r="D4695" s="7">
        <v>119</v>
      </c>
      <c r="E4695" s="7">
        <v>18</v>
      </c>
      <c r="F4695" s="7">
        <f t="shared" si="73"/>
        <v>6</v>
      </c>
      <c r="G4695" s="7" t="str">
        <f>LOOKUP(H4695,[1]startdates!$A$2:$A$10,[1]startdates!$B$2:$B$10)</f>
        <v>FMr</v>
      </c>
      <c r="H4695">
        <v>6</v>
      </c>
      <c r="I4695" s="7">
        <v>564.79999999999995</v>
      </c>
      <c r="K4695" s="7">
        <v>509.4</v>
      </c>
      <c r="M4695" s="7">
        <v>341.1</v>
      </c>
      <c r="N4695" s="7">
        <v>196.4</v>
      </c>
      <c r="O4695" s="7">
        <v>159.4</v>
      </c>
    </row>
    <row r="4696" spans="1:18" x14ac:dyDescent="0.2">
      <c r="A4696">
        <v>4695</v>
      </c>
      <c r="B4696" s="1">
        <v>40858</v>
      </c>
      <c r="C4696" t="s">
        <v>28</v>
      </c>
      <c r="D4696" s="7">
        <v>119</v>
      </c>
      <c r="E4696" s="7">
        <v>18</v>
      </c>
      <c r="F4696" s="7">
        <f t="shared" si="73"/>
        <v>6</v>
      </c>
      <c r="G4696" s="7" t="str">
        <f>LOOKUP(H4696,[1]startdates!$A$2:$A$10,[1]startdates!$B$2:$B$10)</f>
        <v>FMr</v>
      </c>
      <c r="H4696">
        <v>6</v>
      </c>
      <c r="I4696" s="7">
        <v>460.6</v>
      </c>
      <c r="K4696" s="7">
        <v>503.2</v>
      </c>
      <c r="M4696" s="7">
        <v>306.39999999999998</v>
      </c>
      <c r="N4696" s="7">
        <v>242</v>
      </c>
      <c r="O4696" s="7">
        <v>166.7</v>
      </c>
    </row>
    <row r="4697" spans="1:18" x14ac:dyDescent="0.2">
      <c r="A4697">
        <v>4696</v>
      </c>
      <c r="B4697" s="1">
        <v>40858</v>
      </c>
      <c r="C4697" t="s">
        <v>28</v>
      </c>
      <c r="D4697" s="7">
        <v>119</v>
      </c>
      <c r="E4697" s="7">
        <v>18</v>
      </c>
      <c r="F4697" s="7">
        <f t="shared" si="73"/>
        <v>6</v>
      </c>
      <c r="G4697" s="7" t="str">
        <f>LOOKUP(H4697,[1]startdates!$A$2:$A$10,[1]startdates!$B$2:$B$10)</f>
        <v>FMr</v>
      </c>
      <c r="H4697">
        <v>6</v>
      </c>
      <c r="I4697" s="7">
        <v>592.79999999999995</v>
      </c>
      <c r="N4697" s="7">
        <v>270</v>
      </c>
    </row>
    <row r="4698" spans="1:18" x14ac:dyDescent="0.2">
      <c r="A4698">
        <v>4697</v>
      </c>
      <c r="B4698" s="1">
        <v>40858</v>
      </c>
      <c r="C4698" t="s">
        <v>28</v>
      </c>
      <c r="D4698" s="7">
        <v>119</v>
      </c>
      <c r="E4698" s="7">
        <v>18</v>
      </c>
      <c r="F4698" s="7">
        <f t="shared" si="73"/>
        <v>6</v>
      </c>
      <c r="G4698" s="7" t="str">
        <f>LOOKUP(H4698,[1]startdates!$A$2:$A$10,[1]startdates!$B$2:$B$10)</f>
        <v>FMr</v>
      </c>
      <c r="H4698">
        <v>6</v>
      </c>
      <c r="I4698" s="7">
        <v>624</v>
      </c>
    </row>
    <row r="4699" spans="1:18" x14ac:dyDescent="0.2">
      <c r="A4699">
        <v>4698</v>
      </c>
      <c r="B4699" s="1">
        <v>40858</v>
      </c>
      <c r="C4699" t="s">
        <v>28</v>
      </c>
      <c r="D4699" s="7">
        <v>119</v>
      </c>
      <c r="E4699" s="7">
        <v>18</v>
      </c>
      <c r="F4699" s="7">
        <f t="shared" si="73"/>
        <v>6</v>
      </c>
      <c r="G4699" s="7" t="str">
        <f>LOOKUP(H4699,[1]startdates!$A$2:$A$10,[1]startdates!$B$2:$B$10)</f>
        <v>FMr</v>
      </c>
      <c r="H4699">
        <v>7</v>
      </c>
      <c r="I4699" s="7">
        <v>502</v>
      </c>
      <c r="K4699" s="7">
        <v>483.2</v>
      </c>
      <c r="L4699" s="7">
        <v>447.3</v>
      </c>
      <c r="M4699" s="7">
        <v>341.3</v>
      </c>
      <c r="N4699" s="7">
        <v>287.89999999999998</v>
      </c>
      <c r="O4699" s="7">
        <v>167.3</v>
      </c>
      <c r="Q4699" s="7">
        <v>368.9</v>
      </c>
      <c r="R4699" s="7">
        <v>273.10000000000002</v>
      </c>
    </row>
    <row r="4700" spans="1:18" x14ac:dyDescent="0.2">
      <c r="A4700">
        <v>4699</v>
      </c>
      <c r="B4700" s="1">
        <v>40858</v>
      </c>
      <c r="C4700" t="s">
        <v>28</v>
      </c>
      <c r="D4700" s="7">
        <v>119</v>
      </c>
      <c r="E4700" s="7">
        <v>18</v>
      </c>
      <c r="F4700" s="7">
        <f t="shared" si="73"/>
        <v>6</v>
      </c>
      <c r="G4700" s="7" t="str">
        <f>LOOKUP(H4700,[1]startdates!$A$2:$A$10,[1]startdates!$B$2:$B$10)</f>
        <v>FMr</v>
      </c>
      <c r="H4700">
        <v>7</v>
      </c>
      <c r="I4700" s="7">
        <v>675.8</v>
      </c>
      <c r="K4700" s="7">
        <v>531.29999999999995</v>
      </c>
      <c r="L4700" s="7">
        <v>400.1</v>
      </c>
      <c r="M4700" s="7">
        <v>307</v>
      </c>
      <c r="N4700" s="7">
        <v>182.2</v>
      </c>
      <c r="O4700" s="7">
        <v>164</v>
      </c>
      <c r="Q4700" s="7">
        <v>377.8</v>
      </c>
      <c r="R4700" s="7">
        <v>240.4</v>
      </c>
    </row>
    <row r="4701" spans="1:18" x14ac:dyDescent="0.2">
      <c r="A4701">
        <v>4700</v>
      </c>
      <c r="B4701" s="1">
        <v>40858</v>
      </c>
      <c r="C4701" t="s">
        <v>28</v>
      </c>
      <c r="D4701" s="7">
        <v>119</v>
      </c>
      <c r="E4701" s="7">
        <v>18</v>
      </c>
      <c r="F4701" s="7">
        <f t="shared" si="73"/>
        <v>6</v>
      </c>
      <c r="G4701" s="7" t="str">
        <f>LOOKUP(H4701,[1]startdates!$A$2:$A$10,[1]startdates!$B$2:$B$10)</f>
        <v>FMr</v>
      </c>
      <c r="H4701">
        <v>7</v>
      </c>
      <c r="I4701" s="7">
        <v>656.6</v>
      </c>
      <c r="K4701" s="7">
        <v>432</v>
      </c>
      <c r="L4701" s="7">
        <v>419.2</v>
      </c>
      <c r="M4701" s="7">
        <v>295.7</v>
      </c>
      <c r="N4701" s="7">
        <v>244.1</v>
      </c>
      <c r="O4701" s="7">
        <v>150.4</v>
      </c>
      <c r="Q4701" s="7">
        <v>337.1</v>
      </c>
      <c r="R4701" s="7">
        <v>233.5</v>
      </c>
    </row>
    <row r="4702" spans="1:18" x14ac:dyDescent="0.2">
      <c r="A4702">
        <v>4701</v>
      </c>
      <c r="B4702" s="1">
        <v>40858</v>
      </c>
      <c r="C4702" t="s">
        <v>28</v>
      </c>
      <c r="D4702" s="7">
        <v>119</v>
      </c>
      <c r="E4702" s="7">
        <v>18</v>
      </c>
      <c r="F4702" s="7">
        <f t="shared" si="73"/>
        <v>6</v>
      </c>
      <c r="G4702" s="7" t="str">
        <f>LOOKUP(H4702,[1]startdates!$A$2:$A$10,[1]startdates!$B$2:$B$10)</f>
        <v>FMr</v>
      </c>
      <c r="H4702">
        <v>7</v>
      </c>
      <c r="I4702" s="7">
        <v>522.9</v>
      </c>
      <c r="K4702" s="7">
        <v>579.1</v>
      </c>
      <c r="L4702" s="7">
        <v>419.7</v>
      </c>
      <c r="M4702" s="7">
        <v>296.8</v>
      </c>
      <c r="N4702" s="7">
        <v>191.4</v>
      </c>
      <c r="O4702" s="7">
        <v>148</v>
      </c>
      <c r="R4702" s="7">
        <v>257.3</v>
      </c>
    </row>
    <row r="4703" spans="1:18" x14ac:dyDescent="0.2">
      <c r="A4703">
        <v>4702</v>
      </c>
      <c r="B4703" s="1">
        <v>40858</v>
      </c>
      <c r="C4703" t="s">
        <v>28</v>
      </c>
      <c r="D4703" s="7">
        <v>119</v>
      </c>
      <c r="E4703" s="7">
        <v>18</v>
      </c>
      <c r="F4703" s="7">
        <f t="shared" si="73"/>
        <v>6</v>
      </c>
      <c r="G4703" s="7" t="str">
        <f>LOOKUP(H4703,[1]startdates!$A$2:$A$10,[1]startdates!$B$2:$B$10)</f>
        <v>FMr</v>
      </c>
      <c r="H4703">
        <v>7</v>
      </c>
      <c r="I4703" s="7">
        <v>473.7</v>
      </c>
      <c r="K4703" s="7">
        <v>475.5</v>
      </c>
      <c r="L4703" s="7">
        <v>443.7</v>
      </c>
      <c r="M4703" s="7">
        <v>364.8</v>
      </c>
      <c r="N4703" s="7">
        <v>214.7</v>
      </c>
      <c r="O4703" s="7">
        <v>164</v>
      </c>
    </row>
    <row r="4704" spans="1:18" x14ac:dyDescent="0.2">
      <c r="A4704">
        <v>4703</v>
      </c>
      <c r="B4704" s="1">
        <v>40858</v>
      </c>
      <c r="C4704" t="s">
        <v>28</v>
      </c>
      <c r="D4704" s="7">
        <v>119</v>
      </c>
      <c r="E4704" s="7">
        <v>18</v>
      </c>
      <c r="F4704" s="7">
        <f t="shared" si="73"/>
        <v>6</v>
      </c>
      <c r="G4704" s="7" t="str">
        <f>LOOKUP(H4704,[1]startdates!$A$2:$A$10,[1]startdates!$B$2:$B$10)</f>
        <v>FMr</v>
      </c>
      <c r="H4704">
        <v>7</v>
      </c>
      <c r="I4704" s="7">
        <v>579.1</v>
      </c>
      <c r="K4704" s="7">
        <v>521.6</v>
      </c>
      <c r="L4704" s="7">
        <v>420.2</v>
      </c>
      <c r="M4704" s="7">
        <v>319</v>
      </c>
      <c r="N4704" s="7">
        <v>241.1</v>
      </c>
      <c r="O4704" s="7">
        <v>157.30000000000001</v>
      </c>
    </row>
    <row r="4705" spans="1:19" x14ac:dyDescent="0.2">
      <c r="A4705">
        <v>4704</v>
      </c>
      <c r="B4705" s="1">
        <v>40858</v>
      </c>
      <c r="C4705" t="s">
        <v>28</v>
      </c>
      <c r="D4705" s="7">
        <v>119</v>
      </c>
      <c r="E4705" s="7">
        <v>18</v>
      </c>
      <c r="F4705" s="7">
        <f t="shared" si="73"/>
        <v>6</v>
      </c>
      <c r="G4705" s="7" t="str">
        <f>LOOKUP(H4705,[1]startdates!$A$2:$A$10,[1]startdates!$B$2:$B$10)</f>
        <v>FMr</v>
      </c>
      <c r="H4705">
        <v>7</v>
      </c>
      <c r="I4705" s="7">
        <v>529</v>
      </c>
      <c r="L4705" s="7">
        <v>478.5</v>
      </c>
      <c r="M4705" s="7">
        <v>375.5</v>
      </c>
      <c r="N4705" s="7">
        <v>229.2</v>
      </c>
      <c r="O4705" s="7">
        <v>171.3</v>
      </c>
    </row>
    <row r="4706" spans="1:19" x14ac:dyDescent="0.2">
      <c r="A4706">
        <v>4705</v>
      </c>
      <c r="B4706" s="1">
        <v>40858</v>
      </c>
      <c r="C4706" t="s">
        <v>28</v>
      </c>
      <c r="D4706" s="7">
        <v>119</v>
      </c>
      <c r="E4706" s="7">
        <v>18</v>
      </c>
      <c r="F4706" s="7">
        <f t="shared" si="73"/>
        <v>6</v>
      </c>
      <c r="G4706" s="7" t="str">
        <f>LOOKUP(H4706,[1]startdates!$A$2:$A$10,[1]startdates!$B$2:$B$10)</f>
        <v>FMr</v>
      </c>
      <c r="H4706">
        <v>7</v>
      </c>
      <c r="I4706" s="7">
        <v>570.1</v>
      </c>
      <c r="L4706" s="7">
        <v>482.4</v>
      </c>
      <c r="M4706" s="7">
        <v>348.5</v>
      </c>
      <c r="N4706" s="7">
        <v>205.7</v>
      </c>
      <c r="O4706" s="7">
        <v>134.80000000000001</v>
      </c>
    </row>
    <row r="4707" spans="1:19" x14ac:dyDescent="0.2">
      <c r="A4707">
        <v>4706</v>
      </c>
      <c r="B4707" s="1">
        <v>40858</v>
      </c>
      <c r="C4707" t="s">
        <v>28</v>
      </c>
      <c r="D4707" s="7">
        <v>119</v>
      </c>
      <c r="E4707" s="7">
        <v>18</v>
      </c>
      <c r="F4707" s="7">
        <f t="shared" si="73"/>
        <v>6</v>
      </c>
      <c r="G4707" s="7" t="str">
        <f>LOOKUP(H4707,[1]startdates!$A$2:$A$10,[1]startdates!$B$2:$B$10)</f>
        <v>FMr</v>
      </c>
      <c r="H4707">
        <v>7</v>
      </c>
      <c r="I4707" s="7">
        <v>490.6</v>
      </c>
      <c r="M4707" s="7">
        <v>367</v>
      </c>
      <c r="N4707" s="7">
        <v>167.7</v>
      </c>
      <c r="O4707" s="7">
        <v>162.5</v>
      </c>
    </row>
    <row r="4708" spans="1:19" x14ac:dyDescent="0.2">
      <c r="A4708">
        <v>4707</v>
      </c>
      <c r="B4708" s="1">
        <v>40858</v>
      </c>
      <c r="C4708" t="s">
        <v>28</v>
      </c>
      <c r="D4708" s="7">
        <v>119</v>
      </c>
      <c r="E4708" s="7">
        <v>18</v>
      </c>
      <c r="F4708" s="7">
        <f t="shared" si="73"/>
        <v>6</v>
      </c>
      <c r="G4708" s="7" t="str">
        <f>LOOKUP(H4708,[1]startdates!$A$2:$A$10,[1]startdates!$B$2:$B$10)</f>
        <v>FMr</v>
      </c>
      <c r="H4708">
        <v>7</v>
      </c>
      <c r="I4708" s="7">
        <v>508.7</v>
      </c>
      <c r="N4708" s="7">
        <v>226.1</v>
      </c>
      <c r="O4708" s="7">
        <v>158.5</v>
      </c>
    </row>
    <row r="4709" spans="1:19" x14ac:dyDescent="0.2">
      <c r="A4709">
        <v>4708</v>
      </c>
      <c r="B4709" s="1">
        <v>40858</v>
      </c>
      <c r="C4709" t="s">
        <v>28</v>
      </c>
      <c r="D4709" s="7">
        <v>119</v>
      </c>
      <c r="E4709" s="7">
        <v>18</v>
      </c>
      <c r="F4709" s="7">
        <f t="shared" si="73"/>
        <v>6</v>
      </c>
      <c r="G4709" s="7" t="str">
        <f>LOOKUP(H4709,[1]startdates!$A$2:$A$10,[1]startdates!$B$2:$B$10)</f>
        <v>FMr</v>
      </c>
      <c r="H4709">
        <v>7</v>
      </c>
      <c r="I4709" s="7">
        <v>585.6</v>
      </c>
      <c r="N4709" s="7">
        <v>185.3</v>
      </c>
    </row>
    <row r="4710" spans="1:19" x14ac:dyDescent="0.2">
      <c r="A4710">
        <v>4709</v>
      </c>
      <c r="B4710" s="1">
        <v>40858</v>
      </c>
      <c r="C4710" t="s">
        <v>28</v>
      </c>
      <c r="D4710" s="7">
        <v>119</v>
      </c>
      <c r="E4710" s="7">
        <v>18</v>
      </c>
      <c r="F4710" s="7">
        <f t="shared" si="73"/>
        <v>6</v>
      </c>
      <c r="G4710" s="7" t="str">
        <f>LOOKUP(H4710,[1]startdates!$A$2:$A$10,[1]startdates!$B$2:$B$10)</f>
        <v>FMr</v>
      </c>
      <c r="H4710">
        <v>7</v>
      </c>
      <c r="I4710" s="7">
        <v>519.20000000000005</v>
      </c>
      <c r="N4710" s="7">
        <v>277.7</v>
      </c>
    </row>
    <row r="4711" spans="1:19" x14ac:dyDescent="0.2">
      <c r="A4711">
        <v>4710</v>
      </c>
      <c r="B4711" s="1">
        <v>40858</v>
      </c>
      <c r="C4711" t="s">
        <v>28</v>
      </c>
      <c r="D4711" s="7">
        <v>119</v>
      </c>
      <c r="E4711" s="7">
        <v>18</v>
      </c>
      <c r="F4711" s="7">
        <f t="shared" si="73"/>
        <v>6</v>
      </c>
      <c r="G4711" s="7" t="str">
        <f>LOOKUP(H4711,[1]startdates!$A$2:$A$10,[1]startdates!$B$2:$B$10)</f>
        <v>FMr</v>
      </c>
      <c r="H4711">
        <v>7</v>
      </c>
      <c r="I4711" s="7">
        <v>669.4</v>
      </c>
    </row>
    <row r="4712" spans="1:19" x14ac:dyDescent="0.2">
      <c r="A4712">
        <v>4711</v>
      </c>
      <c r="B4712" s="1">
        <v>40858</v>
      </c>
      <c r="C4712" t="s">
        <v>28</v>
      </c>
      <c r="D4712" s="7">
        <v>119</v>
      </c>
      <c r="E4712" s="7">
        <v>18</v>
      </c>
      <c r="F4712" s="7">
        <f t="shared" si="73"/>
        <v>6</v>
      </c>
      <c r="G4712" s="7" t="str">
        <f>LOOKUP(H4712,[1]startdates!$A$2:$A$10,[1]startdates!$B$2:$B$10)</f>
        <v>FMr</v>
      </c>
      <c r="H4712">
        <v>7</v>
      </c>
      <c r="I4712" s="7">
        <v>640</v>
      </c>
    </row>
    <row r="4713" spans="1:19" x14ac:dyDescent="0.2">
      <c r="A4713">
        <v>4712</v>
      </c>
      <c r="B4713" s="1">
        <v>40858</v>
      </c>
      <c r="C4713" t="s">
        <v>28</v>
      </c>
      <c r="D4713" s="7">
        <v>119</v>
      </c>
      <c r="E4713" s="7">
        <v>18</v>
      </c>
      <c r="F4713" s="7">
        <f t="shared" ref="F4713:F4776" si="74">WEEKDAY(B4713)</f>
        <v>6</v>
      </c>
      <c r="G4713" s="7" t="str">
        <f>LOOKUP(H4713,[1]startdates!$A$2:$A$10,[1]startdates!$B$2:$B$10)</f>
        <v>FMr</v>
      </c>
      <c r="H4713">
        <v>7</v>
      </c>
      <c r="I4713" s="7">
        <v>626.20000000000005</v>
      </c>
    </row>
    <row r="4714" spans="1:19" x14ac:dyDescent="0.2">
      <c r="A4714">
        <v>4713</v>
      </c>
      <c r="B4714" s="1">
        <v>40858</v>
      </c>
      <c r="C4714" t="s">
        <v>28</v>
      </c>
      <c r="D4714" s="7">
        <v>119</v>
      </c>
      <c r="E4714" s="7">
        <v>18</v>
      </c>
      <c r="F4714" s="7">
        <f t="shared" si="74"/>
        <v>6</v>
      </c>
      <c r="G4714" s="7" t="str">
        <f>LOOKUP(H4714,[1]startdates!$A$2:$A$10,[1]startdates!$B$2:$B$10)</f>
        <v>C</v>
      </c>
      <c r="H4714">
        <v>8</v>
      </c>
      <c r="I4714" s="7">
        <v>713.5</v>
      </c>
      <c r="J4714" s="7">
        <v>562.20000000000005</v>
      </c>
      <c r="K4714" s="7">
        <v>632.1</v>
      </c>
      <c r="L4714" s="7">
        <v>401.8</v>
      </c>
      <c r="M4714" s="7">
        <v>300.8</v>
      </c>
      <c r="N4714" s="7">
        <v>262.7</v>
      </c>
      <c r="O4714" s="7">
        <v>168.9</v>
      </c>
      <c r="Q4714" s="7">
        <v>306.39999999999998</v>
      </c>
      <c r="R4714" s="7">
        <v>287.60000000000002</v>
      </c>
      <c r="S4714" s="7">
        <v>240.9</v>
      </c>
    </row>
    <row r="4715" spans="1:19" x14ac:dyDescent="0.2">
      <c r="A4715">
        <v>4714</v>
      </c>
      <c r="B4715" s="1">
        <v>40858</v>
      </c>
      <c r="C4715" t="s">
        <v>28</v>
      </c>
      <c r="D4715" s="7">
        <v>119</v>
      </c>
      <c r="E4715" s="7">
        <v>18</v>
      </c>
      <c r="F4715" s="7">
        <f t="shared" si="74"/>
        <v>6</v>
      </c>
      <c r="G4715" s="7" t="str">
        <f>LOOKUP(H4715,[1]startdates!$A$2:$A$10,[1]startdates!$B$2:$B$10)</f>
        <v>C</v>
      </c>
      <c r="H4715">
        <v>8</v>
      </c>
      <c r="I4715" s="7">
        <v>693</v>
      </c>
      <c r="J4715" s="7">
        <v>547.70000000000005</v>
      </c>
      <c r="K4715" s="7">
        <v>552.1</v>
      </c>
      <c r="L4715" s="7">
        <v>404.6</v>
      </c>
      <c r="M4715" s="7">
        <v>283.3</v>
      </c>
      <c r="N4715" s="7">
        <v>235.5</v>
      </c>
      <c r="O4715" s="7">
        <v>156.30000000000001</v>
      </c>
      <c r="R4715" s="7">
        <v>214.3</v>
      </c>
      <c r="S4715" s="7">
        <v>241.3</v>
      </c>
    </row>
    <row r="4716" spans="1:19" x14ac:dyDescent="0.2">
      <c r="A4716">
        <v>4715</v>
      </c>
      <c r="B4716" s="1">
        <v>40858</v>
      </c>
      <c r="C4716" t="s">
        <v>28</v>
      </c>
      <c r="D4716" s="7">
        <v>119</v>
      </c>
      <c r="E4716" s="7">
        <v>18</v>
      </c>
      <c r="F4716" s="7">
        <f t="shared" si="74"/>
        <v>6</v>
      </c>
      <c r="G4716" s="7" t="str">
        <f>LOOKUP(H4716,[1]startdates!$A$2:$A$10,[1]startdates!$B$2:$B$10)</f>
        <v>C</v>
      </c>
      <c r="H4716">
        <v>8</v>
      </c>
      <c r="I4716" s="7">
        <v>656.2</v>
      </c>
      <c r="J4716" s="7">
        <v>547.5</v>
      </c>
      <c r="K4716" s="7">
        <v>620.4</v>
      </c>
      <c r="L4716" s="7">
        <v>405.4</v>
      </c>
      <c r="M4716" s="7">
        <v>308.3</v>
      </c>
      <c r="N4716" s="7">
        <v>245.8</v>
      </c>
      <c r="O4716" s="7">
        <v>153.1</v>
      </c>
      <c r="R4716" s="7">
        <v>233</v>
      </c>
      <c r="S4716" s="7">
        <v>302</v>
      </c>
    </row>
    <row r="4717" spans="1:19" x14ac:dyDescent="0.2">
      <c r="A4717">
        <v>4716</v>
      </c>
      <c r="B4717" s="1">
        <v>40858</v>
      </c>
      <c r="C4717" t="s">
        <v>28</v>
      </c>
      <c r="D4717" s="7">
        <v>119</v>
      </c>
      <c r="E4717" s="7">
        <v>18</v>
      </c>
      <c r="F4717" s="7">
        <f t="shared" si="74"/>
        <v>6</v>
      </c>
      <c r="G4717" s="7" t="str">
        <f>LOOKUP(H4717,[1]startdates!$A$2:$A$10,[1]startdates!$B$2:$B$10)</f>
        <v>C</v>
      </c>
      <c r="H4717">
        <v>8</v>
      </c>
      <c r="I4717" s="7">
        <v>680.3</v>
      </c>
      <c r="K4717" s="7">
        <v>632.1</v>
      </c>
      <c r="L4717" s="7">
        <v>443.3</v>
      </c>
      <c r="M4717" s="7">
        <v>302.39999999999998</v>
      </c>
      <c r="N4717" s="7">
        <v>250.5</v>
      </c>
      <c r="O4717" s="7">
        <v>187.8</v>
      </c>
      <c r="R4717" s="7">
        <v>284.10000000000002</v>
      </c>
    </row>
    <row r="4718" spans="1:19" x14ac:dyDescent="0.2">
      <c r="A4718">
        <v>4717</v>
      </c>
      <c r="B4718" s="1">
        <v>40858</v>
      </c>
      <c r="C4718" t="s">
        <v>28</v>
      </c>
      <c r="D4718" s="7">
        <v>119</v>
      </c>
      <c r="E4718" s="7">
        <v>18</v>
      </c>
      <c r="F4718" s="7">
        <f t="shared" si="74"/>
        <v>6</v>
      </c>
      <c r="G4718" s="7" t="str">
        <f>LOOKUP(H4718,[1]startdates!$A$2:$A$10,[1]startdates!$B$2:$B$10)</f>
        <v>C</v>
      </c>
      <c r="H4718">
        <v>8</v>
      </c>
      <c r="I4718" s="7">
        <v>684.5</v>
      </c>
      <c r="K4718" s="7">
        <v>552.1</v>
      </c>
      <c r="M4718" s="7">
        <v>359.5</v>
      </c>
      <c r="N4718" s="7">
        <v>215.5</v>
      </c>
      <c r="O4718" s="7">
        <v>151.80000000000001</v>
      </c>
      <c r="R4718" s="7">
        <v>235.7</v>
      </c>
    </row>
    <row r="4719" spans="1:19" x14ac:dyDescent="0.2">
      <c r="A4719">
        <v>4718</v>
      </c>
      <c r="B4719" s="1">
        <v>40858</v>
      </c>
      <c r="C4719" t="s">
        <v>28</v>
      </c>
      <c r="D4719" s="7">
        <v>119</v>
      </c>
      <c r="E4719" s="7">
        <v>18</v>
      </c>
      <c r="F4719" s="7">
        <f t="shared" si="74"/>
        <v>6</v>
      </c>
      <c r="G4719" s="7" t="str">
        <f>LOOKUP(H4719,[1]startdates!$A$2:$A$10,[1]startdates!$B$2:$B$10)</f>
        <v>C</v>
      </c>
      <c r="H4719">
        <v>8</v>
      </c>
      <c r="I4719" s="7">
        <v>690.8</v>
      </c>
      <c r="K4719" s="7">
        <v>620.4</v>
      </c>
      <c r="M4719" s="7">
        <v>322.8</v>
      </c>
      <c r="N4719" s="7">
        <v>244.4</v>
      </c>
      <c r="O4719" s="7">
        <v>159.5</v>
      </c>
      <c r="R4719" s="7">
        <v>271.8</v>
      </c>
    </row>
    <row r="4720" spans="1:19" x14ac:dyDescent="0.2">
      <c r="A4720">
        <v>4719</v>
      </c>
      <c r="B4720" s="1">
        <v>40858</v>
      </c>
      <c r="C4720" t="s">
        <v>28</v>
      </c>
      <c r="D4720" s="7">
        <v>119</v>
      </c>
      <c r="E4720" s="7">
        <v>18</v>
      </c>
      <c r="F4720" s="7">
        <f t="shared" si="74"/>
        <v>6</v>
      </c>
      <c r="G4720" s="7" t="str">
        <f>LOOKUP(H4720,[1]startdates!$A$2:$A$10,[1]startdates!$B$2:$B$10)</f>
        <v>C</v>
      </c>
      <c r="H4720">
        <v>8</v>
      </c>
      <c r="I4720" s="7">
        <v>547.70000000000005</v>
      </c>
      <c r="K4720" s="7">
        <v>563.70000000000005</v>
      </c>
      <c r="M4720" s="7">
        <v>306.10000000000002</v>
      </c>
      <c r="N4720" s="7">
        <v>255.1</v>
      </c>
      <c r="O4720" s="7">
        <v>136.19999999999999</v>
      </c>
    </row>
    <row r="4721" spans="1:18" x14ac:dyDescent="0.2">
      <c r="A4721">
        <v>4720</v>
      </c>
      <c r="B4721" s="1">
        <v>40858</v>
      </c>
      <c r="C4721" t="s">
        <v>28</v>
      </c>
      <c r="D4721" s="7">
        <v>119</v>
      </c>
      <c r="E4721" s="7">
        <v>18</v>
      </c>
      <c r="F4721" s="7">
        <f t="shared" si="74"/>
        <v>6</v>
      </c>
      <c r="G4721" s="7" t="str">
        <f>LOOKUP(H4721,[1]startdates!$A$2:$A$10,[1]startdates!$B$2:$B$10)</f>
        <v>C</v>
      </c>
      <c r="H4721">
        <v>8</v>
      </c>
      <c r="I4721" s="7">
        <v>714.7</v>
      </c>
      <c r="K4721" s="7">
        <v>654</v>
      </c>
      <c r="M4721" s="7">
        <v>317.8</v>
      </c>
      <c r="N4721" s="7">
        <v>169.4</v>
      </c>
      <c r="O4721" s="7">
        <v>158.4</v>
      </c>
    </row>
    <row r="4722" spans="1:18" x14ac:dyDescent="0.2">
      <c r="A4722">
        <v>4721</v>
      </c>
      <c r="B4722" s="1">
        <v>40858</v>
      </c>
      <c r="C4722" t="s">
        <v>28</v>
      </c>
      <c r="D4722" s="7">
        <v>119</v>
      </c>
      <c r="E4722" s="7">
        <v>18</v>
      </c>
      <c r="F4722" s="7">
        <f t="shared" si="74"/>
        <v>6</v>
      </c>
      <c r="G4722" s="7" t="str">
        <f>LOOKUP(H4722,[1]startdates!$A$2:$A$10,[1]startdates!$B$2:$B$10)</f>
        <v>C</v>
      </c>
      <c r="H4722">
        <v>8</v>
      </c>
      <c r="I4722" s="7">
        <v>660.9</v>
      </c>
      <c r="K4722" s="7">
        <v>549.4</v>
      </c>
      <c r="M4722" s="7">
        <v>289.2</v>
      </c>
      <c r="N4722" s="7">
        <v>198.3</v>
      </c>
      <c r="O4722" s="7">
        <v>168.9</v>
      </c>
    </row>
    <row r="4723" spans="1:18" x14ac:dyDescent="0.2">
      <c r="A4723">
        <v>4722</v>
      </c>
      <c r="B4723" s="1">
        <v>40858</v>
      </c>
      <c r="C4723" t="s">
        <v>28</v>
      </c>
      <c r="D4723" s="7">
        <v>119</v>
      </c>
      <c r="E4723" s="7">
        <v>18</v>
      </c>
      <c r="F4723" s="7">
        <f t="shared" si="74"/>
        <v>6</v>
      </c>
      <c r="G4723" s="7" t="str">
        <f>LOOKUP(H4723,[1]startdates!$A$2:$A$10,[1]startdates!$B$2:$B$10)</f>
        <v>C</v>
      </c>
      <c r="H4723">
        <v>8</v>
      </c>
      <c r="I4723" s="7">
        <v>711.3</v>
      </c>
      <c r="M4723" s="7">
        <v>324.7</v>
      </c>
      <c r="N4723" s="7">
        <v>227.4</v>
      </c>
      <c r="O4723" s="7">
        <v>173.7</v>
      </c>
    </row>
    <row r="4724" spans="1:18" x14ac:dyDescent="0.2">
      <c r="A4724">
        <v>4723</v>
      </c>
      <c r="B4724" s="1">
        <v>40858</v>
      </c>
      <c r="C4724" t="s">
        <v>28</v>
      </c>
      <c r="D4724" s="7">
        <v>119</v>
      </c>
      <c r="E4724" s="7">
        <v>18</v>
      </c>
      <c r="F4724" s="7">
        <f t="shared" si="74"/>
        <v>6</v>
      </c>
      <c r="G4724" s="7" t="str">
        <f>LOOKUP(H4724,[1]startdates!$A$2:$A$10,[1]startdates!$B$2:$B$10)</f>
        <v>C</v>
      </c>
      <c r="H4724">
        <v>8</v>
      </c>
      <c r="I4724" s="7">
        <v>668.8</v>
      </c>
      <c r="M4724" s="7">
        <v>356.2</v>
      </c>
    </row>
    <row r="4725" spans="1:18" x14ac:dyDescent="0.2">
      <c r="A4725">
        <v>4724</v>
      </c>
      <c r="B4725" s="1">
        <v>40858</v>
      </c>
      <c r="C4725" t="s">
        <v>28</v>
      </c>
      <c r="D4725" s="7">
        <v>119</v>
      </c>
      <c r="E4725" s="7">
        <v>18</v>
      </c>
      <c r="F4725" s="7">
        <f t="shared" si="74"/>
        <v>6</v>
      </c>
      <c r="G4725" s="7" t="str">
        <f>LOOKUP(H4725,[1]startdates!$A$2:$A$10,[1]startdates!$B$2:$B$10)</f>
        <v>C</v>
      </c>
      <c r="H4725">
        <v>8</v>
      </c>
      <c r="I4725" s="7">
        <v>614.9</v>
      </c>
    </row>
    <row r="4726" spans="1:18" x14ac:dyDescent="0.2">
      <c r="A4726">
        <v>4725</v>
      </c>
      <c r="B4726" s="1">
        <v>40858</v>
      </c>
      <c r="C4726" t="s">
        <v>28</v>
      </c>
      <c r="D4726" s="7">
        <v>119</v>
      </c>
      <c r="E4726" s="7">
        <v>18</v>
      </c>
      <c r="F4726" s="7">
        <f t="shared" si="74"/>
        <v>6</v>
      </c>
      <c r="G4726" s="7" t="str">
        <f>LOOKUP(H4726,[1]startdates!$A$2:$A$10,[1]startdates!$B$2:$B$10)</f>
        <v>FMr</v>
      </c>
      <c r="H4726">
        <v>9</v>
      </c>
      <c r="I4726" s="7">
        <v>641.6</v>
      </c>
      <c r="K4726" s="7">
        <v>473.8</v>
      </c>
      <c r="L4726" s="7">
        <v>415.8</v>
      </c>
      <c r="M4726" s="7">
        <v>367.6</v>
      </c>
      <c r="N4726" s="7">
        <v>200.6</v>
      </c>
      <c r="O4726" s="7">
        <v>179.7</v>
      </c>
      <c r="R4726" s="7">
        <v>243</v>
      </c>
    </row>
    <row r="4727" spans="1:18" x14ac:dyDescent="0.2">
      <c r="A4727">
        <v>4726</v>
      </c>
      <c r="B4727" s="1">
        <v>40858</v>
      </c>
      <c r="C4727" t="s">
        <v>28</v>
      </c>
      <c r="D4727" s="7">
        <v>119</v>
      </c>
      <c r="E4727" s="7">
        <v>18</v>
      </c>
      <c r="F4727" s="7">
        <f t="shared" si="74"/>
        <v>6</v>
      </c>
      <c r="G4727" s="7" t="str">
        <f>LOOKUP(H4727,[1]startdates!$A$2:$A$10,[1]startdates!$B$2:$B$10)</f>
        <v>FMr</v>
      </c>
      <c r="H4727">
        <v>9</v>
      </c>
      <c r="I4727" s="7">
        <v>580.29999999999995</v>
      </c>
      <c r="K4727" s="7">
        <v>473.8</v>
      </c>
      <c r="L4727" s="7">
        <v>447.4</v>
      </c>
      <c r="M4727" s="7">
        <v>303.2</v>
      </c>
      <c r="N4727" s="7">
        <v>222.4</v>
      </c>
      <c r="O4727" s="7">
        <v>164</v>
      </c>
      <c r="R4727" s="7">
        <v>232.1</v>
      </c>
    </row>
    <row r="4728" spans="1:18" x14ac:dyDescent="0.2">
      <c r="A4728">
        <v>4727</v>
      </c>
      <c r="B4728" s="1">
        <v>40858</v>
      </c>
      <c r="C4728" t="s">
        <v>28</v>
      </c>
      <c r="D4728" s="7">
        <v>119</v>
      </c>
      <c r="E4728" s="7">
        <v>18</v>
      </c>
      <c r="F4728" s="7">
        <f t="shared" si="74"/>
        <v>6</v>
      </c>
      <c r="G4728" s="7" t="str">
        <f>LOOKUP(H4728,[1]startdates!$A$2:$A$10,[1]startdates!$B$2:$B$10)</f>
        <v>FMr</v>
      </c>
      <c r="H4728">
        <v>9</v>
      </c>
      <c r="I4728" s="7">
        <v>666.8</v>
      </c>
      <c r="K4728" s="7">
        <v>548</v>
      </c>
      <c r="L4728" s="7">
        <v>400.4</v>
      </c>
      <c r="M4728" s="7">
        <v>304.10000000000002</v>
      </c>
      <c r="N4728" s="7">
        <v>226.1</v>
      </c>
      <c r="O4728" s="7">
        <v>164.2</v>
      </c>
      <c r="R4728" s="7">
        <v>249</v>
      </c>
    </row>
    <row r="4729" spans="1:18" x14ac:dyDescent="0.2">
      <c r="A4729">
        <v>4728</v>
      </c>
      <c r="B4729" s="1">
        <v>40858</v>
      </c>
      <c r="C4729" t="s">
        <v>28</v>
      </c>
      <c r="D4729" s="7">
        <v>119</v>
      </c>
      <c r="E4729" s="7">
        <v>18</v>
      </c>
      <c r="F4729" s="7">
        <f t="shared" si="74"/>
        <v>6</v>
      </c>
      <c r="G4729" s="7" t="str">
        <f>LOOKUP(H4729,[1]startdates!$A$2:$A$10,[1]startdates!$B$2:$B$10)</f>
        <v>FMr</v>
      </c>
      <c r="H4729">
        <v>9</v>
      </c>
      <c r="I4729" s="7">
        <v>534.79999999999995</v>
      </c>
      <c r="K4729" s="7">
        <v>539.5</v>
      </c>
      <c r="L4729" s="7">
        <v>452.1</v>
      </c>
      <c r="M4729" s="7">
        <v>361.7</v>
      </c>
      <c r="N4729" s="7">
        <v>249.2</v>
      </c>
      <c r="O4729" s="7">
        <v>159</v>
      </c>
      <c r="R4729" s="7">
        <v>231.8</v>
      </c>
    </row>
    <row r="4730" spans="1:18" x14ac:dyDescent="0.2">
      <c r="A4730">
        <v>4729</v>
      </c>
      <c r="B4730" s="1">
        <v>40858</v>
      </c>
      <c r="C4730" t="s">
        <v>28</v>
      </c>
      <c r="D4730" s="7">
        <v>119</v>
      </c>
      <c r="E4730" s="7">
        <v>18</v>
      </c>
      <c r="F4730" s="7">
        <f t="shared" si="74"/>
        <v>6</v>
      </c>
      <c r="G4730" s="7" t="str">
        <f>LOOKUP(H4730,[1]startdates!$A$2:$A$10,[1]startdates!$B$2:$B$10)</f>
        <v>FMr</v>
      </c>
      <c r="H4730">
        <v>9</v>
      </c>
      <c r="I4730" s="7">
        <v>653.79999999999995</v>
      </c>
      <c r="K4730" s="7">
        <v>549.6</v>
      </c>
      <c r="L4730" s="7">
        <v>461.1</v>
      </c>
      <c r="M4730" s="7">
        <v>316.3</v>
      </c>
      <c r="N4730" s="7">
        <v>240.4</v>
      </c>
      <c r="O4730" s="7">
        <v>146.69999999999999</v>
      </c>
    </row>
    <row r="4731" spans="1:18" x14ac:dyDescent="0.2">
      <c r="A4731">
        <v>4730</v>
      </c>
      <c r="B4731" s="1">
        <v>40858</v>
      </c>
      <c r="C4731" t="s">
        <v>28</v>
      </c>
      <c r="D4731" s="7">
        <v>119</v>
      </c>
      <c r="E4731" s="7">
        <v>18</v>
      </c>
      <c r="F4731" s="7">
        <f t="shared" si="74"/>
        <v>6</v>
      </c>
      <c r="G4731" s="7" t="str">
        <f>LOOKUP(H4731,[1]startdates!$A$2:$A$10,[1]startdates!$B$2:$B$10)</f>
        <v>FMr</v>
      </c>
      <c r="H4731">
        <v>9</v>
      </c>
      <c r="I4731" s="7">
        <v>622.4</v>
      </c>
      <c r="K4731" s="7">
        <v>481.6</v>
      </c>
      <c r="L4731" s="7">
        <v>412.4</v>
      </c>
      <c r="M4731" s="7">
        <v>367.2</v>
      </c>
      <c r="N4731" s="7">
        <v>191.8</v>
      </c>
      <c r="O4731" s="7">
        <v>171.3</v>
      </c>
    </row>
    <row r="4732" spans="1:18" x14ac:dyDescent="0.2">
      <c r="A4732">
        <v>4731</v>
      </c>
      <c r="B4732" s="1">
        <v>40858</v>
      </c>
      <c r="C4732" t="s">
        <v>28</v>
      </c>
      <c r="D4732" s="7">
        <v>119</v>
      </c>
      <c r="E4732" s="7">
        <v>18</v>
      </c>
      <c r="F4732" s="7">
        <f t="shared" si="74"/>
        <v>6</v>
      </c>
      <c r="G4732" s="7" t="str">
        <f>LOOKUP(H4732,[1]startdates!$A$2:$A$10,[1]startdates!$B$2:$B$10)</f>
        <v>FMr</v>
      </c>
      <c r="H4732">
        <v>9</v>
      </c>
      <c r="I4732" s="7">
        <v>537.6</v>
      </c>
      <c r="M4732" s="7">
        <v>309.10000000000002</v>
      </c>
      <c r="N4732" s="7">
        <v>197.9</v>
      </c>
      <c r="O4732" s="7">
        <v>159.80000000000001</v>
      </c>
    </row>
    <row r="4733" spans="1:18" x14ac:dyDescent="0.2">
      <c r="A4733">
        <v>4732</v>
      </c>
      <c r="B4733" s="1">
        <v>40858</v>
      </c>
      <c r="C4733" t="s">
        <v>28</v>
      </c>
      <c r="D4733" s="7">
        <v>119</v>
      </c>
      <c r="E4733" s="7">
        <v>18</v>
      </c>
      <c r="F4733" s="7">
        <f t="shared" si="74"/>
        <v>6</v>
      </c>
      <c r="G4733" s="7" t="str">
        <f>LOOKUP(H4733,[1]startdates!$A$2:$A$10,[1]startdates!$B$2:$B$10)</f>
        <v>FMr</v>
      </c>
      <c r="H4733">
        <v>9</v>
      </c>
      <c r="I4733" s="7">
        <v>652.1</v>
      </c>
      <c r="N4733" s="7">
        <v>195.1</v>
      </c>
      <c r="O4733" s="7">
        <v>172.6</v>
      </c>
    </row>
    <row r="4734" spans="1:18" x14ac:dyDescent="0.2">
      <c r="A4734">
        <v>4733</v>
      </c>
      <c r="B4734" s="1">
        <v>40858</v>
      </c>
      <c r="C4734" t="s">
        <v>28</v>
      </c>
      <c r="D4734" s="7">
        <v>119</v>
      </c>
      <c r="E4734" s="7">
        <v>18</v>
      </c>
      <c r="F4734" s="7">
        <f t="shared" si="74"/>
        <v>6</v>
      </c>
      <c r="G4734" s="7" t="str">
        <f>LOOKUP(H4734,[1]startdates!$A$2:$A$10,[1]startdates!$B$2:$B$10)</f>
        <v>FMr</v>
      </c>
      <c r="H4734">
        <v>9</v>
      </c>
      <c r="I4734" s="7">
        <v>610.1</v>
      </c>
      <c r="N4734" s="7">
        <v>215.1</v>
      </c>
      <c r="O4734" s="7">
        <v>147.9</v>
      </c>
    </row>
    <row r="4735" spans="1:18" x14ac:dyDescent="0.2">
      <c r="A4735">
        <v>4734</v>
      </c>
      <c r="B4735" s="1">
        <v>40858</v>
      </c>
      <c r="C4735" t="s">
        <v>28</v>
      </c>
      <c r="D4735" s="7">
        <v>119</v>
      </c>
      <c r="E4735" s="7">
        <v>18</v>
      </c>
      <c r="F4735" s="7">
        <f t="shared" si="74"/>
        <v>6</v>
      </c>
      <c r="G4735" s="7" t="str">
        <f>LOOKUP(H4735,[1]startdates!$A$2:$A$10,[1]startdates!$B$2:$B$10)</f>
        <v>FMr</v>
      </c>
      <c r="H4735">
        <v>9</v>
      </c>
      <c r="I4735" s="7">
        <v>548</v>
      </c>
      <c r="N4735" s="7">
        <v>199.6</v>
      </c>
      <c r="O4735" s="7">
        <v>162.19999999999999</v>
      </c>
    </row>
    <row r="4736" spans="1:18" x14ac:dyDescent="0.2">
      <c r="A4736">
        <v>4735</v>
      </c>
      <c r="B4736" s="1">
        <v>40858</v>
      </c>
      <c r="C4736" t="s">
        <v>28</v>
      </c>
      <c r="D4736" s="7">
        <v>119</v>
      </c>
      <c r="E4736" s="7">
        <v>18</v>
      </c>
      <c r="F4736" s="7">
        <f t="shared" si="74"/>
        <v>6</v>
      </c>
      <c r="G4736" s="7" t="str">
        <f>LOOKUP(H4736,[1]startdates!$A$2:$A$10,[1]startdates!$B$2:$B$10)</f>
        <v>FMr</v>
      </c>
      <c r="H4736">
        <v>9</v>
      </c>
      <c r="I4736" s="7">
        <v>591.20000000000005</v>
      </c>
      <c r="N4736" s="7">
        <v>266.8</v>
      </c>
    </row>
    <row r="4737" spans="1:21" x14ac:dyDescent="0.2">
      <c r="A4737">
        <v>4736</v>
      </c>
      <c r="B4737" s="1">
        <v>40858</v>
      </c>
      <c r="C4737" t="s">
        <v>28</v>
      </c>
      <c r="D4737" s="7">
        <v>119</v>
      </c>
      <c r="E4737" s="7">
        <v>18</v>
      </c>
      <c r="F4737" s="7">
        <f t="shared" si="74"/>
        <v>6</v>
      </c>
      <c r="G4737" s="7" t="str">
        <f>LOOKUP(H4737,[1]startdates!$A$2:$A$10,[1]startdates!$B$2:$B$10)</f>
        <v>FMr</v>
      </c>
      <c r="H4737">
        <v>9</v>
      </c>
      <c r="I4737" s="7">
        <v>650.4</v>
      </c>
    </row>
    <row r="4738" spans="1:21" x14ac:dyDescent="0.2">
      <c r="A4738">
        <v>4737</v>
      </c>
      <c r="B4738" s="1">
        <v>40858</v>
      </c>
      <c r="C4738" t="s">
        <v>28</v>
      </c>
      <c r="D4738" s="7">
        <v>119</v>
      </c>
      <c r="E4738" s="7">
        <v>18</v>
      </c>
      <c r="F4738" s="7">
        <f t="shared" si="74"/>
        <v>6</v>
      </c>
      <c r="G4738" s="7" t="str">
        <f>LOOKUP(H4738,[1]startdates!$A$2:$A$10,[1]startdates!$B$2:$B$10)</f>
        <v>FMr</v>
      </c>
      <c r="H4738">
        <v>9</v>
      </c>
      <c r="I4738" s="7">
        <v>467.6</v>
      </c>
    </row>
    <row r="4739" spans="1:21" x14ac:dyDescent="0.2">
      <c r="A4739">
        <v>4738</v>
      </c>
      <c r="B4739" s="1">
        <v>40858</v>
      </c>
      <c r="C4739" t="s">
        <v>28</v>
      </c>
      <c r="D4739" s="7">
        <v>119</v>
      </c>
      <c r="E4739" s="7">
        <v>18</v>
      </c>
      <c r="F4739" s="7">
        <f t="shared" si="74"/>
        <v>6</v>
      </c>
      <c r="G4739" s="7" t="str">
        <f>LOOKUP(H4739,[1]startdates!$A$2:$A$10,[1]startdates!$B$2:$B$10)</f>
        <v>FMr</v>
      </c>
      <c r="H4739">
        <v>9</v>
      </c>
      <c r="I4739" s="7">
        <v>643.5</v>
      </c>
    </row>
    <row r="4740" spans="1:21" x14ac:dyDescent="0.2">
      <c r="A4740">
        <v>4739</v>
      </c>
      <c r="B4740" s="1">
        <v>40858</v>
      </c>
      <c r="C4740" t="s">
        <v>28</v>
      </c>
      <c r="D4740" s="7">
        <v>119</v>
      </c>
      <c r="E4740" s="7">
        <v>18</v>
      </c>
      <c r="F4740" s="7">
        <f t="shared" si="74"/>
        <v>6</v>
      </c>
      <c r="G4740" s="7" t="str">
        <f>LOOKUP(H4740,[1]startdates!$A$2:$A$10,[1]startdates!$B$2:$B$10)</f>
        <v>FMr</v>
      </c>
      <c r="H4740">
        <v>9</v>
      </c>
      <c r="I4740" s="7">
        <v>552.6</v>
      </c>
    </row>
    <row r="4741" spans="1:21" x14ac:dyDescent="0.2">
      <c r="A4741">
        <v>4740</v>
      </c>
      <c r="B4741" s="1">
        <v>40862</v>
      </c>
      <c r="C4741" t="s">
        <v>24</v>
      </c>
      <c r="D4741" s="7">
        <v>123</v>
      </c>
      <c r="E4741" s="7">
        <v>19</v>
      </c>
      <c r="F4741" s="7">
        <f t="shared" si="74"/>
        <v>3</v>
      </c>
      <c r="G4741" s="7" t="str">
        <f>LOOKUP(H4741,[1]startdates!$A$2:$A$10,[1]startdates!$B$2:$B$10)</f>
        <v>SMr</v>
      </c>
      <c r="H4741">
        <v>1</v>
      </c>
      <c r="I4741" s="7">
        <v>583.20000000000005</v>
      </c>
      <c r="J4741" s="7">
        <v>461.7</v>
      </c>
      <c r="K4741" s="7">
        <v>443.9</v>
      </c>
      <c r="L4741" s="7">
        <v>454.4</v>
      </c>
      <c r="M4741" s="7">
        <v>317.39999999999998</v>
      </c>
      <c r="N4741" s="7">
        <v>206.1</v>
      </c>
      <c r="O4741" s="7">
        <v>159.5</v>
      </c>
      <c r="P4741" s="7">
        <v>390.2</v>
      </c>
      <c r="Q4741" s="7">
        <v>341.4</v>
      </c>
      <c r="R4741" s="7">
        <v>303.60000000000002</v>
      </c>
      <c r="S4741" s="7">
        <v>285.3</v>
      </c>
      <c r="U4741" s="7">
        <v>458</v>
      </c>
    </row>
    <row r="4742" spans="1:21" x14ac:dyDescent="0.2">
      <c r="A4742">
        <v>4741</v>
      </c>
      <c r="B4742" s="1">
        <v>40862</v>
      </c>
      <c r="C4742" t="s">
        <v>24</v>
      </c>
      <c r="D4742" s="7">
        <v>123</v>
      </c>
      <c r="E4742" s="7">
        <v>19</v>
      </c>
      <c r="F4742" s="7">
        <f t="shared" si="74"/>
        <v>3</v>
      </c>
      <c r="G4742" s="7" t="str">
        <f>LOOKUP(H4742,[1]startdates!$A$2:$A$10,[1]startdates!$B$2:$B$10)</f>
        <v>SMr</v>
      </c>
      <c r="H4742">
        <v>1</v>
      </c>
      <c r="I4742" s="7">
        <v>548.9</v>
      </c>
      <c r="J4742" s="7">
        <v>505.5</v>
      </c>
      <c r="K4742" s="7">
        <v>477.3</v>
      </c>
      <c r="L4742" s="7">
        <v>349.4</v>
      </c>
      <c r="M4742" s="7">
        <v>313.5</v>
      </c>
      <c r="N4742" s="7">
        <v>211.4</v>
      </c>
      <c r="O4742" s="7">
        <v>186.4</v>
      </c>
      <c r="P4742" s="7">
        <v>416.3</v>
      </c>
      <c r="R4742" s="7">
        <v>232.4</v>
      </c>
      <c r="S4742" s="7">
        <v>278.60000000000002</v>
      </c>
      <c r="U4742" s="7">
        <v>459.9</v>
      </c>
    </row>
    <row r="4743" spans="1:21" x14ac:dyDescent="0.2">
      <c r="A4743">
        <v>4742</v>
      </c>
      <c r="B4743" s="1">
        <v>40862</v>
      </c>
      <c r="C4743" t="s">
        <v>24</v>
      </c>
      <c r="D4743" s="7">
        <v>123</v>
      </c>
      <c r="E4743" s="7">
        <v>19</v>
      </c>
      <c r="F4743" s="7">
        <f t="shared" si="74"/>
        <v>3</v>
      </c>
      <c r="G4743" s="7" t="str">
        <f>LOOKUP(H4743,[1]startdates!$A$2:$A$10,[1]startdates!$B$2:$B$10)</f>
        <v>SMr</v>
      </c>
      <c r="H4743">
        <v>1</v>
      </c>
      <c r="I4743" s="7">
        <v>544.20000000000005</v>
      </c>
      <c r="J4743" s="7">
        <v>467.2</v>
      </c>
      <c r="K4743" s="7">
        <v>395.2</v>
      </c>
      <c r="L4743" s="7">
        <v>361</v>
      </c>
      <c r="M4743" s="7">
        <v>295.5</v>
      </c>
      <c r="N4743" s="7">
        <v>169.7</v>
      </c>
      <c r="O4743" s="7">
        <v>179.5</v>
      </c>
      <c r="P4743" s="7">
        <v>472.2</v>
      </c>
      <c r="U4743" s="7">
        <v>424.9</v>
      </c>
    </row>
    <row r="4744" spans="1:21" x14ac:dyDescent="0.2">
      <c r="A4744">
        <v>4743</v>
      </c>
      <c r="B4744" s="1">
        <v>40862</v>
      </c>
      <c r="C4744" t="s">
        <v>24</v>
      </c>
      <c r="D4744" s="7">
        <v>123</v>
      </c>
      <c r="E4744" s="7">
        <v>19</v>
      </c>
      <c r="F4744" s="7">
        <f t="shared" si="74"/>
        <v>3</v>
      </c>
      <c r="G4744" s="7" t="str">
        <f>LOOKUP(H4744,[1]startdates!$A$2:$A$10,[1]startdates!$B$2:$B$10)</f>
        <v>SMr</v>
      </c>
      <c r="H4744">
        <v>1</v>
      </c>
      <c r="I4744" s="7">
        <v>567.1</v>
      </c>
      <c r="J4744" s="7">
        <v>421</v>
      </c>
      <c r="M4744" s="7">
        <v>285.8</v>
      </c>
      <c r="N4744" s="7">
        <v>235</v>
      </c>
      <c r="O4744" s="7">
        <v>173.7</v>
      </c>
      <c r="U4744" s="7">
        <v>452.6</v>
      </c>
    </row>
    <row r="4745" spans="1:21" x14ac:dyDescent="0.2">
      <c r="A4745">
        <v>4744</v>
      </c>
      <c r="B4745" s="1">
        <v>40862</v>
      </c>
      <c r="C4745" t="s">
        <v>24</v>
      </c>
      <c r="D4745" s="7">
        <v>123</v>
      </c>
      <c r="E4745" s="7">
        <v>19</v>
      </c>
      <c r="F4745" s="7">
        <f t="shared" si="74"/>
        <v>3</v>
      </c>
      <c r="G4745" s="7" t="str">
        <f>LOOKUP(H4745,[1]startdates!$A$2:$A$10,[1]startdates!$B$2:$B$10)</f>
        <v>SMr</v>
      </c>
      <c r="H4745">
        <v>1</v>
      </c>
      <c r="I4745" s="7">
        <v>515.4</v>
      </c>
      <c r="J4745" s="7">
        <v>461</v>
      </c>
      <c r="M4745" s="7">
        <v>263.60000000000002</v>
      </c>
      <c r="N4745" s="7">
        <v>197.9</v>
      </c>
      <c r="O4745" s="7">
        <v>151.69999999999999</v>
      </c>
      <c r="U4745" s="7">
        <v>425.3</v>
      </c>
    </row>
    <row r="4746" spans="1:21" x14ac:dyDescent="0.2">
      <c r="A4746">
        <v>4745</v>
      </c>
      <c r="B4746" s="1">
        <v>40862</v>
      </c>
      <c r="C4746" t="s">
        <v>24</v>
      </c>
      <c r="D4746" s="7">
        <v>123</v>
      </c>
      <c r="E4746" s="7">
        <v>19</v>
      </c>
      <c r="F4746" s="7">
        <f t="shared" si="74"/>
        <v>3</v>
      </c>
      <c r="G4746" s="7" t="str">
        <f>LOOKUP(H4746,[1]startdates!$A$2:$A$10,[1]startdates!$B$2:$B$10)</f>
        <v>SMr</v>
      </c>
      <c r="H4746">
        <v>1</v>
      </c>
      <c r="I4746" s="7">
        <v>708.6</v>
      </c>
      <c r="J4746" s="7">
        <v>407.5</v>
      </c>
      <c r="M4746" s="7">
        <v>361</v>
      </c>
      <c r="N4746" s="7">
        <v>221.5</v>
      </c>
      <c r="O4746" s="7">
        <v>160.4</v>
      </c>
    </row>
    <row r="4747" spans="1:21" x14ac:dyDescent="0.2">
      <c r="A4747">
        <v>4746</v>
      </c>
      <c r="B4747" s="1">
        <v>40862</v>
      </c>
      <c r="C4747" t="s">
        <v>24</v>
      </c>
      <c r="D4747" s="7">
        <v>123</v>
      </c>
      <c r="E4747" s="7">
        <v>19</v>
      </c>
      <c r="F4747" s="7">
        <f t="shared" si="74"/>
        <v>3</v>
      </c>
      <c r="G4747" s="7" t="str">
        <f>LOOKUP(H4747,[1]startdates!$A$2:$A$10,[1]startdates!$B$2:$B$10)</f>
        <v>SMr</v>
      </c>
      <c r="H4747">
        <v>1</v>
      </c>
      <c r="I4747" s="7">
        <v>648.5</v>
      </c>
      <c r="N4747" s="7">
        <v>250.8</v>
      </c>
      <c r="O4747" s="7">
        <v>172.1</v>
      </c>
    </row>
    <row r="4748" spans="1:21" x14ac:dyDescent="0.2">
      <c r="A4748">
        <v>4747</v>
      </c>
      <c r="B4748" s="1">
        <v>40862</v>
      </c>
      <c r="C4748" t="s">
        <v>24</v>
      </c>
      <c r="D4748" s="7">
        <v>123</v>
      </c>
      <c r="E4748" s="7">
        <v>19</v>
      </c>
      <c r="F4748" s="7">
        <f t="shared" si="74"/>
        <v>3</v>
      </c>
      <c r="G4748" s="7" t="str">
        <f>LOOKUP(H4748,[1]startdates!$A$2:$A$10,[1]startdates!$B$2:$B$10)</f>
        <v>SMr</v>
      </c>
      <c r="H4748">
        <v>1</v>
      </c>
      <c r="I4748" s="7">
        <v>564.9</v>
      </c>
      <c r="N4748" s="7">
        <v>185.2</v>
      </c>
      <c r="O4748" s="7">
        <v>187.9</v>
      </c>
    </row>
    <row r="4749" spans="1:21" x14ac:dyDescent="0.2">
      <c r="A4749">
        <v>4748</v>
      </c>
      <c r="B4749" s="1">
        <v>40862</v>
      </c>
      <c r="C4749" t="s">
        <v>24</v>
      </c>
      <c r="D4749" s="7">
        <v>123</v>
      </c>
      <c r="E4749" s="7">
        <v>19</v>
      </c>
      <c r="F4749" s="7">
        <f t="shared" si="74"/>
        <v>3</v>
      </c>
      <c r="G4749" s="7" t="str">
        <f>LOOKUP(H4749,[1]startdates!$A$2:$A$10,[1]startdates!$B$2:$B$10)</f>
        <v>SMr</v>
      </c>
      <c r="H4749">
        <v>1</v>
      </c>
      <c r="N4749" s="7">
        <v>199.1</v>
      </c>
      <c r="O4749" s="7">
        <v>160.5</v>
      </c>
    </row>
    <row r="4750" spans="1:21" x14ac:dyDescent="0.2">
      <c r="A4750">
        <v>4749</v>
      </c>
      <c r="B4750" s="1">
        <v>40862</v>
      </c>
      <c r="C4750" t="s">
        <v>24</v>
      </c>
      <c r="D4750" s="7">
        <v>123</v>
      </c>
      <c r="E4750" s="7">
        <v>19</v>
      </c>
      <c r="F4750" s="7">
        <f t="shared" si="74"/>
        <v>3</v>
      </c>
      <c r="G4750" s="7" t="str">
        <f>LOOKUP(H4750,[1]startdates!$A$2:$A$10,[1]startdates!$B$2:$B$10)</f>
        <v>SMr</v>
      </c>
      <c r="H4750">
        <v>1</v>
      </c>
      <c r="N4750" s="7">
        <v>233.9</v>
      </c>
    </row>
    <row r="4751" spans="1:21" x14ac:dyDescent="0.2">
      <c r="A4751">
        <v>4750</v>
      </c>
      <c r="B4751" s="1">
        <v>40862</v>
      </c>
      <c r="C4751" t="s">
        <v>28</v>
      </c>
      <c r="D4751" s="7">
        <v>123</v>
      </c>
      <c r="E4751" s="7">
        <v>19</v>
      </c>
      <c r="F4751" s="7">
        <f t="shared" si="74"/>
        <v>3</v>
      </c>
      <c r="G4751" s="7" t="str">
        <f>LOOKUP(H4751,[1]startdates!$A$2:$A$10,[1]startdates!$B$2:$B$10)</f>
        <v>SMr</v>
      </c>
      <c r="H4751">
        <v>2</v>
      </c>
      <c r="I4751" s="7">
        <v>543.5</v>
      </c>
      <c r="J4751" s="7">
        <v>541.70000000000005</v>
      </c>
      <c r="K4751" s="7">
        <v>533.5</v>
      </c>
      <c r="L4751" s="7">
        <v>397.8</v>
      </c>
      <c r="M4751" s="7">
        <v>306.3</v>
      </c>
      <c r="N4751" s="7">
        <v>250.4</v>
      </c>
      <c r="O4751" s="7">
        <v>165.3</v>
      </c>
      <c r="P4751" s="7">
        <v>399.3</v>
      </c>
      <c r="Q4751" s="7">
        <v>315.5</v>
      </c>
      <c r="R4751" s="7">
        <v>240.9</v>
      </c>
      <c r="S4751" s="7">
        <v>248</v>
      </c>
      <c r="U4751" s="7">
        <v>514.1</v>
      </c>
    </row>
    <row r="4752" spans="1:21" x14ac:dyDescent="0.2">
      <c r="A4752">
        <v>4751</v>
      </c>
      <c r="B4752" s="1">
        <v>40862</v>
      </c>
      <c r="C4752" t="s">
        <v>28</v>
      </c>
      <c r="D4752" s="7">
        <v>123</v>
      </c>
      <c r="E4752" s="7">
        <v>19</v>
      </c>
      <c r="F4752" s="7">
        <f t="shared" si="74"/>
        <v>3</v>
      </c>
      <c r="G4752" s="7" t="str">
        <f>LOOKUP(H4752,[1]startdates!$A$2:$A$10,[1]startdates!$B$2:$B$10)</f>
        <v>SMr</v>
      </c>
      <c r="H4752">
        <v>2</v>
      </c>
      <c r="I4752" s="7">
        <v>617.9</v>
      </c>
      <c r="J4752" s="7">
        <v>507.6</v>
      </c>
      <c r="K4752" s="7">
        <v>523.6</v>
      </c>
      <c r="L4752" s="7">
        <v>454.4</v>
      </c>
      <c r="M4752" s="7">
        <v>375.8</v>
      </c>
      <c r="N4752" s="7">
        <v>255.7</v>
      </c>
      <c r="O4752" s="7">
        <v>179.7</v>
      </c>
      <c r="P4752" s="7">
        <v>419.2</v>
      </c>
      <c r="R4752" s="7">
        <v>226.6</v>
      </c>
      <c r="U4752" s="7">
        <v>449.4</v>
      </c>
    </row>
    <row r="4753" spans="1:21" x14ac:dyDescent="0.2">
      <c r="A4753">
        <v>4752</v>
      </c>
      <c r="B4753" s="1">
        <v>40862</v>
      </c>
      <c r="C4753" t="s">
        <v>28</v>
      </c>
      <c r="D4753" s="7">
        <v>123</v>
      </c>
      <c r="E4753" s="7">
        <v>19</v>
      </c>
      <c r="F4753" s="7">
        <f t="shared" si="74"/>
        <v>3</v>
      </c>
      <c r="G4753" s="7" t="str">
        <f>LOOKUP(H4753,[1]startdates!$A$2:$A$10,[1]startdates!$B$2:$B$10)</f>
        <v>SMr</v>
      </c>
      <c r="H4753">
        <v>2</v>
      </c>
      <c r="I4753" s="7">
        <v>659.8</v>
      </c>
      <c r="J4753" s="7">
        <v>570.4</v>
      </c>
      <c r="K4753" s="7">
        <v>478.7</v>
      </c>
      <c r="L4753" s="7">
        <v>395.5</v>
      </c>
      <c r="M4753" s="7">
        <v>361.9</v>
      </c>
      <c r="N4753" s="7">
        <v>221</v>
      </c>
      <c r="O4753" s="7">
        <v>156.6</v>
      </c>
      <c r="P4753" s="7">
        <v>380.1</v>
      </c>
      <c r="U4753" s="7">
        <v>470.6</v>
      </c>
    </row>
    <row r="4754" spans="1:21" x14ac:dyDescent="0.2">
      <c r="A4754">
        <v>4753</v>
      </c>
      <c r="B4754" s="1">
        <v>40862</v>
      </c>
      <c r="C4754" t="s">
        <v>28</v>
      </c>
      <c r="D4754" s="7">
        <v>123</v>
      </c>
      <c r="E4754" s="7">
        <v>19</v>
      </c>
      <c r="F4754" s="7">
        <f t="shared" si="74"/>
        <v>3</v>
      </c>
      <c r="G4754" s="7" t="str">
        <f>LOOKUP(H4754,[1]startdates!$A$2:$A$10,[1]startdates!$B$2:$B$10)</f>
        <v>SMr</v>
      </c>
      <c r="H4754">
        <v>2</v>
      </c>
      <c r="I4754" s="7">
        <v>552.1</v>
      </c>
      <c r="K4754" s="7">
        <v>514</v>
      </c>
      <c r="L4754" s="7">
        <v>443.7</v>
      </c>
      <c r="M4754" s="7">
        <v>376.7</v>
      </c>
      <c r="N4754" s="7">
        <v>195.7</v>
      </c>
      <c r="O4754" s="7">
        <v>166.4</v>
      </c>
      <c r="U4754" s="7">
        <v>496.8</v>
      </c>
    </row>
    <row r="4755" spans="1:21" x14ac:dyDescent="0.2">
      <c r="A4755">
        <v>4754</v>
      </c>
      <c r="B4755" s="1">
        <v>40862</v>
      </c>
      <c r="C4755" t="s">
        <v>28</v>
      </c>
      <c r="D4755" s="7">
        <v>123</v>
      </c>
      <c r="E4755" s="7">
        <v>19</v>
      </c>
      <c r="F4755" s="7">
        <f t="shared" si="74"/>
        <v>3</v>
      </c>
      <c r="G4755" s="7" t="str">
        <f>LOOKUP(H4755,[1]startdates!$A$2:$A$10,[1]startdates!$B$2:$B$10)</f>
        <v>SMr</v>
      </c>
      <c r="H4755">
        <v>2</v>
      </c>
      <c r="I4755" s="7">
        <v>580.70000000000005</v>
      </c>
      <c r="K4755" s="7">
        <v>520.79999999999995</v>
      </c>
      <c r="L4755" s="7">
        <v>446.7</v>
      </c>
      <c r="M4755" s="7">
        <v>372.6</v>
      </c>
      <c r="N4755" s="7">
        <v>238</v>
      </c>
      <c r="O4755" s="7">
        <v>163</v>
      </c>
      <c r="U4755" s="7">
        <v>426.1</v>
      </c>
    </row>
    <row r="4756" spans="1:21" x14ac:dyDescent="0.2">
      <c r="A4756">
        <v>4755</v>
      </c>
      <c r="B4756" s="1">
        <v>40862</v>
      </c>
      <c r="C4756" t="s">
        <v>28</v>
      </c>
      <c r="D4756" s="7">
        <v>123</v>
      </c>
      <c r="E4756" s="7">
        <v>19</v>
      </c>
      <c r="F4756" s="7">
        <f t="shared" si="74"/>
        <v>3</v>
      </c>
      <c r="G4756" s="7" t="str">
        <f>LOOKUP(H4756,[1]startdates!$A$2:$A$10,[1]startdates!$B$2:$B$10)</f>
        <v>SMr</v>
      </c>
      <c r="H4756">
        <v>2</v>
      </c>
      <c r="I4756" s="7">
        <v>592.29999999999995</v>
      </c>
      <c r="L4756" s="7">
        <v>426.1</v>
      </c>
      <c r="M4756" s="7">
        <v>297.10000000000002</v>
      </c>
      <c r="N4756" s="7">
        <v>209.6</v>
      </c>
      <c r="O4756" s="7">
        <v>163.5</v>
      </c>
    </row>
    <row r="4757" spans="1:21" x14ac:dyDescent="0.2">
      <c r="A4757">
        <v>4756</v>
      </c>
      <c r="B4757" s="1">
        <v>40862</v>
      </c>
      <c r="C4757" t="s">
        <v>28</v>
      </c>
      <c r="D4757" s="7">
        <v>123</v>
      </c>
      <c r="E4757" s="7">
        <v>19</v>
      </c>
      <c r="F4757" s="7">
        <f t="shared" si="74"/>
        <v>3</v>
      </c>
      <c r="G4757" s="7" t="str">
        <f>LOOKUP(H4757,[1]startdates!$A$2:$A$10,[1]startdates!$B$2:$B$10)</f>
        <v>SMr</v>
      </c>
      <c r="H4757">
        <v>2</v>
      </c>
      <c r="I4757" s="7">
        <v>666.4</v>
      </c>
      <c r="L4757" s="7">
        <v>415</v>
      </c>
      <c r="M4757" s="7">
        <v>316.3</v>
      </c>
      <c r="N4757" s="7">
        <v>265.5</v>
      </c>
      <c r="O4757" s="7">
        <v>173</v>
      </c>
    </row>
    <row r="4758" spans="1:21" x14ac:dyDescent="0.2">
      <c r="A4758">
        <v>4757</v>
      </c>
      <c r="B4758" s="1">
        <v>40862</v>
      </c>
      <c r="C4758" t="s">
        <v>28</v>
      </c>
      <c r="D4758" s="7">
        <v>123</v>
      </c>
      <c r="E4758" s="7">
        <v>19</v>
      </c>
      <c r="F4758" s="7">
        <f t="shared" si="74"/>
        <v>3</v>
      </c>
      <c r="G4758" s="7" t="str">
        <f>LOOKUP(H4758,[1]startdates!$A$2:$A$10,[1]startdates!$B$2:$B$10)</f>
        <v>SMr</v>
      </c>
      <c r="H4758">
        <v>2</v>
      </c>
      <c r="I4758" s="7">
        <v>656.6</v>
      </c>
      <c r="L4758" s="7">
        <v>405</v>
      </c>
      <c r="M4758" s="7">
        <v>300.39999999999998</v>
      </c>
      <c r="N4758" s="7">
        <v>270.10000000000002</v>
      </c>
      <c r="O4758" s="7">
        <v>171.3</v>
      </c>
    </row>
    <row r="4759" spans="1:21" x14ac:dyDescent="0.2">
      <c r="A4759">
        <v>4758</v>
      </c>
      <c r="B4759" s="1">
        <v>40862</v>
      </c>
      <c r="C4759" t="s">
        <v>28</v>
      </c>
      <c r="D4759" s="7">
        <v>123</v>
      </c>
      <c r="E4759" s="7">
        <v>19</v>
      </c>
      <c r="F4759" s="7">
        <f t="shared" si="74"/>
        <v>3</v>
      </c>
      <c r="G4759" s="7" t="str">
        <f>LOOKUP(H4759,[1]startdates!$A$2:$A$10,[1]startdates!$B$2:$B$10)</f>
        <v>SMr</v>
      </c>
      <c r="H4759">
        <v>2</v>
      </c>
      <c r="I4759" s="7">
        <v>633.29999999999995</v>
      </c>
      <c r="M4759" s="7">
        <v>315.5</v>
      </c>
      <c r="N4759" s="7">
        <v>219.6</v>
      </c>
      <c r="O4759" s="7">
        <v>158.69999999999999</v>
      </c>
    </row>
    <row r="4760" spans="1:21" x14ac:dyDescent="0.2">
      <c r="A4760">
        <v>4759</v>
      </c>
      <c r="B4760" s="1">
        <v>40862</v>
      </c>
      <c r="C4760" t="s">
        <v>28</v>
      </c>
      <c r="D4760" s="7">
        <v>123</v>
      </c>
      <c r="E4760" s="7">
        <v>19</v>
      </c>
      <c r="F4760" s="7">
        <f t="shared" si="74"/>
        <v>3</v>
      </c>
      <c r="G4760" s="7" t="str">
        <f>LOOKUP(H4760,[1]startdates!$A$2:$A$10,[1]startdates!$B$2:$B$10)</f>
        <v>SMr</v>
      </c>
      <c r="H4760">
        <v>2</v>
      </c>
      <c r="I4760" s="7">
        <v>625.70000000000005</v>
      </c>
      <c r="M4760" s="7">
        <v>315.10000000000002</v>
      </c>
      <c r="N4760" s="7">
        <v>260.5</v>
      </c>
      <c r="O4760" s="7">
        <v>160.4</v>
      </c>
    </row>
    <row r="4761" spans="1:21" x14ac:dyDescent="0.2">
      <c r="A4761">
        <v>4760</v>
      </c>
      <c r="B4761" s="1">
        <v>40862</v>
      </c>
      <c r="C4761" t="s">
        <v>28</v>
      </c>
      <c r="D4761" s="7">
        <v>123</v>
      </c>
      <c r="E4761" s="7">
        <v>19</v>
      </c>
      <c r="F4761" s="7">
        <f t="shared" si="74"/>
        <v>3</v>
      </c>
      <c r="G4761" s="7" t="str">
        <f>LOOKUP(H4761,[1]startdates!$A$2:$A$10,[1]startdates!$B$2:$B$10)</f>
        <v>SMr</v>
      </c>
      <c r="H4761">
        <v>2</v>
      </c>
      <c r="I4761" s="7">
        <v>660.8</v>
      </c>
      <c r="M4761" s="7">
        <v>306.3</v>
      </c>
      <c r="O4761" s="7">
        <v>159</v>
      </c>
    </row>
    <row r="4762" spans="1:21" x14ac:dyDescent="0.2">
      <c r="A4762">
        <v>4761</v>
      </c>
      <c r="B4762" s="1">
        <v>40862</v>
      </c>
      <c r="C4762" t="s">
        <v>28</v>
      </c>
      <c r="D4762" s="7">
        <v>123</v>
      </c>
      <c r="E4762" s="7">
        <v>19</v>
      </c>
      <c r="F4762" s="7">
        <f t="shared" si="74"/>
        <v>3</v>
      </c>
      <c r="G4762" s="7" t="str">
        <f>LOOKUP(H4762,[1]startdates!$A$2:$A$10,[1]startdates!$B$2:$B$10)</f>
        <v>SMr</v>
      </c>
      <c r="H4762">
        <v>2</v>
      </c>
      <c r="I4762" s="7">
        <v>586.29999999999995</v>
      </c>
    </row>
    <row r="4763" spans="1:21" x14ac:dyDescent="0.2">
      <c r="A4763">
        <v>4762</v>
      </c>
      <c r="B4763" s="1">
        <v>40862</v>
      </c>
      <c r="C4763" t="s">
        <v>28</v>
      </c>
      <c r="D4763" s="7">
        <v>123</v>
      </c>
      <c r="E4763" s="7">
        <v>19</v>
      </c>
      <c r="F4763" s="7">
        <f t="shared" si="74"/>
        <v>3</v>
      </c>
      <c r="G4763" s="7" t="str">
        <f>LOOKUP(H4763,[1]startdates!$A$2:$A$10,[1]startdates!$B$2:$B$10)</f>
        <v>SMr</v>
      </c>
      <c r="H4763">
        <v>2</v>
      </c>
      <c r="I4763" s="7">
        <v>596.79999999999995</v>
      </c>
    </row>
    <row r="4764" spans="1:21" x14ac:dyDescent="0.2">
      <c r="A4764">
        <v>4763</v>
      </c>
      <c r="B4764" s="1">
        <v>40862</v>
      </c>
      <c r="C4764" t="s">
        <v>24</v>
      </c>
      <c r="D4764" s="7">
        <v>123</v>
      </c>
      <c r="E4764" s="7">
        <v>19</v>
      </c>
      <c r="F4764" s="7">
        <f t="shared" si="74"/>
        <v>3</v>
      </c>
      <c r="G4764" s="7" t="str">
        <f>LOOKUP(H4764,[1]startdates!$A$2:$A$10,[1]startdates!$B$2:$B$10)</f>
        <v>C</v>
      </c>
      <c r="H4764">
        <v>3</v>
      </c>
      <c r="I4764" s="7">
        <v>631.1</v>
      </c>
      <c r="K4764" s="7">
        <v>607.70000000000005</v>
      </c>
      <c r="L4764" s="7">
        <v>453.6</v>
      </c>
      <c r="M4764" s="7">
        <v>353.6</v>
      </c>
      <c r="N4764" s="7">
        <v>221</v>
      </c>
      <c r="O4764" s="7">
        <v>173.2</v>
      </c>
      <c r="P4764" s="7">
        <v>492.6</v>
      </c>
      <c r="R4764" s="7">
        <v>237.3</v>
      </c>
    </row>
    <row r="4765" spans="1:21" x14ac:dyDescent="0.2">
      <c r="A4765">
        <v>4764</v>
      </c>
      <c r="B4765" s="1">
        <v>40862</v>
      </c>
      <c r="C4765" t="s">
        <v>24</v>
      </c>
      <c r="D4765" s="7">
        <v>123</v>
      </c>
      <c r="E4765" s="7">
        <v>19</v>
      </c>
      <c r="F4765" s="7">
        <f t="shared" si="74"/>
        <v>3</v>
      </c>
      <c r="G4765" s="7" t="str">
        <f>LOOKUP(H4765,[1]startdates!$A$2:$A$10,[1]startdates!$B$2:$B$10)</f>
        <v>C</v>
      </c>
      <c r="H4765">
        <v>3</v>
      </c>
      <c r="I4765" s="7">
        <v>572.79999999999995</v>
      </c>
      <c r="K4765" s="7">
        <v>518.79999999999995</v>
      </c>
      <c r="L4765" s="7">
        <v>416.6</v>
      </c>
      <c r="M4765" s="7">
        <v>287.10000000000002</v>
      </c>
      <c r="N4765" s="7">
        <v>243.1</v>
      </c>
      <c r="O4765" s="7">
        <v>176.9</v>
      </c>
    </row>
    <row r="4766" spans="1:21" x14ac:dyDescent="0.2">
      <c r="A4766">
        <v>4765</v>
      </c>
      <c r="B4766" s="1">
        <v>40862</v>
      </c>
      <c r="C4766" t="s">
        <v>24</v>
      </c>
      <c r="D4766" s="7">
        <v>123</v>
      </c>
      <c r="E4766" s="7">
        <v>19</v>
      </c>
      <c r="F4766" s="7">
        <f t="shared" si="74"/>
        <v>3</v>
      </c>
      <c r="G4766" s="7" t="str">
        <f>LOOKUP(H4766,[1]startdates!$A$2:$A$10,[1]startdates!$B$2:$B$10)</f>
        <v>C</v>
      </c>
      <c r="H4766">
        <v>3</v>
      </c>
      <c r="I4766" s="7">
        <v>547.4</v>
      </c>
      <c r="K4766" s="7">
        <v>510</v>
      </c>
      <c r="L4766" s="7">
        <v>423.4</v>
      </c>
      <c r="M4766" s="7">
        <v>376.8</v>
      </c>
      <c r="N4766" s="7">
        <v>223.3</v>
      </c>
      <c r="O4766" s="7">
        <v>174.9</v>
      </c>
    </row>
    <row r="4767" spans="1:21" x14ac:dyDescent="0.2">
      <c r="A4767">
        <v>4766</v>
      </c>
      <c r="B4767" s="1">
        <v>40862</v>
      </c>
      <c r="C4767" t="s">
        <v>24</v>
      </c>
      <c r="D4767" s="7">
        <v>123</v>
      </c>
      <c r="E4767" s="7">
        <v>19</v>
      </c>
      <c r="F4767" s="7">
        <f t="shared" si="74"/>
        <v>3</v>
      </c>
      <c r="G4767" s="7" t="str">
        <f>LOOKUP(H4767,[1]startdates!$A$2:$A$10,[1]startdates!$B$2:$B$10)</f>
        <v>C</v>
      </c>
      <c r="H4767">
        <v>3</v>
      </c>
      <c r="I4767" s="7">
        <v>609.6</v>
      </c>
      <c r="K4767" s="7">
        <v>522.29999999999995</v>
      </c>
      <c r="L4767" s="7">
        <v>468.1</v>
      </c>
      <c r="M4767" s="7">
        <v>305.3</v>
      </c>
      <c r="N4767" s="7">
        <v>210.9</v>
      </c>
      <c r="O4767" s="7">
        <v>163</v>
      </c>
    </row>
    <row r="4768" spans="1:21" x14ac:dyDescent="0.2">
      <c r="A4768">
        <v>4767</v>
      </c>
      <c r="B4768" s="1">
        <v>40862</v>
      </c>
      <c r="C4768" t="s">
        <v>24</v>
      </c>
      <c r="D4768" s="7">
        <v>123</v>
      </c>
      <c r="E4768" s="7">
        <v>19</v>
      </c>
      <c r="F4768" s="7">
        <f t="shared" si="74"/>
        <v>3</v>
      </c>
      <c r="G4768" s="7" t="str">
        <f>LOOKUP(H4768,[1]startdates!$A$2:$A$10,[1]startdates!$B$2:$B$10)</f>
        <v>C</v>
      </c>
      <c r="H4768">
        <v>3</v>
      </c>
      <c r="I4768" s="7">
        <v>611.5</v>
      </c>
      <c r="K4768" s="7">
        <v>546.4</v>
      </c>
      <c r="M4768" s="7">
        <v>305.10000000000002</v>
      </c>
      <c r="N4768" s="7">
        <v>232.2</v>
      </c>
      <c r="O4768" s="7">
        <v>190.1</v>
      </c>
    </row>
    <row r="4769" spans="1:21" x14ac:dyDescent="0.2">
      <c r="A4769">
        <v>4768</v>
      </c>
      <c r="B4769" s="1">
        <v>40862</v>
      </c>
      <c r="C4769" t="s">
        <v>24</v>
      </c>
      <c r="D4769" s="7">
        <v>123</v>
      </c>
      <c r="E4769" s="7">
        <v>19</v>
      </c>
      <c r="F4769" s="7">
        <f t="shared" si="74"/>
        <v>3</v>
      </c>
      <c r="G4769" s="7" t="str">
        <f>LOOKUP(H4769,[1]startdates!$A$2:$A$10,[1]startdates!$B$2:$B$10)</f>
        <v>C</v>
      </c>
      <c r="H4769">
        <v>3</v>
      </c>
      <c r="I4769" s="7">
        <v>551</v>
      </c>
      <c r="K4769" s="7">
        <v>511.8</v>
      </c>
      <c r="M4769" s="7">
        <v>309.10000000000002</v>
      </c>
      <c r="N4769" s="7">
        <v>237.6</v>
      </c>
      <c r="O4769" s="7">
        <v>184.9</v>
      </c>
    </row>
    <row r="4770" spans="1:21" x14ac:dyDescent="0.2">
      <c r="A4770">
        <v>4769</v>
      </c>
      <c r="B4770" s="1">
        <v>40862</v>
      </c>
      <c r="C4770" t="s">
        <v>24</v>
      </c>
      <c r="D4770" s="7">
        <v>123</v>
      </c>
      <c r="E4770" s="7">
        <v>19</v>
      </c>
      <c r="F4770" s="7">
        <f t="shared" si="74"/>
        <v>3</v>
      </c>
      <c r="G4770" s="7" t="str">
        <f>LOOKUP(H4770,[1]startdates!$A$2:$A$10,[1]startdates!$B$2:$B$10)</f>
        <v>C</v>
      </c>
      <c r="H4770">
        <v>3</v>
      </c>
      <c r="K4770" s="7">
        <v>572.70000000000005</v>
      </c>
      <c r="M4770" s="7">
        <v>326.2</v>
      </c>
      <c r="N4770" s="7">
        <v>221</v>
      </c>
      <c r="O4770" s="7">
        <v>166.9</v>
      </c>
    </row>
    <row r="4771" spans="1:21" x14ac:dyDescent="0.2">
      <c r="A4771">
        <v>4770</v>
      </c>
      <c r="B4771" s="1">
        <v>40862</v>
      </c>
      <c r="C4771" t="s">
        <v>24</v>
      </c>
      <c r="D4771" s="7">
        <v>123</v>
      </c>
      <c r="E4771" s="7">
        <v>19</v>
      </c>
      <c r="F4771" s="7">
        <f t="shared" si="74"/>
        <v>3</v>
      </c>
      <c r="G4771" s="7" t="str">
        <f>LOOKUP(H4771,[1]startdates!$A$2:$A$10,[1]startdates!$B$2:$B$10)</f>
        <v>C</v>
      </c>
      <c r="H4771">
        <v>3</v>
      </c>
      <c r="K4771" s="7">
        <v>486.2</v>
      </c>
      <c r="N4771" s="7">
        <v>209.9</v>
      </c>
      <c r="O4771" s="7">
        <v>192.2</v>
      </c>
    </row>
    <row r="4772" spans="1:21" x14ac:dyDescent="0.2">
      <c r="A4772">
        <v>4771</v>
      </c>
      <c r="B4772" s="1">
        <v>40862</v>
      </c>
      <c r="C4772" t="s">
        <v>24</v>
      </c>
      <c r="D4772" s="7">
        <v>123</v>
      </c>
      <c r="E4772" s="7">
        <v>19</v>
      </c>
      <c r="F4772" s="7">
        <f t="shared" si="74"/>
        <v>3</v>
      </c>
      <c r="G4772" s="7" t="str">
        <f>LOOKUP(H4772,[1]startdates!$A$2:$A$10,[1]startdates!$B$2:$B$10)</f>
        <v>C</v>
      </c>
      <c r="H4772">
        <v>3</v>
      </c>
      <c r="K4772" s="7">
        <v>508.8</v>
      </c>
      <c r="N4772" s="7">
        <v>214.5</v>
      </c>
      <c r="O4772" s="7">
        <v>169</v>
      </c>
    </row>
    <row r="4773" spans="1:21" x14ac:dyDescent="0.2">
      <c r="A4773">
        <v>4772</v>
      </c>
      <c r="B4773" s="1">
        <v>40862</v>
      </c>
      <c r="C4773" t="s">
        <v>24</v>
      </c>
      <c r="D4773" s="7">
        <v>123</v>
      </c>
      <c r="E4773" s="7">
        <v>19</v>
      </c>
      <c r="F4773" s="7">
        <f t="shared" si="74"/>
        <v>3</v>
      </c>
      <c r="G4773" s="7" t="str">
        <f>LOOKUP(H4773,[1]startdates!$A$2:$A$10,[1]startdates!$B$2:$B$10)</f>
        <v>C</v>
      </c>
      <c r="H4773">
        <v>3</v>
      </c>
      <c r="K4773" s="7">
        <v>447.4</v>
      </c>
      <c r="N4773" s="7">
        <v>200.3</v>
      </c>
      <c r="O4773" s="7">
        <v>176.5</v>
      </c>
    </row>
    <row r="4774" spans="1:21" x14ac:dyDescent="0.2">
      <c r="A4774">
        <v>4773</v>
      </c>
      <c r="B4774" s="1">
        <v>40862</v>
      </c>
      <c r="C4774" t="s">
        <v>24</v>
      </c>
      <c r="D4774" s="7">
        <v>123</v>
      </c>
      <c r="E4774" s="7">
        <v>19</v>
      </c>
      <c r="F4774" s="7">
        <f t="shared" si="74"/>
        <v>3</v>
      </c>
      <c r="G4774" s="7" t="str">
        <f>LOOKUP(H4774,[1]startdates!$A$2:$A$10,[1]startdates!$B$2:$B$10)</f>
        <v>C</v>
      </c>
      <c r="H4774">
        <v>3</v>
      </c>
      <c r="N4774" s="7">
        <v>204.6</v>
      </c>
      <c r="O4774" s="7">
        <v>162.4</v>
      </c>
    </row>
    <row r="4775" spans="1:21" x14ac:dyDescent="0.2">
      <c r="A4775">
        <v>4774</v>
      </c>
      <c r="B4775" s="1">
        <v>40862</v>
      </c>
      <c r="C4775" t="s">
        <v>24</v>
      </c>
      <c r="D4775" s="7">
        <v>123</v>
      </c>
      <c r="E4775" s="7">
        <v>19</v>
      </c>
      <c r="F4775" s="7">
        <f t="shared" si="74"/>
        <v>3</v>
      </c>
      <c r="G4775" s="7" t="str">
        <f>LOOKUP(H4775,[1]startdates!$A$2:$A$10,[1]startdates!$B$2:$B$10)</f>
        <v>SMr</v>
      </c>
      <c r="H4775">
        <v>4</v>
      </c>
      <c r="I4775" s="7">
        <v>629.6</v>
      </c>
      <c r="K4775" s="7">
        <v>473.9</v>
      </c>
      <c r="L4775" s="7">
        <v>393.3</v>
      </c>
      <c r="M4775" s="7">
        <v>261.2</v>
      </c>
      <c r="N4775" s="7">
        <v>198.1</v>
      </c>
      <c r="O4775" s="7">
        <v>166.4</v>
      </c>
      <c r="P4775" s="7">
        <v>459</v>
      </c>
      <c r="Q4775" s="7">
        <v>399.3</v>
      </c>
      <c r="S4775" s="7">
        <v>257</v>
      </c>
      <c r="U4775" s="7">
        <v>510</v>
      </c>
    </row>
    <row r="4776" spans="1:21" x14ac:dyDescent="0.2">
      <c r="A4776">
        <v>4775</v>
      </c>
      <c r="B4776" s="1">
        <v>40862</v>
      </c>
      <c r="C4776" t="s">
        <v>24</v>
      </c>
      <c r="D4776" s="7">
        <v>123</v>
      </c>
      <c r="E4776" s="7">
        <v>19</v>
      </c>
      <c r="F4776" s="7">
        <f t="shared" si="74"/>
        <v>3</v>
      </c>
      <c r="G4776" s="7" t="str">
        <f>LOOKUP(H4776,[1]startdates!$A$2:$A$10,[1]startdates!$B$2:$B$10)</f>
        <v>SMr</v>
      </c>
      <c r="H4776">
        <v>4</v>
      </c>
      <c r="I4776" s="7">
        <v>490</v>
      </c>
      <c r="K4776" s="7">
        <v>441.9</v>
      </c>
      <c r="L4776" s="7">
        <v>443.4</v>
      </c>
      <c r="M4776" s="7">
        <v>305.5</v>
      </c>
      <c r="N4776" s="7">
        <v>221.7</v>
      </c>
      <c r="O4776" s="7">
        <v>184.9</v>
      </c>
      <c r="P4776" s="7">
        <v>423.2</v>
      </c>
      <c r="U4776" s="7">
        <v>445.2</v>
      </c>
    </row>
    <row r="4777" spans="1:21" x14ac:dyDescent="0.2">
      <c r="A4777">
        <v>4776</v>
      </c>
      <c r="B4777" s="1">
        <v>40862</v>
      </c>
      <c r="C4777" t="s">
        <v>24</v>
      </c>
      <c r="D4777" s="7">
        <v>123</v>
      </c>
      <c r="E4777" s="7">
        <v>19</v>
      </c>
      <c r="F4777" s="7">
        <f t="shared" ref="F4777:F4840" si="75">WEEKDAY(B4777)</f>
        <v>3</v>
      </c>
      <c r="G4777" s="7" t="str">
        <f>LOOKUP(H4777,[1]startdates!$A$2:$A$10,[1]startdates!$B$2:$B$10)</f>
        <v>SMr</v>
      </c>
      <c r="H4777">
        <v>4</v>
      </c>
      <c r="I4777" s="7">
        <v>486.3</v>
      </c>
      <c r="K4777" s="7">
        <v>451.8</v>
      </c>
      <c r="L4777" s="7">
        <v>492.3</v>
      </c>
      <c r="M4777" s="7">
        <v>280.39999999999998</v>
      </c>
      <c r="N4777" s="7">
        <v>206.1</v>
      </c>
      <c r="O4777" s="7">
        <v>160.5</v>
      </c>
      <c r="P4777" s="7">
        <v>488.1</v>
      </c>
      <c r="U4777" s="7">
        <v>375.8</v>
      </c>
    </row>
    <row r="4778" spans="1:21" x14ac:dyDescent="0.2">
      <c r="A4778">
        <v>4777</v>
      </c>
      <c r="B4778" s="1">
        <v>40862</v>
      </c>
      <c r="C4778" t="s">
        <v>24</v>
      </c>
      <c r="D4778" s="7">
        <v>123</v>
      </c>
      <c r="E4778" s="7">
        <v>19</v>
      </c>
      <c r="F4778" s="7">
        <f t="shared" si="75"/>
        <v>3</v>
      </c>
      <c r="G4778" s="7" t="str">
        <f>LOOKUP(H4778,[1]startdates!$A$2:$A$10,[1]startdates!$B$2:$B$10)</f>
        <v>SMr</v>
      </c>
      <c r="H4778">
        <v>4</v>
      </c>
      <c r="I4778" s="7">
        <v>498.2</v>
      </c>
      <c r="K4778" s="7">
        <v>411.5</v>
      </c>
      <c r="L4778" s="7">
        <v>406.7</v>
      </c>
      <c r="M4778" s="7">
        <v>344.3</v>
      </c>
      <c r="N4778" s="7">
        <v>203.3</v>
      </c>
      <c r="O4778" s="7">
        <v>154.6</v>
      </c>
      <c r="U4778" s="7">
        <v>357.4</v>
      </c>
    </row>
    <row r="4779" spans="1:21" x14ac:dyDescent="0.2">
      <c r="A4779">
        <v>4778</v>
      </c>
      <c r="B4779" s="1">
        <v>40862</v>
      </c>
      <c r="C4779" t="s">
        <v>24</v>
      </c>
      <c r="D4779" s="7">
        <v>123</v>
      </c>
      <c r="E4779" s="7">
        <v>19</v>
      </c>
      <c r="F4779" s="7">
        <f t="shared" si="75"/>
        <v>3</v>
      </c>
      <c r="G4779" s="7" t="str">
        <f>LOOKUP(H4779,[1]startdates!$A$2:$A$10,[1]startdates!$B$2:$B$10)</f>
        <v>SMr</v>
      </c>
      <c r="H4779">
        <v>4</v>
      </c>
      <c r="I4779" s="7">
        <v>542.20000000000005</v>
      </c>
      <c r="M4779" s="7">
        <v>299.7</v>
      </c>
      <c r="N4779" s="7">
        <v>238.1</v>
      </c>
      <c r="O4779" s="7">
        <v>193.8</v>
      </c>
    </row>
    <row r="4780" spans="1:21" x14ac:dyDescent="0.2">
      <c r="A4780">
        <v>4779</v>
      </c>
      <c r="B4780" s="1">
        <v>40862</v>
      </c>
      <c r="C4780" t="s">
        <v>24</v>
      </c>
      <c r="D4780" s="7">
        <v>123</v>
      </c>
      <c r="E4780" s="7">
        <v>19</v>
      </c>
      <c r="F4780" s="7">
        <f t="shared" si="75"/>
        <v>3</v>
      </c>
      <c r="G4780" s="7" t="str">
        <f>LOOKUP(H4780,[1]startdates!$A$2:$A$10,[1]startdates!$B$2:$B$10)</f>
        <v>SMr</v>
      </c>
      <c r="H4780">
        <v>4</v>
      </c>
      <c r="I4780" s="7">
        <v>526.5</v>
      </c>
      <c r="N4780" s="7">
        <v>195.7</v>
      </c>
      <c r="O4780" s="7">
        <v>182.8</v>
      </c>
    </row>
    <row r="4781" spans="1:21" x14ac:dyDescent="0.2">
      <c r="A4781">
        <v>4780</v>
      </c>
      <c r="B4781" s="1">
        <v>40862</v>
      </c>
      <c r="C4781" t="s">
        <v>24</v>
      </c>
      <c r="D4781" s="7">
        <v>123</v>
      </c>
      <c r="E4781" s="7">
        <v>19</v>
      </c>
      <c r="F4781" s="7">
        <f t="shared" si="75"/>
        <v>3</v>
      </c>
      <c r="G4781" s="7" t="str">
        <f>LOOKUP(H4781,[1]startdates!$A$2:$A$10,[1]startdates!$B$2:$B$10)</f>
        <v>SMr</v>
      </c>
      <c r="H4781">
        <v>4</v>
      </c>
      <c r="I4781" s="7">
        <v>511.2</v>
      </c>
      <c r="N4781" s="7">
        <v>217.7</v>
      </c>
      <c r="O4781" s="7">
        <v>181.9</v>
      </c>
    </row>
    <row r="4782" spans="1:21" x14ac:dyDescent="0.2">
      <c r="A4782">
        <v>4781</v>
      </c>
      <c r="B4782" s="1">
        <v>40862</v>
      </c>
      <c r="C4782" t="s">
        <v>24</v>
      </c>
      <c r="D4782" s="7">
        <v>123</v>
      </c>
      <c r="E4782" s="7">
        <v>19</v>
      </c>
      <c r="F4782" s="7">
        <f t="shared" si="75"/>
        <v>3</v>
      </c>
      <c r="G4782" s="7" t="str">
        <f>LOOKUP(H4782,[1]startdates!$A$2:$A$10,[1]startdates!$B$2:$B$10)</f>
        <v>SMr</v>
      </c>
      <c r="H4782">
        <v>4</v>
      </c>
      <c r="I4782" s="7">
        <v>526.5</v>
      </c>
      <c r="N4782" s="7">
        <v>172.9</v>
      </c>
      <c r="O4782" s="7">
        <v>175.8</v>
      </c>
    </row>
    <row r="4783" spans="1:21" x14ac:dyDescent="0.2">
      <c r="A4783">
        <v>4782</v>
      </c>
      <c r="B4783" s="1">
        <v>40862</v>
      </c>
      <c r="C4783" t="s">
        <v>24</v>
      </c>
      <c r="D4783" s="7">
        <v>123</v>
      </c>
      <c r="E4783" s="7">
        <v>19</v>
      </c>
      <c r="F4783" s="7">
        <f t="shared" si="75"/>
        <v>3</v>
      </c>
      <c r="G4783" s="7" t="str">
        <f>LOOKUP(H4783,[1]startdates!$A$2:$A$10,[1]startdates!$B$2:$B$10)</f>
        <v>SMr</v>
      </c>
      <c r="H4783">
        <v>4</v>
      </c>
      <c r="I4783" s="7">
        <v>534.29999999999995</v>
      </c>
      <c r="N4783" s="7">
        <v>219.5</v>
      </c>
      <c r="O4783" s="7">
        <v>166.7</v>
      </c>
    </row>
    <row r="4784" spans="1:21" x14ac:dyDescent="0.2">
      <c r="A4784">
        <v>4783</v>
      </c>
      <c r="B4784" s="1">
        <v>40862</v>
      </c>
      <c r="C4784" t="s">
        <v>24</v>
      </c>
      <c r="D4784" s="7">
        <v>123</v>
      </c>
      <c r="E4784" s="7">
        <v>19</v>
      </c>
      <c r="F4784" s="7">
        <f t="shared" si="75"/>
        <v>3</v>
      </c>
      <c r="G4784" s="7" t="str">
        <f>LOOKUP(H4784,[1]startdates!$A$2:$A$10,[1]startdates!$B$2:$B$10)</f>
        <v>SMr</v>
      </c>
      <c r="H4784">
        <v>4</v>
      </c>
      <c r="N4784" s="7">
        <v>217.3</v>
      </c>
      <c r="O4784" s="7">
        <v>178.1</v>
      </c>
    </row>
    <row r="4785" spans="1:18" x14ac:dyDescent="0.2">
      <c r="A4785">
        <v>4784</v>
      </c>
      <c r="B4785" s="1">
        <v>40862</v>
      </c>
      <c r="C4785" t="s">
        <v>24</v>
      </c>
      <c r="D4785" s="7">
        <v>123</v>
      </c>
      <c r="E4785" s="7">
        <v>19</v>
      </c>
      <c r="F4785" s="7">
        <f t="shared" si="75"/>
        <v>3</v>
      </c>
      <c r="G4785" s="7" t="str">
        <f>LOOKUP(H4785,[1]startdates!$A$2:$A$10,[1]startdates!$B$2:$B$10)</f>
        <v>SMr</v>
      </c>
      <c r="H4785">
        <v>4</v>
      </c>
      <c r="N4785" s="7">
        <v>219.6</v>
      </c>
      <c r="O4785" s="7">
        <v>162</v>
      </c>
    </row>
    <row r="4786" spans="1:18" x14ac:dyDescent="0.2">
      <c r="A4786">
        <v>4785</v>
      </c>
      <c r="B4786" s="1">
        <v>40862</v>
      </c>
      <c r="C4786" t="s">
        <v>24</v>
      </c>
      <c r="D4786" s="7">
        <v>123</v>
      </c>
      <c r="E4786" s="7">
        <v>19</v>
      </c>
      <c r="F4786" s="7">
        <f t="shared" si="75"/>
        <v>3</v>
      </c>
      <c r="G4786" s="7" t="str">
        <f>LOOKUP(H4786,[1]startdates!$A$2:$A$10,[1]startdates!$B$2:$B$10)</f>
        <v>SMr</v>
      </c>
      <c r="H4786">
        <v>4</v>
      </c>
      <c r="O4786" s="7">
        <v>173</v>
      </c>
    </row>
    <row r="4787" spans="1:18" x14ac:dyDescent="0.2">
      <c r="A4787">
        <v>4786</v>
      </c>
      <c r="B4787" s="1">
        <v>40862</v>
      </c>
      <c r="C4787" t="s">
        <v>28</v>
      </c>
      <c r="D4787" s="7">
        <v>123</v>
      </c>
      <c r="E4787" s="7">
        <v>19</v>
      </c>
      <c r="F4787" s="7">
        <f t="shared" si="75"/>
        <v>3</v>
      </c>
      <c r="G4787" s="7" t="str">
        <f>LOOKUP(H4787,[1]startdates!$A$2:$A$10,[1]startdates!$B$2:$B$10)</f>
        <v>C</v>
      </c>
      <c r="H4787">
        <v>5</v>
      </c>
      <c r="I4787" s="7">
        <v>590.79999999999995</v>
      </c>
      <c r="K4787" s="7">
        <v>553.20000000000005</v>
      </c>
      <c r="L4787" s="7">
        <v>406.6</v>
      </c>
      <c r="M4787" s="7">
        <v>311.89999999999998</v>
      </c>
      <c r="N4787" s="7">
        <v>199.7</v>
      </c>
      <c r="O4787" s="7">
        <v>133</v>
      </c>
      <c r="P4787" s="7">
        <v>434.9</v>
      </c>
      <c r="Q4787" s="7">
        <v>347.7</v>
      </c>
      <c r="R4787" s="7">
        <v>270.39999999999998</v>
      </c>
    </row>
    <row r="4788" spans="1:18" x14ac:dyDescent="0.2">
      <c r="A4788">
        <v>4787</v>
      </c>
      <c r="B4788" s="1">
        <v>40862</v>
      </c>
      <c r="C4788" t="s">
        <v>28</v>
      </c>
      <c r="D4788" s="7">
        <v>123</v>
      </c>
      <c r="E4788" s="7">
        <v>19</v>
      </c>
      <c r="F4788" s="7">
        <f t="shared" si="75"/>
        <v>3</v>
      </c>
      <c r="G4788" s="7" t="str">
        <f>LOOKUP(H4788,[1]startdates!$A$2:$A$10,[1]startdates!$B$2:$B$10)</f>
        <v>C</v>
      </c>
      <c r="H4788">
        <v>5</v>
      </c>
      <c r="I4788" s="7">
        <v>572.9</v>
      </c>
      <c r="K4788" s="7">
        <v>538.79999999999995</v>
      </c>
      <c r="L4788" s="7">
        <v>392.5</v>
      </c>
      <c r="M4788" s="7">
        <v>355.5</v>
      </c>
      <c r="N4788" s="7">
        <v>242.1</v>
      </c>
      <c r="O4788" s="7">
        <v>154.19999999999999</v>
      </c>
      <c r="Q4788" s="7">
        <v>348.5</v>
      </c>
      <c r="R4788" s="7">
        <v>249</v>
      </c>
    </row>
    <row r="4789" spans="1:18" x14ac:dyDescent="0.2">
      <c r="A4789">
        <v>4788</v>
      </c>
      <c r="B4789" s="1">
        <v>40862</v>
      </c>
      <c r="C4789" t="s">
        <v>28</v>
      </c>
      <c r="D4789" s="7">
        <v>123</v>
      </c>
      <c r="E4789" s="7">
        <v>19</v>
      </c>
      <c r="F4789" s="7">
        <f t="shared" si="75"/>
        <v>3</v>
      </c>
      <c r="G4789" s="7" t="str">
        <f>LOOKUP(H4789,[1]startdates!$A$2:$A$10,[1]startdates!$B$2:$B$10)</f>
        <v>C</v>
      </c>
      <c r="H4789">
        <v>5</v>
      </c>
      <c r="I4789" s="7">
        <v>622.6</v>
      </c>
      <c r="K4789" s="7">
        <v>599.9</v>
      </c>
      <c r="L4789" s="7">
        <v>443.3</v>
      </c>
      <c r="M4789" s="7">
        <v>306.39999999999998</v>
      </c>
      <c r="N4789" s="7">
        <v>200.9</v>
      </c>
      <c r="O4789" s="7">
        <v>154.80000000000001</v>
      </c>
      <c r="R4789" s="7">
        <v>263.60000000000002</v>
      </c>
    </row>
    <row r="4790" spans="1:18" x14ac:dyDescent="0.2">
      <c r="A4790">
        <v>4789</v>
      </c>
      <c r="B4790" s="1">
        <v>40862</v>
      </c>
      <c r="C4790" t="s">
        <v>28</v>
      </c>
      <c r="D4790" s="7">
        <v>123</v>
      </c>
      <c r="E4790" s="7">
        <v>19</v>
      </c>
      <c r="F4790" s="7">
        <f t="shared" si="75"/>
        <v>3</v>
      </c>
      <c r="G4790" s="7" t="str">
        <f>LOOKUP(H4790,[1]startdates!$A$2:$A$10,[1]startdates!$B$2:$B$10)</f>
        <v>C</v>
      </c>
      <c r="H4790">
        <v>5</v>
      </c>
      <c r="I4790" s="7">
        <v>640.4</v>
      </c>
      <c r="K4790" s="7">
        <v>540.70000000000005</v>
      </c>
      <c r="L4790" s="7">
        <v>440.5</v>
      </c>
      <c r="M4790" s="7">
        <v>318.7</v>
      </c>
      <c r="N4790" s="7">
        <v>289.39999999999998</v>
      </c>
      <c r="O4790" s="7">
        <v>182.3</v>
      </c>
    </row>
    <row r="4791" spans="1:18" x14ac:dyDescent="0.2">
      <c r="A4791">
        <v>4790</v>
      </c>
      <c r="B4791" s="1">
        <v>40862</v>
      </c>
      <c r="C4791" t="s">
        <v>28</v>
      </c>
      <c r="D4791" s="7">
        <v>123</v>
      </c>
      <c r="E4791" s="7">
        <v>19</v>
      </c>
      <c r="F4791" s="7">
        <f t="shared" si="75"/>
        <v>3</v>
      </c>
      <c r="G4791" s="7" t="str">
        <f>LOOKUP(H4791,[1]startdates!$A$2:$A$10,[1]startdates!$B$2:$B$10)</f>
        <v>C</v>
      </c>
      <c r="H4791">
        <v>5</v>
      </c>
      <c r="I4791" s="7">
        <v>592</v>
      </c>
      <c r="K4791" s="7">
        <v>457.3</v>
      </c>
      <c r="L4791" s="7">
        <v>476</v>
      </c>
      <c r="M4791" s="7">
        <v>333</v>
      </c>
      <c r="N4791" s="7">
        <v>180.6</v>
      </c>
      <c r="O4791" s="7">
        <v>166.5</v>
      </c>
    </row>
    <row r="4792" spans="1:18" x14ac:dyDescent="0.2">
      <c r="A4792">
        <v>4791</v>
      </c>
      <c r="B4792" s="1">
        <v>40862</v>
      </c>
      <c r="C4792" t="s">
        <v>28</v>
      </c>
      <c r="D4792" s="7">
        <v>123</v>
      </c>
      <c r="E4792" s="7">
        <v>19</v>
      </c>
      <c r="F4792" s="7">
        <f t="shared" si="75"/>
        <v>3</v>
      </c>
      <c r="G4792" s="7" t="str">
        <f>LOOKUP(H4792,[1]startdates!$A$2:$A$10,[1]startdates!$B$2:$B$10)</f>
        <v>C</v>
      </c>
      <c r="H4792">
        <v>5</v>
      </c>
      <c r="I4792" s="7">
        <v>538.4</v>
      </c>
      <c r="K4792" s="7">
        <v>537.5</v>
      </c>
      <c r="L4792" s="7">
        <v>396.2</v>
      </c>
      <c r="M4792" s="7">
        <v>310.7</v>
      </c>
      <c r="N4792" s="7">
        <v>212.4</v>
      </c>
      <c r="O4792" s="7">
        <v>145.6</v>
      </c>
    </row>
    <row r="4793" spans="1:18" x14ac:dyDescent="0.2">
      <c r="A4793">
        <v>4792</v>
      </c>
      <c r="B4793" s="1">
        <v>40862</v>
      </c>
      <c r="C4793" t="s">
        <v>28</v>
      </c>
      <c r="D4793" s="7">
        <v>123</v>
      </c>
      <c r="E4793" s="7">
        <v>19</v>
      </c>
      <c r="F4793" s="7">
        <f t="shared" si="75"/>
        <v>3</v>
      </c>
      <c r="G4793" s="7" t="str">
        <f>LOOKUP(H4793,[1]startdates!$A$2:$A$10,[1]startdates!$B$2:$B$10)</f>
        <v>C</v>
      </c>
      <c r="H4793">
        <v>5</v>
      </c>
      <c r="I4793" s="7">
        <v>623.29999999999995</v>
      </c>
      <c r="L4793" s="7">
        <v>471.5</v>
      </c>
      <c r="M4793" s="7">
        <v>396.2</v>
      </c>
      <c r="N4793" s="7">
        <v>259.8</v>
      </c>
      <c r="O4793" s="7">
        <v>177.7</v>
      </c>
    </row>
    <row r="4794" spans="1:18" x14ac:dyDescent="0.2">
      <c r="A4794">
        <v>4793</v>
      </c>
      <c r="B4794" s="1">
        <v>40862</v>
      </c>
      <c r="C4794" t="s">
        <v>28</v>
      </c>
      <c r="D4794" s="7">
        <v>123</v>
      </c>
      <c r="E4794" s="7">
        <v>19</v>
      </c>
      <c r="F4794" s="7">
        <f t="shared" si="75"/>
        <v>3</v>
      </c>
      <c r="G4794" s="7" t="str">
        <f>LOOKUP(H4794,[1]startdates!$A$2:$A$10,[1]startdates!$B$2:$B$10)</f>
        <v>C</v>
      </c>
      <c r="H4794">
        <v>5</v>
      </c>
      <c r="I4794" s="7">
        <v>641.20000000000005</v>
      </c>
      <c r="L4794" s="7">
        <v>413.4</v>
      </c>
      <c r="M4794" s="7">
        <v>355.7</v>
      </c>
      <c r="N4794" s="7">
        <v>247.3</v>
      </c>
      <c r="O4794" s="7">
        <v>159.5</v>
      </c>
    </row>
    <row r="4795" spans="1:18" x14ac:dyDescent="0.2">
      <c r="A4795">
        <v>4794</v>
      </c>
      <c r="B4795" s="1">
        <v>40862</v>
      </c>
      <c r="C4795" t="s">
        <v>28</v>
      </c>
      <c r="D4795" s="7">
        <v>123</v>
      </c>
      <c r="E4795" s="7">
        <v>19</v>
      </c>
      <c r="F4795" s="7">
        <f t="shared" si="75"/>
        <v>3</v>
      </c>
      <c r="G4795" s="7" t="str">
        <f>LOOKUP(H4795,[1]startdates!$A$2:$A$10,[1]startdates!$B$2:$B$10)</f>
        <v>C</v>
      </c>
      <c r="H4795">
        <v>5</v>
      </c>
      <c r="I4795" s="7">
        <v>616.79999999999995</v>
      </c>
      <c r="L4795" s="7">
        <v>480.8</v>
      </c>
      <c r="M4795" s="7">
        <v>334.3</v>
      </c>
      <c r="N4795" s="7">
        <v>250.8</v>
      </c>
      <c r="O4795" s="7">
        <v>170.6</v>
      </c>
    </row>
    <row r="4796" spans="1:18" x14ac:dyDescent="0.2">
      <c r="A4796">
        <v>4795</v>
      </c>
      <c r="B4796" s="1">
        <v>40862</v>
      </c>
      <c r="C4796" t="s">
        <v>28</v>
      </c>
      <c r="D4796" s="7">
        <v>123</v>
      </c>
      <c r="E4796" s="7">
        <v>19</v>
      </c>
      <c r="F4796" s="7">
        <f t="shared" si="75"/>
        <v>3</v>
      </c>
      <c r="G4796" s="7" t="str">
        <f>LOOKUP(H4796,[1]startdates!$A$2:$A$10,[1]startdates!$B$2:$B$10)</f>
        <v>C</v>
      </c>
      <c r="H4796">
        <v>5</v>
      </c>
      <c r="I4796" s="7">
        <v>603</v>
      </c>
      <c r="M4796" s="7">
        <v>311.2</v>
      </c>
      <c r="N4796" s="7">
        <v>211</v>
      </c>
      <c r="O4796" s="7">
        <v>173.1</v>
      </c>
    </row>
    <row r="4797" spans="1:18" x14ac:dyDescent="0.2">
      <c r="A4797">
        <v>4796</v>
      </c>
      <c r="B4797" s="1">
        <v>40862</v>
      </c>
      <c r="C4797" t="s">
        <v>28</v>
      </c>
      <c r="D4797" s="7">
        <v>123</v>
      </c>
      <c r="E4797" s="7">
        <v>19</v>
      </c>
      <c r="F4797" s="7">
        <f t="shared" si="75"/>
        <v>3</v>
      </c>
      <c r="G4797" s="7" t="str">
        <f>LOOKUP(H4797,[1]startdates!$A$2:$A$10,[1]startdates!$B$2:$B$10)</f>
        <v>C</v>
      </c>
      <c r="H4797">
        <v>5</v>
      </c>
      <c r="I4797" s="7">
        <v>577.9</v>
      </c>
      <c r="M4797" s="7">
        <v>325.39999999999998</v>
      </c>
      <c r="N4797" s="7">
        <v>258.60000000000002</v>
      </c>
    </row>
    <row r="4798" spans="1:18" x14ac:dyDescent="0.2">
      <c r="A4798">
        <v>4797</v>
      </c>
      <c r="B4798" s="1">
        <v>40862</v>
      </c>
      <c r="C4798" t="s">
        <v>24</v>
      </c>
      <c r="D4798" s="7">
        <v>123</v>
      </c>
      <c r="E4798" s="7">
        <v>19</v>
      </c>
      <c r="F4798" s="7">
        <f t="shared" si="75"/>
        <v>3</v>
      </c>
      <c r="G4798" s="7" t="str">
        <f>LOOKUP(H4798,[1]startdates!$A$2:$A$10,[1]startdates!$B$2:$B$10)</f>
        <v>FMr</v>
      </c>
      <c r="H4798">
        <v>6</v>
      </c>
      <c r="I4798" s="7">
        <v>620.6</v>
      </c>
      <c r="K4798" s="7">
        <v>385.3</v>
      </c>
      <c r="L4798" s="7">
        <v>412</v>
      </c>
      <c r="M4798" s="7">
        <v>323.2</v>
      </c>
      <c r="N4798" s="7">
        <v>213.5</v>
      </c>
      <c r="O4798" s="7">
        <v>177.1</v>
      </c>
      <c r="P4798" s="7">
        <v>485.7</v>
      </c>
      <c r="Q4798" s="7">
        <v>405</v>
      </c>
    </row>
    <row r="4799" spans="1:18" x14ac:dyDescent="0.2">
      <c r="A4799">
        <v>4798</v>
      </c>
      <c r="B4799" s="1">
        <v>40862</v>
      </c>
      <c r="C4799" t="s">
        <v>24</v>
      </c>
      <c r="D4799" s="7">
        <v>123</v>
      </c>
      <c r="E4799" s="7">
        <v>19</v>
      </c>
      <c r="F4799" s="7">
        <f t="shared" si="75"/>
        <v>3</v>
      </c>
      <c r="G4799" s="7" t="str">
        <f>LOOKUP(H4799,[1]startdates!$A$2:$A$10,[1]startdates!$B$2:$B$10)</f>
        <v>FMr</v>
      </c>
      <c r="H4799">
        <v>6</v>
      </c>
      <c r="I4799" s="7">
        <v>618.5</v>
      </c>
      <c r="K4799" s="7">
        <v>399.3</v>
      </c>
      <c r="L4799" s="7">
        <v>439.5</v>
      </c>
      <c r="M4799" s="7">
        <v>370.8</v>
      </c>
      <c r="N4799" s="7">
        <v>180.7</v>
      </c>
      <c r="O4799" s="7">
        <v>178.2</v>
      </c>
    </row>
    <row r="4800" spans="1:18" x14ac:dyDescent="0.2">
      <c r="A4800">
        <v>4799</v>
      </c>
      <c r="B4800" s="1">
        <v>40862</v>
      </c>
      <c r="C4800" t="s">
        <v>24</v>
      </c>
      <c r="D4800" s="7">
        <v>123</v>
      </c>
      <c r="E4800" s="7">
        <v>19</v>
      </c>
      <c r="F4800" s="7">
        <f t="shared" si="75"/>
        <v>3</v>
      </c>
      <c r="G4800" s="7" t="str">
        <f>LOOKUP(H4800,[1]startdates!$A$2:$A$10,[1]startdates!$B$2:$B$10)</f>
        <v>FMr</v>
      </c>
      <c r="H4800">
        <v>6</v>
      </c>
      <c r="I4800" s="7">
        <v>591.20000000000005</v>
      </c>
      <c r="K4800" s="7">
        <v>440.6</v>
      </c>
      <c r="L4800" s="7">
        <v>396.9</v>
      </c>
      <c r="M4800" s="7">
        <v>341.1</v>
      </c>
      <c r="N4800" s="7">
        <v>215.6</v>
      </c>
      <c r="O4800" s="7">
        <v>177.7</v>
      </c>
    </row>
    <row r="4801" spans="1:18" x14ac:dyDescent="0.2">
      <c r="A4801">
        <v>4800</v>
      </c>
      <c r="B4801" s="1">
        <v>40862</v>
      </c>
      <c r="C4801" t="s">
        <v>24</v>
      </c>
      <c r="D4801" s="7">
        <v>123</v>
      </c>
      <c r="E4801" s="7">
        <v>19</v>
      </c>
      <c r="F4801" s="7">
        <f t="shared" si="75"/>
        <v>3</v>
      </c>
      <c r="G4801" s="7" t="str">
        <f>LOOKUP(H4801,[1]startdates!$A$2:$A$10,[1]startdates!$B$2:$B$10)</f>
        <v>FMr</v>
      </c>
      <c r="H4801">
        <v>6</v>
      </c>
      <c r="I4801" s="7">
        <v>601.4</v>
      </c>
      <c r="K4801" s="7">
        <v>541.4</v>
      </c>
      <c r="L4801" s="7">
        <v>349.3</v>
      </c>
      <c r="M4801" s="7">
        <v>328.7</v>
      </c>
      <c r="N4801" s="7">
        <v>211.7</v>
      </c>
      <c r="O4801" s="7">
        <v>171.3</v>
      </c>
    </row>
    <row r="4802" spans="1:18" x14ac:dyDescent="0.2">
      <c r="A4802">
        <v>4801</v>
      </c>
      <c r="B4802" s="1">
        <v>40862</v>
      </c>
      <c r="C4802" t="s">
        <v>24</v>
      </c>
      <c r="D4802" s="7">
        <v>123</v>
      </c>
      <c r="E4802" s="7">
        <v>19</v>
      </c>
      <c r="F4802" s="7">
        <f t="shared" si="75"/>
        <v>3</v>
      </c>
      <c r="G4802" s="7" t="str">
        <f>LOOKUP(H4802,[1]startdates!$A$2:$A$10,[1]startdates!$B$2:$B$10)</f>
        <v>FMr</v>
      </c>
      <c r="H4802">
        <v>6</v>
      </c>
      <c r="I4802" s="7">
        <v>577.5</v>
      </c>
      <c r="K4802" s="7">
        <v>448.9</v>
      </c>
      <c r="L4802" s="7">
        <v>415</v>
      </c>
      <c r="M4802" s="7">
        <v>280</v>
      </c>
      <c r="N4802" s="7">
        <v>183.1</v>
      </c>
      <c r="O4802" s="7">
        <v>171.6</v>
      </c>
    </row>
    <row r="4803" spans="1:18" x14ac:dyDescent="0.2">
      <c r="A4803">
        <v>4802</v>
      </c>
      <c r="B4803" s="1">
        <v>40862</v>
      </c>
      <c r="C4803" t="s">
        <v>24</v>
      </c>
      <c r="D4803" s="7">
        <v>123</v>
      </c>
      <c r="E4803" s="7">
        <v>19</v>
      </c>
      <c r="F4803" s="7">
        <f t="shared" si="75"/>
        <v>3</v>
      </c>
      <c r="G4803" s="7" t="str">
        <f>LOOKUP(H4803,[1]startdates!$A$2:$A$10,[1]startdates!$B$2:$B$10)</f>
        <v>FMr</v>
      </c>
      <c r="H4803">
        <v>6</v>
      </c>
      <c r="I4803" s="7">
        <v>571</v>
      </c>
      <c r="K4803" s="7">
        <v>486.5</v>
      </c>
      <c r="L4803" s="7">
        <v>375.6</v>
      </c>
      <c r="M4803" s="7">
        <v>300</v>
      </c>
      <c r="N4803" s="7">
        <v>207.7</v>
      </c>
      <c r="O4803" s="7">
        <v>162</v>
      </c>
    </row>
    <row r="4804" spans="1:18" x14ac:dyDescent="0.2">
      <c r="A4804">
        <v>4803</v>
      </c>
      <c r="B4804" s="1">
        <v>40862</v>
      </c>
      <c r="C4804" t="s">
        <v>24</v>
      </c>
      <c r="D4804" s="7">
        <v>123</v>
      </c>
      <c r="E4804" s="7">
        <v>19</v>
      </c>
      <c r="F4804" s="7">
        <f t="shared" si="75"/>
        <v>3</v>
      </c>
      <c r="G4804" s="7" t="str">
        <f>LOOKUP(H4804,[1]startdates!$A$2:$A$10,[1]startdates!$B$2:$B$10)</f>
        <v>FMr</v>
      </c>
      <c r="H4804">
        <v>6</v>
      </c>
      <c r="I4804" s="7">
        <v>546.5</v>
      </c>
      <c r="K4804" s="7">
        <v>615.79999999999995</v>
      </c>
      <c r="M4804" s="7">
        <v>263.5</v>
      </c>
      <c r="N4804" s="7">
        <v>179.2</v>
      </c>
      <c r="O4804" s="7">
        <v>132.5</v>
      </c>
    </row>
    <row r="4805" spans="1:18" x14ac:dyDescent="0.2">
      <c r="A4805">
        <v>4804</v>
      </c>
      <c r="B4805" s="1">
        <v>40862</v>
      </c>
      <c r="C4805" t="s">
        <v>24</v>
      </c>
      <c r="D4805" s="7">
        <v>123</v>
      </c>
      <c r="E4805" s="7">
        <v>19</v>
      </c>
      <c r="F4805" s="7">
        <f t="shared" si="75"/>
        <v>3</v>
      </c>
      <c r="G4805" s="7" t="str">
        <f>LOOKUP(H4805,[1]startdates!$A$2:$A$10,[1]startdates!$B$2:$B$10)</f>
        <v>FMr</v>
      </c>
      <c r="H4805">
        <v>6</v>
      </c>
      <c r="I4805" s="7">
        <v>696.7</v>
      </c>
      <c r="K4805" s="7">
        <v>387.7</v>
      </c>
      <c r="M4805" s="7">
        <v>271.3</v>
      </c>
      <c r="N4805" s="7">
        <v>226.5</v>
      </c>
      <c r="O4805" s="7">
        <v>171.5</v>
      </c>
    </row>
    <row r="4806" spans="1:18" x14ac:dyDescent="0.2">
      <c r="A4806">
        <v>4805</v>
      </c>
      <c r="B4806" s="1">
        <v>40862</v>
      </c>
      <c r="C4806" t="s">
        <v>24</v>
      </c>
      <c r="D4806" s="7">
        <v>123</v>
      </c>
      <c r="E4806" s="7">
        <v>19</v>
      </c>
      <c r="F4806" s="7">
        <f t="shared" si="75"/>
        <v>3</v>
      </c>
      <c r="G4806" s="7" t="str">
        <f>LOOKUP(H4806,[1]startdates!$A$2:$A$10,[1]startdates!$B$2:$B$10)</f>
        <v>FMr</v>
      </c>
      <c r="H4806">
        <v>6</v>
      </c>
      <c r="I4806" s="7">
        <v>599.1</v>
      </c>
      <c r="K4806" s="7">
        <v>489.6</v>
      </c>
      <c r="N4806" s="7">
        <v>226.7</v>
      </c>
      <c r="O4806" s="7">
        <v>177.7</v>
      </c>
    </row>
    <row r="4807" spans="1:18" x14ac:dyDescent="0.2">
      <c r="A4807">
        <v>4806</v>
      </c>
      <c r="B4807" s="1">
        <v>40862</v>
      </c>
      <c r="C4807" t="s">
        <v>24</v>
      </c>
      <c r="D4807" s="7">
        <v>123</v>
      </c>
      <c r="E4807" s="7">
        <v>19</v>
      </c>
      <c r="F4807" s="7">
        <f t="shared" si="75"/>
        <v>3</v>
      </c>
      <c r="G4807" s="7" t="str">
        <f>LOOKUP(H4807,[1]startdates!$A$2:$A$10,[1]startdates!$B$2:$B$10)</f>
        <v>FMr</v>
      </c>
      <c r="H4807">
        <v>6</v>
      </c>
      <c r="I4807" s="7">
        <v>623.9</v>
      </c>
      <c r="K4807" s="7">
        <v>440.7</v>
      </c>
      <c r="O4807" s="7">
        <v>177.8</v>
      </c>
    </row>
    <row r="4808" spans="1:18" x14ac:dyDescent="0.2">
      <c r="A4808">
        <v>4807</v>
      </c>
      <c r="B4808" s="1">
        <v>40862</v>
      </c>
      <c r="C4808" t="s">
        <v>24</v>
      </c>
      <c r="D4808" s="7">
        <v>123</v>
      </c>
      <c r="E4808" s="7">
        <v>19</v>
      </c>
      <c r="F4808" s="7">
        <f t="shared" si="75"/>
        <v>3</v>
      </c>
      <c r="G4808" s="7" t="str">
        <f>LOOKUP(H4808,[1]startdates!$A$2:$A$10,[1]startdates!$B$2:$B$10)</f>
        <v>FMr</v>
      </c>
      <c r="H4808">
        <v>6</v>
      </c>
      <c r="I4808" s="7">
        <v>583.1</v>
      </c>
      <c r="K4808" s="7">
        <v>580</v>
      </c>
      <c r="O4808" s="7">
        <v>164.2</v>
      </c>
    </row>
    <row r="4809" spans="1:18" x14ac:dyDescent="0.2">
      <c r="A4809">
        <v>4808</v>
      </c>
      <c r="B4809" s="1">
        <v>40862</v>
      </c>
      <c r="C4809" t="s">
        <v>24</v>
      </c>
      <c r="D4809" s="7">
        <v>123</v>
      </c>
      <c r="E4809" s="7">
        <v>19</v>
      </c>
      <c r="F4809" s="7">
        <f t="shared" si="75"/>
        <v>3</v>
      </c>
      <c r="G4809" s="7" t="str">
        <f>LOOKUP(H4809,[1]startdates!$A$2:$A$10,[1]startdates!$B$2:$B$10)</f>
        <v>FMr</v>
      </c>
      <c r="H4809">
        <v>6</v>
      </c>
      <c r="I4809" s="7">
        <v>543.1</v>
      </c>
      <c r="K4809" s="7">
        <v>606.20000000000005</v>
      </c>
      <c r="O4809" s="7">
        <v>157.6</v>
      </c>
    </row>
    <row r="4810" spans="1:18" x14ac:dyDescent="0.2">
      <c r="A4810">
        <v>4809</v>
      </c>
      <c r="B4810" s="1">
        <v>40862</v>
      </c>
      <c r="C4810" t="s">
        <v>28</v>
      </c>
      <c r="D4810" s="7">
        <v>123</v>
      </c>
      <c r="E4810" s="7">
        <v>19</v>
      </c>
      <c r="F4810" s="7">
        <f t="shared" si="75"/>
        <v>3</v>
      </c>
      <c r="G4810" s="7" t="str">
        <f>LOOKUP(H4810,[1]startdates!$A$2:$A$10,[1]startdates!$B$2:$B$10)</f>
        <v>FMr</v>
      </c>
      <c r="H4810">
        <v>7</v>
      </c>
      <c r="I4810" s="7">
        <v>540</v>
      </c>
      <c r="J4810" s="7">
        <v>438.3</v>
      </c>
      <c r="K4810" s="7">
        <v>463.9</v>
      </c>
      <c r="L4810" s="7">
        <v>404.2</v>
      </c>
      <c r="M4810" s="7">
        <v>296.8</v>
      </c>
      <c r="N4810" s="7">
        <v>234.5</v>
      </c>
      <c r="O4810" s="7">
        <v>168.2</v>
      </c>
      <c r="P4810" s="7">
        <v>430.1</v>
      </c>
      <c r="R4810" s="7">
        <v>242.5</v>
      </c>
    </row>
    <row r="4811" spans="1:18" x14ac:dyDescent="0.2">
      <c r="A4811">
        <v>4810</v>
      </c>
      <c r="B4811" s="1">
        <v>40862</v>
      </c>
      <c r="C4811" t="s">
        <v>28</v>
      </c>
      <c r="D4811" s="7">
        <v>123</v>
      </c>
      <c r="E4811" s="7">
        <v>19</v>
      </c>
      <c r="F4811" s="7">
        <f t="shared" si="75"/>
        <v>3</v>
      </c>
      <c r="G4811" s="7" t="str">
        <f>LOOKUP(H4811,[1]startdates!$A$2:$A$10,[1]startdates!$B$2:$B$10)</f>
        <v>FMr</v>
      </c>
      <c r="H4811">
        <v>7</v>
      </c>
      <c r="I4811" s="7">
        <v>595.79999999999995</v>
      </c>
      <c r="K4811" s="7">
        <v>522.1</v>
      </c>
      <c r="L4811" s="7">
        <v>476</v>
      </c>
      <c r="M4811" s="7">
        <v>381</v>
      </c>
      <c r="N4811" s="7">
        <v>283.5</v>
      </c>
      <c r="O4811" s="7">
        <v>174.6</v>
      </c>
      <c r="P4811" s="7">
        <v>464.8</v>
      </c>
      <c r="R4811" s="7">
        <v>230.6</v>
      </c>
    </row>
    <row r="4812" spans="1:18" x14ac:dyDescent="0.2">
      <c r="A4812">
        <v>4811</v>
      </c>
      <c r="B4812" s="1">
        <v>40862</v>
      </c>
      <c r="C4812" t="s">
        <v>28</v>
      </c>
      <c r="D4812" s="7">
        <v>123</v>
      </c>
      <c r="E4812" s="7">
        <v>19</v>
      </c>
      <c r="F4812" s="7">
        <f t="shared" si="75"/>
        <v>3</v>
      </c>
      <c r="G4812" s="7" t="str">
        <f>LOOKUP(H4812,[1]startdates!$A$2:$A$10,[1]startdates!$B$2:$B$10)</f>
        <v>FMr</v>
      </c>
      <c r="H4812">
        <v>7</v>
      </c>
      <c r="I4812" s="7">
        <v>620.70000000000005</v>
      </c>
      <c r="K4812" s="7">
        <v>480.2</v>
      </c>
      <c r="L4812" s="7">
        <v>444.5</v>
      </c>
      <c r="M4812" s="7">
        <v>341.8</v>
      </c>
      <c r="N4812" s="7">
        <v>247.4</v>
      </c>
      <c r="O4812" s="7">
        <v>160.5</v>
      </c>
    </row>
    <row r="4813" spans="1:18" x14ac:dyDescent="0.2">
      <c r="A4813">
        <v>4812</v>
      </c>
      <c r="B4813" s="1">
        <v>40862</v>
      </c>
      <c r="C4813" t="s">
        <v>28</v>
      </c>
      <c r="D4813" s="7">
        <v>123</v>
      </c>
      <c r="E4813" s="7">
        <v>19</v>
      </c>
      <c r="F4813" s="7">
        <f t="shared" si="75"/>
        <v>3</v>
      </c>
      <c r="G4813" s="7" t="str">
        <f>LOOKUP(H4813,[1]startdates!$A$2:$A$10,[1]startdates!$B$2:$B$10)</f>
        <v>FMr</v>
      </c>
      <c r="H4813">
        <v>7</v>
      </c>
      <c r="I4813" s="7">
        <v>522</v>
      </c>
      <c r="K4813" s="7">
        <v>543.79999999999995</v>
      </c>
      <c r="L4813" s="7">
        <v>417</v>
      </c>
      <c r="M4813" s="7">
        <v>341.8</v>
      </c>
      <c r="N4813" s="7">
        <v>214.5</v>
      </c>
      <c r="O4813" s="7">
        <v>161.4</v>
      </c>
    </row>
    <row r="4814" spans="1:18" x14ac:dyDescent="0.2">
      <c r="A4814">
        <v>4813</v>
      </c>
      <c r="B4814" s="1">
        <v>40862</v>
      </c>
      <c r="C4814" t="s">
        <v>28</v>
      </c>
      <c r="D4814" s="7">
        <v>123</v>
      </c>
      <c r="E4814" s="7">
        <v>19</v>
      </c>
      <c r="F4814" s="7">
        <f t="shared" si="75"/>
        <v>3</v>
      </c>
      <c r="G4814" s="7" t="str">
        <f>LOOKUP(H4814,[1]startdates!$A$2:$A$10,[1]startdates!$B$2:$B$10)</f>
        <v>FMr</v>
      </c>
      <c r="H4814">
        <v>7</v>
      </c>
      <c r="I4814" s="7">
        <v>491.3</v>
      </c>
      <c r="K4814" s="7">
        <v>502.8</v>
      </c>
      <c r="L4814" s="7">
        <v>447.1</v>
      </c>
      <c r="M4814" s="7">
        <v>309.8</v>
      </c>
      <c r="N4814" s="7">
        <v>217.6</v>
      </c>
      <c r="O4814" s="7">
        <v>170</v>
      </c>
    </row>
    <row r="4815" spans="1:18" x14ac:dyDescent="0.2">
      <c r="A4815">
        <v>4814</v>
      </c>
      <c r="B4815" s="1">
        <v>40862</v>
      </c>
      <c r="C4815" t="s">
        <v>28</v>
      </c>
      <c r="D4815" s="7">
        <v>123</v>
      </c>
      <c r="E4815" s="7">
        <v>19</v>
      </c>
      <c r="F4815" s="7">
        <f t="shared" si="75"/>
        <v>3</v>
      </c>
      <c r="G4815" s="7" t="str">
        <f>LOOKUP(H4815,[1]startdates!$A$2:$A$10,[1]startdates!$B$2:$B$10)</f>
        <v>FMr</v>
      </c>
      <c r="H4815">
        <v>7</v>
      </c>
      <c r="I4815" s="7">
        <v>590.5</v>
      </c>
      <c r="K4815" s="7">
        <v>506.5</v>
      </c>
      <c r="L4815" s="7">
        <v>467.8</v>
      </c>
      <c r="M4815" s="7">
        <v>313.5</v>
      </c>
      <c r="N4815" s="7">
        <v>222.4</v>
      </c>
      <c r="O4815" s="7">
        <v>162</v>
      </c>
    </row>
    <row r="4816" spans="1:18" x14ac:dyDescent="0.2">
      <c r="A4816">
        <v>4815</v>
      </c>
      <c r="B4816" s="1">
        <v>40862</v>
      </c>
      <c r="C4816" t="s">
        <v>28</v>
      </c>
      <c r="D4816" s="7">
        <v>123</v>
      </c>
      <c r="E4816" s="7">
        <v>19</v>
      </c>
      <c r="F4816" s="7">
        <f t="shared" si="75"/>
        <v>3</v>
      </c>
      <c r="G4816" s="7" t="str">
        <f>LOOKUP(H4816,[1]startdates!$A$2:$A$10,[1]startdates!$B$2:$B$10)</f>
        <v>FMr</v>
      </c>
      <c r="H4816">
        <v>7</v>
      </c>
      <c r="I4816" s="7">
        <v>494.1</v>
      </c>
      <c r="M4816" s="7">
        <v>372.7</v>
      </c>
      <c r="N4816" s="7">
        <v>175.8</v>
      </c>
      <c r="O4816" s="7">
        <v>157.6</v>
      </c>
    </row>
    <row r="4817" spans="1:19" x14ac:dyDescent="0.2">
      <c r="A4817">
        <v>4816</v>
      </c>
      <c r="B4817" s="1">
        <v>40862</v>
      </c>
      <c r="C4817" t="s">
        <v>28</v>
      </c>
      <c r="D4817" s="7">
        <v>123</v>
      </c>
      <c r="E4817" s="7">
        <v>19</v>
      </c>
      <c r="F4817" s="7">
        <f t="shared" si="75"/>
        <v>3</v>
      </c>
      <c r="G4817" s="7" t="str">
        <f>LOOKUP(H4817,[1]startdates!$A$2:$A$10,[1]startdates!$B$2:$B$10)</f>
        <v>FMr</v>
      </c>
      <c r="H4817">
        <v>7</v>
      </c>
      <c r="I4817" s="7">
        <v>474.9</v>
      </c>
      <c r="M4817" s="7">
        <v>379.6</v>
      </c>
      <c r="N4817" s="7">
        <v>206.1</v>
      </c>
      <c r="O4817" s="7">
        <v>166.3</v>
      </c>
    </row>
    <row r="4818" spans="1:19" x14ac:dyDescent="0.2">
      <c r="A4818">
        <v>4817</v>
      </c>
      <c r="B4818" s="1">
        <v>40862</v>
      </c>
      <c r="C4818" t="s">
        <v>28</v>
      </c>
      <c r="D4818" s="7">
        <v>123</v>
      </c>
      <c r="E4818" s="7">
        <v>19</v>
      </c>
      <c r="F4818" s="7">
        <f t="shared" si="75"/>
        <v>3</v>
      </c>
      <c r="G4818" s="7" t="str">
        <f>LOOKUP(H4818,[1]startdates!$A$2:$A$10,[1]startdates!$B$2:$B$10)</f>
        <v>FMr</v>
      </c>
      <c r="H4818">
        <v>7</v>
      </c>
      <c r="I4818" s="7">
        <v>629.70000000000005</v>
      </c>
      <c r="M4818" s="7">
        <v>322.89999999999998</v>
      </c>
      <c r="N4818" s="7">
        <v>253.9</v>
      </c>
      <c r="O4818" s="7">
        <v>170.6</v>
      </c>
    </row>
    <row r="4819" spans="1:19" x14ac:dyDescent="0.2">
      <c r="A4819">
        <v>4818</v>
      </c>
      <c r="B4819" s="1">
        <v>40862</v>
      </c>
      <c r="C4819" t="s">
        <v>28</v>
      </c>
      <c r="D4819" s="7">
        <v>123</v>
      </c>
      <c r="E4819" s="7">
        <v>19</v>
      </c>
      <c r="F4819" s="7">
        <f t="shared" si="75"/>
        <v>3</v>
      </c>
      <c r="G4819" s="7" t="str">
        <f>LOOKUP(H4819,[1]startdates!$A$2:$A$10,[1]startdates!$B$2:$B$10)</f>
        <v>FMr</v>
      </c>
      <c r="H4819">
        <v>7</v>
      </c>
      <c r="I4819" s="7">
        <v>522.29999999999995</v>
      </c>
      <c r="M4819" s="7">
        <v>357.5</v>
      </c>
      <c r="N4819" s="7">
        <v>235.7</v>
      </c>
    </row>
    <row r="4820" spans="1:19" x14ac:dyDescent="0.2">
      <c r="A4820">
        <v>4819</v>
      </c>
      <c r="B4820" s="1">
        <v>40862</v>
      </c>
      <c r="C4820" t="s">
        <v>28</v>
      </c>
      <c r="D4820" s="7">
        <v>123</v>
      </c>
      <c r="E4820" s="7">
        <v>19</v>
      </c>
      <c r="F4820" s="7">
        <f t="shared" si="75"/>
        <v>3</v>
      </c>
      <c r="G4820" s="7" t="str">
        <f>LOOKUP(H4820,[1]startdates!$A$2:$A$10,[1]startdates!$B$2:$B$10)</f>
        <v>FMr</v>
      </c>
      <c r="H4820">
        <v>7</v>
      </c>
      <c r="I4820" s="7">
        <v>574.4</v>
      </c>
    </row>
    <row r="4821" spans="1:19" x14ac:dyDescent="0.2">
      <c r="A4821">
        <v>4820</v>
      </c>
      <c r="B4821" s="1">
        <v>40862</v>
      </c>
      <c r="C4821" t="s">
        <v>28</v>
      </c>
      <c r="D4821" s="7">
        <v>123</v>
      </c>
      <c r="E4821" s="7">
        <v>19</v>
      </c>
      <c r="F4821" s="7">
        <f t="shared" si="75"/>
        <v>3</v>
      </c>
      <c r="G4821" s="7" t="str">
        <f>LOOKUP(H4821,[1]startdates!$A$2:$A$10,[1]startdates!$B$2:$B$10)</f>
        <v>FMr</v>
      </c>
      <c r="H4821">
        <v>7</v>
      </c>
      <c r="I4821" s="7">
        <v>608.4</v>
      </c>
    </row>
    <row r="4822" spans="1:19" x14ac:dyDescent="0.2">
      <c r="A4822">
        <v>4821</v>
      </c>
      <c r="B4822" s="1">
        <v>40862</v>
      </c>
      <c r="C4822" t="s">
        <v>28</v>
      </c>
      <c r="D4822" s="7">
        <v>123</v>
      </c>
      <c r="E4822" s="7">
        <v>19</v>
      </c>
      <c r="F4822" s="7">
        <f t="shared" si="75"/>
        <v>3</v>
      </c>
      <c r="G4822" s="7" t="str">
        <f>LOOKUP(H4822,[1]startdates!$A$2:$A$10,[1]startdates!$B$2:$B$10)</f>
        <v>FMr</v>
      </c>
      <c r="H4822">
        <v>7</v>
      </c>
      <c r="I4822" s="7">
        <v>662</v>
      </c>
    </row>
    <row r="4823" spans="1:19" x14ac:dyDescent="0.2">
      <c r="A4823">
        <v>4822</v>
      </c>
      <c r="B4823" s="1">
        <v>40862</v>
      </c>
      <c r="C4823" t="s">
        <v>28</v>
      </c>
      <c r="D4823" s="7">
        <v>123</v>
      </c>
      <c r="E4823" s="7">
        <v>19</v>
      </c>
      <c r="F4823" s="7">
        <f t="shared" si="75"/>
        <v>3</v>
      </c>
      <c r="G4823" s="7" t="str">
        <f>LOOKUP(H4823,[1]startdates!$A$2:$A$10,[1]startdates!$B$2:$B$10)</f>
        <v>C</v>
      </c>
      <c r="H4823">
        <v>8</v>
      </c>
      <c r="I4823" s="7">
        <v>638.5</v>
      </c>
      <c r="J4823" s="7">
        <v>549.79999999999995</v>
      </c>
      <c r="K4823" s="7">
        <v>614.79999999999995</v>
      </c>
      <c r="L4823" s="7">
        <v>399.3</v>
      </c>
      <c r="M4823" s="7">
        <v>329.4</v>
      </c>
      <c r="N4823" s="7">
        <v>192.2</v>
      </c>
      <c r="O4823" s="7">
        <v>165</v>
      </c>
      <c r="R4823" s="7">
        <v>273.60000000000002</v>
      </c>
      <c r="S4823" s="7">
        <v>295.60000000000002</v>
      </c>
    </row>
    <row r="4824" spans="1:19" x14ac:dyDescent="0.2">
      <c r="A4824">
        <v>4823</v>
      </c>
      <c r="B4824" s="1">
        <v>40862</v>
      </c>
      <c r="C4824" t="s">
        <v>28</v>
      </c>
      <c r="D4824" s="7">
        <v>123</v>
      </c>
      <c r="E4824" s="7">
        <v>19</v>
      </c>
      <c r="F4824" s="7">
        <f t="shared" si="75"/>
        <v>3</v>
      </c>
      <c r="G4824" s="7" t="str">
        <f>LOOKUP(H4824,[1]startdates!$A$2:$A$10,[1]startdates!$B$2:$B$10)</f>
        <v>C</v>
      </c>
      <c r="H4824">
        <v>8</v>
      </c>
      <c r="I4824" s="7">
        <v>739.3</v>
      </c>
      <c r="J4824" s="7">
        <v>588.79999999999995</v>
      </c>
      <c r="K4824" s="7">
        <v>582.70000000000005</v>
      </c>
      <c r="L4824" s="7">
        <v>457.7</v>
      </c>
      <c r="M4824" s="7">
        <v>300.8</v>
      </c>
      <c r="N4824" s="7">
        <v>214.2</v>
      </c>
      <c r="O4824" s="7">
        <v>186.3</v>
      </c>
      <c r="S4824" s="7">
        <v>289.5</v>
      </c>
    </row>
    <row r="4825" spans="1:19" x14ac:dyDescent="0.2">
      <c r="A4825">
        <v>4824</v>
      </c>
      <c r="B4825" s="1">
        <v>40862</v>
      </c>
      <c r="C4825" t="s">
        <v>28</v>
      </c>
      <c r="D4825" s="7">
        <v>123</v>
      </c>
      <c r="E4825" s="7">
        <v>19</v>
      </c>
      <c r="F4825" s="7">
        <f t="shared" si="75"/>
        <v>3</v>
      </c>
      <c r="G4825" s="7" t="str">
        <f>LOOKUP(H4825,[1]startdates!$A$2:$A$10,[1]startdates!$B$2:$B$10)</f>
        <v>C</v>
      </c>
      <c r="H4825">
        <v>8</v>
      </c>
      <c r="I4825" s="7">
        <v>785.3</v>
      </c>
      <c r="J4825" s="7">
        <v>564.1</v>
      </c>
      <c r="K4825" s="7">
        <v>632.70000000000005</v>
      </c>
      <c r="L4825" s="7">
        <v>413.3</v>
      </c>
      <c r="M4825" s="7">
        <v>338.7</v>
      </c>
      <c r="N4825" s="7">
        <v>283.3</v>
      </c>
      <c r="O4825" s="7">
        <v>166.4</v>
      </c>
    </row>
    <row r="4826" spans="1:19" x14ac:dyDescent="0.2">
      <c r="A4826">
        <v>4825</v>
      </c>
      <c r="B4826" s="1">
        <v>40862</v>
      </c>
      <c r="C4826" t="s">
        <v>28</v>
      </c>
      <c r="D4826" s="7">
        <v>123</v>
      </c>
      <c r="E4826" s="7">
        <v>19</v>
      </c>
      <c r="F4826" s="7">
        <f t="shared" si="75"/>
        <v>3</v>
      </c>
      <c r="G4826" s="7" t="str">
        <f>LOOKUP(H4826,[1]startdates!$A$2:$A$10,[1]startdates!$B$2:$B$10)</f>
        <v>C</v>
      </c>
      <c r="H4826">
        <v>8</v>
      </c>
      <c r="I4826" s="7">
        <v>702.9</v>
      </c>
      <c r="J4826" s="7">
        <v>525.20000000000005</v>
      </c>
      <c r="K4826" s="7">
        <v>563.9</v>
      </c>
      <c r="M4826" s="7">
        <v>309.8</v>
      </c>
      <c r="N4826" s="7">
        <v>284.7</v>
      </c>
      <c r="O4826" s="7">
        <v>181.3</v>
      </c>
    </row>
    <row r="4827" spans="1:19" x14ac:dyDescent="0.2">
      <c r="A4827">
        <v>4826</v>
      </c>
      <c r="B4827" s="1">
        <v>40862</v>
      </c>
      <c r="C4827" t="s">
        <v>28</v>
      </c>
      <c r="D4827" s="7">
        <v>123</v>
      </c>
      <c r="E4827" s="7">
        <v>19</v>
      </c>
      <c r="F4827" s="7">
        <f t="shared" si="75"/>
        <v>3</v>
      </c>
      <c r="G4827" s="7" t="str">
        <f>LOOKUP(H4827,[1]startdates!$A$2:$A$10,[1]startdates!$B$2:$B$10)</f>
        <v>C</v>
      </c>
      <c r="H4827">
        <v>8</v>
      </c>
      <c r="I4827" s="7">
        <v>611.9</v>
      </c>
      <c r="J4827" s="7">
        <v>577.4</v>
      </c>
      <c r="M4827" s="7">
        <v>381.4</v>
      </c>
      <c r="N4827" s="7">
        <v>202.5</v>
      </c>
      <c r="O4827" s="7">
        <v>180.5</v>
      </c>
    </row>
    <row r="4828" spans="1:19" x14ac:dyDescent="0.2">
      <c r="A4828">
        <v>4827</v>
      </c>
      <c r="B4828" s="1">
        <v>40862</v>
      </c>
      <c r="C4828" t="s">
        <v>28</v>
      </c>
      <c r="D4828" s="7">
        <v>123</v>
      </c>
      <c r="E4828" s="7">
        <v>19</v>
      </c>
      <c r="F4828" s="7">
        <f t="shared" si="75"/>
        <v>3</v>
      </c>
      <c r="G4828" s="7" t="str">
        <f>LOOKUP(H4828,[1]startdates!$A$2:$A$10,[1]startdates!$B$2:$B$10)</f>
        <v>C</v>
      </c>
      <c r="H4828">
        <v>8</v>
      </c>
      <c r="I4828" s="7">
        <v>671.5</v>
      </c>
      <c r="M4828" s="7">
        <v>314.7</v>
      </c>
      <c r="N4828" s="7">
        <v>244.1</v>
      </c>
      <c r="O4828" s="7">
        <v>168</v>
      </c>
    </row>
    <row r="4829" spans="1:19" x14ac:dyDescent="0.2">
      <c r="A4829">
        <v>4828</v>
      </c>
      <c r="B4829" s="1">
        <v>40862</v>
      </c>
      <c r="C4829" t="s">
        <v>28</v>
      </c>
      <c r="D4829" s="7">
        <v>123</v>
      </c>
      <c r="E4829" s="7">
        <v>19</v>
      </c>
      <c r="F4829" s="7">
        <f t="shared" si="75"/>
        <v>3</v>
      </c>
      <c r="G4829" s="7" t="str">
        <f>LOOKUP(H4829,[1]startdates!$A$2:$A$10,[1]startdates!$B$2:$B$10)</f>
        <v>C</v>
      </c>
      <c r="H4829">
        <v>8</v>
      </c>
      <c r="I4829" s="7">
        <v>615.9</v>
      </c>
      <c r="M4829" s="7">
        <v>295.7</v>
      </c>
      <c r="N4829" s="7">
        <v>176.9</v>
      </c>
      <c r="O4829" s="7">
        <v>181.3</v>
      </c>
    </row>
    <row r="4830" spans="1:19" x14ac:dyDescent="0.2">
      <c r="A4830">
        <v>4829</v>
      </c>
      <c r="B4830" s="1">
        <v>40862</v>
      </c>
      <c r="C4830" t="s">
        <v>28</v>
      </c>
      <c r="D4830" s="7">
        <v>123</v>
      </c>
      <c r="E4830" s="7">
        <v>19</v>
      </c>
      <c r="F4830" s="7">
        <f t="shared" si="75"/>
        <v>3</v>
      </c>
      <c r="G4830" s="7" t="str">
        <f>LOOKUP(H4830,[1]startdates!$A$2:$A$10,[1]startdates!$B$2:$B$10)</f>
        <v>C</v>
      </c>
      <c r="H4830">
        <v>8</v>
      </c>
      <c r="M4830" s="7">
        <v>306.39999999999998</v>
      </c>
      <c r="N4830" s="7">
        <v>202.8</v>
      </c>
      <c r="O4830" s="7">
        <v>168.6</v>
      </c>
    </row>
    <row r="4831" spans="1:19" x14ac:dyDescent="0.2">
      <c r="A4831">
        <v>4830</v>
      </c>
      <c r="B4831" s="1">
        <v>40862</v>
      </c>
      <c r="C4831" t="s">
        <v>28</v>
      </c>
      <c r="D4831" s="7">
        <v>123</v>
      </c>
      <c r="E4831" s="7">
        <v>19</v>
      </c>
      <c r="F4831" s="7">
        <f t="shared" si="75"/>
        <v>3</v>
      </c>
      <c r="G4831" s="7" t="str">
        <f>LOOKUP(H4831,[1]startdates!$A$2:$A$10,[1]startdates!$B$2:$B$10)</f>
        <v>C</v>
      </c>
      <c r="H4831">
        <v>8</v>
      </c>
      <c r="M4831" s="7">
        <v>295</v>
      </c>
      <c r="N4831" s="7">
        <v>238.9</v>
      </c>
      <c r="O4831" s="7">
        <v>175.8</v>
      </c>
    </row>
    <row r="4832" spans="1:19" x14ac:dyDescent="0.2">
      <c r="A4832">
        <v>4831</v>
      </c>
      <c r="B4832" s="1">
        <v>40862</v>
      </c>
      <c r="C4832" t="s">
        <v>28</v>
      </c>
      <c r="D4832" s="7">
        <v>123</v>
      </c>
      <c r="E4832" s="7">
        <v>19</v>
      </c>
      <c r="F4832" s="7">
        <f t="shared" si="75"/>
        <v>3</v>
      </c>
      <c r="G4832" s="7" t="str">
        <f>LOOKUP(H4832,[1]startdates!$A$2:$A$10,[1]startdates!$B$2:$B$10)</f>
        <v>C</v>
      </c>
      <c r="H4832">
        <v>8</v>
      </c>
      <c r="M4832" s="7">
        <v>344.8</v>
      </c>
      <c r="N4832" s="7">
        <v>232.9</v>
      </c>
      <c r="O4832" s="7">
        <v>168</v>
      </c>
    </row>
    <row r="4833" spans="1:19" x14ac:dyDescent="0.2">
      <c r="A4833">
        <v>4832</v>
      </c>
      <c r="B4833" s="1">
        <v>40862</v>
      </c>
      <c r="C4833" t="s">
        <v>28</v>
      </c>
      <c r="D4833" s="7">
        <v>123</v>
      </c>
      <c r="E4833" s="7">
        <v>19</v>
      </c>
      <c r="F4833" s="7">
        <f t="shared" si="75"/>
        <v>3</v>
      </c>
      <c r="G4833" s="7" t="str">
        <f>LOOKUP(H4833,[1]startdates!$A$2:$A$10,[1]startdates!$B$2:$B$10)</f>
        <v>C</v>
      </c>
      <c r="H4833">
        <v>8</v>
      </c>
      <c r="O4833" s="7">
        <v>170.4</v>
      </c>
    </row>
    <row r="4834" spans="1:19" x14ac:dyDescent="0.2">
      <c r="A4834">
        <v>4833</v>
      </c>
      <c r="B4834" s="1">
        <v>40862</v>
      </c>
      <c r="C4834" t="s">
        <v>24</v>
      </c>
      <c r="D4834" s="7">
        <v>123</v>
      </c>
      <c r="E4834" s="7">
        <v>19</v>
      </c>
      <c r="F4834" s="7">
        <f t="shared" si="75"/>
        <v>3</v>
      </c>
      <c r="G4834" s="7" t="str">
        <f>LOOKUP(H4834,[1]startdates!$A$2:$A$10,[1]startdates!$B$2:$B$10)</f>
        <v>FMr</v>
      </c>
      <c r="H4834">
        <v>9</v>
      </c>
      <c r="I4834" s="7">
        <v>607</v>
      </c>
      <c r="K4834" s="7">
        <v>548.5</v>
      </c>
      <c r="L4834" s="7">
        <v>472.4</v>
      </c>
      <c r="M4834" s="7">
        <v>370.8</v>
      </c>
      <c r="N4834" s="7">
        <v>234.8</v>
      </c>
      <c r="O4834" s="7">
        <v>176</v>
      </c>
      <c r="P4834" s="7">
        <v>493.8</v>
      </c>
      <c r="Q4834" s="7">
        <v>417.7</v>
      </c>
    </row>
    <row r="4835" spans="1:19" x14ac:dyDescent="0.2">
      <c r="A4835">
        <v>4834</v>
      </c>
      <c r="B4835" s="1">
        <v>40862</v>
      </c>
      <c r="C4835" t="s">
        <v>24</v>
      </c>
      <c r="D4835" s="7">
        <v>123</v>
      </c>
      <c r="E4835" s="7">
        <v>19</v>
      </c>
      <c r="F4835" s="7">
        <f t="shared" si="75"/>
        <v>3</v>
      </c>
      <c r="G4835" s="7" t="str">
        <f>LOOKUP(H4835,[1]startdates!$A$2:$A$10,[1]startdates!$B$2:$B$10)</f>
        <v>FMr</v>
      </c>
      <c r="H4835">
        <v>9</v>
      </c>
      <c r="I4835" s="7">
        <v>559.9</v>
      </c>
      <c r="K4835" s="7">
        <v>536.70000000000005</v>
      </c>
      <c r="L4835" s="7">
        <v>469</v>
      </c>
      <c r="M4835" s="7">
        <v>344</v>
      </c>
      <c r="N4835" s="7">
        <v>177.3</v>
      </c>
      <c r="O4835" s="7">
        <v>182.8</v>
      </c>
    </row>
    <row r="4836" spans="1:19" x14ac:dyDescent="0.2">
      <c r="A4836">
        <v>4835</v>
      </c>
      <c r="B4836" s="1">
        <v>40862</v>
      </c>
      <c r="C4836" t="s">
        <v>24</v>
      </c>
      <c r="D4836" s="7">
        <v>123</v>
      </c>
      <c r="E4836" s="7">
        <v>19</v>
      </c>
      <c r="F4836" s="7">
        <f t="shared" si="75"/>
        <v>3</v>
      </c>
      <c r="G4836" s="7" t="str">
        <f>LOOKUP(H4836,[1]startdates!$A$2:$A$10,[1]startdates!$B$2:$B$10)</f>
        <v>FMr</v>
      </c>
      <c r="H4836">
        <v>9</v>
      </c>
      <c r="I4836" s="7">
        <v>488</v>
      </c>
      <c r="K4836" s="7">
        <v>454.9</v>
      </c>
      <c r="M4836" s="7">
        <v>303.7</v>
      </c>
      <c r="N4836" s="7">
        <v>206.1</v>
      </c>
      <c r="O4836" s="7">
        <v>198.2</v>
      </c>
    </row>
    <row r="4837" spans="1:19" x14ac:dyDescent="0.2">
      <c r="A4837">
        <v>4836</v>
      </c>
      <c r="B4837" s="1">
        <v>40862</v>
      </c>
      <c r="C4837" t="s">
        <v>24</v>
      </c>
      <c r="D4837" s="7">
        <v>123</v>
      </c>
      <c r="E4837" s="7">
        <v>19</v>
      </c>
      <c r="F4837" s="7">
        <f t="shared" si="75"/>
        <v>3</v>
      </c>
      <c r="G4837" s="7" t="str">
        <f>LOOKUP(H4837,[1]startdates!$A$2:$A$10,[1]startdates!$B$2:$B$10)</f>
        <v>FMr</v>
      </c>
      <c r="H4837">
        <v>9</v>
      </c>
      <c r="I4837" s="7">
        <v>499.7</v>
      </c>
      <c r="K4837" s="7">
        <v>414.5</v>
      </c>
      <c r="M4837" s="7">
        <v>280</v>
      </c>
      <c r="N4837" s="7">
        <v>206.5</v>
      </c>
      <c r="O4837" s="7">
        <v>155.30000000000001</v>
      </c>
    </row>
    <row r="4838" spans="1:19" x14ac:dyDescent="0.2">
      <c r="A4838">
        <v>4837</v>
      </c>
      <c r="B4838" s="1">
        <v>40862</v>
      </c>
      <c r="C4838" t="s">
        <v>24</v>
      </c>
      <c r="D4838" s="7">
        <v>123</v>
      </c>
      <c r="E4838" s="7">
        <v>19</v>
      </c>
      <c r="F4838" s="7">
        <f t="shared" si="75"/>
        <v>3</v>
      </c>
      <c r="G4838" s="7" t="str">
        <f>LOOKUP(H4838,[1]startdates!$A$2:$A$10,[1]startdates!$B$2:$B$10)</f>
        <v>FMr</v>
      </c>
      <c r="H4838">
        <v>9</v>
      </c>
      <c r="I4838" s="7">
        <v>668.1</v>
      </c>
      <c r="K4838" s="7">
        <v>563.9</v>
      </c>
      <c r="M4838" s="7">
        <v>375.9</v>
      </c>
      <c r="N4838" s="7">
        <v>240.4</v>
      </c>
      <c r="O4838" s="7">
        <v>182.8</v>
      </c>
    </row>
    <row r="4839" spans="1:19" x14ac:dyDescent="0.2">
      <c r="A4839">
        <v>4838</v>
      </c>
      <c r="B4839" s="1">
        <v>40862</v>
      </c>
      <c r="C4839" t="s">
        <v>24</v>
      </c>
      <c r="D4839" s="7">
        <v>123</v>
      </c>
      <c r="E4839" s="7">
        <v>19</v>
      </c>
      <c r="F4839" s="7">
        <f t="shared" si="75"/>
        <v>3</v>
      </c>
      <c r="G4839" s="7" t="str">
        <f>LOOKUP(H4839,[1]startdates!$A$2:$A$10,[1]startdates!$B$2:$B$10)</f>
        <v>FMr</v>
      </c>
      <c r="H4839">
        <v>9</v>
      </c>
      <c r="I4839" s="7">
        <v>662.7</v>
      </c>
      <c r="K4839" s="7">
        <v>434.7</v>
      </c>
      <c r="M4839" s="7">
        <v>369.7</v>
      </c>
      <c r="N4839" s="7">
        <v>200.3</v>
      </c>
      <c r="O4839" s="7">
        <v>183.1</v>
      </c>
    </row>
    <row r="4840" spans="1:19" x14ac:dyDescent="0.2">
      <c r="A4840">
        <v>4839</v>
      </c>
      <c r="B4840" s="1">
        <v>40862</v>
      </c>
      <c r="C4840" t="s">
        <v>24</v>
      </c>
      <c r="D4840" s="7">
        <v>123</v>
      </c>
      <c r="E4840" s="7">
        <v>19</v>
      </c>
      <c r="F4840" s="7">
        <f t="shared" si="75"/>
        <v>3</v>
      </c>
      <c r="G4840" s="7" t="str">
        <f>LOOKUP(H4840,[1]startdates!$A$2:$A$10,[1]startdates!$B$2:$B$10)</f>
        <v>FMr</v>
      </c>
      <c r="H4840">
        <v>9</v>
      </c>
      <c r="I4840" s="7">
        <v>556.5</v>
      </c>
      <c r="K4840" s="7">
        <v>511.2</v>
      </c>
      <c r="N4840" s="7">
        <v>222.4</v>
      </c>
      <c r="O4840" s="7">
        <v>177.7</v>
      </c>
    </row>
    <row r="4841" spans="1:19" x14ac:dyDescent="0.2">
      <c r="A4841">
        <v>4840</v>
      </c>
      <c r="B4841" s="1">
        <v>40862</v>
      </c>
      <c r="C4841" t="s">
        <v>24</v>
      </c>
      <c r="D4841" s="7">
        <v>123</v>
      </c>
      <c r="E4841" s="7">
        <v>19</v>
      </c>
      <c r="F4841" s="7">
        <f t="shared" ref="F4841:F4904" si="76">WEEKDAY(B4841)</f>
        <v>3</v>
      </c>
      <c r="G4841" s="7" t="str">
        <f>LOOKUP(H4841,[1]startdates!$A$2:$A$10,[1]startdates!$B$2:$B$10)</f>
        <v>FMr</v>
      </c>
      <c r="H4841">
        <v>9</v>
      </c>
      <c r="I4841" s="7">
        <v>528</v>
      </c>
      <c r="K4841" s="7">
        <v>588.79999999999995</v>
      </c>
      <c r="N4841" s="7">
        <v>222.9</v>
      </c>
      <c r="O4841" s="7">
        <v>175.8</v>
      </c>
    </row>
    <row r="4842" spans="1:19" x14ac:dyDescent="0.2">
      <c r="A4842">
        <v>4841</v>
      </c>
      <c r="B4842" s="1">
        <v>40862</v>
      </c>
      <c r="C4842" t="s">
        <v>24</v>
      </c>
      <c r="D4842" s="7">
        <v>123</v>
      </c>
      <c r="E4842" s="7">
        <v>19</v>
      </c>
      <c r="F4842" s="7">
        <f t="shared" si="76"/>
        <v>3</v>
      </c>
      <c r="G4842" s="7" t="str">
        <f>LOOKUP(H4842,[1]startdates!$A$2:$A$10,[1]startdates!$B$2:$B$10)</f>
        <v>FMr</v>
      </c>
      <c r="H4842">
        <v>9</v>
      </c>
      <c r="I4842" s="7">
        <v>578.6</v>
      </c>
      <c r="N4842" s="7">
        <v>241.2</v>
      </c>
      <c r="O4842" s="7">
        <v>168.1</v>
      </c>
    </row>
    <row r="4843" spans="1:19" x14ac:dyDescent="0.2">
      <c r="A4843">
        <v>4842</v>
      </c>
      <c r="B4843" s="1">
        <v>40862</v>
      </c>
      <c r="C4843" t="s">
        <v>24</v>
      </c>
      <c r="D4843" s="7">
        <v>123</v>
      </c>
      <c r="E4843" s="7">
        <v>19</v>
      </c>
      <c r="F4843" s="7">
        <f t="shared" si="76"/>
        <v>3</v>
      </c>
      <c r="G4843" s="7" t="str">
        <f>LOOKUP(H4843,[1]startdates!$A$2:$A$10,[1]startdates!$B$2:$B$10)</f>
        <v>FMr</v>
      </c>
      <c r="H4843">
        <v>9</v>
      </c>
      <c r="I4843" s="7">
        <v>518</v>
      </c>
      <c r="O4843" s="7">
        <v>189.5</v>
      </c>
    </row>
    <row r="4844" spans="1:19" x14ac:dyDescent="0.2">
      <c r="A4844">
        <v>4843</v>
      </c>
      <c r="B4844" s="1">
        <v>40862</v>
      </c>
      <c r="C4844" t="s">
        <v>24</v>
      </c>
      <c r="D4844" s="7">
        <v>123</v>
      </c>
      <c r="E4844" s="7">
        <v>19</v>
      </c>
      <c r="F4844" s="7">
        <f t="shared" si="76"/>
        <v>3</v>
      </c>
      <c r="G4844" s="7" t="str">
        <f>LOOKUP(H4844,[1]startdates!$A$2:$A$10,[1]startdates!$B$2:$B$10)</f>
        <v>FMr</v>
      </c>
      <c r="H4844">
        <v>9</v>
      </c>
      <c r="O4844" s="7">
        <v>163</v>
      </c>
    </row>
    <row r="4845" spans="1:19" x14ac:dyDescent="0.2">
      <c r="A4845">
        <v>4844</v>
      </c>
      <c r="B4845" s="1">
        <v>40865</v>
      </c>
      <c r="C4845" t="s">
        <v>28</v>
      </c>
      <c r="D4845" s="7">
        <v>126</v>
      </c>
      <c r="E4845" s="7">
        <v>19</v>
      </c>
      <c r="F4845" s="7">
        <f t="shared" si="76"/>
        <v>6</v>
      </c>
      <c r="G4845" s="7" t="str">
        <f>LOOKUP(H4845,[1]startdates!$A$2:$A$10,[1]startdates!$B$2:$B$10)</f>
        <v>SMr</v>
      </c>
      <c r="H4845">
        <v>1</v>
      </c>
      <c r="I4845" s="7">
        <v>666.7</v>
      </c>
      <c r="J4845" s="7">
        <v>439.7</v>
      </c>
      <c r="K4845" s="7">
        <v>460.9</v>
      </c>
      <c r="L4845" s="7">
        <v>395.2</v>
      </c>
      <c r="M4845" s="7">
        <v>379.1</v>
      </c>
      <c r="N4845" s="7">
        <v>209.1</v>
      </c>
      <c r="O4845" s="7">
        <v>158.5</v>
      </c>
      <c r="P4845" s="7">
        <v>426.1</v>
      </c>
      <c r="Q4845" s="7">
        <v>310.7</v>
      </c>
      <c r="R4845" s="7">
        <v>295.5</v>
      </c>
      <c r="S4845" s="7">
        <v>237.5</v>
      </c>
    </row>
    <row r="4846" spans="1:19" x14ac:dyDescent="0.2">
      <c r="A4846">
        <v>4845</v>
      </c>
      <c r="B4846" s="1">
        <v>40865</v>
      </c>
      <c r="C4846" t="s">
        <v>28</v>
      </c>
      <c r="D4846" s="7">
        <v>126</v>
      </c>
      <c r="E4846" s="7">
        <v>19</v>
      </c>
      <c r="F4846" s="7">
        <f t="shared" si="76"/>
        <v>6</v>
      </c>
      <c r="G4846" s="7" t="str">
        <f>LOOKUP(H4846,[1]startdates!$A$2:$A$10,[1]startdates!$B$2:$B$10)</f>
        <v>SMr</v>
      </c>
      <c r="H4846">
        <v>1</v>
      </c>
      <c r="I4846" s="7">
        <v>635.6</v>
      </c>
      <c r="J4846" s="7">
        <v>489.9</v>
      </c>
      <c r="K4846" s="7">
        <v>543.29999999999995</v>
      </c>
      <c r="L4846" s="7">
        <v>419.8</v>
      </c>
      <c r="M4846" s="7">
        <v>380.9</v>
      </c>
      <c r="N4846" s="7">
        <v>239.1</v>
      </c>
      <c r="O4846" s="7">
        <v>160.4</v>
      </c>
      <c r="P4846" s="7">
        <v>417.6</v>
      </c>
      <c r="Q4846" s="7">
        <v>309</v>
      </c>
    </row>
    <row r="4847" spans="1:19" x14ac:dyDescent="0.2">
      <c r="A4847">
        <v>4846</v>
      </c>
      <c r="B4847" s="1">
        <v>40865</v>
      </c>
      <c r="C4847" t="s">
        <v>28</v>
      </c>
      <c r="D4847" s="7">
        <v>126</v>
      </c>
      <c r="E4847" s="7">
        <v>19</v>
      </c>
      <c r="F4847" s="7">
        <f t="shared" si="76"/>
        <v>6</v>
      </c>
      <c r="G4847" s="7" t="str">
        <f>LOOKUP(H4847,[1]startdates!$A$2:$A$10,[1]startdates!$B$2:$B$10)</f>
        <v>SMr</v>
      </c>
      <c r="H4847">
        <v>1</v>
      </c>
      <c r="I4847" s="7">
        <v>575</v>
      </c>
      <c r="J4847" s="7">
        <v>502.8</v>
      </c>
      <c r="K4847" s="7">
        <v>516</v>
      </c>
      <c r="L4847" s="7">
        <v>410.1</v>
      </c>
      <c r="M4847" s="7">
        <v>320.60000000000002</v>
      </c>
      <c r="N4847" s="7">
        <v>240.8</v>
      </c>
      <c r="O4847" s="7">
        <v>153.4</v>
      </c>
      <c r="P4847" s="7">
        <v>416.8</v>
      </c>
    </row>
    <row r="4848" spans="1:19" x14ac:dyDescent="0.2">
      <c r="A4848">
        <v>4847</v>
      </c>
      <c r="B4848" s="1">
        <v>40865</v>
      </c>
      <c r="C4848" t="s">
        <v>28</v>
      </c>
      <c r="D4848" s="7">
        <v>126</v>
      </c>
      <c r="E4848" s="7">
        <v>19</v>
      </c>
      <c r="F4848" s="7">
        <f t="shared" si="76"/>
        <v>6</v>
      </c>
      <c r="G4848" s="7" t="str">
        <f>LOOKUP(H4848,[1]startdates!$A$2:$A$10,[1]startdates!$B$2:$B$10)</f>
        <v>SMr</v>
      </c>
      <c r="H4848">
        <v>1</v>
      </c>
      <c r="I4848" s="7">
        <v>670.8</v>
      </c>
      <c r="K4848" s="7">
        <v>593.6</v>
      </c>
      <c r="L4848" s="7">
        <v>414.2</v>
      </c>
      <c r="M4848" s="7">
        <v>307.89999999999998</v>
      </c>
      <c r="N4848" s="7">
        <v>252.6</v>
      </c>
      <c r="O4848" s="7">
        <v>182.9</v>
      </c>
      <c r="P4848" s="7">
        <v>390</v>
      </c>
    </row>
    <row r="4849" spans="1:19" x14ac:dyDescent="0.2">
      <c r="A4849">
        <v>4848</v>
      </c>
      <c r="B4849" s="1">
        <v>40865</v>
      </c>
      <c r="C4849" t="s">
        <v>28</v>
      </c>
      <c r="D4849" s="7">
        <v>126</v>
      </c>
      <c r="E4849" s="7">
        <v>19</v>
      </c>
      <c r="F4849" s="7">
        <f t="shared" si="76"/>
        <v>6</v>
      </c>
      <c r="G4849" s="7" t="str">
        <f>LOOKUP(H4849,[1]startdates!$A$2:$A$10,[1]startdates!$B$2:$B$10)</f>
        <v>SMr</v>
      </c>
      <c r="H4849">
        <v>1</v>
      </c>
      <c r="I4849" s="7">
        <v>638.5</v>
      </c>
      <c r="K4849" s="7">
        <v>472.8</v>
      </c>
      <c r="M4849" s="7">
        <v>355.9</v>
      </c>
      <c r="N4849" s="7">
        <v>278.60000000000002</v>
      </c>
      <c r="O4849" s="7">
        <v>151</v>
      </c>
    </row>
    <row r="4850" spans="1:19" x14ac:dyDescent="0.2">
      <c r="A4850">
        <v>4849</v>
      </c>
      <c r="B4850" s="1">
        <v>40865</v>
      </c>
      <c r="C4850" t="s">
        <v>28</v>
      </c>
      <c r="D4850" s="7">
        <v>126</v>
      </c>
      <c r="E4850" s="7">
        <v>19</v>
      </c>
      <c r="F4850" s="7">
        <f t="shared" si="76"/>
        <v>6</v>
      </c>
      <c r="G4850" s="7" t="str">
        <f>LOOKUP(H4850,[1]startdates!$A$2:$A$10,[1]startdates!$B$2:$B$10)</f>
        <v>SMr</v>
      </c>
      <c r="H4850">
        <v>1</v>
      </c>
      <c r="I4850" s="7">
        <v>645.6</v>
      </c>
      <c r="M4850" s="7">
        <v>344.2</v>
      </c>
      <c r="N4850" s="7">
        <v>222.4</v>
      </c>
      <c r="O4850" s="7">
        <v>172.1</v>
      </c>
    </row>
    <row r="4851" spans="1:19" x14ac:dyDescent="0.2">
      <c r="A4851">
        <v>4850</v>
      </c>
      <c r="B4851" s="1">
        <v>40865</v>
      </c>
      <c r="C4851" t="s">
        <v>28</v>
      </c>
      <c r="D4851" s="7">
        <v>126</v>
      </c>
      <c r="E4851" s="7">
        <v>19</v>
      </c>
      <c r="F4851" s="7">
        <f t="shared" si="76"/>
        <v>6</v>
      </c>
      <c r="G4851" s="7" t="str">
        <f>LOOKUP(H4851,[1]startdates!$A$2:$A$10,[1]startdates!$B$2:$B$10)</f>
        <v>SMr</v>
      </c>
      <c r="H4851">
        <v>1</v>
      </c>
      <c r="I4851" s="7">
        <v>587.70000000000005</v>
      </c>
      <c r="M4851" s="7">
        <v>307</v>
      </c>
      <c r="N4851" s="7">
        <v>234.4</v>
      </c>
      <c r="O4851" s="7">
        <v>169.7</v>
      </c>
    </row>
    <row r="4852" spans="1:19" x14ac:dyDescent="0.2">
      <c r="A4852">
        <v>4851</v>
      </c>
      <c r="B4852" s="1">
        <v>40865</v>
      </c>
      <c r="C4852" t="s">
        <v>28</v>
      </c>
      <c r="D4852" s="7">
        <v>126</v>
      </c>
      <c r="E4852" s="7">
        <v>19</v>
      </c>
      <c r="F4852" s="7">
        <f t="shared" si="76"/>
        <v>6</v>
      </c>
      <c r="G4852" s="7" t="str">
        <f>LOOKUP(H4852,[1]startdates!$A$2:$A$10,[1]startdates!$B$2:$B$10)</f>
        <v>SMr</v>
      </c>
      <c r="H4852">
        <v>1</v>
      </c>
      <c r="I4852" s="7">
        <v>629.70000000000005</v>
      </c>
      <c r="M4852" s="7">
        <v>388</v>
      </c>
      <c r="N4852" s="7">
        <v>200</v>
      </c>
      <c r="O4852" s="7">
        <v>180.1</v>
      </c>
    </row>
    <row r="4853" spans="1:19" x14ac:dyDescent="0.2">
      <c r="A4853">
        <v>4852</v>
      </c>
      <c r="B4853" s="1">
        <v>40865</v>
      </c>
      <c r="C4853" t="s">
        <v>28</v>
      </c>
      <c r="D4853" s="7">
        <v>126</v>
      </c>
      <c r="E4853" s="7">
        <v>19</v>
      </c>
      <c r="F4853" s="7">
        <f t="shared" si="76"/>
        <v>6</v>
      </c>
      <c r="G4853" s="7" t="str">
        <f>LOOKUP(H4853,[1]startdates!$A$2:$A$10,[1]startdates!$B$2:$B$10)</f>
        <v>SMr</v>
      </c>
      <c r="H4853">
        <v>1</v>
      </c>
      <c r="I4853" s="7">
        <v>642.29999999999995</v>
      </c>
      <c r="M4853" s="7">
        <v>373</v>
      </c>
      <c r="N4853" s="7">
        <v>217.3</v>
      </c>
      <c r="O4853" s="7">
        <v>162.69999999999999</v>
      </c>
    </row>
    <row r="4854" spans="1:19" x14ac:dyDescent="0.2">
      <c r="A4854">
        <v>4853</v>
      </c>
      <c r="B4854" s="1">
        <v>40865</v>
      </c>
      <c r="C4854" t="s">
        <v>28</v>
      </c>
      <c r="D4854" s="7">
        <v>126</v>
      </c>
      <c r="E4854" s="7">
        <v>19</v>
      </c>
      <c r="F4854" s="7">
        <f t="shared" si="76"/>
        <v>6</v>
      </c>
      <c r="G4854" s="7" t="str">
        <f>LOOKUP(H4854,[1]startdates!$A$2:$A$10,[1]startdates!$B$2:$B$10)</f>
        <v>SMr</v>
      </c>
      <c r="H4854">
        <v>1</v>
      </c>
      <c r="I4854" s="7">
        <v>580.29999999999995</v>
      </c>
      <c r="M4854" s="7">
        <v>326.5</v>
      </c>
      <c r="N4854" s="7">
        <v>238</v>
      </c>
      <c r="O4854" s="7">
        <v>174.6</v>
      </c>
    </row>
    <row r="4855" spans="1:19" x14ac:dyDescent="0.2">
      <c r="A4855">
        <v>4854</v>
      </c>
      <c r="B4855" s="1">
        <v>40865</v>
      </c>
      <c r="C4855" t="s">
        <v>28</v>
      </c>
      <c r="D4855" s="7">
        <v>126</v>
      </c>
      <c r="E4855" s="7">
        <v>19</v>
      </c>
      <c r="F4855" s="7">
        <f t="shared" si="76"/>
        <v>6</v>
      </c>
      <c r="G4855" s="7" t="str">
        <f>LOOKUP(H4855,[1]startdates!$A$2:$A$10,[1]startdates!$B$2:$B$10)</f>
        <v>SMr</v>
      </c>
      <c r="H4855">
        <v>1</v>
      </c>
      <c r="I4855" s="7">
        <v>576.70000000000005</v>
      </c>
      <c r="N4855" s="7">
        <v>280.8</v>
      </c>
    </row>
    <row r="4856" spans="1:19" x14ac:dyDescent="0.2">
      <c r="A4856">
        <v>4855</v>
      </c>
      <c r="B4856" s="1">
        <v>40865</v>
      </c>
      <c r="C4856" t="s">
        <v>24</v>
      </c>
      <c r="D4856" s="7">
        <v>126</v>
      </c>
      <c r="E4856" s="7">
        <v>19</v>
      </c>
      <c r="F4856" s="7">
        <f t="shared" si="76"/>
        <v>6</v>
      </c>
      <c r="G4856" s="7" t="str">
        <f>LOOKUP(H4856,[1]startdates!$A$2:$A$10,[1]startdates!$B$2:$B$10)</f>
        <v>SMr</v>
      </c>
      <c r="H4856">
        <v>2</v>
      </c>
      <c r="I4856" s="7">
        <v>488.6</v>
      </c>
      <c r="J4856" s="7">
        <v>545.6</v>
      </c>
      <c r="K4856" s="7">
        <v>530.5</v>
      </c>
      <c r="M4856" s="7">
        <v>367.2</v>
      </c>
      <c r="N4856" s="7">
        <v>210.9</v>
      </c>
      <c r="O4856" s="7">
        <v>190.1</v>
      </c>
      <c r="P4856" s="7">
        <v>477.5</v>
      </c>
      <c r="R4856" s="7">
        <v>254</v>
      </c>
      <c r="S4856" s="7">
        <v>258.7</v>
      </c>
    </row>
    <row r="4857" spans="1:19" x14ac:dyDescent="0.2">
      <c r="A4857">
        <v>4856</v>
      </c>
      <c r="B4857" s="1">
        <v>40865</v>
      </c>
      <c r="C4857" t="s">
        <v>24</v>
      </c>
      <c r="D4857" s="7">
        <v>126</v>
      </c>
      <c r="E4857" s="7">
        <v>19</v>
      </c>
      <c r="F4857" s="7">
        <f t="shared" si="76"/>
        <v>6</v>
      </c>
      <c r="G4857" s="7" t="str">
        <f>LOOKUP(H4857,[1]startdates!$A$2:$A$10,[1]startdates!$B$2:$B$10)</f>
        <v>SMr</v>
      </c>
      <c r="H4857">
        <v>2</v>
      </c>
      <c r="I4857" s="7">
        <v>551.1</v>
      </c>
      <c r="J4857" s="7">
        <v>575.79999999999995</v>
      </c>
      <c r="K4857" s="7">
        <v>457.5</v>
      </c>
      <c r="M4857" s="7">
        <v>356.5</v>
      </c>
      <c r="N4857" s="7">
        <v>237.6</v>
      </c>
      <c r="O4857" s="7">
        <v>166.7</v>
      </c>
      <c r="P4857" s="7">
        <v>411.6</v>
      </c>
      <c r="R4857" s="7">
        <v>251.7</v>
      </c>
    </row>
    <row r="4858" spans="1:19" x14ac:dyDescent="0.2">
      <c r="A4858">
        <v>4857</v>
      </c>
      <c r="B4858" s="1">
        <v>40865</v>
      </c>
      <c r="C4858" t="s">
        <v>24</v>
      </c>
      <c r="D4858" s="7">
        <v>126</v>
      </c>
      <c r="E4858" s="7">
        <v>19</v>
      </c>
      <c r="F4858" s="7">
        <f t="shared" si="76"/>
        <v>6</v>
      </c>
      <c r="G4858" s="7" t="str">
        <f>LOOKUP(H4858,[1]startdates!$A$2:$A$10,[1]startdates!$B$2:$B$10)</f>
        <v>SMr</v>
      </c>
      <c r="H4858">
        <v>2</v>
      </c>
      <c r="I4858" s="7">
        <v>652</v>
      </c>
      <c r="K4858" s="7">
        <v>435.8</v>
      </c>
      <c r="M4858" s="7">
        <v>228.4</v>
      </c>
      <c r="N4858" s="7">
        <v>200.6</v>
      </c>
      <c r="O4858" s="7">
        <v>162</v>
      </c>
      <c r="R4858" s="7">
        <v>271.7</v>
      </c>
    </row>
    <row r="4859" spans="1:19" x14ac:dyDescent="0.2">
      <c r="A4859">
        <v>4858</v>
      </c>
      <c r="B4859" s="1">
        <v>40865</v>
      </c>
      <c r="C4859" t="s">
        <v>24</v>
      </c>
      <c r="D4859" s="7">
        <v>126</v>
      </c>
      <c r="E4859" s="7">
        <v>19</v>
      </c>
      <c r="F4859" s="7">
        <f t="shared" si="76"/>
        <v>6</v>
      </c>
      <c r="G4859" s="7" t="str">
        <f>LOOKUP(H4859,[1]startdates!$A$2:$A$10,[1]startdates!$B$2:$B$10)</f>
        <v>SMr</v>
      </c>
      <c r="H4859">
        <v>2</v>
      </c>
      <c r="I4859" s="7">
        <v>556</v>
      </c>
      <c r="K4859" s="7">
        <v>417.1</v>
      </c>
      <c r="M4859" s="7">
        <v>286.39999999999998</v>
      </c>
      <c r="N4859" s="7">
        <v>255.7</v>
      </c>
      <c r="O4859" s="7">
        <v>187</v>
      </c>
      <c r="R4859" s="7">
        <v>313.10000000000002</v>
      </c>
    </row>
    <row r="4860" spans="1:19" x14ac:dyDescent="0.2">
      <c r="A4860">
        <v>4859</v>
      </c>
      <c r="B4860" s="1">
        <v>40865</v>
      </c>
      <c r="C4860" t="s">
        <v>24</v>
      </c>
      <c r="D4860" s="7">
        <v>126</v>
      </c>
      <c r="E4860" s="7">
        <v>19</v>
      </c>
      <c r="F4860" s="7">
        <f t="shared" si="76"/>
        <v>6</v>
      </c>
      <c r="G4860" s="7" t="str">
        <f>LOOKUP(H4860,[1]startdates!$A$2:$A$10,[1]startdates!$B$2:$B$10)</f>
        <v>SMr</v>
      </c>
      <c r="H4860">
        <v>2</v>
      </c>
      <c r="I4860" s="7">
        <v>586.1</v>
      </c>
      <c r="K4860" s="7">
        <v>469.9</v>
      </c>
      <c r="M4860" s="7">
        <v>341.3</v>
      </c>
      <c r="N4860" s="7">
        <v>203.1</v>
      </c>
      <c r="O4860" s="7">
        <v>173.2</v>
      </c>
      <c r="R4860" s="7">
        <v>268.7</v>
      </c>
    </row>
    <row r="4861" spans="1:19" x14ac:dyDescent="0.2">
      <c r="A4861">
        <v>4860</v>
      </c>
      <c r="B4861" s="1">
        <v>40865</v>
      </c>
      <c r="C4861" t="s">
        <v>24</v>
      </c>
      <c r="D4861" s="7">
        <v>126</v>
      </c>
      <c r="E4861" s="7">
        <v>19</v>
      </c>
      <c r="F4861" s="7">
        <f t="shared" si="76"/>
        <v>6</v>
      </c>
      <c r="G4861" s="7" t="str">
        <f>LOOKUP(H4861,[1]startdates!$A$2:$A$10,[1]startdates!$B$2:$B$10)</f>
        <v>SMr</v>
      </c>
      <c r="H4861">
        <v>2</v>
      </c>
      <c r="I4861" s="7">
        <v>548.29999999999995</v>
      </c>
      <c r="K4861" s="7">
        <v>472</v>
      </c>
      <c r="M4861" s="7">
        <v>316.3</v>
      </c>
      <c r="N4861" s="7">
        <v>201.4</v>
      </c>
      <c r="O4861" s="7">
        <v>157.4</v>
      </c>
    </row>
    <row r="4862" spans="1:19" x14ac:dyDescent="0.2">
      <c r="A4862">
        <v>4861</v>
      </c>
      <c r="B4862" s="1">
        <v>40865</v>
      </c>
      <c r="C4862" t="s">
        <v>24</v>
      </c>
      <c r="D4862" s="7">
        <v>126</v>
      </c>
      <c r="E4862" s="7">
        <v>19</v>
      </c>
      <c r="F4862" s="7">
        <f t="shared" si="76"/>
        <v>6</v>
      </c>
      <c r="G4862" s="7" t="str">
        <f>LOOKUP(H4862,[1]startdates!$A$2:$A$10,[1]startdates!$B$2:$B$10)</f>
        <v>SMr</v>
      </c>
      <c r="H4862">
        <v>2</v>
      </c>
      <c r="I4862" s="7">
        <v>651.70000000000005</v>
      </c>
      <c r="K4862" s="7">
        <v>507.2</v>
      </c>
      <c r="M4862" s="7">
        <v>341.7</v>
      </c>
      <c r="N4862" s="7">
        <v>296.5</v>
      </c>
      <c r="O4862" s="7">
        <v>174.6</v>
      </c>
    </row>
    <row r="4863" spans="1:19" x14ac:dyDescent="0.2">
      <c r="A4863">
        <v>4862</v>
      </c>
      <c r="B4863" s="1">
        <v>40865</v>
      </c>
      <c r="C4863" t="s">
        <v>24</v>
      </c>
      <c r="D4863" s="7">
        <v>126</v>
      </c>
      <c r="E4863" s="7">
        <v>19</v>
      </c>
      <c r="F4863" s="7">
        <f t="shared" si="76"/>
        <v>6</v>
      </c>
      <c r="G4863" s="7" t="str">
        <f>LOOKUP(H4863,[1]startdates!$A$2:$A$10,[1]startdates!$B$2:$B$10)</f>
        <v>SMr</v>
      </c>
      <c r="H4863">
        <v>2</v>
      </c>
      <c r="K4863" s="7">
        <v>387.4</v>
      </c>
      <c r="M4863" s="7">
        <v>295.60000000000002</v>
      </c>
      <c r="N4863" s="7">
        <v>250.4</v>
      </c>
      <c r="O4863" s="7">
        <v>168.3</v>
      </c>
    </row>
    <row r="4864" spans="1:19" x14ac:dyDescent="0.2">
      <c r="A4864">
        <v>4863</v>
      </c>
      <c r="B4864" s="1">
        <v>40865</v>
      </c>
      <c r="C4864" t="s">
        <v>24</v>
      </c>
      <c r="D4864" s="7">
        <v>126</v>
      </c>
      <c r="E4864" s="7">
        <v>19</v>
      </c>
      <c r="F4864" s="7">
        <f t="shared" si="76"/>
        <v>6</v>
      </c>
      <c r="G4864" s="7" t="str">
        <f>LOOKUP(H4864,[1]startdates!$A$2:$A$10,[1]startdates!$B$2:$B$10)</f>
        <v>SMr</v>
      </c>
      <c r="H4864">
        <v>2</v>
      </c>
      <c r="K4864" s="7">
        <v>459.4</v>
      </c>
      <c r="M4864" s="7">
        <v>350.5</v>
      </c>
      <c r="N4864" s="7">
        <v>240.4</v>
      </c>
      <c r="O4864" s="7">
        <v>177.1</v>
      </c>
    </row>
    <row r="4865" spans="1:19" x14ac:dyDescent="0.2">
      <c r="A4865">
        <v>4864</v>
      </c>
      <c r="B4865" s="1">
        <v>40865</v>
      </c>
      <c r="C4865" t="s">
        <v>24</v>
      </c>
      <c r="D4865" s="7">
        <v>126</v>
      </c>
      <c r="E4865" s="7">
        <v>19</v>
      </c>
      <c r="F4865" s="7">
        <f t="shared" si="76"/>
        <v>6</v>
      </c>
      <c r="G4865" s="7" t="str">
        <f>LOOKUP(H4865,[1]startdates!$A$2:$A$10,[1]startdates!$B$2:$B$10)</f>
        <v>SMr</v>
      </c>
      <c r="H4865">
        <v>2</v>
      </c>
      <c r="M4865" s="7">
        <v>309.5</v>
      </c>
      <c r="N4865" s="7">
        <v>241.2</v>
      </c>
      <c r="O4865" s="7">
        <v>168.6</v>
      </c>
    </row>
    <row r="4866" spans="1:19" x14ac:dyDescent="0.2">
      <c r="A4866">
        <v>4865</v>
      </c>
      <c r="B4866" s="1">
        <v>40865</v>
      </c>
      <c r="C4866" t="s">
        <v>24</v>
      </c>
      <c r="D4866" s="7">
        <v>126</v>
      </c>
      <c r="E4866" s="7">
        <v>19</v>
      </c>
      <c r="F4866" s="7">
        <f t="shared" si="76"/>
        <v>6</v>
      </c>
      <c r="G4866" s="7" t="str">
        <f>LOOKUP(H4866,[1]startdates!$A$2:$A$10,[1]startdates!$B$2:$B$10)</f>
        <v>SMr</v>
      </c>
      <c r="H4866">
        <v>2</v>
      </c>
      <c r="O4866" s="7">
        <v>170.8</v>
      </c>
    </row>
    <row r="4867" spans="1:19" x14ac:dyDescent="0.2">
      <c r="A4867">
        <v>4866</v>
      </c>
      <c r="B4867" s="1">
        <v>40865</v>
      </c>
      <c r="C4867" t="s">
        <v>24</v>
      </c>
      <c r="D4867" s="7">
        <v>126</v>
      </c>
      <c r="E4867" s="7">
        <v>19</v>
      </c>
      <c r="F4867" s="7">
        <f t="shared" si="76"/>
        <v>6</v>
      </c>
      <c r="G4867" s="7" t="str">
        <f>LOOKUP(H4867,[1]startdates!$A$2:$A$10,[1]startdates!$B$2:$B$10)</f>
        <v>C</v>
      </c>
      <c r="H4867">
        <v>3</v>
      </c>
      <c r="I4867" s="7">
        <v>538.4</v>
      </c>
      <c r="K4867" s="7">
        <v>617.5</v>
      </c>
      <c r="L4867" s="7">
        <v>412.4</v>
      </c>
      <c r="M4867" s="7">
        <v>289.5</v>
      </c>
      <c r="N4867" s="7">
        <v>216.5</v>
      </c>
      <c r="O4867" s="7">
        <v>199.7</v>
      </c>
      <c r="P4867" s="7">
        <v>439.7</v>
      </c>
      <c r="Q4867" s="7">
        <v>405.6</v>
      </c>
      <c r="R4867" s="7">
        <v>276.7</v>
      </c>
      <c r="S4867" s="7">
        <v>256.10000000000002</v>
      </c>
    </row>
    <row r="4868" spans="1:19" x14ac:dyDescent="0.2">
      <c r="A4868">
        <v>4867</v>
      </c>
      <c r="B4868" s="1">
        <v>40865</v>
      </c>
      <c r="C4868" t="s">
        <v>24</v>
      </c>
      <c r="D4868" s="7">
        <v>126</v>
      </c>
      <c r="E4868" s="7">
        <v>19</v>
      </c>
      <c r="F4868" s="7">
        <f t="shared" si="76"/>
        <v>6</v>
      </c>
      <c r="G4868" s="7" t="str">
        <f>LOOKUP(H4868,[1]startdates!$A$2:$A$10,[1]startdates!$B$2:$B$10)</f>
        <v>C</v>
      </c>
      <c r="H4868">
        <v>3</v>
      </c>
      <c r="I4868" s="7">
        <v>565.79999999999995</v>
      </c>
      <c r="K4868" s="7">
        <v>399.8</v>
      </c>
      <c r="L4868" s="7">
        <v>412.9</v>
      </c>
      <c r="M4868" s="7">
        <v>313.5</v>
      </c>
      <c r="N4868" s="7">
        <v>214.4</v>
      </c>
      <c r="O4868" s="7">
        <v>143.4</v>
      </c>
      <c r="R4868" s="7">
        <v>258.10000000000002</v>
      </c>
    </row>
    <row r="4869" spans="1:19" x14ac:dyDescent="0.2">
      <c r="A4869">
        <v>4868</v>
      </c>
      <c r="B4869" s="1">
        <v>40865</v>
      </c>
      <c r="C4869" t="s">
        <v>24</v>
      </c>
      <c r="D4869" s="7">
        <v>126</v>
      </c>
      <c r="E4869" s="7">
        <v>19</v>
      </c>
      <c r="F4869" s="7">
        <f t="shared" si="76"/>
        <v>6</v>
      </c>
      <c r="G4869" s="7" t="str">
        <f>LOOKUP(H4869,[1]startdates!$A$2:$A$10,[1]startdates!$B$2:$B$10)</f>
        <v>C</v>
      </c>
      <c r="H4869">
        <v>3</v>
      </c>
      <c r="I4869" s="7">
        <v>588.5</v>
      </c>
      <c r="K4869" s="7">
        <v>611.79999999999995</v>
      </c>
      <c r="M4869" s="7">
        <v>308.10000000000002</v>
      </c>
      <c r="N4869" s="7">
        <v>256.39999999999998</v>
      </c>
      <c r="O4869" s="7">
        <v>149.5</v>
      </c>
    </row>
    <row r="4870" spans="1:19" x14ac:dyDescent="0.2">
      <c r="A4870">
        <v>4869</v>
      </c>
      <c r="B4870" s="1">
        <v>40865</v>
      </c>
      <c r="C4870" t="s">
        <v>24</v>
      </c>
      <c r="D4870" s="7">
        <v>126</v>
      </c>
      <c r="E4870" s="7">
        <v>19</v>
      </c>
      <c r="F4870" s="7">
        <f t="shared" si="76"/>
        <v>6</v>
      </c>
      <c r="G4870" s="7" t="str">
        <f>LOOKUP(H4870,[1]startdates!$A$2:$A$10,[1]startdates!$B$2:$B$10)</f>
        <v>C</v>
      </c>
      <c r="H4870">
        <v>3</v>
      </c>
      <c r="I4870" s="7">
        <v>637.20000000000005</v>
      </c>
      <c r="K4870" s="7">
        <v>585.1</v>
      </c>
      <c r="M4870" s="7">
        <v>302.39999999999998</v>
      </c>
      <c r="N4870" s="7">
        <v>232</v>
      </c>
      <c r="O4870" s="7">
        <v>166.7</v>
      </c>
    </row>
    <row r="4871" spans="1:19" x14ac:dyDescent="0.2">
      <c r="A4871">
        <v>4870</v>
      </c>
      <c r="B4871" s="1">
        <v>40865</v>
      </c>
      <c r="C4871" t="s">
        <v>24</v>
      </c>
      <c r="D4871" s="7">
        <v>126</v>
      </c>
      <c r="E4871" s="7">
        <v>19</v>
      </c>
      <c r="F4871" s="7">
        <f t="shared" si="76"/>
        <v>6</v>
      </c>
      <c r="G4871" s="7" t="str">
        <f>LOOKUP(H4871,[1]startdates!$A$2:$A$10,[1]startdates!$B$2:$B$10)</f>
        <v>C</v>
      </c>
      <c r="H4871">
        <v>3</v>
      </c>
      <c r="I4871" s="7">
        <v>610</v>
      </c>
      <c r="K4871" s="7">
        <v>463.7</v>
      </c>
      <c r="M4871" s="7">
        <v>323.5</v>
      </c>
      <c r="N4871" s="7">
        <v>243.4</v>
      </c>
      <c r="O4871" s="7">
        <v>174.9</v>
      </c>
    </row>
    <row r="4872" spans="1:19" x14ac:dyDescent="0.2">
      <c r="A4872">
        <v>4871</v>
      </c>
      <c r="B4872" s="1">
        <v>40865</v>
      </c>
      <c r="C4872" t="s">
        <v>24</v>
      </c>
      <c r="D4872" s="7">
        <v>126</v>
      </c>
      <c r="E4872" s="7">
        <v>19</v>
      </c>
      <c r="F4872" s="7">
        <f t="shared" si="76"/>
        <v>6</v>
      </c>
      <c r="G4872" s="7" t="str">
        <f>LOOKUP(H4872,[1]startdates!$A$2:$A$10,[1]startdates!$B$2:$B$10)</f>
        <v>C</v>
      </c>
      <c r="H4872">
        <v>3</v>
      </c>
      <c r="K4872" s="7">
        <v>396.3</v>
      </c>
      <c r="M4872" s="7">
        <v>333</v>
      </c>
      <c r="N4872" s="7">
        <v>202.5</v>
      </c>
      <c r="O4872" s="7">
        <v>169.4</v>
      </c>
    </row>
    <row r="4873" spans="1:19" x14ac:dyDescent="0.2">
      <c r="A4873">
        <v>4872</v>
      </c>
      <c r="B4873" s="1">
        <v>40865</v>
      </c>
      <c r="C4873" t="s">
        <v>24</v>
      </c>
      <c r="D4873" s="7">
        <v>126</v>
      </c>
      <c r="E4873" s="7">
        <v>19</v>
      </c>
      <c r="F4873" s="7">
        <f t="shared" si="76"/>
        <v>6</v>
      </c>
      <c r="G4873" s="7" t="str">
        <f>LOOKUP(H4873,[1]startdates!$A$2:$A$10,[1]startdates!$B$2:$B$10)</f>
        <v>C</v>
      </c>
      <c r="H4873">
        <v>3</v>
      </c>
      <c r="K4873" s="7">
        <v>414.6</v>
      </c>
      <c r="M4873" s="7">
        <v>255.3</v>
      </c>
      <c r="N4873" s="7">
        <v>252.9</v>
      </c>
      <c r="O4873" s="7">
        <v>162.69999999999999</v>
      </c>
    </row>
    <row r="4874" spans="1:19" x14ac:dyDescent="0.2">
      <c r="A4874">
        <v>4873</v>
      </c>
      <c r="B4874" s="1">
        <v>40865</v>
      </c>
      <c r="C4874" t="s">
        <v>24</v>
      </c>
      <c r="D4874" s="7">
        <v>126</v>
      </c>
      <c r="E4874" s="7">
        <v>19</v>
      </c>
      <c r="F4874" s="7">
        <f t="shared" si="76"/>
        <v>6</v>
      </c>
      <c r="G4874" s="7" t="str">
        <f>LOOKUP(H4874,[1]startdates!$A$2:$A$10,[1]startdates!$B$2:$B$10)</f>
        <v>C</v>
      </c>
      <c r="H4874">
        <v>3</v>
      </c>
      <c r="K4874" s="7">
        <v>443.4</v>
      </c>
      <c r="M4874" s="7">
        <v>295</v>
      </c>
      <c r="N4874" s="7">
        <v>196.7</v>
      </c>
      <c r="O4874" s="7">
        <v>173.1</v>
      </c>
    </row>
    <row r="4875" spans="1:19" x14ac:dyDescent="0.2">
      <c r="A4875">
        <v>4874</v>
      </c>
      <c r="B4875" s="1">
        <v>40865</v>
      </c>
      <c r="C4875" t="s">
        <v>24</v>
      </c>
      <c r="D4875" s="7">
        <v>126</v>
      </c>
      <c r="E4875" s="7">
        <v>19</v>
      </c>
      <c r="F4875" s="7">
        <f t="shared" si="76"/>
        <v>6</v>
      </c>
      <c r="G4875" s="7" t="str">
        <f>LOOKUP(H4875,[1]startdates!$A$2:$A$10,[1]startdates!$B$2:$B$10)</f>
        <v>C</v>
      </c>
      <c r="H4875">
        <v>3</v>
      </c>
      <c r="K4875" s="7">
        <v>382.1</v>
      </c>
      <c r="N4875" s="7">
        <v>227.3</v>
      </c>
      <c r="O4875" s="7">
        <v>180.1</v>
      </c>
    </row>
    <row r="4876" spans="1:19" x14ac:dyDescent="0.2">
      <c r="A4876">
        <v>4875</v>
      </c>
      <c r="B4876" s="1">
        <v>40865</v>
      </c>
      <c r="C4876" t="s">
        <v>24</v>
      </c>
      <c r="D4876" s="7">
        <v>126</v>
      </c>
      <c r="E4876" s="7">
        <v>19</v>
      </c>
      <c r="F4876" s="7">
        <f t="shared" si="76"/>
        <v>6</v>
      </c>
      <c r="G4876" s="7" t="str">
        <f>LOOKUP(H4876,[1]startdates!$A$2:$A$10,[1]startdates!$B$2:$B$10)</f>
        <v>C</v>
      </c>
      <c r="H4876">
        <v>3</v>
      </c>
      <c r="K4876" s="7">
        <v>503.3</v>
      </c>
      <c r="N4876" s="7">
        <v>195.3</v>
      </c>
      <c r="O4876" s="7">
        <v>174.9</v>
      </c>
    </row>
    <row r="4877" spans="1:19" x14ac:dyDescent="0.2">
      <c r="A4877">
        <v>4876</v>
      </c>
      <c r="B4877" s="1">
        <v>40865</v>
      </c>
      <c r="C4877" t="s">
        <v>24</v>
      </c>
      <c r="D4877" s="7">
        <v>126</v>
      </c>
      <c r="E4877" s="7">
        <v>19</v>
      </c>
      <c r="F4877" s="7">
        <f t="shared" si="76"/>
        <v>6</v>
      </c>
      <c r="G4877" s="7" t="str">
        <f>LOOKUP(H4877,[1]startdates!$A$2:$A$10,[1]startdates!$B$2:$B$10)</f>
        <v>C</v>
      </c>
      <c r="H4877">
        <v>3</v>
      </c>
      <c r="K4877" s="7">
        <v>397.8</v>
      </c>
      <c r="O4877" s="7">
        <v>171</v>
      </c>
    </row>
    <row r="4878" spans="1:19" x14ac:dyDescent="0.2">
      <c r="A4878">
        <v>4877</v>
      </c>
      <c r="B4878" s="1">
        <v>40865</v>
      </c>
      <c r="C4878" t="s">
        <v>24</v>
      </c>
      <c r="D4878" s="7">
        <v>126</v>
      </c>
      <c r="E4878" s="7">
        <v>19</v>
      </c>
      <c r="F4878" s="7">
        <f t="shared" si="76"/>
        <v>6</v>
      </c>
      <c r="G4878" s="7" t="str">
        <f>LOOKUP(H4878,[1]startdates!$A$2:$A$10,[1]startdates!$B$2:$B$10)</f>
        <v>SMr</v>
      </c>
      <c r="H4878">
        <v>4</v>
      </c>
      <c r="I4878" s="7">
        <v>556.79999999999995</v>
      </c>
      <c r="K4878" s="7">
        <v>505.4</v>
      </c>
      <c r="L4878" s="7">
        <v>487.1</v>
      </c>
      <c r="M4878" s="7">
        <v>364.5</v>
      </c>
      <c r="N4878" s="7">
        <v>222.4</v>
      </c>
      <c r="O4878" s="7">
        <v>184.9</v>
      </c>
      <c r="P4878" s="7">
        <v>434.8</v>
      </c>
      <c r="Q4878" s="7">
        <v>365.5</v>
      </c>
      <c r="R4878" s="7">
        <v>257.3</v>
      </c>
    </row>
    <row r="4879" spans="1:19" x14ac:dyDescent="0.2">
      <c r="A4879">
        <v>4878</v>
      </c>
      <c r="B4879" s="1">
        <v>40865</v>
      </c>
      <c r="C4879" t="s">
        <v>24</v>
      </c>
      <c r="D4879" s="7">
        <v>126</v>
      </c>
      <c r="E4879" s="7">
        <v>19</v>
      </c>
      <c r="F4879" s="7">
        <f t="shared" si="76"/>
        <v>6</v>
      </c>
      <c r="G4879" s="7" t="str">
        <f>LOOKUP(H4879,[1]startdates!$A$2:$A$10,[1]startdates!$B$2:$B$10)</f>
        <v>SMr</v>
      </c>
      <c r="H4879">
        <v>4</v>
      </c>
      <c r="I4879" s="7">
        <v>562.70000000000005</v>
      </c>
      <c r="K4879" s="7">
        <v>469.1</v>
      </c>
      <c r="L4879" s="7">
        <v>431.5</v>
      </c>
      <c r="M4879" s="7">
        <v>337.8</v>
      </c>
      <c r="N4879" s="7">
        <v>227.7</v>
      </c>
      <c r="O4879" s="7">
        <v>171.3</v>
      </c>
      <c r="P4879" s="7">
        <v>442.2</v>
      </c>
      <c r="Q4879" s="7">
        <v>336</v>
      </c>
    </row>
    <row r="4880" spans="1:19" x14ac:dyDescent="0.2">
      <c r="A4880">
        <v>4879</v>
      </c>
      <c r="B4880" s="1">
        <v>40865</v>
      </c>
      <c r="C4880" t="s">
        <v>24</v>
      </c>
      <c r="D4880" s="7">
        <v>126</v>
      </c>
      <c r="E4880" s="7">
        <v>19</v>
      </c>
      <c r="F4880" s="7">
        <f t="shared" si="76"/>
        <v>6</v>
      </c>
      <c r="G4880" s="7" t="str">
        <f>LOOKUP(H4880,[1]startdates!$A$2:$A$10,[1]startdates!$B$2:$B$10)</f>
        <v>SMr</v>
      </c>
      <c r="H4880">
        <v>4</v>
      </c>
      <c r="I4880" s="7">
        <v>567.70000000000005</v>
      </c>
      <c r="K4880" s="7">
        <v>452.6</v>
      </c>
      <c r="L4880" s="7">
        <v>420.8</v>
      </c>
      <c r="M4880" s="7">
        <v>320.60000000000002</v>
      </c>
      <c r="N4880" s="7">
        <v>203</v>
      </c>
      <c r="O4880" s="7">
        <v>176.8</v>
      </c>
      <c r="P4880" s="7">
        <v>451.8</v>
      </c>
    </row>
    <row r="4881" spans="1:18" x14ac:dyDescent="0.2">
      <c r="A4881">
        <v>4880</v>
      </c>
      <c r="B4881" s="1">
        <v>40865</v>
      </c>
      <c r="C4881" t="s">
        <v>24</v>
      </c>
      <c r="D4881" s="7">
        <v>126</v>
      </c>
      <c r="E4881" s="7">
        <v>19</v>
      </c>
      <c r="F4881" s="7">
        <f t="shared" si="76"/>
        <v>6</v>
      </c>
      <c r="G4881" s="7" t="str">
        <f>LOOKUP(H4881,[1]startdates!$A$2:$A$10,[1]startdates!$B$2:$B$10)</f>
        <v>SMr</v>
      </c>
      <c r="H4881">
        <v>4</v>
      </c>
      <c r="I4881" s="7">
        <v>565.9</v>
      </c>
      <c r="K4881" s="7">
        <v>348.8</v>
      </c>
      <c r="L4881" s="7">
        <v>410.5</v>
      </c>
      <c r="M4881" s="7">
        <v>288.8</v>
      </c>
      <c r="N4881" s="7">
        <v>238</v>
      </c>
      <c r="O4881" s="7">
        <v>160</v>
      </c>
      <c r="P4881" s="7">
        <v>427.5</v>
      </c>
    </row>
    <row r="4882" spans="1:18" x14ac:dyDescent="0.2">
      <c r="A4882">
        <v>4881</v>
      </c>
      <c r="B4882" s="1">
        <v>40865</v>
      </c>
      <c r="C4882" t="s">
        <v>24</v>
      </c>
      <c r="D4882" s="7">
        <v>126</v>
      </c>
      <c r="E4882" s="7">
        <v>19</v>
      </c>
      <c r="F4882" s="7">
        <f t="shared" si="76"/>
        <v>6</v>
      </c>
      <c r="G4882" s="7" t="str">
        <f>LOOKUP(H4882,[1]startdates!$A$2:$A$10,[1]startdates!$B$2:$B$10)</f>
        <v>SMr</v>
      </c>
      <c r="H4882">
        <v>4</v>
      </c>
      <c r="I4882" s="7">
        <v>551.70000000000005</v>
      </c>
      <c r="K4882" s="7">
        <v>402</v>
      </c>
      <c r="M4882" s="7">
        <v>347</v>
      </c>
      <c r="N4882" s="7">
        <v>233.9</v>
      </c>
      <c r="O4882" s="7">
        <v>200.5</v>
      </c>
      <c r="P4882" s="7">
        <v>425.2</v>
      </c>
    </row>
    <row r="4883" spans="1:18" x14ac:dyDescent="0.2">
      <c r="A4883">
        <v>4882</v>
      </c>
      <c r="B4883" s="1">
        <v>40865</v>
      </c>
      <c r="C4883" t="s">
        <v>24</v>
      </c>
      <c r="D4883" s="7">
        <v>126</v>
      </c>
      <c r="E4883" s="7">
        <v>19</v>
      </c>
      <c r="F4883" s="7">
        <f t="shared" si="76"/>
        <v>6</v>
      </c>
      <c r="G4883" s="7" t="str">
        <f>LOOKUP(H4883,[1]startdates!$A$2:$A$10,[1]startdates!$B$2:$B$10)</f>
        <v>SMr</v>
      </c>
      <c r="H4883">
        <v>4</v>
      </c>
      <c r="I4883" s="7">
        <v>578.6</v>
      </c>
      <c r="K4883" s="7">
        <v>430.1</v>
      </c>
      <c r="M4883" s="7">
        <v>325.39999999999998</v>
      </c>
      <c r="N4883" s="7">
        <v>202.5</v>
      </c>
      <c r="O4883" s="7">
        <v>166.5</v>
      </c>
    </row>
    <row r="4884" spans="1:18" x14ac:dyDescent="0.2">
      <c r="A4884">
        <v>4883</v>
      </c>
      <c r="B4884" s="1">
        <v>40865</v>
      </c>
      <c r="C4884" t="s">
        <v>24</v>
      </c>
      <c r="D4884" s="7">
        <v>126</v>
      </c>
      <c r="E4884" s="7">
        <v>19</v>
      </c>
      <c r="F4884" s="7">
        <f t="shared" si="76"/>
        <v>6</v>
      </c>
      <c r="G4884" s="7" t="str">
        <f>LOOKUP(H4884,[1]startdates!$A$2:$A$10,[1]startdates!$B$2:$B$10)</f>
        <v>SMr</v>
      </c>
      <c r="H4884">
        <v>4</v>
      </c>
      <c r="I4884" s="7">
        <v>508.8</v>
      </c>
      <c r="K4884" s="7">
        <v>339</v>
      </c>
      <c r="M4884" s="7">
        <v>337.5</v>
      </c>
      <c r="N4884" s="7">
        <v>206.3</v>
      </c>
      <c r="O4884" s="7">
        <v>160</v>
      </c>
    </row>
    <row r="4885" spans="1:18" x14ac:dyDescent="0.2">
      <c r="A4885">
        <v>4884</v>
      </c>
      <c r="B4885" s="1">
        <v>40865</v>
      </c>
      <c r="C4885" t="s">
        <v>24</v>
      </c>
      <c r="D4885" s="7">
        <v>126</v>
      </c>
      <c r="E4885" s="7">
        <v>19</v>
      </c>
      <c r="F4885" s="7">
        <f t="shared" si="76"/>
        <v>6</v>
      </c>
      <c r="G4885" s="7" t="str">
        <f>LOOKUP(H4885,[1]startdates!$A$2:$A$10,[1]startdates!$B$2:$B$10)</f>
        <v>SMr</v>
      </c>
      <c r="H4885">
        <v>4</v>
      </c>
      <c r="I4885" s="7">
        <v>561.70000000000005</v>
      </c>
      <c r="M4885" s="7">
        <v>334.3</v>
      </c>
      <c r="N4885" s="7">
        <v>230</v>
      </c>
      <c r="O4885" s="7">
        <v>178.2</v>
      </c>
    </row>
    <row r="4886" spans="1:18" x14ac:dyDescent="0.2">
      <c r="A4886">
        <v>4885</v>
      </c>
      <c r="B4886" s="1">
        <v>40865</v>
      </c>
      <c r="C4886" t="s">
        <v>24</v>
      </c>
      <c r="D4886" s="7">
        <v>126</v>
      </c>
      <c r="E4886" s="7">
        <v>19</v>
      </c>
      <c r="F4886" s="7">
        <f t="shared" si="76"/>
        <v>6</v>
      </c>
      <c r="G4886" s="7" t="str">
        <f>LOOKUP(H4886,[1]startdates!$A$2:$A$10,[1]startdates!$B$2:$B$10)</f>
        <v>SMr</v>
      </c>
      <c r="H4886">
        <v>4</v>
      </c>
      <c r="I4886" s="7">
        <v>506</v>
      </c>
      <c r="N4886" s="7">
        <v>229.4</v>
      </c>
      <c r="O4886" s="7">
        <v>171.3</v>
      </c>
    </row>
    <row r="4887" spans="1:18" x14ac:dyDescent="0.2">
      <c r="A4887">
        <v>4886</v>
      </c>
      <c r="B4887" s="1">
        <v>40865</v>
      </c>
      <c r="C4887" t="s">
        <v>24</v>
      </c>
      <c r="D4887" s="7">
        <v>126</v>
      </c>
      <c r="E4887" s="7">
        <v>19</v>
      </c>
      <c r="F4887" s="7">
        <f t="shared" si="76"/>
        <v>6</v>
      </c>
      <c r="G4887" s="7" t="str">
        <f>LOOKUP(H4887,[1]startdates!$A$2:$A$10,[1]startdates!$B$2:$B$10)</f>
        <v>SMr</v>
      </c>
      <c r="H4887">
        <v>4</v>
      </c>
      <c r="I4887" s="7">
        <v>606.79999999999995</v>
      </c>
      <c r="N4887" s="7">
        <v>204.1</v>
      </c>
      <c r="O4887" s="7">
        <v>148.4</v>
      </c>
    </row>
    <row r="4888" spans="1:18" x14ac:dyDescent="0.2">
      <c r="A4888">
        <v>4887</v>
      </c>
      <c r="B4888" s="1">
        <v>40865</v>
      </c>
      <c r="C4888" t="s">
        <v>24</v>
      </c>
      <c r="D4888" s="7">
        <v>126</v>
      </c>
      <c r="E4888" s="7">
        <v>19</v>
      </c>
      <c r="F4888" s="7">
        <f t="shared" si="76"/>
        <v>6</v>
      </c>
      <c r="G4888" s="7" t="str">
        <f>LOOKUP(H4888,[1]startdates!$A$2:$A$10,[1]startdates!$B$2:$B$10)</f>
        <v>SMr</v>
      </c>
      <c r="H4888">
        <v>4</v>
      </c>
      <c r="N4888" s="7">
        <v>194.7</v>
      </c>
      <c r="O4888" s="7">
        <v>171.3</v>
      </c>
    </row>
    <row r="4889" spans="1:18" x14ac:dyDescent="0.2">
      <c r="A4889">
        <v>4888</v>
      </c>
      <c r="B4889" s="1">
        <v>40865</v>
      </c>
      <c r="C4889" t="s">
        <v>24</v>
      </c>
      <c r="D4889" s="7">
        <v>126</v>
      </c>
      <c r="E4889" s="7">
        <v>19</v>
      </c>
      <c r="F4889" s="7">
        <f t="shared" si="76"/>
        <v>6</v>
      </c>
      <c r="G4889" s="7" t="str">
        <f>LOOKUP(H4889,[1]startdates!$A$2:$A$10,[1]startdates!$B$2:$B$10)</f>
        <v>SMr</v>
      </c>
      <c r="H4889">
        <v>4</v>
      </c>
      <c r="N4889" s="7">
        <v>249.4</v>
      </c>
      <c r="O4889" s="7">
        <v>180.6</v>
      </c>
    </row>
    <row r="4890" spans="1:18" x14ac:dyDescent="0.2">
      <c r="A4890">
        <v>4889</v>
      </c>
      <c r="B4890" s="1">
        <v>40865</v>
      </c>
      <c r="C4890" t="s">
        <v>24</v>
      </c>
      <c r="D4890" s="7">
        <v>126</v>
      </c>
      <c r="E4890" s="7">
        <v>19</v>
      </c>
      <c r="F4890" s="7">
        <f t="shared" si="76"/>
        <v>6</v>
      </c>
      <c r="G4890" s="7" t="str">
        <f>LOOKUP(H4890,[1]startdates!$A$2:$A$10,[1]startdates!$B$2:$B$10)</f>
        <v>SMr</v>
      </c>
      <c r="H4890">
        <v>4</v>
      </c>
      <c r="O4890" s="7">
        <v>195.2</v>
      </c>
    </row>
    <row r="4891" spans="1:18" x14ac:dyDescent="0.2">
      <c r="A4891">
        <v>4890</v>
      </c>
      <c r="B4891" s="1">
        <v>40865</v>
      </c>
      <c r="C4891" t="s">
        <v>24</v>
      </c>
      <c r="D4891" s="7">
        <v>126</v>
      </c>
      <c r="E4891" s="7">
        <v>19</v>
      </c>
      <c r="F4891" s="7">
        <f t="shared" si="76"/>
        <v>6</v>
      </c>
      <c r="G4891" s="7" t="str">
        <f>LOOKUP(H4891,[1]startdates!$A$2:$A$10,[1]startdates!$B$2:$B$10)</f>
        <v>C</v>
      </c>
      <c r="H4891">
        <v>5</v>
      </c>
      <c r="I4891" s="7">
        <v>507.7</v>
      </c>
      <c r="J4891" s="7">
        <v>537.6</v>
      </c>
      <c r="K4891" s="7">
        <v>561.20000000000005</v>
      </c>
      <c r="L4891" s="7">
        <v>408.7</v>
      </c>
      <c r="M4891" s="7">
        <v>365.4</v>
      </c>
      <c r="N4891" s="7">
        <v>208.4</v>
      </c>
      <c r="O4891" s="7">
        <v>186.1</v>
      </c>
      <c r="P4891" s="7">
        <v>451.8</v>
      </c>
      <c r="Q4891" s="7">
        <v>395.6</v>
      </c>
      <c r="R4891" s="7">
        <v>251.3</v>
      </c>
    </row>
    <row r="4892" spans="1:18" x14ac:dyDescent="0.2">
      <c r="A4892">
        <v>4891</v>
      </c>
      <c r="B4892" s="1">
        <v>40865</v>
      </c>
      <c r="C4892" t="s">
        <v>24</v>
      </c>
      <c r="D4892" s="7">
        <v>126</v>
      </c>
      <c r="E4892" s="7">
        <v>19</v>
      </c>
      <c r="F4892" s="7">
        <f t="shared" si="76"/>
        <v>6</v>
      </c>
      <c r="G4892" s="7" t="str">
        <f>LOOKUP(H4892,[1]startdates!$A$2:$A$10,[1]startdates!$B$2:$B$10)</f>
        <v>C</v>
      </c>
      <c r="H4892">
        <v>5</v>
      </c>
      <c r="I4892" s="7">
        <v>521.1</v>
      </c>
      <c r="J4892" s="7">
        <v>491.5</v>
      </c>
      <c r="K4892" s="7">
        <v>474.8</v>
      </c>
      <c r="L4892" s="7">
        <v>377.7</v>
      </c>
      <c r="M4892" s="7">
        <v>305.89999999999998</v>
      </c>
      <c r="N4892" s="7">
        <v>227.9</v>
      </c>
      <c r="O4892" s="7">
        <v>196.1</v>
      </c>
      <c r="P4892" s="7">
        <v>528.5</v>
      </c>
      <c r="Q4892" s="7">
        <v>375.5</v>
      </c>
      <c r="R4892" s="7">
        <v>258</v>
      </c>
    </row>
    <row r="4893" spans="1:18" x14ac:dyDescent="0.2">
      <c r="A4893">
        <v>4892</v>
      </c>
      <c r="B4893" s="1">
        <v>40865</v>
      </c>
      <c r="C4893" t="s">
        <v>24</v>
      </c>
      <c r="D4893" s="7">
        <v>126</v>
      </c>
      <c r="E4893" s="7">
        <v>19</v>
      </c>
      <c r="F4893" s="7">
        <f t="shared" si="76"/>
        <v>6</v>
      </c>
      <c r="G4893" s="7" t="str">
        <f>LOOKUP(H4893,[1]startdates!$A$2:$A$10,[1]startdates!$B$2:$B$10)</f>
        <v>C</v>
      </c>
      <c r="H4893">
        <v>5</v>
      </c>
      <c r="I4893" s="7">
        <v>657.7</v>
      </c>
      <c r="K4893" s="7">
        <v>463.7</v>
      </c>
      <c r="L4893" s="7">
        <v>411.9</v>
      </c>
      <c r="M4893" s="7">
        <v>333.9</v>
      </c>
      <c r="N4893" s="7">
        <v>185.9</v>
      </c>
      <c r="O4893" s="7">
        <v>188.3</v>
      </c>
      <c r="P4893" s="7">
        <v>441.9</v>
      </c>
      <c r="Q4893" s="7">
        <v>363.8</v>
      </c>
      <c r="R4893" s="7">
        <v>260.8</v>
      </c>
    </row>
    <row r="4894" spans="1:18" x14ac:dyDescent="0.2">
      <c r="A4894">
        <v>4893</v>
      </c>
      <c r="B4894" s="1">
        <v>40865</v>
      </c>
      <c r="C4894" t="s">
        <v>24</v>
      </c>
      <c r="D4894" s="7">
        <v>126</v>
      </c>
      <c r="E4894" s="7">
        <v>19</v>
      </c>
      <c r="F4894" s="7">
        <f t="shared" si="76"/>
        <v>6</v>
      </c>
      <c r="G4894" s="7" t="str">
        <f>LOOKUP(H4894,[1]startdates!$A$2:$A$10,[1]startdates!$B$2:$B$10)</f>
        <v>C</v>
      </c>
      <c r="H4894">
        <v>5</v>
      </c>
      <c r="I4894" s="7">
        <v>627.79999999999995</v>
      </c>
      <c r="K4894" s="7">
        <v>462.6</v>
      </c>
      <c r="L4894" s="7">
        <v>439.5</v>
      </c>
      <c r="M4894" s="7">
        <v>268</v>
      </c>
      <c r="N4894" s="7">
        <v>217.6</v>
      </c>
      <c r="O4894" s="7">
        <v>180.5</v>
      </c>
      <c r="R4894" s="7">
        <v>227.3</v>
      </c>
    </row>
    <row r="4895" spans="1:18" x14ac:dyDescent="0.2">
      <c r="A4895">
        <v>4894</v>
      </c>
      <c r="B4895" s="1">
        <v>40865</v>
      </c>
      <c r="C4895" t="s">
        <v>24</v>
      </c>
      <c r="D4895" s="7">
        <v>126</v>
      </c>
      <c r="E4895" s="7">
        <v>19</v>
      </c>
      <c r="F4895" s="7">
        <f t="shared" si="76"/>
        <v>6</v>
      </c>
      <c r="G4895" s="7" t="str">
        <f>LOOKUP(H4895,[1]startdates!$A$2:$A$10,[1]startdates!$B$2:$B$10)</f>
        <v>C</v>
      </c>
      <c r="H4895">
        <v>5</v>
      </c>
      <c r="I4895" s="7">
        <v>654.9</v>
      </c>
      <c r="K4895" s="7">
        <v>522.29999999999995</v>
      </c>
      <c r="M4895" s="7">
        <v>294.5</v>
      </c>
      <c r="N4895" s="7">
        <v>202</v>
      </c>
      <c r="O4895" s="7">
        <v>171.8</v>
      </c>
      <c r="R4895" s="7">
        <v>256.39999999999998</v>
      </c>
    </row>
    <row r="4896" spans="1:18" x14ac:dyDescent="0.2">
      <c r="A4896">
        <v>4895</v>
      </c>
      <c r="B4896" s="1">
        <v>40865</v>
      </c>
      <c r="C4896" t="s">
        <v>24</v>
      </c>
      <c r="D4896" s="7">
        <v>126</v>
      </c>
      <c r="E4896" s="7">
        <v>19</v>
      </c>
      <c r="F4896" s="7">
        <f t="shared" si="76"/>
        <v>6</v>
      </c>
      <c r="G4896" s="7" t="str">
        <f>LOOKUP(H4896,[1]startdates!$A$2:$A$10,[1]startdates!$B$2:$B$10)</f>
        <v>C</v>
      </c>
      <c r="H4896">
        <v>5</v>
      </c>
      <c r="I4896" s="7">
        <v>566.4</v>
      </c>
      <c r="K4896" s="7">
        <v>378.5</v>
      </c>
      <c r="M4896" s="7">
        <v>265.7</v>
      </c>
      <c r="N4896" s="7">
        <v>213.6</v>
      </c>
      <c r="O4896" s="7">
        <v>148</v>
      </c>
      <c r="R4896" s="7">
        <v>257.7</v>
      </c>
    </row>
    <row r="4897" spans="1:19" x14ac:dyDescent="0.2">
      <c r="A4897">
        <v>4896</v>
      </c>
      <c r="B4897" s="1">
        <v>40865</v>
      </c>
      <c r="C4897" t="s">
        <v>24</v>
      </c>
      <c r="D4897" s="7">
        <v>126</v>
      </c>
      <c r="E4897" s="7">
        <v>19</v>
      </c>
      <c r="F4897" s="7">
        <f t="shared" si="76"/>
        <v>6</v>
      </c>
      <c r="G4897" s="7" t="str">
        <f>LOOKUP(H4897,[1]startdates!$A$2:$A$10,[1]startdates!$B$2:$B$10)</f>
        <v>C</v>
      </c>
      <c r="H4897">
        <v>5</v>
      </c>
      <c r="I4897" s="7">
        <v>698.3</v>
      </c>
      <c r="M4897" s="7">
        <v>258.60000000000002</v>
      </c>
      <c r="N4897" s="7">
        <v>226.1</v>
      </c>
      <c r="O4897" s="7">
        <v>140.30000000000001</v>
      </c>
      <c r="R4897" s="7">
        <v>271.5</v>
      </c>
    </row>
    <row r="4898" spans="1:19" x14ac:dyDescent="0.2">
      <c r="A4898">
        <v>4897</v>
      </c>
      <c r="B4898" s="1">
        <v>40865</v>
      </c>
      <c r="C4898" t="s">
        <v>24</v>
      </c>
      <c r="D4898" s="7">
        <v>126</v>
      </c>
      <c r="E4898" s="7">
        <v>19</v>
      </c>
      <c r="F4898" s="7">
        <f t="shared" si="76"/>
        <v>6</v>
      </c>
      <c r="G4898" s="7" t="str">
        <f>LOOKUP(H4898,[1]startdates!$A$2:$A$10,[1]startdates!$B$2:$B$10)</f>
        <v>C</v>
      </c>
      <c r="H4898">
        <v>5</v>
      </c>
      <c r="I4898" s="7">
        <v>612.9</v>
      </c>
      <c r="M4898" s="7">
        <v>282.39999999999998</v>
      </c>
      <c r="N4898" s="7">
        <v>185</v>
      </c>
      <c r="O4898" s="7">
        <v>199.1</v>
      </c>
      <c r="R4898" s="7">
        <v>227.1</v>
      </c>
    </row>
    <row r="4899" spans="1:19" x14ac:dyDescent="0.2">
      <c r="A4899">
        <v>4898</v>
      </c>
      <c r="B4899" s="1">
        <v>40865</v>
      </c>
      <c r="C4899" t="s">
        <v>24</v>
      </c>
      <c r="D4899" s="7">
        <v>126</v>
      </c>
      <c r="E4899" s="7">
        <v>19</v>
      </c>
      <c r="F4899" s="7">
        <f t="shared" si="76"/>
        <v>6</v>
      </c>
      <c r="G4899" s="7" t="str">
        <f>LOOKUP(H4899,[1]startdates!$A$2:$A$10,[1]startdates!$B$2:$B$10)</f>
        <v>C</v>
      </c>
      <c r="H4899">
        <v>5</v>
      </c>
      <c r="I4899" s="7">
        <v>551</v>
      </c>
      <c r="M4899" s="7">
        <v>300.5</v>
      </c>
      <c r="N4899" s="7">
        <v>237</v>
      </c>
      <c r="O4899" s="7">
        <v>161.5</v>
      </c>
      <c r="R4899" s="7">
        <v>302.2</v>
      </c>
    </row>
    <row r="4900" spans="1:19" x14ac:dyDescent="0.2">
      <c r="A4900">
        <v>4899</v>
      </c>
      <c r="B4900" s="1">
        <v>40865</v>
      </c>
      <c r="C4900" t="s">
        <v>24</v>
      </c>
      <c r="D4900" s="7">
        <v>126</v>
      </c>
      <c r="E4900" s="7">
        <v>19</v>
      </c>
      <c r="F4900" s="7">
        <f t="shared" si="76"/>
        <v>6</v>
      </c>
      <c r="G4900" s="7" t="str">
        <f>LOOKUP(H4900,[1]startdates!$A$2:$A$10,[1]startdates!$B$2:$B$10)</f>
        <v>C</v>
      </c>
      <c r="H4900">
        <v>5</v>
      </c>
      <c r="I4900" s="7">
        <v>706.1</v>
      </c>
      <c r="M4900" s="7">
        <v>288.60000000000002</v>
      </c>
      <c r="N4900" s="7">
        <v>249.4</v>
      </c>
      <c r="O4900" s="7">
        <v>181.2</v>
      </c>
    </row>
    <row r="4901" spans="1:19" x14ac:dyDescent="0.2">
      <c r="A4901">
        <v>4900</v>
      </c>
      <c r="B4901" s="1">
        <v>40865</v>
      </c>
      <c r="C4901" t="s">
        <v>24</v>
      </c>
      <c r="D4901" s="7">
        <v>126</v>
      </c>
      <c r="E4901" s="7">
        <v>19</v>
      </c>
      <c r="F4901" s="7">
        <f t="shared" si="76"/>
        <v>6</v>
      </c>
      <c r="G4901" s="7" t="str">
        <f>LOOKUP(H4901,[1]startdates!$A$2:$A$10,[1]startdates!$B$2:$B$10)</f>
        <v>C</v>
      </c>
      <c r="H4901">
        <v>5</v>
      </c>
      <c r="M4901" s="7">
        <v>253.3</v>
      </c>
      <c r="O4901" s="7">
        <v>177.1</v>
      </c>
    </row>
    <row r="4902" spans="1:19" x14ac:dyDescent="0.2">
      <c r="A4902">
        <v>4901</v>
      </c>
      <c r="B4902" s="1">
        <v>40865</v>
      </c>
      <c r="C4902" t="s">
        <v>24</v>
      </c>
      <c r="D4902" s="7">
        <v>126</v>
      </c>
      <c r="E4902" s="7">
        <v>19</v>
      </c>
      <c r="F4902" s="7">
        <f t="shared" si="76"/>
        <v>6</v>
      </c>
      <c r="G4902" s="7" t="str">
        <f>LOOKUP(H4902,[1]startdates!$A$2:$A$10,[1]startdates!$B$2:$B$10)</f>
        <v>C</v>
      </c>
      <c r="H4902">
        <v>5</v>
      </c>
      <c r="M4902" s="7">
        <v>271.2</v>
      </c>
      <c r="O4902" s="7">
        <v>176</v>
      </c>
    </row>
    <row r="4903" spans="1:19" x14ac:dyDescent="0.2">
      <c r="A4903">
        <v>4902</v>
      </c>
      <c r="B4903" s="1">
        <v>40865</v>
      </c>
      <c r="C4903" t="s">
        <v>24</v>
      </c>
      <c r="D4903" s="7">
        <v>126</v>
      </c>
      <c r="E4903" s="7">
        <v>19</v>
      </c>
      <c r="F4903" s="7">
        <f t="shared" si="76"/>
        <v>6</v>
      </c>
      <c r="G4903" s="7" t="str">
        <f>LOOKUP(H4903,[1]startdates!$A$2:$A$10,[1]startdates!$B$2:$B$10)</f>
        <v>C</v>
      </c>
      <c r="H4903">
        <v>5</v>
      </c>
      <c r="O4903" s="7">
        <v>177.1</v>
      </c>
    </row>
    <row r="4904" spans="1:19" x14ac:dyDescent="0.2">
      <c r="A4904">
        <v>4903</v>
      </c>
      <c r="B4904" s="1">
        <v>40865</v>
      </c>
      <c r="C4904" t="s">
        <v>24</v>
      </c>
      <c r="D4904" s="7">
        <v>126</v>
      </c>
      <c r="E4904" s="7">
        <v>19</v>
      </c>
      <c r="F4904" s="7">
        <f t="shared" si="76"/>
        <v>6</v>
      </c>
      <c r="G4904" s="7" t="str">
        <f>LOOKUP(H4904,[1]startdates!$A$2:$A$10,[1]startdates!$B$2:$B$10)</f>
        <v>FMr</v>
      </c>
      <c r="H4904">
        <v>6</v>
      </c>
      <c r="I4904" s="7">
        <v>504.6</v>
      </c>
      <c r="J4904" s="7">
        <v>503.6</v>
      </c>
      <c r="K4904" s="7">
        <v>408.7</v>
      </c>
      <c r="L4904" s="7">
        <v>452.1</v>
      </c>
      <c r="M4904" s="7">
        <v>302.89999999999998</v>
      </c>
      <c r="N4904" s="7">
        <v>232.5</v>
      </c>
      <c r="O4904" s="7">
        <v>169.4</v>
      </c>
      <c r="P4904" s="7">
        <v>443.3</v>
      </c>
      <c r="Q4904" s="7">
        <v>341.6</v>
      </c>
      <c r="R4904" s="7">
        <v>230.7</v>
      </c>
      <c r="S4904" s="7">
        <v>250.1</v>
      </c>
    </row>
    <row r="4905" spans="1:19" x14ac:dyDescent="0.2">
      <c r="A4905">
        <v>4904</v>
      </c>
      <c r="B4905" s="1">
        <v>40865</v>
      </c>
      <c r="C4905" t="s">
        <v>24</v>
      </c>
      <c r="D4905" s="7">
        <v>126</v>
      </c>
      <c r="E4905" s="7">
        <v>19</v>
      </c>
      <c r="F4905" s="7">
        <f t="shared" ref="F4905:F4968" si="77">WEEKDAY(B4905)</f>
        <v>6</v>
      </c>
      <c r="G4905" s="7" t="str">
        <f>LOOKUP(H4905,[1]startdates!$A$2:$A$10,[1]startdates!$B$2:$B$10)</f>
        <v>FMr</v>
      </c>
      <c r="H4905">
        <v>6</v>
      </c>
      <c r="I4905" s="7">
        <v>474.1</v>
      </c>
      <c r="K4905" s="7">
        <v>395.2</v>
      </c>
      <c r="L4905" s="7">
        <v>463.4</v>
      </c>
      <c r="M4905" s="7">
        <v>323.3</v>
      </c>
      <c r="N4905" s="7">
        <v>229.3</v>
      </c>
      <c r="O4905" s="7">
        <v>154.9</v>
      </c>
      <c r="P4905" s="7">
        <v>457.6</v>
      </c>
      <c r="Q4905" s="7">
        <v>375.2</v>
      </c>
      <c r="R4905" s="7">
        <v>252.8</v>
      </c>
    </row>
    <row r="4906" spans="1:19" x14ac:dyDescent="0.2">
      <c r="A4906">
        <v>4905</v>
      </c>
      <c r="B4906" s="1">
        <v>40865</v>
      </c>
      <c r="C4906" t="s">
        <v>24</v>
      </c>
      <c r="D4906" s="7">
        <v>126</v>
      </c>
      <c r="E4906" s="7">
        <v>19</v>
      </c>
      <c r="F4906" s="7">
        <f t="shared" si="77"/>
        <v>6</v>
      </c>
      <c r="G4906" s="7" t="str">
        <f>LOOKUP(H4906,[1]startdates!$A$2:$A$10,[1]startdates!$B$2:$B$10)</f>
        <v>FMr</v>
      </c>
      <c r="H4906">
        <v>6</v>
      </c>
      <c r="I4906" s="7">
        <v>602.79999999999995</v>
      </c>
      <c r="K4906" s="7">
        <v>429.9</v>
      </c>
      <c r="L4906" s="7">
        <v>392.4</v>
      </c>
      <c r="M4906" s="7">
        <v>302.89999999999998</v>
      </c>
      <c r="N4906" s="7">
        <v>222.4</v>
      </c>
      <c r="O4906" s="7">
        <v>151.69999999999999</v>
      </c>
    </row>
    <row r="4907" spans="1:19" x14ac:dyDescent="0.2">
      <c r="A4907">
        <v>4906</v>
      </c>
      <c r="B4907" s="1">
        <v>40865</v>
      </c>
      <c r="C4907" t="s">
        <v>24</v>
      </c>
      <c r="D4907" s="7">
        <v>126</v>
      </c>
      <c r="E4907" s="7">
        <v>19</v>
      </c>
      <c r="F4907" s="7">
        <f t="shared" si="77"/>
        <v>6</v>
      </c>
      <c r="G4907" s="7" t="str">
        <f>LOOKUP(H4907,[1]startdates!$A$2:$A$10,[1]startdates!$B$2:$B$10)</f>
        <v>FMr</v>
      </c>
      <c r="H4907">
        <v>6</v>
      </c>
      <c r="I4907" s="7">
        <v>561.9</v>
      </c>
      <c r="K4907" s="7">
        <v>485.3</v>
      </c>
      <c r="L4907" s="7">
        <v>414</v>
      </c>
      <c r="M4907" s="7">
        <v>289.8</v>
      </c>
      <c r="N4907" s="7">
        <v>199.1</v>
      </c>
      <c r="O4907" s="7">
        <v>167.3</v>
      </c>
    </row>
    <row r="4908" spans="1:19" x14ac:dyDescent="0.2">
      <c r="A4908">
        <v>4907</v>
      </c>
      <c r="B4908" s="1">
        <v>40865</v>
      </c>
      <c r="C4908" t="s">
        <v>24</v>
      </c>
      <c r="D4908" s="7">
        <v>126</v>
      </c>
      <c r="E4908" s="7">
        <v>19</v>
      </c>
      <c r="F4908" s="7">
        <f t="shared" si="77"/>
        <v>6</v>
      </c>
      <c r="G4908" s="7" t="str">
        <f>LOOKUP(H4908,[1]startdates!$A$2:$A$10,[1]startdates!$B$2:$B$10)</f>
        <v>FMr</v>
      </c>
      <c r="H4908">
        <v>6</v>
      </c>
      <c r="I4908" s="7">
        <v>626.6</v>
      </c>
      <c r="K4908" s="7">
        <v>482.8</v>
      </c>
      <c r="L4908" s="7">
        <v>436.4</v>
      </c>
      <c r="M4908" s="7">
        <v>311.89999999999998</v>
      </c>
      <c r="N4908" s="7">
        <v>251.3</v>
      </c>
      <c r="O4908" s="7">
        <v>149.5</v>
      </c>
    </row>
    <row r="4909" spans="1:19" x14ac:dyDescent="0.2">
      <c r="A4909">
        <v>4908</v>
      </c>
      <c r="B4909" s="1">
        <v>40865</v>
      </c>
      <c r="C4909" t="s">
        <v>24</v>
      </c>
      <c r="D4909" s="7">
        <v>126</v>
      </c>
      <c r="E4909" s="7">
        <v>19</v>
      </c>
      <c r="F4909" s="7">
        <f t="shared" si="77"/>
        <v>6</v>
      </c>
      <c r="G4909" s="7" t="str">
        <f>LOOKUP(H4909,[1]startdates!$A$2:$A$10,[1]startdates!$B$2:$B$10)</f>
        <v>FMr</v>
      </c>
      <c r="H4909">
        <v>6</v>
      </c>
      <c r="I4909" s="7">
        <v>571.9</v>
      </c>
      <c r="K4909" s="7">
        <v>395.7</v>
      </c>
      <c r="L4909" s="7">
        <v>395.8</v>
      </c>
      <c r="M4909" s="7">
        <v>349.3</v>
      </c>
      <c r="N4909" s="7">
        <v>199.3</v>
      </c>
      <c r="O4909" s="7">
        <v>187.7</v>
      </c>
    </row>
    <row r="4910" spans="1:19" x14ac:dyDescent="0.2">
      <c r="A4910">
        <v>4909</v>
      </c>
      <c r="B4910" s="1">
        <v>40865</v>
      </c>
      <c r="C4910" t="s">
        <v>24</v>
      </c>
      <c r="D4910" s="7">
        <v>126</v>
      </c>
      <c r="E4910" s="7">
        <v>19</v>
      </c>
      <c r="F4910" s="7">
        <f t="shared" si="77"/>
        <v>6</v>
      </c>
      <c r="G4910" s="7" t="str">
        <f>LOOKUP(H4910,[1]startdates!$A$2:$A$10,[1]startdates!$B$2:$B$10)</f>
        <v>FMr</v>
      </c>
      <c r="H4910">
        <v>6</v>
      </c>
      <c r="I4910" s="7">
        <v>534.79999999999995</v>
      </c>
      <c r="K4910" s="7">
        <v>434.5</v>
      </c>
      <c r="L4910" s="7">
        <v>423.3</v>
      </c>
      <c r="M4910" s="7">
        <v>305.60000000000002</v>
      </c>
      <c r="N4910" s="7">
        <v>188.1</v>
      </c>
      <c r="O4910" s="7">
        <v>190.9</v>
      </c>
    </row>
    <row r="4911" spans="1:19" x14ac:dyDescent="0.2">
      <c r="A4911">
        <v>4910</v>
      </c>
      <c r="B4911" s="1">
        <v>40865</v>
      </c>
      <c r="C4911" t="s">
        <v>24</v>
      </c>
      <c r="D4911" s="7">
        <v>126</v>
      </c>
      <c r="E4911" s="7">
        <v>19</v>
      </c>
      <c r="F4911" s="7">
        <f t="shared" si="77"/>
        <v>6</v>
      </c>
      <c r="G4911" s="7" t="str">
        <f>LOOKUP(H4911,[1]startdates!$A$2:$A$10,[1]startdates!$B$2:$B$10)</f>
        <v>FMr</v>
      </c>
      <c r="H4911">
        <v>6</v>
      </c>
      <c r="I4911" s="7">
        <v>513.4</v>
      </c>
      <c r="K4911" s="7">
        <v>428.9</v>
      </c>
      <c r="M4911" s="7">
        <v>290.89999999999998</v>
      </c>
      <c r="N4911" s="7">
        <v>202.5</v>
      </c>
      <c r="O4911" s="7">
        <v>165.7</v>
      </c>
    </row>
    <row r="4912" spans="1:19" x14ac:dyDescent="0.2">
      <c r="A4912">
        <v>4911</v>
      </c>
      <c r="B4912" s="1">
        <v>40865</v>
      </c>
      <c r="C4912" t="s">
        <v>24</v>
      </c>
      <c r="D4912" s="7">
        <v>126</v>
      </c>
      <c r="E4912" s="7">
        <v>19</v>
      </c>
      <c r="F4912" s="7">
        <f t="shared" si="77"/>
        <v>6</v>
      </c>
      <c r="G4912" s="7" t="str">
        <f>LOOKUP(H4912,[1]startdates!$A$2:$A$10,[1]startdates!$B$2:$B$10)</f>
        <v>FMr</v>
      </c>
      <c r="H4912">
        <v>6</v>
      </c>
      <c r="I4912" s="7">
        <v>558.9</v>
      </c>
      <c r="K4912" s="7">
        <v>424.2</v>
      </c>
      <c r="N4912" s="7">
        <v>214</v>
      </c>
      <c r="O4912" s="7">
        <v>171.5</v>
      </c>
    </row>
    <row r="4913" spans="1:19" x14ac:dyDescent="0.2">
      <c r="A4913">
        <v>4912</v>
      </c>
      <c r="B4913" s="1">
        <v>40865</v>
      </c>
      <c r="C4913" t="s">
        <v>24</v>
      </c>
      <c r="D4913" s="7">
        <v>126</v>
      </c>
      <c r="E4913" s="7">
        <v>19</v>
      </c>
      <c r="F4913" s="7">
        <f t="shared" si="77"/>
        <v>6</v>
      </c>
      <c r="G4913" s="7" t="str">
        <f>LOOKUP(H4913,[1]startdates!$A$2:$A$10,[1]startdates!$B$2:$B$10)</f>
        <v>FMr</v>
      </c>
      <c r="H4913">
        <v>6</v>
      </c>
      <c r="I4913" s="7">
        <v>620.9</v>
      </c>
      <c r="K4913" s="7">
        <v>497.8</v>
      </c>
    </row>
    <row r="4914" spans="1:19" x14ac:dyDescent="0.2">
      <c r="A4914">
        <v>4913</v>
      </c>
      <c r="B4914" s="1">
        <v>40865</v>
      </c>
      <c r="C4914" t="s">
        <v>24</v>
      </c>
      <c r="D4914" s="7">
        <v>126</v>
      </c>
      <c r="E4914" s="7">
        <v>19</v>
      </c>
      <c r="F4914" s="7">
        <f t="shared" si="77"/>
        <v>6</v>
      </c>
      <c r="G4914" s="7" t="str">
        <f>LOOKUP(H4914,[1]startdates!$A$2:$A$10,[1]startdates!$B$2:$B$10)</f>
        <v>FMr</v>
      </c>
      <c r="H4914">
        <v>6</v>
      </c>
      <c r="I4914" s="7">
        <v>501.9</v>
      </c>
    </row>
    <row r="4915" spans="1:19" x14ac:dyDescent="0.2">
      <c r="A4915">
        <v>4914</v>
      </c>
      <c r="B4915" s="1">
        <v>40865</v>
      </c>
      <c r="C4915" t="s">
        <v>28</v>
      </c>
      <c r="D4915" s="7">
        <v>126</v>
      </c>
      <c r="E4915" s="7">
        <v>19</v>
      </c>
      <c r="F4915" s="7">
        <f t="shared" si="77"/>
        <v>6</v>
      </c>
      <c r="G4915" s="7" t="str">
        <f>LOOKUP(H4915,[1]startdates!$A$2:$A$10,[1]startdates!$B$2:$B$10)</f>
        <v>FMr</v>
      </c>
      <c r="H4915">
        <v>7</v>
      </c>
      <c r="I4915" s="7">
        <v>635</v>
      </c>
      <c r="J4915" s="7">
        <v>457.2</v>
      </c>
      <c r="K4915" s="7">
        <v>537.5</v>
      </c>
      <c r="L4915" s="7">
        <v>435.2</v>
      </c>
      <c r="M4915" s="7">
        <v>323.3</v>
      </c>
      <c r="N4915" s="7">
        <v>159</v>
      </c>
      <c r="O4915" s="7">
        <v>155.69999999999999</v>
      </c>
      <c r="P4915" s="7">
        <v>458.5</v>
      </c>
      <c r="Q4915" s="7">
        <v>397.6</v>
      </c>
      <c r="R4915" s="7">
        <v>241.2</v>
      </c>
    </row>
    <row r="4916" spans="1:19" x14ac:dyDescent="0.2">
      <c r="A4916">
        <v>4915</v>
      </c>
      <c r="B4916" s="1">
        <v>40865</v>
      </c>
      <c r="C4916" t="s">
        <v>28</v>
      </c>
      <c r="D4916" s="7">
        <v>126</v>
      </c>
      <c r="E4916" s="7">
        <v>19</v>
      </c>
      <c r="F4916" s="7">
        <f t="shared" si="77"/>
        <v>6</v>
      </c>
      <c r="G4916" s="7" t="str">
        <f>LOOKUP(H4916,[1]startdates!$A$2:$A$10,[1]startdates!$B$2:$B$10)</f>
        <v>FMr</v>
      </c>
      <c r="H4916">
        <v>7</v>
      </c>
      <c r="I4916" s="7">
        <v>549.6</v>
      </c>
      <c r="K4916" s="7">
        <v>474.2</v>
      </c>
      <c r="L4916" s="7">
        <v>447.1</v>
      </c>
      <c r="M4916" s="7">
        <v>372.7</v>
      </c>
      <c r="N4916" s="7">
        <v>232.4</v>
      </c>
      <c r="O4916" s="7">
        <v>192.9</v>
      </c>
      <c r="P4916" s="7">
        <v>465.4</v>
      </c>
      <c r="Q4916" s="7">
        <v>320</v>
      </c>
    </row>
    <row r="4917" spans="1:19" x14ac:dyDescent="0.2">
      <c r="A4917">
        <v>4916</v>
      </c>
      <c r="B4917" s="1">
        <v>40865</v>
      </c>
      <c r="C4917" t="s">
        <v>28</v>
      </c>
      <c r="D4917" s="7">
        <v>126</v>
      </c>
      <c r="E4917" s="7">
        <v>19</v>
      </c>
      <c r="F4917" s="7">
        <f t="shared" si="77"/>
        <v>6</v>
      </c>
      <c r="G4917" s="7" t="str">
        <f>LOOKUP(H4917,[1]startdates!$A$2:$A$10,[1]startdates!$B$2:$B$10)</f>
        <v>FMr</v>
      </c>
      <c r="H4917">
        <v>7</v>
      </c>
      <c r="I4917" s="7">
        <v>506.8</v>
      </c>
      <c r="K4917" s="7">
        <v>609.5</v>
      </c>
      <c r="L4917" s="7">
        <v>459.4</v>
      </c>
      <c r="M4917" s="7">
        <v>326.2</v>
      </c>
      <c r="N4917" s="7">
        <v>195.1</v>
      </c>
      <c r="O4917" s="7">
        <v>158.1</v>
      </c>
      <c r="P4917" s="7">
        <v>450.4</v>
      </c>
      <c r="Q4917" s="7">
        <v>317.7</v>
      </c>
    </row>
    <row r="4918" spans="1:19" x14ac:dyDescent="0.2">
      <c r="A4918">
        <v>4917</v>
      </c>
      <c r="B4918" s="1">
        <v>40865</v>
      </c>
      <c r="C4918" t="s">
        <v>28</v>
      </c>
      <c r="D4918" s="7">
        <v>126</v>
      </c>
      <c r="E4918" s="7">
        <v>19</v>
      </c>
      <c r="F4918" s="7">
        <f t="shared" si="77"/>
        <v>6</v>
      </c>
      <c r="G4918" s="7" t="str">
        <f>LOOKUP(H4918,[1]startdates!$A$2:$A$10,[1]startdates!$B$2:$B$10)</f>
        <v>FMr</v>
      </c>
      <c r="H4918">
        <v>7</v>
      </c>
      <c r="I4918" s="7">
        <v>496.4</v>
      </c>
      <c r="K4918" s="7">
        <v>474.4</v>
      </c>
      <c r="L4918" s="7">
        <v>451.4</v>
      </c>
      <c r="M4918" s="7">
        <v>354.1</v>
      </c>
      <c r="N4918" s="7">
        <v>191</v>
      </c>
      <c r="O4918" s="7">
        <v>173.1</v>
      </c>
      <c r="Q4918" s="7">
        <v>313.5</v>
      </c>
    </row>
    <row r="4919" spans="1:19" x14ac:dyDescent="0.2">
      <c r="A4919">
        <v>4918</v>
      </c>
      <c r="B4919" s="1">
        <v>40865</v>
      </c>
      <c r="C4919" t="s">
        <v>28</v>
      </c>
      <c r="D4919" s="7">
        <v>126</v>
      </c>
      <c r="E4919" s="7">
        <v>19</v>
      </c>
      <c r="F4919" s="7">
        <f t="shared" si="77"/>
        <v>6</v>
      </c>
      <c r="G4919" s="7" t="str">
        <f>LOOKUP(H4919,[1]startdates!$A$2:$A$10,[1]startdates!$B$2:$B$10)</f>
        <v>FMr</v>
      </c>
      <c r="H4919">
        <v>7</v>
      </c>
      <c r="I4919" s="7">
        <v>515.9</v>
      </c>
      <c r="K4919" s="7">
        <v>556.79999999999995</v>
      </c>
      <c r="L4919" s="7">
        <v>397.9</v>
      </c>
      <c r="M4919" s="7">
        <v>309.89999999999998</v>
      </c>
      <c r="N4919" s="7">
        <v>237.1</v>
      </c>
      <c r="O4919" s="7">
        <v>159.30000000000001</v>
      </c>
    </row>
    <row r="4920" spans="1:19" x14ac:dyDescent="0.2">
      <c r="A4920">
        <v>4919</v>
      </c>
      <c r="B4920" s="1">
        <v>40865</v>
      </c>
      <c r="C4920" t="s">
        <v>28</v>
      </c>
      <c r="D4920" s="7">
        <v>126</v>
      </c>
      <c r="E4920" s="7">
        <v>19</v>
      </c>
      <c r="F4920" s="7">
        <f t="shared" si="77"/>
        <v>6</v>
      </c>
      <c r="G4920" s="7" t="str">
        <f>LOOKUP(H4920,[1]startdates!$A$2:$A$10,[1]startdates!$B$2:$B$10)</f>
        <v>FMr</v>
      </c>
      <c r="H4920">
        <v>7</v>
      </c>
      <c r="I4920" s="7">
        <v>554.4</v>
      </c>
      <c r="K4920" s="7">
        <v>498.3</v>
      </c>
      <c r="L4920" s="7">
        <v>406.6</v>
      </c>
      <c r="M4920" s="7">
        <v>348.9</v>
      </c>
      <c r="N4920" s="7">
        <v>254.1</v>
      </c>
      <c r="O4920" s="7">
        <v>164</v>
      </c>
    </row>
    <row r="4921" spans="1:19" x14ac:dyDescent="0.2">
      <c r="A4921">
        <v>4920</v>
      </c>
      <c r="B4921" s="1">
        <v>40865</v>
      </c>
      <c r="C4921" t="s">
        <v>28</v>
      </c>
      <c r="D4921" s="7">
        <v>126</v>
      </c>
      <c r="E4921" s="7">
        <v>19</v>
      </c>
      <c r="F4921" s="7">
        <f t="shared" si="77"/>
        <v>6</v>
      </c>
      <c r="G4921" s="7" t="str">
        <f>LOOKUP(H4921,[1]startdates!$A$2:$A$10,[1]startdates!$B$2:$B$10)</f>
        <v>FMr</v>
      </c>
      <c r="H4921">
        <v>7</v>
      </c>
      <c r="I4921" s="7">
        <v>584.20000000000005</v>
      </c>
      <c r="L4921" s="7">
        <v>463.9</v>
      </c>
      <c r="M4921" s="7">
        <v>316.3</v>
      </c>
      <c r="N4921" s="7">
        <v>244.4</v>
      </c>
      <c r="O4921" s="7">
        <v>183.1</v>
      </c>
    </row>
    <row r="4922" spans="1:19" x14ac:dyDescent="0.2">
      <c r="A4922">
        <v>4921</v>
      </c>
      <c r="B4922" s="1">
        <v>40865</v>
      </c>
      <c r="C4922" t="s">
        <v>28</v>
      </c>
      <c r="D4922" s="7">
        <v>126</v>
      </c>
      <c r="E4922" s="7">
        <v>19</v>
      </c>
      <c r="F4922" s="7">
        <f t="shared" si="77"/>
        <v>6</v>
      </c>
      <c r="G4922" s="7" t="str">
        <f>LOOKUP(H4922,[1]startdates!$A$2:$A$10,[1]startdates!$B$2:$B$10)</f>
        <v>FMr</v>
      </c>
      <c r="H4922">
        <v>7</v>
      </c>
      <c r="I4922" s="7">
        <v>525.29999999999995</v>
      </c>
      <c r="M4922" s="7">
        <v>346.8</v>
      </c>
      <c r="N4922" s="7">
        <v>213.3</v>
      </c>
      <c r="O4922" s="7">
        <v>165.4</v>
      </c>
    </row>
    <row r="4923" spans="1:19" x14ac:dyDescent="0.2">
      <c r="A4923">
        <v>4922</v>
      </c>
      <c r="B4923" s="1">
        <v>40865</v>
      </c>
      <c r="C4923" t="s">
        <v>28</v>
      </c>
      <c r="D4923" s="7">
        <v>126</v>
      </c>
      <c r="E4923" s="7">
        <v>19</v>
      </c>
      <c r="F4923" s="7">
        <f t="shared" si="77"/>
        <v>6</v>
      </c>
      <c r="G4923" s="7" t="str">
        <f>LOOKUP(H4923,[1]startdates!$A$2:$A$10,[1]startdates!$B$2:$B$10)</f>
        <v>FMr</v>
      </c>
      <c r="H4923">
        <v>7</v>
      </c>
      <c r="I4923" s="7">
        <v>604.79999999999995</v>
      </c>
      <c r="M4923" s="7">
        <v>328</v>
      </c>
      <c r="N4923" s="7">
        <v>189.5</v>
      </c>
      <c r="O4923" s="7">
        <v>203.3</v>
      </c>
    </row>
    <row r="4924" spans="1:19" x14ac:dyDescent="0.2">
      <c r="A4924">
        <v>4923</v>
      </c>
      <c r="B4924" s="1">
        <v>40865</v>
      </c>
      <c r="C4924" t="s">
        <v>28</v>
      </c>
      <c r="D4924" s="7">
        <v>126</v>
      </c>
      <c r="E4924" s="7">
        <v>19</v>
      </c>
      <c r="F4924" s="7">
        <f t="shared" si="77"/>
        <v>6</v>
      </c>
      <c r="G4924" s="7" t="str">
        <f>LOOKUP(H4924,[1]startdates!$A$2:$A$10,[1]startdates!$B$2:$B$10)</f>
        <v>FMr</v>
      </c>
      <c r="H4924">
        <v>7</v>
      </c>
      <c r="I4924" s="7">
        <v>609</v>
      </c>
      <c r="M4924" s="7">
        <v>352.2</v>
      </c>
      <c r="N4924" s="7">
        <v>258.5</v>
      </c>
      <c r="O4924" s="7">
        <v>173.3</v>
      </c>
    </row>
    <row r="4925" spans="1:19" x14ac:dyDescent="0.2">
      <c r="A4925">
        <v>4924</v>
      </c>
      <c r="B4925" s="1">
        <v>40865</v>
      </c>
      <c r="C4925" t="s">
        <v>28</v>
      </c>
      <c r="D4925" s="7">
        <v>126</v>
      </c>
      <c r="E4925" s="7">
        <v>19</v>
      </c>
      <c r="F4925" s="7">
        <f t="shared" si="77"/>
        <v>6</v>
      </c>
      <c r="G4925" s="7" t="str">
        <f>LOOKUP(H4925,[1]startdates!$A$2:$A$10,[1]startdates!$B$2:$B$10)</f>
        <v>FMr</v>
      </c>
      <c r="H4925">
        <v>7</v>
      </c>
      <c r="I4925" s="7">
        <v>677.4</v>
      </c>
      <c r="N4925" s="7">
        <v>225.3</v>
      </c>
    </row>
    <row r="4926" spans="1:19" x14ac:dyDescent="0.2">
      <c r="A4926">
        <v>4925</v>
      </c>
      <c r="B4926" s="1">
        <v>40865</v>
      </c>
      <c r="C4926" t="s">
        <v>28</v>
      </c>
      <c r="D4926" s="7">
        <v>126</v>
      </c>
      <c r="E4926" s="7">
        <v>19</v>
      </c>
      <c r="F4926" s="7">
        <f t="shared" si="77"/>
        <v>6</v>
      </c>
      <c r="G4926" s="7" t="str">
        <f>LOOKUP(H4926,[1]startdates!$A$2:$A$10,[1]startdates!$B$2:$B$10)</f>
        <v>FMr</v>
      </c>
      <c r="H4926">
        <v>7</v>
      </c>
      <c r="I4926" s="7">
        <v>542.20000000000005</v>
      </c>
    </row>
    <row r="4927" spans="1:19" x14ac:dyDescent="0.2">
      <c r="A4927">
        <v>4926</v>
      </c>
      <c r="B4927" s="1">
        <v>40865</v>
      </c>
      <c r="C4927" t="s">
        <v>28</v>
      </c>
      <c r="D4927" s="7">
        <v>126</v>
      </c>
      <c r="E4927" s="7">
        <v>19</v>
      </c>
      <c r="F4927" s="7">
        <f t="shared" si="77"/>
        <v>6</v>
      </c>
      <c r="G4927" s="7" t="str">
        <f>LOOKUP(H4927,[1]startdates!$A$2:$A$10,[1]startdates!$B$2:$B$10)</f>
        <v>C</v>
      </c>
      <c r="H4927">
        <v>8</v>
      </c>
      <c r="I4927" s="7">
        <v>693</v>
      </c>
      <c r="J4927" s="7">
        <v>536</v>
      </c>
      <c r="K4927" s="7">
        <v>535.5</v>
      </c>
      <c r="L4927" s="7">
        <v>452.7</v>
      </c>
      <c r="M4927" s="7">
        <v>293.5</v>
      </c>
      <c r="N4927" s="7">
        <v>199.4</v>
      </c>
      <c r="O4927" s="7">
        <v>158.5</v>
      </c>
      <c r="P4927" s="7">
        <v>475</v>
      </c>
      <c r="Q4927" s="7">
        <v>344.8</v>
      </c>
      <c r="R4927" s="7">
        <v>263.3</v>
      </c>
      <c r="S4927" s="7">
        <v>246.5</v>
      </c>
    </row>
    <row r="4928" spans="1:19" x14ac:dyDescent="0.2">
      <c r="A4928">
        <v>4927</v>
      </c>
      <c r="B4928" s="1">
        <v>40865</v>
      </c>
      <c r="C4928" t="s">
        <v>28</v>
      </c>
      <c r="D4928" s="7">
        <v>126</v>
      </c>
      <c r="E4928" s="7">
        <v>19</v>
      </c>
      <c r="F4928" s="7">
        <f t="shared" si="77"/>
        <v>6</v>
      </c>
      <c r="G4928" s="7" t="str">
        <f>LOOKUP(H4928,[1]startdates!$A$2:$A$10,[1]startdates!$B$2:$B$10)</f>
        <v>C</v>
      </c>
      <c r="H4928">
        <v>8</v>
      </c>
      <c r="I4928" s="7">
        <v>645.70000000000005</v>
      </c>
      <c r="J4928" s="7">
        <v>527.29999999999995</v>
      </c>
      <c r="K4928" s="7">
        <v>576.9</v>
      </c>
      <c r="L4928" s="7">
        <v>477.3</v>
      </c>
      <c r="M4928" s="7">
        <v>296.89999999999998</v>
      </c>
      <c r="N4928" s="7">
        <v>251</v>
      </c>
      <c r="O4928" s="7">
        <v>169.7</v>
      </c>
      <c r="Q4928" s="7">
        <v>346.3</v>
      </c>
      <c r="R4928" s="7">
        <v>244.7</v>
      </c>
      <c r="S4928" s="7">
        <v>244.8</v>
      </c>
    </row>
    <row r="4929" spans="1:19" x14ac:dyDescent="0.2">
      <c r="A4929">
        <v>4928</v>
      </c>
      <c r="B4929" s="1">
        <v>40865</v>
      </c>
      <c r="C4929" t="s">
        <v>28</v>
      </c>
      <c r="D4929" s="7">
        <v>126</v>
      </c>
      <c r="E4929" s="7">
        <v>19</v>
      </c>
      <c r="F4929" s="7">
        <f t="shared" si="77"/>
        <v>6</v>
      </c>
      <c r="G4929" s="7" t="str">
        <f>LOOKUP(H4929,[1]startdates!$A$2:$A$10,[1]startdates!$B$2:$B$10)</f>
        <v>C</v>
      </c>
      <c r="H4929">
        <v>8</v>
      </c>
      <c r="I4929" s="7">
        <v>667.9</v>
      </c>
      <c r="J4929" s="7">
        <v>625.70000000000005</v>
      </c>
      <c r="K4929" s="7">
        <v>554.70000000000005</v>
      </c>
      <c r="L4929" s="7">
        <v>452.9</v>
      </c>
      <c r="M4929" s="7">
        <v>328.2</v>
      </c>
      <c r="N4929" s="7">
        <v>227.1</v>
      </c>
      <c r="O4929" s="7">
        <v>167.7</v>
      </c>
      <c r="S4929" s="7">
        <v>258</v>
      </c>
    </row>
    <row r="4930" spans="1:19" x14ac:dyDescent="0.2">
      <c r="A4930">
        <v>4929</v>
      </c>
      <c r="B4930" s="1">
        <v>40865</v>
      </c>
      <c r="C4930" t="s">
        <v>28</v>
      </c>
      <c r="D4930" s="7">
        <v>126</v>
      </c>
      <c r="E4930" s="7">
        <v>19</v>
      </c>
      <c r="F4930" s="7">
        <f t="shared" si="77"/>
        <v>6</v>
      </c>
      <c r="G4930" s="7" t="str">
        <f>LOOKUP(H4930,[1]startdates!$A$2:$A$10,[1]startdates!$B$2:$B$10)</f>
        <v>C</v>
      </c>
      <c r="H4930">
        <v>8</v>
      </c>
      <c r="I4930" s="7">
        <v>610.79999999999995</v>
      </c>
      <c r="K4930" s="7">
        <v>628.29999999999995</v>
      </c>
      <c r="L4930" s="7">
        <v>403.3</v>
      </c>
      <c r="M4930" s="7">
        <v>314.5</v>
      </c>
      <c r="N4930" s="7">
        <v>285.8</v>
      </c>
      <c r="O4930" s="7">
        <v>177.3</v>
      </c>
      <c r="S4930" s="7">
        <v>256.39999999999998</v>
      </c>
    </row>
    <row r="4931" spans="1:19" x14ac:dyDescent="0.2">
      <c r="A4931">
        <v>4930</v>
      </c>
      <c r="B4931" s="1">
        <v>40865</v>
      </c>
      <c r="C4931" t="s">
        <v>28</v>
      </c>
      <c r="D4931" s="7">
        <v>126</v>
      </c>
      <c r="E4931" s="7">
        <v>19</v>
      </c>
      <c r="F4931" s="7">
        <f t="shared" si="77"/>
        <v>6</v>
      </c>
      <c r="G4931" s="7" t="str">
        <f>LOOKUP(H4931,[1]startdates!$A$2:$A$10,[1]startdates!$B$2:$B$10)</f>
        <v>C</v>
      </c>
      <c r="H4931">
        <v>8</v>
      </c>
      <c r="I4931" s="7">
        <v>601.5</v>
      </c>
      <c r="K4931" s="7">
        <v>616.5</v>
      </c>
      <c r="M4931" s="7">
        <v>312.8</v>
      </c>
      <c r="N4931" s="7">
        <v>228.3</v>
      </c>
      <c r="O4931" s="7">
        <v>148.4</v>
      </c>
    </row>
    <row r="4932" spans="1:19" x14ac:dyDescent="0.2">
      <c r="A4932">
        <v>4931</v>
      </c>
      <c r="B4932" s="1">
        <v>40865</v>
      </c>
      <c r="C4932" t="s">
        <v>28</v>
      </c>
      <c r="D4932" s="7">
        <v>126</v>
      </c>
      <c r="E4932" s="7">
        <v>19</v>
      </c>
      <c r="F4932" s="7">
        <f t="shared" si="77"/>
        <v>6</v>
      </c>
      <c r="G4932" s="7" t="str">
        <f>LOOKUP(H4932,[1]startdates!$A$2:$A$10,[1]startdates!$B$2:$B$10)</f>
        <v>C</v>
      </c>
      <c r="H4932">
        <v>8</v>
      </c>
      <c r="I4932" s="7">
        <v>659.7</v>
      </c>
      <c r="M4932" s="7">
        <v>340.3</v>
      </c>
      <c r="N4932" s="7">
        <v>265.5</v>
      </c>
      <c r="O4932" s="7">
        <v>166.5</v>
      </c>
    </row>
    <row r="4933" spans="1:19" x14ac:dyDescent="0.2">
      <c r="A4933">
        <v>4932</v>
      </c>
      <c r="B4933" s="1">
        <v>40865</v>
      </c>
      <c r="C4933" t="s">
        <v>28</v>
      </c>
      <c r="D4933" s="7">
        <v>126</v>
      </c>
      <c r="E4933" s="7">
        <v>19</v>
      </c>
      <c r="F4933" s="7">
        <f t="shared" si="77"/>
        <v>6</v>
      </c>
      <c r="G4933" s="7" t="str">
        <f>LOOKUP(H4933,[1]startdates!$A$2:$A$10,[1]startdates!$B$2:$B$10)</f>
        <v>C</v>
      </c>
      <c r="H4933">
        <v>8</v>
      </c>
      <c r="I4933" s="7">
        <v>582.9</v>
      </c>
      <c r="M4933" s="7">
        <v>313.8</v>
      </c>
      <c r="N4933" s="7">
        <v>288</v>
      </c>
      <c r="O4933" s="7">
        <v>165.5</v>
      </c>
    </row>
    <row r="4934" spans="1:19" x14ac:dyDescent="0.2">
      <c r="A4934">
        <v>4933</v>
      </c>
      <c r="B4934" s="1">
        <v>40865</v>
      </c>
      <c r="C4934" t="s">
        <v>28</v>
      </c>
      <c r="D4934" s="7">
        <v>126</v>
      </c>
      <c r="E4934" s="7">
        <v>19</v>
      </c>
      <c r="F4934" s="7">
        <f t="shared" si="77"/>
        <v>6</v>
      </c>
      <c r="G4934" s="7" t="str">
        <f>LOOKUP(H4934,[1]startdates!$A$2:$A$10,[1]startdates!$B$2:$B$10)</f>
        <v>C</v>
      </c>
      <c r="H4934">
        <v>8</v>
      </c>
      <c r="I4934" s="7">
        <v>552</v>
      </c>
      <c r="M4934" s="7">
        <v>290.3</v>
      </c>
      <c r="N4934" s="7">
        <v>219.7</v>
      </c>
      <c r="O4934" s="7">
        <v>164</v>
      </c>
    </row>
    <row r="4935" spans="1:19" x14ac:dyDescent="0.2">
      <c r="A4935">
        <v>4934</v>
      </c>
      <c r="B4935" s="1">
        <v>40865</v>
      </c>
      <c r="C4935" t="s">
        <v>28</v>
      </c>
      <c r="D4935" s="7">
        <v>126</v>
      </c>
      <c r="E4935" s="7">
        <v>19</v>
      </c>
      <c r="F4935" s="7">
        <f t="shared" si="77"/>
        <v>6</v>
      </c>
      <c r="G4935" s="7" t="str">
        <f>LOOKUP(H4935,[1]startdates!$A$2:$A$10,[1]startdates!$B$2:$B$10)</f>
        <v>C</v>
      </c>
      <c r="H4935">
        <v>8</v>
      </c>
      <c r="I4935" s="7">
        <v>640.29999999999995</v>
      </c>
      <c r="M4935" s="7">
        <v>336.7</v>
      </c>
      <c r="N4935" s="7">
        <v>247.1</v>
      </c>
      <c r="O4935" s="7">
        <v>171.6</v>
      </c>
    </row>
    <row r="4936" spans="1:19" x14ac:dyDescent="0.2">
      <c r="A4936">
        <v>4935</v>
      </c>
      <c r="B4936" s="1">
        <v>40865</v>
      </c>
      <c r="C4936" t="s">
        <v>28</v>
      </c>
      <c r="D4936" s="7">
        <v>126</v>
      </c>
      <c r="E4936" s="7">
        <v>19</v>
      </c>
      <c r="F4936" s="7">
        <f t="shared" si="77"/>
        <v>6</v>
      </c>
      <c r="G4936" s="7" t="str">
        <f>LOOKUP(H4936,[1]startdates!$A$2:$A$10,[1]startdates!$B$2:$B$10)</f>
        <v>C</v>
      </c>
      <c r="H4936">
        <v>8</v>
      </c>
      <c r="I4936" s="7">
        <v>660.9</v>
      </c>
      <c r="M4936" s="7">
        <v>346.3</v>
      </c>
      <c r="N4936" s="7">
        <v>283.5</v>
      </c>
      <c r="O4936" s="7">
        <v>169</v>
      </c>
    </row>
    <row r="4937" spans="1:19" x14ac:dyDescent="0.2">
      <c r="A4937">
        <v>4936</v>
      </c>
      <c r="B4937" s="1">
        <v>40865</v>
      </c>
      <c r="C4937" t="s">
        <v>28</v>
      </c>
      <c r="D4937" s="7">
        <v>126</v>
      </c>
      <c r="E4937" s="7">
        <v>19</v>
      </c>
      <c r="F4937" s="7">
        <f t="shared" si="77"/>
        <v>6</v>
      </c>
      <c r="G4937" s="7" t="str">
        <f>LOOKUP(H4937,[1]startdates!$A$2:$A$10,[1]startdates!$B$2:$B$10)</f>
        <v>C</v>
      </c>
      <c r="H4937">
        <v>8</v>
      </c>
      <c r="I4937" s="7">
        <v>655.29999999999995</v>
      </c>
    </row>
    <row r="4938" spans="1:19" x14ac:dyDescent="0.2">
      <c r="A4938">
        <v>4937</v>
      </c>
      <c r="B4938" s="1">
        <v>40865</v>
      </c>
      <c r="C4938" t="s">
        <v>28</v>
      </c>
      <c r="D4938" s="7">
        <v>126</v>
      </c>
      <c r="E4938" s="7">
        <v>19</v>
      </c>
      <c r="F4938" s="7">
        <f t="shared" si="77"/>
        <v>6</v>
      </c>
      <c r="G4938" s="7" t="str">
        <f>LOOKUP(H4938,[1]startdates!$A$2:$A$10,[1]startdates!$B$2:$B$10)</f>
        <v>FMr</v>
      </c>
      <c r="H4938">
        <v>9</v>
      </c>
      <c r="I4938" s="7">
        <v>543.29999999999995</v>
      </c>
      <c r="K4938" s="7">
        <v>540</v>
      </c>
      <c r="L4938" s="7">
        <v>432.2</v>
      </c>
      <c r="M4938" s="7">
        <v>326.8</v>
      </c>
      <c r="N4938" s="7">
        <v>212.4</v>
      </c>
      <c r="O4938" s="7">
        <v>153.1</v>
      </c>
      <c r="P4938" s="7">
        <v>431.8</v>
      </c>
      <c r="Q4938" s="7">
        <v>326.10000000000002</v>
      </c>
      <c r="R4938" s="7">
        <v>271.7</v>
      </c>
    </row>
    <row r="4939" spans="1:19" x14ac:dyDescent="0.2">
      <c r="A4939">
        <v>4938</v>
      </c>
      <c r="B4939" s="1">
        <v>40865</v>
      </c>
      <c r="C4939" t="s">
        <v>28</v>
      </c>
      <c r="D4939" s="7">
        <v>126</v>
      </c>
      <c r="E4939" s="7">
        <v>19</v>
      </c>
      <c r="F4939" s="7">
        <f t="shared" si="77"/>
        <v>6</v>
      </c>
      <c r="G4939" s="7" t="str">
        <f>LOOKUP(H4939,[1]startdates!$A$2:$A$10,[1]startdates!$B$2:$B$10)</f>
        <v>FMr</v>
      </c>
      <c r="H4939">
        <v>9</v>
      </c>
      <c r="I4939" s="7">
        <v>516.1</v>
      </c>
      <c r="K4939" s="7">
        <v>597</v>
      </c>
      <c r="L4939" s="7">
        <v>421.8</v>
      </c>
      <c r="M4939" s="7">
        <v>292.3</v>
      </c>
      <c r="N4939" s="7">
        <v>189.5</v>
      </c>
      <c r="O4939" s="7">
        <v>151.80000000000001</v>
      </c>
      <c r="P4939" s="7">
        <v>409.8</v>
      </c>
      <c r="Q4939" s="7">
        <v>351.8</v>
      </c>
      <c r="R4939" s="7">
        <v>258.60000000000002</v>
      </c>
    </row>
    <row r="4940" spans="1:19" x14ac:dyDescent="0.2">
      <c r="A4940">
        <v>4939</v>
      </c>
      <c r="B4940" s="1">
        <v>40865</v>
      </c>
      <c r="C4940" t="s">
        <v>28</v>
      </c>
      <c r="D4940" s="7">
        <v>126</v>
      </c>
      <c r="E4940" s="7">
        <v>19</v>
      </c>
      <c r="F4940" s="7">
        <f t="shared" si="77"/>
        <v>6</v>
      </c>
      <c r="G4940" s="7" t="str">
        <f>LOOKUP(H4940,[1]startdates!$A$2:$A$10,[1]startdates!$B$2:$B$10)</f>
        <v>FMr</v>
      </c>
      <c r="H4940">
        <v>9</v>
      </c>
      <c r="I4940" s="7">
        <v>559.5</v>
      </c>
      <c r="K4940" s="7">
        <v>488.2</v>
      </c>
      <c r="L4940" s="7">
        <v>432</v>
      </c>
      <c r="M4940" s="7">
        <v>378.7</v>
      </c>
      <c r="N4940" s="7">
        <v>189.5</v>
      </c>
      <c r="O4940" s="7">
        <v>157.30000000000001</v>
      </c>
      <c r="Q4940" s="7">
        <v>339.4</v>
      </c>
    </row>
    <row r="4941" spans="1:19" x14ac:dyDescent="0.2">
      <c r="A4941">
        <v>4940</v>
      </c>
      <c r="B4941" s="1">
        <v>40865</v>
      </c>
      <c r="C4941" t="s">
        <v>28</v>
      </c>
      <c r="D4941" s="7">
        <v>126</v>
      </c>
      <c r="E4941" s="7">
        <v>19</v>
      </c>
      <c r="F4941" s="7">
        <f t="shared" si="77"/>
        <v>6</v>
      </c>
      <c r="G4941" s="7" t="str">
        <f>LOOKUP(H4941,[1]startdates!$A$2:$A$10,[1]startdates!$B$2:$B$10)</f>
        <v>FMr</v>
      </c>
      <c r="H4941">
        <v>9</v>
      </c>
      <c r="I4941" s="7">
        <v>623.4</v>
      </c>
      <c r="K4941" s="7">
        <v>430.1</v>
      </c>
      <c r="L4941" s="7">
        <v>400.3</v>
      </c>
      <c r="M4941" s="7">
        <v>332.9</v>
      </c>
      <c r="N4941" s="7">
        <v>248</v>
      </c>
      <c r="O4941" s="7">
        <v>170.2</v>
      </c>
      <c r="Q4941" s="7">
        <v>348.2</v>
      </c>
    </row>
    <row r="4942" spans="1:19" x14ac:dyDescent="0.2">
      <c r="A4942">
        <v>4941</v>
      </c>
      <c r="B4942" s="1">
        <v>40865</v>
      </c>
      <c r="C4942" t="s">
        <v>28</v>
      </c>
      <c r="D4942" s="7">
        <v>126</v>
      </c>
      <c r="E4942" s="7">
        <v>19</v>
      </c>
      <c r="F4942" s="7">
        <f t="shared" si="77"/>
        <v>6</v>
      </c>
      <c r="G4942" s="7" t="str">
        <f>LOOKUP(H4942,[1]startdates!$A$2:$A$10,[1]startdates!$B$2:$B$10)</f>
        <v>FMr</v>
      </c>
      <c r="H4942">
        <v>9</v>
      </c>
      <c r="I4942" s="7">
        <v>606.6</v>
      </c>
      <c r="K4942" s="7">
        <v>534.5</v>
      </c>
      <c r="L4942" s="7">
        <v>399.3</v>
      </c>
      <c r="M4942" s="7">
        <v>364.7</v>
      </c>
      <c r="N4942" s="7">
        <v>226.6</v>
      </c>
      <c r="O4942" s="7">
        <v>151.69999999999999</v>
      </c>
      <c r="Q4942" s="7">
        <v>365.8</v>
      </c>
    </row>
    <row r="4943" spans="1:19" x14ac:dyDescent="0.2">
      <c r="A4943">
        <v>4942</v>
      </c>
      <c r="B4943" s="1">
        <v>40865</v>
      </c>
      <c r="C4943" t="s">
        <v>28</v>
      </c>
      <c r="D4943" s="7">
        <v>126</v>
      </c>
      <c r="E4943" s="7">
        <v>19</v>
      </c>
      <c r="F4943" s="7">
        <f t="shared" si="77"/>
        <v>6</v>
      </c>
      <c r="G4943" s="7" t="str">
        <f>LOOKUP(H4943,[1]startdates!$A$2:$A$10,[1]startdates!$B$2:$B$10)</f>
        <v>FMr</v>
      </c>
      <c r="H4943">
        <v>9</v>
      </c>
      <c r="I4943" s="7">
        <v>588.70000000000005</v>
      </c>
      <c r="K4943" s="7">
        <v>509</v>
      </c>
      <c r="L4943" s="7">
        <v>472.7</v>
      </c>
      <c r="M4943" s="7">
        <v>333.6</v>
      </c>
      <c r="N4943" s="7">
        <v>223.6</v>
      </c>
      <c r="O4943" s="7">
        <v>175.4</v>
      </c>
      <c r="Q4943" s="7">
        <v>387.7</v>
      </c>
    </row>
    <row r="4944" spans="1:19" x14ac:dyDescent="0.2">
      <c r="A4944">
        <v>4943</v>
      </c>
      <c r="B4944" s="1">
        <v>40865</v>
      </c>
      <c r="C4944" t="s">
        <v>28</v>
      </c>
      <c r="D4944" s="7">
        <v>126</v>
      </c>
      <c r="E4944" s="7">
        <v>19</v>
      </c>
      <c r="F4944" s="7">
        <f t="shared" si="77"/>
        <v>6</v>
      </c>
      <c r="G4944" s="7" t="str">
        <f>LOOKUP(H4944,[1]startdates!$A$2:$A$10,[1]startdates!$B$2:$B$10)</f>
        <v>FMr</v>
      </c>
      <c r="H4944">
        <v>9</v>
      </c>
      <c r="I4944" s="7">
        <v>624.79999999999995</v>
      </c>
      <c r="K4944" s="7">
        <v>453.7</v>
      </c>
      <c r="L4944" s="7">
        <v>451.1</v>
      </c>
      <c r="M4944" s="7">
        <v>326.8</v>
      </c>
      <c r="N4944" s="7">
        <v>253.4</v>
      </c>
      <c r="O4944" s="7">
        <v>174.6</v>
      </c>
    </row>
    <row r="4945" spans="1:21" x14ac:dyDescent="0.2">
      <c r="A4945">
        <v>4944</v>
      </c>
      <c r="B4945" s="1">
        <v>40865</v>
      </c>
      <c r="C4945" t="s">
        <v>28</v>
      </c>
      <c r="D4945" s="7">
        <v>126</v>
      </c>
      <c r="E4945" s="7">
        <v>19</v>
      </c>
      <c r="F4945" s="7">
        <f t="shared" si="77"/>
        <v>6</v>
      </c>
      <c r="G4945" s="7" t="str">
        <f>LOOKUP(H4945,[1]startdates!$A$2:$A$10,[1]startdates!$B$2:$B$10)</f>
        <v>FMr</v>
      </c>
      <c r="H4945">
        <v>9</v>
      </c>
      <c r="I4945" s="7">
        <v>500.6</v>
      </c>
      <c r="K4945" s="7">
        <v>566.1</v>
      </c>
      <c r="M4945" s="7">
        <v>350.2</v>
      </c>
      <c r="N4945" s="7">
        <v>263.60000000000002</v>
      </c>
      <c r="O4945" s="7">
        <v>165.5</v>
      </c>
    </row>
    <row r="4946" spans="1:21" x14ac:dyDescent="0.2">
      <c r="A4946">
        <v>4945</v>
      </c>
      <c r="B4946" s="1">
        <v>40865</v>
      </c>
      <c r="C4946" t="s">
        <v>28</v>
      </c>
      <c r="D4946" s="7">
        <v>126</v>
      </c>
      <c r="E4946" s="7">
        <v>19</v>
      </c>
      <c r="F4946" s="7">
        <f t="shared" si="77"/>
        <v>6</v>
      </c>
      <c r="G4946" s="7" t="str">
        <f>LOOKUP(H4946,[1]startdates!$A$2:$A$10,[1]startdates!$B$2:$B$10)</f>
        <v>FMr</v>
      </c>
      <c r="H4946">
        <v>9</v>
      </c>
      <c r="I4946" s="7">
        <v>651.79999999999995</v>
      </c>
      <c r="K4946" s="7">
        <v>643.29999999999995</v>
      </c>
      <c r="M4946" s="7">
        <v>364.6</v>
      </c>
      <c r="N4946" s="7">
        <v>204.6</v>
      </c>
      <c r="O4946" s="7">
        <v>175.6</v>
      </c>
    </row>
    <row r="4947" spans="1:21" x14ac:dyDescent="0.2">
      <c r="A4947">
        <v>4946</v>
      </c>
      <c r="B4947" s="1">
        <v>40865</v>
      </c>
      <c r="C4947" t="s">
        <v>28</v>
      </c>
      <c r="D4947" s="7">
        <v>126</v>
      </c>
      <c r="E4947" s="7">
        <v>19</v>
      </c>
      <c r="F4947" s="7">
        <f t="shared" si="77"/>
        <v>6</v>
      </c>
      <c r="G4947" s="7" t="str">
        <f>LOOKUP(H4947,[1]startdates!$A$2:$A$10,[1]startdates!$B$2:$B$10)</f>
        <v>FMr</v>
      </c>
      <c r="H4947">
        <v>9</v>
      </c>
      <c r="I4947" s="7">
        <v>573.79999999999995</v>
      </c>
      <c r="K4947" s="7">
        <v>507.2</v>
      </c>
      <c r="N4947" s="7">
        <v>245.2</v>
      </c>
      <c r="O4947" s="7">
        <v>162</v>
      </c>
    </row>
    <row r="4948" spans="1:21" x14ac:dyDescent="0.2">
      <c r="A4948">
        <v>4947</v>
      </c>
      <c r="B4948" s="1">
        <v>40865</v>
      </c>
      <c r="C4948" t="s">
        <v>28</v>
      </c>
      <c r="D4948" s="7">
        <v>126</v>
      </c>
      <c r="E4948" s="7">
        <v>19</v>
      </c>
      <c r="F4948" s="7">
        <f t="shared" si="77"/>
        <v>6</v>
      </c>
      <c r="G4948" s="7" t="str">
        <f>LOOKUP(H4948,[1]startdates!$A$2:$A$10,[1]startdates!$B$2:$B$10)</f>
        <v>FMr</v>
      </c>
      <c r="H4948">
        <v>9</v>
      </c>
      <c r="I4948" s="7">
        <v>497.3</v>
      </c>
    </row>
    <row r="4949" spans="1:21" x14ac:dyDescent="0.2">
      <c r="A4949">
        <v>4948</v>
      </c>
      <c r="B4949" s="1">
        <v>40865</v>
      </c>
      <c r="C4949" t="s">
        <v>28</v>
      </c>
      <c r="D4949" s="7">
        <v>126</v>
      </c>
      <c r="E4949" s="7">
        <v>19</v>
      </c>
      <c r="F4949" s="7">
        <f t="shared" si="77"/>
        <v>6</v>
      </c>
      <c r="G4949" s="7" t="str">
        <f>LOOKUP(H4949,[1]startdates!$A$2:$A$10,[1]startdates!$B$2:$B$10)</f>
        <v>FMr</v>
      </c>
      <c r="H4949">
        <v>9</v>
      </c>
      <c r="I4949" s="7">
        <v>561.1</v>
      </c>
    </row>
    <row r="4950" spans="1:21" x14ac:dyDescent="0.2">
      <c r="A4950">
        <v>4949</v>
      </c>
      <c r="B4950" s="1">
        <v>40865</v>
      </c>
      <c r="C4950" t="s">
        <v>28</v>
      </c>
      <c r="D4950" s="7">
        <v>126</v>
      </c>
      <c r="E4950" s="7">
        <v>19</v>
      </c>
      <c r="F4950" s="7">
        <f t="shared" si="77"/>
        <v>6</v>
      </c>
      <c r="G4950" s="7" t="str">
        <f>LOOKUP(H4950,[1]startdates!$A$2:$A$10,[1]startdates!$B$2:$B$10)</f>
        <v>FMr</v>
      </c>
      <c r="H4950">
        <v>9</v>
      </c>
      <c r="I4950" s="7">
        <v>670.4</v>
      </c>
    </row>
    <row r="4951" spans="1:21" x14ac:dyDescent="0.2">
      <c r="A4951">
        <v>4950</v>
      </c>
      <c r="B4951" s="1">
        <v>40869</v>
      </c>
      <c r="C4951" t="s">
        <v>28</v>
      </c>
      <c r="D4951" s="7">
        <v>130</v>
      </c>
      <c r="E4951" s="7">
        <v>20</v>
      </c>
      <c r="F4951" s="7">
        <f t="shared" si="77"/>
        <v>3</v>
      </c>
      <c r="G4951" s="7" t="str">
        <f>LOOKUP(H4951,[1]startdates!$A$2:$A$10,[1]startdates!$B$2:$B$10)</f>
        <v>SMr</v>
      </c>
      <c r="H4951">
        <v>1</v>
      </c>
      <c r="I4951" s="7">
        <v>569.1</v>
      </c>
      <c r="J4951" s="7">
        <v>486.3</v>
      </c>
      <c r="K4951" s="7">
        <v>617.29999999999995</v>
      </c>
      <c r="L4951" s="7">
        <v>400.1</v>
      </c>
      <c r="M4951" s="7">
        <v>384</v>
      </c>
      <c r="N4951" s="7">
        <v>196.1</v>
      </c>
      <c r="O4951" s="7">
        <v>156.5</v>
      </c>
      <c r="P4951" s="7">
        <v>430.1</v>
      </c>
      <c r="Q4951" s="7">
        <v>342</v>
      </c>
      <c r="R4951" s="7">
        <v>246.1</v>
      </c>
      <c r="S4951" s="7">
        <v>250.4</v>
      </c>
      <c r="U4951" s="7">
        <v>586.5</v>
      </c>
    </row>
    <row r="4952" spans="1:21" x14ac:dyDescent="0.2">
      <c r="A4952">
        <v>4951</v>
      </c>
      <c r="B4952" s="1">
        <v>40869</v>
      </c>
      <c r="C4952" t="s">
        <v>28</v>
      </c>
      <c r="D4952" s="7">
        <v>130</v>
      </c>
      <c r="E4952" s="7">
        <v>20</v>
      </c>
      <c r="F4952" s="7">
        <f t="shared" si="77"/>
        <v>3</v>
      </c>
      <c r="G4952" s="7" t="str">
        <f>LOOKUP(H4952,[1]startdates!$A$2:$A$10,[1]startdates!$B$2:$B$10)</f>
        <v>SMr</v>
      </c>
      <c r="H4952">
        <v>1</v>
      </c>
      <c r="I4952" s="7">
        <v>663.6</v>
      </c>
      <c r="J4952" s="7">
        <v>492.2</v>
      </c>
      <c r="K4952" s="7">
        <v>477.8</v>
      </c>
      <c r="L4952" s="7">
        <v>428.8</v>
      </c>
      <c r="M4952" s="7">
        <v>388</v>
      </c>
      <c r="N4952" s="7">
        <v>243</v>
      </c>
      <c r="O4952" s="7">
        <v>156.5</v>
      </c>
      <c r="P4952" s="7">
        <v>409.4</v>
      </c>
      <c r="Q4952" s="7">
        <v>337.1</v>
      </c>
      <c r="U4952" s="7">
        <v>577.5</v>
      </c>
    </row>
    <row r="4953" spans="1:21" x14ac:dyDescent="0.2">
      <c r="A4953">
        <v>4952</v>
      </c>
      <c r="B4953" s="1">
        <v>40869</v>
      </c>
      <c r="C4953" t="s">
        <v>28</v>
      </c>
      <c r="D4953" s="7">
        <v>130</v>
      </c>
      <c r="E4953" s="7">
        <v>20</v>
      </c>
      <c r="F4953" s="7">
        <f t="shared" si="77"/>
        <v>3</v>
      </c>
      <c r="G4953" s="7" t="str">
        <f>LOOKUP(H4953,[1]startdates!$A$2:$A$10,[1]startdates!$B$2:$B$10)</f>
        <v>SMr</v>
      </c>
      <c r="H4953">
        <v>1</v>
      </c>
      <c r="I4953" s="7">
        <v>497.5</v>
      </c>
      <c r="J4953" s="7">
        <v>508.1</v>
      </c>
      <c r="K4953" s="7">
        <v>439.3</v>
      </c>
      <c r="L4953" s="7">
        <v>390.6</v>
      </c>
      <c r="M4953" s="7">
        <v>295.3</v>
      </c>
      <c r="N4953" s="7">
        <v>253.6</v>
      </c>
      <c r="O4953" s="7">
        <v>144</v>
      </c>
      <c r="P4953" s="7">
        <v>415.3</v>
      </c>
      <c r="Q4953" s="7">
        <v>359.4</v>
      </c>
      <c r="U4953" s="7">
        <v>430.9</v>
      </c>
    </row>
    <row r="4954" spans="1:21" x14ac:dyDescent="0.2">
      <c r="A4954">
        <v>4953</v>
      </c>
      <c r="B4954" s="1">
        <v>40869</v>
      </c>
      <c r="C4954" t="s">
        <v>28</v>
      </c>
      <c r="D4954" s="7">
        <v>130</v>
      </c>
      <c r="E4954" s="7">
        <v>20</v>
      </c>
      <c r="F4954" s="7">
        <f t="shared" si="77"/>
        <v>3</v>
      </c>
      <c r="G4954" s="7" t="str">
        <f>LOOKUP(H4954,[1]startdates!$A$2:$A$10,[1]startdates!$B$2:$B$10)</f>
        <v>SMr</v>
      </c>
      <c r="H4954">
        <v>1</v>
      </c>
      <c r="I4954" s="7">
        <v>647.6</v>
      </c>
      <c r="K4954" s="7">
        <v>506.2</v>
      </c>
      <c r="L4954" s="7">
        <v>416.4</v>
      </c>
      <c r="M4954" s="7">
        <v>300.5</v>
      </c>
      <c r="N4954" s="7">
        <v>183.8</v>
      </c>
      <c r="O4954" s="7">
        <v>159.80000000000001</v>
      </c>
      <c r="Q4954" s="7">
        <v>318.7</v>
      </c>
      <c r="U4954" s="7">
        <v>410.8</v>
      </c>
    </row>
    <row r="4955" spans="1:21" x14ac:dyDescent="0.2">
      <c r="A4955">
        <v>4954</v>
      </c>
      <c r="B4955" s="1">
        <v>40869</v>
      </c>
      <c r="C4955" t="s">
        <v>28</v>
      </c>
      <c r="D4955" s="7">
        <v>130</v>
      </c>
      <c r="E4955" s="7">
        <v>20</v>
      </c>
      <c r="F4955" s="7">
        <f t="shared" si="77"/>
        <v>3</v>
      </c>
      <c r="G4955" s="7" t="str">
        <f>LOOKUP(H4955,[1]startdates!$A$2:$A$10,[1]startdates!$B$2:$B$10)</f>
        <v>SMr</v>
      </c>
      <c r="H4955">
        <v>1</v>
      </c>
      <c r="I4955" s="7">
        <v>563.70000000000005</v>
      </c>
      <c r="K4955" s="7">
        <v>503.6</v>
      </c>
      <c r="L4955" s="7">
        <v>404.6</v>
      </c>
      <c r="M4955" s="7">
        <v>354.7</v>
      </c>
      <c r="N4955" s="7">
        <v>247.1</v>
      </c>
      <c r="O4955" s="7">
        <v>155.4</v>
      </c>
      <c r="Q4955" s="7">
        <v>312.39999999999998</v>
      </c>
      <c r="U4955" s="7">
        <v>430.5</v>
      </c>
    </row>
    <row r="4956" spans="1:21" x14ac:dyDescent="0.2">
      <c r="A4956">
        <v>4955</v>
      </c>
      <c r="B4956" s="1">
        <v>40869</v>
      </c>
      <c r="C4956" t="s">
        <v>28</v>
      </c>
      <c r="D4956" s="7">
        <v>130</v>
      </c>
      <c r="E4956" s="7">
        <v>20</v>
      </c>
      <c r="F4956" s="7">
        <f t="shared" si="77"/>
        <v>3</v>
      </c>
      <c r="G4956" s="7" t="str">
        <f>LOOKUP(H4956,[1]startdates!$A$2:$A$10,[1]startdates!$B$2:$B$10)</f>
        <v>SMr</v>
      </c>
      <c r="H4956">
        <v>1</v>
      </c>
      <c r="I4956" s="7">
        <v>594.9</v>
      </c>
      <c r="K4956" s="7">
        <v>552.6</v>
      </c>
      <c r="L4956" s="7">
        <v>395.2</v>
      </c>
      <c r="M4956" s="7">
        <v>346.3</v>
      </c>
      <c r="N4956" s="7">
        <v>195.7</v>
      </c>
      <c r="O4956" s="7">
        <v>155.30000000000001</v>
      </c>
    </row>
    <row r="4957" spans="1:21" x14ac:dyDescent="0.2">
      <c r="A4957">
        <v>4956</v>
      </c>
      <c r="B4957" s="1">
        <v>40869</v>
      </c>
      <c r="C4957" t="s">
        <v>28</v>
      </c>
      <c r="D4957" s="7">
        <v>130</v>
      </c>
      <c r="E4957" s="7">
        <v>20</v>
      </c>
      <c r="F4957" s="7">
        <f t="shared" si="77"/>
        <v>3</v>
      </c>
      <c r="G4957" s="7" t="str">
        <f>LOOKUP(H4957,[1]startdates!$A$2:$A$10,[1]startdates!$B$2:$B$10)</f>
        <v>SMr</v>
      </c>
      <c r="H4957">
        <v>1</v>
      </c>
      <c r="I4957" s="7">
        <v>669.4</v>
      </c>
      <c r="M4957" s="7">
        <v>298.3</v>
      </c>
      <c r="N4957" s="7">
        <v>177.1</v>
      </c>
      <c r="O4957" s="7">
        <v>163</v>
      </c>
    </row>
    <row r="4958" spans="1:21" x14ac:dyDescent="0.2">
      <c r="A4958">
        <v>4957</v>
      </c>
      <c r="B4958" s="1">
        <v>40869</v>
      </c>
      <c r="C4958" t="s">
        <v>28</v>
      </c>
      <c r="D4958" s="7">
        <v>130</v>
      </c>
      <c r="E4958" s="7">
        <v>20</v>
      </c>
      <c r="F4958" s="7">
        <f t="shared" si="77"/>
        <v>3</v>
      </c>
      <c r="G4958" s="7" t="str">
        <f>LOOKUP(H4958,[1]startdates!$A$2:$A$10,[1]startdates!$B$2:$B$10)</f>
        <v>SMr</v>
      </c>
      <c r="H4958">
        <v>1</v>
      </c>
      <c r="I4958" s="7">
        <v>625.20000000000005</v>
      </c>
      <c r="M4958" s="7">
        <v>316.3</v>
      </c>
      <c r="N4958" s="7">
        <v>242</v>
      </c>
      <c r="O4958" s="7">
        <v>184</v>
      </c>
    </row>
    <row r="4959" spans="1:21" x14ac:dyDescent="0.2">
      <c r="A4959">
        <v>4958</v>
      </c>
      <c r="B4959" s="1">
        <v>40869</v>
      </c>
      <c r="C4959" t="s">
        <v>28</v>
      </c>
      <c r="D4959" s="7">
        <v>130</v>
      </c>
      <c r="E4959" s="7">
        <v>20</v>
      </c>
      <c r="F4959" s="7">
        <f t="shared" si="77"/>
        <v>3</v>
      </c>
      <c r="G4959" s="7" t="str">
        <f>LOOKUP(H4959,[1]startdates!$A$2:$A$10,[1]startdates!$B$2:$B$10)</f>
        <v>SMr</v>
      </c>
      <c r="H4959">
        <v>1</v>
      </c>
      <c r="I4959" s="7">
        <v>472.1</v>
      </c>
      <c r="M4959" s="7">
        <v>318.10000000000002</v>
      </c>
      <c r="N4959" s="7">
        <v>194.4</v>
      </c>
      <c r="O4959" s="7">
        <v>176</v>
      </c>
    </row>
    <row r="4960" spans="1:21" x14ac:dyDescent="0.2">
      <c r="A4960">
        <v>4959</v>
      </c>
      <c r="B4960" s="1">
        <v>40869</v>
      </c>
      <c r="C4960" t="s">
        <v>28</v>
      </c>
      <c r="D4960" s="7">
        <v>130</v>
      </c>
      <c r="E4960" s="7">
        <v>20</v>
      </c>
      <c r="F4960" s="7">
        <f t="shared" si="77"/>
        <v>3</v>
      </c>
      <c r="G4960" s="7" t="str">
        <f>LOOKUP(H4960,[1]startdates!$A$2:$A$10,[1]startdates!$B$2:$B$10)</f>
        <v>SMr</v>
      </c>
      <c r="H4960">
        <v>1</v>
      </c>
      <c r="I4960" s="7">
        <v>630.20000000000005</v>
      </c>
      <c r="M4960" s="7">
        <v>296.8</v>
      </c>
      <c r="N4960" s="7">
        <v>223.1</v>
      </c>
      <c r="O4960" s="7">
        <v>168.9</v>
      </c>
    </row>
    <row r="4961" spans="1:21" x14ac:dyDescent="0.2">
      <c r="A4961">
        <v>4960</v>
      </c>
      <c r="B4961" s="1">
        <v>40869</v>
      </c>
      <c r="C4961" t="s">
        <v>28</v>
      </c>
      <c r="D4961" s="7">
        <v>130</v>
      </c>
      <c r="E4961" s="7">
        <v>20</v>
      </c>
      <c r="F4961" s="7">
        <f t="shared" si="77"/>
        <v>3</v>
      </c>
      <c r="G4961" s="7" t="str">
        <f>LOOKUP(H4961,[1]startdates!$A$2:$A$10,[1]startdates!$B$2:$B$10)</f>
        <v>SMr</v>
      </c>
      <c r="H4961">
        <v>1</v>
      </c>
      <c r="I4961" s="7">
        <v>656.4</v>
      </c>
    </row>
    <row r="4962" spans="1:21" x14ac:dyDescent="0.2">
      <c r="A4962">
        <v>4961</v>
      </c>
      <c r="B4962" s="1">
        <v>40869</v>
      </c>
      <c r="C4962" t="s">
        <v>28</v>
      </c>
      <c r="D4962" s="7">
        <v>130</v>
      </c>
      <c r="E4962" s="7">
        <v>20</v>
      </c>
      <c r="F4962" s="7">
        <f t="shared" si="77"/>
        <v>3</v>
      </c>
      <c r="G4962" s="7" t="str">
        <f>LOOKUP(H4962,[1]startdates!$A$2:$A$10,[1]startdates!$B$2:$B$10)</f>
        <v>SMr</v>
      </c>
      <c r="H4962">
        <v>1</v>
      </c>
      <c r="I4962" s="7">
        <v>698.1</v>
      </c>
    </row>
    <row r="4963" spans="1:21" x14ac:dyDescent="0.2">
      <c r="A4963">
        <v>4962</v>
      </c>
      <c r="B4963" s="1">
        <v>40869</v>
      </c>
      <c r="C4963" t="s">
        <v>28</v>
      </c>
      <c r="D4963" s="7">
        <v>130</v>
      </c>
      <c r="E4963" s="7">
        <v>20</v>
      </c>
      <c r="F4963" s="7">
        <f t="shared" si="77"/>
        <v>3</v>
      </c>
      <c r="G4963" s="7" t="str">
        <f>LOOKUP(H4963,[1]startdates!$A$2:$A$10,[1]startdates!$B$2:$B$10)</f>
        <v>SMr</v>
      </c>
      <c r="H4963">
        <v>1</v>
      </c>
      <c r="I4963" s="7">
        <v>594.4</v>
      </c>
    </row>
    <row r="4964" spans="1:21" x14ac:dyDescent="0.2">
      <c r="A4964">
        <v>4963</v>
      </c>
      <c r="B4964" s="1">
        <v>40869</v>
      </c>
      <c r="C4964" t="s">
        <v>28</v>
      </c>
      <c r="D4964" s="7">
        <v>130</v>
      </c>
      <c r="E4964" s="7">
        <v>20</v>
      </c>
      <c r="F4964" s="7">
        <f t="shared" si="77"/>
        <v>3</v>
      </c>
      <c r="G4964" s="7" t="str">
        <f>LOOKUP(H4964,[1]startdates!$A$2:$A$10,[1]startdates!$B$2:$B$10)</f>
        <v>SMr</v>
      </c>
      <c r="H4964">
        <v>1</v>
      </c>
      <c r="I4964" s="7">
        <v>619.6</v>
      </c>
    </row>
    <row r="4965" spans="1:21" x14ac:dyDescent="0.2">
      <c r="A4965">
        <v>4964</v>
      </c>
      <c r="B4965" s="1">
        <v>40869</v>
      </c>
      <c r="C4965" t="s">
        <v>28</v>
      </c>
      <c r="D4965" s="7">
        <v>130</v>
      </c>
      <c r="E4965" s="7">
        <v>20</v>
      </c>
      <c r="F4965" s="7">
        <f t="shared" si="77"/>
        <v>3</v>
      </c>
      <c r="G4965" s="7" t="str">
        <f>LOOKUP(H4965,[1]startdates!$A$2:$A$10,[1]startdates!$B$2:$B$10)</f>
        <v>SMr</v>
      </c>
      <c r="H4965">
        <v>2</v>
      </c>
      <c r="I4965" s="7">
        <v>510.3</v>
      </c>
      <c r="J4965" s="7">
        <v>560.29999999999995</v>
      </c>
      <c r="K4965" s="7">
        <v>449.2</v>
      </c>
      <c r="L4965" s="7">
        <v>419.8</v>
      </c>
      <c r="M4965" s="7">
        <v>309.8</v>
      </c>
      <c r="N4965" s="7">
        <v>228.9</v>
      </c>
      <c r="O4965" s="7">
        <v>167.7</v>
      </c>
      <c r="P4965" s="7">
        <v>466.3</v>
      </c>
      <c r="Q4965" s="7">
        <v>359.7</v>
      </c>
      <c r="S4965" s="7">
        <v>256.89999999999998</v>
      </c>
      <c r="U4965" s="7">
        <v>515.5</v>
      </c>
    </row>
    <row r="4966" spans="1:21" x14ac:dyDescent="0.2">
      <c r="A4966">
        <v>4965</v>
      </c>
      <c r="B4966" s="1">
        <v>40869</v>
      </c>
      <c r="C4966" t="s">
        <v>28</v>
      </c>
      <c r="D4966" s="7">
        <v>130</v>
      </c>
      <c r="E4966" s="7">
        <v>20</v>
      </c>
      <c r="F4966" s="7">
        <f t="shared" si="77"/>
        <v>3</v>
      </c>
      <c r="G4966" s="7" t="str">
        <f>LOOKUP(H4966,[1]startdates!$A$2:$A$10,[1]startdates!$B$2:$B$10)</f>
        <v>SMr</v>
      </c>
      <c r="H4966">
        <v>2</v>
      </c>
      <c r="I4966" s="7">
        <v>607.20000000000005</v>
      </c>
      <c r="K4966" s="7">
        <v>486.8</v>
      </c>
      <c r="L4966" s="7">
        <v>446.7</v>
      </c>
      <c r="M4966" s="7">
        <v>321.7</v>
      </c>
      <c r="N4966" s="7">
        <v>233</v>
      </c>
      <c r="O4966" s="7">
        <v>175</v>
      </c>
      <c r="P4966" s="7">
        <v>458.3</v>
      </c>
      <c r="Q4966" s="7">
        <v>327.7</v>
      </c>
      <c r="U4966" s="7">
        <v>435.6</v>
      </c>
    </row>
    <row r="4967" spans="1:21" x14ac:dyDescent="0.2">
      <c r="A4967">
        <v>4966</v>
      </c>
      <c r="B4967" s="1">
        <v>40869</v>
      </c>
      <c r="C4967" t="s">
        <v>28</v>
      </c>
      <c r="D4967" s="7">
        <v>130</v>
      </c>
      <c r="E4967" s="7">
        <v>20</v>
      </c>
      <c r="F4967" s="7">
        <f t="shared" si="77"/>
        <v>3</v>
      </c>
      <c r="G4967" s="7" t="str">
        <f>LOOKUP(H4967,[1]startdates!$A$2:$A$10,[1]startdates!$B$2:$B$10)</f>
        <v>SMr</v>
      </c>
      <c r="H4967">
        <v>2</v>
      </c>
      <c r="I4967" s="7">
        <v>506.5</v>
      </c>
      <c r="K4967" s="7">
        <v>487.9</v>
      </c>
      <c r="L4967" s="7">
        <v>448.5</v>
      </c>
      <c r="M4967" s="7">
        <v>302</v>
      </c>
      <c r="N4967" s="7">
        <v>216.2</v>
      </c>
      <c r="O4967" s="7">
        <v>168.6</v>
      </c>
      <c r="P4967" s="7">
        <v>484.8</v>
      </c>
      <c r="Q4967" s="7">
        <v>326.8</v>
      </c>
      <c r="U4967" s="7">
        <v>440.4</v>
      </c>
    </row>
    <row r="4968" spans="1:21" x14ac:dyDescent="0.2">
      <c r="A4968">
        <v>4967</v>
      </c>
      <c r="B4968" s="1">
        <v>40869</v>
      </c>
      <c r="C4968" t="s">
        <v>28</v>
      </c>
      <c r="D4968" s="7">
        <v>130</v>
      </c>
      <c r="E4968" s="7">
        <v>20</v>
      </c>
      <c r="F4968" s="7">
        <f t="shared" si="77"/>
        <v>3</v>
      </c>
      <c r="G4968" s="7" t="str">
        <f>LOOKUP(H4968,[1]startdates!$A$2:$A$10,[1]startdates!$B$2:$B$10)</f>
        <v>SMr</v>
      </c>
      <c r="H4968">
        <v>2</v>
      </c>
      <c r="I4968" s="7">
        <v>510.5</v>
      </c>
      <c r="K4968" s="7">
        <v>535.29999999999995</v>
      </c>
      <c r="L4968" s="7">
        <v>414.6</v>
      </c>
      <c r="M4968" s="7">
        <v>317.10000000000002</v>
      </c>
      <c r="N4968" s="7">
        <v>272.8</v>
      </c>
      <c r="O4968" s="7">
        <v>164</v>
      </c>
      <c r="P4968" s="7">
        <v>464</v>
      </c>
      <c r="Q4968" s="7">
        <v>328.4</v>
      </c>
      <c r="U4968" s="7">
        <v>458.1</v>
      </c>
    </row>
    <row r="4969" spans="1:21" x14ac:dyDescent="0.2">
      <c r="A4969">
        <v>4968</v>
      </c>
      <c r="B4969" s="1">
        <v>40869</v>
      </c>
      <c r="C4969" t="s">
        <v>28</v>
      </c>
      <c r="D4969" s="7">
        <v>130</v>
      </c>
      <c r="E4969" s="7">
        <v>20</v>
      </c>
      <c r="F4969" s="7">
        <f t="shared" ref="F4969:F5032" si="78">WEEKDAY(B4969)</f>
        <v>3</v>
      </c>
      <c r="G4969" s="7" t="str">
        <f>LOOKUP(H4969,[1]startdates!$A$2:$A$10,[1]startdates!$B$2:$B$10)</f>
        <v>SMr</v>
      </c>
      <c r="H4969">
        <v>2</v>
      </c>
      <c r="I4969" s="7">
        <v>703.1</v>
      </c>
      <c r="L4969" s="7">
        <v>438.3</v>
      </c>
      <c r="M4969" s="7">
        <v>285.89999999999998</v>
      </c>
      <c r="N4969" s="7">
        <v>224</v>
      </c>
      <c r="O4969" s="7">
        <v>159.5</v>
      </c>
      <c r="P4969" s="7">
        <v>469.4</v>
      </c>
    </row>
    <row r="4970" spans="1:21" x14ac:dyDescent="0.2">
      <c r="A4970">
        <v>4969</v>
      </c>
      <c r="B4970" s="1">
        <v>40869</v>
      </c>
      <c r="C4970" t="s">
        <v>28</v>
      </c>
      <c r="D4970" s="7">
        <v>130</v>
      </c>
      <c r="E4970" s="7">
        <v>20</v>
      </c>
      <c r="F4970" s="7">
        <f t="shared" si="78"/>
        <v>3</v>
      </c>
      <c r="G4970" s="7" t="str">
        <f>LOOKUP(H4970,[1]startdates!$A$2:$A$10,[1]startdates!$B$2:$B$10)</f>
        <v>SMr</v>
      </c>
      <c r="H4970">
        <v>2</v>
      </c>
      <c r="I4970" s="7">
        <v>680.7</v>
      </c>
      <c r="M4970" s="7">
        <v>305.89999999999998</v>
      </c>
      <c r="N4970" s="7">
        <v>253.9</v>
      </c>
      <c r="O4970" s="7">
        <v>171.3</v>
      </c>
    </row>
    <row r="4971" spans="1:21" x14ac:dyDescent="0.2">
      <c r="A4971">
        <v>4970</v>
      </c>
      <c r="B4971" s="1">
        <v>40869</v>
      </c>
      <c r="C4971" t="s">
        <v>28</v>
      </c>
      <c r="D4971" s="7">
        <v>130</v>
      </c>
      <c r="E4971" s="7">
        <v>20</v>
      </c>
      <c r="F4971" s="7">
        <f t="shared" si="78"/>
        <v>3</v>
      </c>
      <c r="G4971" s="7" t="str">
        <f>LOOKUP(H4971,[1]startdates!$A$2:$A$10,[1]startdates!$B$2:$B$10)</f>
        <v>SMr</v>
      </c>
      <c r="H4971">
        <v>2</v>
      </c>
      <c r="I4971" s="7">
        <v>535.79999999999995</v>
      </c>
      <c r="M4971" s="7">
        <v>312.60000000000002</v>
      </c>
      <c r="N4971" s="7">
        <v>202.8</v>
      </c>
      <c r="O4971" s="7">
        <v>156.6</v>
      </c>
    </row>
    <row r="4972" spans="1:21" x14ac:dyDescent="0.2">
      <c r="A4972">
        <v>4971</v>
      </c>
      <c r="B4972" s="1">
        <v>40869</v>
      </c>
      <c r="C4972" t="s">
        <v>28</v>
      </c>
      <c r="D4972" s="7">
        <v>130</v>
      </c>
      <c r="E4972" s="7">
        <v>20</v>
      </c>
      <c r="F4972" s="7">
        <f t="shared" si="78"/>
        <v>3</v>
      </c>
      <c r="G4972" s="7" t="str">
        <f>LOOKUP(H4972,[1]startdates!$A$2:$A$10,[1]startdates!$B$2:$B$10)</f>
        <v>SMr</v>
      </c>
      <c r="H4972">
        <v>2</v>
      </c>
      <c r="I4972" s="7">
        <v>522</v>
      </c>
      <c r="M4972" s="7">
        <v>289.8</v>
      </c>
      <c r="N4972" s="7">
        <v>222.6</v>
      </c>
      <c r="O4972" s="7">
        <v>180.1</v>
      </c>
    </row>
    <row r="4973" spans="1:21" x14ac:dyDescent="0.2">
      <c r="A4973">
        <v>4972</v>
      </c>
      <c r="B4973" s="1">
        <v>40869</v>
      </c>
      <c r="C4973" t="s">
        <v>28</v>
      </c>
      <c r="D4973" s="7">
        <v>130</v>
      </c>
      <c r="E4973" s="7">
        <v>20</v>
      </c>
      <c r="F4973" s="7">
        <f t="shared" si="78"/>
        <v>3</v>
      </c>
      <c r="G4973" s="7" t="str">
        <f>LOOKUP(H4973,[1]startdates!$A$2:$A$10,[1]startdates!$B$2:$B$10)</f>
        <v>SMr</v>
      </c>
      <c r="H4973">
        <v>2</v>
      </c>
      <c r="I4973" s="7">
        <v>569</v>
      </c>
      <c r="M4973" s="7">
        <v>309.8</v>
      </c>
      <c r="N4973" s="7">
        <v>240.1</v>
      </c>
      <c r="O4973" s="7">
        <v>208.4</v>
      </c>
    </row>
    <row r="4974" spans="1:21" x14ac:dyDescent="0.2">
      <c r="A4974">
        <v>4973</v>
      </c>
      <c r="B4974" s="1">
        <v>40869</v>
      </c>
      <c r="C4974" t="s">
        <v>28</v>
      </c>
      <c r="D4974" s="7">
        <v>130</v>
      </c>
      <c r="E4974" s="7">
        <v>20</v>
      </c>
      <c r="F4974" s="7">
        <f t="shared" si="78"/>
        <v>3</v>
      </c>
      <c r="G4974" s="7" t="str">
        <f>LOOKUP(H4974,[1]startdates!$A$2:$A$10,[1]startdates!$B$2:$B$10)</f>
        <v>SMr</v>
      </c>
      <c r="H4974">
        <v>2</v>
      </c>
      <c r="I4974" s="7">
        <v>590.5</v>
      </c>
      <c r="M4974" s="7">
        <v>335.9</v>
      </c>
      <c r="N4974" s="7">
        <v>228.4</v>
      </c>
      <c r="O4974" s="7">
        <v>186.6</v>
      </c>
    </row>
    <row r="4975" spans="1:21" x14ac:dyDescent="0.2">
      <c r="A4975">
        <v>4974</v>
      </c>
      <c r="B4975" s="1">
        <v>40869</v>
      </c>
      <c r="C4975" t="s">
        <v>28</v>
      </c>
      <c r="D4975" s="7">
        <v>130</v>
      </c>
      <c r="E4975" s="7">
        <v>20</v>
      </c>
      <c r="F4975" s="7">
        <f t="shared" si="78"/>
        <v>3</v>
      </c>
      <c r="G4975" s="7" t="str">
        <f>LOOKUP(H4975,[1]startdates!$A$2:$A$10,[1]startdates!$B$2:$B$10)</f>
        <v>SMr</v>
      </c>
      <c r="H4975">
        <v>2</v>
      </c>
      <c r="I4975" s="7">
        <v>611.29999999999995</v>
      </c>
      <c r="M4975" s="7">
        <v>295</v>
      </c>
      <c r="O4975" s="7">
        <v>166</v>
      </c>
    </row>
    <row r="4976" spans="1:21" x14ac:dyDescent="0.2">
      <c r="A4976">
        <v>4975</v>
      </c>
      <c r="B4976" s="1">
        <v>40869</v>
      </c>
      <c r="C4976" t="s">
        <v>28</v>
      </c>
      <c r="D4976" s="7">
        <v>130</v>
      </c>
      <c r="E4976" s="7">
        <v>20</v>
      </c>
      <c r="F4976" s="7">
        <f t="shared" si="78"/>
        <v>3</v>
      </c>
      <c r="G4976" s="7" t="str">
        <f>LOOKUP(H4976,[1]startdates!$A$2:$A$10,[1]startdates!$B$2:$B$10)</f>
        <v>SMr</v>
      </c>
      <c r="H4976">
        <v>2</v>
      </c>
      <c r="I4976" s="7">
        <v>590.4</v>
      </c>
      <c r="M4976" s="7">
        <v>330.7</v>
      </c>
      <c r="O4976" s="7">
        <v>163.4</v>
      </c>
    </row>
    <row r="4977" spans="1:21" x14ac:dyDescent="0.2">
      <c r="A4977">
        <v>4976</v>
      </c>
      <c r="B4977" s="1">
        <v>40869</v>
      </c>
      <c r="C4977" t="s">
        <v>24</v>
      </c>
      <c r="D4977" s="7">
        <v>130</v>
      </c>
      <c r="E4977" s="7">
        <v>20</v>
      </c>
      <c r="F4977" s="7">
        <f t="shared" si="78"/>
        <v>3</v>
      </c>
      <c r="G4977" s="7" t="str">
        <f>LOOKUP(H4977,[1]startdates!$A$2:$A$10,[1]startdates!$B$2:$B$10)</f>
        <v>C</v>
      </c>
      <c r="H4977">
        <v>3</v>
      </c>
      <c r="I4977" s="7">
        <v>583.5</v>
      </c>
      <c r="K4977" s="7">
        <v>520.4</v>
      </c>
      <c r="L4977" s="7">
        <v>416.8</v>
      </c>
      <c r="M4977" s="7">
        <v>325.2</v>
      </c>
      <c r="N4977" s="7">
        <v>254.1</v>
      </c>
      <c r="O4977" s="7">
        <v>163.5</v>
      </c>
      <c r="P4977" s="7">
        <v>442.6</v>
      </c>
      <c r="R4977" s="7">
        <v>268.8</v>
      </c>
    </row>
    <row r="4978" spans="1:21" x14ac:dyDescent="0.2">
      <c r="A4978">
        <v>4977</v>
      </c>
      <c r="B4978" s="1">
        <v>40869</v>
      </c>
      <c r="C4978" t="s">
        <v>24</v>
      </c>
      <c r="D4978" s="7">
        <v>130</v>
      </c>
      <c r="E4978" s="7">
        <v>20</v>
      </c>
      <c r="F4978" s="7">
        <f t="shared" si="78"/>
        <v>3</v>
      </c>
      <c r="G4978" s="7" t="str">
        <f>LOOKUP(H4978,[1]startdates!$A$2:$A$10,[1]startdates!$B$2:$B$10)</f>
        <v>C</v>
      </c>
      <c r="H4978">
        <v>3</v>
      </c>
      <c r="I4978" s="7">
        <v>551.9</v>
      </c>
      <c r="K4978" s="7">
        <v>477.3</v>
      </c>
      <c r="L4978" s="7">
        <v>427.3</v>
      </c>
      <c r="M4978" s="7">
        <v>353.6</v>
      </c>
      <c r="N4978" s="7">
        <v>213.7</v>
      </c>
      <c r="O4978" s="7">
        <v>184.1</v>
      </c>
      <c r="R4978" s="7">
        <v>250.4</v>
      </c>
    </row>
    <row r="4979" spans="1:21" x14ac:dyDescent="0.2">
      <c r="A4979">
        <v>4978</v>
      </c>
      <c r="B4979" s="1">
        <v>40869</v>
      </c>
      <c r="C4979" t="s">
        <v>24</v>
      </c>
      <c r="D4979" s="7">
        <v>130</v>
      </c>
      <c r="E4979" s="7">
        <v>20</v>
      </c>
      <c r="F4979" s="7">
        <f t="shared" si="78"/>
        <v>3</v>
      </c>
      <c r="G4979" s="7" t="str">
        <f>LOOKUP(H4979,[1]startdates!$A$2:$A$10,[1]startdates!$B$2:$B$10)</f>
        <v>C</v>
      </c>
      <c r="H4979">
        <v>3</v>
      </c>
      <c r="I4979" s="7">
        <v>475.2</v>
      </c>
      <c r="K4979" s="7">
        <v>524.29999999999995</v>
      </c>
      <c r="L4979" s="7">
        <v>403.7</v>
      </c>
      <c r="M4979" s="7">
        <v>275.10000000000002</v>
      </c>
      <c r="N4979" s="7">
        <v>218.1</v>
      </c>
      <c r="O4979" s="7">
        <v>177.1</v>
      </c>
    </row>
    <row r="4980" spans="1:21" x14ac:dyDescent="0.2">
      <c r="A4980">
        <v>4979</v>
      </c>
      <c r="B4980" s="1">
        <v>40869</v>
      </c>
      <c r="C4980" t="s">
        <v>24</v>
      </c>
      <c r="D4980" s="7">
        <v>130</v>
      </c>
      <c r="E4980" s="7">
        <v>20</v>
      </c>
      <c r="F4980" s="7">
        <f t="shared" si="78"/>
        <v>3</v>
      </c>
      <c r="G4980" s="7" t="str">
        <f>LOOKUP(H4980,[1]startdates!$A$2:$A$10,[1]startdates!$B$2:$B$10)</f>
        <v>C</v>
      </c>
      <c r="H4980">
        <v>3</v>
      </c>
      <c r="I4980" s="7">
        <v>689.4</v>
      </c>
      <c r="K4980" s="7">
        <v>471.3</v>
      </c>
      <c r="M4980" s="7">
        <v>274</v>
      </c>
      <c r="N4980" s="7">
        <v>212.7</v>
      </c>
      <c r="O4980" s="7">
        <v>191.5</v>
      </c>
    </row>
    <row r="4981" spans="1:21" x14ac:dyDescent="0.2">
      <c r="A4981">
        <v>4980</v>
      </c>
      <c r="B4981" s="1">
        <v>40869</v>
      </c>
      <c r="C4981" t="s">
        <v>24</v>
      </c>
      <c r="D4981" s="7">
        <v>130</v>
      </c>
      <c r="E4981" s="7">
        <v>20</v>
      </c>
      <c r="F4981" s="7">
        <f t="shared" si="78"/>
        <v>3</v>
      </c>
      <c r="G4981" s="7" t="str">
        <f>LOOKUP(H4981,[1]startdates!$A$2:$A$10,[1]startdates!$B$2:$B$10)</f>
        <v>C</v>
      </c>
      <c r="H4981">
        <v>3</v>
      </c>
      <c r="I4981" s="7">
        <v>589.9</v>
      </c>
      <c r="K4981" s="7">
        <v>588.4</v>
      </c>
      <c r="M4981" s="7">
        <v>294</v>
      </c>
      <c r="N4981" s="7">
        <v>237.6</v>
      </c>
      <c r="O4981" s="7">
        <v>176</v>
      </c>
    </row>
    <row r="4982" spans="1:21" x14ac:dyDescent="0.2">
      <c r="A4982">
        <v>4981</v>
      </c>
      <c r="B4982" s="1">
        <v>40869</v>
      </c>
      <c r="C4982" t="s">
        <v>24</v>
      </c>
      <c r="D4982" s="7">
        <v>130</v>
      </c>
      <c r="E4982" s="7">
        <v>20</v>
      </c>
      <c r="F4982" s="7">
        <f t="shared" si="78"/>
        <v>3</v>
      </c>
      <c r="G4982" s="7" t="str">
        <f>LOOKUP(H4982,[1]startdates!$A$2:$A$10,[1]startdates!$B$2:$B$10)</f>
        <v>C</v>
      </c>
      <c r="H4982">
        <v>3</v>
      </c>
      <c r="I4982" s="7">
        <v>532.5</v>
      </c>
      <c r="K4982" s="7">
        <v>595</v>
      </c>
      <c r="M4982" s="7">
        <v>270.60000000000002</v>
      </c>
      <c r="N4982" s="7">
        <v>221.3</v>
      </c>
      <c r="O4982" s="7">
        <v>176.7</v>
      </c>
    </row>
    <row r="4983" spans="1:21" x14ac:dyDescent="0.2">
      <c r="A4983">
        <v>4982</v>
      </c>
      <c r="B4983" s="1">
        <v>40869</v>
      </c>
      <c r="C4983" t="s">
        <v>24</v>
      </c>
      <c r="D4983" s="7">
        <v>130</v>
      </c>
      <c r="E4983" s="7">
        <v>20</v>
      </c>
      <c r="F4983" s="7">
        <f t="shared" si="78"/>
        <v>3</v>
      </c>
      <c r="G4983" s="7" t="str">
        <f>LOOKUP(H4983,[1]startdates!$A$2:$A$10,[1]startdates!$B$2:$B$10)</f>
        <v>C</v>
      </c>
      <c r="H4983">
        <v>3</v>
      </c>
      <c r="I4983" s="7">
        <v>543.6</v>
      </c>
      <c r="K4983" s="7">
        <v>416.6</v>
      </c>
      <c r="N4983" s="7">
        <v>247.7</v>
      </c>
      <c r="O4983" s="7">
        <v>188.9</v>
      </c>
    </row>
    <row r="4984" spans="1:21" x14ac:dyDescent="0.2">
      <c r="A4984">
        <v>4983</v>
      </c>
      <c r="B4984" s="1">
        <v>40869</v>
      </c>
      <c r="C4984" t="s">
        <v>24</v>
      </c>
      <c r="D4984" s="7">
        <v>130</v>
      </c>
      <c r="E4984" s="7">
        <v>20</v>
      </c>
      <c r="F4984" s="7">
        <f t="shared" si="78"/>
        <v>3</v>
      </c>
      <c r="G4984" s="7" t="str">
        <f>LOOKUP(H4984,[1]startdates!$A$2:$A$10,[1]startdates!$B$2:$B$10)</f>
        <v>C</v>
      </c>
      <c r="H4984">
        <v>3</v>
      </c>
      <c r="I4984" s="7">
        <v>526.1</v>
      </c>
      <c r="K4984" s="7">
        <v>589.5</v>
      </c>
      <c r="N4984" s="7">
        <v>217.3</v>
      </c>
      <c r="O4984" s="7">
        <v>146.69999999999999</v>
      </c>
    </row>
    <row r="4985" spans="1:21" x14ac:dyDescent="0.2">
      <c r="A4985">
        <v>4984</v>
      </c>
      <c r="B4985" s="1">
        <v>40869</v>
      </c>
      <c r="C4985" t="s">
        <v>24</v>
      </c>
      <c r="D4985" s="7">
        <v>130</v>
      </c>
      <c r="E4985" s="7">
        <v>20</v>
      </c>
      <c r="F4985" s="7">
        <f t="shared" si="78"/>
        <v>3</v>
      </c>
      <c r="G4985" s="7" t="str">
        <f>LOOKUP(H4985,[1]startdates!$A$2:$A$10,[1]startdates!$B$2:$B$10)</f>
        <v>C</v>
      </c>
      <c r="H4985">
        <v>3</v>
      </c>
      <c r="I4985" s="7">
        <v>517.1</v>
      </c>
      <c r="K4985" s="7">
        <v>494</v>
      </c>
      <c r="N4985" s="7">
        <v>208.4</v>
      </c>
      <c r="O4985" s="7">
        <v>165.8</v>
      </c>
    </row>
    <row r="4986" spans="1:21" x14ac:dyDescent="0.2">
      <c r="A4986">
        <v>4985</v>
      </c>
      <c r="B4986" s="1">
        <v>40869</v>
      </c>
      <c r="C4986" t="s">
        <v>24</v>
      </c>
      <c r="D4986" s="7">
        <v>130</v>
      </c>
      <c r="E4986" s="7">
        <v>20</v>
      </c>
      <c r="F4986" s="7">
        <f t="shared" si="78"/>
        <v>3</v>
      </c>
      <c r="G4986" s="7" t="str">
        <f>LOOKUP(H4986,[1]startdates!$A$2:$A$10,[1]startdates!$B$2:$B$10)</f>
        <v>C</v>
      </c>
      <c r="H4986">
        <v>3</v>
      </c>
      <c r="I4986" s="7">
        <v>546.5</v>
      </c>
      <c r="K4986" s="7">
        <v>515.9</v>
      </c>
      <c r="N4986" s="7">
        <v>247.7</v>
      </c>
      <c r="O4986" s="7">
        <v>196</v>
      </c>
    </row>
    <row r="4987" spans="1:21" x14ac:dyDescent="0.2">
      <c r="A4987">
        <v>4986</v>
      </c>
      <c r="B4987" s="1">
        <v>40869</v>
      </c>
      <c r="C4987" t="s">
        <v>24</v>
      </c>
      <c r="D4987" s="7">
        <v>130</v>
      </c>
      <c r="E4987" s="7">
        <v>20</v>
      </c>
      <c r="F4987" s="7">
        <f t="shared" si="78"/>
        <v>3</v>
      </c>
      <c r="G4987" s="7" t="str">
        <f>LOOKUP(H4987,[1]startdates!$A$2:$A$10,[1]startdates!$B$2:$B$10)</f>
        <v>C</v>
      </c>
      <c r="H4987">
        <v>3</v>
      </c>
      <c r="I4987" s="7">
        <v>575.4</v>
      </c>
      <c r="O4987" s="7">
        <v>176.9</v>
      </c>
    </row>
    <row r="4988" spans="1:21" x14ac:dyDescent="0.2">
      <c r="A4988">
        <v>4987</v>
      </c>
      <c r="B4988" s="1">
        <v>40869</v>
      </c>
      <c r="C4988" t="s">
        <v>24</v>
      </c>
      <c r="D4988" s="7">
        <v>130</v>
      </c>
      <c r="E4988" s="7">
        <v>20</v>
      </c>
      <c r="F4988" s="7">
        <f t="shared" si="78"/>
        <v>3</v>
      </c>
      <c r="G4988" s="7" t="str">
        <f>LOOKUP(H4988,[1]startdates!$A$2:$A$10,[1]startdates!$B$2:$B$10)</f>
        <v>SMr</v>
      </c>
      <c r="H4988">
        <v>4</v>
      </c>
      <c r="I4988" s="7">
        <v>577</v>
      </c>
      <c r="K4988" s="7">
        <v>434.4</v>
      </c>
      <c r="L4988" s="7">
        <v>490.3</v>
      </c>
      <c r="M4988" s="7">
        <v>331</v>
      </c>
      <c r="N4988" s="7">
        <v>191.5</v>
      </c>
      <c r="O4988" s="7">
        <v>164.4</v>
      </c>
      <c r="P4988" s="7">
        <v>438.1</v>
      </c>
      <c r="Q4988" s="7">
        <v>365.7</v>
      </c>
      <c r="R4988" s="7">
        <v>246.9</v>
      </c>
      <c r="T4988" s="7">
        <v>356.7</v>
      </c>
      <c r="U4988" s="7">
        <v>482</v>
      </c>
    </row>
    <row r="4989" spans="1:21" x14ac:dyDescent="0.2">
      <c r="A4989">
        <v>4988</v>
      </c>
      <c r="B4989" s="1">
        <v>40869</v>
      </c>
      <c r="C4989" t="s">
        <v>24</v>
      </c>
      <c r="D4989" s="7">
        <v>130</v>
      </c>
      <c r="E4989" s="7">
        <v>20</v>
      </c>
      <c r="F4989" s="7">
        <f t="shared" si="78"/>
        <v>3</v>
      </c>
      <c r="G4989" s="7" t="str">
        <f>LOOKUP(H4989,[1]startdates!$A$2:$A$10,[1]startdates!$B$2:$B$10)</f>
        <v>SMr</v>
      </c>
      <c r="H4989">
        <v>4</v>
      </c>
      <c r="I4989" s="7">
        <v>569</v>
      </c>
      <c r="K4989" s="7">
        <v>372.5</v>
      </c>
      <c r="L4989" s="7">
        <v>410.3</v>
      </c>
      <c r="M4989" s="7">
        <v>352.9</v>
      </c>
      <c r="N4989" s="7">
        <v>209.9</v>
      </c>
      <c r="O4989" s="7">
        <v>189.5</v>
      </c>
      <c r="P4989" s="7">
        <v>402.7</v>
      </c>
      <c r="Q4989" s="7">
        <v>341.1</v>
      </c>
      <c r="R4989" s="7">
        <v>228.9</v>
      </c>
      <c r="U4989" s="7">
        <v>426.7</v>
      </c>
    </row>
    <row r="4990" spans="1:21" x14ac:dyDescent="0.2">
      <c r="A4990">
        <v>4989</v>
      </c>
      <c r="B4990" s="1">
        <v>40869</v>
      </c>
      <c r="C4990" t="s">
        <v>24</v>
      </c>
      <c r="D4990" s="7">
        <v>130</v>
      </c>
      <c r="E4990" s="7">
        <v>20</v>
      </c>
      <c r="F4990" s="7">
        <f t="shared" si="78"/>
        <v>3</v>
      </c>
      <c r="G4990" s="7" t="str">
        <f>LOOKUP(H4990,[1]startdates!$A$2:$A$10,[1]startdates!$B$2:$B$10)</f>
        <v>SMr</v>
      </c>
      <c r="H4990">
        <v>4</v>
      </c>
      <c r="I4990" s="7">
        <v>575.1</v>
      </c>
      <c r="K4990" s="7">
        <v>455.2</v>
      </c>
      <c r="L4990" s="7">
        <v>491.3</v>
      </c>
      <c r="M4990" s="7">
        <v>312.60000000000002</v>
      </c>
      <c r="N4990" s="7">
        <v>184.1</v>
      </c>
      <c r="O4990" s="7">
        <v>156.6</v>
      </c>
      <c r="Q4990" s="7">
        <v>418.4</v>
      </c>
      <c r="R4990" s="7">
        <v>305.8</v>
      </c>
      <c r="U4990" s="7">
        <v>427.2</v>
      </c>
    </row>
    <row r="4991" spans="1:21" x14ac:dyDescent="0.2">
      <c r="A4991">
        <v>4990</v>
      </c>
      <c r="B4991" s="1">
        <v>40869</v>
      </c>
      <c r="C4991" t="s">
        <v>24</v>
      </c>
      <c r="D4991" s="7">
        <v>130</v>
      </c>
      <c r="E4991" s="7">
        <v>20</v>
      </c>
      <c r="F4991" s="7">
        <f t="shared" si="78"/>
        <v>3</v>
      </c>
      <c r="G4991" s="7" t="str">
        <f>LOOKUP(H4991,[1]startdates!$A$2:$A$10,[1]startdates!$B$2:$B$10)</f>
        <v>SMr</v>
      </c>
      <c r="H4991">
        <v>4</v>
      </c>
      <c r="I4991" s="7">
        <v>545.70000000000005</v>
      </c>
      <c r="M4991" s="7">
        <v>283.2</v>
      </c>
      <c r="N4991" s="7">
        <v>188.1</v>
      </c>
      <c r="O4991" s="7">
        <v>144.4</v>
      </c>
      <c r="Q4991" s="7">
        <v>331</v>
      </c>
      <c r="R4991" s="7">
        <v>302.60000000000002</v>
      </c>
    </row>
    <row r="4992" spans="1:21" x14ac:dyDescent="0.2">
      <c r="A4992">
        <v>4991</v>
      </c>
      <c r="B4992" s="1">
        <v>40869</v>
      </c>
      <c r="C4992" t="s">
        <v>24</v>
      </c>
      <c r="D4992" s="7">
        <v>130</v>
      </c>
      <c r="E4992" s="7">
        <v>20</v>
      </c>
      <c r="F4992" s="7">
        <f t="shared" si="78"/>
        <v>3</v>
      </c>
      <c r="G4992" s="7" t="str">
        <f>LOOKUP(H4992,[1]startdates!$A$2:$A$10,[1]startdates!$B$2:$B$10)</f>
        <v>SMr</v>
      </c>
      <c r="H4992">
        <v>4</v>
      </c>
      <c r="I4992" s="7">
        <v>550.70000000000005</v>
      </c>
      <c r="N4992" s="7">
        <v>237.5</v>
      </c>
      <c r="O4992" s="7">
        <v>161.5</v>
      </c>
      <c r="Q4992" s="7">
        <v>401.9</v>
      </c>
      <c r="R4992" s="7">
        <v>309.39999999999998</v>
      </c>
    </row>
    <row r="4993" spans="1:18" x14ac:dyDescent="0.2">
      <c r="A4993">
        <v>4992</v>
      </c>
      <c r="B4993" s="1">
        <v>40869</v>
      </c>
      <c r="C4993" t="s">
        <v>24</v>
      </c>
      <c r="D4993" s="7">
        <v>130</v>
      </c>
      <c r="E4993" s="7">
        <v>20</v>
      </c>
      <c r="F4993" s="7">
        <f t="shared" si="78"/>
        <v>3</v>
      </c>
      <c r="G4993" s="7" t="str">
        <f>LOOKUP(H4993,[1]startdates!$A$2:$A$10,[1]startdates!$B$2:$B$10)</f>
        <v>SMr</v>
      </c>
      <c r="H4993">
        <v>4</v>
      </c>
      <c r="I4993" s="7">
        <v>545.4</v>
      </c>
      <c r="N4993" s="7">
        <v>206</v>
      </c>
      <c r="O4993" s="7">
        <v>176.5</v>
      </c>
      <c r="Q4993" s="7">
        <v>362.6</v>
      </c>
      <c r="R4993" s="7">
        <v>296.8</v>
      </c>
    </row>
    <row r="4994" spans="1:18" x14ac:dyDescent="0.2">
      <c r="A4994">
        <v>4993</v>
      </c>
      <c r="B4994" s="1">
        <v>40869</v>
      </c>
      <c r="C4994" t="s">
        <v>24</v>
      </c>
      <c r="D4994" s="7">
        <v>130</v>
      </c>
      <c r="E4994" s="7">
        <v>20</v>
      </c>
      <c r="F4994" s="7">
        <f t="shared" si="78"/>
        <v>3</v>
      </c>
      <c r="G4994" s="7" t="str">
        <f>LOOKUP(H4994,[1]startdates!$A$2:$A$10,[1]startdates!$B$2:$B$10)</f>
        <v>SMr</v>
      </c>
      <c r="H4994">
        <v>4</v>
      </c>
      <c r="I4994" s="7">
        <v>512.20000000000005</v>
      </c>
      <c r="N4994" s="7">
        <v>191.2</v>
      </c>
      <c r="O4994" s="7">
        <v>171.3</v>
      </c>
      <c r="Q4994" s="7">
        <v>322.8</v>
      </c>
    </row>
    <row r="4995" spans="1:18" x14ac:dyDescent="0.2">
      <c r="A4995">
        <v>4994</v>
      </c>
      <c r="B4995" s="1">
        <v>40869</v>
      </c>
      <c r="C4995" t="s">
        <v>24</v>
      </c>
      <c r="D4995" s="7">
        <v>130</v>
      </c>
      <c r="E4995" s="7">
        <v>20</v>
      </c>
      <c r="F4995" s="7">
        <f t="shared" si="78"/>
        <v>3</v>
      </c>
      <c r="G4995" s="7" t="str">
        <f>LOOKUP(H4995,[1]startdates!$A$2:$A$10,[1]startdates!$B$2:$B$10)</f>
        <v>SMr</v>
      </c>
      <c r="H4995">
        <v>4</v>
      </c>
      <c r="I4995" s="7">
        <v>540.1</v>
      </c>
      <c r="N4995" s="7">
        <v>223.6</v>
      </c>
      <c r="O4995" s="7">
        <v>163</v>
      </c>
    </row>
    <row r="4996" spans="1:18" x14ac:dyDescent="0.2">
      <c r="A4996">
        <v>4995</v>
      </c>
      <c r="B4996" s="1">
        <v>40869</v>
      </c>
      <c r="C4996" t="s">
        <v>24</v>
      </c>
      <c r="D4996" s="7">
        <v>130</v>
      </c>
      <c r="E4996" s="7">
        <v>20</v>
      </c>
      <c r="F4996" s="7">
        <f t="shared" si="78"/>
        <v>3</v>
      </c>
      <c r="G4996" s="7" t="str">
        <f>LOOKUP(H4996,[1]startdates!$A$2:$A$10,[1]startdates!$B$2:$B$10)</f>
        <v>SMr</v>
      </c>
      <c r="H4996">
        <v>4</v>
      </c>
      <c r="I4996" s="7">
        <v>504.3</v>
      </c>
      <c r="N4996" s="7">
        <v>222.5</v>
      </c>
      <c r="O4996" s="7">
        <v>177</v>
      </c>
    </row>
    <row r="4997" spans="1:18" x14ac:dyDescent="0.2">
      <c r="A4997">
        <v>4996</v>
      </c>
      <c r="B4997" s="1">
        <v>40869</v>
      </c>
      <c r="C4997" t="s">
        <v>24</v>
      </c>
      <c r="D4997" s="7">
        <v>130</v>
      </c>
      <c r="E4997" s="7">
        <v>20</v>
      </c>
      <c r="F4997" s="7">
        <f t="shared" si="78"/>
        <v>3</v>
      </c>
      <c r="G4997" s="7" t="str">
        <f>LOOKUP(H4997,[1]startdates!$A$2:$A$10,[1]startdates!$B$2:$B$10)</f>
        <v>SMr</v>
      </c>
      <c r="H4997">
        <v>4</v>
      </c>
      <c r="I4997" s="7">
        <v>562.5</v>
      </c>
      <c r="N4997" s="7">
        <v>199.3</v>
      </c>
      <c r="O4997" s="7">
        <v>175</v>
      </c>
    </row>
    <row r="4998" spans="1:18" x14ac:dyDescent="0.2">
      <c r="A4998">
        <v>4997</v>
      </c>
      <c r="B4998" s="1">
        <v>40869</v>
      </c>
      <c r="C4998" t="s">
        <v>24</v>
      </c>
      <c r="D4998" s="7">
        <v>130</v>
      </c>
      <c r="E4998" s="7">
        <v>20</v>
      </c>
      <c r="F4998" s="7">
        <f t="shared" si="78"/>
        <v>3</v>
      </c>
      <c r="G4998" s="7" t="str">
        <f>LOOKUP(H4998,[1]startdates!$A$2:$A$10,[1]startdates!$B$2:$B$10)</f>
        <v>SMr</v>
      </c>
      <c r="H4998">
        <v>4</v>
      </c>
      <c r="I4998" s="7">
        <v>597.4</v>
      </c>
      <c r="O4998" s="7">
        <v>158.5</v>
      </c>
    </row>
    <row r="4999" spans="1:18" x14ac:dyDescent="0.2">
      <c r="A4999">
        <v>4998</v>
      </c>
      <c r="B4999" s="1">
        <v>40869</v>
      </c>
      <c r="C4999" t="s">
        <v>24</v>
      </c>
      <c r="D4999" s="7">
        <v>130</v>
      </c>
      <c r="E4999" s="7">
        <v>20</v>
      </c>
      <c r="F4999" s="7">
        <f t="shared" si="78"/>
        <v>3</v>
      </c>
      <c r="G4999" s="7" t="str">
        <f>LOOKUP(H4999,[1]startdates!$A$2:$A$10,[1]startdates!$B$2:$B$10)</f>
        <v>SMr</v>
      </c>
      <c r="H4999">
        <v>4</v>
      </c>
      <c r="O4999" s="7">
        <v>140.19999999999999</v>
      </c>
    </row>
    <row r="5000" spans="1:18" x14ac:dyDescent="0.2">
      <c r="A5000">
        <v>4999</v>
      </c>
      <c r="B5000" s="1">
        <v>40869</v>
      </c>
      <c r="C5000" t="s">
        <v>28</v>
      </c>
      <c r="D5000" s="7">
        <v>130</v>
      </c>
      <c r="E5000" s="7">
        <v>20</v>
      </c>
      <c r="F5000" s="7">
        <f t="shared" si="78"/>
        <v>3</v>
      </c>
      <c r="G5000" s="7" t="str">
        <f>LOOKUP(H5000,[1]startdates!$A$2:$A$10,[1]startdates!$B$2:$B$10)</f>
        <v>C</v>
      </c>
      <c r="H5000">
        <v>5</v>
      </c>
      <c r="I5000" s="7">
        <v>552.1</v>
      </c>
      <c r="J5000" s="7">
        <v>479</v>
      </c>
      <c r="K5000" s="7">
        <v>524</v>
      </c>
      <c r="L5000" s="7">
        <v>402.2</v>
      </c>
      <c r="M5000" s="7">
        <v>362.6</v>
      </c>
      <c r="N5000" s="7">
        <v>258.10000000000002</v>
      </c>
      <c r="O5000" s="7">
        <v>140.1</v>
      </c>
      <c r="P5000" s="7">
        <v>483.7</v>
      </c>
      <c r="Q5000" s="7">
        <v>361.3</v>
      </c>
      <c r="R5000" s="7">
        <v>276</v>
      </c>
    </row>
    <row r="5001" spans="1:18" x14ac:dyDescent="0.2">
      <c r="A5001">
        <v>5000</v>
      </c>
      <c r="B5001" s="1">
        <v>40869</v>
      </c>
      <c r="C5001" t="s">
        <v>28</v>
      </c>
      <c r="D5001" s="7">
        <v>130</v>
      </c>
      <c r="E5001" s="7">
        <v>20</v>
      </c>
      <c r="F5001" s="7">
        <f t="shared" si="78"/>
        <v>3</v>
      </c>
      <c r="G5001" s="7" t="str">
        <f>LOOKUP(H5001,[1]startdates!$A$2:$A$10,[1]startdates!$B$2:$B$10)</f>
        <v>C</v>
      </c>
      <c r="H5001">
        <v>5</v>
      </c>
      <c r="I5001" s="7">
        <v>580.6</v>
      </c>
      <c r="J5001" s="7">
        <v>547.5</v>
      </c>
      <c r="K5001" s="7">
        <v>489.1</v>
      </c>
      <c r="L5001" s="7">
        <v>452.9</v>
      </c>
      <c r="M5001" s="7">
        <v>293.8</v>
      </c>
      <c r="N5001" s="7">
        <v>180.4</v>
      </c>
      <c r="O5001" s="7">
        <v>162.4</v>
      </c>
      <c r="P5001" s="7">
        <v>469.1</v>
      </c>
      <c r="R5001" s="7">
        <v>260.2</v>
      </c>
    </row>
    <row r="5002" spans="1:18" x14ac:dyDescent="0.2">
      <c r="A5002">
        <v>5001</v>
      </c>
      <c r="B5002" s="1">
        <v>40869</v>
      </c>
      <c r="C5002" t="s">
        <v>28</v>
      </c>
      <c r="D5002" s="7">
        <v>130</v>
      </c>
      <c r="E5002" s="7">
        <v>20</v>
      </c>
      <c r="F5002" s="7">
        <f t="shared" si="78"/>
        <v>3</v>
      </c>
      <c r="G5002" s="7" t="str">
        <f>LOOKUP(H5002,[1]startdates!$A$2:$A$10,[1]startdates!$B$2:$B$10)</f>
        <v>C</v>
      </c>
      <c r="H5002">
        <v>5</v>
      </c>
      <c r="I5002" s="7">
        <v>585.29999999999995</v>
      </c>
      <c r="K5002" s="7">
        <v>525.4</v>
      </c>
      <c r="L5002" s="7">
        <v>401</v>
      </c>
      <c r="M5002" s="7">
        <v>308</v>
      </c>
      <c r="N5002" s="7">
        <v>234</v>
      </c>
      <c r="O5002" s="7">
        <v>163.5</v>
      </c>
      <c r="P5002" s="7">
        <v>463.7</v>
      </c>
      <c r="R5002" s="7">
        <v>249.2</v>
      </c>
    </row>
    <row r="5003" spans="1:18" x14ac:dyDescent="0.2">
      <c r="A5003">
        <v>5002</v>
      </c>
      <c r="B5003" s="1">
        <v>40869</v>
      </c>
      <c r="C5003" t="s">
        <v>28</v>
      </c>
      <c r="D5003" s="7">
        <v>130</v>
      </c>
      <c r="E5003" s="7">
        <v>20</v>
      </c>
      <c r="F5003" s="7">
        <f t="shared" si="78"/>
        <v>3</v>
      </c>
      <c r="G5003" s="7" t="str">
        <f>LOOKUP(H5003,[1]startdates!$A$2:$A$10,[1]startdates!$B$2:$B$10)</f>
        <v>C</v>
      </c>
      <c r="H5003">
        <v>5</v>
      </c>
      <c r="I5003" s="7">
        <v>607.29999999999995</v>
      </c>
      <c r="K5003" s="7">
        <v>629.6</v>
      </c>
      <c r="L5003" s="7">
        <v>43.2</v>
      </c>
      <c r="M5003" s="7">
        <v>318</v>
      </c>
      <c r="N5003" s="7">
        <v>219.6</v>
      </c>
      <c r="O5003" s="7">
        <v>159.80000000000001</v>
      </c>
      <c r="R5003" s="7">
        <v>257.3</v>
      </c>
    </row>
    <row r="5004" spans="1:18" x14ac:dyDescent="0.2">
      <c r="A5004">
        <v>5003</v>
      </c>
      <c r="B5004" s="1">
        <v>40869</v>
      </c>
      <c r="C5004" t="s">
        <v>28</v>
      </c>
      <c r="D5004" s="7">
        <v>130</v>
      </c>
      <c r="E5004" s="7">
        <v>20</v>
      </c>
      <c r="F5004" s="7">
        <f t="shared" si="78"/>
        <v>3</v>
      </c>
      <c r="G5004" s="7" t="str">
        <f>LOOKUP(H5004,[1]startdates!$A$2:$A$10,[1]startdates!$B$2:$B$10)</f>
        <v>C</v>
      </c>
      <c r="H5004">
        <v>5</v>
      </c>
      <c r="I5004" s="7">
        <v>646.70000000000005</v>
      </c>
      <c r="K5004" s="7">
        <v>483.2</v>
      </c>
      <c r="M5004" s="7">
        <v>341</v>
      </c>
      <c r="N5004" s="7">
        <v>243.4</v>
      </c>
      <c r="O5004" s="7">
        <v>171.3</v>
      </c>
      <c r="R5004" s="7">
        <v>247.4</v>
      </c>
    </row>
    <row r="5005" spans="1:18" x14ac:dyDescent="0.2">
      <c r="A5005">
        <v>5004</v>
      </c>
      <c r="B5005" s="1">
        <v>40869</v>
      </c>
      <c r="C5005" t="s">
        <v>28</v>
      </c>
      <c r="D5005" s="7">
        <v>130</v>
      </c>
      <c r="E5005" s="7">
        <v>20</v>
      </c>
      <c r="F5005" s="7">
        <f t="shared" si="78"/>
        <v>3</v>
      </c>
      <c r="G5005" s="7" t="str">
        <f>LOOKUP(H5005,[1]startdates!$A$2:$A$10,[1]startdates!$B$2:$B$10)</f>
        <v>C</v>
      </c>
      <c r="H5005">
        <v>5</v>
      </c>
      <c r="I5005" s="7">
        <v>594.70000000000005</v>
      </c>
      <c r="M5005" s="7">
        <v>333.4</v>
      </c>
      <c r="N5005" s="7">
        <v>244.8</v>
      </c>
      <c r="O5005" s="7">
        <v>191</v>
      </c>
      <c r="R5005" s="7">
        <v>250.7</v>
      </c>
    </row>
    <row r="5006" spans="1:18" x14ac:dyDescent="0.2">
      <c r="A5006">
        <v>5005</v>
      </c>
      <c r="B5006" s="1">
        <v>40869</v>
      </c>
      <c r="C5006" t="s">
        <v>28</v>
      </c>
      <c r="D5006" s="7">
        <v>130</v>
      </c>
      <c r="E5006" s="7">
        <v>20</v>
      </c>
      <c r="F5006" s="7">
        <f t="shared" si="78"/>
        <v>3</v>
      </c>
      <c r="G5006" s="7" t="str">
        <f>LOOKUP(H5006,[1]startdates!$A$2:$A$10,[1]startdates!$B$2:$B$10)</f>
        <v>C</v>
      </c>
      <c r="H5006">
        <v>5</v>
      </c>
      <c r="I5006" s="7">
        <v>537.1</v>
      </c>
      <c r="M5006" s="7">
        <v>388.3</v>
      </c>
      <c r="N5006" s="7">
        <v>242.2</v>
      </c>
      <c r="O5006" s="7">
        <v>171.5</v>
      </c>
    </row>
    <row r="5007" spans="1:18" x14ac:dyDescent="0.2">
      <c r="A5007">
        <v>5006</v>
      </c>
      <c r="B5007" s="1">
        <v>40869</v>
      </c>
      <c r="C5007" t="s">
        <v>28</v>
      </c>
      <c r="D5007" s="7">
        <v>130</v>
      </c>
      <c r="E5007" s="7">
        <v>20</v>
      </c>
      <c r="F5007" s="7">
        <f t="shared" si="78"/>
        <v>3</v>
      </c>
      <c r="G5007" s="7" t="str">
        <f>LOOKUP(H5007,[1]startdates!$A$2:$A$10,[1]startdates!$B$2:$B$10)</f>
        <v>C</v>
      </c>
      <c r="H5007">
        <v>5</v>
      </c>
      <c r="I5007" s="7">
        <v>565.4</v>
      </c>
      <c r="M5007" s="7">
        <v>343.8</v>
      </c>
      <c r="N5007" s="7">
        <v>183.4</v>
      </c>
      <c r="O5007" s="7">
        <v>150.19999999999999</v>
      </c>
    </row>
    <row r="5008" spans="1:18" x14ac:dyDescent="0.2">
      <c r="A5008">
        <v>5007</v>
      </c>
      <c r="B5008" s="1">
        <v>40869</v>
      </c>
      <c r="C5008" t="s">
        <v>28</v>
      </c>
      <c r="D5008" s="7">
        <v>130</v>
      </c>
      <c r="E5008" s="7">
        <v>20</v>
      </c>
      <c r="F5008" s="7">
        <f t="shared" si="78"/>
        <v>3</v>
      </c>
      <c r="G5008" s="7" t="str">
        <f>LOOKUP(H5008,[1]startdates!$A$2:$A$10,[1]startdates!$B$2:$B$10)</f>
        <v>C</v>
      </c>
      <c r="H5008">
        <v>5</v>
      </c>
      <c r="I5008" s="7">
        <v>558</v>
      </c>
      <c r="M5008" s="7">
        <v>331.1</v>
      </c>
      <c r="N5008" s="7">
        <v>212.4</v>
      </c>
      <c r="O5008" s="7">
        <v>189.2</v>
      </c>
    </row>
    <row r="5009" spans="1:22" x14ac:dyDescent="0.2">
      <c r="A5009">
        <v>5008</v>
      </c>
      <c r="B5009" s="1">
        <v>40869</v>
      </c>
      <c r="C5009" t="s">
        <v>28</v>
      </c>
      <c r="D5009" s="7">
        <v>130</v>
      </c>
      <c r="E5009" s="7">
        <v>20</v>
      </c>
      <c r="F5009" s="7">
        <f t="shared" si="78"/>
        <v>3</v>
      </c>
      <c r="G5009" s="7" t="str">
        <f>LOOKUP(H5009,[1]startdates!$A$2:$A$10,[1]startdates!$B$2:$B$10)</f>
        <v>C</v>
      </c>
      <c r="H5009">
        <v>5</v>
      </c>
      <c r="I5009" s="7">
        <v>645.79999999999995</v>
      </c>
      <c r="M5009" s="7">
        <v>315.2</v>
      </c>
      <c r="N5009" s="7">
        <v>240</v>
      </c>
      <c r="O5009" s="7">
        <v>174.6</v>
      </c>
    </row>
    <row r="5010" spans="1:22" x14ac:dyDescent="0.2">
      <c r="A5010">
        <v>5009</v>
      </c>
      <c r="B5010" s="1">
        <v>40869</v>
      </c>
      <c r="C5010" t="s">
        <v>28</v>
      </c>
      <c r="D5010" s="7">
        <v>130</v>
      </c>
      <c r="E5010" s="7">
        <v>20</v>
      </c>
      <c r="F5010" s="7">
        <f t="shared" si="78"/>
        <v>3</v>
      </c>
      <c r="G5010" s="7" t="str">
        <f>LOOKUP(H5010,[1]startdates!$A$2:$A$10,[1]startdates!$B$2:$B$10)</f>
        <v>C</v>
      </c>
      <c r="H5010">
        <v>5</v>
      </c>
      <c r="I5010" s="7">
        <v>501.8</v>
      </c>
      <c r="M5010" s="7">
        <v>369.4</v>
      </c>
    </row>
    <row r="5011" spans="1:22" x14ac:dyDescent="0.2">
      <c r="A5011">
        <v>5010</v>
      </c>
      <c r="B5011" s="1">
        <v>40869</v>
      </c>
      <c r="C5011" t="s">
        <v>28</v>
      </c>
      <c r="D5011" s="7">
        <v>130</v>
      </c>
      <c r="E5011" s="7">
        <v>20</v>
      </c>
      <c r="F5011" s="7">
        <f t="shared" si="78"/>
        <v>3</v>
      </c>
      <c r="G5011" s="7" t="str">
        <f>LOOKUP(H5011,[1]startdates!$A$2:$A$10,[1]startdates!$B$2:$B$10)</f>
        <v>C</v>
      </c>
      <c r="H5011">
        <v>5</v>
      </c>
      <c r="I5011" s="7">
        <v>607.29999999999995</v>
      </c>
    </row>
    <row r="5012" spans="1:22" x14ac:dyDescent="0.2">
      <c r="A5012">
        <v>5011</v>
      </c>
      <c r="B5012" s="1">
        <v>40869</v>
      </c>
      <c r="C5012" t="s">
        <v>28</v>
      </c>
      <c r="D5012" s="7">
        <v>130</v>
      </c>
      <c r="E5012" s="7">
        <v>20</v>
      </c>
      <c r="F5012" s="7">
        <f t="shared" si="78"/>
        <v>3</v>
      </c>
      <c r="G5012" s="7" t="str">
        <f>LOOKUP(H5012,[1]startdates!$A$2:$A$10,[1]startdates!$B$2:$B$10)</f>
        <v>C</v>
      </c>
      <c r="H5012">
        <v>5</v>
      </c>
      <c r="I5012" s="7">
        <v>742.7</v>
      </c>
    </row>
    <row r="5013" spans="1:22" x14ac:dyDescent="0.2">
      <c r="A5013">
        <v>5012</v>
      </c>
      <c r="B5013" s="1">
        <v>40869</v>
      </c>
      <c r="C5013" t="s">
        <v>24</v>
      </c>
      <c r="D5013" s="7">
        <v>130</v>
      </c>
      <c r="E5013" s="7">
        <v>20</v>
      </c>
      <c r="F5013" s="7">
        <f t="shared" si="78"/>
        <v>3</v>
      </c>
      <c r="G5013" s="7" t="str">
        <f>LOOKUP(H5013,[1]startdates!$A$2:$A$10,[1]startdates!$B$2:$B$10)</f>
        <v>FMr</v>
      </c>
      <c r="H5013">
        <v>6</v>
      </c>
      <c r="I5013" s="7">
        <v>546.70000000000005</v>
      </c>
      <c r="K5013" s="7">
        <v>406.4</v>
      </c>
      <c r="L5013" s="7">
        <v>464.7</v>
      </c>
      <c r="M5013" s="7">
        <v>333.6</v>
      </c>
      <c r="N5013" s="7">
        <v>199.1</v>
      </c>
      <c r="O5013" s="7">
        <v>200.6</v>
      </c>
      <c r="P5013" s="7">
        <v>460</v>
      </c>
      <c r="R5013" s="7">
        <v>271.5</v>
      </c>
    </row>
    <row r="5014" spans="1:22" x14ac:dyDescent="0.2">
      <c r="A5014">
        <v>5013</v>
      </c>
      <c r="B5014" s="1">
        <v>40869</v>
      </c>
      <c r="C5014" t="s">
        <v>24</v>
      </c>
      <c r="D5014" s="7">
        <v>130</v>
      </c>
      <c r="E5014" s="7">
        <v>20</v>
      </c>
      <c r="F5014" s="7">
        <f t="shared" si="78"/>
        <v>3</v>
      </c>
      <c r="G5014" s="7" t="str">
        <f>LOOKUP(H5014,[1]startdates!$A$2:$A$10,[1]startdates!$B$2:$B$10)</f>
        <v>FMr</v>
      </c>
      <c r="H5014">
        <v>6</v>
      </c>
      <c r="I5014" s="7">
        <v>613.9</v>
      </c>
      <c r="K5014" s="7">
        <v>384.5</v>
      </c>
      <c r="L5014" s="7">
        <v>438.5</v>
      </c>
      <c r="M5014" s="7">
        <v>323.3</v>
      </c>
      <c r="N5014" s="7">
        <v>229.6</v>
      </c>
      <c r="O5014" s="7">
        <v>157.30000000000001</v>
      </c>
      <c r="P5014" s="7">
        <v>486.5</v>
      </c>
      <c r="R5014" s="7">
        <v>259.10000000000002</v>
      </c>
    </row>
    <row r="5015" spans="1:22" x14ac:dyDescent="0.2">
      <c r="A5015">
        <v>5014</v>
      </c>
      <c r="B5015" s="1">
        <v>40869</v>
      </c>
      <c r="C5015" t="s">
        <v>24</v>
      </c>
      <c r="D5015" s="7">
        <v>130</v>
      </c>
      <c r="E5015" s="7">
        <v>20</v>
      </c>
      <c r="F5015" s="7">
        <f t="shared" si="78"/>
        <v>3</v>
      </c>
      <c r="G5015" s="7" t="str">
        <f>LOOKUP(H5015,[1]startdates!$A$2:$A$10,[1]startdates!$B$2:$B$10)</f>
        <v>FMr</v>
      </c>
      <c r="H5015">
        <v>6</v>
      </c>
      <c r="I5015" s="7">
        <v>594.20000000000005</v>
      </c>
      <c r="K5015" s="7">
        <v>410.6</v>
      </c>
      <c r="L5015" s="7">
        <v>441.4</v>
      </c>
      <c r="M5015" s="7">
        <v>280.39999999999998</v>
      </c>
      <c r="N5015" s="7">
        <v>236.7</v>
      </c>
      <c r="O5015" s="7">
        <v>169.4</v>
      </c>
      <c r="P5015" s="7">
        <v>506.2</v>
      </c>
      <c r="R5015" s="7">
        <v>305.5</v>
      </c>
    </row>
    <row r="5016" spans="1:22" x14ac:dyDescent="0.2">
      <c r="A5016">
        <v>5015</v>
      </c>
      <c r="B5016" s="1">
        <v>40869</v>
      </c>
      <c r="C5016" t="s">
        <v>24</v>
      </c>
      <c r="D5016" s="7">
        <v>130</v>
      </c>
      <c r="E5016" s="7">
        <v>20</v>
      </c>
      <c r="F5016" s="7">
        <f t="shared" si="78"/>
        <v>3</v>
      </c>
      <c r="G5016" s="7" t="str">
        <f>LOOKUP(H5016,[1]startdates!$A$2:$A$10,[1]startdates!$B$2:$B$10)</f>
        <v>FMr</v>
      </c>
      <c r="H5016">
        <v>6</v>
      </c>
      <c r="I5016" s="7">
        <v>513.5</v>
      </c>
      <c r="K5016" s="7">
        <v>444.1</v>
      </c>
      <c r="L5016" s="7">
        <v>474.2</v>
      </c>
      <c r="M5016" s="7">
        <v>317.8</v>
      </c>
      <c r="N5016" s="7">
        <v>181</v>
      </c>
      <c r="O5016" s="7">
        <v>157.30000000000001</v>
      </c>
      <c r="R5016" s="7">
        <v>244.8</v>
      </c>
    </row>
    <row r="5017" spans="1:22" x14ac:dyDescent="0.2">
      <c r="A5017">
        <v>5016</v>
      </c>
      <c r="B5017" s="1">
        <v>40869</v>
      </c>
      <c r="C5017" t="s">
        <v>24</v>
      </c>
      <c r="D5017" s="7">
        <v>130</v>
      </c>
      <c r="E5017" s="7">
        <v>20</v>
      </c>
      <c r="F5017" s="7">
        <f t="shared" si="78"/>
        <v>3</v>
      </c>
      <c r="G5017" s="7" t="str">
        <f>LOOKUP(H5017,[1]startdates!$A$2:$A$10,[1]startdates!$B$2:$B$10)</f>
        <v>FMr</v>
      </c>
      <c r="H5017">
        <v>6</v>
      </c>
      <c r="I5017" s="7">
        <v>530.9</v>
      </c>
      <c r="K5017" s="7">
        <v>470.8</v>
      </c>
      <c r="L5017" s="7">
        <v>427.5</v>
      </c>
      <c r="M5017" s="7">
        <v>396</v>
      </c>
      <c r="N5017" s="7">
        <v>202.6</v>
      </c>
      <c r="O5017" s="7">
        <v>161.5</v>
      </c>
      <c r="R5017" s="7">
        <v>288</v>
      </c>
    </row>
    <row r="5018" spans="1:22" x14ac:dyDescent="0.2">
      <c r="A5018">
        <v>5017</v>
      </c>
      <c r="B5018" s="1">
        <v>40869</v>
      </c>
      <c r="C5018" t="s">
        <v>24</v>
      </c>
      <c r="D5018" s="7">
        <v>130</v>
      </c>
      <c r="E5018" s="7">
        <v>20</v>
      </c>
      <c r="F5018" s="7">
        <f t="shared" si="78"/>
        <v>3</v>
      </c>
      <c r="G5018" s="7" t="str">
        <f>LOOKUP(H5018,[1]startdates!$A$2:$A$10,[1]startdates!$B$2:$B$10)</f>
        <v>FMr</v>
      </c>
      <c r="H5018">
        <v>6</v>
      </c>
      <c r="I5018" s="7">
        <v>551.6</v>
      </c>
      <c r="K5018" s="7">
        <v>500.9</v>
      </c>
      <c r="M5018" s="7">
        <v>295.10000000000002</v>
      </c>
      <c r="N5018" s="7">
        <v>179.8</v>
      </c>
      <c r="O5018" s="7">
        <v>155.4</v>
      </c>
      <c r="R5018" s="7">
        <v>437</v>
      </c>
    </row>
    <row r="5019" spans="1:22" x14ac:dyDescent="0.2">
      <c r="A5019">
        <v>5018</v>
      </c>
      <c r="B5019" s="1">
        <v>40869</v>
      </c>
      <c r="C5019" t="s">
        <v>24</v>
      </c>
      <c r="D5019" s="7">
        <v>130</v>
      </c>
      <c r="E5019" s="7">
        <v>20</v>
      </c>
      <c r="F5019" s="7">
        <f t="shared" si="78"/>
        <v>3</v>
      </c>
      <c r="G5019" s="7" t="str">
        <f>LOOKUP(H5019,[1]startdates!$A$2:$A$10,[1]startdates!$B$2:$B$10)</f>
        <v>FMr</v>
      </c>
      <c r="H5019">
        <v>6</v>
      </c>
      <c r="I5019" s="7">
        <v>529.5</v>
      </c>
      <c r="K5019" s="7">
        <v>420.1</v>
      </c>
      <c r="M5019" s="7">
        <v>289.5</v>
      </c>
      <c r="N5019" s="7">
        <v>242.5</v>
      </c>
      <c r="O5019" s="7">
        <v>144</v>
      </c>
      <c r="R5019" s="7">
        <v>269.60000000000002</v>
      </c>
    </row>
    <row r="5020" spans="1:22" x14ac:dyDescent="0.2">
      <c r="A5020">
        <v>5019</v>
      </c>
      <c r="B5020" s="1">
        <v>40869</v>
      </c>
      <c r="C5020" t="s">
        <v>24</v>
      </c>
      <c r="D5020" s="7">
        <v>130</v>
      </c>
      <c r="E5020" s="7">
        <v>20</v>
      </c>
      <c r="F5020" s="7">
        <f t="shared" si="78"/>
        <v>3</v>
      </c>
      <c r="G5020" s="7" t="str">
        <f>LOOKUP(H5020,[1]startdates!$A$2:$A$10,[1]startdates!$B$2:$B$10)</f>
        <v>FMr</v>
      </c>
      <c r="H5020">
        <v>6</v>
      </c>
      <c r="I5020" s="7">
        <v>500.1</v>
      </c>
      <c r="K5020" s="7">
        <v>408.7</v>
      </c>
      <c r="M5020" s="7">
        <v>366.8</v>
      </c>
      <c r="N5020" s="7">
        <v>191.2</v>
      </c>
      <c r="O5020" s="7">
        <v>164.4</v>
      </c>
    </row>
    <row r="5021" spans="1:22" x14ac:dyDescent="0.2">
      <c r="A5021">
        <v>5020</v>
      </c>
      <c r="B5021" s="1">
        <v>40869</v>
      </c>
      <c r="C5021" t="s">
        <v>24</v>
      </c>
      <c r="D5021" s="7">
        <v>130</v>
      </c>
      <c r="E5021" s="7">
        <v>20</v>
      </c>
      <c r="F5021" s="7">
        <f t="shared" si="78"/>
        <v>3</v>
      </c>
      <c r="G5021" s="7" t="str">
        <f>LOOKUP(H5021,[1]startdates!$A$2:$A$10,[1]startdates!$B$2:$B$10)</f>
        <v>FMr</v>
      </c>
      <c r="H5021">
        <v>6</v>
      </c>
      <c r="I5021" s="7">
        <v>490.3</v>
      </c>
      <c r="K5021" s="7">
        <v>432.2</v>
      </c>
      <c r="N5021" s="7">
        <v>223.6</v>
      </c>
      <c r="O5021" s="7">
        <v>165.3</v>
      </c>
    </row>
    <row r="5022" spans="1:22" x14ac:dyDescent="0.2">
      <c r="A5022">
        <v>5021</v>
      </c>
      <c r="B5022" s="1">
        <v>40869</v>
      </c>
      <c r="C5022" t="s">
        <v>24</v>
      </c>
      <c r="D5022" s="7">
        <v>130</v>
      </c>
      <c r="E5022" s="7">
        <v>20</v>
      </c>
      <c r="F5022" s="7">
        <f t="shared" si="78"/>
        <v>3</v>
      </c>
      <c r="G5022" s="7" t="str">
        <f>LOOKUP(H5022,[1]startdates!$A$2:$A$10,[1]startdates!$B$2:$B$10)</f>
        <v>FMr</v>
      </c>
      <c r="H5022">
        <v>6</v>
      </c>
      <c r="K5022" s="7">
        <v>428.2</v>
      </c>
      <c r="O5022" s="7">
        <v>184.9</v>
      </c>
    </row>
    <row r="5023" spans="1:22" x14ac:dyDescent="0.2">
      <c r="A5023">
        <v>5022</v>
      </c>
      <c r="B5023" s="1">
        <v>40869</v>
      </c>
      <c r="C5023" t="s">
        <v>24</v>
      </c>
      <c r="D5023" s="7">
        <v>130</v>
      </c>
      <c r="E5023" s="7">
        <v>20</v>
      </c>
      <c r="F5023" s="7">
        <f t="shared" si="78"/>
        <v>3</v>
      </c>
      <c r="G5023" s="7" t="str">
        <f>LOOKUP(H5023,[1]startdates!$A$2:$A$10,[1]startdates!$B$2:$B$10)</f>
        <v>FMr</v>
      </c>
      <c r="H5023">
        <v>6</v>
      </c>
      <c r="K5023" s="7">
        <v>483.1</v>
      </c>
    </row>
    <row r="5024" spans="1:22" x14ac:dyDescent="0.2">
      <c r="A5024">
        <v>5023</v>
      </c>
      <c r="B5024" s="1">
        <v>40869</v>
      </c>
      <c r="C5024" t="s">
        <v>24</v>
      </c>
      <c r="D5024" s="7">
        <v>130</v>
      </c>
      <c r="E5024" s="7">
        <v>20</v>
      </c>
      <c r="F5024" s="7">
        <f t="shared" si="78"/>
        <v>3</v>
      </c>
      <c r="G5024" s="7" t="str">
        <f>LOOKUP(H5024,[1]startdates!$A$2:$A$10,[1]startdates!$B$2:$B$10)</f>
        <v>FMr</v>
      </c>
      <c r="H5024">
        <v>7</v>
      </c>
      <c r="I5024" s="7">
        <v>607.70000000000005</v>
      </c>
      <c r="J5024" s="7">
        <v>455.4</v>
      </c>
      <c r="K5024" s="7">
        <v>420.6</v>
      </c>
      <c r="L5024" s="7">
        <v>345.4</v>
      </c>
      <c r="M5024" s="7">
        <v>312.89999999999998</v>
      </c>
      <c r="N5024" s="7">
        <v>212.8</v>
      </c>
      <c r="O5024" s="7">
        <v>166.4</v>
      </c>
      <c r="P5024" s="7">
        <v>429.9</v>
      </c>
      <c r="Q5024" s="7">
        <v>317.2</v>
      </c>
      <c r="R5024" s="7">
        <v>261.8</v>
      </c>
      <c r="V5024" s="7">
        <v>466.5</v>
      </c>
    </row>
    <row r="5025" spans="1:20" x14ac:dyDescent="0.2">
      <c r="A5025">
        <v>5024</v>
      </c>
      <c r="B5025" s="1">
        <v>40869</v>
      </c>
      <c r="C5025" t="s">
        <v>24</v>
      </c>
      <c r="D5025" s="7">
        <v>130</v>
      </c>
      <c r="E5025" s="7">
        <v>20</v>
      </c>
      <c r="F5025" s="7">
        <f t="shared" si="78"/>
        <v>3</v>
      </c>
      <c r="G5025" s="7" t="str">
        <f>LOOKUP(H5025,[1]startdates!$A$2:$A$10,[1]startdates!$B$2:$B$10)</f>
        <v>FMr</v>
      </c>
      <c r="H5025">
        <v>7</v>
      </c>
      <c r="I5025" s="7">
        <v>556</v>
      </c>
      <c r="K5025" s="7">
        <v>473.8</v>
      </c>
      <c r="L5025" s="7">
        <v>412.7</v>
      </c>
      <c r="M5025" s="7">
        <v>334.4</v>
      </c>
      <c r="N5025" s="7">
        <v>250.4</v>
      </c>
      <c r="O5025" s="7">
        <v>171.2</v>
      </c>
      <c r="P5025" s="7">
        <v>482.8</v>
      </c>
      <c r="R5025" s="7">
        <v>245.4</v>
      </c>
    </row>
    <row r="5026" spans="1:20" x14ac:dyDescent="0.2">
      <c r="A5026">
        <v>5025</v>
      </c>
      <c r="B5026" s="1">
        <v>40869</v>
      </c>
      <c r="C5026" t="s">
        <v>24</v>
      </c>
      <c r="D5026" s="7">
        <v>130</v>
      </c>
      <c r="E5026" s="7">
        <v>20</v>
      </c>
      <c r="F5026" s="7">
        <f t="shared" si="78"/>
        <v>3</v>
      </c>
      <c r="G5026" s="7" t="str">
        <f>LOOKUP(H5026,[1]startdates!$A$2:$A$10,[1]startdates!$B$2:$B$10)</f>
        <v>FMr</v>
      </c>
      <c r="H5026">
        <v>7</v>
      </c>
      <c r="I5026" s="7">
        <v>505.5</v>
      </c>
      <c r="K5026" s="7">
        <v>417.4</v>
      </c>
      <c r="L5026" s="7">
        <v>435.4</v>
      </c>
      <c r="M5026" s="7">
        <v>310.7</v>
      </c>
      <c r="N5026" s="7">
        <v>165.5</v>
      </c>
      <c r="O5026" s="7">
        <v>149.9</v>
      </c>
      <c r="P5026" s="7">
        <v>391.1</v>
      </c>
      <c r="R5026" s="7">
        <v>249.5</v>
      </c>
    </row>
    <row r="5027" spans="1:20" x14ac:dyDescent="0.2">
      <c r="A5027">
        <v>5026</v>
      </c>
      <c r="B5027" s="1">
        <v>40869</v>
      </c>
      <c r="C5027" t="s">
        <v>24</v>
      </c>
      <c r="D5027" s="7">
        <v>130</v>
      </c>
      <c r="E5027" s="7">
        <v>20</v>
      </c>
      <c r="F5027" s="7">
        <f t="shared" si="78"/>
        <v>3</v>
      </c>
      <c r="G5027" s="7" t="str">
        <f>LOOKUP(H5027,[1]startdates!$A$2:$A$10,[1]startdates!$B$2:$B$10)</f>
        <v>FMr</v>
      </c>
      <c r="H5027">
        <v>7</v>
      </c>
      <c r="I5027" s="7">
        <v>450.4</v>
      </c>
      <c r="K5027" s="7">
        <v>575.1</v>
      </c>
      <c r="L5027" s="7">
        <v>421.9</v>
      </c>
      <c r="M5027" s="7">
        <v>336</v>
      </c>
      <c r="N5027" s="7">
        <v>210.4</v>
      </c>
      <c r="O5027" s="7">
        <v>151</v>
      </c>
      <c r="R5027" s="7">
        <v>283.60000000000002</v>
      </c>
    </row>
    <row r="5028" spans="1:20" x14ac:dyDescent="0.2">
      <c r="A5028">
        <v>5027</v>
      </c>
      <c r="B5028" s="1">
        <v>40869</v>
      </c>
      <c r="C5028" t="s">
        <v>24</v>
      </c>
      <c r="D5028" s="7">
        <v>130</v>
      </c>
      <c r="E5028" s="7">
        <v>20</v>
      </c>
      <c r="F5028" s="7">
        <f t="shared" si="78"/>
        <v>3</v>
      </c>
      <c r="G5028" s="7" t="str">
        <f>LOOKUP(H5028,[1]startdates!$A$2:$A$10,[1]startdates!$B$2:$B$10)</f>
        <v>FMr</v>
      </c>
      <c r="H5028">
        <v>7</v>
      </c>
      <c r="I5028" s="7">
        <v>638.20000000000005</v>
      </c>
      <c r="K5028" s="7">
        <v>460.7</v>
      </c>
      <c r="L5028" s="7">
        <v>408.3</v>
      </c>
      <c r="M5028" s="7">
        <v>360.8</v>
      </c>
      <c r="N5028" s="7">
        <v>181.9</v>
      </c>
      <c r="O5028" s="7">
        <v>181.9</v>
      </c>
      <c r="R5028" s="7">
        <v>266</v>
      </c>
    </row>
    <row r="5029" spans="1:20" x14ac:dyDescent="0.2">
      <c r="A5029">
        <v>5028</v>
      </c>
      <c r="B5029" s="1">
        <v>40869</v>
      </c>
      <c r="C5029" t="s">
        <v>24</v>
      </c>
      <c r="D5029" s="7">
        <v>130</v>
      </c>
      <c r="E5029" s="7">
        <v>20</v>
      </c>
      <c r="F5029" s="7">
        <f t="shared" si="78"/>
        <v>3</v>
      </c>
      <c r="G5029" s="7" t="str">
        <f>LOOKUP(H5029,[1]startdates!$A$2:$A$10,[1]startdates!$B$2:$B$10)</f>
        <v>FMr</v>
      </c>
      <c r="H5029">
        <v>7</v>
      </c>
      <c r="I5029" s="7">
        <v>405.6</v>
      </c>
      <c r="K5029" s="7">
        <v>451</v>
      </c>
      <c r="L5029" s="7">
        <v>438.9</v>
      </c>
      <c r="M5029" s="7">
        <v>278.7</v>
      </c>
      <c r="N5029" s="7">
        <v>206.5</v>
      </c>
      <c r="O5029" s="7">
        <v>149.9</v>
      </c>
    </row>
    <row r="5030" spans="1:20" x14ac:dyDescent="0.2">
      <c r="A5030">
        <v>5029</v>
      </c>
      <c r="B5030" s="1">
        <v>40869</v>
      </c>
      <c r="C5030" t="s">
        <v>24</v>
      </c>
      <c r="D5030" s="7">
        <v>130</v>
      </c>
      <c r="E5030" s="7">
        <v>20</v>
      </c>
      <c r="F5030" s="7">
        <f t="shared" si="78"/>
        <v>3</v>
      </c>
      <c r="G5030" s="7" t="str">
        <f>LOOKUP(H5030,[1]startdates!$A$2:$A$10,[1]startdates!$B$2:$B$10)</f>
        <v>FMr</v>
      </c>
      <c r="H5030">
        <v>7</v>
      </c>
      <c r="I5030" s="7">
        <v>524.70000000000005</v>
      </c>
      <c r="K5030" s="7">
        <v>511.1</v>
      </c>
      <c r="M5030" s="7">
        <v>331.2</v>
      </c>
      <c r="N5030" s="7">
        <v>196.1</v>
      </c>
      <c r="O5030" s="7">
        <v>140.30000000000001</v>
      </c>
    </row>
    <row r="5031" spans="1:20" x14ac:dyDescent="0.2">
      <c r="A5031">
        <v>5030</v>
      </c>
      <c r="B5031" s="1">
        <v>40869</v>
      </c>
      <c r="C5031" t="s">
        <v>24</v>
      </c>
      <c r="D5031" s="7">
        <v>130</v>
      </c>
      <c r="E5031" s="7">
        <v>20</v>
      </c>
      <c r="F5031" s="7">
        <f t="shared" si="78"/>
        <v>3</v>
      </c>
      <c r="G5031" s="7" t="str">
        <f>LOOKUP(H5031,[1]startdates!$A$2:$A$10,[1]startdates!$B$2:$B$10)</f>
        <v>FMr</v>
      </c>
      <c r="H5031">
        <v>7</v>
      </c>
      <c r="I5031" s="7">
        <v>542.70000000000005</v>
      </c>
      <c r="M5031" s="7">
        <v>282.2</v>
      </c>
      <c r="N5031" s="7">
        <v>203.1</v>
      </c>
      <c r="O5031" s="7">
        <v>166.8</v>
      </c>
    </row>
    <row r="5032" spans="1:20" x14ac:dyDescent="0.2">
      <c r="A5032">
        <v>5031</v>
      </c>
      <c r="B5032" s="1">
        <v>40869</v>
      </c>
      <c r="C5032" t="s">
        <v>24</v>
      </c>
      <c r="D5032" s="7">
        <v>130</v>
      </c>
      <c r="E5032" s="7">
        <v>20</v>
      </c>
      <c r="F5032" s="7">
        <f t="shared" si="78"/>
        <v>3</v>
      </c>
      <c r="G5032" s="7" t="str">
        <f>LOOKUP(H5032,[1]startdates!$A$2:$A$10,[1]startdates!$B$2:$B$10)</f>
        <v>FMr</v>
      </c>
      <c r="H5032">
        <v>7</v>
      </c>
      <c r="N5032" s="7">
        <v>223.3</v>
      </c>
      <c r="O5032" s="7">
        <v>178.1</v>
      </c>
    </row>
    <row r="5033" spans="1:20" x14ac:dyDescent="0.2">
      <c r="A5033">
        <v>5032</v>
      </c>
      <c r="B5033" s="1">
        <v>40869</v>
      </c>
      <c r="C5033" t="s">
        <v>24</v>
      </c>
      <c r="D5033" s="7">
        <v>130</v>
      </c>
      <c r="E5033" s="7">
        <v>20</v>
      </c>
      <c r="F5033" s="7">
        <f t="shared" ref="F5033:F5096" si="79">WEEKDAY(B5033)</f>
        <v>3</v>
      </c>
      <c r="G5033" s="7" t="str">
        <f>LOOKUP(H5033,[1]startdates!$A$2:$A$10,[1]startdates!$B$2:$B$10)</f>
        <v>FMr</v>
      </c>
      <c r="H5033">
        <v>7</v>
      </c>
      <c r="N5033" s="7">
        <v>213.7</v>
      </c>
      <c r="O5033" s="7">
        <v>156.5</v>
      </c>
    </row>
    <row r="5034" spans="1:20" x14ac:dyDescent="0.2">
      <c r="A5034">
        <v>5033</v>
      </c>
      <c r="B5034" s="1">
        <v>40869</v>
      </c>
      <c r="C5034" t="s">
        <v>24</v>
      </c>
      <c r="D5034" s="7">
        <v>130</v>
      </c>
      <c r="E5034" s="7">
        <v>20</v>
      </c>
      <c r="F5034" s="7">
        <f t="shared" si="79"/>
        <v>3</v>
      </c>
      <c r="G5034" s="7" t="str">
        <f>LOOKUP(H5034,[1]startdates!$A$2:$A$10,[1]startdates!$B$2:$B$10)</f>
        <v>C</v>
      </c>
      <c r="H5034">
        <v>8</v>
      </c>
      <c r="I5034" s="7">
        <v>634.20000000000005</v>
      </c>
      <c r="J5034" s="7">
        <v>497.6</v>
      </c>
      <c r="K5034" s="7">
        <v>541.70000000000005</v>
      </c>
      <c r="L5034" s="7">
        <v>366.3</v>
      </c>
      <c r="M5034" s="7">
        <v>333.1</v>
      </c>
      <c r="N5034" s="7">
        <v>256.10000000000002</v>
      </c>
      <c r="O5034" s="7">
        <v>195.7</v>
      </c>
      <c r="P5034" s="7">
        <v>435.2</v>
      </c>
      <c r="Q5034" s="7">
        <v>330</v>
      </c>
      <c r="R5034" s="7">
        <v>233.9</v>
      </c>
      <c r="S5034" s="7">
        <v>165.5</v>
      </c>
      <c r="T5034" s="7">
        <v>305.5</v>
      </c>
    </row>
    <row r="5035" spans="1:20" x14ac:dyDescent="0.2">
      <c r="A5035">
        <v>5034</v>
      </c>
      <c r="B5035" s="1">
        <v>40869</v>
      </c>
      <c r="C5035" t="s">
        <v>24</v>
      </c>
      <c r="D5035" s="7">
        <v>130</v>
      </c>
      <c r="E5035" s="7">
        <v>20</v>
      </c>
      <c r="F5035" s="7">
        <f t="shared" si="79"/>
        <v>3</v>
      </c>
      <c r="G5035" s="7" t="str">
        <f>LOOKUP(H5035,[1]startdates!$A$2:$A$10,[1]startdates!$B$2:$B$10)</f>
        <v>C</v>
      </c>
      <c r="H5035">
        <v>8</v>
      </c>
      <c r="I5035" s="7">
        <v>702.5</v>
      </c>
      <c r="J5035" s="7">
        <v>517</v>
      </c>
      <c r="K5035" s="7">
        <v>506</v>
      </c>
      <c r="L5035" s="7">
        <v>408.6</v>
      </c>
      <c r="M5035" s="7">
        <v>342.4</v>
      </c>
      <c r="N5035" s="7">
        <v>209</v>
      </c>
      <c r="O5035" s="7">
        <v>198.3</v>
      </c>
      <c r="Q5035" s="7">
        <v>339.1</v>
      </c>
      <c r="R5035" s="7">
        <v>257.7</v>
      </c>
      <c r="S5035" s="7">
        <v>252.6</v>
      </c>
    </row>
    <row r="5036" spans="1:20" x14ac:dyDescent="0.2">
      <c r="A5036">
        <v>5035</v>
      </c>
      <c r="B5036" s="1">
        <v>40869</v>
      </c>
      <c r="C5036" t="s">
        <v>24</v>
      </c>
      <c r="D5036" s="7">
        <v>130</v>
      </c>
      <c r="E5036" s="7">
        <v>20</v>
      </c>
      <c r="F5036" s="7">
        <f t="shared" si="79"/>
        <v>3</v>
      </c>
      <c r="G5036" s="7" t="str">
        <f>LOOKUP(H5036,[1]startdates!$A$2:$A$10,[1]startdates!$B$2:$B$10)</f>
        <v>C</v>
      </c>
      <c r="H5036">
        <v>8</v>
      </c>
      <c r="I5036" s="7">
        <v>593.6</v>
      </c>
      <c r="J5036" s="7">
        <v>550.20000000000005</v>
      </c>
      <c r="K5036" s="7">
        <v>585.9</v>
      </c>
      <c r="M5036" s="7">
        <v>358.6</v>
      </c>
      <c r="N5036" s="7">
        <v>200.9</v>
      </c>
      <c r="O5036" s="7">
        <v>166.3</v>
      </c>
      <c r="S5036" s="7">
        <v>239.3</v>
      </c>
    </row>
    <row r="5037" spans="1:20" x14ac:dyDescent="0.2">
      <c r="A5037">
        <v>5036</v>
      </c>
      <c r="B5037" s="1">
        <v>40869</v>
      </c>
      <c r="C5037" t="s">
        <v>24</v>
      </c>
      <c r="D5037" s="7">
        <v>130</v>
      </c>
      <c r="E5037" s="7">
        <v>20</v>
      </c>
      <c r="F5037" s="7">
        <f t="shared" si="79"/>
        <v>3</v>
      </c>
      <c r="G5037" s="7" t="str">
        <f>LOOKUP(H5037,[1]startdates!$A$2:$A$10,[1]startdates!$B$2:$B$10)</f>
        <v>C</v>
      </c>
      <c r="H5037">
        <v>8</v>
      </c>
      <c r="I5037" s="7">
        <v>636.9</v>
      </c>
      <c r="J5037" s="7">
        <v>549.4</v>
      </c>
      <c r="K5037" s="7">
        <v>579.6</v>
      </c>
      <c r="M5037" s="7">
        <v>288.7</v>
      </c>
      <c r="N5037" s="7">
        <v>235.6</v>
      </c>
      <c r="O5037" s="7">
        <v>182.2</v>
      </c>
      <c r="S5037" s="7">
        <v>269.10000000000002</v>
      </c>
    </row>
    <row r="5038" spans="1:20" x14ac:dyDescent="0.2">
      <c r="A5038">
        <v>5037</v>
      </c>
      <c r="B5038" s="1">
        <v>40869</v>
      </c>
      <c r="C5038" t="s">
        <v>24</v>
      </c>
      <c r="D5038" s="7">
        <v>130</v>
      </c>
      <c r="E5038" s="7">
        <v>20</v>
      </c>
      <c r="F5038" s="7">
        <f t="shared" si="79"/>
        <v>3</v>
      </c>
      <c r="G5038" s="7" t="str">
        <f>LOOKUP(H5038,[1]startdates!$A$2:$A$10,[1]startdates!$B$2:$B$10)</f>
        <v>C</v>
      </c>
      <c r="H5038">
        <v>8</v>
      </c>
      <c r="I5038" s="7">
        <v>625.20000000000005</v>
      </c>
      <c r="J5038" s="7">
        <v>534.29999999999995</v>
      </c>
      <c r="K5038" s="7">
        <v>540.29999999999995</v>
      </c>
      <c r="M5038" s="7">
        <v>368.6</v>
      </c>
      <c r="N5038" s="7">
        <v>215.7</v>
      </c>
      <c r="O5038" s="7">
        <v>181</v>
      </c>
      <c r="S5038" s="7">
        <v>268.2</v>
      </c>
    </row>
    <row r="5039" spans="1:20" x14ac:dyDescent="0.2">
      <c r="A5039">
        <v>5038</v>
      </c>
      <c r="B5039" s="1">
        <v>40869</v>
      </c>
      <c r="C5039" t="s">
        <v>24</v>
      </c>
      <c r="D5039" s="7">
        <v>130</v>
      </c>
      <c r="E5039" s="7">
        <v>20</v>
      </c>
      <c r="F5039" s="7">
        <f t="shared" si="79"/>
        <v>3</v>
      </c>
      <c r="G5039" s="7" t="str">
        <f>LOOKUP(H5039,[1]startdates!$A$2:$A$10,[1]startdates!$B$2:$B$10)</f>
        <v>C</v>
      </c>
      <c r="H5039">
        <v>8</v>
      </c>
      <c r="I5039" s="7">
        <v>611.70000000000005</v>
      </c>
      <c r="K5039" s="7">
        <v>528</v>
      </c>
      <c r="M5039" s="7">
        <v>378.2</v>
      </c>
      <c r="N5039" s="7">
        <v>214.2</v>
      </c>
      <c r="O5039" s="7">
        <v>164.2</v>
      </c>
    </row>
    <row r="5040" spans="1:20" x14ac:dyDescent="0.2">
      <c r="A5040">
        <v>5039</v>
      </c>
      <c r="B5040" s="1">
        <v>40869</v>
      </c>
      <c r="C5040" t="s">
        <v>24</v>
      </c>
      <c r="D5040" s="7">
        <v>130</v>
      </c>
      <c r="E5040" s="7">
        <v>20</v>
      </c>
      <c r="F5040" s="7">
        <f t="shared" si="79"/>
        <v>3</v>
      </c>
      <c r="G5040" s="7" t="str">
        <f>LOOKUP(H5040,[1]startdates!$A$2:$A$10,[1]startdates!$B$2:$B$10)</f>
        <v>C</v>
      </c>
      <c r="H5040">
        <v>8</v>
      </c>
      <c r="I5040" s="7">
        <v>543.5</v>
      </c>
      <c r="K5040" s="7">
        <v>582.29999999999995</v>
      </c>
      <c r="M5040" s="7">
        <v>321.5</v>
      </c>
      <c r="N5040" s="7">
        <v>271.60000000000002</v>
      </c>
      <c r="O5040" s="7">
        <v>175.6</v>
      </c>
    </row>
    <row r="5041" spans="1:18" x14ac:dyDescent="0.2">
      <c r="A5041">
        <v>5040</v>
      </c>
      <c r="B5041" s="1">
        <v>40869</v>
      </c>
      <c r="C5041" t="s">
        <v>24</v>
      </c>
      <c r="D5041" s="7">
        <v>130</v>
      </c>
      <c r="E5041" s="7">
        <v>20</v>
      </c>
      <c r="F5041" s="7">
        <f t="shared" si="79"/>
        <v>3</v>
      </c>
      <c r="G5041" s="7" t="str">
        <f>LOOKUP(H5041,[1]startdates!$A$2:$A$10,[1]startdates!$B$2:$B$10)</f>
        <v>C</v>
      </c>
      <c r="H5041">
        <v>8</v>
      </c>
      <c r="I5041" s="7">
        <v>653.6</v>
      </c>
      <c r="K5041" s="7">
        <v>603.6</v>
      </c>
      <c r="M5041" s="7">
        <v>366.8</v>
      </c>
      <c r="N5041" s="7">
        <v>258.8</v>
      </c>
      <c r="O5041" s="7">
        <v>190.2</v>
      </c>
    </row>
    <row r="5042" spans="1:18" x14ac:dyDescent="0.2">
      <c r="A5042">
        <v>5041</v>
      </c>
      <c r="B5042" s="1">
        <v>40869</v>
      </c>
      <c r="C5042" t="s">
        <v>24</v>
      </c>
      <c r="D5042" s="7">
        <v>130</v>
      </c>
      <c r="E5042" s="7">
        <v>20</v>
      </c>
      <c r="F5042" s="7">
        <f t="shared" si="79"/>
        <v>3</v>
      </c>
      <c r="G5042" s="7" t="str">
        <f>LOOKUP(H5042,[1]startdates!$A$2:$A$10,[1]startdates!$B$2:$B$10)</f>
        <v>C</v>
      </c>
      <c r="H5042">
        <v>8</v>
      </c>
      <c r="I5042" s="7">
        <v>717.9</v>
      </c>
      <c r="K5042" s="7">
        <v>653.70000000000005</v>
      </c>
      <c r="M5042" s="7">
        <v>304.10000000000002</v>
      </c>
      <c r="N5042" s="7">
        <v>221.2</v>
      </c>
      <c r="O5042" s="7">
        <v>156.4</v>
      </c>
    </row>
    <row r="5043" spans="1:18" x14ac:dyDescent="0.2">
      <c r="A5043">
        <v>5042</v>
      </c>
      <c r="B5043" s="1">
        <v>40869</v>
      </c>
      <c r="C5043" t="s">
        <v>24</v>
      </c>
      <c r="D5043" s="7">
        <v>130</v>
      </c>
      <c r="E5043" s="7">
        <v>20</v>
      </c>
      <c r="F5043" s="7">
        <f t="shared" si="79"/>
        <v>3</v>
      </c>
      <c r="G5043" s="7" t="str">
        <f>LOOKUP(H5043,[1]startdates!$A$2:$A$10,[1]startdates!$B$2:$B$10)</f>
        <v>C</v>
      </c>
      <c r="H5043">
        <v>8</v>
      </c>
      <c r="M5043" s="7">
        <v>342.3</v>
      </c>
      <c r="N5043" s="7">
        <v>210</v>
      </c>
      <c r="O5043" s="7">
        <v>154.9</v>
      </c>
    </row>
    <row r="5044" spans="1:18" x14ac:dyDescent="0.2">
      <c r="A5044">
        <v>5043</v>
      </c>
      <c r="B5044" s="1">
        <v>40869</v>
      </c>
      <c r="C5044" t="s">
        <v>24</v>
      </c>
      <c r="D5044" s="7">
        <v>130</v>
      </c>
      <c r="E5044" s="7">
        <v>20</v>
      </c>
      <c r="F5044" s="7">
        <f t="shared" si="79"/>
        <v>3</v>
      </c>
      <c r="G5044" s="7" t="str">
        <f>LOOKUP(H5044,[1]startdates!$A$2:$A$10,[1]startdates!$B$2:$B$10)</f>
        <v>C</v>
      </c>
      <c r="H5044">
        <v>8</v>
      </c>
      <c r="M5044" s="7">
        <v>314.5</v>
      </c>
      <c r="O5044" s="7">
        <v>175.4</v>
      </c>
    </row>
    <row r="5045" spans="1:18" x14ac:dyDescent="0.2">
      <c r="A5045">
        <v>5044</v>
      </c>
      <c r="B5045" s="1">
        <v>40869</v>
      </c>
      <c r="C5045" t="s">
        <v>24</v>
      </c>
      <c r="D5045" s="7">
        <v>130</v>
      </c>
      <c r="E5045" s="7">
        <v>20</v>
      </c>
      <c r="F5045" s="7">
        <f t="shared" si="79"/>
        <v>3</v>
      </c>
      <c r="G5045" s="7" t="str">
        <f>LOOKUP(H5045,[1]startdates!$A$2:$A$10,[1]startdates!$B$2:$B$10)</f>
        <v>C</v>
      </c>
      <c r="H5045">
        <v>8</v>
      </c>
      <c r="M5045" s="7">
        <v>330.6</v>
      </c>
    </row>
    <row r="5046" spans="1:18" x14ac:dyDescent="0.2">
      <c r="A5046">
        <v>5045</v>
      </c>
      <c r="B5046" s="1">
        <v>40869</v>
      </c>
      <c r="C5046" t="s">
        <v>28</v>
      </c>
      <c r="D5046" s="7">
        <v>130</v>
      </c>
      <c r="E5046" s="7">
        <v>20</v>
      </c>
      <c r="F5046" s="7">
        <f t="shared" si="79"/>
        <v>3</v>
      </c>
      <c r="G5046" s="7" t="str">
        <f>LOOKUP(H5046,[1]startdates!$A$2:$A$10,[1]startdates!$B$2:$B$10)</f>
        <v>FMr</v>
      </c>
      <c r="H5046">
        <v>9</v>
      </c>
      <c r="I5046" s="7">
        <v>614.79999999999995</v>
      </c>
      <c r="J5046" s="7">
        <v>482</v>
      </c>
      <c r="K5046" s="7">
        <v>536.29999999999995</v>
      </c>
      <c r="L5046" s="7">
        <v>390.5</v>
      </c>
      <c r="M5046" s="7">
        <v>340.9</v>
      </c>
      <c r="N5046" s="7">
        <v>210.9</v>
      </c>
      <c r="O5046" s="7">
        <v>155.69999999999999</v>
      </c>
      <c r="P5046" s="7">
        <v>483.2</v>
      </c>
      <c r="Q5046" s="7">
        <v>332.1</v>
      </c>
      <c r="R5046" s="7">
        <v>269.7</v>
      </c>
    </row>
    <row r="5047" spans="1:18" x14ac:dyDescent="0.2">
      <c r="A5047">
        <v>5046</v>
      </c>
      <c r="B5047" s="1">
        <v>40869</v>
      </c>
      <c r="C5047" t="s">
        <v>28</v>
      </c>
      <c r="D5047" s="7">
        <v>130</v>
      </c>
      <c r="E5047" s="7">
        <v>20</v>
      </c>
      <c r="F5047" s="7">
        <f t="shared" si="79"/>
        <v>3</v>
      </c>
      <c r="G5047" s="7" t="str">
        <f>LOOKUP(H5047,[1]startdates!$A$2:$A$10,[1]startdates!$B$2:$B$10)</f>
        <v>FMr</v>
      </c>
      <c r="H5047">
        <v>9</v>
      </c>
      <c r="I5047" s="7">
        <v>665.9</v>
      </c>
      <c r="K5047" s="7">
        <v>531.29999999999995</v>
      </c>
      <c r="L5047" s="7">
        <v>342.2</v>
      </c>
      <c r="M5047" s="7">
        <v>338.7</v>
      </c>
      <c r="N5047" s="7">
        <v>231.1</v>
      </c>
      <c r="O5047" s="7">
        <v>165.5</v>
      </c>
      <c r="P5047" s="7">
        <v>471</v>
      </c>
      <c r="Q5047" s="7">
        <v>334.8</v>
      </c>
      <c r="R5047" s="7">
        <v>257.89999999999998</v>
      </c>
    </row>
    <row r="5048" spans="1:18" x14ac:dyDescent="0.2">
      <c r="A5048">
        <v>5047</v>
      </c>
      <c r="B5048" s="1">
        <v>40869</v>
      </c>
      <c r="C5048" t="s">
        <v>28</v>
      </c>
      <c r="D5048" s="7">
        <v>130</v>
      </c>
      <c r="E5048" s="7">
        <v>20</v>
      </c>
      <c r="F5048" s="7">
        <f t="shared" si="79"/>
        <v>3</v>
      </c>
      <c r="G5048" s="7" t="str">
        <f>LOOKUP(H5048,[1]startdates!$A$2:$A$10,[1]startdates!$B$2:$B$10)</f>
        <v>FMr</v>
      </c>
      <c r="H5048">
        <v>9</v>
      </c>
      <c r="I5048" s="7">
        <v>559.79999999999995</v>
      </c>
      <c r="K5048" s="7">
        <v>534.1</v>
      </c>
      <c r="L5048" s="7">
        <v>415.3</v>
      </c>
      <c r="M5048" s="7">
        <v>305.60000000000002</v>
      </c>
      <c r="N5048" s="7">
        <v>194.3</v>
      </c>
      <c r="O5048" s="7">
        <v>163</v>
      </c>
      <c r="Q5048" s="7">
        <v>377.5</v>
      </c>
      <c r="R5048" s="7">
        <v>248.9</v>
      </c>
    </row>
    <row r="5049" spans="1:18" x14ac:dyDescent="0.2">
      <c r="A5049">
        <v>5048</v>
      </c>
      <c r="B5049" s="1">
        <v>40869</v>
      </c>
      <c r="C5049" t="s">
        <v>28</v>
      </c>
      <c r="D5049" s="7">
        <v>130</v>
      </c>
      <c r="E5049" s="7">
        <v>20</v>
      </c>
      <c r="F5049" s="7">
        <f t="shared" si="79"/>
        <v>3</v>
      </c>
      <c r="G5049" s="7" t="str">
        <f>LOOKUP(H5049,[1]startdates!$A$2:$A$10,[1]startdates!$B$2:$B$10)</f>
        <v>FMr</v>
      </c>
      <c r="H5049">
        <v>9</v>
      </c>
      <c r="I5049" s="7">
        <v>612.4</v>
      </c>
      <c r="K5049" s="7">
        <v>461.4</v>
      </c>
      <c r="L5049" s="7">
        <v>400.7</v>
      </c>
      <c r="M5049" s="7">
        <v>342.4</v>
      </c>
      <c r="N5049" s="7">
        <v>253.4</v>
      </c>
      <c r="O5049" s="7">
        <v>161.9</v>
      </c>
      <c r="Q5049" s="7">
        <v>320.3</v>
      </c>
    </row>
    <row r="5050" spans="1:18" x14ac:dyDescent="0.2">
      <c r="A5050">
        <v>5049</v>
      </c>
      <c r="B5050" s="1">
        <v>40869</v>
      </c>
      <c r="C5050" t="s">
        <v>28</v>
      </c>
      <c r="D5050" s="7">
        <v>130</v>
      </c>
      <c r="E5050" s="7">
        <v>20</v>
      </c>
      <c r="F5050" s="7">
        <f t="shared" si="79"/>
        <v>3</v>
      </c>
      <c r="G5050" s="7" t="str">
        <f>LOOKUP(H5050,[1]startdates!$A$2:$A$10,[1]startdates!$B$2:$B$10)</f>
        <v>FMr</v>
      </c>
      <c r="H5050">
        <v>9</v>
      </c>
      <c r="I5050" s="7">
        <v>607.4</v>
      </c>
      <c r="K5050" s="7">
        <v>514.20000000000005</v>
      </c>
      <c r="L5050" s="7">
        <v>380.1</v>
      </c>
      <c r="M5050" s="7">
        <v>302.60000000000002</v>
      </c>
      <c r="N5050" s="7">
        <v>249.2</v>
      </c>
      <c r="O5050" s="7">
        <v>164.4</v>
      </c>
      <c r="Q5050" s="7">
        <v>359.3</v>
      </c>
    </row>
    <row r="5051" spans="1:18" x14ac:dyDescent="0.2">
      <c r="A5051">
        <v>5050</v>
      </c>
      <c r="B5051" s="1">
        <v>40869</v>
      </c>
      <c r="C5051" t="s">
        <v>28</v>
      </c>
      <c r="D5051" s="7">
        <v>130</v>
      </c>
      <c r="E5051" s="7">
        <v>20</v>
      </c>
      <c r="F5051" s="7">
        <f t="shared" si="79"/>
        <v>3</v>
      </c>
      <c r="G5051" s="7" t="str">
        <f>LOOKUP(H5051,[1]startdates!$A$2:$A$10,[1]startdates!$B$2:$B$10)</f>
        <v>FMr</v>
      </c>
      <c r="H5051">
        <v>9</v>
      </c>
      <c r="I5051" s="7">
        <v>587.70000000000005</v>
      </c>
      <c r="K5051" s="7">
        <v>600</v>
      </c>
      <c r="M5051" s="7">
        <v>331.1</v>
      </c>
      <c r="N5051" s="7">
        <v>269</v>
      </c>
      <c r="O5051" s="7">
        <v>175.8</v>
      </c>
    </row>
    <row r="5052" spans="1:18" x14ac:dyDescent="0.2">
      <c r="A5052">
        <v>5051</v>
      </c>
      <c r="B5052" s="1">
        <v>40869</v>
      </c>
      <c r="C5052" t="s">
        <v>28</v>
      </c>
      <c r="D5052" s="7">
        <v>130</v>
      </c>
      <c r="E5052" s="7">
        <v>20</v>
      </c>
      <c r="F5052" s="7">
        <f t="shared" si="79"/>
        <v>3</v>
      </c>
      <c r="G5052" s="7" t="str">
        <f>LOOKUP(H5052,[1]startdates!$A$2:$A$10,[1]startdates!$B$2:$B$10)</f>
        <v>FMr</v>
      </c>
      <c r="H5052">
        <v>9</v>
      </c>
      <c r="I5052" s="7">
        <v>611.20000000000005</v>
      </c>
      <c r="K5052" s="7">
        <v>501.4</v>
      </c>
      <c r="M5052" s="7">
        <v>365.7</v>
      </c>
      <c r="N5052" s="7">
        <v>241</v>
      </c>
      <c r="O5052" s="7">
        <v>156.30000000000001</v>
      </c>
    </row>
    <row r="5053" spans="1:18" x14ac:dyDescent="0.2">
      <c r="A5053">
        <v>5052</v>
      </c>
      <c r="B5053" s="1">
        <v>40869</v>
      </c>
      <c r="C5053" t="s">
        <v>28</v>
      </c>
      <c r="D5053" s="7">
        <v>130</v>
      </c>
      <c r="E5053" s="7">
        <v>20</v>
      </c>
      <c r="F5053" s="7">
        <f t="shared" si="79"/>
        <v>3</v>
      </c>
      <c r="G5053" s="7" t="str">
        <f>LOOKUP(H5053,[1]startdates!$A$2:$A$10,[1]startdates!$B$2:$B$10)</f>
        <v>FMr</v>
      </c>
      <c r="H5053">
        <v>9</v>
      </c>
      <c r="I5053" s="7">
        <v>606.6</v>
      </c>
      <c r="K5053" s="7">
        <v>523.79999999999995</v>
      </c>
      <c r="M5053" s="7">
        <v>353.9</v>
      </c>
      <c r="N5053" s="7">
        <v>186.6</v>
      </c>
      <c r="O5053" s="7">
        <v>163</v>
      </c>
    </row>
    <row r="5054" spans="1:18" x14ac:dyDescent="0.2">
      <c r="A5054">
        <v>5053</v>
      </c>
      <c r="B5054" s="1">
        <v>40869</v>
      </c>
      <c r="C5054" t="s">
        <v>28</v>
      </c>
      <c r="D5054" s="7">
        <v>130</v>
      </c>
      <c r="E5054" s="7">
        <v>20</v>
      </c>
      <c r="F5054" s="7">
        <f t="shared" si="79"/>
        <v>3</v>
      </c>
      <c r="G5054" s="7" t="str">
        <f>LOOKUP(H5054,[1]startdates!$A$2:$A$10,[1]startdates!$B$2:$B$10)</f>
        <v>FMr</v>
      </c>
      <c r="H5054">
        <v>9</v>
      </c>
      <c r="I5054" s="7">
        <v>557.70000000000005</v>
      </c>
      <c r="M5054" s="7">
        <v>331.4</v>
      </c>
      <c r="N5054" s="7">
        <v>231.2</v>
      </c>
      <c r="O5054" s="7">
        <v>182.8</v>
      </c>
    </row>
    <row r="5055" spans="1:18" x14ac:dyDescent="0.2">
      <c r="A5055">
        <v>5054</v>
      </c>
      <c r="B5055" s="1">
        <v>40869</v>
      </c>
      <c r="C5055" t="s">
        <v>28</v>
      </c>
      <c r="D5055" s="7">
        <v>130</v>
      </c>
      <c r="E5055" s="7">
        <v>20</v>
      </c>
      <c r="F5055" s="7">
        <f t="shared" si="79"/>
        <v>3</v>
      </c>
      <c r="G5055" s="7" t="str">
        <f>LOOKUP(H5055,[1]startdates!$A$2:$A$10,[1]startdates!$B$2:$B$10)</f>
        <v>FMr</v>
      </c>
      <c r="H5055">
        <v>9</v>
      </c>
      <c r="I5055" s="7">
        <v>692.6</v>
      </c>
      <c r="M5055" s="7">
        <v>294.89999999999998</v>
      </c>
      <c r="N5055" s="7">
        <v>221.5</v>
      </c>
      <c r="O5055" s="7">
        <v>140</v>
      </c>
    </row>
    <row r="5056" spans="1:18" x14ac:dyDescent="0.2">
      <c r="A5056">
        <v>5055</v>
      </c>
      <c r="B5056" s="1">
        <v>40869</v>
      </c>
      <c r="C5056" t="s">
        <v>28</v>
      </c>
      <c r="D5056" s="7">
        <v>130</v>
      </c>
      <c r="E5056" s="7">
        <v>20</v>
      </c>
      <c r="F5056" s="7">
        <f t="shared" si="79"/>
        <v>3</v>
      </c>
      <c r="G5056" s="7" t="str">
        <f>LOOKUP(H5056,[1]startdates!$A$2:$A$10,[1]startdates!$B$2:$B$10)</f>
        <v>FMr</v>
      </c>
      <c r="H5056">
        <v>9</v>
      </c>
      <c r="I5056" s="7">
        <v>615.1</v>
      </c>
    </row>
    <row r="5057" spans="1:19" x14ac:dyDescent="0.2">
      <c r="A5057">
        <v>5056</v>
      </c>
      <c r="B5057" s="1">
        <v>40869</v>
      </c>
      <c r="C5057" t="s">
        <v>28</v>
      </c>
      <c r="D5057" s="7">
        <v>130</v>
      </c>
      <c r="E5057" s="7">
        <v>20</v>
      </c>
      <c r="F5057" s="7">
        <f t="shared" si="79"/>
        <v>3</v>
      </c>
      <c r="G5057" s="7" t="str">
        <f>LOOKUP(H5057,[1]startdates!$A$2:$A$10,[1]startdates!$B$2:$B$10)</f>
        <v>FMr</v>
      </c>
      <c r="H5057">
        <v>9</v>
      </c>
      <c r="I5057" s="7">
        <v>594.70000000000005</v>
      </c>
    </row>
    <row r="5058" spans="1:19" x14ac:dyDescent="0.2">
      <c r="A5058">
        <v>5057</v>
      </c>
      <c r="B5058" s="1">
        <v>40872</v>
      </c>
      <c r="C5058" t="s">
        <v>28</v>
      </c>
      <c r="D5058" s="7">
        <v>133</v>
      </c>
      <c r="E5058" s="7">
        <v>20</v>
      </c>
      <c r="F5058" s="7">
        <f t="shared" si="79"/>
        <v>6</v>
      </c>
      <c r="G5058" s="7" t="str">
        <f>LOOKUP(H5058,[1]startdates!$A$2:$A$10,[1]startdates!$B$2:$B$10)</f>
        <v>SMr</v>
      </c>
      <c r="H5058">
        <v>1</v>
      </c>
      <c r="I5058" s="7">
        <v>624.6</v>
      </c>
      <c r="J5058" s="7">
        <v>470.4</v>
      </c>
      <c r="K5058" s="7">
        <v>578.4</v>
      </c>
      <c r="L5058" s="7">
        <v>408.7</v>
      </c>
      <c r="M5058" s="7">
        <v>339.9</v>
      </c>
      <c r="N5058" s="7">
        <v>243.9</v>
      </c>
      <c r="O5058" s="7">
        <v>144.69999999999999</v>
      </c>
      <c r="P5058" s="7">
        <v>476.6</v>
      </c>
      <c r="Q5058" s="7">
        <v>370.4</v>
      </c>
      <c r="R5058" s="7">
        <v>262.10000000000002</v>
      </c>
    </row>
    <row r="5059" spans="1:19" x14ac:dyDescent="0.2">
      <c r="A5059">
        <v>5058</v>
      </c>
      <c r="B5059" s="1">
        <v>40872</v>
      </c>
      <c r="C5059" t="s">
        <v>28</v>
      </c>
      <c r="D5059" s="7">
        <v>133</v>
      </c>
      <c r="E5059" s="7">
        <v>20</v>
      </c>
      <c r="F5059" s="7">
        <f t="shared" si="79"/>
        <v>6</v>
      </c>
      <c r="G5059" s="7" t="str">
        <f>LOOKUP(H5059,[1]startdates!$A$2:$A$10,[1]startdates!$B$2:$B$10)</f>
        <v>SMr</v>
      </c>
      <c r="H5059">
        <v>1</v>
      </c>
      <c r="I5059" s="7">
        <v>568.4</v>
      </c>
      <c r="J5059" s="7">
        <v>491.7</v>
      </c>
      <c r="K5059" s="7">
        <v>479</v>
      </c>
      <c r="L5059" s="7">
        <v>423.5</v>
      </c>
      <c r="M5059" s="7">
        <v>369.4</v>
      </c>
      <c r="N5059" s="7">
        <v>196</v>
      </c>
      <c r="O5059" s="7">
        <v>153.1</v>
      </c>
      <c r="P5059" s="7">
        <v>482.8</v>
      </c>
      <c r="Q5059" s="7">
        <v>320.2</v>
      </c>
    </row>
    <row r="5060" spans="1:19" x14ac:dyDescent="0.2">
      <c r="A5060">
        <v>5059</v>
      </c>
      <c r="B5060" s="1">
        <v>40872</v>
      </c>
      <c r="C5060" t="s">
        <v>28</v>
      </c>
      <c r="D5060" s="7">
        <v>133</v>
      </c>
      <c r="E5060" s="7">
        <v>20</v>
      </c>
      <c r="F5060" s="7">
        <f t="shared" si="79"/>
        <v>6</v>
      </c>
      <c r="G5060" s="7" t="str">
        <f>LOOKUP(H5060,[1]startdates!$A$2:$A$10,[1]startdates!$B$2:$B$10)</f>
        <v>SMr</v>
      </c>
      <c r="H5060">
        <v>1</v>
      </c>
      <c r="I5060" s="7">
        <v>644.5</v>
      </c>
      <c r="J5060" s="7">
        <v>505.4</v>
      </c>
      <c r="K5060" s="7">
        <v>539.1</v>
      </c>
      <c r="L5060" s="7">
        <v>441.8</v>
      </c>
      <c r="M5060" s="7">
        <v>370.5</v>
      </c>
      <c r="N5060" s="7">
        <v>179.2</v>
      </c>
      <c r="O5060" s="7">
        <v>173.1</v>
      </c>
      <c r="P5060" s="7">
        <v>415.6</v>
      </c>
    </row>
    <row r="5061" spans="1:19" x14ac:dyDescent="0.2">
      <c r="A5061">
        <v>5060</v>
      </c>
      <c r="B5061" s="1">
        <v>40872</v>
      </c>
      <c r="C5061" t="s">
        <v>28</v>
      </c>
      <c r="D5061" s="7">
        <v>133</v>
      </c>
      <c r="E5061" s="7">
        <v>20</v>
      </c>
      <c r="F5061" s="7">
        <f t="shared" si="79"/>
        <v>6</v>
      </c>
      <c r="G5061" s="7" t="str">
        <f>LOOKUP(H5061,[1]startdates!$A$2:$A$10,[1]startdates!$B$2:$B$10)</f>
        <v>SMr</v>
      </c>
      <c r="H5061">
        <v>1</v>
      </c>
      <c r="I5061" s="7">
        <v>600.29999999999995</v>
      </c>
      <c r="J5061" s="7">
        <v>475</v>
      </c>
      <c r="K5061" s="7">
        <v>567.1</v>
      </c>
      <c r="M5061" s="7">
        <v>340</v>
      </c>
      <c r="N5061" s="7">
        <v>238.7</v>
      </c>
      <c r="O5061" s="7">
        <v>159.80000000000001</v>
      </c>
    </row>
    <row r="5062" spans="1:19" x14ac:dyDescent="0.2">
      <c r="A5062">
        <v>5061</v>
      </c>
      <c r="B5062" s="1">
        <v>40872</v>
      </c>
      <c r="C5062" t="s">
        <v>28</v>
      </c>
      <c r="D5062" s="7">
        <v>133</v>
      </c>
      <c r="E5062" s="7">
        <v>20</v>
      </c>
      <c r="F5062" s="7">
        <f t="shared" si="79"/>
        <v>6</v>
      </c>
      <c r="G5062" s="7" t="str">
        <f>LOOKUP(H5062,[1]startdates!$A$2:$A$10,[1]startdates!$B$2:$B$10)</f>
        <v>SMr</v>
      </c>
      <c r="H5062">
        <v>1</v>
      </c>
      <c r="I5062" s="7">
        <v>636.20000000000005</v>
      </c>
      <c r="K5062" s="7">
        <v>474.4</v>
      </c>
      <c r="M5062" s="7">
        <v>364.5</v>
      </c>
      <c r="N5062" s="7">
        <v>166</v>
      </c>
      <c r="O5062" s="7">
        <v>170.8</v>
      </c>
    </row>
    <row r="5063" spans="1:19" x14ac:dyDescent="0.2">
      <c r="A5063">
        <v>5062</v>
      </c>
      <c r="B5063" s="1">
        <v>40872</v>
      </c>
      <c r="C5063" t="s">
        <v>28</v>
      </c>
      <c r="D5063" s="7">
        <v>133</v>
      </c>
      <c r="E5063" s="7">
        <v>20</v>
      </c>
      <c r="F5063" s="7">
        <f t="shared" si="79"/>
        <v>6</v>
      </c>
      <c r="G5063" s="7" t="str">
        <f>LOOKUP(H5063,[1]startdates!$A$2:$A$10,[1]startdates!$B$2:$B$10)</f>
        <v>SMr</v>
      </c>
      <c r="H5063">
        <v>1</v>
      </c>
      <c r="I5063" s="7">
        <v>541.20000000000005</v>
      </c>
      <c r="K5063" s="7">
        <v>541.20000000000005</v>
      </c>
      <c r="M5063" s="7">
        <v>320.60000000000002</v>
      </c>
      <c r="N5063" s="7">
        <v>209.9</v>
      </c>
      <c r="O5063" s="7">
        <v>162</v>
      </c>
    </row>
    <row r="5064" spans="1:19" x14ac:dyDescent="0.2">
      <c r="A5064">
        <v>5063</v>
      </c>
      <c r="B5064" s="1">
        <v>40872</v>
      </c>
      <c r="C5064" t="s">
        <v>28</v>
      </c>
      <c r="D5064" s="7">
        <v>133</v>
      </c>
      <c r="E5064" s="7">
        <v>20</v>
      </c>
      <c r="F5064" s="7">
        <f t="shared" si="79"/>
        <v>6</v>
      </c>
      <c r="G5064" s="7" t="str">
        <f>LOOKUP(H5064,[1]startdates!$A$2:$A$10,[1]startdates!$B$2:$B$10)</f>
        <v>SMr</v>
      </c>
      <c r="H5064">
        <v>1</v>
      </c>
      <c r="I5064" s="7">
        <v>571</v>
      </c>
      <c r="K5064" s="7">
        <v>486.7</v>
      </c>
      <c r="M5064" s="7">
        <v>327.2</v>
      </c>
      <c r="N5064" s="7">
        <v>228.2</v>
      </c>
      <c r="O5064" s="7">
        <v>159.80000000000001</v>
      </c>
    </row>
    <row r="5065" spans="1:19" x14ac:dyDescent="0.2">
      <c r="A5065">
        <v>5064</v>
      </c>
      <c r="B5065" s="1">
        <v>40872</v>
      </c>
      <c r="C5065" t="s">
        <v>28</v>
      </c>
      <c r="D5065" s="7">
        <v>133</v>
      </c>
      <c r="E5065" s="7">
        <v>20</v>
      </c>
      <c r="F5065" s="7">
        <f t="shared" si="79"/>
        <v>6</v>
      </c>
      <c r="G5065" s="7" t="str">
        <f>LOOKUP(H5065,[1]startdates!$A$2:$A$10,[1]startdates!$B$2:$B$10)</f>
        <v>SMr</v>
      </c>
      <c r="H5065">
        <v>1</v>
      </c>
      <c r="I5065" s="7">
        <v>478.8</v>
      </c>
      <c r="N5065" s="7">
        <v>215.7</v>
      </c>
      <c r="O5065" s="7">
        <v>147.5</v>
      </c>
    </row>
    <row r="5066" spans="1:19" x14ac:dyDescent="0.2">
      <c r="A5066">
        <v>5065</v>
      </c>
      <c r="B5066" s="1">
        <v>40872</v>
      </c>
      <c r="C5066" t="s">
        <v>28</v>
      </c>
      <c r="D5066" s="7">
        <v>133</v>
      </c>
      <c r="E5066" s="7">
        <v>20</v>
      </c>
      <c r="F5066" s="7">
        <f t="shared" si="79"/>
        <v>6</v>
      </c>
      <c r="G5066" s="7" t="str">
        <f>LOOKUP(H5066,[1]startdates!$A$2:$A$10,[1]startdates!$B$2:$B$10)</f>
        <v>SMr</v>
      </c>
      <c r="H5066">
        <v>1</v>
      </c>
      <c r="I5066" s="7">
        <v>678.1</v>
      </c>
      <c r="N5066" s="7">
        <v>219.5</v>
      </c>
      <c r="O5066" s="7">
        <v>140</v>
      </c>
    </row>
    <row r="5067" spans="1:19" x14ac:dyDescent="0.2">
      <c r="A5067">
        <v>5066</v>
      </c>
      <c r="B5067" s="1">
        <v>40872</v>
      </c>
      <c r="C5067" t="s">
        <v>28</v>
      </c>
      <c r="D5067" s="7">
        <v>133</v>
      </c>
      <c r="E5067" s="7">
        <v>20</v>
      </c>
      <c r="F5067" s="7">
        <f t="shared" si="79"/>
        <v>6</v>
      </c>
      <c r="G5067" s="7" t="str">
        <f>LOOKUP(H5067,[1]startdates!$A$2:$A$10,[1]startdates!$B$2:$B$10)</f>
        <v>SMr</v>
      </c>
      <c r="H5067">
        <v>1</v>
      </c>
      <c r="I5067" s="7">
        <v>488.2</v>
      </c>
      <c r="N5067" s="7">
        <v>191.8</v>
      </c>
      <c r="O5067" s="7">
        <v>166.8</v>
      </c>
    </row>
    <row r="5068" spans="1:19" x14ac:dyDescent="0.2">
      <c r="A5068">
        <v>5067</v>
      </c>
      <c r="B5068" s="1">
        <v>40872</v>
      </c>
      <c r="C5068" t="s">
        <v>28</v>
      </c>
      <c r="D5068" s="7">
        <v>133</v>
      </c>
      <c r="E5068" s="7">
        <v>20</v>
      </c>
      <c r="F5068" s="7">
        <f t="shared" si="79"/>
        <v>6</v>
      </c>
      <c r="G5068" s="7" t="str">
        <f>LOOKUP(H5068,[1]startdates!$A$2:$A$10,[1]startdates!$B$2:$B$10)</f>
        <v>SMr</v>
      </c>
      <c r="H5068">
        <v>1</v>
      </c>
      <c r="I5068" s="7">
        <v>585.4</v>
      </c>
      <c r="O5068" s="7">
        <v>151.80000000000001</v>
      </c>
    </row>
    <row r="5069" spans="1:19" x14ac:dyDescent="0.2">
      <c r="A5069">
        <v>5068</v>
      </c>
      <c r="B5069" s="1">
        <v>40872</v>
      </c>
      <c r="C5069" t="s">
        <v>28</v>
      </c>
      <c r="D5069" s="7">
        <v>133</v>
      </c>
      <c r="E5069" s="7">
        <v>20</v>
      </c>
      <c r="F5069" s="7">
        <f t="shared" si="79"/>
        <v>6</v>
      </c>
      <c r="G5069" s="7" t="str">
        <f>LOOKUP(H5069,[1]startdates!$A$2:$A$10,[1]startdates!$B$2:$B$10)</f>
        <v>SMr</v>
      </c>
      <c r="H5069">
        <v>1</v>
      </c>
      <c r="O5069" s="7">
        <v>174.9</v>
      </c>
    </row>
    <row r="5070" spans="1:19" x14ac:dyDescent="0.2">
      <c r="A5070">
        <v>5069</v>
      </c>
      <c r="B5070" s="1">
        <v>40872</v>
      </c>
      <c r="C5070" t="s">
        <v>28</v>
      </c>
      <c r="D5070" s="7">
        <v>133</v>
      </c>
      <c r="E5070" s="7">
        <v>20</v>
      </c>
      <c r="F5070" s="7">
        <f t="shared" si="79"/>
        <v>6</v>
      </c>
      <c r="G5070" s="7" t="str">
        <f>LOOKUP(H5070,[1]startdates!$A$2:$A$10,[1]startdates!$B$2:$B$10)</f>
        <v>SMr</v>
      </c>
      <c r="H5070">
        <v>2</v>
      </c>
      <c r="I5070" s="7">
        <v>647.9</v>
      </c>
      <c r="K5070" s="7">
        <v>475.3</v>
      </c>
      <c r="L5070" s="7">
        <v>395.5</v>
      </c>
      <c r="M5070" s="7">
        <v>322.60000000000002</v>
      </c>
      <c r="N5070" s="7">
        <v>199.3</v>
      </c>
      <c r="O5070" s="7">
        <v>154.69999999999999</v>
      </c>
      <c r="P5070" s="7">
        <v>401.2</v>
      </c>
      <c r="Q5070" s="7">
        <v>305</v>
      </c>
      <c r="S5070" s="7">
        <v>244.8</v>
      </c>
    </row>
    <row r="5071" spans="1:19" x14ac:dyDescent="0.2">
      <c r="A5071">
        <v>5070</v>
      </c>
      <c r="B5071" s="1">
        <v>40872</v>
      </c>
      <c r="C5071" t="s">
        <v>28</v>
      </c>
      <c r="D5071" s="7">
        <v>133</v>
      </c>
      <c r="E5071" s="7">
        <v>20</v>
      </c>
      <c r="F5071" s="7">
        <f t="shared" si="79"/>
        <v>6</v>
      </c>
      <c r="G5071" s="7" t="str">
        <f>LOOKUP(H5071,[1]startdates!$A$2:$A$10,[1]startdates!$B$2:$B$10)</f>
        <v>SMr</v>
      </c>
      <c r="H5071">
        <v>2</v>
      </c>
      <c r="I5071" s="7">
        <v>523.29999999999995</v>
      </c>
      <c r="K5071" s="7">
        <v>546.70000000000005</v>
      </c>
      <c r="L5071" s="7">
        <v>432.4</v>
      </c>
      <c r="M5071" s="7">
        <v>281.89999999999998</v>
      </c>
      <c r="N5071" s="7">
        <v>241</v>
      </c>
      <c r="O5071" s="7">
        <v>162.19999999999999</v>
      </c>
      <c r="P5071" s="7">
        <v>425</v>
      </c>
      <c r="Q5071" s="7">
        <v>303.7</v>
      </c>
    </row>
    <row r="5072" spans="1:19" x14ac:dyDescent="0.2">
      <c r="A5072">
        <v>5071</v>
      </c>
      <c r="B5072" s="1">
        <v>40872</v>
      </c>
      <c r="C5072" t="s">
        <v>28</v>
      </c>
      <c r="D5072" s="7">
        <v>133</v>
      </c>
      <c r="E5072" s="7">
        <v>20</v>
      </c>
      <c r="F5072" s="7">
        <f t="shared" si="79"/>
        <v>6</v>
      </c>
      <c r="G5072" s="7" t="str">
        <f>LOOKUP(H5072,[1]startdates!$A$2:$A$10,[1]startdates!$B$2:$B$10)</f>
        <v>SMr</v>
      </c>
      <c r="H5072">
        <v>2</v>
      </c>
      <c r="I5072" s="7">
        <v>589.20000000000005</v>
      </c>
      <c r="K5072" s="7">
        <v>547.1</v>
      </c>
      <c r="L5072" s="7">
        <v>395.5</v>
      </c>
      <c r="M5072" s="7">
        <v>347</v>
      </c>
      <c r="N5072" s="7">
        <v>278.3</v>
      </c>
      <c r="O5072" s="7">
        <v>153.4</v>
      </c>
      <c r="Q5072" s="7">
        <v>322.10000000000002</v>
      </c>
    </row>
    <row r="5073" spans="1:19" x14ac:dyDescent="0.2">
      <c r="A5073">
        <v>5072</v>
      </c>
      <c r="B5073" s="1">
        <v>40872</v>
      </c>
      <c r="C5073" t="s">
        <v>28</v>
      </c>
      <c r="D5073" s="7">
        <v>133</v>
      </c>
      <c r="E5073" s="7">
        <v>20</v>
      </c>
      <c r="F5073" s="7">
        <f t="shared" si="79"/>
        <v>6</v>
      </c>
      <c r="G5073" s="7" t="str">
        <f>LOOKUP(H5073,[1]startdates!$A$2:$A$10,[1]startdates!$B$2:$B$10)</f>
        <v>SMr</v>
      </c>
      <c r="H5073">
        <v>2</v>
      </c>
      <c r="I5073" s="7">
        <v>519.20000000000005</v>
      </c>
      <c r="K5073" s="7">
        <v>484.8</v>
      </c>
      <c r="L5073" s="7">
        <v>416.6</v>
      </c>
      <c r="M5073" s="7">
        <v>360.3</v>
      </c>
      <c r="N5073" s="7">
        <v>212.5</v>
      </c>
      <c r="O5073" s="7">
        <v>141.6</v>
      </c>
    </row>
    <row r="5074" spans="1:19" x14ac:dyDescent="0.2">
      <c r="A5074">
        <v>5073</v>
      </c>
      <c r="B5074" s="1">
        <v>40872</v>
      </c>
      <c r="C5074" t="s">
        <v>28</v>
      </c>
      <c r="D5074" s="7">
        <v>133</v>
      </c>
      <c r="E5074" s="7">
        <v>20</v>
      </c>
      <c r="F5074" s="7">
        <f t="shared" si="79"/>
        <v>6</v>
      </c>
      <c r="G5074" s="7" t="str">
        <f>LOOKUP(H5074,[1]startdates!$A$2:$A$10,[1]startdates!$B$2:$B$10)</f>
        <v>SMr</v>
      </c>
      <c r="H5074">
        <v>2</v>
      </c>
      <c r="I5074" s="7">
        <v>661.3</v>
      </c>
      <c r="K5074" s="7">
        <v>479.3</v>
      </c>
      <c r="L5074" s="7">
        <v>401.6</v>
      </c>
      <c r="M5074" s="7">
        <v>370.6</v>
      </c>
      <c r="N5074" s="7">
        <v>240.7</v>
      </c>
      <c r="O5074" s="7">
        <v>164.5</v>
      </c>
    </row>
    <row r="5075" spans="1:19" x14ac:dyDescent="0.2">
      <c r="A5075">
        <v>5074</v>
      </c>
      <c r="B5075" s="1">
        <v>40872</v>
      </c>
      <c r="C5075" t="s">
        <v>28</v>
      </c>
      <c r="D5075" s="7">
        <v>133</v>
      </c>
      <c r="E5075" s="7">
        <v>20</v>
      </c>
      <c r="F5075" s="7">
        <f t="shared" si="79"/>
        <v>6</v>
      </c>
      <c r="G5075" s="7" t="str">
        <f>LOOKUP(H5075,[1]startdates!$A$2:$A$10,[1]startdates!$B$2:$B$10)</f>
        <v>SMr</v>
      </c>
      <c r="H5075">
        <v>2</v>
      </c>
      <c r="I5075" s="7">
        <v>565.1</v>
      </c>
      <c r="L5075" s="7">
        <v>448.3</v>
      </c>
      <c r="M5075" s="7">
        <v>383.2</v>
      </c>
      <c r="N5075" s="7">
        <v>163.4</v>
      </c>
      <c r="O5075" s="7">
        <v>164.2</v>
      </c>
    </row>
    <row r="5076" spans="1:19" x14ac:dyDescent="0.2">
      <c r="A5076">
        <v>5075</v>
      </c>
      <c r="B5076" s="1">
        <v>40872</v>
      </c>
      <c r="C5076" t="s">
        <v>28</v>
      </c>
      <c r="D5076" s="7">
        <v>133</v>
      </c>
      <c r="E5076" s="7">
        <v>20</v>
      </c>
      <c r="F5076" s="7">
        <f t="shared" si="79"/>
        <v>6</v>
      </c>
      <c r="G5076" s="7" t="str">
        <f>LOOKUP(H5076,[1]startdates!$A$2:$A$10,[1]startdates!$B$2:$B$10)</f>
        <v>SMr</v>
      </c>
      <c r="H5076">
        <v>2</v>
      </c>
      <c r="I5076" s="7">
        <v>568</v>
      </c>
      <c r="M5076" s="7">
        <v>367.6</v>
      </c>
      <c r="N5076" s="7">
        <v>203.1</v>
      </c>
      <c r="O5076" s="7">
        <v>140.1</v>
      </c>
    </row>
    <row r="5077" spans="1:19" x14ac:dyDescent="0.2">
      <c r="A5077">
        <v>5076</v>
      </c>
      <c r="B5077" s="1">
        <v>40872</v>
      </c>
      <c r="C5077" t="s">
        <v>28</v>
      </c>
      <c r="D5077" s="7">
        <v>133</v>
      </c>
      <c r="E5077" s="7">
        <v>20</v>
      </c>
      <c r="F5077" s="7">
        <f t="shared" si="79"/>
        <v>6</v>
      </c>
      <c r="G5077" s="7" t="str">
        <f>LOOKUP(H5077,[1]startdates!$A$2:$A$10,[1]startdates!$B$2:$B$10)</f>
        <v>SMr</v>
      </c>
      <c r="H5077">
        <v>2</v>
      </c>
      <c r="I5077" s="7">
        <v>521.29999999999995</v>
      </c>
      <c r="M5077" s="7">
        <v>330.2</v>
      </c>
      <c r="N5077" s="7">
        <v>224</v>
      </c>
      <c r="O5077" s="7">
        <v>162</v>
      </c>
    </row>
    <row r="5078" spans="1:19" x14ac:dyDescent="0.2">
      <c r="A5078">
        <v>5077</v>
      </c>
      <c r="B5078" s="1">
        <v>40872</v>
      </c>
      <c r="C5078" t="s">
        <v>28</v>
      </c>
      <c r="D5078" s="7">
        <v>133</v>
      </c>
      <c r="E5078" s="7">
        <v>20</v>
      </c>
      <c r="F5078" s="7">
        <f t="shared" si="79"/>
        <v>6</v>
      </c>
      <c r="G5078" s="7" t="str">
        <f>LOOKUP(H5078,[1]startdates!$A$2:$A$10,[1]startdates!$B$2:$B$10)</f>
        <v>SMr</v>
      </c>
      <c r="H5078">
        <v>2</v>
      </c>
      <c r="I5078" s="7">
        <v>500.2</v>
      </c>
      <c r="M5078" s="7">
        <v>287.39999999999998</v>
      </c>
      <c r="N5078" s="7">
        <v>264</v>
      </c>
      <c r="O5078" s="7">
        <v>177.1</v>
      </c>
    </row>
    <row r="5079" spans="1:19" x14ac:dyDescent="0.2">
      <c r="A5079">
        <v>5078</v>
      </c>
      <c r="B5079" s="1">
        <v>40872</v>
      </c>
      <c r="C5079" t="s">
        <v>28</v>
      </c>
      <c r="D5079" s="7">
        <v>133</v>
      </c>
      <c r="E5079" s="7">
        <v>20</v>
      </c>
      <c r="F5079" s="7">
        <f t="shared" si="79"/>
        <v>6</v>
      </c>
      <c r="G5079" s="7" t="str">
        <f>LOOKUP(H5079,[1]startdates!$A$2:$A$10,[1]startdates!$B$2:$B$10)</f>
        <v>SMr</v>
      </c>
      <c r="H5079">
        <v>2</v>
      </c>
      <c r="I5079" s="7">
        <v>507.2</v>
      </c>
      <c r="M5079" s="7">
        <v>348.4</v>
      </c>
      <c r="N5079" s="7">
        <v>205.5</v>
      </c>
      <c r="O5079" s="7">
        <v>165.8</v>
      </c>
    </row>
    <row r="5080" spans="1:19" x14ac:dyDescent="0.2">
      <c r="A5080">
        <v>5079</v>
      </c>
      <c r="B5080" s="1">
        <v>40872</v>
      </c>
      <c r="C5080" t="s">
        <v>28</v>
      </c>
      <c r="D5080" s="7">
        <v>133</v>
      </c>
      <c r="E5080" s="7">
        <v>20</v>
      </c>
      <c r="F5080" s="7">
        <f t="shared" si="79"/>
        <v>6</v>
      </c>
      <c r="G5080" s="7" t="str">
        <f>LOOKUP(H5080,[1]startdates!$A$2:$A$10,[1]startdates!$B$2:$B$10)</f>
        <v>SMr</v>
      </c>
      <c r="H5080">
        <v>2</v>
      </c>
      <c r="I5080" s="7">
        <v>551.6</v>
      </c>
      <c r="M5080" s="7">
        <v>384</v>
      </c>
    </row>
    <row r="5081" spans="1:19" x14ac:dyDescent="0.2">
      <c r="A5081">
        <v>5080</v>
      </c>
      <c r="B5081" s="1">
        <v>40872</v>
      </c>
      <c r="C5081" t="s">
        <v>28</v>
      </c>
      <c r="D5081" s="7">
        <v>133</v>
      </c>
      <c r="E5081" s="7">
        <v>20</v>
      </c>
      <c r="F5081" s="7">
        <f t="shared" si="79"/>
        <v>6</v>
      </c>
      <c r="G5081" s="7" t="str">
        <f>LOOKUP(H5081,[1]startdates!$A$2:$A$10,[1]startdates!$B$2:$B$10)</f>
        <v>C</v>
      </c>
      <c r="H5081">
        <v>3</v>
      </c>
      <c r="I5081" s="7">
        <v>547.29999999999995</v>
      </c>
      <c r="K5081" s="7">
        <v>559.70000000000005</v>
      </c>
      <c r="L5081" s="7">
        <v>393.5</v>
      </c>
      <c r="M5081" s="7">
        <v>308.60000000000002</v>
      </c>
      <c r="N5081" s="7">
        <v>255.6</v>
      </c>
      <c r="O5081" s="7">
        <v>137.5</v>
      </c>
      <c r="P5081" s="7">
        <v>441.9</v>
      </c>
      <c r="Q5081" s="7">
        <v>316.5</v>
      </c>
      <c r="S5081" s="7">
        <v>240</v>
      </c>
    </row>
    <row r="5082" spans="1:19" x14ac:dyDescent="0.2">
      <c r="A5082">
        <v>5081</v>
      </c>
      <c r="B5082" s="1">
        <v>40872</v>
      </c>
      <c r="C5082" t="s">
        <v>28</v>
      </c>
      <c r="D5082" s="7">
        <v>133</v>
      </c>
      <c r="E5082" s="7">
        <v>20</v>
      </c>
      <c r="F5082" s="7">
        <f t="shared" si="79"/>
        <v>6</v>
      </c>
      <c r="G5082" s="7" t="str">
        <f>LOOKUP(H5082,[1]startdates!$A$2:$A$10,[1]startdates!$B$2:$B$10)</f>
        <v>C</v>
      </c>
      <c r="H5082">
        <v>3</v>
      </c>
      <c r="I5082" s="7">
        <v>507.7</v>
      </c>
      <c r="K5082" s="7">
        <v>489.9</v>
      </c>
      <c r="L5082" s="7">
        <v>429.9</v>
      </c>
      <c r="M5082" s="7">
        <v>286.7</v>
      </c>
      <c r="N5082" s="7">
        <v>202.6</v>
      </c>
      <c r="O5082" s="7">
        <v>143.6</v>
      </c>
      <c r="P5082" s="7">
        <v>434.4</v>
      </c>
      <c r="Q5082" s="7">
        <v>325.2</v>
      </c>
    </row>
    <row r="5083" spans="1:19" x14ac:dyDescent="0.2">
      <c r="A5083">
        <v>5082</v>
      </c>
      <c r="B5083" s="1">
        <v>40872</v>
      </c>
      <c r="C5083" t="s">
        <v>28</v>
      </c>
      <c r="D5083" s="7">
        <v>133</v>
      </c>
      <c r="E5083" s="7">
        <v>20</v>
      </c>
      <c r="F5083" s="7">
        <f t="shared" si="79"/>
        <v>6</v>
      </c>
      <c r="G5083" s="7" t="str">
        <f>LOOKUP(H5083,[1]startdates!$A$2:$A$10,[1]startdates!$B$2:$B$10)</f>
        <v>C</v>
      </c>
      <c r="H5083">
        <v>3</v>
      </c>
      <c r="I5083" s="7">
        <v>585.4</v>
      </c>
      <c r="K5083" s="7">
        <v>567.9</v>
      </c>
      <c r="L5083" s="7">
        <v>479.6</v>
      </c>
      <c r="M5083" s="7">
        <v>287.2</v>
      </c>
      <c r="N5083" s="7">
        <v>269.60000000000002</v>
      </c>
      <c r="O5083" s="7">
        <v>153.1</v>
      </c>
      <c r="P5083" s="7">
        <v>440</v>
      </c>
    </row>
    <row r="5084" spans="1:19" x14ac:dyDescent="0.2">
      <c r="A5084">
        <v>5083</v>
      </c>
      <c r="B5084" s="1">
        <v>40872</v>
      </c>
      <c r="C5084" t="s">
        <v>28</v>
      </c>
      <c r="D5084" s="7">
        <v>133</v>
      </c>
      <c r="E5084" s="7">
        <v>20</v>
      </c>
      <c r="F5084" s="7">
        <f t="shared" si="79"/>
        <v>6</v>
      </c>
      <c r="G5084" s="7" t="str">
        <f>LOOKUP(H5084,[1]startdates!$A$2:$A$10,[1]startdates!$B$2:$B$10)</f>
        <v>C</v>
      </c>
      <c r="H5084">
        <v>3</v>
      </c>
      <c r="I5084" s="7">
        <v>485.7</v>
      </c>
      <c r="K5084" s="7">
        <v>550.70000000000005</v>
      </c>
      <c r="L5084" s="7">
        <v>416.1</v>
      </c>
      <c r="M5084" s="7">
        <v>384.7</v>
      </c>
      <c r="N5084" s="7">
        <v>199.3</v>
      </c>
      <c r="O5084" s="7">
        <v>166.5</v>
      </c>
    </row>
    <row r="5085" spans="1:19" x14ac:dyDescent="0.2">
      <c r="A5085">
        <v>5084</v>
      </c>
      <c r="B5085" s="1">
        <v>40872</v>
      </c>
      <c r="C5085" t="s">
        <v>28</v>
      </c>
      <c r="D5085" s="7">
        <v>133</v>
      </c>
      <c r="E5085" s="7">
        <v>20</v>
      </c>
      <c r="F5085" s="7">
        <f t="shared" si="79"/>
        <v>6</v>
      </c>
      <c r="G5085" s="7" t="str">
        <f>LOOKUP(H5085,[1]startdates!$A$2:$A$10,[1]startdates!$B$2:$B$10)</f>
        <v>C</v>
      </c>
      <c r="H5085">
        <v>3</v>
      </c>
      <c r="I5085" s="7">
        <v>552.1</v>
      </c>
      <c r="K5085" s="7">
        <v>476</v>
      </c>
      <c r="L5085" s="7">
        <v>394.7</v>
      </c>
      <c r="M5085" s="7">
        <v>307.8</v>
      </c>
      <c r="N5085" s="7">
        <v>276.8</v>
      </c>
      <c r="O5085" s="7">
        <v>186.9</v>
      </c>
    </row>
    <row r="5086" spans="1:19" x14ac:dyDescent="0.2">
      <c r="A5086">
        <v>5085</v>
      </c>
      <c r="B5086" s="1">
        <v>40872</v>
      </c>
      <c r="C5086" t="s">
        <v>28</v>
      </c>
      <c r="D5086" s="7">
        <v>133</v>
      </c>
      <c r="E5086" s="7">
        <v>20</v>
      </c>
      <c r="F5086" s="7">
        <f t="shared" si="79"/>
        <v>6</v>
      </c>
      <c r="G5086" s="7" t="str">
        <f>LOOKUP(H5086,[1]startdates!$A$2:$A$10,[1]startdates!$B$2:$B$10)</f>
        <v>C</v>
      </c>
      <c r="H5086">
        <v>3</v>
      </c>
      <c r="I5086" s="7">
        <v>584.70000000000005</v>
      </c>
      <c r="K5086" s="7">
        <v>494.4</v>
      </c>
      <c r="L5086" s="7">
        <v>411.7</v>
      </c>
      <c r="M5086" s="7">
        <v>383.1</v>
      </c>
      <c r="N5086" s="7">
        <v>212.8</v>
      </c>
      <c r="O5086" s="7">
        <v>137</v>
      </c>
    </row>
    <row r="5087" spans="1:19" x14ac:dyDescent="0.2">
      <c r="A5087">
        <v>5086</v>
      </c>
      <c r="B5087" s="1">
        <v>40872</v>
      </c>
      <c r="C5087" t="s">
        <v>28</v>
      </c>
      <c r="D5087" s="7">
        <v>133</v>
      </c>
      <c r="E5087" s="7">
        <v>20</v>
      </c>
      <c r="F5087" s="7">
        <f t="shared" si="79"/>
        <v>6</v>
      </c>
      <c r="G5087" s="7" t="str">
        <f>LOOKUP(H5087,[1]startdates!$A$2:$A$10,[1]startdates!$B$2:$B$10)</f>
        <v>C</v>
      </c>
      <c r="H5087">
        <v>3</v>
      </c>
      <c r="I5087" s="7">
        <v>625.1</v>
      </c>
      <c r="K5087" s="7">
        <v>559.70000000000005</v>
      </c>
      <c r="L5087" s="7">
        <v>430.4</v>
      </c>
      <c r="M5087" s="7">
        <v>284.2</v>
      </c>
      <c r="N5087" s="7">
        <v>180.7</v>
      </c>
      <c r="O5087" s="7">
        <v>148.4</v>
      </c>
    </row>
    <row r="5088" spans="1:19" x14ac:dyDescent="0.2">
      <c r="A5088">
        <v>5087</v>
      </c>
      <c r="B5088" s="1">
        <v>40872</v>
      </c>
      <c r="C5088" t="s">
        <v>28</v>
      </c>
      <c r="D5088" s="7">
        <v>133</v>
      </c>
      <c r="E5088" s="7">
        <v>20</v>
      </c>
      <c r="F5088" s="7">
        <f t="shared" si="79"/>
        <v>6</v>
      </c>
      <c r="G5088" s="7" t="str">
        <f>LOOKUP(H5088,[1]startdates!$A$2:$A$10,[1]startdates!$B$2:$B$10)</f>
        <v>C</v>
      </c>
      <c r="H5088">
        <v>3</v>
      </c>
      <c r="I5088" s="7">
        <v>529.79999999999995</v>
      </c>
      <c r="M5088" s="7">
        <v>349.8</v>
      </c>
      <c r="N5088" s="7">
        <v>208.3</v>
      </c>
      <c r="O5088" s="7">
        <v>156.19999999999999</v>
      </c>
    </row>
    <row r="5089" spans="1:19" x14ac:dyDescent="0.2">
      <c r="A5089">
        <v>5088</v>
      </c>
      <c r="B5089" s="1">
        <v>40872</v>
      </c>
      <c r="C5089" t="s">
        <v>28</v>
      </c>
      <c r="D5089" s="7">
        <v>133</v>
      </c>
      <c r="E5089" s="7">
        <v>20</v>
      </c>
      <c r="F5089" s="7">
        <f t="shared" si="79"/>
        <v>6</v>
      </c>
      <c r="G5089" s="7" t="str">
        <f>LOOKUP(H5089,[1]startdates!$A$2:$A$10,[1]startdates!$B$2:$B$10)</f>
        <v>C</v>
      </c>
      <c r="H5089">
        <v>3</v>
      </c>
      <c r="I5089" s="7">
        <v>513.70000000000005</v>
      </c>
      <c r="M5089" s="7">
        <v>362.3</v>
      </c>
      <c r="N5089" s="7">
        <v>196.1</v>
      </c>
      <c r="O5089" s="7">
        <v>156.19999999999999</v>
      </c>
    </row>
    <row r="5090" spans="1:19" x14ac:dyDescent="0.2">
      <c r="A5090">
        <v>5089</v>
      </c>
      <c r="B5090" s="1">
        <v>40872</v>
      </c>
      <c r="C5090" t="s">
        <v>28</v>
      </c>
      <c r="D5090" s="7">
        <v>133</v>
      </c>
      <c r="E5090" s="7">
        <v>20</v>
      </c>
      <c r="F5090" s="7">
        <f t="shared" si="79"/>
        <v>6</v>
      </c>
      <c r="G5090" s="7" t="str">
        <f>LOOKUP(H5090,[1]startdates!$A$2:$A$10,[1]startdates!$B$2:$B$10)</f>
        <v>C</v>
      </c>
      <c r="H5090">
        <v>3</v>
      </c>
      <c r="I5090" s="7">
        <v>559.70000000000005</v>
      </c>
      <c r="M5090" s="7">
        <v>382.7</v>
      </c>
      <c r="N5090" s="7">
        <v>256.89999999999998</v>
      </c>
      <c r="O5090" s="7">
        <v>134</v>
      </c>
    </row>
    <row r="5091" spans="1:19" x14ac:dyDescent="0.2">
      <c r="A5091">
        <v>5090</v>
      </c>
      <c r="B5091" s="1">
        <v>40872</v>
      </c>
      <c r="C5091" t="s">
        <v>28</v>
      </c>
      <c r="D5091" s="7">
        <v>133</v>
      </c>
      <c r="E5091" s="7">
        <v>20</v>
      </c>
      <c r="F5091" s="7">
        <f t="shared" si="79"/>
        <v>6</v>
      </c>
      <c r="G5091" s="7" t="str">
        <f>LOOKUP(H5091,[1]startdates!$A$2:$A$10,[1]startdates!$B$2:$B$10)</f>
        <v>SMr</v>
      </c>
      <c r="H5091">
        <v>4</v>
      </c>
      <c r="I5091" s="7">
        <v>630.20000000000005</v>
      </c>
      <c r="K5091" s="7">
        <v>546</v>
      </c>
      <c r="L5091" s="7">
        <v>430.1</v>
      </c>
      <c r="M5091" s="7">
        <v>311.60000000000002</v>
      </c>
      <c r="N5091" s="7">
        <v>244.4</v>
      </c>
      <c r="O5091" s="7">
        <v>172.1</v>
      </c>
      <c r="P5091" s="7">
        <v>412.9</v>
      </c>
      <c r="Q5091" s="7">
        <v>310.5</v>
      </c>
    </row>
    <row r="5092" spans="1:19" x14ac:dyDescent="0.2">
      <c r="A5092">
        <v>5091</v>
      </c>
      <c r="B5092" s="1">
        <v>40872</v>
      </c>
      <c r="C5092" t="s">
        <v>28</v>
      </c>
      <c r="D5092" s="7">
        <v>133</v>
      </c>
      <c r="E5092" s="7">
        <v>20</v>
      </c>
      <c r="F5092" s="7">
        <f t="shared" si="79"/>
        <v>6</v>
      </c>
      <c r="G5092" s="7" t="str">
        <f>LOOKUP(H5092,[1]startdates!$A$2:$A$10,[1]startdates!$B$2:$B$10)</f>
        <v>SMr</v>
      </c>
      <c r="H5092">
        <v>4</v>
      </c>
      <c r="I5092" s="7">
        <v>526.29999999999995</v>
      </c>
      <c r="K5092" s="7">
        <v>556</v>
      </c>
      <c r="L5092" s="7">
        <v>436.4</v>
      </c>
      <c r="M5092" s="7">
        <v>308.39999999999998</v>
      </c>
      <c r="N5092" s="7">
        <v>223.6</v>
      </c>
      <c r="O5092" s="7">
        <v>169.4</v>
      </c>
      <c r="P5092" s="7">
        <v>391.2</v>
      </c>
    </row>
    <row r="5093" spans="1:19" x14ac:dyDescent="0.2">
      <c r="A5093">
        <v>5092</v>
      </c>
      <c r="B5093" s="1">
        <v>40872</v>
      </c>
      <c r="C5093" t="s">
        <v>28</v>
      </c>
      <c r="D5093" s="7">
        <v>133</v>
      </c>
      <c r="E5093" s="7">
        <v>20</v>
      </c>
      <c r="F5093" s="7">
        <f t="shared" si="79"/>
        <v>6</v>
      </c>
      <c r="G5093" s="7" t="str">
        <f>LOOKUP(H5093,[1]startdates!$A$2:$A$10,[1]startdates!$B$2:$B$10)</f>
        <v>SMr</v>
      </c>
      <c r="H5093">
        <v>4</v>
      </c>
      <c r="I5093" s="7">
        <v>573.9</v>
      </c>
      <c r="K5093" s="7">
        <v>470.3</v>
      </c>
      <c r="L5093" s="7">
        <v>406.2</v>
      </c>
      <c r="M5093" s="7">
        <v>364.6</v>
      </c>
      <c r="N5093" s="7">
        <v>240.4</v>
      </c>
      <c r="O5093" s="7">
        <v>173.8</v>
      </c>
    </row>
    <row r="5094" spans="1:19" x14ac:dyDescent="0.2">
      <c r="A5094">
        <v>5093</v>
      </c>
      <c r="B5094" s="1">
        <v>40872</v>
      </c>
      <c r="C5094" t="s">
        <v>28</v>
      </c>
      <c r="D5094" s="7">
        <v>133</v>
      </c>
      <c r="E5094" s="7">
        <v>20</v>
      </c>
      <c r="F5094" s="7">
        <f t="shared" si="79"/>
        <v>6</v>
      </c>
      <c r="G5094" s="7" t="str">
        <f>LOOKUP(H5094,[1]startdates!$A$2:$A$10,[1]startdates!$B$2:$B$10)</f>
        <v>SMr</v>
      </c>
      <c r="H5094">
        <v>4</v>
      </c>
      <c r="I5094" s="7">
        <v>525.9</v>
      </c>
      <c r="K5094" s="7">
        <v>514.4</v>
      </c>
      <c r="L5094" s="7">
        <v>433.2</v>
      </c>
      <c r="M5094" s="7">
        <v>362.1</v>
      </c>
      <c r="N5094" s="7">
        <v>197.8</v>
      </c>
      <c r="O5094" s="7">
        <v>159</v>
      </c>
    </row>
    <row r="5095" spans="1:19" x14ac:dyDescent="0.2">
      <c r="A5095">
        <v>5094</v>
      </c>
      <c r="B5095" s="1">
        <v>40872</v>
      </c>
      <c r="C5095" t="s">
        <v>28</v>
      </c>
      <c r="D5095" s="7">
        <v>133</v>
      </c>
      <c r="E5095" s="7">
        <v>20</v>
      </c>
      <c r="F5095" s="7">
        <f t="shared" si="79"/>
        <v>6</v>
      </c>
      <c r="G5095" s="7" t="str">
        <f>LOOKUP(H5095,[1]startdates!$A$2:$A$10,[1]startdates!$B$2:$B$10)</f>
        <v>SMr</v>
      </c>
      <c r="H5095">
        <v>4</v>
      </c>
      <c r="I5095" s="7">
        <v>517.79999999999995</v>
      </c>
      <c r="K5095" s="7">
        <v>548.70000000000005</v>
      </c>
      <c r="L5095" s="7">
        <v>416.2</v>
      </c>
      <c r="M5095" s="7">
        <v>388</v>
      </c>
      <c r="N5095" s="7">
        <v>261.5</v>
      </c>
      <c r="O5095" s="7">
        <v>153.6</v>
      </c>
    </row>
    <row r="5096" spans="1:19" x14ac:dyDescent="0.2">
      <c r="A5096">
        <v>5095</v>
      </c>
      <c r="B5096" s="1">
        <v>40872</v>
      </c>
      <c r="C5096" t="s">
        <v>28</v>
      </c>
      <c r="D5096" s="7">
        <v>133</v>
      </c>
      <c r="E5096" s="7">
        <v>20</v>
      </c>
      <c r="F5096" s="7">
        <f t="shared" si="79"/>
        <v>6</v>
      </c>
      <c r="G5096" s="7" t="str">
        <f>LOOKUP(H5096,[1]startdates!$A$2:$A$10,[1]startdates!$B$2:$B$10)</f>
        <v>SMr</v>
      </c>
      <c r="H5096">
        <v>4</v>
      </c>
      <c r="I5096" s="7">
        <v>474.3</v>
      </c>
      <c r="K5096" s="7">
        <v>456.4</v>
      </c>
      <c r="L5096" s="7">
        <v>434.5</v>
      </c>
      <c r="M5096" s="7">
        <v>320.3</v>
      </c>
      <c r="N5096" s="7">
        <v>189.8</v>
      </c>
      <c r="O5096" s="7">
        <v>168.9</v>
      </c>
    </row>
    <row r="5097" spans="1:19" x14ac:dyDescent="0.2">
      <c r="A5097">
        <v>5096</v>
      </c>
      <c r="B5097" s="1">
        <v>40872</v>
      </c>
      <c r="C5097" t="s">
        <v>28</v>
      </c>
      <c r="D5097" s="7">
        <v>133</v>
      </c>
      <c r="E5097" s="7">
        <v>20</v>
      </c>
      <c r="F5097" s="7">
        <f t="shared" ref="F5097:F5160" si="80">WEEKDAY(B5097)</f>
        <v>6</v>
      </c>
      <c r="G5097" s="7" t="str">
        <f>LOOKUP(H5097,[1]startdates!$A$2:$A$10,[1]startdates!$B$2:$B$10)</f>
        <v>SMr</v>
      </c>
      <c r="H5097">
        <v>4</v>
      </c>
      <c r="I5097" s="7">
        <v>627</v>
      </c>
      <c r="L5097" s="7">
        <v>424.8</v>
      </c>
      <c r="M5097" s="7">
        <v>351.7</v>
      </c>
      <c r="N5097" s="7">
        <v>270.10000000000002</v>
      </c>
      <c r="O5097" s="7">
        <v>173.8</v>
      </c>
    </row>
    <row r="5098" spans="1:19" x14ac:dyDescent="0.2">
      <c r="A5098">
        <v>5097</v>
      </c>
      <c r="B5098" s="1">
        <v>40872</v>
      </c>
      <c r="C5098" t="s">
        <v>28</v>
      </c>
      <c r="D5098" s="7">
        <v>133</v>
      </c>
      <c r="E5098" s="7">
        <v>20</v>
      </c>
      <c r="F5098" s="7">
        <f t="shared" si="80"/>
        <v>6</v>
      </c>
      <c r="G5098" s="7" t="str">
        <f>LOOKUP(H5098,[1]startdates!$A$2:$A$10,[1]startdates!$B$2:$B$10)</f>
        <v>SMr</v>
      </c>
      <c r="H5098">
        <v>4</v>
      </c>
      <c r="I5098" s="7">
        <v>561.9</v>
      </c>
      <c r="M5098" s="7">
        <v>346.2</v>
      </c>
      <c r="N5098" s="7">
        <v>224</v>
      </c>
      <c r="O5098" s="7">
        <v>154.69999999999999</v>
      </c>
    </row>
    <row r="5099" spans="1:19" x14ac:dyDescent="0.2">
      <c r="A5099">
        <v>5098</v>
      </c>
      <c r="B5099" s="1">
        <v>40872</v>
      </c>
      <c r="C5099" t="s">
        <v>28</v>
      </c>
      <c r="D5099" s="7">
        <v>133</v>
      </c>
      <c r="E5099" s="7">
        <v>20</v>
      </c>
      <c r="F5099" s="7">
        <f t="shared" si="80"/>
        <v>6</v>
      </c>
      <c r="G5099" s="7" t="str">
        <f>LOOKUP(H5099,[1]startdates!$A$2:$A$10,[1]startdates!$B$2:$B$10)</f>
        <v>SMr</v>
      </c>
      <c r="H5099">
        <v>4</v>
      </c>
      <c r="I5099" s="7">
        <v>525.20000000000005</v>
      </c>
      <c r="M5099" s="7">
        <v>329</v>
      </c>
      <c r="N5099" s="7">
        <v>228.3</v>
      </c>
      <c r="O5099" s="7">
        <v>167.7</v>
      </c>
    </row>
    <row r="5100" spans="1:19" x14ac:dyDescent="0.2">
      <c r="A5100">
        <v>5099</v>
      </c>
      <c r="B5100" s="1">
        <v>40872</v>
      </c>
      <c r="C5100" t="s">
        <v>28</v>
      </c>
      <c r="D5100" s="7">
        <v>133</v>
      </c>
      <c r="E5100" s="7">
        <v>20</v>
      </c>
      <c r="F5100" s="7">
        <f t="shared" si="80"/>
        <v>6</v>
      </c>
      <c r="G5100" s="7" t="str">
        <f>LOOKUP(H5100,[1]startdates!$A$2:$A$10,[1]startdates!$B$2:$B$10)</f>
        <v>SMr</v>
      </c>
      <c r="H5100">
        <v>4</v>
      </c>
      <c r="I5100" s="7">
        <v>489.9</v>
      </c>
      <c r="M5100" s="7">
        <v>293.5</v>
      </c>
      <c r="N5100" s="7">
        <v>201.4</v>
      </c>
      <c r="O5100" s="7">
        <v>163</v>
      </c>
    </row>
    <row r="5101" spans="1:19" x14ac:dyDescent="0.2">
      <c r="A5101">
        <v>5100</v>
      </c>
      <c r="B5101" s="1">
        <v>40872</v>
      </c>
      <c r="C5101" t="s">
        <v>28</v>
      </c>
      <c r="D5101" s="7">
        <v>133</v>
      </c>
      <c r="E5101" s="7">
        <v>20</v>
      </c>
      <c r="F5101" s="7">
        <f t="shared" si="80"/>
        <v>6</v>
      </c>
      <c r="G5101" s="7" t="str">
        <f>LOOKUP(H5101,[1]startdates!$A$2:$A$10,[1]startdates!$B$2:$B$10)</f>
        <v>SMr</v>
      </c>
      <c r="H5101">
        <v>4</v>
      </c>
      <c r="I5101" s="7">
        <v>512.5</v>
      </c>
    </row>
    <row r="5102" spans="1:19" x14ac:dyDescent="0.2">
      <c r="A5102">
        <v>5101</v>
      </c>
      <c r="B5102" s="1">
        <v>40872</v>
      </c>
      <c r="C5102" t="s">
        <v>28</v>
      </c>
      <c r="D5102" s="7">
        <v>133</v>
      </c>
      <c r="E5102" s="7">
        <v>20</v>
      </c>
      <c r="F5102" s="7">
        <f t="shared" si="80"/>
        <v>6</v>
      </c>
      <c r="G5102" s="7" t="str">
        <f>LOOKUP(H5102,[1]startdates!$A$2:$A$10,[1]startdates!$B$2:$B$10)</f>
        <v>SMr</v>
      </c>
      <c r="H5102">
        <v>4</v>
      </c>
      <c r="I5102" s="7">
        <v>567.70000000000005</v>
      </c>
    </row>
    <row r="5103" spans="1:19" x14ac:dyDescent="0.2">
      <c r="A5103">
        <v>5102</v>
      </c>
      <c r="B5103" s="1">
        <v>40872</v>
      </c>
      <c r="C5103" t="s">
        <v>28</v>
      </c>
      <c r="D5103" s="7">
        <v>133</v>
      </c>
      <c r="E5103" s="7">
        <v>20</v>
      </c>
      <c r="F5103" s="7">
        <f t="shared" si="80"/>
        <v>6</v>
      </c>
      <c r="G5103" s="7" t="str">
        <f>LOOKUP(H5103,[1]startdates!$A$2:$A$10,[1]startdates!$B$2:$B$10)</f>
        <v>C</v>
      </c>
      <c r="H5103">
        <v>5</v>
      </c>
      <c r="I5103" s="7">
        <v>574.9</v>
      </c>
      <c r="J5103" s="7">
        <v>604.1</v>
      </c>
      <c r="K5103" s="7">
        <v>527.1</v>
      </c>
      <c r="L5103" s="7">
        <v>435.2</v>
      </c>
      <c r="M5103" s="7">
        <v>338.8</v>
      </c>
      <c r="N5103" s="7">
        <v>208.9</v>
      </c>
      <c r="O5103" s="7">
        <v>181.9</v>
      </c>
      <c r="P5103" s="7">
        <v>423.1</v>
      </c>
      <c r="Q5103" s="7">
        <v>320.60000000000002</v>
      </c>
      <c r="S5103" s="7">
        <v>230.7</v>
      </c>
    </row>
    <row r="5104" spans="1:19" x14ac:dyDescent="0.2">
      <c r="A5104">
        <v>5103</v>
      </c>
      <c r="B5104" s="1">
        <v>40872</v>
      </c>
      <c r="C5104" t="s">
        <v>28</v>
      </c>
      <c r="D5104" s="7">
        <v>133</v>
      </c>
      <c r="E5104" s="7">
        <v>20</v>
      </c>
      <c r="F5104" s="7">
        <f t="shared" si="80"/>
        <v>6</v>
      </c>
      <c r="G5104" s="7" t="str">
        <f>LOOKUP(H5104,[1]startdates!$A$2:$A$10,[1]startdates!$B$2:$B$10)</f>
        <v>C</v>
      </c>
      <c r="H5104">
        <v>5</v>
      </c>
      <c r="I5104" s="7">
        <v>616.20000000000005</v>
      </c>
      <c r="K5104" s="7">
        <v>581.70000000000005</v>
      </c>
      <c r="L5104" s="7">
        <v>417</v>
      </c>
      <c r="M5104" s="7">
        <v>297.39999999999998</v>
      </c>
      <c r="N5104" s="7">
        <v>216.7</v>
      </c>
      <c r="O5104" s="7">
        <v>158.1</v>
      </c>
      <c r="P5104" s="7">
        <v>421.5</v>
      </c>
    </row>
    <row r="5105" spans="1:19" x14ac:dyDescent="0.2">
      <c r="A5105">
        <v>5104</v>
      </c>
      <c r="B5105" s="1">
        <v>40872</v>
      </c>
      <c r="C5105" t="s">
        <v>28</v>
      </c>
      <c r="D5105" s="7">
        <v>133</v>
      </c>
      <c r="E5105" s="7">
        <v>20</v>
      </c>
      <c r="F5105" s="7">
        <f t="shared" si="80"/>
        <v>6</v>
      </c>
      <c r="G5105" s="7" t="str">
        <f>LOOKUP(H5105,[1]startdates!$A$2:$A$10,[1]startdates!$B$2:$B$10)</f>
        <v>C</v>
      </c>
      <c r="H5105">
        <v>5</v>
      </c>
      <c r="I5105" s="7">
        <v>508</v>
      </c>
      <c r="K5105" s="7">
        <v>449.7</v>
      </c>
      <c r="M5105" s="7">
        <v>341.8</v>
      </c>
      <c r="N5105" s="7">
        <v>216.5</v>
      </c>
      <c r="O5105" s="7">
        <v>172.9</v>
      </c>
      <c r="P5105" s="7">
        <v>429.4</v>
      </c>
    </row>
    <row r="5106" spans="1:19" x14ac:dyDescent="0.2">
      <c r="A5106">
        <v>5105</v>
      </c>
      <c r="B5106" s="1">
        <v>40872</v>
      </c>
      <c r="C5106" t="s">
        <v>28</v>
      </c>
      <c r="D5106" s="7">
        <v>133</v>
      </c>
      <c r="E5106" s="7">
        <v>20</v>
      </c>
      <c r="F5106" s="7">
        <f t="shared" si="80"/>
        <v>6</v>
      </c>
      <c r="G5106" s="7" t="str">
        <f>LOOKUP(H5106,[1]startdates!$A$2:$A$10,[1]startdates!$B$2:$B$10)</f>
        <v>C</v>
      </c>
      <c r="H5106">
        <v>5</v>
      </c>
      <c r="I5106" s="7">
        <v>633.29999999999995</v>
      </c>
      <c r="K5106" s="7">
        <v>472.1</v>
      </c>
      <c r="M5106" s="7">
        <v>330</v>
      </c>
      <c r="N5106" s="7">
        <v>243.2</v>
      </c>
      <c r="O5106" s="7">
        <v>164</v>
      </c>
    </row>
    <row r="5107" spans="1:19" x14ac:dyDescent="0.2">
      <c r="A5107">
        <v>5106</v>
      </c>
      <c r="B5107" s="1">
        <v>40872</v>
      </c>
      <c r="C5107" t="s">
        <v>28</v>
      </c>
      <c r="D5107" s="7">
        <v>133</v>
      </c>
      <c r="E5107" s="7">
        <v>20</v>
      </c>
      <c r="F5107" s="7">
        <f t="shared" si="80"/>
        <v>6</v>
      </c>
      <c r="G5107" s="7" t="str">
        <f>LOOKUP(H5107,[1]startdates!$A$2:$A$10,[1]startdates!$B$2:$B$10)</f>
        <v>C</v>
      </c>
      <c r="H5107">
        <v>5</v>
      </c>
      <c r="I5107" s="7">
        <v>601.20000000000005</v>
      </c>
      <c r="K5107" s="7">
        <v>515.6</v>
      </c>
      <c r="M5107" s="7">
        <v>289</v>
      </c>
      <c r="N5107" s="7">
        <v>220.7</v>
      </c>
      <c r="O5107" s="7">
        <v>154.6</v>
      </c>
    </row>
    <row r="5108" spans="1:19" x14ac:dyDescent="0.2">
      <c r="A5108">
        <v>5107</v>
      </c>
      <c r="B5108" s="1">
        <v>40872</v>
      </c>
      <c r="C5108" t="s">
        <v>28</v>
      </c>
      <c r="D5108" s="7">
        <v>133</v>
      </c>
      <c r="E5108" s="7">
        <v>20</v>
      </c>
      <c r="F5108" s="7">
        <f t="shared" si="80"/>
        <v>6</v>
      </c>
      <c r="G5108" s="7" t="str">
        <f>LOOKUP(H5108,[1]startdates!$A$2:$A$10,[1]startdates!$B$2:$B$10)</f>
        <v>C</v>
      </c>
      <c r="H5108">
        <v>5</v>
      </c>
      <c r="I5108" s="7">
        <v>728.5</v>
      </c>
      <c r="M5108" s="7">
        <v>325.7</v>
      </c>
      <c r="N5108" s="7">
        <v>279.8</v>
      </c>
      <c r="O5108" s="7">
        <v>149.5</v>
      </c>
    </row>
    <row r="5109" spans="1:19" x14ac:dyDescent="0.2">
      <c r="A5109">
        <v>5108</v>
      </c>
      <c r="B5109" s="1">
        <v>40872</v>
      </c>
      <c r="C5109" t="s">
        <v>28</v>
      </c>
      <c r="D5109" s="7">
        <v>133</v>
      </c>
      <c r="E5109" s="7">
        <v>20</v>
      </c>
      <c r="F5109" s="7">
        <f t="shared" si="80"/>
        <v>6</v>
      </c>
      <c r="G5109" s="7" t="str">
        <f>LOOKUP(H5109,[1]startdates!$A$2:$A$10,[1]startdates!$B$2:$B$10)</f>
        <v>C</v>
      </c>
      <c r="H5109">
        <v>5</v>
      </c>
      <c r="I5109" s="7">
        <v>617</v>
      </c>
      <c r="M5109" s="7">
        <v>360.9</v>
      </c>
      <c r="N5109" s="7">
        <v>229.4</v>
      </c>
      <c r="O5109" s="7">
        <v>153.30000000000001</v>
      </c>
    </row>
    <row r="5110" spans="1:19" x14ac:dyDescent="0.2">
      <c r="A5110">
        <v>5109</v>
      </c>
      <c r="B5110" s="1">
        <v>40872</v>
      </c>
      <c r="C5110" t="s">
        <v>28</v>
      </c>
      <c r="D5110" s="7">
        <v>133</v>
      </c>
      <c r="E5110" s="7">
        <v>20</v>
      </c>
      <c r="F5110" s="7">
        <f t="shared" si="80"/>
        <v>6</v>
      </c>
      <c r="G5110" s="7" t="str">
        <f>LOOKUP(H5110,[1]startdates!$A$2:$A$10,[1]startdates!$B$2:$B$10)</f>
        <v>C</v>
      </c>
      <c r="H5110">
        <v>5</v>
      </c>
      <c r="I5110" s="7">
        <v>566.4</v>
      </c>
      <c r="M5110" s="7">
        <v>347.3</v>
      </c>
      <c r="N5110" s="7">
        <v>262</v>
      </c>
      <c r="O5110" s="7">
        <v>177.7</v>
      </c>
    </row>
    <row r="5111" spans="1:19" x14ac:dyDescent="0.2">
      <c r="A5111">
        <v>5110</v>
      </c>
      <c r="B5111" s="1">
        <v>40872</v>
      </c>
      <c r="C5111" t="s">
        <v>28</v>
      </c>
      <c r="D5111" s="7">
        <v>133</v>
      </c>
      <c r="E5111" s="7">
        <v>20</v>
      </c>
      <c r="F5111" s="7">
        <f t="shared" si="80"/>
        <v>6</v>
      </c>
      <c r="G5111" s="7" t="str">
        <f>LOOKUP(H5111,[1]startdates!$A$2:$A$10,[1]startdates!$B$2:$B$10)</f>
        <v>C</v>
      </c>
      <c r="H5111">
        <v>5</v>
      </c>
      <c r="I5111" s="7">
        <v>641.5</v>
      </c>
      <c r="M5111" s="7">
        <v>328</v>
      </c>
      <c r="N5111" s="7">
        <v>178.1</v>
      </c>
      <c r="O5111" s="7">
        <v>159.80000000000001</v>
      </c>
    </row>
    <row r="5112" spans="1:19" x14ac:dyDescent="0.2">
      <c r="A5112">
        <v>5111</v>
      </c>
      <c r="B5112" s="1">
        <v>40872</v>
      </c>
      <c r="C5112" t="s">
        <v>28</v>
      </c>
      <c r="D5112" s="7">
        <v>133</v>
      </c>
      <c r="E5112" s="7">
        <v>20</v>
      </c>
      <c r="F5112" s="7">
        <f t="shared" si="80"/>
        <v>6</v>
      </c>
      <c r="G5112" s="7" t="str">
        <f>LOOKUP(H5112,[1]startdates!$A$2:$A$10,[1]startdates!$B$2:$B$10)</f>
        <v>C</v>
      </c>
      <c r="H5112">
        <v>5</v>
      </c>
      <c r="I5112" s="7">
        <v>675.5</v>
      </c>
      <c r="M5112" s="7">
        <v>323.89999999999998</v>
      </c>
      <c r="N5112" s="7">
        <v>245.7</v>
      </c>
      <c r="O5112" s="7">
        <v>148.19999999999999</v>
      </c>
    </row>
    <row r="5113" spans="1:19" x14ac:dyDescent="0.2">
      <c r="A5113">
        <v>5112</v>
      </c>
      <c r="B5113" s="1">
        <v>40872</v>
      </c>
      <c r="C5113" t="s">
        <v>28</v>
      </c>
      <c r="D5113" s="7">
        <v>133</v>
      </c>
      <c r="E5113" s="7">
        <v>20</v>
      </c>
      <c r="F5113" s="7">
        <f t="shared" si="80"/>
        <v>6</v>
      </c>
      <c r="G5113" s="7" t="str">
        <f>LOOKUP(H5113,[1]startdates!$A$2:$A$10,[1]startdates!$B$2:$B$10)</f>
        <v>C</v>
      </c>
      <c r="H5113">
        <v>5</v>
      </c>
      <c r="M5113" s="7">
        <v>357.4</v>
      </c>
    </row>
    <row r="5114" spans="1:19" x14ac:dyDescent="0.2">
      <c r="A5114">
        <v>5113</v>
      </c>
      <c r="B5114" s="1">
        <v>40872</v>
      </c>
      <c r="C5114" t="s">
        <v>28</v>
      </c>
      <c r="D5114" s="7">
        <v>133</v>
      </c>
      <c r="E5114" s="7">
        <v>20</v>
      </c>
      <c r="F5114" s="7">
        <f t="shared" si="80"/>
        <v>6</v>
      </c>
      <c r="G5114" s="7" t="str">
        <f>LOOKUP(H5114,[1]startdates!$A$2:$A$10,[1]startdates!$B$2:$B$10)</f>
        <v>C</v>
      </c>
      <c r="H5114">
        <v>5</v>
      </c>
      <c r="M5114" s="7">
        <v>380.4</v>
      </c>
    </row>
    <row r="5115" spans="1:19" x14ac:dyDescent="0.2">
      <c r="A5115">
        <v>5114</v>
      </c>
      <c r="B5115" s="1">
        <v>40872</v>
      </c>
      <c r="C5115" t="s">
        <v>28</v>
      </c>
      <c r="D5115" s="7">
        <v>133</v>
      </c>
      <c r="E5115" s="7">
        <v>20</v>
      </c>
      <c r="F5115" s="7">
        <f t="shared" si="80"/>
        <v>6</v>
      </c>
      <c r="G5115" s="7" t="str">
        <f>LOOKUP(H5115,[1]startdates!$A$2:$A$10,[1]startdates!$B$2:$B$10)</f>
        <v>FMr</v>
      </c>
      <c r="H5115">
        <v>6</v>
      </c>
      <c r="I5115" s="7">
        <v>573.29999999999995</v>
      </c>
      <c r="K5115" s="7">
        <v>431.4</v>
      </c>
      <c r="L5115" s="7">
        <v>452.1</v>
      </c>
      <c r="M5115" s="7">
        <v>336.3</v>
      </c>
      <c r="N5115" s="7">
        <v>189.3</v>
      </c>
      <c r="O5115" s="7">
        <v>159</v>
      </c>
      <c r="Q5115" s="7">
        <v>327.2</v>
      </c>
      <c r="R5115" s="7">
        <v>290.10000000000002</v>
      </c>
      <c r="S5115" s="7">
        <v>244.1</v>
      </c>
    </row>
    <row r="5116" spans="1:19" x14ac:dyDescent="0.2">
      <c r="A5116">
        <v>5115</v>
      </c>
      <c r="B5116" s="1">
        <v>40872</v>
      </c>
      <c r="C5116" t="s">
        <v>28</v>
      </c>
      <c r="D5116" s="7">
        <v>133</v>
      </c>
      <c r="E5116" s="7">
        <v>20</v>
      </c>
      <c r="F5116" s="7">
        <f t="shared" si="80"/>
        <v>6</v>
      </c>
      <c r="G5116" s="7" t="str">
        <f>LOOKUP(H5116,[1]startdates!$A$2:$A$10,[1]startdates!$B$2:$B$10)</f>
        <v>FMr</v>
      </c>
      <c r="H5116">
        <v>6</v>
      </c>
      <c r="I5116" s="7">
        <v>563.5</v>
      </c>
      <c r="K5116" s="7">
        <v>524.20000000000005</v>
      </c>
      <c r="L5116" s="7">
        <v>442.7</v>
      </c>
      <c r="M5116" s="7">
        <v>341.1</v>
      </c>
      <c r="N5116" s="7">
        <v>198.3</v>
      </c>
      <c r="O5116" s="7">
        <v>147</v>
      </c>
    </row>
    <row r="5117" spans="1:19" x14ac:dyDescent="0.2">
      <c r="A5117">
        <v>5116</v>
      </c>
      <c r="B5117" s="1">
        <v>40872</v>
      </c>
      <c r="C5117" t="s">
        <v>28</v>
      </c>
      <c r="D5117" s="7">
        <v>133</v>
      </c>
      <c r="E5117" s="7">
        <v>20</v>
      </c>
      <c r="F5117" s="7">
        <f t="shared" si="80"/>
        <v>6</v>
      </c>
      <c r="G5117" s="7" t="str">
        <f>LOOKUP(H5117,[1]startdates!$A$2:$A$10,[1]startdates!$B$2:$B$10)</f>
        <v>FMr</v>
      </c>
      <c r="H5117">
        <v>6</v>
      </c>
      <c r="I5117" s="7">
        <v>598.6</v>
      </c>
      <c r="K5117" s="7">
        <v>496.8</v>
      </c>
      <c r="L5117" s="7">
        <v>397.3</v>
      </c>
      <c r="M5117" s="7">
        <v>326.7</v>
      </c>
      <c r="N5117" s="7">
        <v>217.4</v>
      </c>
      <c r="O5117" s="7">
        <v>153.1</v>
      </c>
    </row>
    <row r="5118" spans="1:19" x14ac:dyDescent="0.2">
      <c r="A5118">
        <v>5117</v>
      </c>
      <c r="B5118" s="1">
        <v>40872</v>
      </c>
      <c r="C5118" t="s">
        <v>28</v>
      </c>
      <c r="D5118" s="7">
        <v>133</v>
      </c>
      <c r="E5118" s="7">
        <v>20</v>
      </c>
      <c r="F5118" s="7">
        <f t="shared" si="80"/>
        <v>6</v>
      </c>
      <c r="G5118" s="7" t="str">
        <f>LOOKUP(H5118,[1]startdates!$A$2:$A$10,[1]startdates!$B$2:$B$10)</f>
        <v>FMr</v>
      </c>
      <c r="H5118">
        <v>6</v>
      </c>
      <c r="I5118" s="7">
        <v>448.2</v>
      </c>
      <c r="K5118" s="7">
        <v>522.9</v>
      </c>
      <c r="L5118" s="7">
        <v>445.8</v>
      </c>
      <c r="M5118" s="7">
        <v>304</v>
      </c>
      <c r="N5118" s="7">
        <v>240</v>
      </c>
      <c r="O5118" s="7">
        <v>145.6</v>
      </c>
    </row>
    <row r="5119" spans="1:19" x14ac:dyDescent="0.2">
      <c r="A5119">
        <v>5118</v>
      </c>
      <c r="B5119" s="1">
        <v>40872</v>
      </c>
      <c r="C5119" t="s">
        <v>28</v>
      </c>
      <c r="D5119" s="7">
        <v>133</v>
      </c>
      <c r="E5119" s="7">
        <v>20</v>
      </c>
      <c r="F5119" s="7">
        <f t="shared" si="80"/>
        <v>6</v>
      </c>
      <c r="G5119" s="7" t="str">
        <f>LOOKUP(H5119,[1]startdates!$A$2:$A$10,[1]startdates!$B$2:$B$10)</f>
        <v>FMr</v>
      </c>
      <c r="H5119">
        <v>6</v>
      </c>
      <c r="I5119" s="7">
        <v>599.6</v>
      </c>
      <c r="K5119" s="7">
        <v>510.3</v>
      </c>
      <c r="L5119" s="7">
        <v>400.2</v>
      </c>
      <c r="M5119" s="7">
        <v>384.5</v>
      </c>
      <c r="N5119" s="7">
        <v>209.3</v>
      </c>
      <c r="O5119" s="7">
        <v>141.1</v>
      </c>
    </row>
    <row r="5120" spans="1:19" x14ac:dyDescent="0.2">
      <c r="A5120">
        <v>5119</v>
      </c>
      <c r="B5120" s="1">
        <v>40872</v>
      </c>
      <c r="C5120" t="s">
        <v>28</v>
      </c>
      <c r="D5120" s="7">
        <v>133</v>
      </c>
      <c r="E5120" s="7">
        <v>20</v>
      </c>
      <c r="F5120" s="7">
        <f t="shared" si="80"/>
        <v>6</v>
      </c>
      <c r="G5120" s="7" t="str">
        <f>LOOKUP(H5120,[1]startdates!$A$2:$A$10,[1]startdates!$B$2:$B$10)</f>
        <v>FMr</v>
      </c>
      <c r="H5120">
        <v>6</v>
      </c>
      <c r="I5120" s="7">
        <v>538.9</v>
      </c>
      <c r="K5120" s="7">
        <v>446.2</v>
      </c>
      <c r="L5120" s="7">
        <v>434.5</v>
      </c>
      <c r="M5120" s="7">
        <v>357.4</v>
      </c>
      <c r="N5120" s="7">
        <v>196</v>
      </c>
      <c r="O5120" s="7">
        <v>151</v>
      </c>
    </row>
    <row r="5121" spans="1:18" x14ac:dyDescent="0.2">
      <c r="A5121">
        <v>5120</v>
      </c>
      <c r="B5121" s="1">
        <v>40872</v>
      </c>
      <c r="C5121" t="s">
        <v>28</v>
      </c>
      <c r="D5121" s="7">
        <v>133</v>
      </c>
      <c r="E5121" s="7">
        <v>20</v>
      </c>
      <c r="F5121" s="7">
        <f t="shared" si="80"/>
        <v>6</v>
      </c>
      <c r="G5121" s="7" t="str">
        <f>LOOKUP(H5121,[1]startdates!$A$2:$A$10,[1]startdates!$B$2:$B$10)</f>
        <v>FMr</v>
      </c>
      <c r="H5121">
        <v>6</v>
      </c>
      <c r="I5121" s="7">
        <v>480.2</v>
      </c>
      <c r="K5121" s="7">
        <v>522.1</v>
      </c>
      <c r="M5121" s="7">
        <v>311.2</v>
      </c>
      <c r="N5121" s="7">
        <v>235.2</v>
      </c>
      <c r="O5121" s="7">
        <v>152.1</v>
      </c>
    </row>
    <row r="5122" spans="1:18" x14ac:dyDescent="0.2">
      <c r="A5122">
        <v>5121</v>
      </c>
      <c r="B5122" s="1">
        <v>40872</v>
      </c>
      <c r="C5122" t="s">
        <v>28</v>
      </c>
      <c r="D5122" s="7">
        <v>133</v>
      </c>
      <c r="E5122" s="7">
        <v>20</v>
      </c>
      <c r="F5122" s="7">
        <f t="shared" si="80"/>
        <v>6</v>
      </c>
      <c r="G5122" s="7" t="str">
        <f>LOOKUP(H5122,[1]startdates!$A$2:$A$10,[1]startdates!$B$2:$B$10)</f>
        <v>FMr</v>
      </c>
      <c r="H5122">
        <v>6</v>
      </c>
      <c r="I5122" s="7">
        <v>576.5</v>
      </c>
      <c r="M5122" s="7">
        <v>370</v>
      </c>
      <c r="N5122" s="7">
        <v>197.9</v>
      </c>
      <c r="O5122" s="7">
        <v>144.9</v>
      </c>
    </row>
    <row r="5123" spans="1:18" x14ac:dyDescent="0.2">
      <c r="A5123">
        <v>5122</v>
      </c>
      <c r="B5123" s="1">
        <v>40872</v>
      </c>
      <c r="C5123" t="s">
        <v>28</v>
      </c>
      <c r="D5123" s="7">
        <v>133</v>
      </c>
      <c r="E5123" s="7">
        <v>20</v>
      </c>
      <c r="F5123" s="7">
        <f t="shared" si="80"/>
        <v>6</v>
      </c>
      <c r="G5123" s="7" t="str">
        <f>LOOKUP(H5123,[1]startdates!$A$2:$A$10,[1]startdates!$B$2:$B$10)</f>
        <v>FMr</v>
      </c>
      <c r="H5123">
        <v>6</v>
      </c>
      <c r="I5123" s="7">
        <v>551</v>
      </c>
      <c r="M5123" s="7">
        <v>360.8</v>
      </c>
      <c r="N5123" s="7">
        <v>197.3</v>
      </c>
      <c r="O5123" s="7">
        <v>166.1</v>
      </c>
    </row>
    <row r="5124" spans="1:18" x14ac:dyDescent="0.2">
      <c r="A5124">
        <v>5123</v>
      </c>
      <c r="B5124" s="1">
        <v>40872</v>
      </c>
      <c r="C5124" t="s">
        <v>28</v>
      </c>
      <c r="D5124" s="7">
        <v>133</v>
      </c>
      <c r="E5124" s="7">
        <v>20</v>
      </c>
      <c r="F5124" s="7">
        <f t="shared" si="80"/>
        <v>6</v>
      </c>
      <c r="G5124" s="7" t="str">
        <f>LOOKUP(H5124,[1]startdates!$A$2:$A$10,[1]startdates!$B$2:$B$10)</f>
        <v>FMr</v>
      </c>
      <c r="H5124">
        <v>6</v>
      </c>
      <c r="I5124" s="7">
        <v>588.6</v>
      </c>
      <c r="M5124" s="7">
        <v>351.3</v>
      </c>
      <c r="N5124" s="7">
        <v>248</v>
      </c>
      <c r="O5124" s="7">
        <v>153.30000000000001</v>
      </c>
    </row>
    <row r="5125" spans="1:18" x14ac:dyDescent="0.2">
      <c r="A5125">
        <v>5124</v>
      </c>
      <c r="B5125" s="1">
        <v>40872</v>
      </c>
      <c r="C5125" t="s">
        <v>28</v>
      </c>
      <c r="D5125" s="7">
        <v>133</v>
      </c>
      <c r="E5125" s="7">
        <v>20</v>
      </c>
      <c r="F5125" s="7">
        <f t="shared" si="80"/>
        <v>6</v>
      </c>
      <c r="G5125" s="7" t="str">
        <f>LOOKUP(H5125,[1]startdates!$A$2:$A$10,[1]startdates!$B$2:$B$10)</f>
        <v>FMr</v>
      </c>
      <c r="H5125">
        <v>7</v>
      </c>
      <c r="I5125" s="7">
        <v>601</v>
      </c>
      <c r="K5125" s="7">
        <v>512.5</v>
      </c>
      <c r="L5125" s="7">
        <v>401.5</v>
      </c>
      <c r="M5125" s="7">
        <v>296.8</v>
      </c>
      <c r="N5125" s="7">
        <v>213.6</v>
      </c>
      <c r="O5125" s="7">
        <v>167.7</v>
      </c>
      <c r="Q5125" s="7">
        <v>384.7</v>
      </c>
      <c r="R5125" s="7">
        <v>262</v>
      </c>
    </row>
    <row r="5126" spans="1:18" x14ac:dyDescent="0.2">
      <c r="A5126">
        <v>5125</v>
      </c>
      <c r="B5126" s="1">
        <v>40872</v>
      </c>
      <c r="C5126" t="s">
        <v>28</v>
      </c>
      <c r="D5126" s="7">
        <v>133</v>
      </c>
      <c r="E5126" s="7">
        <v>20</v>
      </c>
      <c r="F5126" s="7">
        <f t="shared" si="80"/>
        <v>6</v>
      </c>
      <c r="G5126" s="7" t="str">
        <f>LOOKUP(H5126,[1]startdates!$A$2:$A$10,[1]startdates!$B$2:$B$10)</f>
        <v>FMr</v>
      </c>
      <c r="H5126">
        <v>7</v>
      </c>
      <c r="I5126" s="7">
        <v>563.4</v>
      </c>
      <c r="K5126" s="7">
        <v>489.9</v>
      </c>
      <c r="L5126" s="7">
        <v>429.9</v>
      </c>
      <c r="M5126" s="7">
        <v>321.89999999999998</v>
      </c>
      <c r="N5126" s="7">
        <v>190.1</v>
      </c>
      <c r="O5126" s="7">
        <v>162.69999999999999</v>
      </c>
      <c r="Q5126" s="7">
        <v>391</v>
      </c>
      <c r="R5126" s="7">
        <v>225.3</v>
      </c>
    </row>
    <row r="5127" spans="1:18" x14ac:dyDescent="0.2">
      <c r="A5127">
        <v>5126</v>
      </c>
      <c r="B5127" s="1">
        <v>40872</v>
      </c>
      <c r="C5127" t="s">
        <v>28</v>
      </c>
      <c r="D5127" s="7">
        <v>133</v>
      </c>
      <c r="E5127" s="7">
        <v>20</v>
      </c>
      <c r="F5127" s="7">
        <f t="shared" si="80"/>
        <v>6</v>
      </c>
      <c r="G5127" s="7" t="str">
        <f>LOOKUP(H5127,[1]startdates!$A$2:$A$10,[1]startdates!$B$2:$B$10)</f>
        <v>FMr</v>
      </c>
      <c r="H5127">
        <v>7</v>
      </c>
      <c r="I5127" s="7">
        <v>533.29999999999995</v>
      </c>
      <c r="K5127" s="7">
        <v>515.6</v>
      </c>
      <c r="L5127" s="7">
        <v>433.4</v>
      </c>
      <c r="M5127" s="7">
        <v>287.60000000000002</v>
      </c>
      <c r="N5127" s="7">
        <v>213.6</v>
      </c>
      <c r="O5127" s="7">
        <v>162</v>
      </c>
      <c r="Q5127" s="7">
        <v>395.2</v>
      </c>
      <c r="R5127" s="7">
        <v>260.39999999999998</v>
      </c>
    </row>
    <row r="5128" spans="1:18" x14ac:dyDescent="0.2">
      <c r="A5128">
        <v>5127</v>
      </c>
      <c r="B5128" s="1">
        <v>40872</v>
      </c>
      <c r="C5128" t="s">
        <v>28</v>
      </c>
      <c r="D5128" s="7">
        <v>133</v>
      </c>
      <c r="E5128" s="7">
        <v>20</v>
      </c>
      <c r="F5128" s="7">
        <f t="shared" si="80"/>
        <v>6</v>
      </c>
      <c r="G5128" s="7" t="str">
        <f>LOOKUP(H5128,[1]startdates!$A$2:$A$10,[1]startdates!$B$2:$B$10)</f>
        <v>FMr</v>
      </c>
      <c r="H5128">
        <v>7</v>
      </c>
      <c r="I5128" s="7">
        <v>571.4</v>
      </c>
      <c r="K5128" s="7">
        <v>517.4</v>
      </c>
      <c r="L5128" s="7">
        <v>408.3</v>
      </c>
      <c r="M5128" s="7">
        <v>313.3</v>
      </c>
      <c r="N5128" s="7">
        <v>223.3</v>
      </c>
      <c r="O5128" s="7">
        <v>166.8</v>
      </c>
    </row>
    <row r="5129" spans="1:18" x14ac:dyDescent="0.2">
      <c r="A5129">
        <v>5128</v>
      </c>
      <c r="B5129" s="1">
        <v>40872</v>
      </c>
      <c r="C5129" t="s">
        <v>28</v>
      </c>
      <c r="D5129" s="7">
        <v>133</v>
      </c>
      <c r="E5129" s="7">
        <v>20</v>
      </c>
      <c r="F5129" s="7">
        <f t="shared" si="80"/>
        <v>6</v>
      </c>
      <c r="G5129" s="7" t="str">
        <f>LOOKUP(H5129,[1]startdates!$A$2:$A$10,[1]startdates!$B$2:$B$10)</f>
        <v>FMr</v>
      </c>
      <c r="H5129">
        <v>7</v>
      </c>
      <c r="I5129" s="7">
        <v>587.70000000000005</v>
      </c>
      <c r="K5129" s="7">
        <v>517</v>
      </c>
      <c r="L5129" s="7">
        <v>436.1</v>
      </c>
      <c r="M5129" s="7">
        <v>346.5</v>
      </c>
      <c r="N5129" s="7">
        <v>237.6</v>
      </c>
      <c r="O5129" s="7">
        <v>186.1</v>
      </c>
    </row>
    <row r="5130" spans="1:18" x14ac:dyDescent="0.2">
      <c r="A5130">
        <v>5129</v>
      </c>
      <c r="B5130" s="1">
        <v>40872</v>
      </c>
      <c r="C5130" t="s">
        <v>28</v>
      </c>
      <c r="D5130" s="7">
        <v>133</v>
      </c>
      <c r="E5130" s="7">
        <v>20</v>
      </c>
      <c r="F5130" s="7">
        <f t="shared" si="80"/>
        <v>6</v>
      </c>
      <c r="G5130" s="7" t="str">
        <f>LOOKUP(H5130,[1]startdates!$A$2:$A$10,[1]startdates!$B$2:$B$10)</f>
        <v>FMr</v>
      </c>
      <c r="H5130">
        <v>7</v>
      </c>
      <c r="I5130" s="7">
        <v>471.3</v>
      </c>
      <c r="K5130" s="7">
        <v>462</v>
      </c>
      <c r="L5130" s="7">
        <v>411.6</v>
      </c>
      <c r="M5130" s="7">
        <v>341.3</v>
      </c>
      <c r="N5130" s="7">
        <v>197.1</v>
      </c>
      <c r="O5130" s="7">
        <v>170.8</v>
      </c>
    </row>
    <row r="5131" spans="1:18" x14ac:dyDescent="0.2">
      <c r="A5131">
        <v>5130</v>
      </c>
      <c r="B5131" s="1">
        <v>40872</v>
      </c>
      <c r="C5131" t="s">
        <v>28</v>
      </c>
      <c r="D5131" s="7">
        <v>133</v>
      </c>
      <c r="E5131" s="7">
        <v>20</v>
      </c>
      <c r="F5131" s="7">
        <f t="shared" si="80"/>
        <v>6</v>
      </c>
      <c r="G5131" s="7" t="str">
        <f>LOOKUP(H5131,[1]startdates!$A$2:$A$10,[1]startdates!$B$2:$B$10)</f>
        <v>FMr</v>
      </c>
      <c r="H5131">
        <v>7</v>
      </c>
      <c r="I5131" s="7">
        <v>517.1</v>
      </c>
      <c r="K5131" s="7">
        <v>465.8</v>
      </c>
      <c r="L5131" s="7">
        <v>438.5</v>
      </c>
      <c r="M5131" s="7">
        <v>311.2</v>
      </c>
      <c r="N5131" s="7">
        <v>166.3</v>
      </c>
      <c r="O5131" s="7">
        <v>177.7</v>
      </c>
    </row>
    <row r="5132" spans="1:18" x14ac:dyDescent="0.2">
      <c r="A5132">
        <v>5131</v>
      </c>
      <c r="B5132" s="1">
        <v>40872</v>
      </c>
      <c r="C5132" t="s">
        <v>28</v>
      </c>
      <c r="D5132" s="7">
        <v>133</v>
      </c>
      <c r="E5132" s="7">
        <v>20</v>
      </c>
      <c r="F5132" s="7">
        <f t="shared" si="80"/>
        <v>6</v>
      </c>
      <c r="G5132" s="7" t="str">
        <f>LOOKUP(H5132,[1]startdates!$A$2:$A$10,[1]startdates!$B$2:$B$10)</f>
        <v>FMr</v>
      </c>
      <c r="H5132">
        <v>7</v>
      </c>
      <c r="I5132" s="7">
        <v>573.6</v>
      </c>
      <c r="L5132" s="7">
        <v>452.9</v>
      </c>
      <c r="M5132" s="7">
        <v>359.4</v>
      </c>
      <c r="N5132" s="7">
        <v>203.8</v>
      </c>
      <c r="O5132" s="7">
        <v>153.1</v>
      </c>
    </row>
    <row r="5133" spans="1:18" x14ac:dyDescent="0.2">
      <c r="A5133">
        <v>5132</v>
      </c>
      <c r="B5133" s="1">
        <v>40872</v>
      </c>
      <c r="C5133" t="s">
        <v>28</v>
      </c>
      <c r="D5133" s="7">
        <v>133</v>
      </c>
      <c r="E5133" s="7">
        <v>20</v>
      </c>
      <c r="F5133" s="7">
        <f t="shared" si="80"/>
        <v>6</v>
      </c>
      <c r="G5133" s="7" t="str">
        <f>LOOKUP(H5133,[1]startdates!$A$2:$A$10,[1]startdates!$B$2:$B$10)</f>
        <v>FMr</v>
      </c>
      <c r="H5133">
        <v>7</v>
      </c>
      <c r="I5133" s="7">
        <v>550.29999999999995</v>
      </c>
      <c r="M5133" s="7">
        <v>318.10000000000002</v>
      </c>
      <c r="N5133" s="7">
        <v>184.4</v>
      </c>
      <c r="O5133" s="7">
        <v>167</v>
      </c>
    </row>
    <row r="5134" spans="1:18" x14ac:dyDescent="0.2">
      <c r="A5134">
        <v>5133</v>
      </c>
      <c r="B5134" s="1">
        <v>40872</v>
      </c>
      <c r="C5134" t="s">
        <v>28</v>
      </c>
      <c r="D5134" s="7">
        <v>133</v>
      </c>
      <c r="E5134" s="7">
        <v>20</v>
      </c>
      <c r="F5134" s="7">
        <f t="shared" si="80"/>
        <v>6</v>
      </c>
      <c r="G5134" s="7" t="str">
        <f>LOOKUP(H5134,[1]startdates!$A$2:$A$10,[1]startdates!$B$2:$B$10)</f>
        <v>FMr</v>
      </c>
      <c r="H5134">
        <v>7</v>
      </c>
      <c r="I5134" s="7">
        <v>585.29999999999995</v>
      </c>
      <c r="M5134" s="7">
        <v>295</v>
      </c>
      <c r="N5134" s="7">
        <v>263.3</v>
      </c>
      <c r="O5134" s="7">
        <v>164.4</v>
      </c>
    </row>
    <row r="5135" spans="1:18" x14ac:dyDescent="0.2">
      <c r="A5135">
        <v>5134</v>
      </c>
      <c r="B5135" s="1">
        <v>40872</v>
      </c>
      <c r="C5135" t="s">
        <v>28</v>
      </c>
      <c r="D5135" s="7">
        <v>133</v>
      </c>
      <c r="E5135" s="7">
        <v>20</v>
      </c>
      <c r="F5135" s="7">
        <f t="shared" si="80"/>
        <v>6</v>
      </c>
      <c r="G5135" s="7" t="str">
        <f>LOOKUP(H5135,[1]startdates!$A$2:$A$10,[1]startdates!$B$2:$B$10)</f>
        <v>FMr</v>
      </c>
      <c r="H5135">
        <v>7</v>
      </c>
      <c r="I5135" s="7">
        <v>466</v>
      </c>
    </row>
    <row r="5136" spans="1:18" x14ac:dyDescent="0.2">
      <c r="A5136">
        <v>5135</v>
      </c>
      <c r="B5136" s="1">
        <v>40872</v>
      </c>
      <c r="C5136" t="s">
        <v>28</v>
      </c>
      <c r="D5136" s="7">
        <v>133</v>
      </c>
      <c r="E5136" s="7">
        <v>20</v>
      </c>
      <c r="F5136" s="7">
        <f t="shared" si="80"/>
        <v>6</v>
      </c>
      <c r="G5136" s="7" t="str">
        <f>LOOKUP(H5136,[1]startdates!$A$2:$A$10,[1]startdates!$B$2:$B$10)</f>
        <v>FMr</v>
      </c>
      <c r="H5136">
        <v>7</v>
      </c>
      <c r="I5136" s="7">
        <v>503.7</v>
      </c>
    </row>
    <row r="5137" spans="1:19" x14ac:dyDescent="0.2">
      <c r="A5137">
        <v>5136</v>
      </c>
      <c r="B5137" s="1">
        <v>40872</v>
      </c>
      <c r="C5137" t="s">
        <v>28</v>
      </c>
      <c r="D5137" s="7">
        <v>133</v>
      </c>
      <c r="E5137" s="7">
        <v>20</v>
      </c>
      <c r="F5137" s="7">
        <f t="shared" si="80"/>
        <v>6</v>
      </c>
      <c r="G5137" s="7" t="str">
        <f>LOOKUP(H5137,[1]startdates!$A$2:$A$10,[1]startdates!$B$2:$B$10)</f>
        <v>C</v>
      </c>
      <c r="H5137">
        <v>8</v>
      </c>
      <c r="I5137" s="7">
        <v>587.79999999999995</v>
      </c>
      <c r="J5137" s="7">
        <v>511.6</v>
      </c>
      <c r="K5137" s="7">
        <v>518.79999999999995</v>
      </c>
      <c r="L5137" s="7">
        <v>423.8</v>
      </c>
      <c r="M5137" s="7">
        <v>354.2</v>
      </c>
      <c r="N5137" s="7">
        <v>238.9</v>
      </c>
      <c r="O5137" s="7">
        <v>184.1</v>
      </c>
      <c r="P5137" s="7">
        <v>411</v>
      </c>
      <c r="Q5137" s="7">
        <v>304.89999999999998</v>
      </c>
      <c r="S5137" s="7">
        <v>257.10000000000002</v>
      </c>
    </row>
    <row r="5138" spans="1:19" x14ac:dyDescent="0.2">
      <c r="A5138">
        <v>5137</v>
      </c>
      <c r="B5138" s="1">
        <v>40872</v>
      </c>
      <c r="C5138" t="s">
        <v>28</v>
      </c>
      <c r="D5138" s="7">
        <v>133</v>
      </c>
      <c r="E5138" s="7">
        <v>20</v>
      </c>
      <c r="F5138" s="7">
        <f t="shared" si="80"/>
        <v>6</v>
      </c>
      <c r="G5138" s="7" t="str">
        <f>LOOKUP(H5138,[1]startdates!$A$2:$A$10,[1]startdates!$B$2:$B$10)</f>
        <v>C</v>
      </c>
      <c r="H5138">
        <v>8</v>
      </c>
      <c r="I5138" s="7">
        <v>555.29999999999995</v>
      </c>
      <c r="J5138" s="7">
        <v>482.8</v>
      </c>
      <c r="K5138" s="7">
        <v>533.6</v>
      </c>
      <c r="L5138" s="7">
        <v>396.8</v>
      </c>
      <c r="M5138" s="7">
        <v>316.2</v>
      </c>
      <c r="N5138" s="7">
        <v>237.5</v>
      </c>
      <c r="O5138" s="7">
        <v>168.6</v>
      </c>
      <c r="P5138" s="7">
        <v>412.4</v>
      </c>
      <c r="S5138" s="7">
        <v>232.9</v>
      </c>
    </row>
    <row r="5139" spans="1:19" x14ac:dyDescent="0.2">
      <c r="A5139">
        <v>5138</v>
      </c>
      <c r="B5139" s="1">
        <v>40872</v>
      </c>
      <c r="C5139" t="s">
        <v>28</v>
      </c>
      <c r="D5139" s="7">
        <v>133</v>
      </c>
      <c r="E5139" s="7">
        <v>20</v>
      </c>
      <c r="F5139" s="7">
        <f t="shared" si="80"/>
        <v>6</v>
      </c>
      <c r="G5139" s="7" t="str">
        <f>LOOKUP(H5139,[1]startdates!$A$2:$A$10,[1]startdates!$B$2:$B$10)</f>
        <v>C</v>
      </c>
      <c r="H5139">
        <v>8</v>
      </c>
      <c r="I5139" s="7">
        <v>588.5</v>
      </c>
      <c r="J5139" s="7">
        <v>541.79999999999995</v>
      </c>
      <c r="K5139" s="7">
        <v>517.4</v>
      </c>
      <c r="L5139" s="7">
        <v>423.8</v>
      </c>
      <c r="M5139" s="7">
        <v>335.3</v>
      </c>
      <c r="N5139" s="7">
        <v>228.4</v>
      </c>
      <c r="O5139" s="7">
        <v>184.1</v>
      </c>
      <c r="S5139" s="7">
        <v>249.6</v>
      </c>
    </row>
    <row r="5140" spans="1:19" x14ac:dyDescent="0.2">
      <c r="A5140">
        <v>5139</v>
      </c>
      <c r="B5140" s="1">
        <v>40872</v>
      </c>
      <c r="C5140" t="s">
        <v>28</v>
      </c>
      <c r="D5140" s="7">
        <v>133</v>
      </c>
      <c r="E5140" s="7">
        <v>20</v>
      </c>
      <c r="F5140" s="7">
        <f t="shared" si="80"/>
        <v>6</v>
      </c>
      <c r="G5140" s="7" t="str">
        <f>LOOKUP(H5140,[1]startdates!$A$2:$A$10,[1]startdates!$B$2:$B$10)</f>
        <v>C</v>
      </c>
      <c r="H5140">
        <v>8</v>
      </c>
      <c r="I5140" s="7">
        <v>593.20000000000005</v>
      </c>
      <c r="K5140" s="7">
        <v>651.70000000000005</v>
      </c>
      <c r="L5140" s="7">
        <v>413.9</v>
      </c>
      <c r="M5140" s="7">
        <v>344.3</v>
      </c>
      <c r="N5140" s="7">
        <v>201.8</v>
      </c>
      <c r="O5140" s="7">
        <v>186.6</v>
      </c>
      <c r="S5140" s="7">
        <v>230.7</v>
      </c>
    </row>
    <row r="5141" spans="1:19" x14ac:dyDescent="0.2">
      <c r="A5141">
        <v>5140</v>
      </c>
      <c r="B5141" s="1">
        <v>40872</v>
      </c>
      <c r="C5141" t="s">
        <v>28</v>
      </c>
      <c r="D5141" s="7">
        <v>133</v>
      </c>
      <c r="E5141" s="7">
        <v>20</v>
      </c>
      <c r="F5141" s="7">
        <f t="shared" si="80"/>
        <v>6</v>
      </c>
      <c r="G5141" s="7" t="str">
        <f>LOOKUP(H5141,[1]startdates!$A$2:$A$10,[1]startdates!$B$2:$B$10)</f>
        <v>C</v>
      </c>
      <c r="H5141">
        <v>8</v>
      </c>
      <c r="I5141" s="7">
        <v>605.79999999999995</v>
      </c>
      <c r="K5141" s="7">
        <v>571</v>
      </c>
      <c r="M5141" s="7">
        <v>309.3</v>
      </c>
      <c r="N5141" s="7">
        <v>240.4</v>
      </c>
      <c r="O5141" s="7">
        <v>170.8</v>
      </c>
      <c r="S5141" s="7">
        <v>236.3</v>
      </c>
    </row>
    <row r="5142" spans="1:19" x14ac:dyDescent="0.2">
      <c r="A5142">
        <v>5141</v>
      </c>
      <c r="B5142" s="1">
        <v>40872</v>
      </c>
      <c r="C5142" t="s">
        <v>28</v>
      </c>
      <c r="D5142" s="7">
        <v>133</v>
      </c>
      <c r="E5142" s="7">
        <v>20</v>
      </c>
      <c r="F5142" s="7">
        <f t="shared" si="80"/>
        <v>6</v>
      </c>
      <c r="G5142" s="7" t="str">
        <f>LOOKUP(H5142,[1]startdates!$A$2:$A$10,[1]startdates!$B$2:$B$10)</f>
        <v>C</v>
      </c>
      <c r="H5142">
        <v>8</v>
      </c>
      <c r="I5142" s="7">
        <v>603.6</v>
      </c>
      <c r="K5142" s="7">
        <v>572.70000000000005</v>
      </c>
      <c r="M5142" s="7">
        <v>325</v>
      </c>
      <c r="N5142" s="7">
        <v>185.7</v>
      </c>
      <c r="O5142" s="7">
        <v>159.5</v>
      </c>
    </row>
    <row r="5143" spans="1:19" x14ac:dyDescent="0.2">
      <c r="A5143">
        <v>5142</v>
      </c>
      <c r="B5143" s="1">
        <v>40872</v>
      </c>
      <c r="C5143" t="s">
        <v>28</v>
      </c>
      <c r="D5143" s="7">
        <v>133</v>
      </c>
      <c r="E5143" s="7">
        <v>20</v>
      </c>
      <c r="F5143" s="7">
        <f t="shared" si="80"/>
        <v>6</v>
      </c>
      <c r="G5143" s="7" t="str">
        <f>LOOKUP(H5143,[1]startdates!$A$2:$A$10,[1]startdates!$B$2:$B$10)</f>
        <v>C</v>
      </c>
      <c r="H5143">
        <v>8</v>
      </c>
      <c r="I5143" s="7">
        <v>675</v>
      </c>
      <c r="K5143" s="7">
        <v>534</v>
      </c>
      <c r="M5143" s="7">
        <v>337.9</v>
      </c>
      <c r="N5143" s="7">
        <v>203.3</v>
      </c>
      <c r="O5143" s="7">
        <v>168.3</v>
      </c>
    </row>
    <row r="5144" spans="1:19" x14ac:dyDescent="0.2">
      <c r="A5144">
        <v>5143</v>
      </c>
      <c r="B5144" s="1">
        <v>40872</v>
      </c>
      <c r="C5144" t="s">
        <v>28</v>
      </c>
      <c r="D5144" s="7">
        <v>133</v>
      </c>
      <c r="E5144" s="7">
        <v>20</v>
      </c>
      <c r="F5144" s="7">
        <f t="shared" si="80"/>
        <v>6</v>
      </c>
      <c r="G5144" s="7" t="str">
        <f>LOOKUP(H5144,[1]startdates!$A$2:$A$10,[1]startdates!$B$2:$B$10)</f>
        <v>C</v>
      </c>
      <c r="H5144">
        <v>8</v>
      </c>
      <c r="I5144" s="7">
        <v>510</v>
      </c>
      <c r="K5144" s="7">
        <v>588.6</v>
      </c>
      <c r="N5144" s="7">
        <v>239.3</v>
      </c>
      <c r="O5144" s="7">
        <v>164.7</v>
      </c>
    </row>
    <row r="5145" spans="1:19" x14ac:dyDescent="0.2">
      <c r="A5145">
        <v>5144</v>
      </c>
      <c r="B5145" s="1">
        <v>40872</v>
      </c>
      <c r="C5145" t="s">
        <v>28</v>
      </c>
      <c r="D5145" s="7">
        <v>133</v>
      </c>
      <c r="E5145" s="7">
        <v>20</v>
      </c>
      <c r="F5145" s="7">
        <f t="shared" si="80"/>
        <v>6</v>
      </c>
      <c r="G5145" s="7" t="str">
        <f>LOOKUP(H5145,[1]startdates!$A$2:$A$10,[1]startdates!$B$2:$B$10)</f>
        <v>C</v>
      </c>
      <c r="H5145">
        <v>8</v>
      </c>
      <c r="I5145" s="7">
        <v>758.5</v>
      </c>
      <c r="N5145" s="7">
        <v>222.3</v>
      </c>
      <c r="O5145" s="7">
        <v>159.80000000000001</v>
      </c>
    </row>
    <row r="5146" spans="1:19" x14ac:dyDescent="0.2">
      <c r="A5146">
        <v>5145</v>
      </c>
      <c r="B5146" s="1">
        <v>40872</v>
      </c>
      <c r="C5146" t="s">
        <v>28</v>
      </c>
      <c r="D5146" s="7">
        <v>133</v>
      </c>
      <c r="E5146" s="7">
        <v>20</v>
      </c>
      <c r="F5146" s="7">
        <f t="shared" si="80"/>
        <v>6</v>
      </c>
      <c r="G5146" s="7" t="str">
        <f>LOOKUP(H5146,[1]startdates!$A$2:$A$10,[1]startdates!$B$2:$B$10)</f>
        <v>C</v>
      </c>
      <c r="H5146">
        <v>8</v>
      </c>
      <c r="I5146" s="7">
        <v>609.4</v>
      </c>
      <c r="N5146" s="7">
        <v>208.8</v>
      </c>
      <c r="O5146" s="7">
        <v>176.8</v>
      </c>
    </row>
    <row r="5147" spans="1:19" x14ac:dyDescent="0.2">
      <c r="A5147">
        <v>5146</v>
      </c>
      <c r="B5147" s="1">
        <v>40872</v>
      </c>
      <c r="C5147" t="s">
        <v>28</v>
      </c>
      <c r="D5147" s="7">
        <v>133</v>
      </c>
      <c r="E5147" s="7">
        <v>20</v>
      </c>
      <c r="F5147" s="7">
        <f t="shared" si="80"/>
        <v>6</v>
      </c>
      <c r="G5147" s="7" t="str">
        <f>LOOKUP(H5147,[1]startdates!$A$2:$A$10,[1]startdates!$B$2:$B$10)</f>
        <v>C</v>
      </c>
      <c r="H5147">
        <v>8</v>
      </c>
      <c r="I5147" s="7">
        <v>604.1</v>
      </c>
    </row>
    <row r="5148" spans="1:19" x14ac:dyDescent="0.2">
      <c r="A5148">
        <v>5147</v>
      </c>
      <c r="B5148" s="1">
        <v>40872</v>
      </c>
      <c r="C5148" t="s">
        <v>28</v>
      </c>
      <c r="D5148" s="7">
        <v>133</v>
      </c>
      <c r="E5148" s="7">
        <v>20</v>
      </c>
      <c r="F5148" s="7">
        <f t="shared" si="80"/>
        <v>6</v>
      </c>
      <c r="G5148" s="7" t="str">
        <f>LOOKUP(H5148,[1]startdates!$A$2:$A$10,[1]startdates!$B$2:$B$10)</f>
        <v>C</v>
      </c>
      <c r="H5148">
        <v>8</v>
      </c>
      <c r="I5148" s="7">
        <v>539.4</v>
      </c>
    </row>
    <row r="5149" spans="1:19" x14ac:dyDescent="0.2">
      <c r="A5149">
        <v>5148</v>
      </c>
      <c r="B5149" s="1">
        <v>40872</v>
      </c>
      <c r="C5149" t="s">
        <v>28</v>
      </c>
      <c r="D5149" s="7">
        <v>133</v>
      </c>
      <c r="E5149" s="7">
        <v>20</v>
      </c>
      <c r="F5149" s="7">
        <f t="shared" si="80"/>
        <v>6</v>
      </c>
      <c r="G5149" s="7" t="str">
        <f>LOOKUP(H5149,[1]startdates!$A$2:$A$10,[1]startdates!$B$2:$B$10)</f>
        <v>C</v>
      </c>
      <c r="H5149">
        <v>8</v>
      </c>
      <c r="I5149" s="7">
        <v>652.5</v>
      </c>
    </row>
    <row r="5150" spans="1:19" x14ac:dyDescent="0.2">
      <c r="A5150">
        <v>5149</v>
      </c>
      <c r="B5150" s="1">
        <v>40872</v>
      </c>
      <c r="C5150" t="s">
        <v>28</v>
      </c>
      <c r="D5150" s="7">
        <v>133</v>
      </c>
      <c r="E5150" s="7">
        <v>20</v>
      </c>
      <c r="F5150" s="7">
        <f t="shared" si="80"/>
        <v>6</v>
      </c>
      <c r="G5150" s="7" t="str">
        <f>LOOKUP(H5150,[1]startdates!$A$2:$A$10,[1]startdates!$B$2:$B$10)</f>
        <v>C</v>
      </c>
      <c r="H5150">
        <v>8</v>
      </c>
      <c r="I5150" s="7">
        <v>591.29999999999995</v>
      </c>
    </row>
    <row r="5151" spans="1:19" x14ac:dyDescent="0.2">
      <c r="A5151">
        <v>5150</v>
      </c>
      <c r="B5151" s="1">
        <v>40872</v>
      </c>
      <c r="C5151" t="s">
        <v>28</v>
      </c>
      <c r="D5151" s="7">
        <v>133</v>
      </c>
      <c r="E5151" s="7">
        <v>20</v>
      </c>
      <c r="F5151" s="7">
        <f t="shared" si="80"/>
        <v>6</v>
      </c>
      <c r="G5151" s="7" t="str">
        <f>LOOKUP(H5151,[1]startdates!$A$2:$A$10,[1]startdates!$B$2:$B$10)</f>
        <v>C</v>
      </c>
      <c r="H5151">
        <v>8</v>
      </c>
      <c r="I5151" s="7">
        <v>591.4</v>
      </c>
    </row>
    <row r="5152" spans="1:19" x14ac:dyDescent="0.2">
      <c r="A5152">
        <v>5151</v>
      </c>
      <c r="B5152" s="1">
        <v>40872</v>
      </c>
      <c r="C5152" t="s">
        <v>28</v>
      </c>
      <c r="D5152" s="7">
        <v>133</v>
      </c>
      <c r="E5152" s="7">
        <v>20</v>
      </c>
      <c r="F5152" s="7">
        <f t="shared" si="80"/>
        <v>6</v>
      </c>
      <c r="G5152" s="7" t="str">
        <f>LOOKUP(H5152,[1]startdates!$A$2:$A$10,[1]startdates!$B$2:$B$10)</f>
        <v>C</v>
      </c>
      <c r="H5152">
        <v>8</v>
      </c>
      <c r="I5152" s="7">
        <v>730.7</v>
      </c>
    </row>
    <row r="5153" spans="1:21" x14ac:dyDescent="0.2">
      <c r="A5153">
        <v>5152</v>
      </c>
      <c r="B5153" s="1">
        <v>40872</v>
      </c>
      <c r="C5153" t="s">
        <v>28</v>
      </c>
      <c r="D5153" s="7">
        <v>133</v>
      </c>
      <c r="E5153" s="7">
        <v>20</v>
      </c>
      <c r="F5153" s="7">
        <f t="shared" si="80"/>
        <v>6</v>
      </c>
      <c r="G5153" s="7" t="str">
        <f>LOOKUP(H5153,[1]startdates!$A$2:$A$10,[1]startdates!$B$2:$B$10)</f>
        <v>C</v>
      </c>
      <c r="H5153">
        <v>8</v>
      </c>
      <c r="I5153" s="7">
        <v>634.5</v>
      </c>
    </row>
    <row r="5154" spans="1:21" x14ac:dyDescent="0.2">
      <c r="A5154">
        <v>5153</v>
      </c>
      <c r="B5154" s="1">
        <v>40872</v>
      </c>
      <c r="C5154" t="s">
        <v>28</v>
      </c>
      <c r="D5154" s="7">
        <v>133</v>
      </c>
      <c r="E5154" s="7">
        <v>20</v>
      </c>
      <c r="F5154" s="7">
        <f t="shared" si="80"/>
        <v>6</v>
      </c>
      <c r="G5154" s="7" t="str">
        <f>LOOKUP(H5154,[1]startdates!$A$2:$A$10,[1]startdates!$B$2:$B$10)</f>
        <v>FMr</v>
      </c>
      <c r="H5154">
        <v>9</v>
      </c>
      <c r="I5154" s="7">
        <v>487.4</v>
      </c>
      <c r="J5154" s="7">
        <v>490.2</v>
      </c>
      <c r="K5154" s="7">
        <v>517</v>
      </c>
      <c r="L5154" s="7">
        <v>406.4</v>
      </c>
      <c r="M5154" s="7">
        <v>353</v>
      </c>
      <c r="N5154" s="7">
        <v>191.9</v>
      </c>
      <c r="O5154" s="7">
        <v>153.6</v>
      </c>
      <c r="P5154" s="7">
        <v>424.9</v>
      </c>
      <c r="Q5154" s="7">
        <v>320.60000000000002</v>
      </c>
    </row>
    <row r="5155" spans="1:21" x14ac:dyDescent="0.2">
      <c r="A5155">
        <v>5154</v>
      </c>
      <c r="B5155" s="1">
        <v>40872</v>
      </c>
      <c r="C5155" t="s">
        <v>28</v>
      </c>
      <c r="D5155" s="7">
        <v>133</v>
      </c>
      <c r="E5155" s="7">
        <v>20</v>
      </c>
      <c r="F5155" s="7">
        <f t="shared" si="80"/>
        <v>6</v>
      </c>
      <c r="G5155" s="7" t="str">
        <f>LOOKUP(H5155,[1]startdates!$A$2:$A$10,[1]startdates!$B$2:$B$10)</f>
        <v>FMr</v>
      </c>
      <c r="H5155">
        <v>9</v>
      </c>
      <c r="I5155" s="7">
        <v>517.1</v>
      </c>
      <c r="K5155" s="7">
        <v>500.6</v>
      </c>
      <c r="L5155" s="7">
        <v>446.6</v>
      </c>
      <c r="M5155" s="7">
        <v>373.3</v>
      </c>
      <c r="N5155" s="7">
        <v>273.39999999999998</v>
      </c>
      <c r="O5155" s="7">
        <v>173.8</v>
      </c>
    </row>
    <row r="5156" spans="1:21" x14ac:dyDescent="0.2">
      <c r="A5156">
        <v>5155</v>
      </c>
      <c r="B5156" s="1">
        <v>40872</v>
      </c>
      <c r="C5156" t="s">
        <v>28</v>
      </c>
      <c r="D5156" s="7">
        <v>133</v>
      </c>
      <c r="E5156" s="7">
        <v>20</v>
      </c>
      <c r="F5156" s="7">
        <f t="shared" si="80"/>
        <v>6</v>
      </c>
      <c r="G5156" s="7" t="str">
        <f>LOOKUP(H5156,[1]startdates!$A$2:$A$10,[1]startdates!$B$2:$B$10)</f>
        <v>FMr</v>
      </c>
      <c r="H5156">
        <v>9</v>
      </c>
      <c r="I5156" s="7">
        <v>561.20000000000005</v>
      </c>
      <c r="K5156" s="7">
        <v>453.3</v>
      </c>
      <c r="M5156" s="7">
        <v>282.89999999999998</v>
      </c>
      <c r="N5156" s="7">
        <v>229.9</v>
      </c>
      <c r="O5156" s="7">
        <v>183.4</v>
      </c>
    </row>
    <row r="5157" spans="1:21" x14ac:dyDescent="0.2">
      <c r="A5157">
        <v>5156</v>
      </c>
      <c r="B5157" s="1">
        <v>40872</v>
      </c>
      <c r="C5157" t="s">
        <v>28</v>
      </c>
      <c r="D5157" s="7">
        <v>133</v>
      </c>
      <c r="E5157" s="7">
        <v>20</v>
      </c>
      <c r="F5157" s="7">
        <f t="shared" si="80"/>
        <v>6</v>
      </c>
      <c r="G5157" s="7" t="str">
        <f>LOOKUP(H5157,[1]startdates!$A$2:$A$10,[1]startdates!$B$2:$B$10)</f>
        <v>FMr</v>
      </c>
      <c r="H5157">
        <v>9</v>
      </c>
      <c r="I5157" s="7">
        <v>560.4</v>
      </c>
      <c r="K5157" s="7">
        <v>438.9</v>
      </c>
      <c r="M5157" s="7">
        <v>294</v>
      </c>
      <c r="N5157" s="7">
        <v>226.1</v>
      </c>
      <c r="O5157" s="7">
        <v>147.4</v>
      </c>
    </row>
    <row r="5158" spans="1:21" x14ac:dyDescent="0.2">
      <c r="A5158">
        <v>5157</v>
      </c>
      <c r="B5158" s="1">
        <v>40872</v>
      </c>
      <c r="C5158" t="s">
        <v>28</v>
      </c>
      <c r="D5158" s="7">
        <v>133</v>
      </c>
      <c r="E5158" s="7">
        <v>20</v>
      </c>
      <c r="F5158" s="7">
        <f t="shared" si="80"/>
        <v>6</v>
      </c>
      <c r="G5158" s="7" t="str">
        <f>LOOKUP(H5158,[1]startdates!$A$2:$A$10,[1]startdates!$B$2:$B$10)</f>
        <v>FMr</v>
      </c>
      <c r="H5158">
        <v>9</v>
      </c>
      <c r="I5158" s="7">
        <v>532.9</v>
      </c>
      <c r="K5158" s="7">
        <v>512.4</v>
      </c>
      <c r="M5158" s="7">
        <v>365.7</v>
      </c>
      <c r="N5158" s="7">
        <v>212.4</v>
      </c>
      <c r="O5158" s="7">
        <v>179.8</v>
      </c>
    </row>
    <row r="5159" spans="1:21" x14ac:dyDescent="0.2">
      <c r="A5159">
        <v>5158</v>
      </c>
      <c r="B5159" s="1">
        <v>40872</v>
      </c>
      <c r="C5159" t="s">
        <v>28</v>
      </c>
      <c r="D5159" s="7">
        <v>133</v>
      </c>
      <c r="E5159" s="7">
        <v>20</v>
      </c>
      <c r="F5159" s="7">
        <f t="shared" si="80"/>
        <v>6</v>
      </c>
      <c r="G5159" s="7" t="str">
        <f>LOOKUP(H5159,[1]startdates!$A$2:$A$10,[1]startdates!$B$2:$B$10)</f>
        <v>FMr</v>
      </c>
      <c r="H5159">
        <v>9</v>
      </c>
      <c r="I5159" s="7">
        <v>609.29999999999995</v>
      </c>
      <c r="K5159" s="7">
        <v>492.6</v>
      </c>
      <c r="M5159" s="7">
        <v>335.9</v>
      </c>
      <c r="N5159" s="7">
        <v>200.5</v>
      </c>
      <c r="O5159" s="7">
        <v>165</v>
      </c>
    </row>
    <row r="5160" spans="1:21" x14ac:dyDescent="0.2">
      <c r="A5160">
        <v>5159</v>
      </c>
      <c r="B5160" s="1">
        <v>40872</v>
      </c>
      <c r="C5160" t="s">
        <v>28</v>
      </c>
      <c r="D5160" s="7">
        <v>133</v>
      </c>
      <c r="E5160" s="7">
        <v>20</v>
      </c>
      <c r="F5160" s="7">
        <f t="shared" si="80"/>
        <v>6</v>
      </c>
      <c r="G5160" s="7" t="str">
        <f>LOOKUP(H5160,[1]startdates!$A$2:$A$10,[1]startdates!$B$2:$B$10)</f>
        <v>FMr</v>
      </c>
      <c r="H5160">
        <v>9</v>
      </c>
      <c r="I5160" s="7">
        <v>477.7</v>
      </c>
      <c r="K5160" s="7">
        <v>545.1</v>
      </c>
      <c r="M5160" s="7">
        <v>300.8</v>
      </c>
      <c r="N5160" s="7">
        <v>207.7</v>
      </c>
      <c r="O5160" s="7">
        <v>177.3</v>
      </c>
    </row>
    <row r="5161" spans="1:21" x14ac:dyDescent="0.2">
      <c r="A5161">
        <v>5160</v>
      </c>
      <c r="B5161" s="1">
        <v>40872</v>
      </c>
      <c r="C5161" t="s">
        <v>28</v>
      </c>
      <c r="D5161" s="7">
        <v>133</v>
      </c>
      <c r="E5161" s="7">
        <v>20</v>
      </c>
      <c r="F5161" s="7">
        <f t="shared" ref="F5161:F5224" si="81">WEEKDAY(B5161)</f>
        <v>6</v>
      </c>
      <c r="G5161" s="7" t="str">
        <f>LOOKUP(H5161,[1]startdates!$A$2:$A$10,[1]startdates!$B$2:$B$10)</f>
        <v>FMr</v>
      </c>
      <c r="H5161">
        <v>9</v>
      </c>
      <c r="I5161" s="7">
        <v>482.4</v>
      </c>
      <c r="K5161" s="7">
        <v>598.4</v>
      </c>
      <c r="M5161" s="7">
        <v>312.89999999999998</v>
      </c>
      <c r="N5161" s="7">
        <v>239.3</v>
      </c>
      <c r="O5161" s="7">
        <v>151.80000000000001</v>
      </c>
    </row>
    <row r="5162" spans="1:21" x14ac:dyDescent="0.2">
      <c r="A5162">
        <v>5161</v>
      </c>
      <c r="B5162" s="1">
        <v>40872</v>
      </c>
      <c r="C5162" t="s">
        <v>28</v>
      </c>
      <c r="D5162" s="7">
        <v>133</v>
      </c>
      <c r="E5162" s="7">
        <v>20</v>
      </c>
      <c r="F5162" s="7">
        <f t="shared" si="81"/>
        <v>6</v>
      </c>
      <c r="G5162" s="7" t="str">
        <f>LOOKUP(H5162,[1]startdates!$A$2:$A$10,[1]startdates!$B$2:$B$10)</f>
        <v>FMr</v>
      </c>
      <c r="H5162">
        <v>9</v>
      </c>
      <c r="I5162" s="7">
        <v>640.79999999999995</v>
      </c>
      <c r="M5162" s="7">
        <v>298</v>
      </c>
      <c r="O5162" s="7">
        <v>154.9</v>
      </c>
    </row>
    <row r="5163" spans="1:21" x14ac:dyDescent="0.2">
      <c r="A5163">
        <v>5162</v>
      </c>
      <c r="B5163" s="1">
        <v>40872</v>
      </c>
      <c r="C5163" t="s">
        <v>28</v>
      </c>
      <c r="D5163" s="7">
        <v>133</v>
      </c>
      <c r="E5163" s="7">
        <v>20</v>
      </c>
      <c r="F5163" s="7">
        <f t="shared" si="81"/>
        <v>6</v>
      </c>
      <c r="G5163" s="7" t="str">
        <f>LOOKUP(H5163,[1]startdates!$A$2:$A$10,[1]startdates!$B$2:$B$10)</f>
        <v>FMr</v>
      </c>
      <c r="H5163">
        <v>9</v>
      </c>
      <c r="I5163" s="7">
        <v>595.6</v>
      </c>
      <c r="M5163" s="7">
        <v>306.89999999999998</v>
      </c>
      <c r="O5163" s="7">
        <v>170.2</v>
      </c>
    </row>
    <row r="5164" spans="1:21" x14ac:dyDescent="0.2">
      <c r="A5164">
        <v>5163</v>
      </c>
      <c r="B5164" s="1">
        <v>40872</v>
      </c>
      <c r="C5164" t="s">
        <v>28</v>
      </c>
      <c r="D5164" s="7">
        <v>133</v>
      </c>
      <c r="E5164" s="7">
        <v>20</v>
      </c>
      <c r="F5164" s="7">
        <f t="shared" si="81"/>
        <v>6</v>
      </c>
      <c r="G5164" s="7" t="str">
        <f>LOOKUP(H5164,[1]startdates!$A$2:$A$10,[1]startdates!$B$2:$B$10)</f>
        <v>FMr</v>
      </c>
      <c r="H5164">
        <v>9</v>
      </c>
      <c r="I5164" s="7">
        <v>515.20000000000005</v>
      </c>
      <c r="M5164" s="7">
        <v>335.9</v>
      </c>
      <c r="O5164" s="7">
        <v>171.7</v>
      </c>
    </row>
    <row r="5165" spans="1:21" x14ac:dyDescent="0.2">
      <c r="A5165">
        <v>5164</v>
      </c>
      <c r="B5165" s="1">
        <v>40872</v>
      </c>
      <c r="C5165" t="s">
        <v>28</v>
      </c>
      <c r="D5165" s="7">
        <v>133</v>
      </c>
      <c r="E5165" s="7">
        <v>20</v>
      </c>
      <c r="F5165" s="7">
        <f t="shared" si="81"/>
        <v>6</v>
      </c>
      <c r="G5165" s="7" t="str">
        <f>LOOKUP(H5165,[1]startdates!$A$2:$A$10,[1]startdates!$B$2:$B$10)</f>
        <v>FMr</v>
      </c>
      <c r="H5165">
        <v>9</v>
      </c>
      <c r="I5165" s="7">
        <v>562</v>
      </c>
      <c r="O5165" s="7">
        <v>173.1</v>
      </c>
    </row>
    <row r="5166" spans="1:21" x14ac:dyDescent="0.2">
      <c r="A5166">
        <v>5165</v>
      </c>
      <c r="B5166" s="1">
        <v>40872</v>
      </c>
      <c r="C5166" t="s">
        <v>28</v>
      </c>
      <c r="D5166" s="7">
        <v>133</v>
      </c>
      <c r="E5166" s="7">
        <v>20</v>
      </c>
      <c r="F5166" s="7">
        <f t="shared" si="81"/>
        <v>6</v>
      </c>
      <c r="G5166" s="7" t="str">
        <f>LOOKUP(H5166,[1]startdates!$A$2:$A$10,[1]startdates!$B$2:$B$10)</f>
        <v>FMr</v>
      </c>
      <c r="H5166">
        <v>9</v>
      </c>
      <c r="O5166" s="7">
        <v>165.7</v>
      </c>
    </row>
    <row r="5167" spans="1:21" x14ac:dyDescent="0.2">
      <c r="A5167">
        <v>5166</v>
      </c>
      <c r="B5167" s="1">
        <v>40876</v>
      </c>
      <c r="C5167" t="s">
        <v>28</v>
      </c>
      <c r="D5167" s="7">
        <v>137</v>
      </c>
      <c r="E5167" s="7">
        <v>21</v>
      </c>
      <c r="F5167" s="7">
        <f t="shared" si="81"/>
        <v>3</v>
      </c>
      <c r="G5167" s="7" t="str">
        <f>LOOKUP(H5167,[1]startdates!$A$2:$A$10,[1]startdates!$B$2:$B$10)</f>
        <v>SMr</v>
      </c>
      <c r="H5167">
        <v>1</v>
      </c>
      <c r="I5167" s="7">
        <v>656.6</v>
      </c>
      <c r="J5167" s="7">
        <v>501.4</v>
      </c>
      <c r="K5167" s="7">
        <v>486</v>
      </c>
      <c r="L5167" s="7">
        <v>411.6</v>
      </c>
      <c r="M5167" s="7">
        <v>355</v>
      </c>
      <c r="N5167" s="7">
        <v>245.2</v>
      </c>
      <c r="O5167" s="7">
        <v>159.80000000000001</v>
      </c>
      <c r="P5167" s="7">
        <v>451.1</v>
      </c>
      <c r="Q5167" s="7">
        <v>395.6</v>
      </c>
      <c r="R5167" s="7">
        <v>303.7</v>
      </c>
      <c r="U5167" s="7">
        <v>499.9</v>
      </c>
    </row>
    <row r="5168" spans="1:21" x14ac:dyDescent="0.2">
      <c r="A5168">
        <v>5167</v>
      </c>
      <c r="B5168" s="1">
        <v>40876</v>
      </c>
      <c r="C5168" t="s">
        <v>28</v>
      </c>
      <c r="D5168" s="7">
        <v>137</v>
      </c>
      <c r="E5168" s="7">
        <v>21</v>
      </c>
      <c r="F5168" s="7">
        <f t="shared" si="81"/>
        <v>3</v>
      </c>
      <c r="G5168" s="7" t="str">
        <f>LOOKUP(H5168,[1]startdates!$A$2:$A$10,[1]startdates!$B$2:$B$10)</f>
        <v>SMr</v>
      </c>
      <c r="H5168">
        <v>1</v>
      </c>
      <c r="I5168" s="7">
        <v>596.20000000000005</v>
      </c>
      <c r="K5168" s="7">
        <v>429.6</v>
      </c>
      <c r="L5168" s="7">
        <v>433.4</v>
      </c>
      <c r="M5168" s="7">
        <v>349.3</v>
      </c>
      <c r="N5168" s="7">
        <v>204.1</v>
      </c>
      <c r="O5168" s="7">
        <v>148.4</v>
      </c>
      <c r="R5168" s="7">
        <v>293.10000000000002</v>
      </c>
      <c r="U5168" s="7">
        <v>516.29999999999995</v>
      </c>
    </row>
    <row r="5169" spans="1:21" x14ac:dyDescent="0.2">
      <c r="A5169">
        <v>5168</v>
      </c>
      <c r="B5169" s="1">
        <v>40876</v>
      </c>
      <c r="C5169" t="s">
        <v>28</v>
      </c>
      <c r="D5169" s="7">
        <v>137</v>
      </c>
      <c r="E5169" s="7">
        <v>21</v>
      </c>
      <c r="F5169" s="7">
        <f t="shared" si="81"/>
        <v>3</v>
      </c>
      <c r="G5169" s="7" t="str">
        <f>LOOKUP(H5169,[1]startdates!$A$2:$A$10,[1]startdates!$B$2:$B$10)</f>
        <v>SMr</v>
      </c>
      <c r="H5169">
        <v>1</v>
      </c>
      <c r="I5169" s="7">
        <v>618.1</v>
      </c>
      <c r="L5169" s="7">
        <v>454.7</v>
      </c>
      <c r="M5169" s="7">
        <v>342.4</v>
      </c>
      <c r="N5169" s="7">
        <v>230.6</v>
      </c>
      <c r="O5169" s="7">
        <v>161.69999999999999</v>
      </c>
      <c r="U5169" s="7">
        <v>443.9</v>
      </c>
    </row>
    <row r="5170" spans="1:21" x14ac:dyDescent="0.2">
      <c r="A5170">
        <v>5169</v>
      </c>
      <c r="B5170" s="1">
        <v>40876</v>
      </c>
      <c r="C5170" t="s">
        <v>28</v>
      </c>
      <c r="D5170" s="7">
        <v>137</v>
      </c>
      <c r="E5170" s="7">
        <v>21</v>
      </c>
      <c r="F5170" s="7">
        <f t="shared" si="81"/>
        <v>3</v>
      </c>
      <c r="G5170" s="7" t="str">
        <f>LOOKUP(H5170,[1]startdates!$A$2:$A$10,[1]startdates!$B$2:$B$10)</f>
        <v>SMr</v>
      </c>
      <c r="H5170">
        <v>1</v>
      </c>
      <c r="I5170" s="7">
        <v>511.9</v>
      </c>
      <c r="M5170" s="7">
        <v>308.60000000000002</v>
      </c>
      <c r="N5170" s="7">
        <v>240.4</v>
      </c>
      <c r="O5170" s="7">
        <v>161.4</v>
      </c>
    </row>
    <row r="5171" spans="1:21" x14ac:dyDescent="0.2">
      <c r="A5171">
        <v>5170</v>
      </c>
      <c r="B5171" s="1">
        <v>40876</v>
      </c>
      <c r="C5171" t="s">
        <v>28</v>
      </c>
      <c r="D5171" s="7">
        <v>137</v>
      </c>
      <c r="E5171" s="7">
        <v>21</v>
      </c>
      <c r="F5171" s="7">
        <f t="shared" si="81"/>
        <v>3</v>
      </c>
      <c r="G5171" s="7" t="str">
        <f>LOOKUP(H5171,[1]startdates!$A$2:$A$10,[1]startdates!$B$2:$B$10)</f>
        <v>SMr</v>
      </c>
      <c r="H5171">
        <v>1</v>
      </c>
      <c r="I5171" s="7">
        <v>570.70000000000005</v>
      </c>
      <c r="M5171" s="7">
        <v>353</v>
      </c>
      <c r="N5171" s="7">
        <v>217.4</v>
      </c>
      <c r="O5171" s="7">
        <v>135.80000000000001</v>
      </c>
    </row>
    <row r="5172" spans="1:21" x14ac:dyDescent="0.2">
      <c r="A5172">
        <v>5171</v>
      </c>
      <c r="B5172" s="1">
        <v>40876</v>
      </c>
      <c r="C5172" t="s">
        <v>28</v>
      </c>
      <c r="D5172" s="7">
        <v>137</v>
      </c>
      <c r="E5172" s="7">
        <v>21</v>
      </c>
      <c r="F5172" s="7">
        <f t="shared" si="81"/>
        <v>3</v>
      </c>
      <c r="G5172" s="7" t="str">
        <f>LOOKUP(H5172,[1]startdates!$A$2:$A$10,[1]startdates!$B$2:$B$10)</f>
        <v>SMr</v>
      </c>
      <c r="H5172">
        <v>1</v>
      </c>
      <c r="I5172" s="7">
        <v>537.9</v>
      </c>
      <c r="M5172" s="7">
        <v>349.3</v>
      </c>
      <c r="N5172" s="7">
        <v>237.5</v>
      </c>
      <c r="O5172" s="7">
        <v>147.1</v>
      </c>
    </row>
    <row r="5173" spans="1:21" x14ac:dyDescent="0.2">
      <c r="A5173">
        <v>5172</v>
      </c>
      <c r="B5173" s="1">
        <v>40876</v>
      </c>
      <c r="C5173" t="s">
        <v>28</v>
      </c>
      <c r="D5173" s="7">
        <v>137</v>
      </c>
      <c r="E5173" s="7">
        <v>21</v>
      </c>
      <c r="F5173" s="7">
        <f t="shared" si="81"/>
        <v>3</v>
      </c>
      <c r="G5173" s="7" t="str">
        <f>LOOKUP(H5173,[1]startdates!$A$2:$A$10,[1]startdates!$B$2:$B$10)</f>
        <v>SMr</v>
      </c>
      <c r="H5173">
        <v>1</v>
      </c>
      <c r="I5173" s="7">
        <v>471.4</v>
      </c>
      <c r="M5173" s="7">
        <v>344.6</v>
      </c>
      <c r="N5173" s="7">
        <v>191.4</v>
      </c>
      <c r="O5173" s="7">
        <v>162</v>
      </c>
    </row>
    <row r="5174" spans="1:21" x14ac:dyDescent="0.2">
      <c r="A5174">
        <v>5173</v>
      </c>
      <c r="B5174" s="1">
        <v>40876</v>
      </c>
      <c r="C5174" t="s">
        <v>28</v>
      </c>
      <c r="D5174" s="7">
        <v>137</v>
      </c>
      <c r="E5174" s="7">
        <v>21</v>
      </c>
      <c r="F5174" s="7">
        <f t="shared" si="81"/>
        <v>3</v>
      </c>
      <c r="G5174" s="7" t="str">
        <f>LOOKUP(H5174,[1]startdates!$A$2:$A$10,[1]startdates!$B$2:$B$10)</f>
        <v>SMr</v>
      </c>
      <c r="H5174">
        <v>1</v>
      </c>
      <c r="I5174" s="7">
        <v>598.70000000000005</v>
      </c>
      <c r="M5174" s="7">
        <v>332.3</v>
      </c>
      <c r="N5174" s="7">
        <v>209.9</v>
      </c>
      <c r="O5174" s="7">
        <v>179.8</v>
      </c>
    </row>
    <row r="5175" spans="1:21" x14ac:dyDescent="0.2">
      <c r="A5175">
        <v>5174</v>
      </c>
      <c r="B5175" s="1">
        <v>40876</v>
      </c>
      <c r="C5175" t="s">
        <v>28</v>
      </c>
      <c r="D5175" s="7">
        <v>137</v>
      </c>
      <c r="E5175" s="7">
        <v>21</v>
      </c>
      <c r="F5175" s="7">
        <f t="shared" si="81"/>
        <v>3</v>
      </c>
      <c r="G5175" s="7" t="str">
        <f>LOOKUP(H5175,[1]startdates!$A$2:$A$10,[1]startdates!$B$2:$B$10)</f>
        <v>SMr</v>
      </c>
      <c r="H5175">
        <v>1</v>
      </c>
      <c r="I5175" s="7">
        <v>590.20000000000005</v>
      </c>
      <c r="M5175" s="7">
        <v>346.3</v>
      </c>
      <c r="N5175" s="7">
        <v>199.1</v>
      </c>
      <c r="O5175" s="7">
        <v>155</v>
      </c>
    </row>
    <row r="5176" spans="1:21" x14ac:dyDescent="0.2">
      <c r="A5176">
        <v>5175</v>
      </c>
      <c r="B5176" s="1">
        <v>40876</v>
      </c>
      <c r="C5176" t="s">
        <v>28</v>
      </c>
      <c r="D5176" s="7">
        <v>137</v>
      </c>
      <c r="E5176" s="7">
        <v>21</v>
      </c>
      <c r="F5176" s="7">
        <f t="shared" si="81"/>
        <v>3</v>
      </c>
      <c r="G5176" s="7" t="str">
        <f>LOOKUP(H5176,[1]startdates!$A$2:$A$10,[1]startdates!$B$2:$B$10)</f>
        <v>SMr</v>
      </c>
      <c r="H5176">
        <v>1</v>
      </c>
      <c r="I5176" s="7">
        <v>594.20000000000005</v>
      </c>
      <c r="M5176" s="7">
        <v>370</v>
      </c>
      <c r="N5176" s="7">
        <v>178.2</v>
      </c>
      <c r="O5176" s="7">
        <v>163</v>
      </c>
    </row>
    <row r="5177" spans="1:21" x14ac:dyDescent="0.2">
      <c r="A5177">
        <v>5176</v>
      </c>
      <c r="B5177" s="1">
        <v>40876</v>
      </c>
      <c r="C5177" t="s">
        <v>28</v>
      </c>
      <c r="D5177" s="7">
        <v>137</v>
      </c>
      <c r="E5177" s="7">
        <v>21</v>
      </c>
      <c r="F5177" s="7">
        <f t="shared" si="81"/>
        <v>3</v>
      </c>
      <c r="G5177" s="7" t="str">
        <f>LOOKUP(H5177,[1]startdates!$A$2:$A$10,[1]startdates!$B$2:$B$10)</f>
        <v>SMr</v>
      </c>
      <c r="H5177">
        <v>1</v>
      </c>
      <c r="I5177" s="7">
        <v>509.8</v>
      </c>
    </row>
    <row r="5178" spans="1:21" x14ac:dyDescent="0.2">
      <c r="A5178">
        <v>5177</v>
      </c>
      <c r="B5178" s="1">
        <v>40876</v>
      </c>
      <c r="C5178" t="s">
        <v>28</v>
      </c>
      <c r="D5178" s="7">
        <v>137</v>
      </c>
      <c r="E5178" s="7">
        <v>21</v>
      </c>
      <c r="F5178" s="7">
        <f t="shared" si="81"/>
        <v>3</v>
      </c>
      <c r="G5178" s="7" t="str">
        <f>LOOKUP(H5178,[1]startdates!$A$2:$A$10,[1]startdates!$B$2:$B$10)</f>
        <v>SMr</v>
      </c>
      <c r="H5178">
        <v>1</v>
      </c>
      <c r="I5178" s="7">
        <v>549.5</v>
      </c>
    </row>
    <row r="5179" spans="1:21" x14ac:dyDescent="0.2">
      <c r="A5179">
        <v>5178</v>
      </c>
      <c r="B5179" s="1">
        <v>40876</v>
      </c>
      <c r="C5179" t="s">
        <v>28</v>
      </c>
      <c r="D5179" s="7">
        <v>137</v>
      </c>
      <c r="E5179" s="7">
        <v>21</v>
      </c>
      <c r="F5179" s="7">
        <f t="shared" si="81"/>
        <v>3</v>
      </c>
      <c r="G5179" s="7" t="str">
        <f>LOOKUP(H5179,[1]startdates!$A$2:$A$10,[1]startdates!$B$2:$B$10)</f>
        <v>SMr</v>
      </c>
      <c r="H5179">
        <v>1</v>
      </c>
      <c r="I5179" s="7">
        <v>537.79999999999995</v>
      </c>
    </row>
    <row r="5180" spans="1:21" x14ac:dyDescent="0.2">
      <c r="A5180">
        <v>5179</v>
      </c>
      <c r="B5180" s="1">
        <v>40876</v>
      </c>
      <c r="C5180" t="s">
        <v>24</v>
      </c>
      <c r="D5180" s="7">
        <v>137</v>
      </c>
      <c r="E5180" s="7">
        <v>21</v>
      </c>
      <c r="F5180" s="7">
        <f t="shared" si="81"/>
        <v>3</v>
      </c>
      <c r="G5180" s="7" t="str">
        <f>LOOKUP(H5180,[1]startdates!$A$2:$A$10,[1]startdates!$B$2:$B$10)</f>
        <v>SMr</v>
      </c>
      <c r="H5180">
        <v>2</v>
      </c>
      <c r="I5180" s="7">
        <v>555.79999999999995</v>
      </c>
      <c r="J5180" s="7">
        <v>533.1</v>
      </c>
      <c r="K5180" s="7">
        <v>492.6</v>
      </c>
      <c r="L5180" s="7">
        <v>407.3</v>
      </c>
      <c r="M5180" s="7">
        <v>350.5</v>
      </c>
      <c r="N5180" s="7">
        <v>194</v>
      </c>
      <c r="O5180" s="7">
        <v>175.4</v>
      </c>
      <c r="P5180" s="7">
        <v>423.8</v>
      </c>
      <c r="Q5180" s="7">
        <v>377</v>
      </c>
      <c r="R5180" s="7">
        <v>230.7</v>
      </c>
      <c r="U5180" s="7">
        <v>440.5</v>
      </c>
    </row>
    <row r="5181" spans="1:21" x14ac:dyDescent="0.2">
      <c r="A5181">
        <v>5180</v>
      </c>
      <c r="B5181" s="1">
        <v>40876</v>
      </c>
      <c r="C5181" t="s">
        <v>24</v>
      </c>
      <c r="D5181" s="7">
        <v>137</v>
      </c>
      <c r="E5181" s="7">
        <v>21</v>
      </c>
      <c r="F5181" s="7">
        <f t="shared" si="81"/>
        <v>3</v>
      </c>
      <c r="G5181" s="7" t="str">
        <f>LOOKUP(H5181,[1]startdates!$A$2:$A$10,[1]startdates!$B$2:$B$10)</f>
        <v>SMr</v>
      </c>
      <c r="H5181">
        <v>2</v>
      </c>
      <c r="I5181" s="7">
        <v>468.9</v>
      </c>
      <c r="K5181" s="7">
        <v>476.4</v>
      </c>
      <c r="L5181" s="7">
        <v>367.2</v>
      </c>
      <c r="M5181" s="7">
        <v>304.10000000000002</v>
      </c>
      <c r="N5181" s="7">
        <v>229.2</v>
      </c>
      <c r="O5181" s="7">
        <v>190.1</v>
      </c>
      <c r="P5181" s="7">
        <v>472.6</v>
      </c>
      <c r="Q5181" s="7">
        <v>327.10000000000002</v>
      </c>
      <c r="R5181" s="7">
        <v>252.5</v>
      </c>
      <c r="U5181" s="7">
        <v>440.7</v>
      </c>
    </row>
    <row r="5182" spans="1:21" x14ac:dyDescent="0.2">
      <c r="A5182">
        <v>5181</v>
      </c>
      <c r="B5182" s="1">
        <v>40876</v>
      </c>
      <c r="C5182" t="s">
        <v>24</v>
      </c>
      <c r="D5182" s="7">
        <v>137</v>
      </c>
      <c r="E5182" s="7">
        <v>21</v>
      </c>
      <c r="F5182" s="7">
        <f t="shared" si="81"/>
        <v>3</v>
      </c>
      <c r="G5182" s="7" t="str">
        <f>LOOKUP(H5182,[1]startdates!$A$2:$A$10,[1]startdates!$B$2:$B$10)</f>
        <v>SMr</v>
      </c>
      <c r="H5182">
        <v>2</v>
      </c>
      <c r="I5182" s="7">
        <v>510.3</v>
      </c>
      <c r="K5182" s="7">
        <v>467.2</v>
      </c>
      <c r="L5182" s="7">
        <v>382.2</v>
      </c>
      <c r="M5182" s="7">
        <v>286.39999999999998</v>
      </c>
      <c r="N5182" s="7">
        <v>206.2</v>
      </c>
      <c r="O5182" s="7">
        <v>182.8</v>
      </c>
      <c r="P5182" s="7">
        <v>416.8</v>
      </c>
      <c r="Q5182" s="7">
        <v>363.4</v>
      </c>
      <c r="U5182" s="7">
        <v>488.8</v>
      </c>
    </row>
    <row r="5183" spans="1:21" x14ac:dyDescent="0.2">
      <c r="A5183">
        <v>5182</v>
      </c>
      <c r="B5183" s="1">
        <v>40876</v>
      </c>
      <c r="C5183" t="s">
        <v>24</v>
      </c>
      <c r="D5183" s="7">
        <v>137</v>
      </c>
      <c r="E5183" s="7">
        <v>21</v>
      </c>
      <c r="F5183" s="7">
        <f t="shared" si="81"/>
        <v>3</v>
      </c>
      <c r="G5183" s="7" t="str">
        <f>LOOKUP(H5183,[1]startdates!$A$2:$A$10,[1]startdates!$B$2:$B$10)</f>
        <v>SMr</v>
      </c>
      <c r="H5183">
        <v>2</v>
      </c>
      <c r="I5183" s="7">
        <v>554</v>
      </c>
      <c r="L5183" s="7">
        <v>375.4</v>
      </c>
      <c r="M5183" s="7">
        <v>337.3</v>
      </c>
      <c r="N5183" s="7">
        <v>241.2</v>
      </c>
      <c r="O5183" s="7">
        <v>136.30000000000001</v>
      </c>
      <c r="Q5183" s="7">
        <v>387.8</v>
      </c>
    </row>
    <row r="5184" spans="1:21" x14ac:dyDescent="0.2">
      <c r="A5184">
        <v>5183</v>
      </c>
      <c r="B5184" s="1">
        <v>40876</v>
      </c>
      <c r="C5184" t="s">
        <v>24</v>
      </c>
      <c r="D5184" s="7">
        <v>137</v>
      </c>
      <c r="E5184" s="7">
        <v>21</v>
      </c>
      <c r="F5184" s="7">
        <f t="shared" si="81"/>
        <v>3</v>
      </c>
      <c r="G5184" s="7" t="str">
        <f>LOOKUP(H5184,[1]startdates!$A$2:$A$10,[1]startdates!$B$2:$B$10)</f>
        <v>SMr</v>
      </c>
      <c r="H5184">
        <v>2</v>
      </c>
      <c r="I5184" s="7">
        <v>528.6</v>
      </c>
      <c r="L5184" s="7">
        <v>407.2</v>
      </c>
      <c r="M5184" s="7">
        <v>306.39999999999998</v>
      </c>
      <c r="N5184" s="7">
        <v>237.6</v>
      </c>
      <c r="O5184" s="7">
        <v>159.80000000000001</v>
      </c>
      <c r="Q5184" s="7">
        <v>382.9</v>
      </c>
    </row>
    <row r="5185" spans="1:19" x14ac:dyDescent="0.2">
      <c r="A5185">
        <v>5184</v>
      </c>
      <c r="B5185" s="1">
        <v>40876</v>
      </c>
      <c r="C5185" t="s">
        <v>24</v>
      </c>
      <c r="D5185" s="7">
        <v>137</v>
      </c>
      <c r="E5185" s="7">
        <v>21</v>
      </c>
      <c r="F5185" s="7">
        <f t="shared" si="81"/>
        <v>3</v>
      </c>
      <c r="G5185" s="7" t="str">
        <f>LOOKUP(H5185,[1]startdates!$A$2:$A$10,[1]startdates!$B$2:$B$10)</f>
        <v>SMr</v>
      </c>
      <c r="H5185">
        <v>2</v>
      </c>
      <c r="I5185" s="7">
        <v>545.20000000000005</v>
      </c>
      <c r="L5185" s="7">
        <v>425.4</v>
      </c>
      <c r="M5185" s="7">
        <v>323.5</v>
      </c>
      <c r="N5185" s="7">
        <v>214.5</v>
      </c>
      <c r="O5185" s="7">
        <v>177.9</v>
      </c>
      <c r="Q5185" s="7">
        <v>310</v>
      </c>
    </row>
    <row r="5186" spans="1:19" x14ac:dyDescent="0.2">
      <c r="A5186">
        <v>5185</v>
      </c>
      <c r="B5186" s="1">
        <v>40876</v>
      </c>
      <c r="C5186" t="s">
        <v>24</v>
      </c>
      <c r="D5186" s="7">
        <v>137</v>
      </c>
      <c r="E5186" s="7">
        <v>21</v>
      </c>
      <c r="F5186" s="7">
        <f t="shared" si="81"/>
        <v>3</v>
      </c>
      <c r="G5186" s="7" t="str">
        <f>LOOKUP(H5186,[1]startdates!$A$2:$A$10,[1]startdates!$B$2:$B$10)</f>
        <v>SMr</v>
      </c>
      <c r="H5186">
        <v>2</v>
      </c>
      <c r="I5186" s="7">
        <v>548.29999999999995</v>
      </c>
      <c r="L5186" s="7">
        <v>379.2</v>
      </c>
      <c r="M5186" s="7">
        <v>301</v>
      </c>
      <c r="N5186" s="7">
        <v>227.7</v>
      </c>
      <c r="O5186" s="7">
        <v>181.3</v>
      </c>
    </row>
    <row r="5187" spans="1:19" x14ac:dyDescent="0.2">
      <c r="A5187">
        <v>5186</v>
      </c>
      <c r="B5187" s="1">
        <v>40876</v>
      </c>
      <c r="C5187" t="s">
        <v>24</v>
      </c>
      <c r="D5187" s="7">
        <v>137</v>
      </c>
      <c r="E5187" s="7">
        <v>21</v>
      </c>
      <c r="F5187" s="7">
        <f t="shared" si="81"/>
        <v>3</v>
      </c>
      <c r="G5187" s="7" t="str">
        <f>LOOKUP(H5187,[1]startdates!$A$2:$A$10,[1]startdates!$B$2:$B$10)</f>
        <v>SMr</v>
      </c>
      <c r="H5187">
        <v>2</v>
      </c>
      <c r="I5187" s="7">
        <v>654.1</v>
      </c>
      <c r="M5187" s="7">
        <v>333</v>
      </c>
      <c r="N5187" s="7">
        <v>250.4</v>
      </c>
      <c r="O5187" s="7">
        <v>151.80000000000001</v>
      </c>
    </row>
    <row r="5188" spans="1:19" x14ac:dyDescent="0.2">
      <c r="A5188">
        <v>5187</v>
      </c>
      <c r="B5188" s="1">
        <v>40876</v>
      </c>
      <c r="C5188" t="s">
        <v>24</v>
      </c>
      <c r="D5188" s="7">
        <v>137</v>
      </c>
      <c r="E5188" s="7">
        <v>21</v>
      </c>
      <c r="F5188" s="7">
        <f t="shared" si="81"/>
        <v>3</v>
      </c>
      <c r="G5188" s="7" t="str">
        <f>LOOKUP(H5188,[1]startdates!$A$2:$A$10,[1]startdates!$B$2:$B$10)</f>
        <v>SMr</v>
      </c>
      <c r="H5188">
        <v>2</v>
      </c>
      <c r="I5188" s="7">
        <v>596.70000000000005</v>
      </c>
      <c r="N5188" s="7">
        <v>217.3</v>
      </c>
      <c r="O5188" s="7">
        <v>172.9</v>
      </c>
    </row>
    <row r="5189" spans="1:19" x14ac:dyDescent="0.2">
      <c r="A5189">
        <v>5188</v>
      </c>
      <c r="B5189" s="1">
        <v>40876</v>
      </c>
      <c r="C5189" t="s">
        <v>24</v>
      </c>
      <c r="D5189" s="7">
        <v>137</v>
      </c>
      <c r="E5189" s="7">
        <v>21</v>
      </c>
      <c r="F5189" s="7">
        <f t="shared" si="81"/>
        <v>3</v>
      </c>
      <c r="G5189" s="7" t="str">
        <f>LOOKUP(H5189,[1]startdates!$A$2:$A$10,[1]startdates!$B$2:$B$10)</f>
        <v>SMr</v>
      </c>
      <c r="H5189">
        <v>2</v>
      </c>
      <c r="N5189" s="7">
        <v>217.5</v>
      </c>
      <c r="O5189" s="7">
        <v>178.9</v>
      </c>
    </row>
    <row r="5190" spans="1:19" x14ac:dyDescent="0.2">
      <c r="A5190">
        <v>5189</v>
      </c>
      <c r="B5190" s="1">
        <v>40876</v>
      </c>
      <c r="C5190" t="s">
        <v>24</v>
      </c>
      <c r="D5190" s="7">
        <v>137</v>
      </c>
      <c r="E5190" s="7">
        <v>21</v>
      </c>
      <c r="F5190" s="7">
        <f t="shared" si="81"/>
        <v>3</v>
      </c>
      <c r="G5190" s="7" t="str">
        <f>LOOKUP(H5190,[1]startdates!$A$2:$A$10,[1]startdates!$B$2:$B$10)</f>
        <v>C</v>
      </c>
      <c r="H5190">
        <v>3</v>
      </c>
      <c r="I5190" s="7">
        <v>570.20000000000005</v>
      </c>
      <c r="K5190" s="7">
        <v>507.4</v>
      </c>
      <c r="L5190" s="7">
        <v>462.4</v>
      </c>
      <c r="M5190" s="7">
        <v>347.3</v>
      </c>
      <c r="N5190" s="7">
        <v>250</v>
      </c>
      <c r="O5190" s="7">
        <v>161.5</v>
      </c>
      <c r="Q5190" s="7">
        <v>364.5</v>
      </c>
      <c r="S5190" s="7">
        <v>243.4</v>
      </c>
    </row>
    <row r="5191" spans="1:19" x14ac:dyDescent="0.2">
      <c r="A5191">
        <v>5190</v>
      </c>
      <c r="B5191" s="1">
        <v>40876</v>
      </c>
      <c r="C5191" t="s">
        <v>24</v>
      </c>
      <c r="D5191" s="7">
        <v>137</v>
      </c>
      <c r="E5191" s="7">
        <v>21</v>
      </c>
      <c r="F5191" s="7">
        <f t="shared" si="81"/>
        <v>3</v>
      </c>
      <c r="G5191" s="7" t="str">
        <f>LOOKUP(H5191,[1]startdates!$A$2:$A$10,[1]startdates!$B$2:$B$10)</f>
        <v>C</v>
      </c>
      <c r="H5191">
        <v>3</v>
      </c>
      <c r="I5191" s="7">
        <v>543.6</v>
      </c>
      <c r="K5191" s="7">
        <v>377.3</v>
      </c>
      <c r="L5191" s="7">
        <v>434.2</v>
      </c>
      <c r="M5191" s="7">
        <v>336.6</v>
      </c>
      <c r="N5191" s="7">
        <v>217.5</v>
      </c>
      <c r="O5191" s="7">
        <v>168.3</v>
      </c>
      <c r="Q5191" s="7">
        <v>323.3</v>
      </c>
      <c r="S5191" s="7">
        <v>239.7</v>
      </c>
    </row>
    <row r="5192" spans="1:19" x14ac:dyDescent="0.2">
      <c r="A5192">
        <v>5191</v>
      </c>
      <c r="B5192" s="1">
        <v>40876</v>
      </c>
      <c r="C5192" t="s">
        <v>24</v>
      </c>
      <c r="D5192" s="7">
        <v>137</v>
      </c>
      <c r="E5192" s="7">
        <v>21</v>
      </c>
      <c r="F5192" s="7">
        <f t="shared" si="81"/>
        <v>3</v>
      </c>
      <c r="G5192" s="7" t="str">
        <f>LOOKUP(H5192,[1]startdates!$A$2:$A$10,[1]startdates!$B$2:$B$10)</f>
        <v>C</v>
      </c>
      <c r="H5192">
        <v>3</v>
      </c>
      <c r="I5192" s="7">
        <v>558.70000000000005</v>
      </c>
      <c r="K5192" s="7">
        <v>516.79999999999995</v>
      </c>
      <c r="L5192" s="7">
        <v>398.2</v>
      </c>
      <c r="M5192" s="7">
        <v>333.6</v>
      </c>
      <c r="N5192" s="7">
        <v>200.4</v>
      </c>
      <c r="O5192" s="7">
        <v>159.4</v>
      </c>
    </row>
    <row r="5193" spans="1:19" x14ac:dyDescent="0.2">
      <c r="A5193">
        <v>5192</v>
      </c>
      <c r="B5193" s="1">
        <v>40876</v>
      </c>
      <c r="C5193" t="s">
        <v>24</v>
      </c>
      <c r="D5193" s="7">
        <v>137</v>
      </c>
      <c r="E5193" s="7">
        <v>21</v>
      </c>
      <c r="F5193" s="7">
        <f t="shared" si="81"/>
        <v>3</v>
      </c>
      <c r="G5193" s="7" t="str">
        <f>LOOKUP(H5193,[1]startdates!$A$2:$A$10,[1]startdates!$B$2:$B$10)</f>
        <v>C</v>
      </c>
      <c r="H5193">
        <v>3</v>
      </c>
      <c r="I5193" s="7">
        <v>533.1</v>
      </c>
      <c r="K5193" s="7">
        <v>512.79999999999995</v>
      </c>
      <c r="L5193" s="7">
        <v>479.3</v>
      </c>
      <c r="M5193" s="7">
        <v>341.5</v>
      </c>
      <c r="N5193" s="7">
        <v>214.5</v>
      </c>
      <c r="O5193" s="7">
        <v>135</v>
      </c>
    </row>
    <row r="5194" spans="1:19" x14ac:dyDescent="0.2">
      <c r="A5194">
        <v>5193</v>
      </c>
      <c r="B5194" s="1">
        <v>40876</v>
      </c>
      <c r="C5194" t="s">
        <v>24</v>
      </c>
      <c r="D5194" s="7">
        <v>137</v>
      </c>
      <c r="E5194" s="7">
        <v>21</v>
      </c>
      <c r="F5194" s="7">
        <f t="shared" si="81"/>
        <v>3</v>
      </c>
      <c r="G5194" s="7" t="str">
        <f>LOOKUP(H5194,[1]startdates!$A$2:$A$10,[1]startdates!$B$2:$B$10)</f>
        <v>C</v>
      </c>
      <c r="H5194">
        <v>3</v>
      </c>
      <c r="I5194" s="7">
        <v>544.29999999999995</v>
      </c>
      <c r="K5194" s="7">
        <v>481.5</v>
      </c>
      <c r="M5194" s="7">
        <v>309.89999999999998</v>
      </c>
      <c r="N5194" s="7">
        <v>185.2</v>
      </c>
      <c r="O5194" s="7">
        <v>147</v>
      </c>
    </row>
    <row r="5195" spans="1:19" x14ac:dyDescent="0.2">
      <c r="A5195">
        <v>5194</v>
      </c>
      <c r="B5195" s="1">
        <v>40876</v>
      </c>
      <c r="C5195" t="s">
        <v>24</v>
      </c>
      <c r="D5195" s="7">
        <v>137</v>
      </c>
      <c r="E5195" s="7">
        <v>21</v>
      </c>
      <c r="F5195" s="7">
        <f t="shared" si="81"/>
        <v>3</v>
      </c>
      <c r="G5195" s="7" t="str">
        <f>LOOKUP(H5195,[1]startdates!$A$2:$A$10,[1]startdates!$B$2:$B$10)</f>
        <v>C</v>
      </c>
      <c r="H5195">
        <v>3</v>
      </c>
      <c r="I5195" s="7">
        <v>474</v>
      </c>
      <c r="K5195" s="7">
        <v>503.7</v>
      </c>
      <c r="M5195" s="7">
        <v>323.89999999999998</v>
      </c>
      <c r="N5195" s="7">
        <v>224.6</v>
      </c>
      <c r="O5195" s="7">
        <v>139.69999999999999</v>
      </c>
    </row>
    <row r="5196" spans="1:19" x14ac:dyDescent="0.2">
      <c r="A5196">
        <v>5195</v>
      </c>
      <c r="B5196" s="1">
        <v>40876</v>
      </c>
      <c r="C5196" t="s">
        <v>24</v>
      </c>
      <c r="D5196" s="7">
        <v>137</v>
      </c>
      <c r="E5196" s="7">
        <v>21</v>
      </c>
      <c r="F5196" s="7">
        <f t="shared" si="81"/>
        <v>3</v>
      </c>
      <c r="G5196" s="7" t="str">
        <f>LOOKUP(H5196,[1]startdates!$A$2:$A$10,[1]startdates!$B$2:$B$10)</f>
        <v>C</v>
      </c>
      <c r="H5196">
        <v>3</v>
      </c>
      <c r="I5196" s="7">
        <v>574.5</v>
      </c>
      <c r="K5196" s="7">
        <v>542.1</v>
      </c>
      <c r="N5196" s="7">
        <v>212.5</v>
      </c>
      <c r="O5196" s="7">
        <v>170.8</v>
      </c>
    </row>
    <row r="5197" spans="1:19" x14ac:dyDescent="0.2">
      <c r="A5197">
        <v>5196</v>
      </c>
      <c r="B5197" s="1">
        <v>40876</v>
      </c>
      <c r="C5197" t="s">
        <v>24</v>
      </c>
      <c r="D5197" s="7">
        <v>137</v>
      </c>
      <c r="E5197" s="7">
        <v>21</v>
      </c>
      <c r="F5197" s="7">
        <f t="shared" si="81"/>
        <v>3</v>
      </c>
      <c r="G5197" s="7" t="str">
        <f>LOOKUP(H5197,[1]startdates!$A$2:$A$10,[1]startdates!$B$2:$B$10)</f>
        <v>C</v>
      </c>
      <c r="H5197">
        <v>3</v>
      </c>
      <c r="I5197" s="7">
        <v>556.6</v>
      </c>
      <c r="K5197" s="7">
        <v>479.1</v>
      </c>
      <c r="N5197" s="7">
        <v>253.9</v>
      </c>
      <c r="O5197" s="7">
        <v>149.19999999999999</v>
      </c>
    </row>
    <row r="5198" spans="1:19" x14ac:dyDescent="0.2">
      <c r="A5198">
        <v>5197</v>
      </c>
      <c r="B5198" s="1">
        <v>40876</v>
      </c>
      <c r="C5198" t="s">
        <v>24</v>
      </c>
      <c r="D5198" s="7">
        <v>137</v>
      </c>
      <c r="E5198" s="7">
        <v>21</v>
      </c>
      <c r="F5198" s="7">
        <f t="shared" si="81"/>
        <v>3</v>
      </c>
      <c r="G5198" s="7" t="str">
        <f>LOOKUP(H5198,[1]startdates!$A$2:$A$10,[1]startdates!$B$2:$B$10)</f>
        <v>C</v>
      </c>
      <c r="H5198">
        <v>3</v>
      </c>
      <c r="I5198" s="7">
        <v>588.79999999999995</v>
      </c>
      <c r="K5198" s="7">
        <v>582.9</v>
      </c>
      <c r="N5198" s="7">
        <v>242.5</v>
      </c>
      <c r="O5198" s="7">
        <v>173.1</v>
      </c>
    </row>
    <row r="5199" spans="1:19" x14ac:dyDescent="0.2">
      <c r="A5199">
        <v>5198</v>
      </c>
      <c r="B5199" s="1">
        <v>40876</v>
      </c>
      <c r="C5199" t="s">
        <v>24</v>
      </c>
      <c r="D5199" s="7">
        <v>137</v>
      </c>
      <c r="E5199" s="7">
        <v>21</v>
      </c>
      <c r="F5199" s="7">
        <f t="shared" si="81"/>
        <v>3</v>
      </c>
      <c r="G5199" s="7" t="str">
        <f>LOOKUP(H5199,[1]startdates!$A$2:$A$10,[1]startdates!$B$2:$B$10)</f>
        <v>C</v>
      </c>
      <c r="H5199">
        <v>3</v>
      </c>
      <c r="I5199" s="7">
        <v>543.6</v>
      </c>
      <c r="K5199" s="7">
        <v>414.6</v>
      </c>
      <c r="N5199" s="7">
        <v>191.3</v>
      </c>
      <c r="O5199" s="7">
        <v>171.6</v>
      </c>
    </row>
    <row r="5200" spans="1:19" x14ac:dyDescent="0.2">
      <c r="A5200">
        <v>5199</v>
      </c>
      <c r="B5200" s="1">
        <v>40876</v>
      </c>
      <c r="C5200" t="s">
        <v>24</v>
      </c>
      <c r="D5200" s="7">
        <v>137</v>
      </c>
      <c r="E5200" s="7">
        <v>21</v>
      </c>
      <c r="F5200" s="7">
        <f t="shared" si="81"/>
        <v>3</v>
      </c>
      <c r="G5200" s="7" t="str">
        <f>LOOKUP(H5200,[1]startdates!$A$2:$A$10,[1]startdates!$B$2:$B$10)</f>
        <v>C</v>
      </c>
      <c r="H5200">
        <v>3</v>
      </c>
      <c r="I5200" s="7">
        <v>562</v>
      </c>
    </row>
    <row r="5201" spans="1:21" x14ac:dyDescent="0.2">
      <c r="A5201">
        <v>5200</v>
      </c>
      <c r="B5201" s="1">
        <v>40876</v>
      </c>
      <c r="C5201" t="s">
        <v>24</v>
      </c>
      <c r="D5201" s="7">
        <v>137</v>
      </c>
      <c r="E5201" s="7">
        <v>21</v>
      </c>
      <c r="F5201" s="7">
        <f t="shared" si="81"/>
        <v>3</v>
      </c>
      <c r="G5201" s="7" t="str">
        <f>LOOKUP(H5201,[1]startdates!$A$2:$A$10,[1]startdates!$B$2:$B$10)</f>
        <v>C</v>
      </c>
      <c r="H5201">
        <v>3</v>
      </c>
      <c r="I5201" s="7">
        <v>517.9</v>
      </c>
    </row>
    <row r="5202" spans="1:21" x14ac:dyDescent="0.2">
      <c r="A5202">
        <v>5201</v>
      </c>
      <c r="B5202" s="1">
        <v>40876</v>
      </c>
      <c r="C5202" t="s">
        <v>24</v>
      </c>
      <c r="D5202" s="7">
        <v>137</v>
      </c>
      <c r="E5202" s="7">
        <v>21</v>
      </c>
      <c r="F5202" s="7">
        <f t="shared" si="81"/>
        <v>3</v>
      </c>
      <c r="G5202" s="7" t="str">
        <f>LOOKUP(H5202,[1]startdates!$A$2:$A$10,[1]startdates!$B$2:$B$10)</f>
        <v>SMr</v>
      </c>
      <c r="H5202">
        <v>4</v>
      </c>
      <c r="I5202" s="7">
        <v>569.29999999999995</v>
      </c>
      <c r="K5202" s="7">
        <v>495.7</v>
      </c>
      <c r="L5202" s="7">
        <v>452.1</v>
      </c>
      <c r="M5202" s="7">
        <v>322</v>
      </c>
      <c r="N5202" s="7">
        <v>210</v>
      </c>
      <c r="O5202" s="7">
        <v>195</v>
      </c>
      <c r="P5202" s="7">
        <v>412.6</v>
      </c>
      <c r="R5202" s="7">
        <v>245.1</v>
      </c>
      <c r="S5202" s="7">
        <v>235</v>
      </c>
      <c r="U5202" s="7">
        <v>398.9</v>
      </c>
    </row>
    <row r="5203" spans="1:21" x14ac:dyDescent="0.2">
      <c r="A5203">
        <v>5202</v>
      </c>
      <c r="B5203" s="1">
        <v>40876</v>
      </c>
      <c r="C5203" t="s">
        <v>24</v>
      </c>
      <c r="D5203" s="7">
        <v>137</v>
      </c>
      <c r="E5203" s="7">
        <v>21</v>
      </c>
      <c r="F5203" s="7">
        <f t="shared" si="81"/>
        <v>3</v>
      </c>
      <c r="G5203" s="7" t="str">
        <f>LOOKUP(H5203,[1]startdates!$A$2:$A$10,[1]startdates!$B$2:$B$10)</f>
        <v>SMr</v>
      </c>
      <c r="H5203">
        <v>4</v>
      </c>
      <c r="I5203" s="7">
        <v>570.4</v>
      </c>
      <c r="K5203" s="7">
        <v>437.1</v>
      </c>
      <c r="L5203" s="7">
        <v>426.8</v>
      </c>
      <c r="M5203" s="7">
        <v>343.8</v>
      </c>
      <c r="N5203" s="7">
        <v>189.8</v>
      </c>
      <c r="O5203" s="7">
        <v>162</v>
      </c>
      <c r="P5203" s="7">
        <v>401.9</v>
      </c>
      <c r="R5203" s="7">
        <v>257.8</v>
      </c>
      <c r="U5203" s="7">
        <v>469.6</v>
      </c>
    </row>
    <row r="5204" spans="1:21" x14ac:dyDescent="0.2">
      <c r="A5204">
        <v>5203</v>
      </c>
      <c r="B5204" s="1">
        <v>40876</v>
      </c>
      <c r="C5204" t="s">
        <v>24</v>
      </c>
      <c r="D5204" s="7">
        <v>137</v>
      </c>
      <c r="E5204" s="7">
        <v>21</v>
      </c>
      <c r="F5204" s="7">
        <f t="shared" si="81"/>
        <v>3</v>
      </c>
      <c r="G5204" s="7" t="str">
        <f>LOOKUP(H5204,[1]startdates!$A$2:$A$10,[1]startdates!$B$2:$B$10)</f>
        <v>SMr</v>
      </c>
      <c r="H5204">
        <v>4</v>
      </c>
      <c r="I5204" s="7">
        <v>549.29999999999995</v>
      </c>
      <c r="K5204" s="7">
        <v>512.79999999999995</v>
      </c>
      <c r="L5204" s="7">
        <v>366.5</v>
      </c>
      <c r="M5204" s="7">
        <v>337.2</v>
      </c>
      <c r="N5204" s="7">
        <v>202.5</v>
      </c>
      <c r="O5204" s="7">
        <v>184.9</v>
      </c>
      <c r="P5204" s="7">
        <v>494</v>
      </c>
      <c r="U5204" s="7">
        <v>341.1</v>
      </c>
    </row>
    <row r="5205" spans="1:21" x14ac:dyDescent="0.2">
      <c r="A5205">
        <v>5204</v>
      </c>
      <c r="B5205" s="1">
        <v>40876</v>
      </c>
      <c r="C5205" t="s">
        <v>24</v>
      </c>
      <c r="D5205" s="7">
        <v>137</v>
      </c>
      <c r="E5205" s="7">
        <v>21</v>
      </c>
      <c r="F5205" s="7">
        <f t="shared" si="81"/>
        <v>3</v>
      </c>
      <c r="G5205" s="7" t="str">
        <f>LOOKUP(H5205,[1]startdates!$A$2:$A$10,[1]startdates!$B$2:$B$10)</f>
        <v>SMr</v>
      </c>
      <c r="H5205">
        <v>4</v>
      </c>
      <c r="I5205" s="7">
        <v>530.6</v>
      </c>
      <c r="L5205" s="7">
        <v>445</v>
      </c>
      <c r="M5205" s="7">
        <v>324.89999999999998</v>
      </c>
      <c r="N5205" s="7">
        <v>240.2</v>
      </c>
      <c r="O5205" s="7">
        <v>181.3</v>
      </c>
    </row>
    <row r="5206" spans="1:21" x14ac:dyDescent="0.2">
      <c r="A5206">
        <v>5205</v>
      </c>
      <c r="B5206" s="1">
        <v>40876</v>
      </c>
      <c r="C5206" t="s">
        <v>24</v>
      </c>
      <c r="D5206" s="7">
        <v>137</v>
      </c>
      <c r="E5206" s="7">
        <v>21</v>
      </c>
      <c r="F5206" s="7">
        <f t="shared" si="81"/>
        <v>3</v>
      </c>
      <c r="G5206" s="7" t="str">
        <f>LOOKUP(H5206,[1]startdates!$A$2:$A$10,[1]startdates!$B$2:$B$10)</f>
        <v>SMr</v>
      </c>
      <c r="H5206">
        <v>4</v>
      </c>
      <c r="I5206" s="7">
        <v>542.70000000000005</v>
      </c>
      <c r="M5206" s="7">
        <v>320.7</v>
      </c>
      <c r="N5206" s="7">
        <v>208.9</v>
      </c>
      <c r="O5206" s="7">
        <v>155</v>
      </c>
    </row>
    <row r="5207" spans="1:21" x14ac:dyDescent="0.2">
      <c r="A5207">
        <v>5206</v>
      </c>
      <c r="B5207" s="1">
        <v>40876</v>
      </c>
      <c r="C5207" t="s">
        <v>24</v>
      </c>
      <c r="D5207" s="7">
        <v>137</v>
      </c>
      <c r="E5207" s="7">
        <v>21</v>
      </c>
      <c r="F5207" s="7">
        <f t="shared" si="81"/>
        <v>3</v>
      </c>
      <c r="G5207" s="7" t="str">
        <f>LOOKUP(H5207,[1]startdates!$A$2:$A$10,[1]startdates!$B$2:$B$10)</f>
        <v>SMr</v>
      </c>
      <c r="H5207">
        <v>4</v>
      </c>
      <c r="I5207" s="7">
        <v>560.29999999999995</v>
      </c>
      <c r="N5207" s="7">
        <v>253.9</v>
      </c>
      <c r="O5207" s="7">
        <v>194.3</v>
      </c>
    </row>
    <row r="5208" spans="1:21" x14ac:dyDescent="0.2">
      <c r="A5208">
        <v>5207</v>
      </c>
      <c r="B5208" s="1">
        <v>40876</v>
      </c>
      <c r="C5208" t="s">
        <v>24</v>
      </c>
      <c r="D5208" s="7">
        <v>137</v>
      </c>
      <c r="E5208" s="7">
        <v>21</v>
      </c>
      <c r="F5208" s="7">
        <f t="shared" si="81"/>
        <v>3</v>
      </c>
      <c r="G5208" s="7" t="str">
        <f>LOOKUP(H5208,[1]startdates!$A$2:$A$10,[1]startdates!$B$2:$B$10)</f>
        <v>SMr</v>
      </c>
      <c r="H5208">
        <v>4</v>
      </c>
      <c r="I5208" s="7">
        <v>655.4</v>
      </c>
      <c r="N5208" s="7">
        <v>205.8</v>
      </c>
      <c r="O5208" s="7">
        <v>176.9</v>
      </c>
    </row>
    <row r="5209" spans="1:21" x14ac:dyDescent="0.2">
      <c r="A5209">
        <v>5208</v>
      </c>
      <c r="B5209" s="1">
        <v>40876</v>
      </c>
      <c r="C5209" t="s">
        <v>24</v>
      </c>
      <c r="D5209" s="7">
        <v>137</v>
      </c>
      <c r="E5209" s="7">
        <v>21</v>
      </c>
      <c r="F5209" s="7">
        <f t="shared" si="81"/>
        <v>3</v>
      </c>
      <c r="G5209" s="7" t="str">
        <f>LOOKUP(H5209,[1]startdates!$A$2:$A$10,[1]startdates!$B$2:$B$10)</f>
        <v>SMr</v>
      </c>
      <c r="H5209">
        <v>4</v>
      </c>
      <c r="I5209" s="7">
        <v>659.8</v>
      </c>
      <c r="N5209" s="7">
        <v>218.7</v>
      </c>
      <c r="O5209" s="7">
        <v>159.80000000000001</v>
      </c>
    </row>
    <row r="5210" spans="1:21" x14ac:dyDescent="0.2">
      <c r="A5210">
        <v>5209</v>
      </c>
      <c r="B5210" s="1">
        <v>40876</v>
      </c>
      <c r="C5210" t="s">
        <v>24</v>
      </c>
      <c r="D5210" s="7">
        <v>137</v>
      </c>
      <c r="E5210" s="7">
        <v>21</v>
      </c>
      <c r="F5210" s="7">
        <f t="shared" si="81"/>
        <v>3</v>
      </c>
      <c r="G5210" s="7" t="str">
        <f>LOOKUP(H5210,[1]startdates!$A$2:$A$10,[1]startdates!$B$2:$B$10)</f>
        <v>SMr</v>
      </c>
      <c r="H5210">
        <v>4</v>
      </c>
      <c r="I5210" s="7">
        <v>454.2</v>
      </c>
      <c r="N5210" s="7">
        <v>196.7</v>
      </c>
      <c r="O5210" s="7">
        <v>154.9</v>
      </c>
    </row>
    <row r="5211" spans="1:21" x14ac:dyDescent="0.2">
      <c r="A5211">
        <v>5210</v>
      </c>
      <c r="B5211" s="1">
        <v>40876</v>
      </c>
      <c r="C5211" t="s">
        <v>24</v>
      </c>
      <c r="D5211" s="7">
        <v>137</v>
      </c>
      <c r="E5211" s="7">
        <v>21</v>
      </c>
      <c r="F5211" s="7">
        <f t="shared" si="81"/>
        <v>3</v>
      </c>
      <c r="G5211" s="7" t="str">
        <f>LOOKUP(H5211,[1]startdates!$A$2:$A$10,[1]startdates!$B$2:$B$10)</f>
        <v>SMr</v>
      </c>
      <c r="H5211">
        <v>4</v>
      </c>
      <c r="I5211" s="7">
        <v>586.5</v>
      </c>
      <c r="N5211" s="7">
        <v>202.6</v>
      </c>
      <c r="O5211" s="7">
        <v>184.4</v>
      </c>
    </row>
    <row r="5212" spans="1:21" x14ac:dyDescent="0.2">
      <c r="A5212">
        <v>5211</v>
      </c>
      <c r="B5212" s="1">
        <v>40876</v>
      </c>
      <c r="C5212" t="s">
        <v>24</v>
      </c>
      <c r="D5212" s="7">
        <v>137</v>
      </c>
      <c r="E5212" s="7">
        <v>21</v>
      </c>
      <c r="F5212" s="7">
        <f t="shared" si="81"/>
        <v>3</v>
      </c>
      <c r="G5212" s="7" t="str">
        <f>LOOKUP(H5212,[1]startdates!$A$2:$A$10,[1]startdates!$B$2:$B$10)</f>
        <v>SMr</v>
      </c>
      <c r="H5212">
        <v>4</v>
      </c>
      <c r="I5212" s="7">
        <v>604.79999999999995</v>
      </c>
    </row>
    <row r="5213" spans="1:21" x14ac:dyDescent="0.2">
      <c r="A5213">
        <v>5212</v>
      </c>
      <c r="B5213" s="1">
        <v>40876</v>
      </c>
      <c r="C5213" t="s">
        <v>24</v>
      </c>
      <c r="D5213" s="7">
        <v>137</v>
      </c>
      <c r="E5213" s="7">
        <v>21</v>
      </c>
      <c r="F5213" s="7">
        <f t="shared" si="81"/>
        <v>3</v>
      </c>
      <c r="G5213" s="7" t="str">
        <f>LOOKUP(H5213,[1]startdates!$A$2:$A$10,[1]startdates!$B$2:$B$10)</f>
        <v>SMr</v>
      </c>
      <c r="H5213">
        <v>4</v>
      </c>
      <c r="I5213" s="7">
        <v>527.9</v>
      </c>
    </row>
    <row r="5214" spans="1:21" x14ac:dyDescent="0.2">
      <c r="A5214">
        <v>5213</v>
      </c>
      <c r="B5214" s="1">
        <v>40876</v>
      </c>
      <c r="C5214" t="s">
        <v>28</v>
      </c>
      <c r="D5214" s="7">
        <v>137</v>
      </c>
      <c r="E5214" s="7">
        <v>21</v>
      </c>
      <c r="F5214" s="7">
        <f t="shared" si="81"/>
        <v>3</v>
      </c>
      <c r="G5214" s="7" t="str">
        <f>LOOKUP(H5214,[1]startdates!$A$2:$A$10,[1]startdates!$B$2:$B$10)</f>
        <v>C</v>
      </c>
      <c r="H5214">
        <v>5</v>
      </c>
      <c r="I5214" s="7">
        <v>561.70000000000005</v>
      </c>
      <c r="J5214" s="7">
        <v>541.4</v>
      </c>
      <c r="K5214" s="7">
        <v>659.2</v>
      </c>
      <c r="L5214" s="7">
        <v>413.7</v>
      </c>
      <c r="M5214" s="7">
        <v>293.2</v>
      </c>
      <c r="N5214" s="7">
        <v>199.3</v>
      </c>
      <c r="O5214" s="7">
        <v>180.7</v>
      </c>
      <c r="Q5214" s="7">
        <v>353</v>
      </c>
      <c r="R5214" s="7">
        <v>283.89999999999998</v>
      </c>
    </row>
    <row r="5215" spans="1:21" x14ac:dyDescent="0.2">
      <c r="A5215">
        <v>5214</v>
      </c>
      <c r="B5215" s="1">
        <v>40876</v>
      </c>
      <c r="C5215" t="s">
        <v>28</v>
      </c>
      <c r="D5215" s="7">
        <v>137</v>
      </c>
      <c r="E5215" s="7">
        <v>21</v>
      </c>
      <c r="F5215" s="7">
        <f t="shared" si="81"/>
        <v>3</v>
      </c>
      <c r="G5215" s="7" t="str">
        <f>LOOKUP(H5215,[1]startdates!$A$2:$A$10,[1]startdates!$B$2:$B$10)</f>
        <v>C</v>
      </c>
      <c r="H5215">
        <v>5</v>
      </c>
      <c r="I5215" s="7">
        <v>606</v>
      </c>
      <c r="K5215" s="7">
        <v>571.29999999999995</v>
      </c>
      <c r="L5215" s="7">
        <v>475.9</v>
      </c>
      <c r="M5215" s="7">
        <v>331.3</v>
      </c>
      <c r="N5215" s="7">
        <v>255.7</v>
      </c>
      <c r="O5215" s="7">
        <v>168</v>
      </c>
      <c r="Q5215" s="7">
        <v>319.7</v>
      </c>
      <c r="R5215" s="7">
        <v>239.6</v>
      </c>
    </row>
    <row r="5216" spans="1:21" x14ac:dyDescent="0.2">
      <c r="A5216">
        <v>5215</v>
      </c>
      <c r="B5216" s="1">
        <v>40876</v>
      </c>
      <c r="C5216" t="s">
        <v>28</v>
      </c>
      <c r="D5216" s="7">
        <v>137</v>
      </c>
      <c r="E5216" s="7">
        <v>21</v>
      </c>
      <c r="F5216" s="7">
        <f t="shared" si="81"/>
        <v>3</v>
      </c>
      <c r="G5216" s="7" t="str">
        <f>LOOKUP(H5216,[1]startdates!$A$2:$A$10,[1]startdates!$B$2:$B$10)</f>
        <v>C</v>
      </c>
      <c r="H5216">
        <v>5</v>
      </c>
      <c r="I5216" s="7">
        <v>759.8</v>
      </c>
      <c r="K5216" s="7">
        <v>586.79999999999995</v>
      </c>
      <c r="L5216" s="7">
        <v>401.5</v>
      </c>
      <c r="M5216" s="7">
        <v>318.10000000000002</v>
      </c>
      <c r="N5216" s="7">
        <v>258.60000000000002</v>
      </c>
      <c r="O5216" s="7">
        <v>171.3</v>
      </c>
      <c r="Q5216" s="7">
        <v>344.3</v>
      </c>
      <c r="R5216" s="7">
        <v>271.3</v>
      </c>
    </row>
    <row r="5217" spans="1:19" x14ac:dyDescent="0.2">
      <c r="A5217">
        <v>5216</v>
      </c>
      <c r="B5217" s="1">
        <v>40876</v>
      </c>
      <c r="C5217" t="s">
        <v>28</v>
      </c>
      <c r="D5217" s="7">
        <v>137</v>
      </c>
      <c r="E5217" s="7">
        <v>21</v>
      </c>
      <c r="F5217" s="7">
        <f t="shared" si="81"/>
        <v>3</v>
      </c>
      <c r="G5217" s="7" t="str">
        <f>LOOKUP(H5217,[1]startdates!$A$2:$A$10,[1]startdates!$B$2:$B$10)</f>
        <v>C</v>
      </c>
      <c r="H5217">
        <v>5</v>
      </c>
      <c r="I5217" s="7">
        <v>592</v>
      </c>
      <c r="K5217" s="7">
        <v>537.70000000000005</v>
      </c>
      <c r="L5217" s="7">
        <v>397.8</v>
      </c>
      <c r="M5217" s="7">
        <v>340.7</v>
      </c>
      <c r="N5217" s="7">
        <v>220.2</v>
      </c>
      <c r="O5217" s="7">
        <v>173.5</v>
      </c>
      <c r="Q5217" s="7">
        <v>323.89999999999998</v>
      </c>
    </row>
    <row r="5218" spans="1:19" x14ac:dyDescent="0.2">
      <c r="A5218">
        <v>5217</v>
      </c>
      <c r="B5218" s="1">
        <v>40876</v>
      </c>
      <c r="C5218" t="s">
        <v>28</v>
      </c>
      <c r="D5218" s="7">
        <v>137</v>
      </c>
      <c r="E5218" s="7">
        <v>21</v>
      </c>
      <c r="F5218" s="7">
        <f t="shared" si="81"/>
        <v>3</v>
      </c>
      <c r="G5218" s="7" t="str">
        <f>LOOKUP(H5218,[1]startdates!$A$2:$A$10,[1]startdates!$B$2:$B$10)</f>
        <v>C</v>
      </c>
      <c r="H5218">
        <v>5</v>
      </c>
      <c r="I5218" s="7">
        <v>623.9</v>
      </c>
      <c r="L5218" s="7">
        <v>461.2</v>
      </c>
      <c r="M5218" s="7">
        <v>297.89999999999998</v>
      </c>
      <c r="N5218" s="7">
        <v>279.7</v>
      </c>
      <c r="O5218" s="7">
        <v>188.7</v>
      </c>
    </row>
    <row r="5219" spans="1:19" x14ac:dyDescent="0.2">
      <c r="A5219">
        <v>5218</v>
      </c>
      <c r="B5219" s="1">
        <v>40876</v>
      </c>
      <c r="C5219" t="s">
        <v>28</v>
      </c>
      <c r="D5219" s="7">
        <v>137</v>
      </c>
      <c r="E5219" s="7">
        <v>21</v>
      </c>
      <c r="F5219" s="7">
        <f t="shared" si="81"/>
        <v>3</v>
      </c>
      <c r="G5219" s="7" t="str">
        <f>LOOKUP(H5219,[1]startdates!$A$2:$A$10,[1]startdates!$B$2:$B$10)</f>
        <v>C</v>
      </c>
      <c r="H5219">
        <v>5</v>
      </c>
      <c r="I5219" s="7">
        <v>580.79999999999995</v>
      </c>
      <c r="L5219" s="7">
        <v>434.9</v>
      </c>
      <c r="M5219" s="7">
        <v>364.6</v>
      </c>
      <c r="N5219" s="7">
        <v>190.1</v>
      </c>
      <c r="O5219" s="7">
        <v>159</v>
      </c>
    </row>
    <row r="5220" spans="1:19" x14ac:dyDescent="0.2">
      <c r="A5220">
        <v>5219</v>
      </c>
      <c r="B5220" s="1">
        <v>40876</v>
      </c>
      <c r="C5220" t="s">
        <v>28</v>
      </c>
      <c r="D5220" s="7">
        <v>137</v>
      </c>
      <c r="E5220" s="7">
        <v>21</v>
      </c>
      <c r="F5220" s="7">
        <f t="shared" si="81"/>
        <v>3</v>
      </c>
      <c r="G5220" s="7" t="str">
        <f>LOOKUP(H5220,[1]startdates!$A$2:$A$10,[1]startdates!$B$2:$B$10)</f>
        <v>C</v>
      </c>
      <c r="H5220">
        <v>5</v>
      </c>
      <c r="I5220" s="7">
        <v>719.2</v>
      </c>
      <c r="L5220" s="7">
        <v>410.3</v>
      </c>
      <c r="M5220" s="7">
        <v>300.5</v>
      </c>
      <c r="N5220" s="7">
        <v>202.5</v>
      </c>
      <c r="O5220" s="7">
        <v>192.9</v>
      </c>
    </row>
    <row r="5221" spans="1:19" x14ac:dyDescent="0.2">
      <c r="A5221">
        <v>5220</v>
      </c>
      <c r="B5221" s="1">
        <v>40876</v>
      </c>
      <c r="C5221" t="s">
        <v>28</v>
      </c>
      <c r="D5221" s="7">
        <v>137</v>
      </c>
      <c r="E5221" s="7">
        <v>21</v>
      </c>
      <c r="F5221" s="7">
        <f t="shared" si="81"/>
        <v>3</v>
      </c>
      <c r="G5221" s="7" t="str">
        <f>LOOKUP(H5221,[1]startdates!$A$2:$A$10,[1]startdates!$B$2:$B$10)</f>
        <v>C</v>
      </c>
      <c r="H5221">
        <v>5</v>
      </c>
      <c r="I5221" s="7">
        <v>573.6</v>
      </c>
      <c r="M5221" s="7">
        <v>322.7</v>
      </c>
      <c r="N5221" s="7">
        <v>211</v>
      </c>
      <c r="O5221" s="7">
        <v>154.1</v>
      </c>
    </row>
    <row r="5222" spans="1:19" x14ac:dyDescent="0.2">
      <c r="A5222">
        <v>5221</v>
      </c>
      <c r="B5222" s="1">
        <v>40876</v>
      </c>
      <c r="C5222" t="s">
        <v>28</v>
      </c>
      <c r="D5222" s="7">
        <v>137</v>
      </c>
      <c r="E5222" s="7">
        <v>21</v>
      </c>
      <c r="F5222" s="7">
        <f t="shared" si="81"/>
        <v>3</v>
      </c>
      <c r="G5222" s="7" t="str">
        <f>LOOKUP(H5222,[1]startdates!$A$2:$A$10,[1]startdates!$B$2:$B$10)</f>
        <v>C</v>
      </c>
      <c r="H5222">
        <v>5</v>
      </c>
      <c r="I5222" s="7">
        <v>637.1</v>
      </c>
      <c r="M5222" s="7">
        <v>348.9</v>
      </c>
      <c r="N5222" s="7">
        <v>231.8</v>
      </c>
      <c r="O5222" s="7">
        <v>173.5</v>
      </c>
    </row>
    <row r="5223" spans="1:19" x14ac:dyDescent="0.2">
      <c r="A5223">
        <v>5222</v>
      </c>
      <c r="B5223" s="1">
        <v>40876</v>
      </c>
      <c r="C5223" t="s">
        <v>28</v>
      </c>
      <c r="D5223" s="7">
        <v>137</v>
      </c>
      <c r="E5223" s="7">
        <v>21</v>
      </c>
      <c r="F5223" s="7">
        <f t="shared" si="81"/>
        <v>3</v>
      </c>
      <c r="G5223" s="7" t="str">
        <f>LOOKUP(H5223,[1]startdates!$A$2:$A$10,[1]startdates!$B$2:$B$10)</f>
        <v>C</v>
      </c>
      <c r="H5223">
        <v>5</v>
      </c>
      <c r="I5223" s="7">
        <v>650.79999999999995</v>
      </c>
      <c r="N5223" s="7">
        <v>254.5</v>
      </c>
      <c r="O5223" s="7">
        <v>181.2</v>
      </c>
    </row>
    <row r="5224" spans="1:19" x14ac:dyDescent="0.2">
      <c r="A5224">
        <v>5223</v>
      </c>
      <c r="B5224" s="1">
        <v>40876</v>
      </c>
      <c r="C5224" t="s">
        <v>28</v>
      </c>
      <c r="D5224" s="7">
        <v>137</v>
      </c>
      <c r="E5224" s="7">
        <v>21</v>
      </c>
      <c r="F5224" s="7">
        <f t="shared" si="81"/>
        <v>3</v>
      </c>
      <c r="G5224" s="7" t="str">
        <f>LOOKUP(H5224,[1]startdates!$A$2:$A$10,[1]startdates!$B$2:$B$10)</f>
        <v>C</v>
      </c>
      <c r="H5224">
        <v>5</v>
      </c>
      <c r="I5224" s="7">
        <v>593.29999999999995</v>
      </c>
    </row>
    <row r="5225" spans="1:19" x14ac:dyDescent="0.2">
      <c r="A5225">
        <v>5224</v>
      </c>
      <c r="B5225" s="1">
        <v>40876</v>
      </c>
      <c r="C5225" t="s">
        <v>28</v>
      </c>
      <c r="D5225" s="7">
        <v>137</v>
      </c>
      <c r="E5225" s="7">
        <v>21</v>
      </c>
      <c r="F5225" s="7">
        <f t="shared" ref="F5225:F5288" si="82">WEEKDAY(B5225)</f>
        <v>3</v>
      </c>
      <c r="G5225" s="7" t="str">
        <f>LOOKUP(H5225,[1]startdates!$A$2:$A$10,[1]startdates!$B$2:$B$10)</f>
        <v>C</v>
      </c>
      <c r="H5225">
        <v>5</v>
      </c>
      <c r="I5225" s="7">
        <v>619.20000000000005</v>
      </c>
    </row>
    <row r="5226" spans="1:19" x14ac:dyDescent="0.2">
      <c r="A5226">
        <v>5225</v>
      </c>
      <c r="B5226" s="1">
        <v>40876</v>
      </c>
      <c r="C5226" t="s">
        <v>24</v>
      </c>
      <c r="D5226" s="7">
        <v>137</v>
      </c>
      <c r="E5226" s="7">
        <v>21</v>
      </c>
      <c r="F5226" s="7">
        <f t="shared" si="82"/>
        <v>3</v>
      </c>
      <c r="G5226" s="7" t="str">
        <f>LOOKUP(H5226,[1]startdates!$A$2:$A$10,[1]startdates!$B$2:$B$10)</f>
        <v>FMr</v>
      </c>
      <c r="H5226">
        <v>6</v>
      </c>
      <c r="I5226" s="7">
        <v>528.70000000000005</v>
      </c>
      <c r="J5226" s="7">
        <v>444.1</v>
      </c>
      <c r="K5226" s="7">
        <v>537.6</v>
      </c>
      <c r="L5226" s="7">
        <v>453.1</v>
      </c>
      <c r="M5226" s="7">
        <v>312.7</v>
      </c>
      <c r="N5226" s="7">
        <v>224.3</v>
      </c>
      <c r="O5226" s="7">
        <v>170.5</v>
      </c>
      <c r="P5226" s="7">
        <v>416.1</v>
      </c>
      <c r="Q5226" s="7">
        <v>404.3</v>
      </c>
      <c r="R5226" s="7">
        <v>265.10000000000002</v>
      </c>
      <c r="S5226" s="7">
        <v>280.60000000000002</v>
      </c>
    </row>
    <row r="5227" spans="1:19" x14ac:dyDescent="0.2">
      <c r="A5227">
        <v>5226</v>
      </c>
      <c r="B5227" s="1">
        <v>40876</v>
      </c>
      <c r="C5227" t="s">
        <v>24</v>
      </c>
      <c r="D5227" s="7">
        <v>137</v>
      </c>
      <c r="E5227" s="7">
        <v>21</v>
      </c>
      <c r="F5227" s="7">
        <f t="shared" si="82"/>
        <v>3</v>
      </c>
      <c r="G5227" s="7" t="str">
        <f>LOOKUP(H5227,[1]startdates!$A$2:$A$10,[1]startdates!$B$2:$B$10)</f>
        <v>FMr</v>
      </c>
      <c r="H5227">
        <v>6</v>
      </c>
      <c r="I5227" s="7">
        <v>522.79999999999995</v>
      </c>
      <c r="K5227" s="7">
        <v>449.9</v>
      </c>
      <c r="L5227" s="7">
        <v>410.7</v>
      </c>
      <c r="M5227" s="7">
        <v>386.9</v>
      </c>
      <c r="N5227" s="7">
        <v>216.6</v>
      </c>
      <c r="O5227" s="7">
        <v>162</v>
      </c>
      <c r="Q5227" s="7">
        <v>404.7</v>
      </c>
      <c r="S5227" s="7">
        <v>270</v>
      </c>
    </row>
    <row r="5228" spans="1:19" x14ac:dyDescent="0.2">
      <c r="A5228">
        <v>5227</v>
      </c>
      <c r="B5228" s="1">
        <v>40876</v>
      </c>
      <c r="C5228" t="s">
        <v>24</v>
      </c>
      <c r="D5228" s="7">
        <v>137</v>
      </c>
      <c r="E5228" s="7">
        <v>21</v>
      </c>
      <c r="F5228" s="7">
        <f t="shared" si="82"/>
        <v>3</v>
      </c>
      <c r="G5228" s="7" t="str">
        <f>LOOKUP(H5228,[1]startdates!$A$2:$A$10,[1]startdates!$B$2:$B$10)</f>
        <v>FMr</v>
      </c>
      <c r="H5228">
        <v>6</v>
      </c>
      <c r="I5228" s="7">
        <v>502</v>
      </c>
      <c r="K5228" s="7">
        <v>310.8</v>
      </c>
      <c r="L5228" s="7">
        <v>423.4</v>
      </c>
      <c r="M5228" s="7">
        <v>314.60000000000002</v>
      </c>
      <c r="N5228" s="7">
        <v>225.4</v>
      </c>
      <c r="O5228" s="7">
        <v>154.5</v>
      </c>
      <c r="Q5228" s="7">
        <v>385.9</v>
      </c>
    </row>
    <row r="5229" spans="1:19" x14ac:dyDescent="0.2">
      <c r="A5229">
        <v>5228</v>
      </c>
      <c r="B5229" s="1">
        <v>40876</v>
      </c>
      <c r="C5229" t="s">
        <v>24</v>
      </c>
      <c r="D5229" s="7">
        <v>137</v>
      </c>
      <c r="E5229" s="7">
        <v>21</v>
      </c>
      <c r="F5229" s="7">
        <f t="shared" si="82"/>
        <v>3</v>
      </c>
      <c r="G5229" s="7" t="str">
        <f>LOOKUP(H5229,[1]startdates!$A$2:$A$10,[1]startdates!$B$2:$B$10)</f>
        <v>FMr</v>
      </c>
      <c r="H5229">
        <v>6</v>
      </c>
      <c r="I5229" s="7">
        <v>493.2</v>
      </c>
      <c r="K5229" s="7">
        <v>466.1</v>
      </c>
      <c r="L5229" s="7">
        <v>411.5</v>
      </c>
      <c r="M5229" s="7">
        <v>299.2</v>
      </c>
      <c r="N5229" s="7">
        <v>233.9</v>
      </c>
      <c r="O5229" s="7">
        <v>178.9</v>
      </c>
      <c r="Q5229" s="7">
        <v>370.3</v>
      </c>
    </row>
    <row r="5230" spans="1:19" x14ac:dyDescent="0.2">
      <c r="A5230">
        <v>5229</v>
      </c>
      <c r="B5230" s="1">
        <v>40876</v>
      </c>
      <c r="C5230" t="s">
        <v>24</v>
      </c>
      <c r="D5230" s="7">
        <v>137</v>
      </c>
      <c r="E5230" s="7">
        <v>21</v>
      </c>
      <c r="F5230" s="7">
        <f t="shared" si="82"/>
        <v>3</v>
      </c>
      <c r="G5230" s="7" t="str">
        <f>LOOKUP(H5230,[1]startdates!$A$2:$A$10,[1]startdates!$B$2:$B$10)</f>
        <v>FMr</v>
      </c>
      <c r="H5230">
        <v>6</v>
      </c>
      <c r="I5230" s="7">
        <v>505.3</v>
      </c>
      <c r="K5230" s="7">
        <v>385.3</v>
      </c>
      <c r="L5230" s="7">
        <v>415</v>
      </c>
      <c r="M5230" s="7">
        <v>357.7</v>
      </c>
      <c r="N5230" s="7">
        <v>227.4</v>
      </c>
      <c r="O5230" s="7">
        <v>140</v>
      </c>
    </row>
    <row r="5231" spans="1:19" x14ac:dyDescent="0.2">
      <c r="A5231">
        <v>5230</v>
      </c>
      <c r="B5231" s="1">
        <v>40876</v>
      </c>
      <c r="C5231" t="s">
        <v>24</v>
      </c>
      <c r="D5231" s="7">
        <v>137</v>
      </c>
      <c r="E5231" s="7">
        <v>21</v>
      </c>
      <c r="F5231" s="7">
        <f t="shared" si="82"/>
        <v>3</v>
      </c>
      <c r="G5231" s="7" t="str">
        <f>LOOKUP(H5231,[1]startdates!$A$2:$A$10,[1]startdates!$B$2:$B$10)</f>
        <v>FMr</v>
      </c>
      <c r="H5231">
        <v>6</v>
      </c>
      <c r="I5231" s="7">
        <v>563.9</v>
      </c>
      <c r="K5231" s="7">
        <v>457.5</v>
      </c>
      <c r="L5231" s="7">
        <v>476.1</v>
      </c>
      <c r="M5231" s="7">
        <v>365.7</v>
      </c>
      <c r="N5231" s="7">
        <v>219.5</v>
      </c>
      <c r="O5231" s="7">
        <v>143</v>
      </c>
    </row>
    <row r="5232" spans="1:19" x14ac:dyDescent="0.2">
      <c r="A5232">
        <v>5231</v>
      </c>
      <c r="B5232" s="1">
        <v>40876</v>
      </c>
      <c r="C5232" t="s">
        <v>24</v>
      </c>
      <c r="D5232" s="7">
        <v>137</v>
      </c>
      <c r="E5232" s="7">
        <v>21</v>
      </c>
      <c r="F5232" s="7">
        <f t="shared" si="82"/>
        <v>3</v>
      </c>
      <c r="G5232" s="7" t="str">
        <f>LOOKUP(H5232,[1]startdates!$A$2:$A$10,[1]startdates!$B$2:$B$10)</f>
        <v>FMr</v>
      </c>
      <c r="H5232">
        <v>6</v>
      </c>
      <c r="I5232" s="7">
        <v>599.79999999999995</v>
      </c>
      <c r="K5232" s="7">
        <v>503.3</v>
      </c>
      <c r="M5232" s="7">
        <v>360.3</v>
      </c>
      <c r="N5232" s="7">
        <v>207.5</v>
      </c>
      <c r="O5232" s="7">
        <v>174.6</v>
      </c>
    </row>
    <row r="5233" spans="1:19" x14ac:dyDescent="0.2">
      <c r="A5233">
        <v>5232</v>
      </c>
      <c r="B5233" s="1">
        <v>40876</v>
      </c>
      <c r="C5233" t="s">
        <v>24</v>
      </c>
      <c r="D5233" s="7">
        <v>137</v>
      </c>
      <c r="E5233" s="7">
        <v>21</v>
      </c>
      <c r="F5233" s="7">
        <f t="shared" si="82"/>
        <v>3</v>
      </c>
      <c r="G5233" s="7" t="str">
        <f>LOOKUP(H5233,[1]startdates!$A$2:$A$10,[1]startdates!$B$2:$B$10)</f>
        <v>FMr</v>
      </c>
      <c r="H5233">
        <v>6</v>
      </c>
      <c r="I5233" s="7">
        <v>505.1</v>
      </c>
      <c r="K5233" s="7">
        <v>372.9</v>
      </c>
      <c r="N5233" s="7">
        <v>200.6</v>
      </c>
      <c r="O5233" s="7">
        <v>158.1</v>
      </c>
    </row>
    <row r="5234" spans="1:19" x14ac:dyDescent="0.2">
      <c r="A5234">
        <v>5233</v>
      </c>
      <c r="B5234" s="1">
        <v>40876</v>
      </c>
      <c r="C5234" t="s">
        <v>24</v>
      </c>
      <c r="D5234" s="7">
        <v>137</v>
      </c>
      <c r="E5234" s="7">
        <v>21</v>
      </c>
      <c r="F5234" s="7">
        <f t="shared" si="82"/>
        <v>3</v>
      </c>
      <c r="G5234" s="7" t="str">
        <f>LOOKUP(H5234,[1]startdates!$A$2:$A$10,[1]startdates!$B$2:$B$10)</f>
        <v>FMr</v>
      </c>
      <c r="H5234">
        <v>6</v>
      </c>
      <c r="I5234" s="7">
        <v>552.6</v>
      </c>
      <c r="K5234" s="7">
        <v>418.7</v>
      </c>
      <c r="N5234" s="7">
        <v>211.4</v>
      </c>
      <c r="O5234" s="7">
        <v>167.3</v>
      </c>
    </row>
    <row r="5235" spans="1:19" x14ac:dyDescent="0.2">
      <c r="A5235">
        <v>5234</v>
      </c>
      <c r="B5235" s="1">
        <v>40876</v>
      </c>
      <c r="C5235" t="s">
        <v>24</v>
      </c>
      <c r="D5235" s="7">
        <v>137</v>
      </c>
      <c r="E5235" s="7">
        <v>21</v>
      </c>
      <c r="F5235" s="7">
        <f t="shared" si="82"/>
        <v>3</v>
      </c>
      <c r="G5235" s="7" t="str">
        <f>LOOKUP(H5235,[1]startdates!$A$2:$A$10,[1]startdates!$B$2:$B$10)</f>
        <v>FMr</v>
      </c>
      <c r="H5235">
        <v>6</v>
      </c>
      <c r="I5235" s="7">
        <v>619.70000000000005</v>
      </c>
      <c r="N5235" s="7">
        <v>203</v>
      </c>
      <c r="O5235" s="7">
        <v>173.4</v>
      </c>
    </row>
    <row r="5236" spans="1:19" x14ac:dyDescent="0.2">
      <c r="A5236">
        <v>5235</v>
      </c>
      <c r="B5236" s="1">
        <v>40876</v>
      </c>
      <c r="C5236" t="s">
        <v>24</v>
      </c>
      <c r="D5236" s="7">
        <v>137</v>
      </c>
      <c r="E5236" s="7">
        <v>21</v>
      </c>
      <c r="F5236" s="7">
        <f t="shared" si="82"/>
        <v>3</v>
      </c>
      <c r="G5236" s="7" t="str">
        <f>LOOKUP(H5236,[1]startdates!$A$2:$A$10,[1]startdates!$B$2:$B$10)</f>
        <v>FMr</v>
      </c>
      <c r="H5236">
        <v>6</v>
      </c>
      <c r="I5236" s="7">
        <v>572.79999999999995</v>
      </c>
      <c r="N5236" s="7">
        <v>193.2</v>
      </c>
    </row>
    <row r="5237" spans="1:19" x14ac:dyDescent="0.2">
      <c r="A5237">
        <v>5236</v>
      </c>
      <c r="B5237" s="1">
        <v>40876</v>
      </c>
      <c r="C5237" t="s">
        <v>24</v>
      </c>
      <c r="D5237" s="7">
        <v>137</v>
      </c>
      <c r="E5237" s="7">
        <v>21</v>
      </c>
      <c r="F5237" s="7">
        <f t="shared" si="82"/>
        <v>3</v>
      </c>
      <c r="G5237" s="7" t="str">
        <f>LOOKUP(H5237,[1]startdates!$A$2:$A$10,[1]startdates!$B$2:$B$10)</f>
        <v>FMr</v>
      </c>
      <c r="H5237">
        <v>6</v>
      </c>
      <c r="I5237" s="7">
        <v>565.20000000000005</v>
      </c>
    </row>
    <row r="5238" spans="1:19" x14ac:dyDescent="0.2">
      <c r="A5238">
        <v>5237</v>
      </c>
      <c r="B5238" s="1">
        <v>40876</v>
      </c>
      <c r="C5238" t="s">
        <v>28</v>
      </c>
      <c r="D5238" s="7">
        <v>137</v>
      </c>
      <c r="E5238" s="7">
        <v>21</v>
      </c>
      <c r="F5238" s="7">
        <f t="shared" si="82"/>
        <v>3</v>
      </c>
      <c r="G5238" s="7" t="str">
        <f>LOOKUP(H5238,[1]startdates!$A$2:$A$10,[1]startdates!$B$2:$B$10)</f>
        <v>FMr</v>
      </c>
      <c r="H5238">
        <v>7</v>
      </c>
      <c r="I5238" s="7">
        <v>644.70000000000005</v>
      </c>
      <c r="J5238" s="7">
        <v>445</v>
      </c>
      <c r="K5238" s="7">
        <v>546.5</v>
      </c>
      <c r="L5238" s="7">
        <v>438.1</v>
      </c>
      <c r="M5238" s="7">
        <v>394.5</v>
      </c>
      <c r="N5238" s="7">
        <v>208.9</v>
      </c>
      <c r="O5238" s="7">
        <v>147</v>
      </c>
      <c r="P5238" s="7">
        <v>476.5</v>
      </c>
      <c r="Q5238" s="7">
        <v>380.4</v>
      </c>
      <c r="R5238" s="7">
        <v>309</v>
      </c>
      <c r="S5238" s="7">
        <v>268</v>
      </c>
    </row>
    <row r="5239" spans="1:19" x14ac:dyDescent="0.2">
      <c r="A5239">
        <v>5238</v>
      </c>
      <c r="B5239" s="1">
        <v>40876</v>
      </c>
      <c r="C5239" t="s">
        <v>28</v>
      </c>
      <c r="D5239" s="7">
        <v>137</v>
      </c>
      <c r="E5239" s="7">
        <v>21</v>
      </c>
      <c r="F5239" s="7">
        <f t="shared" si="82"/>
        <v>3</v>
      </c>
      <c r="G5239" s="7" t="str">
        <f>LOOKUP(H5239,[1]startdates!$A$2:$A$10,[1]startdates!$B$2:$B$10)</f>
        <v>FMr</v>
      </c>
      <c r="H5239">
        <v>7</v>
      </c>
      <c r="I5239" s="7">
        <v>486</v>
      </c>
      <c r="K5239" s="7">
        <v>590.70000000000005</v>
      </c>
      <c r="L5239" s="7">
        <v>411.5</v>
      </c>
      <c r="M5239" s="7">
        <v>296.10000000000002</v>
      </c>
      <c r="N5239" s="7">
        <v>240.1</v>
      </c>
      <c r="O5239" s="7">
        <v>187.7</v>
      </c>
      <c r="Q5239" s="7">
        <v>393.5</v>
      </c>
      <c r="R5239" s="7">
        <v>300.5</v>
      </c>
    </row>
    <row r="5240" spans="1:19" x14ac:dyDescent="0.2">
      <c r="A5240">
        <v>5239</v>
      </c>
      <c r="B5240" s="1">
        <v>40876</v>
      </c>
      <c r="C5240" t="s">
        <v>28</v>
      </c>
      <c r="D5240" s="7">
        <v>137</v>
      </c>
      <c r="E5240" s="7">
        <v>21</v>
      </c>
      <c r="F5240" s="7">
        <f t="shared" si="82"/>
        <v>3</v>
      </c>
      <c r="G5240" s="7" t="str">
        <f>LOOKUP(H5240,[1]startdates!$A$2:$A$10,[1]startdates!$B$2:$B$10)</f>
        <v>FMr</v>
      </c>
      <c r="H5240">
        <v>7</v>
      </c>
      <c r="I5240" s="7">
        <v>659.1</v>
      </c>
      <c r="K5240" s="7">
        <v>476</v>
      </c>
      <c r="L5240" s="7">
        <v>415.6</v>
      </c>
      <c r="M5240" s="7">
        <v>338.4</v>
      </c>
      <c r="N5240" s="7">
        <v>204.2</v>
      </c>
      <c r="O5240" s="7">
        <v>164.4</v>
      </c>
      <c r="Q5240" s="7">
        <v>369.1</v>
      </c>
      <c r="R5240" s="7">
        <v>242.1</v>
      </c>
    </row>
    <row r="5241" spans="1:19" x14ac:dyDescent="0.2">
      <c r="A5241">
        <v>5240</v>
      </c>
      <c r="B5241" s="1">
        <v>40876</v>
      </c>
      <c r="C5241" t="s">
        <v>28</v>
      </c>
      <c r="D5241" s="7">
        <v>137</v>
      </c>
      <c r="E5241" s="7">
        <v>21</v>
      </c>
      <c r="F5241" s="7">
        <f t="shared" si="82"/>
        <v>3</v>
      </c>
      <c r="G5241" s="7" t="str">
        <f>LOOKUP(H5241,[1]startdates!$A$2:$A$10,[1]startdates!$B$2:$B$10)</f>
        <v>FMr</v>
      </c>
      <c r="H5241">
        <v>7</v>
      </c>
      <c r="I5241" s="7">
        <v>547.29999999999995</v>
      </c>
      <c r="K5241" s="7">
        <v>517.6</v>
      </c>
      <c r="L5241" s="7">
        <v>395.2</v>
      </c>
      <c r="M5241" s="7">
        <v>294.5</v>
      </c>
      <c r="N5241" s="7">
        <v>273</v>
      </c>
      <c r="O5241" s="7">
        <v>165</v>
      </c>
      <c r="Q5241" s="7">
        <v>311.5</v>
      </c>
      <c r="R5241" s="7">
        <v>262.39999999999998</v>
      </c>
    </row>
    <row r="5242" spans="1:19" x14ac:dyDescent="0.2">
      <c r="A5242">
        <v>5241</v>
      </c>
      <c r="B5242" s="1">
        <v>40876</v>
      </c>
      <c r="C5242" t="s">
        <v>28</v>
      </c>
      <c r="D5242" s="7">
        <v>137</v>
      </c>
      <c r="E5242" s="7">
        <v>21</v>
      </c>
      <c r="F5242" s="7">
        <f t="shared" si="82"/>
        <v>3</v>
      </c>
      <c r="G5242" s="7" t="str">
        <f>LOOKUP(H5242,[1]startdates!$A$2:$A$10,[1]startdates!$B$2:$B$10)</f>
        <v>FMr</v>
      </c>
      <c r="H5242">
        <v>7</v>
      </c>
      <c r="I5242" s="7">
        <v>603.1</v>
      </c>
      <c r="K5242" s="7">
        <v>497.2</v>
      </c>
      <c r="L5242" s="7">
        <v>437.1</v>
      </c>
      <c r="M5242" s="7">
        <v>380.4</v>
      </c>
      <c r="N5242" s="7">
        <v>242.1</v>
      </c>
      <c r="O5242" s="7">
        <v>173.7</v>
      </c>
    </row>
    <row r="5243" spans="1:19" x14ac:dyDescent="0.2">
      <c r="A5243">
        <v>5242</v>
      </c>
      <c r="B5243" s="1">
        <v>40876</v>
      </c>
      <c r="C5243" t="s">
        <v>28</v>
      </c>
      <c r="D5243" s="7">
        <v>137</v>
      </c>
      <c r="E5243" s="7">
        <v>21</v>
      </c>
      <c r="F5243" s="7">
        <f t="shared" si="82"/>
        <v>3</v>
      </c>
      <c r="G5243" s="7" t="str">
        <f>LOOKUP(H5243,[1]startdates!$A$2:$A$10,[1]startdates!$B$2:$B$10)</f>
        <v>FMr</v>
      </c>
      <c r="H5243">
        <v>7</v>
      </c>
      <c r="I5243" s="7">
        <v>567.1</v>
      </c>
      <c r="K5243" s="7">
        <v>508.3</v>
      </c>
      <c r="L5243" s="7">
        <v>391.1</v>
      </c>
      <c r="M5243" s="7">
        <v>388.1</v>
      </c>
      <c r="N5243" s="7">
        <v>250.6</v>
      </c>
      <c r="O5243" s="7">
        <v>171.9</v>
      </c>
    </row>
    <row r="5244" spans="1:19" x14ac:dyDescent="0.2">
      <c r="A5244">
        <v>5243</v>
      </c>
      <c r="B5244" s="1">
        <v>40876</v>
      </c>
      <c r="C5244" t="s">
        <v>28</v>
      </c>
      <c r="D5244" s="7">
        <v>137</v>
      </c>
      <c r="E5244" s="7">
        <v>21</v>
      </c>
      <c r="F5244" s="7">
        <f t="shared" si="82"/>
        <v>3</v>
      </c>
      <c r="G5244" s="7" t="str">
        <f>LOOKUP(H5244,[1]startdates!$A$2:$A$10,[1]startdates!$B$2:$B$10)</f>
        <v>FMr</v>
      </c>
      <c r="H5244">
        <v>7</v>
      </c>
      <c r="I5244" s="7">
        <v>543.70000000000005</v>
      </c>
      <c r="K5244" s="7">
        <v>506.6</v>
      </c>
      <c r="L5244" s="7">
        <v>457.7</v>
      </c>
      <c r="M5244" s="7">
        <v>346.2</v>
      </c>
      <c r="N5244" s="7">
        <v>192.2</v>
      </c>
      <c r="O5244" s="7">
        <v>173.3</v>
      </c>
    </row>
    <row r="5245" spans="1:19" x14ac:dyDescent="0.2">
      <c r="A5245">
        <v>5244</v>
      </c>
      <c r="B5245" s="1">
        <v>40876</v>
      </c>
      <c r="C5245" t="s">
        <v>28</v>
      </c>
      <c r="D5245" s="7">
        <v>137</v>
      </c>
      <c r="E5245" s="7">
        <v>21</v>
      </c>
      <c r="F5245" s="7">
        <f t="shared" si="82"/>
        <v>3</v>
      </c>
      <c r="G5245" s="7" t="str">
        <f>LOOKUP(H5245,[1]startdates!$A$2:$A$10,[1]startdates!$B$2:$B$10)</f>
        <v>FMr</v>
      </c>
      <c r="H5245">
        <v>7</v>
      </c>
      <c r="I5245" s="7">
        <v>581.20000000000005</v>
      </c>
      <c r="K5245" s="7">
        <v>517.1</v>
      </c>
      <c r="M5245" s="7">
        <v>426.9</v>
      </c>
      <c r="N5245" s="7">
        <v>188.1</v>
      </c>
      <c r="O5245" s="7">
        <v>150.30000000000001</v>
      </c>
    </row>
    <row r="5246" spans="1:19" x14ac:dyDescent="0.2">
      <c r="A5246">
        <v>5245</v>
      </c>
      <c r="B5246" s="1">
        <v>40876</v>
      </c>
      <c r="C5246" t="s">
        <v>28</v>
      </c>
      <c r="D5246" s="7">
        <v>137</v>
      </c>
      <c r="E5246" s="7">
        <v>21</v>
      </c>
      <c r="F5246" s="7">
        <f t="shared" si="82"/>
        <v>3</v>
      </c>
      <c r="G5246" s="7" t="str">
        <f>LOOKUP(H5246,[1]startdates!$A$2:$A$10,[1]startdates!$B$2:$B$10)</f>
        <v>FMr</v>
      </c>
      <c r="H5246">
        <v>7</v>
      </c>
      <c r="I5246" s="7">
        <v>584.1</v>
      </c>
      <c r="K5246" s="7">
        <v>495.7</v>
      </c>
      <c r="M5246" s="7">
        <v>352.7</v>
      </c>
      <c r="N5246" s="7">
        <v>222.4</v>
      </c>
      <c r="O5246" s="7">
        <v>171.6</v>
      </c>
    </row>
    <row r="5247" spans="1:19" x14ac:dyDescent="0.2">
      <c r="A5247">
        <v>5246</v>
      </c>
      <c r="B5247" s="1">
        <v>40876</v>
      </c>
      <c r="C5247" t="s">
        <v>28</v>
      </c>
      <c r="D5247" s="7">
        <v>137</v>
      </c>
      <c r="E5247" s="7">
        <v>21</v>
      </c>
      <c r="F5247" s="7">
        <f t="shared" si="82"/>
        <v>3</v>
      </c>
      <c r="G5247" s="7" t="str">
        <f>LOOKUP(H5247,[1]startdates!$A$2:$A$10,[1]startdates!$B$2:$B$10)</f>
        <v>FMr</v>
      </c>
      <c r="H5247">
        <v>7</v>
      </c>
      <c r="I5247" s="7">
        <v>639</v>
      </c>
      <c r="K5247" s="7">
        <v>578.29999999999995</v>
      </c>
      <c r="M5247" s="7">
        <v>314.3</v>
      </c>
      <c r="N5247" s="7">
        <v>230.6</v>
      </c>
      <c r="O5247" s="7">
        <v>164</v>
      </c>
    </row>
    <row r="5248" spans="1:19" x14ac:dyDescent="0.2">
      <c r="A5248">
        <v>5247</v>
      </c>
      <c r="B5248" s="1">
        <v>40876</v>
      </c>
      <c r="C5248" t="s">
        <v>28</v>
      </c>
      <c r="D5248" s="7">
        <v>137</v>
      </c>
      <c r="E5248" s="7">
        <v>21</v>
      </c>
      <c r="F5248" s="7">
        <f t="shared" si="82"/>
        <v>3</v>
      </c>
      <c r="G5248" s="7" t="str">
        <f>LOOKUP(H5248,[1]startdates!$A$2:$A$10,[1]startdates!$B$2:$B$10)</f>
        <v>FMr</v>
      </c>
      <c r="H5248">
        <v>7</v>
      </c>
      <c r="I5248" s="7">
        <v>471.6</v>
      </c>
      <c r="K5248" s="7">
        <v>481.4</v>
      </c>
      <c r="M5248" s="7">
        <v>320.60000000000002</v>
      </c>
    </row>
    <row r="5249" spans="1:19" x14ac:dyDescent="0.2">
      <c r="A5249">
        <v>5248</v>
      </c>
      <c r="B5249" s="1">
        <v>40876</v>
      </c>
      <c r="C5249" t="s">
        <v>28</v>
      </c>
      <c r="D5249" s="7">
        <v>137</v>
      </c>
      <c r="E5249" s="7">
        <v>21</v>
      </c>
      <c r="F5249" s="7">
        <f t="shared" si="82"/>
        <v>3</v>
      </c>
      <c r="G5249" s="7" t="str">
        <f>LOOKUP(H5249,[1]startdates!$A$2:$A$10,[1]startdates!$B$2:$B$10)</f>
        <v>FMr</v>
      </c>
      <c r="H5249">
        <v>7</v>
      </c>
      <c r="I5249" s="7">
        <v>608.79999999999995</v>
      </c>
      <c r="K5249" s="7">
        <v>587.70000000000005</v>
      </c>
      <c r="M5249" s="7">
        <v>331.9</v>
      </c>
    </row>
    <row r="5250" spans="1:19" x14ac:dyDescent="0.2">
      <c r="A5250">
        <v>5249</v>
      </c>
      <c r="B5250" s="1">
        <v>40876</v>
      </c>
      <c r="C5250" t="s">
        <v>28</v>
      </c>
      <c r="D5250" s="7">
        <v>137</v>
      </c>
      <c r="E5250" s="7">
        <v>21</v>
      </c>
      <c r="F5250" s="7">
        <f t="shared" si="82"/>
        <v>3</v>
      </c>
      <c r="G5250" s="7" t="str">
        <f>LOOKUP(H5250,[1]startdates!$A$2:$A$10,[1]startdates!$B$2:$B$10)</f>
        <v>FMr</v>
      </c>
      <c r="H5250">
        <v>7</v>
      </c>
      <c r="I5250" s="7">
        <v>596.1</v>
      </c>
    </row>
    <row r="5251" spans="1:19" x14ac:dyDescent="0.2">
      <c r="A5251">
        <v>5250</v>
      </c>
      <c r="B5251" s="1">
        <v>40876</v>
      </c>
      <c r="C5251" t="s">
        <v>28</v>
      </c>
      <c r="D5251" s="7">
        <v>137</v>
      </c>
      <c r="E5251" s="7">
        <v>21</v>
      </c>
      <c r="F5251" s="7">
        <f t="shared" si="82"/>
        <v>3</v>
      </c>
      <c r="G5251" s="7" t="str">
        <f>LOOKUP(H5251,[1]startdates!$A$2:$A$10,[1]startdates!$B$2:$B$10)</f>
        <v>FMr</v>
      </c>
      <c r="H5251">
        <v>7</v>
      </c>
      <c r="I5251" s="7">
        <v>475.9</v>
      </c>
    </row>
    <row r="5252" spans="1:19" x14ac:dyDescent="0.2">
      <c r="A5252">
        <v>5251</v>
      </c>
      <c r="B5252" s="1">
        <v>40876</v>
      </c>
      <c r="C5252" t="s">
        <v>28</v>
      </c>
      <c r="D5252" s="7">
        <v>137</v>
      </c>
      <c r="E5252" s="7">
        <v>21</v>
      </c>
      <c r="F5252" s="7">
        <f t="shared" si="82"/>
        <v>3</v>
      </c>
      <c r="G5252" s="7" t="str">
        <f>LOOKUP(H5252,[1]startdates!$A$2:$A$10,[1]startdates!$B$2:$B$10)</f>
        <v>FMr</v>
      </c>
      <c r="H5252">
        <v>7</v>
      </c>
      <c r="I5252" s="7">
        <v>605.70000000000005</v>
      </c>
    </row>
    <row r="5253" spans="1:19" x14ac:dyDescent="0.2">
      <c r="A5253">
        <v>5252</v>
      </c>
      <c r="B5253" s="1">
        <v>40876</v>
      </c>
      <c r="C5253" t="s">
        <v>28</v>
      </c>
      <c r="D5253" s="7">
        <v>137</v>
      </c>
      <c r="E5253" s="7">
        <v>21</v>
      </c>
      <c r="F5253" s="7">
        <f t="shared" si="82"/>
        <v>3</v>
      </c>
      <c r="G5253" s="7" t="str">
        <f>LOOKUP(H5253,[1]startdates!$A$2:$A$10,[1]startdates!$B$2:$B$10)</f>
        <v>FMr</v>
      </c>
      <c r="H5253">
        <v>7</v>
      </c>
      <c r="I5253" s="7">
        <v>587.70000000000005</v>
      </c>
    </row>
    <row r="5254" spans="1:19" x14ac:dyDescent="0.2">
      <c r="A5254">
        <v>5253</v>
      </c>
      <c r="B5254" s="1">
        <v>40876</v>
      </c>
      <c r="C5254" t="s">
        <v>28</v>
      </c>
      <c r="D5254" s="7">
        <v>137</v>
      </c>
      <c r="E5254" s="7">
        <v>21</v>
      </c>
      <c r="F5254" s="7">
        <f t="shared" si="82"/>
        <v>3</v>
      </c>
      <c r="G5254" s="7" t="str">
        <f>LOOKUP(H5254,[1]startdates!$A$2:$A$10,[1]startdates!$B$2:$B$10)</f>
        <v>FMr</v>
      </c>
      <c r="H5254">
        <v>7</v>
      </c>
      <c r="I5254" s="7">
        <v>571</v>
      </c>
    </row>
    <row r="5255" spans="1:19" x14ac:dyDescent="0.2">
      <c r="A5255">
        <v>5254</v>
      </c>
      <c r="B5255" s="1">
        <v>40876</v>
      </c>
      <c r="C5255" t="s">
        <v>28</v>
      </c>
      <c r="D5255" s="7">
        <v>137</v>
      </c>
      <c r="E5255" s="7">
        <v>21</v>
      </c>
      <c r="F5255" s="7">
        <f t="shared" si="82"/>
        <v>3</v>
      </c>
      <c r="G5255" s="7" t="str">
        <f>LOOKUP(H5255,[1]startdates!$A$2:$A$10,[1]startdates!$B$2:$B$10)</f>
        <v>C</v>
      </c>
      <c r="H5255">
        <v>8</v>
      </c>
      <c r="I5255" s="7">
        <v>619</v>
      </c>
      <c r="J5255" s="7">
        <v>492.5</v>
      </c>
      <c r="K5255" s="7">
        <v>456</v>
      </c>
      <c r="L5255" s="7">
        <v>457.6</v>
      </c>
      <c r="M5255" s="7">
        <v>295.60000000000002</v>
      </c>
      <c r="N5255" s="7">
        <v>218</v>
      </c>
      <c r="O5255" s="7">
        <v>163.5</v>
      </c>
      <c r="Q5255" s="7">
        <v>365.8</v>
      </c>
      <c r="R5255" s="7">
        <v>255.4</v>
      </c>
      <c r="S5255" s="7">
        <v>260.8</v>
      </c>
    </row>
    <row r="5256" spans="1:19" x14ac:dyDescent="0.2">
      <c r="A5256">
        <v>5255</v>
      </c>
      <c r="B5256" s="1">
        <v>40876</v>
      </c>
      <c r="C5256" t="s">
        <v>28</v>
      </c>
      <c r="D5256" s="7">
        <v>137</v>
      </c>
      <c r="E5256" s="7">
        <v>21</v>
      </c>
      <c r="F5256" s="7">
        <f t="shared" si="82"/>
        <v>3</v>
      </c>
      <c r="G5256" s="7" t="str">
        <f>LOOKUP(H5256,[1]startdates!$A$2:$A$10,[1]startdates!$B$2:$B$10)</f>
        <v>C</v>
      </c>
      <c r="H5256">
        <v>8</v>
      </c>
      <c r="I5256" s="7">
        <v>623.9</v>
      </c>
      <c r="J5256" s="7">
        <v>588.9</v>
      </c>
      <c r="K5256" s="7">
        <v>470.8</v>
      </c>
      <c r="M5256" s="7">
        <v>299.8</v>
      </c>
      <c r="N5256" s="7">
        <v>250.4</v>
      </c>
      <c r="O5256" s="7">
        <v>161.69999999999999</v>
      </c>
      <c r="S5256" s="7">
        <v>271.8</v>
      </c>
    </row>
    <row r="5257" spans="1:19" x14ac:dyDescent="0.2">
      <c r="A5257">
        <v>5256</v>
      </c>
      <c r="B5257" s="1">
        <v>40876</v>
      </c>
      <c r="C5257" t="s">
        <v>28</v>
      </c>
      <c r="D5257" s="7">
        <v>137</v>
      </c>
      <c r="E5257" s="7">
        <v>21</v>
      </c>
      <c r="F5257" s="7">
        <f t="shared" si="82"/>
        <v>3</v>
      </c>
      <c r="G5257" s="7" t="str">
        <f>LOOKUP(H5257,[1]startdates!$A$2:$A$10,[1]startdates!$B$2:$B$10)</f>
        <v>C</v>
      </c>
      <c r="H5257">
        <v>8</v>
      </c>
      <c r="I5257" s="7">
        <v>666.9</v>
      </c>
      <c r="J5257" s="7">
        <v>554.5</v>
      </c>
      <c r="K5257" s="7">
        <v>620.79999999999995</v>
      </c>
      <c r="M5257" s="7">
        <v>331.5</v>
      </c>
      <c r="N5257" s="7">
        <v>265.2</v>
      </c>
      <c r="O5257" s="7">
        <v>172.1</v>
      </c>
      <c r="S5257" s="7">
        <v>246.1</v>
      </c>
    </row>
    <row r="5258" spans="1:19" x14ac:dyDescent="0.2">
      <c r="A5258">
        <v>5257</v>
      </c>
      <c r="B5258" s="1">
        <v>40876</v>
      </c>
      <c r="C5258" t="s">
        <v>28</v>
      </c>
      <c r="D5258" s="7">
        <v>137</v>
      </c>
      <c r="E5258" s="7">
        <v>21</v>
      </c>
      <c r="F5258" s="7">
        <f t="shared" si="82"/>
        <v>3</v>
      </c>
      <c r="G5258" s="7" t="str">
        <f>LOOKUP(H5258,[1]startdates!$A$2:$A$10,[1]startdates!$B$2:$B$10)</f>
        <v>C</v>
      </c>
      <c r="H5258">
        <v>8</v>
      </c>
      <c r="I5258" s="7">
        <v>621</v>
      </c>
      <c r="J5258" s="7">
        <v>563.9</v>
      </c>
      <c r="K5258" s="7">
        <v>499.6</v>
      </c>
      <c r="M5258" s="7">
        <v>338.7</v>
      </c>
      <c r="N5258" s="7">
        <v>207</v>
      </c>
      <c r="O5258" s="7">
        <v>146.6</v>
      </c>
    </row>
    <row r="5259" spans="1:19" x14ac:dyDescent="0.2">
      <c r="A5259">
        <v>5258</v>
      </c>
      <c r="B5259" s="1">
        <v>40876</v>
      </c>
      <c r="C5259" t="s">
        <v>28</v>
      </c>
      <c r="D5259" s="7">
        <v>137</v>
      </c>
      <c r="E5259" s="7">
        <v>21</v>
      </c>
      <c r="F5259" s="7">
        <f t="shared" si="82"/>
        <v>3</v>
      </c>
      <c r="G5259" s="7" t="str">
        <f>LOOKUP(H5259,[1]startdates!$A$2:$A$10,[1]startdates!$B$2:$B$10)</f>
        <v>C</v>
      </c>
      <c r="H5259">
        <v>8</v>
      </c>
      <c r="I5259" s="7">
        <v>570.6</v>
      </c>
      <c r="K5259" s="7">
        <v>552</v>
      </c>
      <c r="M5259" s="7">
        <v>366.2</v>
      </c>
      <c r="N5259" s="7">
        <v>240.4</v>
      </c>
      <c r="O5259" s="7">
        <v>184.1</v>
      </c>
    </row>
    <row r="5260" spans="1:19" x14ac:dyDescent="0.2">
      <c r="A5260">
        <v>5259</v>
      </c>
      <c r="B5260" s="1">
        <v>40876</v>
      </c>
      <c r="C5260" t="s">
        <v>28</v>
      </c>
      <c r="D5260" s="7">
        <v>137</v>
      </c>
      <c r="E5260" s="7">
        <v>21</v>
      </c>
      <c r="F5260" s="7">
        <f t="shared" si="82"/>
        <v>3</v>
      </c>
      <c r="G5260" s="7" t="str">
        <f>LOOKUP(H5260,[1]startdates!$A$2:$A$10,[1]startdates!$B$2:$B$10)</f>
        <v>C</v>
      </c>
      <c r="H5260">
        <v>8</v>
      </c>
      <c r="I5260" s="7">
        <v>668.7</v>
      </c>
      <c r="K5260" s="7">
        <v>489.3</v>
      </c>
      <c r="M5260" s="7">
        <v>364.1</v>
      </c>
      <c r="N5260" s="7">
        <v>250.3</v>
      </c>
      <c r="O5260" s="7">
        <v>180.7</v>
      </c>
    </row>
    <row r="5261" spans="1:19" x14ac:dyDescent="0.2">
      <c r="A5261">
        <v>5260</v>
      </c>
      <c r="B5261" s="1">
        <v>40876</v>
      </c>
      <c r="C5261" t="s">
        <v>28</v>
      </c>
      <c r="D5261" s="7">
        <v>137</v>
      </c>
      <c r="E5261" s="7">
        <v>21</v>
      </c>
      <c r="F5261" s="7">
        <f t="shared" si="82"/>
        <v>3</v>
      </c>
      <c r="G5261" s="7" t="str">
        <f>LOOKUP(H5261,[1]startdates!$A$2:$A$10,[1]startdates!$B$2:$B$10)</f>
        <v>C</v>
      </c>
      <c r="H5261">
        <v>8</v>
      </c>
      <c r="I5261" s="7">
        <v>616</v>
      </c>
      <c r="K5261" s="7">
        <v>601.9</v>
      </c>
      <c r="M5261" s="7">
        <v>390.6</v>
      </c>
      <c r="N5261" s="7">
        <v>247.1</v>
      </c>
      <c r="O5261" s="7">
        <v>176.8</v>
      </c>
    </row>
    <row r="5262" spans="1:19" x14ac:dyDescent="0.2">
      <c r="A5262">
        <v>5261</v>
      </c>
      <c r="B5262" s="1">
        <v>40876</v>
      </c>
      <c r="C5262" t="s">
        <v>28</v>
      </c>
      <c r="D5262" s="7">
        <v>137</v>
      </c>
      <c r="E5262" s="7">
        <v>21</v>
      </c>
      <c r="F5262" s="7">
        <f t="shared" si="82"/>
        <v>3</v>
      </c>
      <c r="G5262" s="7" t="str">
        <f>LOOKUP(H5262,[1]startdates!$A$2:$A$10,[1]startdates!$B$2:$B$10)</f>
        <v>C</v>
      </c>
      <c r="H5262">
        <v>8</v>
      </c>
      <c r="I5262" s="7">
        <v>581.29999999999995</v>
      </c>
      <c r="N5262" s="7">
        <v>294.8</v>
      </c>
      <c r="O5262" s="7">
        <v>173.1</v>
      </c>
    </row>
    <row r="5263" spans="1:19" x14ac:dyDescent="0.2">
      <c r="A5263">
        <v>5262</v>
      </c>
      <c r="B5263" s="1">
        <v>40876</v>
      </c>
      <c r="C5263" t="s">
        <v>28</v>
      </c>
      <c r="D5263" s="7">
        <v>137</v>
      </c>
      <c r="E5263" s="7">
        <v>21</v>
      </c>
      <c r="F5263" s="7">
        <f t="shared" si="82"/>
        <v>3</v>
      </c>
      <c r="G5263" s="7" t="str">
        <f>LOOKUP(H5263,[1]startdates!$A$2:$A$10,[1]startdates!$B$2:$B$10)</f>
        <v>C</v>
      </c>
      <c r="H5263">
        <v>8</v>
      </c>
      <c r="I5263" s="7">
        <v>665.9</v>
      </c>
      <c r="N5263" s="7">
        <v>188.1</v>
      </c>
      <c r="O5263" s="7">
        <v>156.80000000000001</v>
      </c>
    </row>
    <row r="5264" spans="1:19" x14ac:dyDescent="0.2">
      <c r="A5264">
        <v>5263</v>
      </c>
      <c r="B5264" s="1">
        <v>40876</v>
      </c>
      <c r="C5264" t="s">
        <v>28</v>
      </c>
      <c r="D5264" s="7">
        <v>137</v>
      </c>
      <c r="E5264" s="7">
        <v>21</v>
      </c>
      <c r="F5264" s="7">
        <f t="shared" si="82"/>
        <v>3</v>
      </c>
      <c r="G5264" s="7" t="str">
        <f>LOOKUP(H5264,[1]startdates!$A$2:$A$10,[1]startdates!$B$2:$B$10)</f>
        <v>C</v>
      </c>
      <c r="H5264">
        <v>8</v>
      </c>
      <c r="I5264" s="7">
        <v>639.6</v>
      </c>
      <c r="N5264" s="7">
        <v>209.3</v>
      </c>
      <c r="O5264" s="7">
        <v>166.5</v>
      </c>
    </row>
    <row r="5265" spans="1:19" x14ac:dyDescent="0.2">
      <c r="A5265">
        <v>5264</v>
      </c>
      <c r="B5265" s="1">
        <v>40876</v>
      </c>
      <c r="C5265" t="s">
        <v>28</v>
      </c>
      <c r="D5265" s="7">
        <v>137</v>
      </c>
      <c r="E5265" s="7">
        <v>21</v>
      </c>
      <c r="F5265" s="7">
        <f t="shared" si="82"/>
        <v>3</v>
      </c>
      <c r="G5265" s="7" t="str">
        <f>LOOKUP(H5265,[1]startdates!$A$2:$A$10,[1]startdates!$B$2:$B$10)</f>
        <v>C</v>
      </c>
      <c r="H5265">
        <v>8</v>
      </c>
      <c r="I5265" s="7">
        <v>666.9</v>
      </c>
    </row>
    <row r="5266" spans="1:19" x14ac:dyDescent="0.2">
      <c r="A5266">
        <v>5265</v>
      </c>
      <c r="B5266" s="1">
        <v>40876</v>
      </c>
      <c r="C5266" t="s">
        <v>24</v>
      </c>
      <c r="D5266" s="7">
        <v>137</v>
      </c>
      <c r="E5266" s="7">
        <v>21</v>
      </c>
      <c r="F5266" s="7">
        <f t="shared" si="82"/>
        <v>3</v>
      </c>
      <c r="G5266" s="7" t="str">
        <f>LOOKUP(H5266,[1]startdates!$A$2:$A$10,[1]startdates!$B$2:$B$10)</f>
        <v>FMr</v>
      </c>
      <c r="H5266">
        <v>9</v>
      </c>
      <c r="I5266" s="7">
        <v>533.79999999999995</v>
      </c>
      <c r="K5266" s="7">
        <v>586.29999999999995</v>
      </c>
      <c r="L5266" s="7">
        <v>407.3</v>
      </c>
      <c r="M5266" s="7">
        <v>360.1</v>
      </c>
      <c r="N5266" s="7">
        <v>265.39999999999998</v>
      </c>
      <c r="O5266" s="7">
        <v>168.9</v>
      </c>
      <c r="P5266" s="7">
        <v>452.1</v>
      </c>
      <c r="Q5266" s="7">
        <v>353.5</v>
      </c>
      <c r="R5266" s="7">
        <v>326.10000000000002</v>
      </c>
      <c r="S5266" s="7">
        <v>250.4</v>
      </c>
    </row>
    <row r="5267" spans="1:19" x14ac:dyDescent="0.2">
      <c r="A5267">
        <v>5266</v>
      </c>
      <c r="B5267" s="1">
        <v>40876</v>
      </c>
      <c r="C5267" t="s">
        <v>24</v>
      </c>
      <c r="D5267" s="7">
        <v>137</v>
      </c>
      <c r="E5267" s="7">
        <v>21</v>
      </c>
      <c r="F5267" s="7">
        <f t="shared" si="82"/>
        <v>3</v>
      </c>
      <c r="G5267" s="7" t="str">
        <f>LOOKUP(H5267,[1]startdates!$A$2:$A$10,[1]startdates!$B$2:$B$10)</f>
        <v>FMr</v>
      </c>
      <c r="H5267">
        <v>9</v>
      </c>
      <c r="I5267" s="7">
        <v>677.1</v>
      </c>
      <c r="K5267" s="7">
        <v>454.1</v>
      </c>
      <c r="L5267" s="7">
        <v>404.4</v>
      </c>
      <c r="M5267" s="7">
        <v>316.8</v>
      </c>
      <c r="N5267" s="7">
        <v>227.7</v>
      </c>
      <c r="O5267" s="7">
        <v>158.1</v>
      </c>
      <c r="P5267" s="7">
        <v>408.9</v>
      </c>
      <c r="Q5267" s="7">
        <v>366.3</v>
      </c>
      <c r="R5267" s="7">
        <v>243.8</v>
      </c>
    </row>
    <row r="5268" spans="1:19" x14ac:dyDescent="0.2">
      <c r="A5268">
        <v>5267</v>
      </c>
      <c r="B5268" s="1">
        <v>40876</v>
      </c>
      <c r="C5268" t="s">
        <v>24</v>
      </c>
      <c r="D5268" s="7">
        <v>137</v>
      </c>
      <c r="E5268" s="7">
        <v>21</v>
      </c>
      <c r="F5268" s="7">
        <f t="shared" si="82"/>
        <v>3</v>
      </c>
      <c r="G5268" s="7" t="str">
        <f>LOOKUP(H5268,[1]startdates!$A$2:$A$10,[1]startdates!$B$2:$B$10)</f>
        <v>FMr</v>
      </c>
      <c r="H5268">
        <v>9</v>
      </c>
      <c r="I5268" s="7">
        <v>607.4</v>
      </c>
      <c r="K5268" s="7">
        <v>578.29999999999995</v>
      </c>
      <c r="L5268" s="7">
        <v>427.1</v>
      </c>
      <c r="M5268" s="7">
        <v>331.5</v>
      </c>
      <c r="N5268" s="7">
        <v>210.8</v>
      </c>
      <c r="O5268" s="7">
        <v>180.7</v>
      </c>
      <c r="P5268" s="7">
        <v>445.2</v>
      </c>
      <c r="Q5268" s="7">
        <v>333</v>
      </c>
    </row>
    <row r="5269" spans="1:19" x14ac:dyDescent="0.2">
      <c r="A5269">
        <v>5268</v>
      </c>
      <c r="B5269" s="1">
        <v>40876</v>
      </c>
      <c r="C5269" t="s">
        <v>24</v>
      </c>
      <c r="D5269" s="7">
        <v>137</v>
      </c>
      <c r="E5269" s="7">
        <v>21</v>
      </c>
      <c r="F5269" s="7">
        <f t="shared" si="82"/>
        <v>3</v>
      </c>
      <c r="G5269" s="7" t="str">
        <f>LOOKUP(H5269,[1]startdates!$A$2:$A$10,[1]startdates!$B$2:$B$10)</f>
        <v>FMr</v>
      </c>
      <c r="H5269">
        <v>9</v>
      </c>
      <c r="I5269" s="7">
        <v>524.9</v>
      </c>
      <c r="K5269" s="7">
        <v>545.9</v>
      </c>
      <c r="L5269" s="7">
        <v>391.8</v>
      </c>
      <c r="M5269" s="7">
        <v>309</v>
      </c>
      <c r="N5269" s="7">
        <v>222.5</v>
      </c>
      <c r="O5269" s="7">
        <v>149.5</v>
      </c>
      <c r="P5269" s="7">
        <v>487.4</v>
      </c>
      <c r="Q5269" s="7">
        <v>368.6</v>
      </c>
    </row>
    <row r="5270" spans="1:19" x14ac:dyDescent="0.2">
      <c r="A5270">
        <v>5269</v>
      </c>
      <c r="B5270" s="1">
        <v>40876</v>
      </c>
      <c r="C5270" t="s">
        <v>24</v>
      </c>
      <c r="D5270" s="7">
        <v>137</v>
      </c>
      <c r="E5270" s="7">
        <v>21</v>
      </c>
      <c r="F5270" s="7">
        <f t="shared" si="82"/>
        <v>3</v>
      </c>
      <c r="G5270" s="7" t="str">
        <f>LOOKUP(H5270,[1]startdates!$A$2:$A$10,[1]startdates!$B$2:$B$10)</f>
        <v>FMr</v>
      </c>
      <c r="H5270">
        <v>9</v>
      </c>
      <c r="I5270" s="7">
        <v>533.5</v>
      </c>
      <c r="K5270" s="7">
        <v>564.1</v>
      </c>
      <c r="L5270" s="7">
        <v>453.1</v>
      </c>
      <c r="M5270" s="7">
        <v>346.7</v>
      </c>
      <c r="N5270" s="7">
        <v>212.4</v>
      </c>
      <c r="O5270" s="7">
        <v>197.9</v>
      </c>
      <c r="Q5270" s="7">
        <v>354.6</v>
      </c>
    </row>
    <row r="5271" spans="1:19" x14ac:dyDescent="0.2">
      <c r="A5271">
        <v>5270</v>
      </c>
      <c r="B5271" s="1">
        <v>40876</v>
      </c>
      <c r="C5271" t="s">
        <v>24</v>
      </c>
      <c r="D5271" s="7">
        <v>137</v>
      </c>
      <c r="E5271" s="7">
        <v>21</v>
      </c>
      <c r="F5271" s="7">
        <f t="shared" si="82"/>
        <v>3</v>
      </c>
      <c r="G5271" s="7" t="str">
        <f>LOOKUP(H5271,[1]startdates!$A$2:$A$10,[1]startdates!$B$2:$B$10)</f>
        <v>FMr</v>
      </c>
      <c r="H5271">
        <v>9</v>
      </c>
      <c r="I5271" s="7">
        <v>603.79999999999995</v>
      </c>
      <c r="K5271" s="7">
        <v>484.3</v>
      </c>
      <c r="M5271" s="7">
        <v>349.8</v>
      </c>
      <c r="N5271" s="7">
        <v>216.6</v>
      </c>
      <c r="O5271" s="7">
        <v>167.5</v>
      </c>
    </row>
    <row r="5272" spans="1:19" x14ac:dyDescent="0.2">
      <c r="A5272">
        <v>5271</v>
      </c>
      <c r="B5272" s="1">
        <v>40876</v>
      </c>
      <c r="C5272" t="s">
        <v>24</v>
      </c>
      <c r="D5272" s="7">
        <v>137</v>
      </c>
      <c r="E5272" s="7">
        <v>21</v>
      </c>
      <c r="F5272" s="7">
        <f t="shared" si="82"/>
        <v>3</v>
      </c>
      <c r="G5272" s="7" t="str">
        <f>LOOKUP(H5272,[1]startdates!$A$2:$A$10,[1]startdates!$B$2:$B$10)</f>
        <v>FMr</v>
      </c>
      <c r="H5272">
        <v>9</v>
      </c>
      <c r="I5272" s="7">
        <v>633.70000000000005</v>
      </c>
      <c r="K5272" s="7">
        <v>429.9</v>
      </c>
      <c r="M5272" s="7">
        <v>346.7</v>
      </c>
      <c r="N5272" s="7">
        <v>198.3</v>
      </c>
      <c r="O5272" s="7">
        <v>158.69999999999999</v>
      </c>
    </row>
    <row r="5273" spans="1:19" x14ac:dyDescent="0.2">
      <c r="A5273">
        <v>5272</v>
      </c>
      <c r="B5273" s="1">
        <v>40876</v>
      </c>
      <c r="C5273" t="s">
        <v>24</v>
      </c>
      <c r="D5273" s="7">
        <v>137</v>
      </c>
      <c r="E5273" s="7">
        <v>21</v>
      </c>
      <c r="F5273" s="7">
        <f t="shared" si="82"/>
        <v>3</v>
      </c>
      <c r="G5273" s="7" t="str">
        <f>LOOKUP(H5273,[1]startdates!$A$2:$A$10,[1]startdates!$B$2:$B$10)</f>
        <v>FMr</v>
      </c>
      <c r="H5273">
        <v>9</v>
      </c>
      <c r="I5273" s="7">
        <v>647.29999999999995</v>
      </c>
      <c r="K5273" s="7">
        <v>453</v>
      </c>
      <c r="M5273" s="7">
        <v>303.3</v>
      </c>
      <c r="N5273" s="7">
        <v>216.8</v>
      </c>
      <c r="O5273" s="7">
        <v>181.1</v>
      </c>
    </row>
    <row r="5274" spans="1:19" x14ac:dyDescent="0.2">
      <c r="A5274">
        <v>5273</v>
      </c>
      <c r="B5274" s="1">
        <v>40876</v>
      </c>
      <c r="C5274" t="s">
        <v>24</v>
      </c>
      <c r="D5274" s="7">
        <v>137</v>
      </c>
      <c r="E5274" s="7">
        <v>21</v>
      </c>
      <c r="F5274" s="7">
        <f t="shared" si="82"/>
        <v>3</v>
      </c>
      <c r="G5274" s="7" t="str">
        <f>LOOKUP(H5274,[1]startdates!$A$2:$A$10,[1]startdates!$B$2:$B$10)</f>
        <v>FMr</v>
      </c>
      <c r="H5274">
        <v>9</v>
      </c>
      <c r="I5274" s="7">
        <v>662.6</v>
      </c>
      <c r="M5274" s="7">
        <v>323.7</v>
      </c>
      <c r="N5274" s="7">
        <v>240</v>
      </c>
      <c r="O5274" s="7">
        <v>175</v>
      </c>
    </row>
    <row r="5275" spans="1:19" x14ac:dyDescent="0.2">
      <c r="A5275">
        <v>5274</v>
      </c>
      <c r="B5275" s="1">
        <v>40876</v>
      </c>
      <c r="C5275" t="s">
        <v>24</v>
      </c>
      <c r="D5275" s="7">
        <v>137</v>
      </c>
      <c r="E5275" s="7">
        <v>21</v>
      </c>
      <c r="F5275" s="7">
        <f t="shared" si="82"/>
        <v>3</v>
      </c>
      <c r="G5275" s="7" t="str">
        <f>LOOKUP(H5275,[1]startdates!$A$2:$A$10,[1]startdates!$B$2:$B$10)</f>
        <v>FMr</v>
      </c>
      <c r="H5275">
        <v>9</v>
      </c>
      <c r="M5275" s="7">
        <v>372.1</v>
      </c>
      <c r="N5275" s="7">
        <v>209.9</v>
      </c>
      <c r="O5275" s="7">
        <v>187</v>
      </c>
    </row>
    <row r="5276" spans="1:19" x14ac:dyDescent="0.2">
      <c r="A5276">
        <v>5275</v>
      </c>
      <c r="B5276" s="1">
        <v>40876</v>
      </c>
      <c r="C5276" t="s">
        <v>24</v>
      </c>
      <c r="D5276" s="7">
        <v>137</v>
      </c>
      <c r="E5276" s="7">
        <v>21</v>
      </c>
      <c r="F5276" s="7">
        <f t="shared" si="82"/>
        <v>3</v>
      </c>
      <c r="G5276" s="7" t="str">
        <f>LOOKUP(H5276,[1]startdates!$A$2:$A$10,[1]startdates!$B$2:$B$10)</f>
        <v>FMr</v>
      </c>
      <c r="H5276">
        <v>9</v>
      </c>
      <c r="N5276" s="7">
        <v>276.2</v>
      </c>
    </row>
    <row r="5277" spans="1:19" x14ac:dyDescent="0.2">
      <c r="A5277">
        <v>5276</v>
      </c>
      <c r="B5277" s="1">
        <v>40879</v>
      </c>
      <c r="C5277" t="s">
        <v>24</v>
      </c>
      <c r="D5277" s="7">
        <v>140</v>
      </c>
      <c r="E5277" s="7">
        <v>21</v>
      </c>
      <c r="F5277" s="7">
        <f t="shared" si="82"/>
        <v>6</v>
      </c>
      <c r="G5277" s="7" t="str">
        <f>LOOKUP(H5277,[1]startdates!$A$2:$A$10,[1]startdates!$B$2:$B$10)</f>
        <v>SMr</v>
      </c>
      <c r="H5277">
        <v>1</v>
      </c>
      <c r="I5277" s="7">
        <v>578.5</v>
      </c>
      <c r="J5277" s="7">
        <v>453.5</v>
      </c>
      <c r="K5277" s="7">
        <v>446.2</v>
      </c>
      <c r="L5277" s="7">
        <v>382.4</v>
      </c>
      <c r="M5277" s="7">
        <v>365.4</v>
      </c>
      <c r="N5277" s="7">
        <v>190.1</v>
      </c>
      <c r="O5277" s="7">
        <v>168.6</v>
      </c>
      <c r="P5277" s="7">
        <v>401.7</v>
      </c>
      <c r="Q5277" s="7">
        <v>369.8</v>
      </c>
      <c r="R5277" s="7">
        <v>275.89999999999998</v>
      </c>
      <c r="S5277" s="7">
        <v>292.3</v>
      </c>
    </row>
    <row r="5278" spans="1:19" x14ac:dyDescent="0.2">
      <c r="A5278">
        <v>5277</v>
      </c>
      <c r="B5278" s="1">
        <v>40879</v>
      </c>
      <c r="C5278" t="s">
        <v>24</v>
      </c>
      <c r="D5278" s="7">
        <v>140</v>
      </c>
      <c r="E5278" s="7">
        <v>21</v>
      </c>
      <c r="F5278" s="7">
        <f t="shared" si="82"/>
        <v>6</v>
      </c>
      <c r="G5278" s="7" t="str">
        <f>LOOKUP(H5278,[1]startdates!$A$2:$A$10,[1]startdates!$B$2:$B$10)</f>
        <v>SMr</v>
      </c>
      <c r="H5278">
        <v>1</v>
      </c>
      <c r="I5278" s="7">
        <v>536.29999999999995</v>
      </c>
      <c r="J5278" s="7">
        <v>438.2</v>
      </c>
      <c r="K5278" s="7">
        <v>419.9</v>
      </c>
      <c r="L5278" s="7">
        <v>393.5</v>
      </c>
      <c r="M5278" s="7">
        <v>322</v>
      </c>
      <c r="N5278" s="7">
        <v>179.8</v>
      </c>
      <c r="O5278" s="7">
        <v>168.1</v>
      </c>
      <c r="P5278" s="7">
        <v>414</v>
      </c>
      <c r="Q5278" s="7">
        <v>343.1</v>
      </c>
      <c r="R5278" s="7">
        <v>280.7</v>
      </c>
      <c r="S5278" s="7">
        <v>235</v>
      </c>
    </row>
    <row r="5279" spans="1:19" x14ac:dyDescent="0.2">
      <c r="A5279">
        <v>5278</v>
      </c>
      <c r="B5279" s="1">
        <v>40879</v>
      </c>
      <c r="C5279" t="s">
        <v>24</v>
      </c>
      <c r="D5279" s="7">
        <v>140</v>
      </c>
      <c r="E5279" s="7">
        <v>21</v>
      </c>
      <c r="F5279" s="7">
        <f t="shared" si="82"/>
        <v>6</v>
      </c>
      <c r="G5279" s="7" t="str">
        <f>LOOKUP(H5279,[1]startdates!$A$2:$A$10,[1]startdates!$B$2:$B$10)</f>
        <v>SMr</v>
      </c>
      <c r="H5279">
        <v>1</v>
      </c>
      <c r="I5279" s="7">
        <v>579.79999999999995</v>
      </c>
      <c r="J5279" s="7">
        <v>429.7</v>
      </c>
      <c r="K5279" s="7">
        <v>374.5</v>
      </c>
      <c r="M5279" s="7">
        <v>268</v>
      </c>
      <c r="N5279" s="7">
        <v>218.7</v>
      </c>
      <c r="O5279" s="7">
        <v>162</v>
      </c>
      <c r="P5279" s="7">
        <v>428.9</v>
      </c>
      <c r="Q5279" s="7">
        <v>381.4</v>
      </c>
      <c r="S5279" s="7">
        <v>267.60000000000002</v>
      </c>
    </row>
    <row r="5280" spans="1:19" x14ac:dyDescent="0.2">
      <c r="A5280">
        <v>5279</v>
      </c>
      <c r="B5280" s="1">
        <v>40879</v>
      </c>
      <c r="C5280" t="s">
        <v>24</v>
      </c>
      <c r="D5280" s="7">
        <v>140</v>
      </c>
      <c r="E5280" s="7">
        <v>21</v>
      </c>
      <c r="F5280" s="7">
        <f t="shared" si="82"/>
        <v>6</v>
      </c>
      <c r="G5280" s="7" t="str">
        <f>LOOKUP(H5280,[1]startdates!$A$2:$A$10,[1]startdates!$B$2:$B$10)</f>
        <v>SMr</v>
      </c>
      <c r="H5280">
        <v>1</v>
      </c>
      <c r="I5280" s="7">
        <v>516.5</v>
      </c>
      <c r="K5280" s="7">
        <v>371</v>
      </c>
      <c r="M5280" s="7">
        <v>289.89999999999998</v>
      </c>
      <c r="N5280" s="7">
        <v>226.1</v>
      </c>
      <c r="O5280" s="7">
        <v>185</v>
      </c>
      <c r="P5280" s="7">
        <v>422.9</v>
      </c>
      <c r="Q5280" s="7">
        <v>397.9</v>
      </c>
    </row>
    <row r="5281" spans="1:18" x14ac:dyDescent="0.2">
      <c r="A5281">
        <v>5280</v>
      </c>
      <c r="B5281" s="1">
        <v>40879</v>
      </c>
      <c r="C5281" t="s">
        <v>24</v>
      </c>
      <c r="D5281" s="7">
        <v>140</v>
      </c>
      <c r="E5281" s="7">
        <v>21</v>
      </c>
      <c r="F5281" s="7">
        <f t="shared" si="82"/>
        <v>6</v>
      </c>
      <c r="G5281" s="7" t="str">
        <f>LOOKUP(H5281,[1]startdates!$A$2:$A$10,[1]startdates!$B$2:$B$10)</f>
        <v>SMr</v>
      </c>
      <c r="H5281">
        <v>1</v>
      </c>
      <c r="I5281" s="7">
        <v>610.6</v>
      </c>
      <c r="K5281" s="7">
        <v>441.3</v>
      </c>
      <c r="N5281" s="7">
        <v>226.3</v>
      </c>
      <c r="O5281" s="7">
        <v>162</v>
      </c>
    </row>
    <row r="5282" spans="1:18" x14ac:dyDescent="0.2">
      <c r="A5282">
        <v>5281</v>
      </c>
      <c r="B5282" s="1">
        <v>40879</v>
      </c>
      <c r="C5282" t="s">
        <v>24</v>
      </c>
      <c r="D5282" s="7">
        <v>140</v>
      </c>
      <c r="E5282" s="7">
        <v>21</v>
      </c>
      <c r="F5282" s="7">
        <f t="shared" si="82"/>
        <v>6</v>
      </c>
      <c r="G5282" s="7" t="str">
        <f>LOOKUP(H5282,[1]startdates!$A$2:$A$10,[1]startdates!$B$2:$B$10)</f>
        <v>SMr</v>
      </c>
      <c r="H5282">
        <v>1</v>
      </c>
      <c r="I5282" s="7">
        <v>559</v>
      </c>
      <c r="K5282" s="7">
        <v>436.3</v>
      </c>
      <c r="N5282" s="7">
        <v>250</v>
      </c>
      <c r="O5282" s="7">
        <v>179.5</v>
      </c>
    </row>
    <row r="5283" spans="1:18" x14ac:dyDescent="0.2">
      <c r="A5283">
        <v>5282</v>
      </c>
      <c r="B5283" s="1">
        <v>40879</v>
      </c>
      <c r="C5283" t="s">
        <v>24</v>
      </c>
      <c r="D5283" s="7">
        <v>140</v>
      </c>
      <c r="E5283" s="7">
        <v>21</v>
      </c>
      <c r="F5283" s="7">
        <f t="shared" si="82"/>
        <v>6</v>
      </c>
      <c r="G5283" s="7" t="str">
        <f>LOOKUP(H5283,[1]startdates!$A$2:$A$10,[1]startdates!$B$2:$B$10)</f>
        <v>SMr</v>
      </c>
      <c r="H5283">
        <v>1</v>
      </c>
      <c r="I5283" s="7">
        <v>608.70000000000005</v>
      </c>
      <c r="N5283" s="7">
        <v>285.2</v>
      </c>
      <c r="O5283" s="7">
        <v>192</v>
      </c>
    </row>
    <row r="5284" spans="1:18" x14ac:dyDescent="0.2">
      <c r="A5284">
        <v>5283</v>
      </c>
      <c r="B5284" s="1">
        <v>40879</v>
      </c>
      <c r="C5284" t="s">
        <v>24</v>
      </c>
      <c r="D5284" s="7">
        <v>140</v>
      </c>
      <c r="E5284" s="7">
        <v>21</v>
      </c>
      <c r="F5284" s="7">
        <f t="shared" si="82"/>
        <v>6</v>
      </c>
      <c r="G5284" s="7" t="str">
        <f>LOOKUP(H5284,[1]startdates!$A$2:$A$10,[1]startdates!$B$2:$B$10)</f>
        <v>SMr</v>
      </c>
      <c r="H5284">
        <v>1</v>
      </c>
      <c r="I5284" s="7">
        <v>489.9</v>
      </c>
      <c r="O5284" s="7">
        <v>164</v>
      </c>
    </row>
    <row r="5285" spans="1:18" x14ac:dyDescent="0.2">
      <c r="A5285">
        <v>5284</v>
      </c>
      <c r="B5285" s="1">
        <v>40879</v>
      </c>
      <c r="C5285" t="s">
        <v>24</v>
      </c>
      <c r="D5285" s="7">
        <v>140</v>
      </c>
      <c r="E5285" s="7">
        <v>21</v>
      </c>
      <c r="F5285" s="7">
        <f t="shared" si="82"/>
        <v>6</v>
      </c>
      <c r="G5285" s="7" t="str">
        <f>LOOKUP(H5285,[1]startdates!$A$2:$A$10,[1]startdates!$B$2:$B$10)</f>
        <v>SMr</v>
      </c>
      <c r="H5285">
        <v>1</v>
      </c>
      <c r="I5285" s="7">
        <v>517</v>
      </c>
      <c r="O5285" s="7">
        <v>164.4</v>
      </c>
    </row>
    <row r="5286" spans="1:18" x14ac:dyDescent="0.2">
      <c r="A5286">
        <v>5285</v>
      </c>
      <c r="B5286" s="1">
        <v>40879</v>
      </c>
      <c r="C5286" t="s">
        <v>24</v>
      </c>
      <c r="D5286" s="7">
        <v>140</v>
      </c>
      <c r="E5286" s="7">
        <v>21</v>
      </c>
      <c r="F5286" s="7">
        <f t="shared" si="82"/>
        <v>6</v>
      </c>
      <c r="G5286" s="7" t="str">
        <f>LOOKUP(H5286,[1]startdates!$A$2:$A$10,[1]startdates!$B$2:$B$10)</f>
        <v>SMr</v>
      </c>
      <c r="H5286">
        <v>1</v>
      </c>
      <c r="O5286" s="7">
        <v>160.80000000000001</v>
      </c>
    </row>
    <row r="5287" spans="1:18" x14ac:dyDescent="0.2">
      <c r="A5287">
        <v>5286</v>
      </c>
      <c r="B5287" s="1">
        <v>40879</v>
      </c>
      <c r="C5287" t="s">
        <v>24</v>
      </c>
      <c r="D5287" s="7">
        <v>140</v>
      </c>
      <c r="E5287" s="7">
        <v>21</v>
      </c>
      <c r="F5287" s="7">
        <f t="shared" si="82"/>
        <v>6</v>
      </c>
      <c r="G5287" s="7" t="str">
        <f>LOOKUP(H5287,[1]startdates!$A$2:$A$10,[1]startdates!$B$2:$B$10)</f>
        <v>SMr</v>
      </c>
      <c r="H5287">
        <v>2</v>
      </c>
      <c r="I5287" s="7">
        <v>529.4</v>
      </c>
      <c r="J5287" s="7">
        <v>522.79999999999995</v>
      </c>
      <c r="K5287" s="7">
        <v>540.6</v>
      </c>
      <c r="L5287" s="7">
        <v>472.9</v>
      </c>
      <c r="M5287" s="7">
        <v>324.39999999999998</v>
      </c>
      <c r="N5287" s="7">
        <v>174.4</v>
      </c>
      <c r="O5287" s="7">
        <v>174.6</v>
      </c>
      <c r="P5287" s="7">
        <v>379</v>
      </c>
      <c r="R5287" s="7">
        <v>269.2</v>
      </c>
    </row>
    <row r="5288" spans="1:18" x14ac:dyDescent="0.2">
      <c r="A5288">
        <v>5287</v>
      </c>
      <c r="B5288" s="1">
        <v>40879</v>
      </c>
      <c r="C5288" t="s">
        <v>24</v>
      </c>
      <c r="D5288" s="7">
        <v>140</v>
      </c>
      <c r="E5288" s="7">
        <v>21</v>
      </c>
      <c r="F5288" s="7">
        <f t="shared" si="82"/>
        <v>6</v>
      </c>
      <c r="G5288" s="7" t="str">
        <f>LOOKUP(H5288,[1]startdates!$A$2:$A$10,[1]startdates!$B$2:$B$10)</f>
        <v>SMr</v>
      </c>
      <c r="H5288">
        <v>2</v>
      </c>
      <c r="I5288" s="7">
        <v>582.70000000000005</v>
      </c>
      <c r="K5288" s="7">
        <v>423.7</v>
      </c>
      <c r="L5288" s="7">
        <v>415.3</v>
      </c>
      <c r="M5288" s="7">
        <v>357.2</v>
      </c>
      <c r="N5288" s="7">
        <v>185.4</v>
      </c>
      <c r="O5288" s="7">
        <v>151.6</v>
      </c>
      <c r="P5288" s="7">
        <v>432.5</v>
      </c>
      <c r="R5288" s="7">
        <v>304.39999999999998</v>
      </c>
    </row>
    <row r="5289" spans="1:18" x14ac:dyDescent="0.2">
      <c r="A5289">
        <v>5288</v>
      </c>
      <c r="B5289" s="1">
        <v>40879</v>
      </c>
      <c r="C5289" t="s">
        <v>24</v>
      </c>
      <c r="D5289" s="7">
        <v>140</v>
      </c>
      <c r="E5289" s="7">
        <v>21</v>
      </c>
      <c r="F5289" s="7">
        <f t="shared" ref="F5289:F5352" si="83">WEEKDAY(B5289)</f>
        <v>6</v>
      </c>
      <c r="G5289" s="7" t="str">
        <f>LOOKUP(H5289,[1]startdates!$A$2:$A$10,[1]startdates!$B$2:$B$10)</f>
        <v>SMr</v>
      </c>
      <c r="H5289">
        <v>2</v>
      </c>
      <c r="I5289" s="7">
        <v>541.5</v>
      </c>
      <c r="K5289" s="7">
        <v>434.7</v>
      </c>
      <c r="L5289" s="7">
        <v>402.8</v>
      </c>
      <c r="M5289" s="7">
        <v>342.9</v>
      </c>
      <c r="N5289" s="7">
        <v>207.5</v>
      </c>
      <c r="O5289" s="7">
        <v>151.6</v>
      </c>
      <c r="R5289" s="7">
        <v>242.3</v>
      </c>
    </row>
    <row r="5290" spans="1:18" x14ac:dyDescent="0.2">
      <c r="A5290">
        <v>5289</v>
      </c>
      <c r="B5290" s="1">
        <v>40879</v>
      </c>
      <c r="C5290" t="s">
        <v>24</v>
      </c>
      <c r="D5290" s="7">
        <v>140</v>
      </c>
      <c r="E5290" s="7">
        <v>21</v>
      </c>
      <c r="F5290" s="7">
        <f t="shared" si="83"/>
        <v>6</v>
      </c>
      <c r="G5290" s="7" t="str">
        <f>LOOKUP(H5290,[1]startdates!$A$2:$A$10,[1]startdates!$B$2:$B$10)</f>
        <v>SMr</v>
      </c>
      <c r="H5290">
        <v>2</v>
      </c>
      <c r="I5290" s="7">
        <v>594.20000000000005</v>
      </c>
      <c r="K5290" s="7">
        <v>459.8</v>
      </c>
      <c r="L5290" s="7">
        <v>366</v>
      </c>
      <c r="M5290" s="7">
        <v>317.89999999999998</v>
      </c>
      <c r="N5290" s="7">
        <v>202.6</v>
      </c>
      <c r="O5290" s="7">
        <v>147.1</v>
      </c>
      <c r="R5290" s="7">
        <v>223.1</v>
      </c>
    </row>
    <row r="5291" spans="1:18" x14ac:dyDescent="0.2">
      <c r="A5291">
        <v>5290</v>
      </c>
      <c r="B5291" s="1">
        <v>40879</v>
      </c>
      <c r="C5291" t="s">
        <v>24</v>
      </c>
      <c r="D5291" s="7">
        <v>140</v>
      </c>
      <c r="E5291" s="7">
        <v>21</v>
      </c>
      <c r="F5291" s="7">
        <f t="shared" si="83"/>
        <v>6</v>
      </c>
      <c r="G5291" s="7" t="str">
        <f>LOOKUP(H5291,[1]startdates!$A$2:$A$10,[1]startdates!$B$2:$B$10)</f>
        <v>SMr</v>
      </c>
      <c r="H5291">
        <v>2</v>
      </c>
      <c r="I5291" s="7">
        <v>566.1</v>
      </c>
      <c r="K5291" s="7">
        <v>422</v>
      </c>
      <c r="L5291" s="7">
        <v>419.8</v>
      </c>
      <c r="M5291" s="7">
        <v>307.7</v>
      </c>
      <c r="N5291" s="7">
        <v>217.3</v>
      </c>
      <c r="O5291" s="7">
        <v>176.2</v>
      </c>
      <c r="R5291" s="7">
        <v>264</v>
      </c>
    </row>
    <row r="5292" spans="1:18" x14ac:dyDescent="0.2">
      <c r="A5292">
        <v>5291</v>
      </c>
      <c r="B5292" s="1">
        <v>40879</v>
      </c>
      <c r="C5292" t="s">
        <v>24</v>
      </c>
      <c r="D5292" s="7">
        <v>140</v>
      </c>
      <c r="E5292" s="7">
        <v>21</v>
      </c>
      <c r="F5292" s="7">
        <f t="shared" si="83"/>
        <v>6</v>
      </c>
      <c r="G5292" s="7" t="str">
        <f>LOOKUP(H5292,[1]startdates!$A$2:$A$10,[1]startdates!$B$2:$B$10)</f>
        <v>SMr</v>
      </c>
      <c r="H5292">
        <v>2</v>
      </c>
      <c r="I5292" s="7">
        <v>502</v>
      </c>
      <c r="K5292" s="7">
        <v>513.5</v>
      </c>
      <c r="L5292" s="7">
        <v>410.4</v>
      </c>
      <c r="M5292" s="7">
        <v>359.3</v>
      </c>
      <c r="N5292" s="7">
        <v>190.7</v>
      </c>
      <c r="O5292" s="7">
        <v>161.69999999999999</v>
      </c>
      <c r="R5292" s="7">
        <v>258.7</v>
      </c>
    </row>
    <row r="5293" spans="1:18" x14ac:dyDescent="0.2">
      <c r="A5293">
        <v>5292</v>
      </c>
      <c r="B5293" s="1">
        <v>40879</v>
      </c>
      <c r="C5293" t="s">
        <v>24</v>
      </c>
      <c r="D5293" s="7">
        <v>140</v>
      </c>
      <c r="E5293" s="7">
        <v>21</v>
      </c>
      <c r="F5293" s="7">
        <f t="shared" si="83"/>
        <v>6</v>
      </c>
      <c r="G5293" s="7" t="str">
        <f>LOOKUP(H5293,[1]startdates!$A$2:$A$10,[1]startdates!$B$2:$B$10)</f>
        <v>SMr</v>
      </c>
      <c r="H5293">
        <v>2</v>
      </c>
      <c r="I5293" s="7">
        <v>531.5</v>
      </c>
      <c r="M5293" s="7">
        <v>315.3</v>
      </c>
      <c r="N5293" s="7">
        <v>181.1</v>
      </c>
      <c r="O5293" s="7">
        <v>157.30000000000001</v>
      </c>
    </row>
    <row r="5294" spans="1:18" x14ac:dyDescent="0.2">
      <c r="A5294">
        <v>5293</v>
      </c>
      <c r="B5294" s="1">
        <v>40879</v>
      </c>
      <c r="C5294" t="s">
        <v>24</v>
      </c>
      <c r="D5294" s="7">
        <v>140</v>
      </c>
      <c r="E5294" s="7">
        <v>21</v>
      </c>
      <c r="F5294" s="7">
        <f t="shared" si="83"/>
        <v>6</v>
      </c>
      <c r="G5294" s="7" t="str">
        <f>LOOKUP(H5294,[1]startdates!$A$2:$A$10,[1]startdates!$B$2:$B$10)</f>
        <v>SMr</v>
      </c>
      <c r="H5294">
        <v>2</v>
      </c>
      <c r="I5294" s="7">
        <v>543.29999999999995</v>
      </c>
      <c r="N5294" s="7">
        <v>211.3</v>
      </c>
      <c r="O5294" s="7">
        <v>164.9</v>
      </c>
    </row>
    <row r="5295" spans="1:18" x14ac:dyDescent="0.2">
      <c r="A5295">
        <v>5294</v>
      </c>
      <c r="B5295" s="1">
        <v>40879</v>
      </c>
      <c r="C5295" t="s">
        <v>24</v>
      </c>
      <c r="D5295" s="7">
        <v>140</v>
      </c>
      <c r="E5295" s="7">
        <v>21</v>
      </c>
      <c r="F5295" s="7">
        <f t="shared" si="83"/>
        <v>6</v>
      </c>
      <c r="G5295" s="7" t="str">
        <f>LOOKUP(H5295,[1]startdates!$A$2:$A$10,[1]startdates!$B$2:$B$10)</f>
        <v>SMr</v>
      </c>
      <c r="H5295">
        <v>2</v>
      </c>
      <c r="I5295" s="7">
        <v>538.6</v>
      </c>
      <c r="N5295" s="7">
        <v>217.2</v>
      </c>
      <c r="O5295" s="7">
        <v>157.30000000000001</v>
      </c>
    </row>
    <row r="5296" spans="1:18" x14ac:dyDescent="0.2">
      <c r="A5296">
        <v>5295</v>
      </c>
      <c r="B5296" s="1">
        <v>40879</v>
      </c>
      <c r="C5296" t="s">
        <v>24</v>
      </c>
      <c r="D5296" s="7">
        <v>140</v>
      </c>
      <c r="E5296" s="7">
        <v>21</v>
      </c>
      <c r="F5296" s="7">
        <f t="shared" si="83"/>
        <v>6</v>
      </c>
      <c r="G5296" s="7" t="str">
        <f>LOOKUP(H5296,[1]startdates!$A$2:$A$10,[1]startdates!$B$2:$B$10)</f>
        <v>SMr</v>
      </c>
      <c r="H5296">
        <v>2</v>
      </c>
      <c r="I5296" s="7">
        <v>542.70000000000005</v>
      </c>
      <c r="N5296" s="7">
        <v>211.4</v>
      </c>
      <c r="O5296" s="7">
        <v>172.6</v>
      </c>
    </row>
    <row r="5297" spans="1:19" x14ac:dyDescent="0.2">
      <c r="A5297">
        <v>5296</v>
      </c>
      <c r="B5297" s="1">
        <v>40879</v>
      </c>
      <c r="C5297" t="s">
        <v>24</v>
      </c>
      <c r="D5297" s="7">
        <v>140</v>
      </c>
      <c r="E5297" s="7">
        <v>21</v>
      </c>
      <c r="F5297" s="7">
        <f t="shared" si="83"/>
        <v>6</v>
      </c>
      <c r="G5297" s="7" t="str">
        <f>LOOKUP(H5297,[1]startdates!$A$2:$A$10,[1]startdates!$B$2:$B$10)</f>
        <v>C</v>
      </c>
      <c r="H5297">
        <v>3</v>
      </c>
      <c r="I5297" s="7">
        <v>536.79999999999995</v>
      </c>
      <c r="K5297" s="7">
        <v>462</v>
      </c>
      <c r="L5297" s="7">
        <v>402.8</v>
      </c>
      <c r="M5297" s="7">
        <v>296.8</v>
      </c>
      <c r="N5297" s="7">
        <v>214.5</v>
      </c>
      <c r="O5297" s="7">
        <v>176.8</v>
      </c>
      <c r="P5297" s="7">
        <v>412.2</v>
      </c>
      <c r="R5297" s="7">
        <v>252.6</v>
      </c>
      <c r="S5297" s="7">
        <v>275.60000000000002</v>
      </c>
    </row>
    <row r="5298" spans="1:19" x14ac:dyDescent="0.2">
      <c r="A5298">
        <v>5297</v>
      </c>
      <c r="B5298" s="1">
        <v>40879</v>
      </c>
      <c r="C5298" t="s">
        <v>24</v>
      </c>
      <c r="D5298" s="7">
        <v>140</v>
      </c>
      <c r="E5298" s="7">
        <v>21</v>
      </c>
      <c r="F5298" s="7">
        <f t="shared" si="83"/>
        <v>6</v>
      </c>
      <c r="G5298" s="7" t="str">
        <f>LOOKUP(H5298,[1]startdates!$A$2:$A$10,[1]startdates!$B$2:$B$10)</f>
        <v>C</v>
      </c>
      <c r="H5298">
        <v>3</v>
      </c>
      <c r="I5298" s="7">
        <v>503</v>
      </c>
      <c r="K5298" s="7">
        <v>491.3</v>
      </c>
      <c r="L5298" s="7">
        <v>408.7</v>
      </c>
      <c r="M5298" s="7">
        <v>284.89999999999998</v>
      </c>
      <c r="N5298" s="7">
        <v>198.1</v>
      </c>
      <c r="O5298" s="7">
        <v>192.6</v>
      </c>
      <c r="P5298" s="7">
        <v>413.9</v>
      </c>
      <c r="S5298" s="7">
        <v>226.8</v>
      </c>
    </row>
    <row r="5299" spans="1:19" x14ac:dyDescent="0.2">
      <c r="A5299">
        <v>5298</v>
      </c>
      <c r="B5299" s="1">
        <v>40879</v>
      </c>
      <c r="C5299" t="s">
        <v>24</v>
      </c>
      <c r="D5299" s="7">
        <v>140</v>
      </c>
      <c r="E5299" s="7">
        <v>21</v>
      </c>
      <c r="F5299" s="7">
        <f t="shared" si="83"/>
        <v>6</v>
      </c>
      <c r="G5299" s="7" t="str">
        <f>LOOKUP(H5299,[1]startdates!$A$2:$A$10,[1]startdates!$B$2:$B$10)</f>
        <v>C</v>
      </c>
      <c r="H5299">
        <v>3</v>
      </c>
      <c r="I5299" s="7">
        <v>561.20000000000005</v>
      </c>
      <c r="K5299" s="7">
        <v>415.7</v>
      </c>
      <c r="L5299" s="7">
        <v>435.6</v>
      </c>
      <c r="M5299" s="7">
        <v>250</v>
      </c>
      <c r="N5299" s="7">
        <v>196.8</v>
      </c>
      <c r="O5299" s="7">
        <v>178.6</v>
      </c>
      <c r="P5299" s="7">
        <v>448.2</v>
      </c>
    </row>
    <row r="5300" spans="1:19" x14ac:dyDescent="0.2">
      <c r="A5300">
        <v>5299</v>
      </c>
      <c r="B5300" s="1">
        <v>40879</v>
      </c>
      <c r="C5300" t="s">
        <v>24</v>
      </c>
      <c r="D5300" s="7">
        <v>140</v>
      </c>
      <c r="E5300" s="7">
        <v>21</v>
      </c>
      <c r="F5300" s="7">
        <f t="shared" si="83"/>
        <v>6</v>
      </c>
      <c r="G5300" s="7" t="str">
        <f>LOOKUP(H5300,[1]startdates!$A$2:$A$10,[1]startdates!$B$2:$B$10)</f>
        <v>C</v>
      </c>
      <c r="H5300">
        <v>3</v>
      </c>
      <c r="I5300" s="7">
        <v>591.1</v>
      </c>
      <c r="K5300" s="7">
        <v>547.70000000000005</v>
      </c>
      <c r="L5300" s="7">
        <v>435.1</v>
      </c>
      <c r="M5300" s="7">
        <v>369.1</v>
      </c>
      <c r="N5300" s="7">
        <v>224</v>
      </c>
      <c r="O5300" s="7">
        <v>180.6</v>
      </c>
    </row>
    <row r="5301" spans="1:19" x14ac:dyDescent="0.2">
      <c r="A5301">
        <v>5300</v>
      </c>
      <c r="B5301" s="1">
        <v>40879</v>
      </c>
      <c r="C5301" t="s">
        <v>24</v>
      </c>
      <c r="D5301" s="7">
        <v>140</v>
      </c>
      <c r="E5301" s="7">
        <v>21</v>
      </c>
      <c r="F5301" s="7">
        <f t="shared" si="83"/>
        <v>6</v>
      </c>
      <c r="G5301" s="7" t="str">
        <f>LOOKUP(H5301,[1]startdates!$A$2:$A$10,[1]startdates!$B$2:$B$10)</f>
        <v>C</v>
      </c>
      <c r="H5301">
        <v>3</v>
      </c>
      <c r="I5301" s="7">
        <v>585.20000000000005</v>
      </c>
      <c r="K5301" s="7">
        <v>549.20000000000005</v>
      </c>
      <c r="L5301" s="7">
        <v>412.6</v>
      </c>
      <c r="M5301" s="7">
        <v>350.2</v>
      </c>
      <c r="N5301" s="7">
        <v>179.2</v>
      </c>
      <c r="O5301" s="7">
        <v>207.3</v>
      </c>
    </row>
    <row r="5302" spans="1:19" x14ac:dyDescent="0.2">
      <c r="A5302">
        <v>5301</v>
      </c>
      <c r="B5302" s="1">
        <v>40879</v>
      </c>
      <c r="C5302" t="s">
        <v>24</v>
      </c>
      <c r="D5302" s="7">
        <v>140</v>
      </c>
      <c r="E5302" s="7">
        <v>21</v>
      </c>
      <c r="F5302" s="7">
        <f t="shared" si="83"/>
        <v>6</v>
      </c>
      <c r="G5302" s="7" t="str">
        <f>LOOKUP(H5302,[1]startdates!$A$2:$A$10,[1]startdates!$B$2:$B$10)</f>
        <v>C</v>
      </c>
      <c r="H5302">
        <v>3</v>
      </c>
      <c r="K5302" s="7">
        <v>533.1</v>
      </c>
      <c r="L5302" s="7">
        <v>409.4</v>
      </c>
      <c r="M5302" s="7">
        <v>356.3</v>
      </c>
      <c r="N5302" s="7">
        <v>177.1</v>
      </c>
      <c r="O5302" s="7">
        <v>173.7</v>
      </c>
    </row>
    <row r="5303" spans="1:19" x14ac:dyDescent="0.2">
      <c r="A5303">
        <v>5302</v>
      </c>
      <c r="B5303" s="1">
        <v>40879</v>
      </c>
      <c r="C5303" t="s">
        <v>24</v>
      </c>
      <c r="D5303" s="7">
        <v>140</v>
      </c>
      <c r="E5303" s="7">
        <v>21</v>
      </c>
      <c r="F5303" s="7">
        <f t="shared" si="83"/>
        <v>6</v>
      </c>
      <c r="G5303" s="7" t="str">
        <f>LOOKUP(H5303,[1]startdates!$A$2:$A$10,[1]startdates!$B$2:$B$10)</f>
        <v>C</v>
      </c>
      <c r="H5303">
        <v>3</v>
      </c>
      <c r="K5303" s="7">
        <v>537.1</v>
      </c>
      <c r="L5303" s="7">
        <v>401</v>
      </c>
      <c r="M5303" s="7">
        <v>322.8</v>
      </c>
      <c r="N5303" s="7">
        <v>200.3</v>
      </c>
      <c r="O5303" s="7">
        <v>176.5</v>
      </c>
    </row>
    <row r="5304" spans="1:19" x14ac:dyDescent="0.2">
      <c r="A5304">
        <v>5303</v>
      </c>
      <c r="B5304" s="1">
        <v>40879</v>
      </c>
      <c r="C5304" t="s">
        <v>24</v>
      </c>
      <c r="D5304" s="7">
        <v>140</v>
      </c>
      <c r="E5304" s="7">
        <v>21</v>
      </c>
      <c r="F5304" s="7">
        <f t="shared" si="83"/>
        <v>6</v>
      </c>
      <c r="G5304" s="7" t="str">
        <f>LOOKUP(H5304,[1]startdates!$A$2:$A$10,[1]startdates!$B$2:$B$10)</f>
        <v>C</v>
      </c>
      <c r="H5304">
        <v>3</v>
      </c>
      <c r="K5304" s="7">
        <v>397.4</v>
      </c>
      <c r="L5304" s="7">
        <v>481</v>
      </c>
      <c r="M5304" s="7">
        <v>337.1</v>
      </c>
      <c r="N5304" s="7">
        <v>193.2</v>
      </c>
      <c r="O5304" s="7">
        <v>170</v>
      </c>
    </row>
    <row r="5305" spans="1:19" x14ac:dyDescent="0.2">
      <c r="A5305">
        <v>5304</v>
      </c>
      <c r="B5305" s="1">
        <v>40879</v>
      </c>
      <c r="C5305" t="s">
        <v>24</v>
      </c>
      <c r="D5305" s="7">
        <v>140</v>
      </c>
      <c r="E5305" s="7">
        <v>21</v>
      </c>
      <c r="F5305" s="7">
        <f t="shared" si="83"/>
        <v>6</v>
      </c>
      <c r="G5305" s="7" t="str">
        <f>LOOKUP(H5305,[1]startdates!$A$2:$A$10,[1]startdates!$B$2:$B$10)</f>
        <v>C</v>
      </c>
      <c r="H5305">
        <v>3</v>
      </c>
      <c r="L5305" s="7">
        <v>445.6</v>
      </c>
      <c r="M5305" s="7">
        <v>321.5</v>
      </c>
      <c r="N5305" s="7">
        <v>199.4</v>
      </c>
      <c r="O5305" s="7">
        <v>182.8</v>
      </c>
    </row>
    <row r="5306" spans="1:19" x14ac:dyDescent="0.2">
      <c r="A5306">
        <v>5305</v>
      </c>
      <c r="B5306" s="1">
        <v>40879</v>
      </c>
      <c r="C5306" t="s">
        <v>24</v>
      </c>
      <c r="D5306" s="7">
        <v>140</v>
      </c>
      <c r="E5306" s="7">
        <v>21</v>
      </c>
      <c r="F5306" s="7">
        <f t="shared" si="83"/>
        <v>6</v>
      </c>
      <c r="G5306" s="7" t="str">
        <f>LOOKUP(H5306,[1]startdates!$A$2:$A$10,[1]startdates!$B$2:$B$10)</f>
        <v>C</v>
      </c>
      <c r="H5306">
        <v>3</v>
      </c>
      <c r="N5306" s="7">
        <v>201.3</v>
      </c>
      <c r="O5306" s="7">
        <v>173.3</v>
      </c>
    </row>
    <row r="5307" spans="1:19" x14ac:dyDescent="0.2">
      <c r="A5307">
        <v>5306</v>
      </c>
      <c r="B5307" s="1">
        <v>40879</v>
      </c>
      <c r="C5307" t="s">
        <v>24</v>
      </c>
      <c r="D5307" s="7">
        <v>140</v>
      </c>
      <c r="E5307" s="7">
        <v>21</v>
      </c>
      <c r="F5307" s="7">
        <f t="shared" si="83"/>
        <v>6</v>
      </c>
      <c r="G5307" s="7" t="str">
        <f>LOOKUP(H5307,[1]startdates!$A$2:$A$10,[1]startdates!$B$2:$B$10)</f>
        <v>C</v>
      </c>
      <c r="H5307">
        <v>3</v>
      </c>
      <c r="O5307" s="7">
        <v>167.3</v>
      </c>
    </row>
    <row r="5308" spans="1:19" x14ac:dyDescent="0.2">
      <c r="A5308">
        <v>5307</v>
      </c>
      <c r="B5308" s="1">
        <v>40879</v>
      </c>
      <c r="C5308" t="s">
        <v>24</v>
      </c>
      <c r="D5308" s="7">
        <v>140</v>
      </c>
      <c r="E5308" s="7">
        <v>21</v>
      </c>
      <c r="F5308" s="7">
        <f t="shared" si="83"/>
        <v>6</v>
      </c>
      <c r="G5308" s="7" t="str">
        <f>LOOKUP(H5308,[1]startdates!$A$2:$A$10,[1]startdates!$B$2:$B$10)</f>
        <v>C</v>
      </c>
      <c r="H5308">
        <v>3</v>
      </c>
      <c r="O5308" s="7">
        <v>171.3</v>
      </c>
    </row>
    <row r="5309" spans="1:19" x14ac:dyDescent="0.2">
      <c r="A5309">
        <v>5308</v>
      </c>
      <c r="B5309" s="1">
        <v>40879</v>
      </c>
      <c r="C5309" t="s">
        <v>24</v>
      </c>
      <c r="D5309" s="7">
        <v>140</v>
      </c>
      <c r="E5309" s="7">
        <v>21</v>
      </c>
      <c r="F5309" s="7">
        <f t="shared" si="83"/>
        <v>6</v>
      </c>
      <c r="G5309" s="7" t="str">
        <f>LOOKUP(H5309,[1]startdates!$A$2:$A$10,[1]startdates!$B$2:$B$10)</f>
        <v>C</v>
      </c>
      <c r="H5309">
        <v>3</v>
      </c>
      <c r="O5309" s="7">
        <v>190.2</v>
      </c>
    </row>
    <row r="5310" spans="1:19" x14ac:dyDescent="0.2">
      <c r="A5310">
        <v>5309</v>
      </c>
      <c r="B5310" s="1">
        <v>40879</v>
      </c>
      <c r="C5310" t="s">
        <v>24</v>
      </c>
      <c r="D5310" s="7">
        <v>140</v>
      </c>
      <c r="E5310" s="7">
        <v>21</v>
      </c>
      <c r="F5310" s="7">
        <f t="shared" si="83"/>
        <v>6</v>
      </c>
      <c r="G5310" s="7" t="str">
        <f>LOOKUP(H5310,[1]startdates!$A$2:$A$10,[1]startdates!$B$2:$B$10)</f>
        <v>C</v>
      </c>
      <c r="H5310">
        <v>3</v>
      </c>
      <c r="O5310" s="7">
        <v>162</v>
      </c>
    </row>
    <row r="5311" spans="1:19" x14ac:dyDescent="0.2">
      <c r="A5311">
        <v>5310</v>
      </c>
      <c r="B5311" s="1">
        <v>40879</v>
      </c>
      <c r="C5311" t="s">
        <v>28</v>
      </c>
      <c r="D5311" s="7">
        <v>140</v>
      </c>
      <c r="E5311" s="7">
        <v>21</v>
      </c>
      <c r="F5311" s="7">
        <f t="shared" si="83"/>
        <v>6</v>
      </c>
      <c r="G5311" s="7" t="str">
        <f>LOOKUP(H5311,[1]startdates!$A$2:$A$10,[1]startdates!$B$2:$B$10)</f>
        <v>SMr</v>
      </c>
      <c r="H5311">
        <v>4</v>
      </c>
      <c r="I5311" s="7">
        <v>599.5</v>
      </c>
      <c r="K5311" s="7">
        <v>543.29999999999995</v>
      </c>
      <c r="L5311" s="7">
        <v>458.8</v>
      </c>
      <c r="M5311" s="7">
        <v>333.3</v>
      </c>
      <c r="N5311" s="7">
        <v>192.9</v>
      </c>
      <c r="O5311" s="7">
        <v>158.5</v>
      </c>
      <c r="P5311" s="7">
        <v>405.8</v>
      </c>
      <c r="Q5311" s="7">
        <v>309.89999999999998</v>
      </c>
      <c r="R5311" s="7">
        <v>230.7</v>
      </c>
    </row>
    <row r="5312" spans="1:19" x14ac:dyDescent="0.2">
      <c r="A5312">
        <v>5311</v>
      </c>
      <c r="B5312" s="1">
        <v>40879</v>
      </c>
      <c r="C5312" t="s">
        <v>28</v>
      </c>
      <c r="D5312" s="7">
        <v>140</v>
      </c>
      <c r="E5312" s="7">
        <v>21</v>
      </c>
      <c r="F5312" s="7">
        <f t="shared" si="83"/>
        <v>6</v>
      </c>
      <c r="G5312" s="7" t="str">
        <f>LOOKUP(H5312,[1]startdates!$A$2:$A$10,[1]startdates!$B$2:$B$10)</f>
        <v>SMr</v>
      </c>
      <c r="H5312">
        <v>4</v>
      </c>
      <c r="I5312" s="7">
        <v>563.5</v>
      </c>
      <c r="K5312" s="7">
        <v>628</v>
      </c>
      <c r="L5312" s="7">
        <v>395.2</v>
      </c>
      <c r="M5312" s="7">
        <v>357.4</v>
      </c>
      <c r="N5312" s="7">
        <v>211.5</v>
      </c>
      <c r="O5312" s="7">
        <v>169.2</v>
      </c>
      <c r="P5312" s="7">
        <v>386.7</v>
      </c>
    </row>
    <row r="5313" spans="1:18" x14ac:dyDescent="0.2">
      <c r="A5313">
        <v>5312</v>
      </c>
      <c r="B5313" s="1">
        <v>40879</v>
      </c>
      <c r="C5313" t="s">
        <v>28</v>
      </c>
      <c r="D5313" s="7">
        <v>140</v>
      </c>
      <c r="E5313" s="7">
        <v>21</v>
      </c>
      <c r="F5313" s="7">
        <f t="shared" si="83"/>
        <v>6</v>
      </c>
      <c r="G5313" s="7" t="str">
        <f>LOOKUP(H5313,[1]startdates!$A$2:$A$10,[1]startdates!$B$2:$B$10)</f>
        <v>SMr</v>
      </c>
      <c r="H5313">
        <v>4</v>
      </c>
      <c r="I5313" s="7">
        <v>588.4</v>
      </c>
      <c r="K5313" s="7">
        <v>549.20000000000005</v>
      </c>
      <c r="L5313" s="7">
        <v>441.4</v>
      </c>
      <c r="M5313" s="7">
        <v>361.1</v>
      </c>
      <c r="N5313" s="7">
        <v>174.4</v>
      </c>
      <c r="O5313" s="7">
        <v>160.69999999999999</v>
      </c>
      <c r="P5313" s="7">
        <v>380.7</v>
      </c>
    </row>
    <row r="5314" spans="1:18" x14ac:dyDescent="0.2">
      <c r="A5314">
        <v>5313</v>
      </c>
      <c r="B5314" s="1">
        <v>40879</v>
      </c>
      <c r="C5314" t="s">
        <v>28</v>
      </c>
      <c r="D5314" s="7">
        <v>140</v>
      </c>
      <c r="E5314" s="7">
        <v>21</v>
      </c>
      <c r="F5314" s="7">
        <f t="shared" si="83"/>
        <v>6</v>
      </c>
      <c r="G5314" s="7" t="str">
        <f>LOOKUP(H5314,[1]startdates!$A$2:$A$10,[1]startdates!$B$2:$B$10)</f>
        <v>SMr</v>
      </c>
      <c r="H5314">
        <v>4</v>
      </c>
      <c r="I5314" s="7">
        <v>597.5</v>
      </c>
      <c r="K5314" s="7">
        <v>545.70000000000005</v>
      </c>
      <c r="L5314" s="7">
        <v>414.3</v>
      </c>
      <c r="M5314" s="7">
        <v>282.2</v>
      </c>
      <c r="N5314" s="7">
        <v>204.2</v>
      </c>
      <c r="O5314" s="7">
        <v>152.19999999999999</v>
      </c>
      <c r="P5314" s="7">
        <v>387.5</v>
      </c>
    </row>
    <row r="5315" spans="1:18" x14ac:dyDescent="0.2">
      <c r="A5315">
        <v>5314</v>
      </c>
      <c r="B5315" s="1">
        <v>40879</v>
      </c>
      <c r="C5315" t="s">
        <v>28</v>
      </c>
      <c r="D5315" s="7">
        <v>140</v>
      </c>
      <c r="E5315" s="7">
        <v>21</v>
      </c>
      <c r="F5315" s="7">
        <f t="shared" si="83"/>
        <v>6</v>
      </c>
      <c r="G5315" s="7" t="str">
        <f>LOOKUP(H5315,[1]startdates!$A$2:$A$10,[1]startdates!$B$2:$B$10)</f>
        <v>SMr</v>
      </c>
      <c r="H5315">
        <v>4</v>
      </c>
      <c r="I5315" s="7">
        <v>551.9</v>
      </c>
      <c r="K5315" s="7">
        <v>511.7</v>
      </c>
      <c r="L5315" s="7">
        <v>415.9</v>
      </c>
      <c r="M5315" s="7">
        <v>309.8</v>
      </c>
      <c r="N5315" s="7">
        <v>235.7</v>
      </c>
      <c r="O5315" s="7">
        <v>162.4</v>
      </c>
    </row>
    <row r="5316" spans="1:18" x14ac:dyDescent="0.2">
      <c r="A5316">
        <v>5315</v>
      </c>
      <c r="B5316" s="1">
        <v>40879</v>
      </c>
      <c r="C5316" t="s">
        <v>28</v>
      </c>
      <c r="D5316" s="7">
        <v>140</v>
      </c>
      <c r="E5316" s="7">
        <v>21</v>
      </c>
      <c r="F5316" s="7">
        <f t="shared" si="83"/>
        <v>6</v>
      </c>
      <c r="G5316" s="7" t="str">
        <f>LOOKUP(H5316,[1]startdates!$A$2:$A$10,[1]startdates!$B$2:$B$10)</f>
        <v>SMr</v>
      </c>
      <c r="H5316">
        <v>4</v>
      </c>
      <c r="I5316" s="7">
        <v>516.29999999999995</v>
      </c>
      <c r="K5316" s="7">
        <v>554</v>
      </c>
      <c r="L5316" s="7">
        <v>430.1</v>
      </c>
      <c r="M5316" s="7">
        <v>314.8</v>
      </c>
      <c r="N5316" s="7">
        <v>222.9</v>
      </c>
      <c r="O5316" s="7">
        <v>173.1</v>
      </c>
    </row>
    <row r="5317" spans="1:18" x14ac:dyDescent="0.2">
      <c r="A5317">
        <v>5316</v>
      </c>
      <c r="B5317" s="1">
        <v>40879</v>
      </c>
      <c r="C5317" t="s">
        <v>28</v>
      </c>
      <c r="D5317" s="7">
        <v>140</v>
      </c>
      <c r="E5317" s="7">
        <v>21</v>
      </c>
      <c r="F5317" s="7">
        <f t="shared" si="83"/>
        <v>6</v>
      </c>
      <c r="G5317" s="7" t="str">
        <f>LOOKUP(H5317,[1]startdates!$A$2:$A$10,[1]startdates!$B$2:$B$10)</f>
        <v>SMr</v>
      </c>
      <c r="H5317">
        <v>4</v>
      </c>
      <c r="I5317" s="7">
        <v>486.7</v>
      </c>
      <c r="K5317" s="7">
        <v>479.3</v>
      </c>
      <c r="L5317" s="7">
        <v>445.5</v>
      </c>
      <c r="M5317" s="7">
        <v>323.3</v>
      </c>
      <c r="N5317" s="7">
        <v>195</v>
      </c>
      <c r="O5317" s="7">
        <v>162.19999999999999</v>
      </c>
    </row>
    <row r="5318" spans="1:18" x14ac:dyDescent="0.2">
      <c r="A5318">
        <v>5317</v>
      </c>
      <c r="B5318" s="1">
        <v>40879</v>
      </c>
      <c r="C5318" t="s">
        <v>28</v>
      </c>
      <c r="D5318" s="7">
        <v>140</v>
      </c>
      <c r="E5318" s="7">
        <v>21</v>
      </c>
      <c r="F5318" s="7">
        <f t="shared" si="83"/>
        <v>6</v>
      </c>
      <c r="G5318" s="7" t="str">
        <f>LOOKUP(H5318,[1]startdates!$A$2:$A$10,[1]startdates!$B$2:$B$10)</f>
        <v>SMr</v>
      </c>
      <c r="H5318">
        <v>4</v>
      </c>
      <c r="I5318" s="7">
        <v>485.1</v>
      </c>
      <c r="K5318" s="7">
        <v>548.29999999999995</v>
      </c>
      <c r="L5318" s="7">
        <v>441.1</v>
      </c>
      <c r="N5318" s="7">
        <v>213.5</v>
      </c>
      <c r="O5318" s="7">
        <v>174.9</v>
      </c>
    </row>
    <row r="5319" spans="1:18" x14ac:dyDescent="0.2">
      <c r="A5319">
        <v>5318</v>
      </c>
      <c r="B5319" s="1">
        <v>40879</v>
      </c>
      <c r="C5319" t="s">
        <v>28</v>
      </c>
      <c r="D5319" s="7">
        <v>140</v>
      </c>
      <c r="E5319" s="7">
        <v>21</v>
      </c>
      <c r="F5319" s="7">
        <f t="shared" si="83"/>
        <v>6</v>
      </c>
      <c r="G5319" s="7" t="str">
        <f>LOOKUP(H5319,[1]startdates!$A$2:$A$10,[1]startdates!$B$2:$B$10)</f>
        <v>SMr</v>
      </c>
      <c r="H5319">
        <v>4</v>
      </c>
      <c r="I5319" s="7">
        <v>573.79999999999995</v>
      </c>
      <c r="L5319" s="7">
        <v>401</v>
      </c>
      <c r="N5319" s="7">
        <v>190.2</v>
      </c>
      <c r="O5319" s="7">
        <v>166</v>
      </c>
    </row>
    <row r="5320" spans="1:18" x14ac:dyDescent="0.2">
      <c r="A5320">
        <v>5319</v>
      </c>
      <c r="B5320" s="1">
        <v>40879</v>
      </c>
      <c r="C5320" t="s">
        <v>28</v>
      </c>
      <c r="D5320" s="7">
        <v>140</v>
      </c>
      <c r="E5320" s="7">
        <v>21</v>
      </c>
      <c r="F5320" s="7">
        <f t="shared" si="83"/>
        <v>6</v>
      </c>
      <c r="G5320" s="7" t="str">
        <f>LOOKUP(H5320,[1]startdates!$A$2:$A$10,[1]startdates!$B$2:$B$10)</f>
        <v>SMr</v>
      </c>
      <c r="H5320">
        <v>4</v>
      </c>
      <c r="I5320" s="7">
        <v>627.5</v>
      </c>
      <c r="N5320" s="7">
        <v>205.1</v>
      </c>
      <c r="O5320" s="7">
        <v>166.1</v>
      </c>
    </row>
    <row r="5321" spans="1:18" x14ac:dyDescent="0.2">
      <c r="A5321">
        <v>5320</v>
      </c>
      <c r="B5321" s="1">
        <v>40879</v>
      </c>
      <c r="C5321" t="s">
        <v>28</v>
      </c>
      <c r="D5321" s="7">
        <v>140</v>
      </c>
      <c r="E5321" s="7">
        <v>21</v>
      </c>
      <c r="F5321" s="7">
        <f t="shared" si="83"/>
        <v>6</v>
      </c>
      <c r="G5321" s="7" t="str">
        <f>LOOKUP(H5321,[1]startdates!$A$2:$A$10,[1]startdates!$B$2:$B$10)</f>
        <v>SMr</v>
      </c>
      <c r="H5321">
        <v>4</v>
      </c>
      <c r="I5321" s="7">
        <v>658.6</v>
      </c>
      <c r="N5321" s="7">
        <v>265.5</v>
      </c>
    </row>
    <row r="5322" spans="1:18" x14ac:dyDescent="0.2">
      <c r="A5322">
        <v>5321</v>
      </c>
      <c r="B5322" s="1">
        <v>40879</v>
      </c>
      <c r="C5322" t="s">
        <v>28</v>
      </c>
      <c r="D5322" s="7">
        <v>140</v>
      </c>
      <c r="E5322" s="7">
        <v>21</v>
      </c>
      <c r="F5322" s="7">
        <f t="shared" si="83"/>
        <v>6</v>
      </c>
      <c r="G5322" s="7" t="str">
        <f>LOOKUP(H5322,[1]startdates!$A$2:$A$10,[1]startdates!$B$2:$B$10)</f>
        <v>SMr</v>
      </c>
      <c r="H5322">
        <v>4</v>
      </c>
      <c r="I5322" s="7">
        <v>565.5</v>
      </c>
    </row>
    <row r="5323" spans="1:18" x14ac:dyDescent="0.2">
      <c r="A5323">
        <v>5322</v>
      </c>
      <c r="B5323" s="1">
        <v>40879</v>
      </c>
      <c r="C5323" t="s">
        <v>28</v>
      </c>
      <c r="D5323" s="7">
        <v>140</v>
      </c>
      <c r="E5323" s="7">
        <v>21</v>
      </c>
      <c r="F5323" s="7">
        <f t="shared" si="83"/>
        <v>6</v>
      </c>
      <c r="G5323" s="7" t="str">
        <f>LOOKUP(H5323,[1]startdates!$A$2:$A$10,[1]startdates!$B$2:$B$10)</f>
        <v>SMr</v>
      </c>
      <c r="H5323">
        <v>4</v>
      </c>
      <c r="I5323" s="7">
        <v>535.70000000000005</v>
      </c>
    </row>
    <row r="5324" spans="1:18" x14ac:dyDescent="0.2">
      <c r="A5324">
        <v>5323</v>
      </c>
      <c r="B5324" s="1">
        <v>40879</v>
      </c>
      <c r="C5324" t="s">
        <v>28</v>
      </c>
      <c r="D5324" s="7">
        <v>140</v>
      </c>
      <c r="E5324" s="7">
        <v>21</v>
      </c>
      <c r="F5324" s="7">
        <f t="shared" si="83"/>
        <v>6</v>
      </c>
      <c r="G5324" s="7" t="str">
        <f>LOOKUP(H5324,[1]startdates!$A$2:$A$10,[1]startdates!$B$2:$B$10)</f>
        <v>SMr</v>
      </c>
      <c r="H5324">
        <v>4</v>
      </c>
      <c r="I5324" s="7">
        <v>559.79999999999995</v>
      </c>
    </row>
    <row r="5325" spans="1:18" x14ac:dyDescent="0.2">
      <c r="A5325">
        <v>5324</v>
      </c>
      <c r="B5325" s="1">
        <v>40879</v>
      </c>
      <c r="C5325" t="s">
        <v>28</v>
      </c>
      <c r="D5325" s="7">
        <v>140</v>
      </c>
      <c r="E5325" s="7">
        <v>21</v>
      </c>
      <c r="F5325" s="7">
        <f t="shared" si="83"/>
        <v>6</v>
      </c>
      <c r="G5325" s="7" t="str">
        <f>LOOKUP(H5325,[1]startdates!$A$2:$A$10,[1]startdates!$B$2:$B$10)</f>
        <v>C</v>
      </c>
      <c r="H5325">
        <v>5</v>
      </c>
      <c r="I5325" s="7">
        <v>657.8</v>
      </c>
      <c r="J5325" s="7">
        <v>567.70000000000005</v>
      </c>
      <c r="K5325" s="7">
        <v>560.5</v>
      </c>
      <c r="L5325" s="7">
        <v>380.1</v>
      </c>
      <c r="M5325" s="7">
        <v>333</v>
      </c>
      <c r="N5325" s="7">
        <v>178.6</v>
      </c>
      <c r="O5325" s="7">
        <v>170</v>
      </c>
      <c r="Q5325" s="7">
        <v>351.3</v>
      </c>
      <c r="R5325" s="7">
        <v>243.4</v>
      </c>
    </row>
    <row r="5326" spans="1:18" x14ac:dyDescent="0.2">
      <c r="A5326">
        <v>5325</v>
      </c>
      <c r="B5326" s="1">
        <v>40879</v>
      </c>
      <c r="C5326" t="s">
        <v>28</v>
      </c>
      <c r="D5326" s="7">
        <v>140</v>
      </c>
      <c r="E5326" s="7">
        <v>21</v>
      </c>
      <c r="F5326" s="7">
        <f t="shared" si="83"/>
        <v>6</v>
      </c>
      <c r="G5326" s="7" t="str">
        <f>LOOKUP(H5326,[1]startdates!$A$2:$A$10,[1]startdates!$B$2:$B$10)</f>
        <v>C</v>
      </c>
      <c r="H5326">
        <v>5</v>
      </c>
      <c r="I5326" s="7">
        <v>660.9</v>
      </c>
      <c r="J5326" s="7">
        <v>579.29999999999995</v>
      </c>
      <c r="K5326" s="7">
        <v>606.1</v>
      </c>
      <c r="L5326" s="7">
        <v>423.4</v>
      </c>
      <c r="M5326" s="7">
        <v>298.8</v>
      </c>
      <c r="N5326" s="7">
        <v>231.8</v>
      </c>
      <c r="O5326" s="7">
        <v>155.4</v>
      </c>
      <c r="R5326" s="7">
        <v>255</v>
      </c>
    </row>
    <row r="5327" spans="1:18" x14ac:dyDescent="0.2">
      <c r="A5327">
        <v>5326</v>
      </c>
      <c r="B5327" s="1">
        <v>40879</v>
      </c>
      <c r="C5327" t="s">
        <v>28</v>
      </c>
      <c r="D5327" s="7">
        <v>140</v>
      </c>
      <c r="E5327" s="7">
        <v>21</v>
      </c>
      <c r="F5327" s="7">
        <f t="shared" si="83"/>
        <v>6</v>
      </c>
      <c r="G5327" s="7" t="str">
        <f>LOOKUP(H5327,[1]startdates!$A$2:$A$10,[1]startdates!$B$2:$B$10)</f>
        <v>C</v>
      </c>
      <c r="H5327">
        <v>5</v>
      </c>
      <c r="I5327" s="7">
        <v>584.5</v>
      </c>
      <c r="K5327" s="7">
        <v>593.29999999999995</v>
      </c>
      <c r="L5327" s="7">
        <v>400.8</v>
      </c>
      <c r="M5327" s="7">
        <v>302.60000000000002</v>
      </c>
      <c r="N5327" s="7">
        <v>212.5</v>
      </c>
      <c r="O5327" s="7">
        <v>176.3</v>
      </c>
      <c r="R5327" s="7">
        <v>243.2</v>
      </c>
    </row>
    <row r="5328" spans="1:18" x14ac:dyDescent="0.2">
      <c r="A5328">
        <v>5327</v>
      </c>
      <c r="B5328" s="1">
        <v>40879</v>
      </c>
      <c r="C5328" t="s">
        <v>28</v>
      </c>
      <c r="D5328" s="7">
        <v>140</v>
      </c>
      <c r="E5328" s="7">
        <v>21</v>
      </c>
      <c r="F5328" s="7">
        <f t="shared" si="83"/>
        <v>6</v>
      </c>
      <c r="G5328" s="7" t="str">
        <f>LOOKUP(H5328,[1]startdates!$A$2:$A$10,[1]startdates!$B$2:$B$10)</f>
        <v>C</v>
      </c>
      <c r="H5328">
        <v>5</v>
      </c>
      <c r="I5328" s="7">
        <v>655.4</v>
      </c>
      <c r="K5328" s="7">
        <v>543.5</v>
      </c>
      <c r="L5328" s="7">
        <v>400.2</v>
      </c>
      <c r="M5328" s="7">
        <v>310.10000000000002</v>
      </c>
      <c r="N5328" s="7">
        <v>197.3</v>
      </c>
      <c r="O5328" s="7">
        <v>158.5</v>
      </c>
      <c r="R5328" s="7">
        <v>235.2</v>
      </c>
    </row>
    <row r="5329" spans="1:19" x14ac:dyDescent="0.2">
      <c r="A5329">
        <v>5328</v>
      </c>
      <c r="B5329" s="1">
        <v>40879</v>
      </c>
      <c r="C5329" t="s">
        <v>28</v>
      </c>
      <c r="D5329" s="7">
        <v>140</v>
      </c>
      <c r="E5329" s="7">
        <v>21</v>
      </c>
      <c r="F5329" s="7">
        <f t="shared" si="83"/>
        <v>6</v>
      </c>
      <c r="G5329" s="7" t="str">
        <f>LOOKUP(H5329,[1]startdates!$A$2:$A$10,[1]startdates!$B$2:$B$10)</f>
        <v>C</v>
      </c>
      <c r="H5329">
        <v>5</v>
      </c>
      <c r="I5329" s="7">
        <v>674.1</v>
      </c>
      <c r="K5329" s="7">
        <v>533.9</v>
      </c>
      <c r="L5329" s="7">
        <v>416.5</v>
      </c>
      <c r="M5329" s="7">
        <v>322.39999999999998</v>
      </c>
      <c r="N5329" s="7">
        <v>169</v>
      </c>
      <c r="O5329" s="7">
        <v>166.1</v>
      </c>
      <c r="R5329" s="7">
        <v>248.3</v>
      </c>
    </row>
    <row r="5330" spans="1:19" x14ac:dyDescent="0.2">
      <c r="A5330">
        <v>5329</v>
      </c>
      <c r="B5330" s="1">
        <v>40879</v>
      </c>
      <c r="C5330" t="s">
        <v>28</v>
      </c>
      <c r="D5330" s="7">
        <v>140</v>
      </c>
      <c r="E5330" s="7">
        <v>21</v>
      </c>
      <c r="F5330" s="7">
        <f t="shared" si="83"/>
        <v>6</v>
      </c>
      <c r="G5330" s="7" t="str">
        <f>LOOKUP(H5330,[1]startdates!$A$2:$A$10,[1]startdates!$B$2:$B$10)</f>
        <v>C</v>
      </c>
      <c r="H5330">
        <v>5</v>
      </c>
      <c r="I5330" s="7">
        <v>601.9</v>
      </c>
      <c r="K5330" s="7">
        <v>528.6</v>
      </c>
      <c r="M5330" s="7">
        <v>283.8</v>
      </c>
      <c r="N5330" s="7">
        <v>201.7</v>
      </c>
      <c r="O5330" s="7">
        <v>167.5</v>
      </c>
      <c r="R5330" s="7">
        <v>271.60000000000002</v>
      </c>
    </row>
    <row r="5331" spans="1:19" x14ac:dyDescent="0.2">
      <c r="A5331">
        <v>5330</v>
      </c>
      <c r="B5331" s="1">
        <v>40879</v>
      </c>
      <c r="C5331" t="s">
        <v>28</v>
      </c>
      <c r="D5331" s="7">
        <v>140</v>
      </c>
      <c r="E5331" s="7">
        <v>21</v>
      </c>
      <c r="F5331" s="7">
        <f t="shared" si="83"/>
        <v>6</v>
      </c>
      <c r="G5331" s="7" t="str">
        <f>LOOKUP(H5331,[1]startdates!$A$2:$A$10,[1]startdates!$B$2:$B$10)</f>
        <v>C</v>
      </c>
      <c r="H5331">
        <v>5</v>
      </c>
      <c r="I5331" s="7">
        <v>649.70000000000005</v>
      </c>
      <c r="K5331" s="7">
        <v>530</v>
      </c>
      <c r="M5331" s="7">
        <v>320</v>
      </c>
      <c r="N5331" s="7">
        <v>241.3</v>
      </c>
      <c r="O5331" s="7">
        <v>173.1</v>
      </c>
      <c r="R5331" s="7">
        <v>271.60000000000002</v>
      </c>
    </row>
    <row r="5332" spans="1:19" x14ac:dyDescent="0.2">
      <c r="A5332">
        <v>5331</v>
      </c>
      <c r="B5332" s="1">
        <v>40879</v>
      </c>
      <c r="C5332" t="s">
        <v>28</v>
      </c>
      <c r="D5332" s="7">
        <v>140</v>
      </c>
      <c r="E5332" s="7">
        <v>21</v>
      </c>
      <c r="F5332" s="7">
        <f t="shared" si="83"/>
        <v>6</v>
      </c>
      <c r="G5332" s="7" t="str">
        <f>LOOKUP(H5332,[1]startdates!$A$2:$A$10,[1]startdates!$B$2:$B$10)</f>
        <v>C</v>
      </c>
      <c r="H5332">
        <v>5</v>
      </c>
      <c r="I5332" s="7">
        <v>630.6</v>
      </c>
      <c r="M5332" s="7">
        <v>384</v>
      </c>
      <c r="N5332" s="7">
        <v>244.8</v>
      </c>
      <c r="O5332" s="7">
        <v>172.5</v>
      </c>
    </row>
    <row r="5333" spans="1:19" x14ac:dyDescent="0.2">
      <c r="A5333">
        <v>5332</v>
      </c>
      <c r="B5333" s="1">
        <v>40879</v>
      </c>
      <c r="C5333" t="s">
        <v>28</v>
      </c>
      <c r="D5333" s="7">
        <v>140</v>
      </c>
      <c r="E5333" s="7">
        <v>21</v>
      </c>
      <c r="F5333" s="7">
        <f t="shared" si="83"/>
        <v>6</v>
      </c>
      <c r="G5333" s="7" t="str">
        <f>LOOKUP(H5333,[1]startdates!$A$2:$A$10,[1]startdates!$B$2:$B$10)</f>
        <v>C</v>
      </c>
      <c r="H5333">
        <v>5</v>
      </c>
      <c r="I5333" s="7">
        <v>637.4</v>
      </c>
      <c r="M5333" s="7">
        <v>318.89999999999998</v>
      </c>
      <c r="N5333" s="7">
        <v>240.3</v>
      </c>
      <c r="O5333" s="7">
        <v>165</v>
      </c>
    </row>
    <row r="5334" spans="1:19" x14ac:dyDescent="0.2">
      <c r="A5334">
        <v>5333</v>
      </c>
      <c r="B5334" s="1">
        <v>40879</v>
      </c>
      <c r="C5334" t="s">
        <v>28</v>
      </c>
      <c r="D5334" s="7">
        <v>140</v>
      </c>
      <c r="E5334" s="7">
        <v>21</v>
      </c>
      <c r="F5334" s="7">
        <f t="shared" si="83"/>
        <v>6</v>
      </c>
      <c r="G5334" s="7" t="str">
        <f>LOOKUP(H5334,[1]startdates!$A$2:$A$10,[1]startdates!$B$2:$B$10)</f>
        <v>C</v>
      </c>
      <c r="H5334">
        <v>5</v>
      </c>
      <c r="I5334" s="7">
        <v>722.8</v>
      </c>
      <c r="M5334" s="7">
        <v>335.3</v>
      </c>
      <c r="N5334" s="7">
        <v>266.60000000000002</v>
      </c>
      <c r="O5334" s="7">
        <v>167.1</v>
      </c>
    </row>
    <row r="5335" spans="1:19" x14ac:dyDescent="0.2">
      <c r="A5335">
        <v>5334</v>
      </c>
      <c r="B5335" s="1">
        <v>40879</v>
      </c>
      <c r="C5335" t="s">
        <v>28</v>
      </c>
      <c r="D5335" s="7">
        <v>140</v>
      </c>
      <c r="E5335" s="7">
        <v>21</v>
      </c>
      <c r="F5335" s="7">
        <f t="shared" si="83"/>
        <v>6</v>
      </c>
      <c r="G5335" s="7" t="str">
        <f>LOOKUP(H5335,[1]startdates!$A$2:$A$10,[1]startdates!$B$2:$B$10)</f>
        <v>C</v>
      </c>
      <c r="H5335">
        <v>5</v>
      </c>
      <c r="I5335" s="7">
        <v>623.1</v>
      </c>
    </row>
    <row r="5336" spans="1:19" x14ac:dyDescent="0.2">
      <c r="A5336">
        <v>5335</v>
      </c>
      <c r="B5336" s="1">
        <v>40879</v>
      </c>
      <c r="C5336" t="s">
        <v>24</v>
      </c>
      <c r="D5336" s="7">
        <v>140</v>
      </c>
      <c r="E5336" s="7">
        <v>21</v>
      </c>
      <c r="F5336" s="7">
        <f t="shared" si="83"/>
        <v>6</v>
      </c>
      <c r="G5336" s="7" t="str">
        <f>LOOKUP(H5336,[1]startdates!$A$2:$A$10,[1]startdates!$B$2:$B$10)</f>
        <v>FMr</v>
      </c>
      <c r="H5336">
        <v>6</v>
      </c>
      <c r="I5336" s="7">
        <v>554.6</v>
      </c>
      <c r="K5336" s="7">
        <v>522.29999999999995</v>
      </c>
      <c r="L5336" s="7">
        <v>380.1</v>
      </c>
      <c r="M5336" s="7">
        <v>382.7</v>
      </c>
      <c r="N5336" s="7">
        <v>204.6</v>
      </c>
      <c r="O5336" s="7">
        <v>159.30000000000001</v>
      </c>
      <c r="P5336" s="7">
        <v>404.5</v>
      </c>
      <c r="Q5336" s="7">
        <v>356.7</v>
      </c>
      <c r="R5336" s="7">
        <v>234</v>
      </c>
      <c r="S5336" s="7">
        <v>207.8</v>
      </c>
    </row>
    <row r="5337" spans="1:19" x14ac:dyDescent="0.2">
      <c r="A5337">
        <v>5336</v>
      </c>
      <c r="B5337" s="1">
        <v>40879</v>
      </c>
      <c r="C5337" t="s">
        <v>24</v>
      </c>
      <c r="D5337" s="7">
        <v>140</v>
      </c>
      <c r="E5337" s="7">
        <v>21</v>
      </c>
      <c r="F5337" s="7">
        <f t="shared" si="83"/>
        <v>6</v>
      </c>
      <c r="G5337" s="7" t="str">
        <f>LOOKUP(H5337,[1]startdates!$A$2:$A$10,[1]startdates!$B$2:$B$10)</f>
        <v>FMr</v>
      </c>
      <c r="H5337">
        <v>6</v>
      </c>
      <c r="I5337" s="7">
        <v>455.6</v>
      </c>
      <c r="K5337" s="7">
        <v>442.9</v>
      </c>
      <c r="M5337" s="7">
        <v>250.4</v>
      </c>
      <c r="N5337" s="7">
        <v>228.7</v>
      </c>
      <c r="O5337" s="7">
        <v>166.9</v>
      </c>
      <c r="Q5337" s="7">
        <v>330.7</v>
      </c>
      <c r="R5337" s="7">
        <v>261.8</v>
      </c>
      <c r="S5337" s="7">
        <v>219.6</v>
      </c>
    </row>
    <row r="5338" spans="1:19" x14ac:dyDescent="0.2">
      <c r="A5338">
        <v>5337</v>
      </c>
      <c r="B5338" s="1">
        <v>40879</v>
      </c>
      <c r="C5338" t="s">
        <v>24</v>
      </c>
      <c r="D5338" s="7">
        <v>140</v>
      </c>
      <c r="E5338" s="7">
        <v>21</v>
      </c>
      <c r="F5338" s="7">
        <f t="shared" si="83"/>
        <v>6</v>
      </c>
      <c r="G5338" s="7" t="str">
        <f>LOOKUP(H5338,[1]startdates!$A$2:$A$10,[1]startdates!$B$2:$B$10)</f>
        <v>FMr</v>
      </c>
      <c r="H5338">
        <v>6</v>
      </c>
      <c r="I5338" s="7">
        <v>522.9</v>
      </c>
      <c r="K5338" s="7">
        <v>434.5</v>
      </c>
      <c r="M5338" s="7">
        <v>302.7</v>
      </c>
      <c r="N5338" s="7">
        <v>232.1</v>
      </c>
      <c r="O5338" s="7">
        <v>140.19999999999999</v>
      </c>
      <c r="Q5338" s="7">
        <v>369.8</v>
      </c>
      <c r="R5338" s="7">
        <v>283.5</v>
      </c>
    </row>
    <row r="5339" spans="1:19" x14ac:dyDescent="0.2">
      <c r="A5339">
        <v>5338</v>
      </c>
      <c r="B5339" s="1">
        <v>40879</v>
      </c>
      <c r="C5339" t="s">
        <v>24</v>
      </c>
      <c r="D5339" s="7">
        <v>140</v>
      </c>
      <c r="E5339" s="7">
        <v>21</v>
      </c>
      <c r="F5339" s="7">
        <f t="shared" si="83"/>
        <v>6</v>
      </c>
      <c r="G5339" s="7" t="str">
        <f>LOOKUP(H5339,[1]startdates!$A$2:$A$10,[1]startdates!$B$2:$B$10)</f>
        <v>FMr</v>
      </c>
      <c r="H5339">
        <v>6</v>
      </c>
      <c r="I5339" s="7">
        <v>547.29999999999995</v>
      </c>
      <c r="K5339" s="7">
        <v>385.9</v>
      </c>
      <c r="M5339" s="7">
        <v>264.5</v>
      </c>
      <c r="N5339" s="7">
        <v>206.5</v>
      </c>
      <c r="O5339" s="7">
        <v>164.2</v>
      </c>
      <c r="Q5339" s="7">
        <v>328.8</v>
      </c>
      <c r="R5339" s="7">
        <v>238.9</v>
      </c>
    </row>
    <row r="5340" spans="1:19" x14ac:dyDescent="0.2">
      <c r="A5340">
        <v>5339</v>
      </c>
      <c r="B5340" s="1">
        <v>40879</v>
      </c>
      <c r="C5340" t="s">
        <v>24</v>
      </c>
      <c r="D5340" s="7">
        <v>140</v>
      </c>
      <c r="E5340" s="7">
        <v>21</v>
      </c>
      <c r="F5340" s="7">
        <f t="shared" si="83"/>
        <v>6</v>
      </c>
      <c r="G5340" s="7" t="str">
        <f>LOOKUP(H5340,[1]startdates!$A$2:$A$10,[1]startdates!$B$2:$B$10)</f>
        <v>FMr</v>
      </c>
      <c r="H5340">
        <v>6</v>
      </c>
      <c r="I5340" s="7">
        <v>600.5</v>
      </c>
      <c r="K5340" s="7">
        <v>380.9</v>
      </c>
      <c r="M5340" s="7">
        <v>261</v>
      </c>
      <c r="N5340" s="7">
        <v>217</v>
      </c>
      <c r="O5340" s="7">
        <v>135.5</v>
      </c>
    </row>
    <row r="5341" spans="1:19" x14ac:dyDescent="0.2">
      <c r="A5341">
        <v>5340</v>
      </c>
      <c r="B5341" s="1">
        <v>40879</v>
      </c>
      <c r="C5341" t="s">
        <v>24</v>
      </c>
      <c r="D5341" s="7">
        <v>140</v>
      </c>
      <c r="E5341" s="7">
        <v>21</v>
      </c>
      <c r="F5341" s="7">
        <f t="shared" si="83"/>
        <v>6</v>
      </c>
      <c r="G5341" s="7" t="str">
        <f>LOOKUP(H5341,[1]startdates!$A$2:$A$10,[1]startdates!$B$2:$B$10)</f>
        <v>FMr</v>
      </c>
      <c r="H5341">
        <v>6</v>
      </c>
      <c r="I5341" s="7">
        <v>532.20000000000005</v>
      </c>
      <c r="K5341" s="7">
        <v>478.8</v>
      </c>
      <c r="M5341" s="7">
        <v>261.8</v>
      </c>
      <c r="N5341" s="7">
        <v>246.7</v>
      </c>
      <c r="O5341" s="7">
        <v>169.9</v>
      </c>
    </row>
    <row r="5342" spans="1:19" x14ac:dyDescent="0.2">
      <c r="A5342">
        <v>5341</v>
      </c>
      <c r="B5342" s="1">
        <v>40879</v>
      </c>
      <c r="C5342" t="s">
        <v>24</v>
      </c>
      <c r="D5342" s="7">
        <v>140</v>
      </c>
      <c r="E5342" s="7">
        <v>21</v>
      </c>
      <c r="F5342" s="7">
        <f t="shared" si="83"/>
        <v>6</v>
      </c>
      <c r="G5342" s="7" t="str">
        <f>LOOKUP(H5342,[1]startdates!$A$2:$A$10,[1]startdates!$B$2:$B$10)</f>
        <v>FMr</v>
      </c>
      <c r="H5342">
        <v>6</v>
      </c>
      <c r="I5342" s="7">
        <v>530.79999999999995</v>
      </c>
      <c r="K5342" s="7">
        <v>432</v>
      </c>
      <c r="M5342" s="7">
        <v>340.5</v>
      </c>
      <c r="N5342" s="7">
        <v>185.3</v>
      </c>
      <c r="O5342" s="7">
        <v>190.1</v>
      </c>
    </row>
    <row r="5343" spans="1:19" x14ac:dyDescent="0.2">
      <c r="A5343">
        <v>5342</v>
      </c>
      <c r="B5343" s="1">
        <v>40879</v>
      </c>
      <c r="C5343" t="s">
        <v>24</v>
      </c>
      <c r="D5343" s="7">
        <v>140</v>
      </c>
      <c r="E5343" s="7">
        <v>21</v>
      </c>
      <c r="F5343" s="7">
        <f t="shared" si="83"/>
        <v>6</v>
      </c>
      <c r="G5343" s="7" t="str">
        <f>LOOKUP(H5343,[1]startdates!$A$2:$A$10,[1]startdates!$B$2:$B$10)</f>
        <v>FMr</v>
      </c>
      <c r="H5343">
        <v>6</v>
      </c>
      <c r="I5343" s="7">
        <v>537.20000000000005</v>
      </c>
      <c r="K5343" s="7">
        <v>457.5</v>
      </c>
      <c r="M5343" s="7">
        <v>330.7</v>
      </c>
      <c r="N5343" s="7">
        <v>207</v>
      </c>
      <c r="O5343" s="7">
        <v>154.80000000000001</v>
      </c>
    </row>
    <row r="5344" spans="1:19" x14ac:dyDescent="0.2">
      <c r="A5344">
        <v>5343</v>
      </c>
      <c r="B5344" s="1">
        <v>40879</v>
      </c>
      <c r="C5344" t="s">
        <v>24</v>
      </c>
      <c r="D5344" s="7">
        <v>140</v>
      </c>
      <c r="E5344" s="7">
        <v>21</v>
      </c>
      <c r="F5344" s="7">
        <f t="shared" si="83"/>
        <v>6</v>
      </c>
      <c r="G5344" s="7" t="str">
        <f>LOOKUP(H5344,[1]startdates!$A$2:$A$10,[1]startdates!$B$2:$B$10)</f>
        <v>FMr</v>
      </c>
      <c r="H5344">
        <v>6</v>
      </c>
      <c r="I5344" s="7">
        <v>510.5</v>
      </c>
      <c r="K5344" s="7">
        <v>450.9</v>
      </c>
      <c r="M5344" s="7">
        <v>277.2</v>
      </c>
      <c r="N5344" s="7">
        <v>243.4</v>
      </c>
      <c r="O5344" s="7">
        <v>148.19999999999999</v>
      </c>
    </row>
    <row r="5345" spans="1:18" x14ac:dyDescent="0.2">
      <c r="A5345">
        <v>5344</v>
      </c>
      <c r="B5345" s="1">
        <v>40879</v>
      </c>
      <c r="C5345" t="s">
        <v>24</v>
      </c>
      <c r="D5345" s="7">
        <v>140</v>
      </c>
      <c r="E5345" s="7">
        <v>21</v>
      </c>
      <c r="F5345" s="7">
        <f t="shared" si="83"/>
        <v>6</v>
      </c>
      <c r="G5345" s="7" t="str">
        <f>LOOKUP(H5345,[1]startdates!$A$2:$A$10,[1]startdates!$B$2:$B$10)</f>
        <v>FMr</v>
      </c>
      <c r="H5345">
        <v>6</v>
      </c>
      <c r="K5345" s="7">
        <v>458.8</v>
      </c>
      <c r="M5345" s="7">
        <v>298</v>
      </c>
      <c r="N5345" s="7">
        <v>184.2</v>
      </c>
      <c r="O5345" s="7">
        <v>155.30000000000001</v>
      </c>
    </row>
    <row r="5346" spans="1:18" x14ac:dyDescent="0.2">
      <c r="A5346">
        <v>5345</v>
      </c>
      <c r="B5346" s="1">
        <v>40879</v>
      </c>
      <c r="C5346" t="s">
        <v>24</v>
      </c>
      <c r="D5346" s="7">
        <v>140</v>
      </c>
      <c r="E5346" s="7">
        <v>21</v>
      </c>
      <c r="F5346" s="7">
        <f t="shared" si="83"/>
        <v>6</v>
      </c>
      <c r="G5346" s="7" t="str">
        <f>LOOKUP(H5346,[1]startdates!$A$2:$A$10,[1]startdates!$B$2:$B$10)</f>
        <v>FMr</v>
      </c>
      <c r="H5346">
        <v>6</v>
      </c>
      <c r="N5346" s="7">
        <v>204.7</v>
      </c>
      <c r="O5346" s="7">
        <v>159.5</v>
      </c>
    </row>
    <row r="5347" spans="1:18" x14ac:dyDescent="0.2">
      <c r="A5347">
        <v>5346</v>
      </c>
      <c r="B5347" s="1">
        <v>40879</v>
      </c>
      <c r="C5347" t="s">
        <v>24</v>
      </c>
      <c r="D5347" s="7">
        <v>140</v>
      </c>
      <c r="E5347" s="7">
        <v>21</v>
      </c>
      <c r="F5347" s="7">
        <f t="shared" si="83"/>
        <v>6</v>
      </c>
      <c r="G5347" s="7" t="str">
        <f>LOOKUP(H5347,[1]startdates!$A$2:$A$10,[1]startdates!$B$2:$B$10)</f>
        <v>FMr</v>
      </c>
      <c r="H5347">
        <v>6</v>
      </c>
      <c r="O5347" s="7">
        <v>184.7</v>
      </c>
    </row>
    <row r="5348" spans="1:18" x14ac:dyDescent="0.2">
      <c r="A5348">
        <v>5347</v>
      </c>
      <c r="B5348" s="1">
        <v>40879</v>
      </c>
      <c r="C5348" t="s">
        <v>24</v>
      </c>
      <c r="D5348" s="7">
        <v>140</v>
      </c>
      <c r="E5348" s="7">
        <v>21</v>
      </c>
      <c r="F5348" s="7">
        <f t="shared" si="83"/>
        <v>6</v>
      </c>
      <c r="G5348" s="7" t="str">
        <f>LOOKUP(H5348,[1]startdates!$A$2:$A$10,[1]startdates!$B$2:$B$10)</f>
        <v>FMr</v>
      </c>
      <c r="H5348">
        <v>6</v>
      </c>
      <c r="O5348" s="7">
        <v>181.1</v>
      </c>
    </row>
    <row r="5349" spans="1:18" x14ac:dyDescent="0.2">
      <c r="A5349">
        <v>5348</v>
      </c>
      <c r="B5349" s="1">
        <v>40879</v>
      </c>
      <c r="C5349" t="s">
        <v>24</v>
      </c>
      <c r="D5349" s="7">
        <v>140</v>
      </c>
      <c r="E5349" s="7">
        <v>21</v>
      </c>
      <c r="F5349" s="7">
        <f t="shared" si="83"/>
        <v>6</v>
      </c>
      <c r="G5349" s="7" t="str">
        <f>LOOKUP(H5349,[1]startdates!$A$2:$A$10,[1]startdates!$B$2:$B$10)</f>
        <v>FMr</v>
      </c>
      <c r="H5349">
        <v>6</v>
      </c>
      <c r="O5349" s="7">
        <v>162.19999999999999</v>
      </c>
    </row>
    <row r="5350" spans="1:18" x14ac:dyDescent="0.2">
      <c r="A5350">
        <v>5349</v>
      </c>
      <c r="B5350" s="1">
        <v>40879</v>
      </c>
      <c r="C5350" t="s">
        <v>28</v>
      </c>
      <c r="D5350" s="7">
        <v>140</v>
      </c>
      <c r="E5350" s="7">
        <v>21</v>
      </c>
      <c r="F5350" s="7">
        <f t="shared" si="83"/>
        <v>6</v>
      </c>
      <c r="G5350" s="7" t="str">
        <f>LOOKUP(H5350,[1]startdates!$A$2:$A$10,[1]startdates!$B$2:$B$10)</f>
        <v>FMr</v>
      </c>
      <c r="H5350">
        <v>7</v>
      </c>
      <c r="I5350" s="7">
        <v>633.1</v>
      </c>
      <c r="K5350" s="7">
        <v>499.5</v>
      </c>
      <c r="L5350" s="7">
        <v>448.9</v>
      </c>
      <c r="M5350" s="7">
        <v>380.1</v>
      </c>
      <c r="N5350" s="7">
        <v>183.1</v>
      </c>
      <c r="O5350" s="7">
        <v>168.1</v>
      </c>
      <c r="P5350" s="7">
        <v>446.4</v>
      </c>
      <c r="Q5350" s="7">
        <v>360.5</v>
      </c>
      <c r="R5350" s="7">
        <v>238.7</v>
      </c>
    </row>
    <row r="5351" spans="1:18" x14ac:dyDescent="0.2">
      <c r="A5351">
        <v>5350</v>
      </c>
      <c r="B5351" s="1">
        <v>40879</v>
      </c>
      <c r="C5351" t="s">
        <v>28</v>
      </c>
      <c r="D5351" s="7">
        <v>140</v>
      </c>
      <c r="E5351" s="7">
        <v>21</v>
      </c>
      <c r="F5351" s="7">
        <f t="shared" si="83"/>
        <v>6</v>
      </c>
      <c r="G5351" s="7" t="str">
        <f>LOOKUP(H5351,[1]startdates!$A$2:$A$10,[1]startdates!$B$2:$B$10)</f>
        <v>FMr</v>
      </c>
      <c r="H5351">
        <v>7</v>
      </c>
      <c r="I5351" s="7">
        <v>597.79999999999995</v>
      </c>
      <c r="K5351" s="7">
        <v>541.29999999999995</v>
      </c>
      <c r="L5351" s="7">
        <v>464.3</v>
      </c>
      <c r="M5351" s="7">
        <v>312.10000000000002</v>
      </c>
      <c r="N5351" s="7">
        <v>209.1</v>
      </c>
      <c r="O5351" s="7">
        <v>176.9</v>
      </c>
    </row>
    <row r="5352" spans="1:18" x14ac:dyDescent="0.2">
      <c r="A5352">
        <v>5351</v>
      </c>
      <c r="B5352" s="1">
        <v>40879</v>
      </c>
      <c r="C5352" t="s">
        <v>28</v>
      </c>
      <c r="D5352" s="7">
        <v>140</v>
      </c>
      <c r="E5352" s="7">
        <v>21</v>
      </c>
      <c r="F5352" s="7">
        <f t="shared" si="83"/>
        <v>6</v>
      </c>
      <c r="G5352" s="7" t="str">
        <f>LOOKUP(H5352,[1]startdates!$A$2:$A$10,[1]startdates!$B$2:$B$10)</f>
        <v>FMr</v>
      </c>
      <c r="H5352">
        <v>7</v>
      </c>
      <c r="I5352" s="7">
        <v>505.4</v>
      </c>
      <c r="K5352" s="7">
        <v>441.8</v>
      </c>
      <c r="L5352" s="7">
        <v>435.2</v>
      </c>
      <c r="M5352" s="7">
        <v>308.39999999999998</v>
      </c>
      <c r="N5352" s="7">
        <v>243.8</v>
      </c>
      <c r="O5352" s="7">
        <v>163.4</v>
      </c>
    </row>
    <row r="5353" spans="1:18" x14ac:dyDescent="0.2">
      <c r="A5353">
        <v>5352</v>
      </c>
      <c r="B5353" s="1">
        <v>40879</v>
      </c>
      <c r="C5353" t="s">
        <v>28</v>
      </c>
      <c r="D5353" s="7">
        <v>140</v>
      </c>
      <c r="E5353" s="7">
        <v>21</v>
      </c>
      <c r="F5353" s="7">
        <f t="shared" ref="F5353:F5416" si="84">WEEKDAY(B5353)</f>
        <v>6</v>
      </c>
      <c r="G5353" s="7" t="str">
        <f>LOOKUP(H5353,[1]startdates!$A$2:$A$10,[1]startdates!$B$2:$B$10)</f>
        <v>FMr</v>
      </c>
      <c r="H5353">
        <v>7</v>
      </c>
      <c r="I5353" s="7">
        <v>619.70000000000005</v>
      </c>
      <c r="K5353" s="7">
        <v>471.7</v>
      </c>
      <c r="L5353" s="7">
        <v>402.5</v>
      </c>
      <c r="M5353" s="7">
        <v>379</v>
      </c>
      <c r="N5353" s="7">
        <v>216.6</v>
      </c>
      <c r="O5353" s="7">
        <v>167.7</v>
      </c>
    </row>
    <row r="5354" spans="1:18" x14ac:dyDescent="0.2">
      <c r="A5354">
        <v>5353</v>
      </c>
      <c r="B5354" s="1">
        <v>40879</v>
      </c>
      <c r="C5354" t="s">
        <v>28</v>
      </c>
      <c r="D5354" s="7">
        <v>140</v>
      </c>
      <c r="E5354" s="7">
        <v>21</v>
      </c>
      <c r="F5354" s="7">
        <f t="shared" si="84"/>
        <v>6</v>
      </c>
      <c r="G5354" s="7" t="str">
        <f>LOOKUP(H5354,[1]startdates!$A$2:$A$10,[1]startdates!$B$2:$B$10)</f>
        <v>FMr</v>
      </c>
      <c r="H5354">
        <v>7</v>
      </c>
      <c r="I5354" s="7">
        <v>467.7</v>
      </c>
      <c r="K5354" s="7">
        <v>578.20000000000005</v>
      </c>
      <c r="L5354" s="7">
        <v>418.2</v>
      </c>
      <c r="M5354" s="7">
        <v>334.8</v>
      </c>
      <c r="N5354" s="7">
        <v>216.6</v>
      </c>
      <c r="O5354" s="7">
        <v>166.8</v>
      </c>
    </row>
    <row r="5355" spans="1:18" x14ac:dyDescent="0.2">
      <c r="A5355">
        <v>5354</v>
      </c>
      <c r="B5355" s="1">
        <v>40879</v>
      </c>
      <c r="C5355" t="s">
        <v>28</v>
      </c>
      <c r="D5355" s="7">
        <v>140</v>
      </c>
      <c r="E5355" s="7">
        <v>21</v>
      </c>
      <c r="F5355" s="7">
        <f t="shared" si="84"/>
        <v>6</v>
      </c>
      <c r="G5355" s="7" t="str">
        <f>LOOKUP(H5355,[1]startdates!$A$2:$A$10,[1]startdates!$B$2:$B$10)</f>
        <v>FMr</v>
      </c>
      <c r="H5355">
        <v>7</v>
      </c>
      <c r="I5355" s="7">
        <v>552.29999999999995</v>
      </c>
      <c r="K5355" s="7">
        <v>548.4</v>
      </c>
      <c r="L5355" s="7">
        <v>413.3</v>
      </c>
      <c r="M5355" s="7">
        <v>331.9</v>
      </c>
      <c r="N5355" s="7">
        <v>224.7</v>
      </c>
      <c r="O5355" s="7">
        <v>154.80000000000001</v>
      </c>
    </row>
    <row r="5356" spans="1:18" x14ac:dyDescent="0.2">
      <c r="A5356">
        <v>5355</v>
      </c>
      <c r="B5356" s="1">
        <v>40879</v>
      </c>
      <c r="C5356" t="s">
        <v>28</v>
      </c>
      <c r="D5356" s="7">
        <v>140</v>
      </c>
      <c r="E5356" s="7">
        <v>21</v>
      </c>
      <c r="F5356" s="7">
        <f t="shared" si="84"/>
        <v>6</v>
      </c>
      <c r="G5356" s="7" t="str">
        <f>LOOKUP(H5356,[1]startdates!$A$2:$A$10,[1]startdates!$B$2:$B$10)</f>
        <v>FMr</v>
      </c>
      <c r="H5356">
        <v>7</v>
      </c>
      <c r="I5356" s="7">
        <v>599.6</v>
      </c>
      <c r="K5356" s="7">
        <v>484</v>
      </c>
      <c r="L5356" s="7">
        <v>452.9</v>
      </c>
      <c r="M5356" s="7">
        <v>294.7</v>
      </c>
      <c r="N5356" s="7">
        <v>259</v>
      </c>
      <c r="O5356" s="7">
        <v>169.6</v>
      </c>
    </row>
    <row r="5357" spans="1:18" x14ac:dyDescent="0.2">
      <c r="A5357">
        <v>5356</v>
      </c>
      <c r="B5357" s="1">
        <v>40879</v>
      </c>
      <c r="C5357" t="s">
        <v>28</v>
      </c>
      <c r="D5357" s="7">
        <v>140</v>
      </c>
      <c r="E5357" s="7">
        <v>21</v>
      </c>
      <c r="F5357" s="7">
        <f t="shared" si="84"/>
        <v>6</v>
      </c>
      <c r="G5357" s="7" t="str">
        <f>LOOKUP(H5357,[1]startdates!$A$2:$A$10,[1]startdates!$B$2:$B$10)</f>
        <v>FMr</v>
      </c>
      <c r="H5357">
        <v>7</v>
      </c>
      <c r="I5357" s="7">
        <v>536.1</v>
      </c>
      <c r="K5357" s="7">
        <v>529</v>
      </c>
      <c r="M5357" s="7">
        <v>289.2</v>
      </c>
      <c r="N5357" s="7">
        <v>236.1</v>
      </c>
      <c r="O5357" s="7">
        <v>165.5</v>
      </c>
    </row>
    <row r="5358" spans="1:18" x14ac:dyDescent="0.2">
      <c r="A5358">
        <v>5357</v>
      </c>
      <c r="B5358" s="1">
        <v>40879</v>
      </c>
      <c r="C5358" t="s">
        <v>28</v>
      </c>
      <c r="D5358" s="7">
        <v>140</v>
      </c>
      <c r="E5358" s="7">
        <v>21</v>
      </c>
      <c r="F5358" s="7">
        <f t="shared" si="84"/>
        <v>6</v>
      </c>
      <c r="G5358" s="7" t="str">
        <f>LOOKUP(H5358,[1]startdates!$A$2:$A$10,[1]startdates!$B$2:$B$10)</f>
        <v>FMr</v>
      </c>
      <c r="H5358">
        <v>7</v>
      </c>
      <c r="I5358" s="7">
        <v>559.70000000000005</v>
      </c>
      <c r="K5358" s="7">
        <v>464.1</v>
      </c>
      <c r="M5358" s="7">
        <v>362.6</v>
      </c>
      <c r="N5358" s="7">
        <v>191.3</v>
      </c>
      <c r="O5358" s="7">
        <v>140</v>
      </c>
    </row>
    <row r="5359" spans="1:18" x14ac:dyDescent="0.2">
      <c r="A5359">
        <v>5358</v>
      </c>
      <c r="B5359" s="1">
        <v>40879</v>
      </c>
      <c r="C5359" t="s">
        <v>28</v>
      </c>
      <c r="D5359" s="7">
        <v>140</v>
      </c>
      <c r="E5359" s="7">
        <v>21</v>
      </c>
      <c r="F5359" s="7">
        <f t="shared" si="84"/>
        <v>6</v>
      </c>
      <c r="G5359" s="7" t="str">
        <f>LOOKUP(H5359,[1]startdates!$A$2:$A$10,[1]startdates!$B$2:$B$10)</f>
        <v>FMr</v>
      </c>
      <c r="H5359">
        <v>7</v>
      </c>
      <c r="I5359" s="7">
        <v>531.20000000000005</v>
      </c>
      <c r="M5359" s="7">
        <v>349.3</v>
      </c>
      <c r="N5359" s="7">
        <v>277.2</v>
      </c>
      <c r="O5359" s="7">
        <v>153.19999999999999</v>
      </c>
    </row>
    <row r="5360" spans="1:18" x14ac:dyDescent="0.2">
      <c r="A5360">
        <v>5359</v>
      </c>
      <c r="B5360" s="1">
        <v>40879</v>
      </c>
      <c r="C5360" t="s">
        <v>28</v>
      </c>
      <c r="D5360" s="7">
        <v>140</v>
      </c>
      <c r="E5360" s="7">
        <v>21</v>
      </c>
      <c r="F5360" s="7">
        <f t="shared" si="84"/>
        <v>6</v>
      </c>
      <c r="G5360" s="7" t="str">
        <f>LOOKUP(H5360,[1]startdates!$A$2:$A$10,[1]startdates!$B$2:$B$10)</f>
        <v>FMr</v>
      </c>
      <c r="H5360">
        <v>7</v>
      </c>
      <c r="I5360" s="7">
        <v>610.79999999999995</v>
      </c>
      <c r="M5360" s="7">
        <v>377.2</v>
      </c>
      <c r="N5360" s="7">
        <v>200.1</v>
      </c>
      <c r="O5360" s="7">
        <v>167.5</v>
      </c>
    </row>
    <row r="5361" spans="1:19" x14ac:dyDescent="0.2">
      <c r="A5361">
        <v>5360</v>
      </c>
      <c r="B5361" s="1">
        <v>40879</v>
      </c>
      <c r="C5361" t="s">
        <v>28</v>
      </c>
      <c r="D5361" s="7">
        <v>140</v>
      </c>
      <c r="E5361" s="7">
        <v>21</v>
      </c>
      <c r="F5361" s="7">
        <f t="shared" si="84"/>
        <v>6</v>
      </c>
      <c r="G5361" s="7" t="str">
        <f>LOOKUP(H5361,[1]startdates!$A$2:$A$10,[1]startdates!$B$2:$B$10)</f>
        <v>FMr</v>
      </c>
      <c r="H5361">
        <v>7</v>
      </c>
      <c r="I5361" s="7">
        <v>553.5</v>
      </c>
      <c r="M5361" s="7">
        <v>315.5</v>
      </c>
    </row>
    <row r="5362" spans="1:19" x14ac:dyDescent="0.2">
      <c r="A5362">
        <v>5361</v>
      </c>
      <c r="B5362" s="1">
        <v>40879</v>
      </c>
      <c r="C5362" t="s">
        <v>28</v>
      </c>
      <c r="D5362" s="7">
        <v>140</v>
      </c>
      <c r="E5362" s="7">
        <v>21</v>
      </c>
      <c r="F5362" s="7">
        <f t="shared" si="84"/>
        <v>6</v>
      </c>
      <c r="G5362" s="7" t="str">
        <f>LOOKUP(H5362,[1]startdates!$A$2:$A$10,[1]startdates!$B$2:$B$10)</f>
        <v>C</v>
      </c>
      <c r="H5362">
        <v>8</v>
      </c>
      <c r="I5362" s="7">
        <v>614.6</v>
      </c>
      <c r="J5362" s="7">
        <v>566.4</v>
      </c>
      <c r="K5362" s="7">
        <v>637</v>
      </c>
      <c r="L5362" s="7">
        <v>447.2</v>
      </c>
      <c r="M5362" s="7">
        <v>302.5</v>
      </c>
      <c r="N5362" s="7">
        <v>285</v>
      </c>
      <c r="O5362" s="7">
        <v>164</v>
      </c>
      <c r="P5362" s="7">
        <v>442.9</v>
      </c>
      <c r="R5362" s="7">
        <v>254.2</v>
      </c>
      <c r="S5362" s="7">
        <v>292</v>
      </c>
    </row>
    <row r="5363" spans="1:19" x14ac:dyDescent="0.2">
      <c r="A5363">
        <v>5362</v>
      </c>
      <c r="B5363" s="1">
        <v>40879</v>
      </c>
      <c r="C5363" t="s">
        <v>28</v>
      </c>
      <c r="D5363" s="7">
        <v>140</v>
      </c>
      <c r="E5363" s="7">
        <v>21</v>
      </c>
      <c r="F5363" s="7">
        <f t="shared" si="84"/>
        <v>6</v>
      </c>
      <c r="G5363" s="7" t="str">
        <f>LOOKUP(H5363,[1]startdates!$A$2:$A$10,[1]startdates!$B$2:$B$10)</f>
        <v>C</v>
      </c>
      <c r="H5363">
        <v>8</v>
      </c>
      <c r="I5363" s="7">
        <v>639.4</v>
      </c>
      <c r="J5363" s="7">
        <v>559.29999999999995</v>
      </c>
      <c r="K5363" s="7">
        <v>518.4</v>
      </c>
      <c r="L5363" s="7">
        <v>409</v>
      </c>
      <c r="M5363" s="7">
        <v>299.89999999999998</v>
      </c>
      <c r="N5363" s="7">
        <v>206.3</v>
      </c>
      <c r="O5363" s="7">
        <v>169.7</v>
      </c>
      <c r="R5363" s="7">
        <v>268.8</v>
      </c>
      <c r="S5363" s="7">
        <v>269.7</v>
      </c>
    </row>
    <row r="5364" spans="1:19" x14ac:dyDescent="0.2">
      <c r="A5364">
        <v>5363</v>
      </c>
      <c r="B5364" s="1">
        <v>40879</v>
      </c>
      <c r="C5364" t="s">
        <v>28</v>
      </c>
      <c r="D5364" s="7">
        <v>140</v>
      </c>
      <c r="E5364" s="7">
        <v>21</v>
      </c>
      <c r="F5364" s="7">
        <f t="shared" si="84"/>
        <v>6</v>
      </c>
      <c r="G5364" s="7" t="str">
        <f>LOOKUP(H5364,[1]startdates!$A$2:$A$10,[1]startdates!$B$2:$B$10)</f>
        <v>C</v>
      </c>
      <c r="H5364">
        <v>8</v>
      </c>
      <c r="I5364" s="7">
        <v>653.9</v>
      </c>
      <c r="J5364" s="7">
        <v>551.9</v>
      </c>
      <c r="K5364" s="7">
        <v>478.1</v>
      </c>
      <c r="L5364" s="7">
        <v>389</v>
      </c>
      <c r="M5364" s="7">
        <v>304.5</v>
      </c>
      <c r="N5364" s="7">
        <v>214.2</v>
      </c>
      <c r="O5364" s="7">
        <v>175</v>
      </c>
      <c r="S5364" s="7">
        <v>273.7</v>
      </c>
    </row>
    <row r="5365" spans="1:19" x14ac:dyDescent="0.2">
      <c r="A5365">
        <v>5364</v>
      </c>
      <c r="B5365" s="1">
        <v>40879</v>
      </c>
      <c r="C5365" t="s">
        <v>28</v>
      </c>
      <c r="D5365" s="7">
        <v>140</v>
      </c>
      <c r="E5365" s="7">
        <v>21</v>
      </c>
      <c r="F5365" s="7">
        <f t="shared" si="84"/>
        <v>6</v>
      </c>
      <c r="G5365" s="7" t="str">
        <f>LOOKUP(H5365,[1]startdates!$A$2:$A$10,[1]startdates!$B$2:$B$10)</f>
        <v>C</v>
      </c>
      <c r="H5365">
        <v>8</v>
      </c>
      <c r="I5365" s="7">
        <v>660.3</v>
      </c>
      <c r="J5365" s="7">
        <v>527.5</v>
      </c>
      <c r="K5365" s="7">
        <v>513.4</v>
      </c>
      <c r="L5365" s="7">
        <v>448.4</v>
      </c>
      <c r="M5365" s="7">
        <v>312.10000000000002</v>
      </c>
      <c r="N5365" s="7">
        <v>276.2</v>
      </c>
      <c r="O5365" s="7">
        <v>184.9</v>
      </c>
      <c r="S5365" s="7">
        <v>290.3</v>
      </c>
    </row>
    <row r="5366" spans="1:19" x14ac:dyDescent="0.2">
      <c r="A5366">
        <v>5365</v>
      </c>
      <c r="B5366" s="1">
        <v>40879</v>
      </c>
      <c r="C5366" t="s">
        <v>28</v>
      </c>
      <c r="D5366" s="7">
        <v>140</v>
      </c>
      <c r="E5366" s="7">
        <v>21</v>
      </c>
      <c r="F5366" s="7">
        <f t="shared" si="84"/>
        <v>6</v>
      </c>
      <c r="G5366" s="7" t="str">
        <f>LOOKUP(H5366,[1]startdates!$A$2:$A$10,[1]startdates!$B$2:$B$10)</f>
        <v>C</v>
      </c>
      <c r="H5366">
        <v>8</v>
      </c>
      <c r="I5366" s="7">
        <v>684.9</v>
      </c>
      <c r="J5366" s="7">
        <v>512.1</v>
      </c>
      <c r="K5366" s="7">
        <v>546.79999999999995</v>
      </c>
      <c r="M5366" s="7">
        <v>369.8</v>
      </c>
      <c r="N5366" s="7">
        <v>256</v>
      </c>
      <c r="O5366" s="7">
        <v>161.5</v>
      </c>
    </row>
    <row r="5367" spans="1:19" x14ac:dyDescent="0.2">
      <c r="A5367">
        <v>5366</v>
      </c>
      <c r="B5367" s="1">
        <v>40879</v>
      </c>
      <c r="C5367" t="s">
        <v>28</v>
      </c>
      <c r="D5367" s="7">
        <v>140</v>
      </c>
      <c r="E5367" s="7">
        <v>21</v>
      </c>
      <c r="F5367" s="7">
        <f t="shared" si="84"/>
        <v>6</v>
      </c>
      <c r="G5367" s="7" t="str">
        <f>LOOKUP(H5367,[1]startdates!$A$2:$A$10,[1]startdates!$B$2:$B$10)</f>
        <v>C</v>
      </c>
      <c r="H5367">
        <v>8</v>
      </c>
      <c r="I5367" s="7">
        <v>620.70000000000005</v>
      </c>
      <c r="K5367" s="7">
        <v>588.4</v>
      </c>
      <c r="M5367" s="7">
        <v>360.6</v>
      </c>
      <c r="N5367" s="7">
        <v>210.9</v>
      </c>
      <c r="O5367" s="7">
        <v>145.9</v>
      </c>
    </row>
    <row r="5368" spans="1:19" x14ac:dyDescent="0.2">
      <c r="A5368">
        <v>5367</v>
      </c>
      <c r="B5368" s="1">
        <v>40879</v>
      </c>
      <c r="C5368" t="s">
        <v>28</v>
      </c>
      <c r="D5368" s="7">
        <v>140</v>
      </c>
      <c r="E5368" s="7">
        <v>21</v>
      </c>
      <c r="F5368" s="7">
        <f t="shared" si="84"/>
        <v>6</v>
      </c>
      <c r="G5368" s="7" t="str">
        <f>LOOKUP(H5368,[1]startdates!$A$2:$A$10,[1]startdates!$B$2:$B$10)</f>
        <v>C</v>
      </c>
      <c r="H5368">
        <v>8</v>
      </c>
      <c r="I5368" s="7">
        <v>672.2</v>
      </c>
      <c r="K5368" s="7">
        <v>506.1</v>
      </c>
      <c r="M5368" s="7">
        <v>290</v>
      </c>
      <c r="N5368" s="7">
        <v>207.4</v>
      </c>
      <c r="O5368" s="7">
        <v>169.5</v>
      </c>
    </row>
    <row r="5369" spans="1:19" x14ac:dyDescent="0.2">
      <c r="A5369">
        <v>5368</v>
      </c>
      <c r="B5369" s="1">
        <v>40879</v>
      </c>
      <c r="C5369" t="s">
        <v>28</v>
      </c>
      <c r="D5369" s="7">
        <v>140</v>
      </c>
      <c r="E5369" s="7">
        <v>21</v>
      </c>
      <c r="F5369" s="7">
        <f t="shared" si="84"/>
        <v>6</v>
      </c>
      <c r="G5369" s="7" t="str">
        <f>LOOKUP(H5369,[1]startdates!$A$2:$A$10,[1]startdates!$B$2:$B$10)</f>
        <v>C</v>
      </c>
      <c r="H5369">
        <v>8</v>
      </c>
      <c r="I5369" s="7">
        <v>627.9</v>
      </c>
      <c r="N5369" s="7">
        <v>213.1</v>
      </c>
      <c r="O5369" s="7">
        <v>166.8</v>
      </c>
    </row>
    <row r="5370" spans="1:19" x14ac:dyDescent="0.2">
      <c r="A5370">
        <v>5369</v>
      </c>
      <c r="B5370" s="1">
        <v>40879</v>
      </c>
      <c r="C5370" t="s">
        <v>28</v>
      </c>
      <c r="D5370" s="7">
        <v>140</v>
      </c>
      <c r="E5370" s="7">
        <v>21</v>
      </c>
      <c r="F5370" s="7">
        <f t="shared" si="84"/>
        <v>6</v>
      </c>
      <c r="G5370" s="7" t="str">
        <f>LOOKUP(H5370,[1]startdates!$A$2:$A$10,[1]startdates!$B$2:$B$10)</f>
        <v>C</v>
      </c>
      <c r="H5370">
        <v>8</v>
      </c>
      <c r="I5370" s="7">
        <v>596.4</v>
      </c>
      <c r="N5370" s="7">
        <v>247.1</v>
      </c>
      <c r="O5370" s="7">
        <v>176</v>
      </c>
    </row>
    <row r="5371" spans="1:19" x14ac:dyDescent="0.2">
      <c r="A5371">
        <v>5370</v>
      </c>
      <c r="B5371" s="1">
        <v>40879</v>
      </c>
      <c r="C5371" t="s">
        <v>28</v>
      </c>
      <c r="D5371" s="7">
        <v>140</v>
      </c>
      <c r="E5371" s="7">
        <v>21</v>
      </c>
      <c r="F5371" s="7">
        <f t="shared" si="84"/>
        <v>6</v>
      </c>
      <c r="G5371" s="7" t="str">
        <f>LOOKUP(H5371,[1]startdates!$A$2:$A$10,[1]startdates!$B$2:$B$10)</f>
        <v>C</v>
      </c>
      <c r="H5371">
        <v>8</v>
      </c>
      <c r="I5371" s="7">
        <v>622.1</v>
      </c>
      <c r="N5371" s="7">
        <v>249.6</v>
      </c>
      <c r="O5371" s="7">
        <v>152.69999999999999</v>
      </c>
    </row>
    <row r="5372" spans="1:19" x14ac:dyDescent="0.2">
      <c r="A5372">
        <v>5371</v>
      </c>
      <c r="B5372" s="1">
        <v>40879</v>
      </c>
      <c r="C5372" t="s">
        <v>28</v>
      </c>
      <c r="D5372" s="7">
        <v>140</v>
      </c>
      <c r="E5372" s="7">
        <v>21</v>
      </c>
      <c r="F5372" s="7">
        <f t="shared" si="84"/>
        <v>6</v>
      </c>
      <c r="G5372" s="7" t="str">
        <f>LOOKUP(H5372,[1]startdates!$A$2:$A$10,[1]startdates!$B$2:$B$10)</f>
        <v>C</v>
      </c>
      <c r="H5372">
        <v>8</v>
      </c>
      <c r="I5372" s="7">
        <v>592.20000000000005</v>
      </c>
      <c r="O5372" s="7">
        <v>158.4</v>
      </c>
    </row>
    <row r="5373" spans="1:19" x14ac:dyDescent="0.2">
      <c r="A5373">
        <v>5372</v>
      </c>
      <c r="B5373" s="1">
        <v>40879</v>
      </c>
      <c r="C5373" t="s">
        <v>24</v>
      </c>
      <c r="D5373" s="7">
        <v>140</v>
      </c>
      <c r="E5373" s="7">
        <v>21</v>
      </c>
      <c r="F5373" s="7">
        <f t="shared" si="84"/>
        <v>6</v>
      </c>
      <c r="G5373" s="7" t="str">
        <f>LOOKUP(H5373,[1]startdates!$A$2:$A$10,[1]startdates!$B$2:$B$10)</f>
        <v>FMr</v>
      </c>
      <c r="H5373">
        <v>9</v>
      </c>
      <c r="I5373" s="7">
        <v>541.70000000000005</v>
      </c>
      <c r="J5373" s="7">
        <v>512.79999999999995</v>
      </c>
      <c r="K5373" s="7">
        <v>530.29999999999995</v>
      </c>
      <c r="L5373" s="7">
        <v>400.6</v>
      </c>
      <c r="M5373" s="7">
        <v>380.7</v>
      </c>
      <c r="N5373" s="7">
        <v>183.8</v>
      </c>
      <c r="O5373" s="7">
        <v>173.8</v>
      </c>
      <c r="P5373" s="7">
        <v>444.9</v>
      </c>
      <c r="R5373" s="7">
        <v>243.9</v>
      </c>
    </row>
    <row r="5374" spans="1:19" x14ac:dyDescent="0.2">
      <c r="A5374">
        <v>5373</v>
      </c>
      <c r="B5374" s="1">
        <v>40879</v>
      </c>
      <c r="C5374" t="s">
        <v>24</v>
      </c>
      <c r="D5374" s="7">
        <v>140</v>
      </c>
      <c r="E5374" s="7">
        <v>21</v>
      </c>
      <c r="F5374" s="7">
        <f t="shared" si="84"/>
        <v>6</v>
      </c>
      <c r="G5374" s="7" t="str">
        <f>LOOKUP(H5374,[1]startdates!$A$2:$A$10,[1]startdates!$B$2:$B$10)</f>
        <v>FMr</v>
      </c>
      <c r="H5374">
        <v>9</v>
      </c>
      <c r="I5374" s="7">
        <v>658</v>
      </c>
      <c r="K5374" s="7">
        <v>565.79999999999995</v>
      </c>
      <c r="L5374" s="7">
        <v>414</v>
      </c>
      <c r="M5374" s="7">
        <v>360.8</v>
      </c>
      <c r="N5374" s="7">
        <v>253.4</v>
      </c>
      <c r="O5374" s="7">
        <v>148.9</v>
      </c>
      <c r="P5374" s="7">
        <v>439.3</v>
      </c>
    </row>
    <row r="5375" spans="1:19" x14ac:dyDescent="0.2">
      <c r="A5375">
        <v>5374</v>
      </c>
      <c r="B5375" s="1">
        <v>40879</v>
      </c>
      <c r="C5375" t="s">
        <v>24</v>
      </c>
      <c r="D5375" s="7">
        <v>140</v>
      </c>
      <c r="E5375" s="7">
        <v>21</v>
      </c>
      <c r="F5375" s="7">
        <f t="shared" si="84"/>
        <v>6</v>
      </c>
      <c r="G5375" s="7" t="str">
        <f>LOOKUP(H5375,[1]startdates!$A$2:$A$10,[1]startdates!$B$2:$B$10)</f>
        <v>FMr</v>
      </c>
      <c r="H5375">
        <v>9</v>
      </c>
      <c r="I5375" s="7">
        <v>680.5</v>
      </c>
      <c r="K5375" s="7">
        <v>509.7</v>
      </c>
      <c r="L5375" s="7">
        <v>385.6</v>
      </c>
      <c r="M5375" s="7">
        <v>353.1</v>
      </c>
      <c r="N5375" s="7">
        <v>184.9</v>
      </c>
      <c r="O5375" s="7">
        <v>179.8</v>
      </c>
      <c r="P5375" s="7">
        <v>443.4</v>
      </c>
    </row>
    <row r="5376" spans="1:19" x14ac:dyDescent="0.2">
      <c r="A5376">
        <v>5375</v>
      </c>
      <c r="B5376" s="1">
        <v>40879</v>
      </c>
      <c r="C5376" t="s">
        <v>24</v>
      </c>
      <c r="D5376" s="7">
        <v>140</v>
      </c>
      <c r="E5376" s="7">
        <v>21</v>
      </c>
      <c r="F5376" s="7">
        <f t="shared" si="84"/>
        <v>6</v>
      </c>
      <c r="G5376" s="7" t="str">
        <f>LOOKUP(H5376,[1]startdates!$A$2:$A$10,[1]startdates!$B$2:$B$10)</f>
        <v>FMr</v>
      </c>
      <c r="H5376">
        <v>9</v>
      </c>
      <c r="I5376" s="7">
        <v>607.70000000000005</v>
      </c>
      <c r="K5376" s="7">
        <v>429.5</v>
      </c>
      <c r="L5376" s="7">
        <v>390.6</v>
      </c>
      <c r="M5376" s="7">
        <v>383.2</v>
      </c>
      <c r="N5376" s="7">
        <v>214.5</v>
      </c>
      <c r="O5376" s="7">
        <v>174.6</v>
      </c>
    </row>
    <row r="5377" spans="1:21" x14ac:dyDescent="0.2">
      <c r="A5377">
        <v>5376</v>
      </c>
      <c r="B5377" s="1">
        <v>40879</v>
      </c>
      <c r="C5377" t="s">
        <v>24</v>
      </c>
      <c r="D5377" s="7">
        <v>140</v>
      </c>
      <c r="E5377" s="7">
        <v>21</v>
      </c>
      <c r="F5377" s="7">
        <f t="shared" si="84"/>
        <v>6</v>
      </c>
      <c r="G5377" s="7" t="str">
        <f>LOOKUP(H5377,[1]startdates!$A$2:$A$10,[1]startdates!$B$2:$B$10)</f>
        <v>FMr</v>
      </c>
      <c r="H5377">
        <v>9</v>
      </c>
      <c r="I5377" s="7">
        <v>523.79999999999995</v>
      </c>
      <c r="K5377" s="7">
        <v>455.2</v>
      </c>
      <c r="L5377" s="7">
        <v>411.5</v>
      </c>
      <c r="M5377" s="7">
        <v>301.39999999999998</v>
      </c>
      <c r="N5377" s="7">
        <v>217.2</v>
      </c>
      <c r="O5377" s="7">
        <v>161.69999999999999</v>
      </c>
    </row>
    <row r="5378" spans="1:21" x14ac:dyDescent="0.2">
      <c r="A5378">
        <v>5377</v>
      </c>
      <c r="B5378" s="1">
        <v>40879</v>
      </c>
      <c r="C5378" t="s">
        <v>24</v>
      </c>
      <c r="D5378" s="7">
        <v>140</v>
      </c>
      <c r="E5378" s="7">
        <v>21</v>
      </c>
      <c r="F5378" s="7">
        <f t="shared" si="84"/>
        <v>6</v>
      </c>
      <c r="G5378" s="7" t="str">
        <f>LOOKUP(H5378,[1]startdates!$A$2:$A$10,[1]startdates!$B$2:$B$10)</f>
        <v>FMr</v>
      </c>
      <c r="H5378">
        <v>9</v>
      </c>
      <c r="I5378" s="7">
        <v>582.6</v>
      </c>
      <c r="K5378" s="7">
        <v>505.7</v>
      </c>
      <c r="L5378" s="7">
        <v>400.6</v>
      </c>
      <c r="M5378" s="7">
        <v>304.3</v>
      </c>
      <c r="N5378" s="7">
        <v>209.4</v>
      </c>
      <c r="O5378" s="7">
        <v>171.2</v>
      </c>
    </row>
    <row r="5379" spans="1:21" x14ac:dyDescent="0.2">
      <c r="A5379">
        <v>5378</v>
      </c>
      <c r="B5379" s="1">
        <v>40879</v>
      </c>
      <c r="C5379" t="s">
        <v>24</v>
      </c>
      <c r="D5379" s="7">
        <v>140</v>
      </c>
      <c r="E5379" s="7">
        <v>21</v>
      </c>
      <c r="F5379" s="7">
        <f t="shared" si="84"/>
        <v>6</v>
      </c>
      <c r="G5379" s="7" t="str">
        <f>LOOKUP(H5379,[1]startdates!$A$2:$A$10,[1]startdates!$B$2:$B$10)</f>
        <v>FMr</v>
      </c>
      <c r="H5379">
        <v>9</v>
      </c>
      <c r="I5379" s="7">
        <v>632.20000000000005</v>
      </c>
      <c r="K5379" s="7">
        <v>455.2</v>
      </c>
      <c r="L5379" s="7">
        <v>408.7</v>
      </c>
      <c r="M5379" s="7">
        <v>289.5</v>
      </c>
      <c r="N5379" s="7">
        <v>203.3</v>
      </c>
      <c r="O5379" s="7">
        <v>177.7</v>
      </c>
    </row>
    <row r="5380" spans="1:21" x14ac:dyDescent="0.2">
      <c r="A5380">
        <v>5379</v>
      </c>
      <c r="B5380" s="1">
        <v>40879</v>
      </c>
      <c r="C5380" t="s">
        <v>24</v>
      </c>
      <c r="D5380" s="7">
        <v>140</v>
      </c>
      <c r="E5380" s="7">
        <v>21</v>
      </c>
      <c r="F5380" s="7">
        <f t="shared" si="84"/>
        <v>6</v>
      </c>
      <c r="G5380" s="7" t="str">
        <f>LOOKUP(H5380,[1]startdates!$A$2:$A$10,[1]startdates!$B$2:$B$10)</f>
        <v>FMr</v>
      </c>
      <c r="H5380">
        <v>9</v>
      </c>
      <c r="I5380" s="7">
        <v>539.5</v>
      </c>
      <c r="K5380" s="7">
        <v>426.5</v>
      </c>
      <c r="M5380" s="7">
        <v>328.5</v>
      </c>
      <c r="N5380" s="7">
        <v>196.8</v>
      </c>
      <c r="O5380" s="7">
        <v>178.6</v>
      </c>
    </row>
    <row r="5381" spans="1:21" x14ac:dyDescent="0.2">
      <c r="A5381">
        <v>5380</v>
      </c>
      <c r="B5381" s="1">
        <v>40879</v>
      </c>
      <c r="C5381" t="s">
        <v>24</v>
      </c>
      <c r="D5381" s="7">
        <v>140</v>
      </c>
      <c r="E5381" s="7">
        <v>21</v>
      </c>
      <c r="F5381" s="7">
        <f t="shared" si="84"/>
        <v>6</v>
      </c>
      <c r="G5381" s="7" t="str">
        <f>LOOKUP(H5381,[1]startdates!$A$2:$A$10,[1]startdates!$B$2:$B$10)</f>
        <v>FMr</v>
      </c>
      <c r="H5381">
        <v>9</v>
      </c>
      <c r="I5381" s="7">
        <v>673.6</v>
      </c>
      <c r="K5381" s="7">
        <v>428.1</v>
      </c>
      <c r="M5381" s="7">
        <v>314.60000000000002</v>
      </c>
      <c r="N5381" s="7">
        <v>184.1</v>
      </c>
      <c r="O5381" s="7">
        <v>175.8</v>
      </c>
    </row>
    <row r="5382" spans="1:21" x14ac:dyDescent="0.2">
      <c r="A5382">
        <v>5381</v>
      </c>
      <c r="B5382" s="1">
        <v>40879</v>
      </c>
      <c r="C5382" t="s">
        <v>24</v>
      </c>
      <c r="D5382" s="7">
        <v>140</v>
      </c>
      <c r="E5382" s="7">
        <v>21</v>
      </c>
      <c r="F5382" s="7">
        <f t="shared" si="84"/>
        <v>6</v>
      </c>
      <c r="G5382" s="7" t="str">
        <f>LOOKUP(H5382,[1]startdates!$A$2:$A$10,[1]startdates!$B$2:$B$10)</f>
        <v>FMr</v>
      </c>
      <c r="H5382">
        <v>9</v>
      </c>
      <c r="K5382" s="7">
        <v>478.8</v>
      </c>
      <c r="M5382" s="7">
        <v>327.7</v>
      </c>
      <c r="O5382" s="7">
        <v>156.30000000000001</v>
      </c>
    </row>
    <row r="5383" spans="1:21" x14ac:dyDescent="0.2">
      <c r="A5383">
        <v>5382</v>
      </c>
      <c r="B5383" s="1">
        <v>40879</v>
      </c>
      <c r="C5383" t="s">
        <v>24</v>
      </c>
      <c r="D5383" s="7">
        <v>140</v>
      </c>
      <c r="E5383" s="7">
        <v>21</v>
      </c>
      <c r="F5383" s="7">
        <f t="shared" si="84"/>
        <v>6</v>
      </c>
      <c r="G5383" s="7" t="str">
        <f>LOOKUP(H5383,[1]startdates!$A$2:$A$10,[1]startdates!$B$2:$B$10)</f>
        <v>FMr</v>
      </c>
      <c r="H5383">
        <v>9</v>
      </c>
      <c r="K5383" s="7">
        <v>484</v>
      </c>
    </row>
    <row r="5384" spans="1:21" x14ac:dyDescent="0.2">
      <c r="A5384">
        <v>5383</v>
      </c>
      <c r="B5384" s="1">
        <v>40883</v>
      </c>
      <c r="C5384" t="s">
        <v>28</v>
      </c>
      <c r="D5384" s="7">
        <v>144</v>
      </c>
      <c r="E5384" s="7">
        <v>22</v>
      </c>
      <c r="F5384" s="7">
        <f t="shared" si="84"/>
        <v>3</v>
      </c>
      <c r="G5384" s="7" t="str">
        <f>LOOKUP(H5384,[1]startdates!$A$2:$A$10,[1]startdates!$B$2:$B$10)</f>
        <v>SMr</v>
      </c>
      <c r="H5384">
        <v>1</v>
      </c>
      <c r="I5384" s="7">
        <v>570.29999999999995</v>
      </c>
      <c r="J5384" s="7">
        <v>509</v>
      </c>
      <c r="K5384" s="7">
        <v>483.4</v>
      </c>
      <c r="L5384" s="7">
        <v>428</v>
      </c>
      <c r="M5384" s="7">
        <v>344.2</v>
      </c>
      <c r="N5384" s="7">
        <v>242.7</v>
      </c>
      <c r="O5384" s="7">
        <v>153.80000000000001</v>
      </c>
      <c r="P5384" s="7">
        <v>444.1</v>
      </c>
      <c r="Q5384" s="7">
        <v>329.7</v>
      </c>
      <c r="R5384" s="7">
        <v>276.5</v>
      </c>
      <c r="U5384" s="7">
        <v>447.3</v>
      </c>
    </row>
    <row r="5385" spans="1:21" x14ac:dyDescent="0.2">
      <c r="A5385">
        <v>5384</v>
      </c>
      <c r="B5385" s="1">
        <v>40883</v>
      </c>
      <c r="C5385" t="s">
        <v>28</v>
      </c>
      <c r="D5385" s="7">
        <v>144</v>
      </c>
      <c r="E5385" s="7">
        <v>22</v>
      </c>
      <c r="F5385" s="7">
        <f t="shared" si="84"/>
        <v>3</v>
      </c>
      <c r="G5385" s="7" t="str">
        <f>LOOKUP(H5385,[1]startdates!$A$2:$A$10,[1]startdates!$B$2:$B$10)</f>
        <v>SMr</v>
      </c>
      <c r="H5385">
        <v>1</v>
      </c>
      <c r="I5385" s="7">
        <v>602.70000000000005</v>
      </c>
      <c r="K5385" s="7">
        <v>512.9</v>
      </c>
      <c r="L5385" s="7">
        <v>440.6</v>
      </c>
      <c r="M5385" s="7">
        <v>323</v>
      </c>
      <c r="N5385" s="7">
        <v>237.6</v>
      </c>
      <c r="O5385" s="7">
        <v>171.9</v>
      </c>
      <c r="P5385" s="7">
        <v>450.8</v>
      </c>
      <c r="Q5385" s="7">
        <v>336.7</v>
      </c>
      <c r="R5385" s="7">
        <v>287.10000000000002</v>
      </c>
      <c r="U5385" s="7">
        <v>447.3</v>
      </c>
    </row>
    <row r="5386" spans="1:21" x14ac:dyDescent="0.2">
      <c r="A5386">
        <v>5385</v>
      </c>
      <c r="B5386" s="1">
        <v>40883</v>
      </c>
      <c r="C5386" t="s">
        <v>28</v>
      </c>
      <c r="D5386" s="7">
        <v>144</v>
      </c>
      <c r="E5386" s="7">
        <v>22</v>
      </c>
      <c r="F5386" s="7">
        <f t="shared" si="84"/>
        <v>3</v>
      </c>
      <c r="G5386" s="7" t="str">
        <f>LOOKUP(H5386,[1]startdates!$A$2:$A$10,[1]startdates!$B$2:$B$10)</f>
        <v>SMr</v>
      </c>
      <c r="H5386">
        <v>1</v>
      </c>
      <c r="I5386" s="7">
        <v>603.20000000000005</v>
      </c>
      <c r="K5386" s="7">
        <v>483.2</v>
      </c>
      <c r="L5386" s="7">
        <v>420.8</v>
      </c>
      <c r="M5386" s="7">
        <v>319.7</v>
      </c>
      <c r="N5386" s="7">
        <v>226.3</v>
      </c>
      <c r="O5386" s="7">
        <v>167.3</v>
      </c>
      <c r="Q5386" s="7">
        <v>344.4</v>
      </c>
      <c r="R5386" s="7">
        <v>286.8</v>
      </c>
      <c r="U5386" s="7">
        <v>523.5</v>
      </c>
    </row>
    <row r="5387" spans="1:21" x14ac:dyDescent="0.2">
      <c r="A5387">
        <v>5386</v>
      </c>
      <c r="B5387" s="1">
        <v>40883</v>
      </c>
      <c r="C5387" t="s">
        <v>28</v>
      </c>
      <c r="D5387" s="7">
        <v>144</v>
      </c>
      <c r="E5387" s="7">
        <v>22</v>
      </c>
      <c r="F5387" s="7">
        <f t="shared" si="84"/>
        <v>3</v>
      </c>
      <c r="G5387" s="7" t="str">
        <f>LOOKUP(H5387,[1]startdates!$A$2:$A$10,[1]startdates!$B$2:$B$10)</f>
        <v>SMr</v>
      </c>
      <c r="H5387">
        <v>1</v>
      </c>
      <c r="I5387" s="7">
        <v>606.29999999999995</v>
      </c>
      <c r="K5387" s="7">
        <v>482.4</v>
      </c>
      <c r="L5387" s="7">
        <v>405</v>
      </c>
      <c r="M5387" s="7">
        <v>342.1</v>
      </c>
      <c r="N5387" s="7">
        <v>239.3</v>
      </c>
      <c r="O5387" s="7">
        <v>172.1</v>
      </c>
      <c r="Q5387" s="7">
        <v>381.3</v>
      </c>
      <c r="U5387" s="7">
        <v>443.2</v>
      </c>
    </row>
    <row r="5388" spans="1:21" x14ac:dyDescent="0.2">
      <c r="A5388">
        <v>5387</v>
      </c>
      <c r="B5388" s="1">
        <v>40883</v>
      </c>
      <c r="C5388" t="s">
        <v>28</v>
      </c>
      <c r="D5388" s="7">
        <v>144</v>
      </c>
      <c r="E5388" s="7">
        <v>22</v>
      </c>
      <c r="F5388" s="7">
        <f t="shared" si="84"/>
        <v>3</v>
      </c>
      <c r="G5388" s="7" t="str">
        <f>LOOKUP(H5388,[1]startdates!$A$2:$A$10,[1]startdates!$B$2:$B$10)</f>
        <v>SMr</v>
      </c>
      <c r="H5388">
        <v>1</v>
      </c>
      <c r="I5388" s="7">
        <v>586.5</v>
      </c>
      <c r="K5388" s="7">
        <v>491.7</v>
      </c>
      <c r="M5388" s="7">
        <v>302.10000000000002</v>
      </c>
      <c r="N5388" s="7">
        <v>192.2</v>
      </c>
      <c r="O5388" s="7">
        <v>173.4</v>
      </c>
      <c r="Q5388" s="7">
        <v>317.7</v>
      </c>
      <c r="U5388" s="7">
        <v>453.5</v>
      </c>
    </row>
    <row r="5389" spans="1:21" x14ac:dyDescent="0.2">
      <c r="A5389">
        <v>5388</v>
      </c>
      <c r="B5389" s="1">
        <v>40883</v>
      </c>
      <c r="C5389" t="s">
        <v>28</v>
      </c>
      <c r="D5389" s="7">
        <v>144</v>
      </c>
      <c r="E5389" s="7">
        <v>22</v>
      </c>
      <c r="F5389" s="7">
        <f t="shared" si="84"/>
        <v>3</v>
      </c>
      <c r="G5389" s="7" t="str">
        <f>LOOKUP(H5389,[1]startdates!$A$2:$A$10,[1]startdates!$B$2:$B$10)</f>
        <v>SMr</v>
      </c>
      <c r="H5389">
        <v>1</v>
      </c>
      <c r="I5389" s="7">
        <v>668.5</v>
      </c>
      <c r="K5389" s="7">
        <v>489.2</v>
      </c>
      <c r="M5389" s="7">
        <v>355.8</v>
      </c>
      <c r="N5389" s="7">
        <v>222.9</v>
      </c>
      <c r="O5389" s="7">
        <v>156.80000000000001</v>
      </c>
      <c r="U5389" s="7" t="s">
        <v>69</v>
      </c>
    </row>
    <row r="5390" spans="1:21" x14ac:dyDescent="0.2">
      <c r="A5390">
        <v>5389</v>
      </c>
      <c r="B5390" s="1">
        <v>40883</v>
      </c>
      <c r="C5390" t="s">
        <v>28</v>
      </c>
      <c r="D5390" s="7">
        <v>144</v>
      </c>
      <c r="E5390" s="7">
        <v>22</v>
      </c>
      <c r="F5390" s="7">
        <f t="shared" si="84"/>
        <v>3</v>
      </c>
      <c r="G5390" s="7" t="str">
        <f>LOOKUP(H5390,[1]startdates!$A$2:$A$10,[1]startdates!$B$2:$B$10)</f>
        <v>SMr</v>
      </c>
      <c r="H5390">
        <v>1</v>
      </c>
      <c r="I5390" s="7">
        <v>592.6</v>
      </c>
      <c r="M5390" s="7">
        <v>377.3</v>
      </c>
      <c r="N5390" s="7">
        <v>259</v>
      </c>
      <c r="O5390" s="7">
        <v>165.7</v>
      </c>
    </row>
    <row r="5391" spans="1:21" x14ac:dyDescent="0.2">
      <c r="A5391">
        <v>5390</v>
      </c>
      <c r="B5391" s="1">
        <v>40883</v>
      </c>
      <c r="C5391" t="s">
        <v>28</v>
      </c>
      <c r="D5391" s="7">
        <v>144</v>
      </c>
      <c r="E5391" s="7">
        <v>22</v>
      </c>
      <c r="F5391" s="7">
        <f t="shared" si="84"/>
        <v>3</v>
      </c>
      <c r="G5391" s="7" t="str">
        <f>LOOKUP(H5391,[1]startdates!$A$2:$A$10,[1]startdates!$B$2:$B$10)</f>
        <v>SMr</v>
      </c>
      <c r="H5391">
        <v>1</v>
      </c>
      <c r="I5391" s="7">
        <v>510.8</v>
      </c>
      <c r="M5391" s="7">
        <v>384</v>
      </c>
      <c r="N5391" s="7">
        <v>206</v>
      </c>
      <c r="O5391" s="7">
        <v>153.80000000000001</v>
      </c>
    </row>
    <row r="5392" spans="1:21" x14ac:dyDescent="0.2">
      <c r="A5392">
        <v>5391</v>
      </c>
      <c r="B5392" s="1">
        <v>40883</v>
      </c>
      <c r="C5392" t="s">
        <v>28</v>
      </c>
      <c r="D5392" s="7">
        <v>144</v>
      </c>
      <c r="E5392" s="7">
        <v>22</v>
      </c>
      <c r="F5392" s="7">
        <f t="shared" si="84"/>
        <v>3</v>
      </c>
      <c r="G5392" s="7" t="str">
        <f>LOOKUP(H5392,[1]startdates!$A$2:$A$10,[1]startdates!$B$2:$B$10)</f>
        <v>SMr</v>
      </c>
      <c r="H5392">
        <v>1</v>
      </c>
      <c r="I5392" s="7">
        <v>514.1</v>
      </c>
      <c r="M5392" s="7">
        <v>368.6</v>
      </c>
      <c r="N5392" s="7">
        <v>225.4</v>
      </c>
      <c r="O5392" s="7">
        <v>170.2</v>
      </c>
    </row>
    <row r="5393" spans="1:21" x14ac:dyDescent="0.2">
      <c r="A5393">
        <v>5392</v>
      </c>
      <c r="B5393" s="1">
        <v>40883</v>
      </c>
      <c r="C5393" t="s">
        <v>28</v>
      </c>
      <c r="D5393" s="7">
        <v>144</v>
      </c>
      <c r="E5393" s="7">
        <v>22</v>
      </c>
      <c r="F5393" s="7">
        <f t="shared" si="84"/>
        <v>3</v>
      </c>
      <c r="G5393" s="7" t="str">
        <f>LOOKUP(H5393,[1]startdates!$A$2:$A$10,[1]startdates!$B$2:$B$10)</f>
        <v>SMr</v>
      </c>
      <c r="H5393">
        <v>1</v>
      </c>
      <c r="I5393" s="7">
        <v>576.70000000000005</v>
      </c>
      <c r="M5393" s="7">
        <v>376.2</v>
      </c>
      <c r="N5393" s="7">
        <v>186.4</v>
      </c>
      <c r="O5393" s="7">
        <v>145.9</v>
      </c>
    </row>
    <row r="5394" spans="1:21" x14ac:dyDescent="0.2">
      <c r="A5394">
        <v>5393</v>
      </c>
      <c r="B5394" s="1">
        <v>40883</v>
      </c>
      <c r="C5394" t="s">
        <v>24</v>
      </c>
      <c r="D5394" s="7">
        <v>144</v>
      </c>
      <c r="E5394" s="7">
        <v>22</v>
      </c>
      <c r="F5394" s="7">
        <f t="shared" si="84"/>
        <v>3</v>
      </c>
      <c r="G5394" s="7" t="str">
        <f>LOOKUP(H5394,[1]startdates!$A$2:$A$10,[1]startdates!$B$2:$B$10)</f>
        <v>SMr</v>
      </c>
      <c r="H5394">
        <v>2</v>
      </c>
      <c r="I5394" s="7">
        <v>672.7</v>
      </c>
      <c r="J5394" s="7">
        <v>563.70000000000005</v>
      </c>
      <c r="K5394" s="7">
        <v>453.7</v>
      </c>
      <c r="L5394" s="7">
        <v>367.2</v>
      </c>
      <c r="M5394" s="7">
        <v>315</v>
      </c>
      <c r="N5394" s="7">
        <v>223.9</v>
      </c>
      <c r="O5394" s="7">
        <v>166.7</v>
      </c>
      <c r="P5394" s="7">
        <v>470.4</v>
      </c>
      <c r="Q5394" s="7">
        <v>351</v>
      </c>
      <c r="R5394" s="7">
        <v>315.60000000000002</v>
      </c>
      <c r="S5394" s="7">
        <v>248.2</v>
      </c>
      <c r="U5394" s="7">
        <v>508.3</v>
      </c>
    </row>
    <row r="5395" spans="1:21" x14ac:dyDescent="0.2">
      <c r="A5395">
        <v>5394</v>
      </c>
      <c r="B5395" s="1">
        <v>40883</v>
      </c>
      <c r="C5395" t="s">
        <v>24</v>
      </c>
      <c r="D5395" s="7">
        <v>144</v>
      </c>
      <c r="E5395" s="7">
        <v>22</v>
      </c>
      <c r="F5395" s="7">
        <f t="shared" si="84"/>
        <v>3</v>
      </c>
      <c r="G5395" s="7" t="str">
        <f>LOOKUP(H5395,[1]startdates!$A$2:$A$10,[1]startdates!$B$2:$B$10)</f>
        <v>SMr</v>
      </c>
      <c r="H5395">
        <v>2</v>
      </c>
      <c r="I5395" s="7">
        <v>604.79999999999995</v>
      </c>
      <c r="K5395" s="7">
        <v>469.3</v>
      </c>
      <c r="L5395" s="7">
        <v>407.2</v>
      </c>
      <c r="M5395" s="7">
        <v>312.89999999999998</v>
      </c>
      <c r="N5395" s="7">
        <v>221.7</v>
      </c>
      <c r="O5395" s="7">
        <v>187</v>
      </c>
      <c r="P5395" s="7">
        <v>478.6</v>
      </c>
      <c r="R5395" s="7">
        <v>243.8</v>
      </c>
      <c r="S5395" s="7">
        <v>244.4</v>
      </c>
      <c r="U5395" s="7">
        <v>480.5</v>
      </c>
    </row>
    <row r="5396" spans="1:21" x14ac:dyDescent="0.2">
      <c r="A5396">
        <v>5395</v>
      </c>
      <c r="B5396" s="1">
        <v>40883</v>
      </c>
      <c r="C5396" t="s">
        <v>24</v>
      </c>
      <c r="D5396" s="7">
        <v>144</v>
      </c>
      <c r="E5396" s="7">
        <v>22</v>
      </c>
      <c r="F5396" s="7">
        <f t="shared" si="84"/>
        <v>3</v>
      </c>
      <c r="G5396" s="7" t="str">
        <f>LOOKUP(H5396,[1]startdates!$A$2:$A$10,[1]startdates!$B$2:$B$10)</f>
        <v>SMr</v>
      </c>
      <c r="H5396">
        <v>2</v>
      </c>
      <c r="I5396" s="7">
        <v>539.9</v>
      </c>
      <c r="K5396" s="7">
        <v>546.9</v>
      </c>
      <c r="L5396" s="7">
        <v>408.5</v>
      </c>
      <c r="M5396" s="7">
        <v>281.60000000000002</v>
      </c>
      <c r="N5396" s="7">
        <v>207.3</v>
      </c>
      <c r="O5396" s="7">
        <v>165.7</v>
      </c>
      <c r="P5396" s="7">
        <v>459.7</v>
      </c>
      <c r="U5396" s="7">
        <v>423.1</v>
      </c>
    </row>
    <row r="5397" spans="1:21" x14ac:dyDescent="0.2">
      <c r="A5397">
        <v>5396</v>
      </c>
      <c r="B5397" s="1">
        <v>40883</v>
      </c>
      <c r="C5397" t="s">
        <v>24</v>
      </c>
      <c r="D5397" s="7">
        <v>144</v>
      </c>
      <c r="E5397" s="7">
        <v>22</v>
      </c>
      <c r="F5397" s="7">
        <f t="shared" si="84"/>
        <v>3</v>
      </c>
      <c r="G5397" s="7" t="str">
        <f>LOOKUP(H5397,[1]startdates!$A$2:$A$10,[1]startdates!$B$2:$B$10)</f>
        <v>SMr</v>
      </c>
      <c r="H5397">
        <v>2</v>
      </c>
      <c r="I5397" s="7">
        <v>656.2</v>
      </c>
      <c r="K5397" s="7">
        <v>486.5</v>
      </c>
      <c r="M5397" s="7">
        <v>328.8</v>
      </c>
      <c r="N5397" s="7">
        <v>223.6</v>
      </c>
      <c r="O5397" s="7">
        <v>194</v>
      </c>
      <c r="U5397" s="7">
        <v>462.1</v>
      </c>
    </row>
    <row r="5398" spans="1:21" x14ac:dyDescent="0.2">
      <c r="A5398">
        <v>5397</v>
      </c>
      <c r="B5398" s="1">
        <v>40883</v>
      </c>
      <c r="C5398" t="s">
        <v>24</v>
      </c>
      <c r="D5398" s="7">
        <v>144</v>
      </c>
      <c r="E5398" s="7">
        <v>22</v>
      </c>
      <c r="F5398" s="7">
        <f t="shared" si="84"/>
        <v>3</v>
      </c>
      <c r="G5398" s="7" t="str">
        <f>LOOKUP(H5398,[1]startdates!$A$2:$A$10,[1]startdates!$B$2:$B$10)</f>
        <v>SMr</v>
      </c>
      <c r="H5398">
        <v>2</v>
      </c>
      <c r="I5398" s="7">
        <v>552</v>
      </c>
      <c r="K5398" s="7">
        <v>409</v>
      </c>
      <c r="M5398" s="7">
        <v>271.3</v>
      </c>
      <c r="N5398" s="7">
        <v>224.7</v>
      </c>
      <c r="O5398" s="7">
        <v>206.3</v>
      </c>
    </row>
    <row r="5399" spans="1:21" x14ac:dyDescent="0.2">
      <c r="A5399">
        <v>5398</v>
      </c>
      <c r="B5399" s="1">
        <v>40883</v>
      </c>
      <c r="C5399" t="s">
        <v>24</v>
      </c>
      <c r="D5399" s="7">
        <v>144</v>
      </c>
      <c r="E5399" s="7">
        <v>22</v>
      </c>
      <c r="F5399" s="7">
        <f t="shared" si="84"/>
        <v>3</v>
      </c>
      <c r="G5399" s="7" t="str">
        <f>LOOKUP(H5399,[1]startdates!$A$2:$A$10,[1]startdates!$B$2:$B$10)</f>
        <v>SMr</v>
      </c>
      <c r="H5399">
        <v>2</v>
      </c>
      <c r="I5399" s="7">
        <v>616.1</v>
      </c>
      <c r="M5399" s="7">
        <v>253.3</v>
      </c>
      <c r="N5399" s="7">
        <v>226.8</v>
      </c>
      <c r="O5399" s="7">
        <v>175.5</v>
      </c>
    </row>
    <row r="5400" spans="1:21" x14ac:dyDescent="0.2">
      <c r="A5400">
        <v>5399</v>
      </c>
      <c r="B5400" s="1">
        <v>40883</v>
      </c>
      <c r="C5400" t="s">
        <v>24</v>
      </c>
      <c r="D5400" s="7">
        <v>144</v>
      </c>
      <c r="E5400" s="7">
        <v>22</v>
      </c>
      <c r="F5400" s="7">
        <f t="shared" si="84"/>
        <v>3</v>
      </c>
      <c r="G5400" s="7" t="str">
        <f>LOOKUP(H5400,[1]startdates!$A$2:$A$10,[1]startdates!$B$2:$B$10)</f>
        <v>SMr</v>
      </c>
      <c r="H5400">
        <v>2</v>
      </c>
      <c r="I5400" s="7">
        <v>569.29999999999995</v>
      </c>
      <c r="M5400" s="7">
        <v>313</v>
      </c>
      <c r="N5400" s="7">
        <v>250.7</v>
      </c>
      <c r="O5400" s="7">
        <v>166.3</v>
      </c>
    </row>
    <row r="5401" spans="1:21" x14ac:dyDescent="0.2">
      <c r="A5401">
        <v>5400</v>
      </c>
      <c r="B5401" s="1">
        <v>40883</v>
      </c>
      <c r="C5401" t="s">
        <v>24</v>
      </c>
      <c r="D5401" s="7">
        <v>144</v>
      </c>
      <c r="E5401" s="7">
        <v>22</v>
      </c>
      <c r="F5401" s="7">
        <f t="shared" si="84"/>
        <v>3</v>
      </c>
      <c r="G5401" s="7" t="str">
        <f>LOOKUP(H5401,[1]startdates!$A$2:$A$10,[1]startdates!$B$2:$B$10)</f>
        <v>SMr</v>
      </c>
      <c r="H5401">
        <v>2</v>
      </c>
      <c r="I5401" s="7">
        <v>630.4</v>
      </c>
      <c r="N5401" s="7">
        <v>185</v>
      </c>
      <c r="O5401" s="7">
        <v>167.7</v>
      </c>
    </row>
    <row r="5402" spans="1:21" x14ac:dyDescent="0.2">
      <c r="A5402">
        <v>5401</v>
      </c>
      <c r="B5402" s="1">
        <v>40883</v>
      </c>
      <c r="C5402" t="s">
        <v>24</v>
      </c>
      <c r="D5402" s="7">
        <v>144</v>
      </c>
      <c r="E5402" s="7">
        <v>22</v>
      </c>
      <c r="F5402" s="7">
        <f t="shared" si="84"/>
        <v>3</v>
      </c>
      <c r="G5402" s="7" t="str">
        <f>LOOKUP(H5402,[1]startdates!$A$2:$A$10,[1]startdates!$B$2:$B$10)</f>
        <v>SMr</v>
      </c>
      <c r="H5402">
        <v>2</v>
      </c>
      <c r="I5402" s="7">
        <v>526</v>
      </c>
      <c r="N5402" s="7">
        <v>219.2</v>
      </c>
      <c r="O5402" s="7">
        <v>161.4</v>
      </c>
    </row>
    <row r="5403" spans="1:21" x14ac:dyDescent="0.2">
      <c r="A5403">
        <v>5402</v>
      </c>
      <c r="B5403" s="1">
        <v>40883</v>
      </c>
      <c r="C5403" t="s">
        <v>24</v>
      </c>
      <c r="D5403" s="7">
        <v>144</v>
      </c>
      <c r="E5403" s="7">
        <v>22</v>
      </c>
      <c r="F5403" s="7">
        <f t="shared" si="84"/>
        <v>3</v>
      </c>
      <c r="G5403" s="7" t="str">
        <f>LOOKUP(H5403,[1]startdates!$A$2:$A$10,[1]startdates!$B$2:$B$10)</f>
        <v>SMr</v>
      </c>
      <c r="H5403">
        <v>2</v>
      </c>
      <c r="I5403" s="7">
        <v>506.2</v>
      </c>
      <c r="N5403" s="7">
        <v>223.1</v>
      </c>
      <c r="O5403" s="7">
        <v>185.3</v>
      </c>
    </row>
    <row r="5404" spans="1:21" x14ac:dyDescent="0.2">
      <c r="A5404">
        <v>5403</v>
      </c>
      <c r="B5404" s="1">
        <v>40883</v>
      </c>
      <c r="C5404" t="s">
        <v>24</v>
      </c>
      <c r="D5404" s="7">
        <v>144</v>
      </c>
      <c r="E5404" s="7">
        <v>22</v>
      </c>
      <c r="F5404" s="7">
        <f t="shared" si="84"/>
        <v>3</v>
      </c>
      <c r="G5404" s="7" t="str">
        <f>LOOKUP(H5404,[1]startdates!$A$2:$A$10,[1]startdates!$B$2:$B$10)</f>
        <v>C</v>
      </c>
      <c r="H5404">
        <v>3</v>
      </c>
      <c r="I5404" s="7">
        <v>582.6</v>
      </c>
      <c r="K5404" s="7">
        <v>509.7</v>
      </c>
      <c r="L5404" s="7">
        <v>439.6</v>
      </c>
      <c r="M5404" s="7">
        <v>337.5</v>
      </c>
      <c r="N5404" s="7">
        <v>217.2</v>
      </c>
      <c r="O5404" s="7">
        <v>166.3</v>
      </c>
      <c r="P5404" s="7">
        <v>440.1</v>
      </c>
      <c r="Q5404" s="7">
        <v>339.8</v>
      </c>
      <c r="R5404" s="7">
        <v>263.10000000000002</v>
      </c>
    </row>
    <row r="5405" spans="1:21" x14ac:dyDescent="0.2">
      <c r="A5405">
        <v>5404</v>
      </c>
      <c r="B5405" s="1">
        <v>40883</v>
      </c>
      <c r="C5405" t="s">
        <v>24</v>
      </c>
      <c r="D5405" s="7">
        <v>144</v>
      </c>
      <c r="E5405" s="7">
        <v>22</v>
      </c>
      <c r="F5405" s="7">
        <f t="shared" si="84"/>
        <v>3</v>
      </c>
      <c r="G5405" s="7" t="str">
        <f>LOOKUP(H5405,[1]startdates!$A$2:$A$10,[1]startdates!$B$2:$B$10)</f>
        <v>C</v>
      </c>
      <c r="H5405">
        <v>3</v>
      </c>
      <c r="I5405" s="7">
        <v>612.5</v>
      </c>
      <c r="K5405" s="7">
        <v>611.4</v>
      </c>
      <c r="L5405" s="7">
        <v>410.2</v>
      </c>
      <c r="M5405" s="7">
        <v>311.60000000000002</v>
      </c>
      <c r="N5405" s="7">
        <v>221.7</v>
      </c>
      <c r="O5405" s="7">
        <v>158.5</v>
      </c>
      <c r="P5405" s="7">
        <v>499.3</v>
      </c>
      <c r="R5405" s="7">
        <v>279.89999999999998</v>
      </c>
    </row>
    <row r="5406" spans="1:21" x14ac:dyDescent="0.2">
      <c r="A5406">
        <v>5405</v>
      </c>
      <c r="B5406" s="1">
        <v>40883</v>
      </c>
      <c r="C5406" t="s">
        <v>24</v>
      </c>
      <c r="D5406" s="7">
        <v>144</v>
      </c>
      <c r="E5406" s="7">
        <v>22</v>
      </c>
      <c r="F5406" s="7">
        <f t="shared" si="84"/>
        <v>3</v>
      </c>
      <c r="G5406" s="7" t="str">
        <f>LOOKUP(H5406,[1]startdates!$A$2:$A$10,[1]startdates!$B$2:$B$10)</f>
        <v>C</v>
      </c>
      <c r="H5406">
        <v>3</v>
      </c>
      <c r="I5406" s="7">
        <v>613.79999999999995</v>
      </c>
      <c r="K5406" s="7">
        <v>535.9</v>
      </c>
      <c r="L5406" s="7">
        <v>389.9</v>
      </c>
      <c r="M5406" s="7">
        <v>325.5</v>
      </c>
      <c r="N5406" s="7">
        <v>207.5</v>
      </c>
      <c r="O5406" s="7">
        <v>138.6</v>
      </c>
      <c r="P5406" s="7">
        <v>455.4</v>
      </c>
      <c r="R5406" s="7">
        <v>253.8</v>
      </c>
    </row>
    <row r="5407" spans="1:21" x14ac:dyDescent="0.2">
      <c r="A5407">
        <v>5406</v>
      </c>
      <c r="B5407" s="1">
        <v>40883</v>
      </c>
      <c r="C5407" t="s">
        <v>24</v>
      </c>
      <c r="D5407" s="7">
        <v>144</v>
      </c>
      <c r="E5407" s="7">
        <v>22</v>
      </c>
      <c r="F5407" s="7">
        <f t="shared" si="84"/>
        <v>3</v>
      </c>
      <c r="G5407" s="7" t="str">
        <f>LOOKUP(H5407,[1]startdates!$A$2:$A$10,[1]startdates!$B$2:$B$10)</f>
        <v>C</v>
      </c>
      <c r="H5407">
        <v>3</v>
      </c>
      <c r="I5407" s="7">
        <v>627.4</v>
      </c>
      <c r="K5407" s="7">
        <v>571.70000000000005</v>
      </c>
      <c r="L5407" s="7">
        <v>424</v>
      </c>
      <c r="M5407" s="7">
        <v>341.7</v>
      </c>
      <c r="N5407" s="7">
        <v>176.7</v>
      </c>
      <c r="O5407" s="7">
        <v>173.7</v>
      </c>
      <c r="P5407" s="7">
        <v>519.5</v>
      </c>
    </row>
    <row r="5408" spans="1:21" x14ac:dyDescent="0.2">
      <c r="A5408">
        <v>5407</v>
      </c>
      <c r="B5408" s="1">
        <v>40883</v>
      </c>
      <c r="C5408" t="s">
        <v>24</v>
      </c>
      <c r="D5408" s="7">
        <v>144</v>
      </c>
      <c r="E5408" s="7">
        <v>22</v>
      </c>
      <c r="F5408" s="7">
        <f t="shared" si="84"/>
        <v>3</v>
      </c>
      <c r="G5408" s="7" t="str">
        <f>LOOKUP(H5408,[1]startdates!$A$2:$A$10,[1]startdates!$B$2:$B$10)</f>
        <v>C</v>
      </c>
      <c r="H5408">
        <v>3</v>
      </c>
      <c r="I5408" s="7">
        <v>616</v>
      </c>
      <c r="K5408" s="7">
        <v>537.1</v>
      </c>
      <c r="L5408" s="7">
        <v>476</v>
      </c>
      <c r="M5408" s="7">
        <v>262</v>
      </c>
      <c r="N5408" s="7">
        <v>198.3</v>
      </c>
      <c r="O5408" s="7">
        <v>165.5</v>
      </c>
      <c r="P5408" s="7">
        <v>493.2</v>
      </c>
    </row>
    <row r="5409" spans="1:21" x14ac:dyDescent="0.2">
      <c r="A5409">
        <v>5408</v>
      </c>
      <c r="B5409" s="1">
        <v>40883</v>
      </c>
      <c r="C5409" t="s">
        <v>24</v>
      </c>
      <c r="D5409" s="7">
        <v>144</v>
      </c>
      <c r="E5409" s="7">
        <v>22</v>
      </c>
      <c r="F5409" s="7">
        <f t="shared" si="84"/>
        <v>3</v>
      </c>
      <c r="G5409" s="7" t="str">
        <f>LOOKUP(H5409,[1]startdates!$A$2:$A$10,[1]startdates!$B$2:$B$10)</f>
        <v>C</v>
      </c>
      <c r="H5409">
        <v>3</v>
      </c>
      <c r="I5409" s="7">
        <v>593.20000000000005</v>
      </c>
      <c r="K5409" s="7">
        <v>564.9</v>
      </c>
      <c r="L5409" s="7">
        <v>396.9</v>
      </c>
      <c r="M5409" s="7">
        <v>280</v>
      </c>
      <c r="N5409" s="7">
        <v>234.4</v>
      </c>
      <c r="O5409" s="7">
        <v>163.5</v>
      </c>
      <c r="P5409" s="7">
        <v>434.9</v>
      </c>
    </row>
    <row r="5410" spans="1:21" x14ac:dyDescent="0.2">
      <c r="A5410">
        <v>5409</v>
      </c>
      <c r="B5410" s="1">
        <v>40883</v>
      </c>
      <c r="C5410" t="s">
        <v>24</v>
      </c>
      <c r="D5410" s="7">
        <v>144</v>
      </c>
      <c r="E5410" s="7">
        <v>22</v>
      </c>
      <c r="F5410" s="7">
        <f t="shared" si="84"/>
        <v>3</v>
      </c>
      <c r="G5410" s="7" t="str">
        <f>LOOKUP(H5410,[1]startdates!$A$2:$A$10,[1]startdates!$B$2:$B$10)</f>
        <v>C</v>
      </c>
      <c r="H5410">
        <v>3</v>
      </c>
      <c r="I5410" s="7">
        <v>583.6</v>
      </c>
      <c r="K5410" s="7">
        <v>474.5</v>
      </c>
      <c r="L5410" s="7">
        <v>450.9</v>
      </c>
      <c r="M5410" s="7">
        <v>310.5</v>
      </c>
      <c r="N5410" s="7">
        <v>209.9</v>
      </c>
      <c r="O5410" s="7">
        <v>170.6</v>
      </c>
    </row>
    <row r="5411" spans="1:21" x14ac:dyDescent="0.2">
      <c r="A5411">
        <v>5410</v>
      </c>
      <c r="B5411" s="1">
        <v>40883</v>
      </c>
      <c r="C5411" t="s">
        <v>24</v>
      </c>
      <c r="D5411" s="7">
        <v>144</v>
      </c>
      <c r="E5411" s="7">
        <v>22</v>
      </c>
      <c r="F5411" s="7">
        <f t="shared" si="84"/>
        <v>3</v>
      </c>
      <c r="G5411" s="7" t="str">
        <f>LOOKUP(H5411,[1]startdates!$A$2:$A$10,[1]startdates!$B$2:$B$10)</f>
        <v>C</v>
      </c>
      <c r="H5411">
        <v>3</v>
      </c>
      <c r="I5411" s="7">
        <v>536.9</v>
      </c>
      <c r="K5411" s="7">
        <v>516.5</v>
      </c>
      <c r="L5411" s="7">
        <v>464.8</v>
      </c>
      <c r="N5411" s="7">
        <v>223.8</v>
      </c>
      <c r="O5411" s="7">
        <v>159.69999999999999</v>
      </c>
    </row>
    <row r="5412" spans="1:21" x14ac:dyDescent="0.2">
      <c r="A5412">
        <v>5411</v>
      </c>
      <c r="B5412" s="1">
        <v>40883</v>
      </c>
      <c r="C5412" t="s">
        <v>24</v>
      </c>
      <c r="D5412" s="7">
        <v>144</v>
      </c>
      <c r="E5412" s="7">
        <v>22</v>
      </c>
      <c r="F5412" s="7">
        <f t="shared" si="84"/>
        <v>3</v>
      </c>
      <c r="G5412" s="7" t="str">
        <f>LOOKUP(H5412,[1]startdates!$A$2:$A$10,[1]startdates!$B$2:$B$10)</f>
        <v>C</v>
      </c>
      <c r="H5412">
        <v>3</v>
      </c>
      <c r="I5412" s="7">
        <v>493</v>
      </c>
      <c r="K5412" s="7">
        <v>542.20000000000005</v>
      </c>
      <c r="N5412" s="7">
        <v>197.3</v>
      </c>
      <c r="O5412" s="7">
        <v>156.30000000000001</v>
      </c>
    </row>
    <row r="5413" spans="1:21" x14ac:dyDescent="0.2">
      <c r="A5413">
        <v>5412</v>
      </c>
      <c r="B5413" s="1">
        <v>40883</v>
      </c>
      <c r="C5413" t="s">
        <v>24</v>
      </c>
      <c r="D5413" s="7">
        <v>144</v>
      </c>
      <c r="E5413" s="7">
        <v>22</v>
      </c>
      <c r="F5413" s="7">
        <f t="shared" si="84"/>
        <v>3</v>
      </c>
      <c r="G5413" s="7" t="str">
        <f>LOOKUP(H5413,[1]startdates!$A$2:$A$10,[1]startdates!$B$2:$B$10)</f>
        <v>C</v>
      </c>
      <c r="H5413">
        <v>3</v>
      </c>
      <c r="I5413" s="7">
        <v>577.5</v>
      </c>
      <c r="N5413" s="7">
        <v>196.4</v>
      </c>
      <c r="O5413" s="7">
        <v>192.6</v>
      </c>
    </row>
    <row r="5414" spans="1:21" x14ac:dyDescent="0.2">
      <c r="A5414">
        <v>5413</v>
      </c>
      <c r="B5414" s="1">
        <v>40883</v>
      </c>
      <c r="C5414" t="s">
        <v>24</v>
      </c>
      <c r="D5414" s="7">
        <v>144</v>
      </c>
      <c r="E5414" s="7">
        <v>22</v>
      </c>
      <c r="F5414" s="7">
        <f t="shared" si="84"/>
        <v>3</v>
      </c>
      <c r="G5414" s="7" t="str">
        <f>LOOKUP(H5414,[1]startdates!$A$2:$A$10,[1]startdates!$B$2:$B$10)</f>
        <v>C</v>
      </c>
      <c r="H5414">
        <v>3</v>
      </c>
      <c r="I5414" s="7">
        <v>625.1</v>
      </c>
      <c r="O5414" s="7">
        <v>178.6</v>
      </c>
    </row>
    <row r="5415" spans="1:21" x14ac:dyDescent="0.2">
      <c r="A5415">
        <v>5414</v>
      </c>
      <c r="B5415" s="1">
        <v>40883</v>
      </c>
      <c r="C5415" t="s">
        <v>24</v>
      </c>
      <c r="D5415" s="7">
        <v>144</v>
      </c>
      <c r="E5415" s="7">
        <v>22</v>
      </c>
      <c r="F5415" s="7">
        <f t="shared" si="84"/>
        <v>3</v>
      </c>
      <c r="G5415" s="7" t="str">
        <f>LOOKUP(H5415,[1]startdates!$A$2:$A$10,[1]startdates!$B$2:$B$10)</f>
        <v>C</v>
      </c>
      <c r="H5415">
        <v>3</v>
      </c>
      <c r="I5415" s="7">
        <v>485.7</v>
      </c>
      <c r="O5415" s="7">
        <v>166.7</v>
      </c>
    </row>
    <row r="5416" spans="1:21" x14ac:dyDescent="0.2">
      <c r="A5416">
        <v>5415</v>
      </c>
      <c r="B5416" s="1">
        <v>40883</v>
      </c>
      <c r="C5416" t="s">
        <v>24</v>
      </c>
      <c r="D5416" s="7">
        <v>144</v>
      </c>
      <c r="E5416" s="7">
        <v>22</v>
      </c>
      <c r="F5416" s="7">
        <f t="shared" si="84"/>
        <v>3</v>
      </c>
      <c r="G5416" s="7" t="str">
        <f>LOOKUP(H5416,[1]startdates!$A$2:$A$10,[1]startdates!$B$2:$B$10)</f>
        <v>C</v>
      </c>
      <c r="H5416">
        <v>3</v>
      </c>
    </row>
    <row r="5417" spans="1:21" x14ac:dyDescent="0.2">
      <c r="A5417">
        <v>5416</v>
      </c>
      <c r="B5417" s="1">
        <v>40883</v>
      </c>
      <c r="C5417" t="s">
        <v>28</v>
      </c>
      <c r="D5417" s="7">
        <v>144</v>
      </c>
      <c r="E5417" s="7">
        <v>22</v>
      </c>
      <c r="F5417" s="7">
        <f t="shared" ref="F5417:F5480" si="85">WEEKDAY(B5417)</f>
        <v>3</v>
      </c>
      <c r="G5417" s="7" t="str">
        <f>LOOKUP(H5417,[1]startdates!$A$2:$A$10,[1]startdates!$B$2:$B$10)</f>
        <v>SMr</v>
      </c>
      <c r="H5417">
        <v>4</v>
      </c>
      <c r="I5417" s="7">
        <v>626.20000000000005</v>
      </c>
      <c r="K5417" s="7">
        <v>556.1</v>
      </c>
      <c r="L5417" s="7">
        <v>472</v>
      </c>
      <c r="M5417" s="7">
        <v>332.7</v>
      </c>
      <c r="N5417" s="7">
        <v>210.9</v>
      </c>
      <c r="O5417" s="7">
        <v>139.4</v>
      </c>
      <c r="P5417" s="7">
        <v>410.5</v>
      </c>
      <c r="Q5417" s="7">
        <v>309.8</v>
      </c>
      <c r="R5417" s="7">
        <v>263</v>
      </c>
      <c r="S5417" s="7">
        <v>251.7</v>
      </c>
      <c r="U5417" s="7">
        <v>499.7</v>
      </c>
    </row>
    <row r="5418" spans="1:21" x14ac:dyDescent="0.2">
      <c r="A5418">
        <v>5417</v>
      </c>
      <c r="B5418" s="1">
        <v>40883</v>
      </c>
      <c r="C5418" t="s">
        <v>28</v>
      </c>
      <c r="D5418" s="7">
        <v>144</v>
      </c>
      <c r="E5418" s="7">
        <v>22</v>
      </c>
      <c r="F5418" s="7">
        <f t="shared" si="85"/>
        <v>3</v>
      </c>
      <c r="G5418" s="7" t="str">
        <f>LOOKUP(H5418,[1]startdates!$A$2:$A$10,[1]startdates!$B$2:$B$10)</f>
        <v>SMr</v>
      </c>
      <c r="H5418">
        <v>4</v>
      </c>
      <c r="I5418" s="7">
        <v>563.4</v>
      </c>
      <c r="K5418" s="7">
        <v>440.1</v>
      </c>
      <c r="L5418" s="7">
        <v>464.7</v>
      </c>
      <c r="M5418" s="7">
        <v>360.3</v>
      </c>
      <c r="N5418" s="7">
        <v>190.1</v>
      </c>
      <c r="O5418" s="7">
        <v>150.19999999999999</v>
      </c>
      <c r="P5418" s="7">
        <v>432.3</v>
      </c>
      <c r="Q5418" s="7">
        <v>378.8</v>
      </c>
      <c r="R5418" s="7">
        <v>250.7</v>
      </c>
      <c r="U5418" s="7">
        <v>430.2</v>
      </c>
    </row>
    <row r="5419" spans="1:21" x14ac:dyDescent="0.2">
      <c r="A5419">
        <v>5418</v>
      </c>
      <c r="B5419" s="1">
        <v>40883</v>
      </c>
      <c r="C5419" t="s">
        <v>28</v>
      </c>
      <c r="D5419" s="7">
        <v>144</v>
      </c>
      <c r="E5419" s="7">
        <v>22</v>
      </c>
      <c r="F5419" s="7">
        <f t="shared" si="85"/>
        <v>3</v>
      </c>
      <c r="G5419" s="7" t="str">
        <f>LOOKUP(H5419,[1]startdates!$A$2:$A$10,[1]startdates!$B$2:$B$10)</f>
        <v>SMr</v>
      </c>
      <c r="H5419">
        <v>4</v>
      </c>
      <c r="I5419" s="7">
        <v>514.79999999999995</v>
      </c>
      <c r="K5419" s="7">
        <v>493.2</v>
      </c>
      <c r="L5419" s="7">
        <v>413.8</v>
      </c>
      <c r="M5419" s="7">
        <v>335.8</v>
      </c>
      <c r="N5419" s="7">
        <v>185.4</v>
      </c>
      <c r="O5419" s="7">
        <v>180.7</v>
      </c>
      <c r="P5419" s="7">
        <v>396.6</v>
      </c>
      <c r="Q5419" s="7">
        <v>325.5</v>
      </c>
      <c r="R5419" s="7">
        <v>261.60000000000002</v>
      </c>
      <c r="U5419" s="7">
        <v>447.8</v>
      </c>
    </row>
    <row r="5420" spans="1:21" x14ac:dyDescent="0.2">
      <c r="A5420">
        <v>5419</v>
      </c>
      <c r="B5420" s="1">
        <v>40883</v>
      </c>
      <c r="C5420" t="s">
        <v>28</v>
      </c>
      <c r="D5420" s="7">
        <v>144</v>
      </c>
      <c r="E5420" s="7">
        <v>22</v>
      </c>
      <c r="F5420" s="7">
        <f t="shared" si="85"/>
        <v>3</v>
      </c>
      <c r="G5420" s="7" t="str">
        <f>LOOKUP(H5420,[1]startdates!$A$2:$A$10,[1]startdates!$B$2:$B$10)</f>
        <v>SMr</v>
      </c>
      <c r="H5420">
        <v>4</v>
      </c>
      <c r="I5420" s="7">
        <v>627.9</v>
      </c>
      <c r="K5420" s="7">
        <v>504.6</v>
      </c>
      <c r="L5420" s="7">
        <v>435</v>
      </c>
      <c r="M5420" s="7">
        <v>382.2</v>
      </c>
      <c r="N5420" s="7">
        <v>203.3</v>
      </c>
      <c r="O5420" s="7">
        <v>158.4</v>
      </c>
      <c r="P5420" s="7">
        <v>409.8</v>
      </c>
      <c r="Q5420" s="7">
        <v>333.6</v>
      </c>
      <c r="U5420" s="7">
        <v>438.4</v>
      </c>
    </row>
    <row r="5421" spans="1:21" x14ac:dyDescent="0.2">
      <c r="A5421">
        <v>5420</v>
      </c>
      <c r="B5421" s="1">
        <v>40883</v>
      </c>
      <c r="C5421" t="s">
        <v>28</v>
      </c>
      <c r="D5421" s="7">
        <v>144</v>
      </c>
      <c r="E5421" s="7">
        <v>22</v>
      </c>
      <c r="F5421" s="7">
        <f t="shared" si="85"/>
        <v>3</v>
      </c>
      <c r="G5421" s="7" t="str">
        <f>LOOKUP(H5421,[1]startdates!$A$2:$A$10,[1]startdates!$B$2:$B$10)</f>
        <v>SMr</v>
      </c>
      <c r="H5421">
        <v>4</v>
      </c>
      <c r="I5421" s="7">
        <v>613.79999999999995</v>
      </c>
      <c r="K5421" s="7">
        <v>556.9</v>
      </c>
      <c r="M5421" s="7">
        <v>304</v>
      </c>
      <c r="N5421" s="7">
        <v>167.7</v>
      </c>
      <c r="O5421" s="7">
        <v>159</v>
      </c>
      <c r="Q5421" s="7">
        <v>348.1</v>
      </c>
      <c r="U5421" s="7">
        <v>469.7</v>
      </c>
    </row>
    <row r="5422" spans="1:21" x14ac:dyDescent="0.2">
      <c r="A5422">
        <v>5421</v>
      </c>
      <c r="B5422" s="1">
        <v>40883</v>
      </c>
      <c r="C5422" t="s">
        <v>28</v>
      </c>
      <c r="D5422" s="7">
        <v>144</v>
      </c>
      <c r="E5422" s="7">
        <v>22</v>
      </c>
      <c r="F5422" s="7">
        <f t="shared" si="85"/>
        <v>3</v>
      </c>
      <c r="G5422" s="7" t="str">
        <f>LOOKUP(H5422,[1]startdates!$A$2:$A$10,[1]startdates!$B$2:$B$10)</f>
        <v>SMr</v>
      </c>
      <c r="H5422">
        <v>4</v>
      </c>
      <c r="I5422" s="7">
        <v>602.6</v>
      </c>
      <c r="K5422" s="7">
        <v>422.9</v>
      </c>
      <c r="M5422" s="7">
        <v>291.10000000000002</v>
      </c>
      <c r="N5422" s="7">
        <v>286.89999999999998</v>
      </c>
      <c r="O5422" s="7">
        <v>152.69999999999999</v>
      </c>
    </row>
    <row r="5423" spans="1:21" x14ac:dyDescent="0.2">
      <c r="A5423">
        <v>5422</v>
      </c>
      <c r="B5423" s="1">
        <v>40883</v>
      </c>
      <c r="C5423" t="s">
        <v>28</v>
      </c>
      <c r="D5423" s="7">
        <v>144</v>
      </c>
      <c r="E5423" s="7">
        <v>22</v>
      </c>
      <c r="F5423" s="7">
        <f t="shared" si="85"/>
        <v>3</v>
      </c>
      <c r="G5423" s="7" t="str">
        <f>LOOKUP(H5423,[1]startdates!$A$2:$A$10,[1]startdates!$B$2:$B$10)</f>
        <v>SMr</v>
      </c>
      <c r="H5423">
        <v>4</v>
      </c>
      <c r="I5423" s="7">
        <v>583.6</v>
      </c>
      <c r="M5423" s="7">
        <v>341.2</v>
      </c>
      <c r="N5423" s="7">
        <v>211</v>
      </c>
      <c r="O5423" s="7">
        <v>166.8</v>
      </c>
    </row>
    <row r="5424" spans="1:21" x14ac:dyDescent="0.2">
      <c r="A5424">
        <v>5423</v>
      </c>
      <c r="B5424" s="1">
        <v>40883</v>
      </c>
      <c r="C5424" t="s">
        <v>28</v>
      </c>
      <c r="D5424" s="7">
        <v>144</v>
      </c>
      <c r="E5424" s="7">
        <v>22</v>
      </c>
      <c r="F5424" s="7">
        <f t="shared" si="85"/>
        <v>3</v>
      </c>
      <c r="G5424" s="7" t="str">
        <f>LOOKUP(H5424,[1]startdates!$A$2:$A$10,[1]startdates!$B$2:$B$10)</f>
        <v>SMr</v>
      </c>
      <c r="H5424">
        <v>4</v>
      </c>
      <c r="I5424" s="7">
        <v>607.5</v>
      </c>
      <c r="M5424" s="7">
        <v>380.4</v>
      </c>
      <c r="N5424" s="7">
        <v>289.10000000000002</v>
      </c>
      <c r="O5424" s="7">
        <v>147.5</v>
      </c>
    </row>
    <row r="5425" spans="1:18" x14ac:dyDescent="0.2">
      <c r="A5425">
        <v>5424</v>
      </c>
      <c r="B5425" s="1">
        <v>40883</v>
      </c>
      <c r="C5425" t="s">
        <v>28</v>
      </c>
      <c r="D5425" s="7">
        <v>144</v>
      </c>
      <c r="E5425" s="7">
        <v>22</v>
      </c>
      <c r="F5425" s="7">
        <f t="shared" si="85"/>
        <v>3</v>
      </c>
      <c r="G5425" s="7" t="str">
        <f>LOOKUP(H5425,[1]startdates!$A$2:$A$10,[1]startdates!$B$2:$B$10)</f>
        <v>SMr</v>
      </c>
      <c r="H5425">
        <v>4</v>
      </c>
      <c r="I5425" s="7">
        <v>585</v>
      </c>
      <c r="M5425" s="7">
        <v>349.1</v>
      </c>
      <c r="N5425" s="7">
        <v>276.10000000000002</v>
      </c>
      <c r="O5425" s="7">
        <v>156.80000000000001</v>
      </c>
    </row>
    <row r="5426" spans="1:18" x14ac:dyDescent="0.2">
      <c r="A5426">
        <v>5425</v>
      </c>
      <c r="B5426" s="1">
        <v>40883</v>
      </c>
      <c r="C5426" t="s">
        <v>28</v>
      </c>
      <c r="D5426" s="7">
        <v>144</v>
      </c>
      <c r="E5426" s="7">
        <v>22</v>
      </c>
      <c r="F5426" s="7">
        <f t="shared" si="85"/>
        <v>3</v>
      </c>
      <c r="G5426" s="7" t="str">
        <f>LOOKUP(H5426,[1]startdates!$A$2:$A$10,[1]startdates!$B$2:$B$10)</f>
        <v>SMr</v>
      </c>
      <c r="H5426">
        <v>4</v>
      </c>
      <c r="I5426" s="7">
        <v>561.4</v>
      </c>
      <c r="M5426" s="7">
        <v>305.89999999999998</v>
      </c>
      <c r="O5426" s="7">
        <v>178.4</v>
      </c>
    </row>
    <row r="5427" spans="1:18" x14ac:dyDescent="0.2">
      <c r="A5427">
        <v>5426</v>
      </c>
      <c r="B5427" s="1">
        <v>40883</v>
      </c>
      <c r="C5427" t="s">
        <v>28</v>
      </c>
      <c r="D5427" s="7">
        <v>144</v>
      </c>
      <c r="E5427" s="7">
        <v>22</v>
      </c>
      <c r="F5427" s="7">
        <f t="shared" si="85"/>
        <v>3</v>
      </c>
      <c r="G5427" s="7" t="str">
        <f>LOOKUP(H5427,[1]startdates!$A$2:$A$10,[1]startdates!$B$2:$B$10)</f>
        <v>SMr</v>
      </c>
      <c r="H5427">
        <v>4</v>
      </c>
      <c r="I5427" s="7">
        <v>523</v>
      </c>
    </row>
    <row r="5428" spans="1:18" x14ac:dyDescent="0.2">
      <c r="A5428">
        <v>5427</v>
      </c>
      <c r="B5428" s="1">
        <v>40883</v>
      </c>
      <c r="C5428" t="s">
        <v>28</v>
      </c>
      <c r="D5428" s="7">
        <v>144</v>
      </c>
      <c r="E5428" s="7">
        <v>22</v>
      </c>
      <c r="F5428" s="7">
        <f t="shared" si="85"/>
        <v>3</v>
      </c>
      <c r="G5428" s="7" t="str">
        <f>LOOKUP(H5428,[1]startdates!$A$2:$A$10,[1]startdates!$B$2:$B$10)</f>
        <v>SMr</v>
      </c>
      <c r="H5428">
        <v>4</v>
      </c>
      <c r="I5428" s="7">
        <v>570.4</v>
      </c>
    </row>
    <row r="5429" spans="1:18" x14ac:dyDescent="0.2">
      <c r="A5429">
        <v>5428</v>
      </c>
      <c r="B5429" s="1">
        <v>40883</v>
      </c>
      <c r="C5429" t="s">
        <v>28</v>
      </c>
      <c r="D5429" s="7">
        <v>144</v>
      </c>
      <c r="E5429" s="7">
        <v>22</v>
      </c>
      <c r="F5429" s="7">
        <f t="shared" si="85"/>
        <v>3</v>
      </c>
      <c r="G5429" s="7" t="str">
        <f>LOOKUP(H5429,[1]startdates!$A$2:$A$10,[1]startdates!$B$2:$B$10)</f>
        <v>C</v>
      </c>
      <c r="H5429">
        <v>5</v>
      </c>
      <c r="I5429" s="7">
        <v>641.6</v>
      </c>
      <c r="J5429" s="7">
        <v>623.4</v>
      </c>
      <c r="K5429" s="7">
        <v>559</v>
      </c>
      <c r="L5429" s="7">
        <v>397.8</v>
      </c>
      <c r="M5429" s="7">
        <v>299</v>
      </c>
      <c r="N5429" s="7">
        <v>204.1</v>
      </c>
      <c r="O5429" s="7">
        <v>149.5</v>
      </c>
      <c r="P5429" s="7">
        <v>430.4</v>
      </c>
      <c r="Q5429" s="7">
        <v>365.5</v>
      </c>
      <c r="R5429" s="7">
        <v>275.89999999999998</v>
      </c>
    </row>
    <row r="5430" spans="1:18" x14ac:dyDescent="0.2">
      <c r="A5430">
        <v>5429</v>
      </c>
      <c r="B5430" s="1">
        <v>40883</v>
      </c>
      <c r="C5430" t="s">
        <v>28</v>
      </c>
      <c r="D5430" s="7">
        <v>144</v>
      </c>
      <c r="E5430" s="7">
        <v>22</v>
      </c>
      <c r="F5430" s="7">
        <f t="shared" si="85"/>
        <v>3</v>
      </c>
      <c r="G5430" s="7" t="str">
        <f>LOOKUP(H5430,[1]startdates!$A$2:$A$10,[1]startdates!$B$2:$B$10)</f>
        <v>C</v>
      </c>
      <c r="H5430">
        <v>5</v>
      </c>
      <c r="I5430" s="7">
        <v>589.6</v>
      </c>
      <c r="J5430" s="7">
        <v>549.6</v>
      </c>
      <c r="K5430" s="7">
        <v>566.79999999999995</v>
      </c>
      <c r="L5430" s="7">
        <v>435.4</v>
      </c>
      <c r="M5430" s="7">
        <v>294.10000000000002</v>
      </c>
      <c r="N5430" s="7">
        <v>203.3</v>
      </c>
      <c r="O5430" s="7">
        <v>158.4</v>
      </c>
      <c r="Q5430" s="7">
        <v>340.8</v>
      </c>
      <c r="R5430" s="7">
        <v>254.7</v>
      </c>
    </row>
    <row r="5431" spans="1:18" x14ac:dyDescent="0.2">
      <c r="A5431">
        <v>5430</v>
      </c>
      <c r="B5431" s="1">
        <v>40883</v>
      </c>
      <c r="C5431" t="s">
        <v>28</v>
      </c>
      <c r="D5431" s="7">
        <v>144</v>
      </c>
      <c r="E5431" s="7">
        <v>22</v>
      </c>
      <c r="F5431" s="7">
        <f t="shared" si="85"/>
        <v>3</v>
      </c>
      <c r="G5431" s="7" t="str">
        <f>LOOKUP(H5431,[1]startdates!$A$2:$A$10,[1]startdates!$B$2:$B$10)</f>
        <v>C</v>
      </c>
      <c r="H5431">
        <v>5</v>
      </c>
      <c r="I5431" s="7">
        <v>606.4</v>
      </c>
      <c r="K5431" s="7">
        <v>503</v>
      </c>
      <c r="M5431" s="7">
        <v>321.5</v>
      </c>
      <c r="N5431" s="7">
        <v>241</v>
      </c>
      <c r="O5431" s="7">
        <v>166.3</v>
      </c>
      <c r="Q5431" s="7">
        <v>355.4</v>
      </c>
      <c r="R5431" s="7">
        <v>289.3</v>
      </c>
    </row>
    <row r="5432" spans="1:18" x14ac:dyDescent="0.2">
      <c r="A5432">
        <v>5431</v>
      </c>
      <c r="B5432" s="1">
        <v>40883</v>
      </c>
      <c r="C5432" t="s">
        <v>28</v>
      </c>
      <c r="D5432" s="7">
        <v>144</v>
      </c>
      <c r="E5432" s="7">
        <v>22</v>
      </c>
      <c r="F5432" s="7">
        <f t="shared" si="85"/>
        <v>3</v>
      </c>
      <c r="G5432" s="7" t="str">
        <f>LOOKUP(H5432,[1]startdates!$A$2:$A$10,[1]startdates!$B$2:$B$10)</f>
        <v>C</v>
      </c>
      <c r="H5432">
        <v>5</v>
      </c>
      <c r="I5432" s="7">
        <v>601</v>
      </c>
      <c r="K5432" s="7">
        <v>560.6</v>
      </c>
      <c r="M5432" s="7">
        <v>348.1</v>
      </c>
      <c r="N5432" s="7">
        <v>224.6</v>
      </c>
      <c r="O5432" s="7">
        <v>166.8</v>
      </c>
    </row>
    <row r="5433" spans="1:18" x14ac:dyDescent="0.2">
      <c r="A5433">
        <v>5432</v>
      </c>
      <c r="B5433" s="1">
        <v>40883</v>
      </c>
      <c r="C5433" t="s">
        <v>28</v>
      </c>
      <c r="D5433" s="7">
        <v>144</v>
      </c>
      <c r="E5433" s="7">
        <v>22</v>
      </c>
      <c r="F5433" s="7">
        <f t="shared" si="85"/>
        <v>3</v>
      </c>
      <c r="G5433" s="7" t="str">
        <f>LOOKUP(H5433,[1]startdates!$A$2:$A$10,[1]startdates!$B$2:$B$10)</f>
        <v>C</v>
      </c>
      <c r="H5433">
        <v>5</v>
      </c>
      <c r="I5433" s="7">
        <v>636</v>
      </c>
      <c r="K5433" s="7">
        <v>500</v>
      </c>
      <c r="M5433" s="7">
        <v>348.1</v>
      </c>
      <c r="N5433" s="7">
        <v>216.1</v>
      </c>
      <c r="O5433" s="7">
        <v>154.9</v>
      </c>
    </row>
    <row r="5434" spans="1:18" x14ac:dyDescent="0.2">
      <c r="A5434">
        <v>5433</v>
      </c>
      <c r="B5434" s="1">
        <v>40883</v>
      </c>
      <c r="C5434" t="s">
        <v>28</v>
      </c>
      <c r="D5434" s="7">
        <v>144</v>
      </c>
      <c r="E5434" s="7">
        <v>22</v>
      </c>
      <c r="F5434" s="7">
        <f t="shared" si="85"/>
        <v>3</v>
      </c>
      <c r="G5434" s="7" t="str">
        <f>LOOKUP(H5434,[1]startdates!$A$2:$A$10,[1]startdates!$B$2:$B$10)</f>
        <v>C</v>
      </c>
      <c r="H5434">
        <v>5</v>
      </c>
      <c r="I5434" s="7">
        <v>608.9</v>
      </c>
      <c r="M5434" s="7">
        <v>366.8</v>
      </c>
      <c r="N5434" s="7">
        <v>172.9</v>
      </c>
      <c r="O5434" s="7">
        <v>155</v>
      </c>
    </row>
    <row r="5435" spans="1:18" x14ac:dyDescent="0.2">
      <c r="A5435">
        <v>5434</v>
      </c>
      <c r="B5435" s="1">
        <v>40883</v>
      </c>
      <c r="C5435" t="s">
        <v>28</v>
      </c>
      <c r="D5435" s="7">
        <v>144</v>
      </c>
      <c r="E5435" s="7">
        <v>22</v>
      </c>
      <c r="F5435" s="7">
        <f t="shared" si="85"/>
        <v>3</v>
      </c>
      <c r="G5435" s="7" t="str">
        <f>LOOKUP(H5435,[1]startdates!$A$2:$A$10,[1]startdates!$B$2:$B$10)</f>
        <v>C</v>
      </c>
      <c r="H5435">
        <v>5</v>
      </c>
      <c r="I5435" s="7">
        <v>634.20000000000005</v>
      </c>
      <c r="M5435" s="7">
        <v>318.10000000000002</v>
      </c>
      <c r="N5435" s="7">
        <v>164.4</v>
      </c>
      <c r="O5435" s="7">
        <v>169.9</v>
      </c>
    </row>
    <row r="5436" spans="1:18" x14ac:dyDescent="0.2">
      <c r="A5436">
        <v>5435</v>
      </c>
      <c r="B5436" s="1">
        <v>40883</v>
      </c>
      <c r="C5436" t="s">
        <v>28</v>
      </c>
      <c r="D5436" s="7">
        <v>144</v>
      </c>
      <c r="E5436" s="7">
        <v>22</v>
      </c>
      <c r="F5436" s="7">
        <f t="shared" si="85"/>
        <v>3</v>
      </c>
      <c r="G5436" s="7" t="str">
        <f>LOOKUP(H5436,[1]startdates!$A$2:$A$10,[1]startdates!$B$2:$B$10)</f>
        <v>C</v>
      </c>
      <c r="H5436">
        <v>5</v>
      </c>
      <c r="I5436" s="7">
        <v>673.5</v>
      </c>
      <c r="M5436" s="7">
        <v>321.3</v>
      </c>
      <c r="N5436" s="7">
        <v>255.1</v>
      </c>
      <c r="O5436" s="7">
        <v>152.69999999999999</v>
      </c>
    </row>
    <row r="5437" spans="1:18" x14ac:dyDescent="0.2">
      <c r="A5437">
        <v>5436</v>
      </c>
      <c r="B5437" s="1">
        <v>40883</v>
      </c>
      <c r="C5437" t="s">
        <v>28</v>
      </c>
      <c r="D5437" s="7">
        <v>144</v>
      </c>
      <c r="E5437" s="7">
        <v>22</v>
      </c>
      <c r="F5437" s="7">
        <f t="shared" si="85"/>
        <v>3</v>
      </c>
      <c r="G5437" s="7" t="str">
        <f>LOOKUP(H5437,[1]startdates!$A$2:$A$10,[1]startdates!$B$2:$B$10)</f>
        <v>C</v>
      </c>
      <c r="H5437">
        <v>5</v>
      </c>
      <c r="I5437" s="7">
        <v>723</v>
      </c>
      <c r="M5437" s="7">
        <v>308.10000000000002</v>
      </c>
      <c r="N5437" s="7">
        <v>259.8</v>
      </c>
      <c r="O5437" s="7">
        <v>162.19999999999999</v>
      </c>
    </row>
    <row r="5438" spans="1:18" x14ac:dyDescent="0.2">
      <c r="A5438">
        <v>5437</v>
      </c>
      <c r="B5438" s="1">
        <v>40883</v>
      </c>
      <c r="C5438" t="s">
        <v>28</v>
      </c>
      <c r="D5438" s="7">
        <v>144</v>
      </c>
      <c r="E5438" s="7">
        <v>22</v>
      </c>
      <c r="F5438" s="7">
        <f t="shared" si="85"/>
        <v>3</v>
      </c>
      <c r="G5438" s="7" t="str">
        <f>LOOKUP(H5438,[1]startdates!$A$2:$A$10,[1]startdates!$B$2:$B$10)</f>
        <v>C</v>
      </c>
      <c r="H5438">
        <v>5</v>
      </c>
      <c r="I5438" s="7">
        <v>624.6</v>
      </c>
      <c r="M5438" s="7">
        <v>365</v>
      </c>
      <c r="N5438" s="7">
        <v>218.7</v>
      </c>
      <c r="O5438" s="7">
        <v>155.69999999999999</v>
      </c>
    </row>
    <row r="5439" spans="1:18" x14ac:dyDescent="0.2">
      <c r="A5439">
        <v>5438</v>
      </c>
      <c r="B5439" s="1">
        <v>40883</v>
      </c>
      <c r="C5439" t="s">
        <v>28</v>
      </c>
      <c r="D5439" s="7">
        <v>144</v>
      </c>
      <c r="E5439" s="7">
        <v>22</v>
      </c>
      <c r="F5439" s="7">
        <f t="shared" si="85"/>
        <v>3</v>
      </c>
      <c r="G5439" s="7" t="str">
        <f>LOOKUP(H5439,[1]startdates!$A$2:$A$10,[1]startdates!$B$2:$B$10)</f>
        <v>C</v>
      </c>
      <c r="H5439">
        <v>5</v>
      </c>
      <c r="I5439" s="7">
        <v>676</v>
      </c>
      <c r="M5439" s="7">
        <v>388</v>
      </c>
    </row>
    <row r="5440" spans="1:18" x14ac:dyDescent="0.2">
      <c r="A5440">
        <v>5439</v>
      </c>
      <c r="B5440" s="1">
        <v>40883</v>
      </c>
      <c r="C5440" t="s">
        <v>28</v>
      </c>
      <c r="D5440" s="7">
        <v>144</v>
      </c>
      <c r="E5440" s="7">
        <v>22</v>
      </c>
      <c r="F5440" s="7">
        <f t="shared" si="85"/>
        <v>3</v>
      </c>
      <c r="G5440" s="7" t="str">
        <f>LOOKUP(H5440,[1]startdates!$A$2:$A$10,[1]startdates!$B$2:$B$10)</f>
        <v>C</v>
      </c>
      <c r="H5440">
        <v>5</v>
      </c>
      <c r="I5440" s="7">
        <v>641.9</v>
      </c>
      <c r="M5440" s="7">
        <v>332.7</v>
      </c>
    </row>
    <row r="5441" spans="1:18" x14ac:dyDescent="0.2">
      <c r="A5441">
        <v>5440</v>
      </c>
      <c r="B5441" s="1">
        <v>40883</v>
      </c>
      <c r="C5441" t="s">
        <v>28</v>
      </c>
      <c r="D5441" s="7">
        <v>144</v>
      </c>
      <c r="E5441" s="7">
        <v>22</v>
      </c>
      <c r="F5441" s="7">
        <f t="shared" si="85"/>
        <v>3</v>
      </c>
      <c r="G5441" s="7" t="str">
        <f>LOOKUP(H5441,[1]startdates!$A$2:$A$10,[1]startdates!$B$2:$B$10)</f>
        <v>C</v>
      </c>
      <c r="H5441">
        <v>5</v>
      </c>
      <c r="I5441" s="7">
        <v>626.6</v>
      </c>
      <c r="M5441" s="7">
        <v>346.2</v>
      </c>
    </row>
    <row r="5442" spans="1:18" x14ac:dyDescent="0.2">
      <c r="A5442">
        <v>5441</v>
      </c>
      <c r="B5442" s="1">
        <v>40883</v>
      </c>
      <c r="C5442" t="s">
        <v>28</v>
      </c>
      <c r="D5442" s="7">
        <v>144</v>
      </c>
      <c r="E5442" s="7">
        <v>22</v>
      </c>
      <c r="F5442" s="7">
        <f t="shared" si="85"/>
        <v>3</v>
      </c>
      <c r="G5442" s="7" t="str">
        <f>LOOKUP(H5442,[1]startdates!$A$2:$A$10,[1]startdates!$B$2:$B$10)</f>
        <v>C</v>
      </c>
      <c r="H5442">
        <v>5</v>
      </c>
      <c r="I5442" s="7">
        <v>629</v>
      </c>
    </row>
    <row r="5443" spans="1:18" x14ac:dyDescent="0.2">
      <c r="A5443">
        <v>5442</v>
      </c>
      <c r="B5443" s="1">
        <v>40883</v>
      </c>
      <c r="C5443" t="s">
        <v>28</v>
      </c>
      <c r="D5443" s="7">
        <v>144</v>
      </c>
      <c r="E5443" s="7">
        <v>22</v>
      </c>
      <c r="F5443" s="7">
        <f t="shared" si="85"/>
        <v>3</v>
      </c>
      <c r="G5443" s="7" t="str">
        <f>LOOKUP(H5443,[1]startdates!$A$2:$A$10,[1]startdates!$B$2:$B$10)</f>
        <v>C</v>
      </c>
      <c r="H5443">
        <v>5</v>
      </c>
      <c r="I5443" s="7">
        <v>634.4</v>
      </c>
    </row>
    <row r="5444" spans="1:18" x14ac:dyDescent="0.2">
      <c r="A5444">
        <v>5443</v>
      </c>
      <c r="B5444" s="1">
        <v>40883</v>
      </c>
      <c r="C5444" t="s">
        <v>28</v>
      </c>
      <c r="D5444" s="7">
        <v>144</v>
      </c>
      <c r="E5444" s="7">
        <v>22</v>
      </c>
      <c r="F5444" s="7">
        <f t="shared" si="85"/>
        <v>3</v>
      </c>
      <c r="G5444" s="7" t="str">
        <f>LOOKUP(H5444,[1]startdates!$A$2:$A$10,[1]startdates!$B$2:$B$10)</f>
        <v>C</v>
      </c>
      <c r="H5444">
        <v>5</v>
      </c>
      <c r="I5444" s="7">
        <v>615.79999999999995</v>
      </c>
    </row>
    <row r="5445" spans="1:18" x14ac:dyDescent="0.2">
      <c r="A5445">
        <v>5444</v>
      </c>
      <c r="B5445" s="1">
        <v>40883</v>
      </c>
      <c r="C5445" t="s">
        <v>24</v>
      </c>
      <c r="D5445" s="7">
        <v>144</v>
      </c>
      <c r="E5445" s="7">
        <v>22</v>
      </c>
      <c r="F5445" s="7">
        <f t="shared" si="85"/>
        <v>3</v>
      </c>
      <c r="G5445" s="7" t="str">
        <f>LOOKUP(H5445,[1]startdates!$A$2:$A$10,[1]startdates!$B$2:$B$10)</f>
        <v>FMr</v>
      </c>
      <c r="H5445">
        <v>6</v>
      </c>
      <c r="I5445" s="7">
        <v>568.1</v>
      </c>
      <c r="K5445" s="7">
        <v>507.3</v>
      </c>
      <c r="L5445" s="7">
        <v>423.8</v>
      </c>
      <c r="M5445" s="7">
        <v>317.60000000000002</v>
      </c>
      <c r="N5445" s="7">
        <v>237.9</v>
      </c>
      <c r="O5445" s="7">
        <v>167.9</v>
      </c>
      <c r="P5445" s="7">
        <v>394.8</v>
      </c>
      <c r="Q5445" s="7">
        <v>360.8</v>
      </c>
      <c r="R5445" s="7">
        <v>274.8</v>
      </c>
    </row>
    <row r="5446" spans="1:18" x14ac:dyDescent="0.2">
      <c r="A5446">
        <v>5445</v>
      </c>
      <c r="B5446" s="1">
        <v>40883</v>
      </c>
      <c r="C5446" t="s">
        <v>24</v>
      </c>
      <c r="D5446" s="7">
        <v>144</v>
      </c>
      <c r="E5446" s="7">
        <v>22</v>
      </c>
      <c r="F5446" s="7">
        <f t="shared" si="85"/>
        <v>3</v>
      </c>
      <c r="G5446" s="7" t="str">
        <f>LOOKUP(H5446,[1]startdates!$A$2:$A$10,[1]startdates!$B$2:$B$10)</f>
        <v>FMr</v>
      </c>
      <c r="H5446">
        <v>6</v>
      </c>
      <c r="I5446" s="7">
        <v>582.20000000000005</v>
      </c>
      <c r="K5446" s="7">
        <v>488.1</v>
      </c>
      <c r="L5446" s="7">
        <v>364.6</v>
      </c>
      <c r="M5446" s="7">
        <v>296.8</v>
      </c>
      <c r="N5446" s="7">
        <v>245.2</v>
      </c>
      <c r="O5446" s="7">
        <v>144</v>
      </c>
      <c r="P5446" s="7">
        <v>452</v>
      </c>
      <c r="Q5446" s="7">
        <v>397.6</v>
      </c>
      <c r="R5446" s="7">
        <v>227.9</v>
      </c>
    </row>
    <row r="5447" spans="1:18" x14ac:dyDescent="0.2">
      <c r="A5447">
        <v>5446</v>
      </c>
      <c r="B5447" s="1">
        <v>40883</v>
      </c>
      <c r="C5447" t="s">
        <v>24</v>
      </c>
      <c r="D5447" s="7">
        <v>144</v>
      </c>
      <c r="E5447" s="7">
        <v>22</v>
      </c>
      <c r="F5447" s="7">
        <f t="shared" si="85"/>
        <v>3</v>
      </c>
      <c r="G5447" s="7" t="str">
        <f>LOOKUP(H5447,[1]startdates!$A$2:$A$10,[1]startdates!$B$2:$B$10)</f>
        <v>FMr</v>
      </c>
      <c r="H5447">
        <v>6</v>
      </c>
      <c r="I5447" s="7">
        <v>631.1</v>
      </c>
      <c r="K5447" s="7">
        <v>415.8</v>
      </c>
      <c r="L5447" s="7">
        <v>431.3</v>
      </c>
      <c r="M5447" s="7">
        <v>315.89999999999998</v>
      </c>
      <c r="N5447" s="7">
        <v>214.7</v>
      </c>
      <c r="O5447" s="7">
        <v>171.3</v>
      </c>
      <c r="R5447" s="7">
        <v>273.39999999999998</v>
      </c>
    </row>
    <row r="5448" spans="1:18" x14ac:dyDescent="0.2">
      <c r="A5448">
        <v>5447</v>
      </c>
      <c r="B5448" s="1">
        <v>40883</v>
      </c>
      <c r="C5448" t="s">
        <v>24</v>
      </c>
      <c r="D5448" s="7">
        <v>144</v>
      </c>
      <c r="E5448" s="7">
        <v>22</v>
      </c>
      <c r="F5448" s="7">
        <f t="shared" si="85"/>
        <v>3</v>
      </c>
      <c r="G5448" s="7" t="str">
        <f>LOOKUP(H5448,[1]startdates!$A$2:$A$10,[1]startdates!$B$2:$B$10)</f>
        <v>FMr</v>
      </c>
      <c r="H5448">
        <v>6</v>
      </c>
      <c r="I5448" s="7">
        <v>563.1</v>
      </c>
      <c r="K5448" s="7">
        <v>527</v>
      </c>
      <c r="L5448" s="7">
        <v>350.1</v>
      </c>
      <c r="M5448" s="7">
        <v>329.3</v>
      </c>
      <c r="N5448" s="7">
        <v>221.7</v>
      </c>
      <c r="O5448" s="7">
        <v>155.4</v>
      </c>
    </row>
    <row r="5449" spans="1:18" x14ac:dyDescent="0.2">
      <c r="A5449">
        <v>5448</v>
      </c>
      <c r="B5449" s="1">
        <v>40883</v>
      </c>
      <c r="C5449" t="s">
        <v>24</v>
      </c>
      <c r="D5449" s="7">
        <v>144</v>
      </c>
      <c r="E5449" s="7">
        <v>22</v>
      </c>
      <c r="F5449" s="7">
        <f t="shared" si="85"/>
        <v>3</v>
      </c>
      <c r="G5449" s="7" t="str">
        <f>LOOKUP(H5449,[1]startdates!$A$2:$A$10,[1]startdates!$B$2:$B$10)</f>
        <v>FMr</v>
      </c>
      <c r="H5449">
        <v>6</v>
      </c>
      <c r="I5449" s="7">
        <v>660.3</v>
      </c>
      <c r="K5449" s="7">
        <v>456.7</v>
      </c>
      <c r="M5449" s="7">
        <v>335.1</v>
      </c>
      <c r="N5449" s="7">
        <v>217.7</v>
      </c>
      <c r="O5449" s="7">
        <v>161.9</v>
      </c>
    </row>
    <row r="5450" spans="1:18" x14ac:dyDescent="0.2">
      <c r="A5450">
        <v>5449</v>
      </c>
      <c r="B5450" s="1">
        <v>40883</v>
      </c>
      <c r="C5450" t="s">
        <v>24</v>
      </c>
      <c r="D5450" s="7">
        <v>144</v>
      </c>
      <c r="E5450" s="7">
        <v>22</v>
      </c>
      <c r="F5450" s="7">
        <f t="shared" si="85"/>
        <v>3</v>
      </c>
      <c r="G5450" s="7" t="str">
        <f>LOOKUP(H5450,[1]startdates!$A$2:$A$10,[1]startdates!$B$2:$B$10)</f>
        <v>FMr</v>
      </c>
      <c r="H5450">
        <v>6</v>
      </c>
      <c r="I5450" s="7">
        <v>519.70000000000005</v>
      </c>
      <c r="K5450" s="7">
        <v>386.3</v>
      </c>
      <c r="M5450" s="7">
        <v>301.3</v>
      </c>
      <c r="N5450" s="7">
        <v>210.8</v>
      </c>
      <c r="O5450" s="7">
        <v>166.9</v>
      </c>
    </row>
    <row r="5451" spans="1:18" x14ac:dyDescent="0.2">
      <c r="A5451">
        <v>5450</v>
      </c>
      <c r="B5451" s="1">
        <v>40883</v>
      </c>
      <c r="C5451" t="s">
        <v>24</v>
      </c>
      <c r="D5451" s="7">
        <v>144</v>
      </c>
      <c r="E5451" s="7">
        <v>22</v>
      </c>
      <c r="F5451" s="7">
        <f t="shared" si="85"/>
        <v>3</v>
      </c>
      <c r="G5451" s="7" t="str">
        <f>LOOKUP(H5451,[1]startdates!$A$2:$A$10,[1]startdates!$B$2:$B$10)</f>
        <v>FMr</v>
      </c>
      <c r="H5451">
        <v>6</v>
      </c>
      <c r="I5451" s="7">
        <v>590.5</v>
      </c>
      <c r="K5451" s="7">
        <v>525.6</v>
      </c>
      <c r="M5451" s="7">
        <v>298.3</v>
      </c>
      <c r="N5451" s="7">
        <v>228.7</v>
      </c>
      <c r="O5451" s="7">
        <v>162.4</v>
      </c>
    </row>
    <row r="5452" spans="1:18" x14ac:dyDescent="0.2">
      <c r="A5452">
        <v>5451</v>
      </c>
      <c r="B5452" s="1">
        <v>40883</v>
      </c>
      <c r="C5452" t="s">
        <v>24</v>
      </c>
      <c r="D5452" s="7">
        <v>144</v>
      </c>
      <c r="E5452" s="7">
        <v>22</v>
      </c>
      <c r="F5452" s="7">
        <f t="shared" si="85"/>
        <v>3</v>
      </c>
      <c r="G5452" s="7" t="str">
        <f>LOOKUP(H5452,[1]startdates!$A$2:$A$10,[1]startdates!$B$2:$B$10)</f>
        <v>FMr</v>
      </c>
      <c r="H5452">
        <v>6</v>
      </c>
      <c r="I5452" s="7">
        <v>587.6</v>
      </c>
      <c r="K5452" s="7">
        <v>486</v>
      </c>
      <c r="N5452" s="7">
        <v>189.5</v>
      </c>
      <c r="O5452" s="7">
        <v>180.7</v>
      </c>
    </row>
    <row r="5453" spans="1:18" x14ac:dyDescent="0.2">
      <c r="A5453">
        <v>5452</v>
      </c>
      <c r="B5453" s="1">
        <v>40883</v>
      </c>
      <c r="C5453" t="s">
        <v>24</v>
      </c>
      <c r="D5453" s="7">
        <v>144</v>
      </c>
      <c r="E5453" s="7">
        <v>22</v>
      </c>
      <c r="F5453" s="7">
        <f t="shared" si="85"/>
        <v>3</v>
      </c>
      <c r="G5453" s="7" t="str">
        <f>LOOKUP(H5453,[1]startdates!$A$2:$A$10,[1]startdates!$B$2:$B$10)</f>
        <v>FMr</v>
      </c>
      <c r="H5453">
        <v>6</v>
      </c>
      <c r="I5453" s="7">
        <v>544</v>
      </c>
      <c r="K5453" s="7">
        <v>359.6</v>
      </c>
      <c r="N5453" s="7">
        <v>233.9</v>
      </c>
      <c r="O5453" s="7">
        <v>159.80000000000001</v>
      </c>
    </row>
    <row r="5454" spans="1:18" x14ac:dyDescent="0.2">
      <c r="A5454">
        <v>5453</v>
      </c>
      <c r="B5454" s="1">
        <v>40883</v>
      </c>
      <c r="C5454" t="s">
        <v>24</v>
      </c>
      <c r="D5454" s="7">
        <v>144</v>
      </c>
      <c r="E5454" s="7">
        <v>22</v>
      </c>
      <c r="F5454" s="7">
        <f t="shared" si="85"/>
        <v>3</v>
      </c>
      <c r="G5454" s="7" t="str">
        <f>LOOKUP(H5454,[1]startdates!$A$2:$A$10,[1]startdates!$B$2:$B$10)</f>
        <v>FMr</v>
      </c>
      <c r="H5454">
        <v>6</v>
      </c>
      <c r="I5454" s="7">
        <v>595.1</v>
      </c>
      <c r="N5454" s="7">
        <v>211.4</v>
      </c>
      <c r="O5454" s="7">
        <v>162</v>
      </c>
    </row>
    <row r="5455" spans="1:18" x14ac:dyDescent="0.2">
      <c r="A5455">
        <v>5454</v>
      </c>
      <c r="B5455" s="1">
        <v>40883</v>
      </c>
      <c r="C5455" t="s">
        <v>24</v>
      </c>
      <c r="D5455" s="7">
        <v>144</v>
      </c>
      <c r="E5455" s="7">
        <v>22</v>
      </c>
      <c r="F5455" s="7">
        <f t="shared" si="85"/>
        <v>3</v>
      </c>
      <c r="G5455" s="7" t="str">
        <f>LOOKUP(H5455,[1]startdates!$A$2:$A$10,[1]startdates!$B$2:$B$10)</f>
        <v>FMr</v>
      </c>
      <c r="H5455">
        <v>6</v>
      </c>
      <c r="N5455" s="7">
        <v>192.6</v>
      </c>
      <c r="O5455" s="7">
        <v>168.3</v>
      </c>
    </row>
    <row r="5456" spans="1:18" x14ac:dyDescent="0.2">
      <c r="A5456">
        <v>5455</v>
      </c>
      <c r="B5456" s="1">
        <v>40883</v>
      </c>
      <c r="C5456" t="s">
        <v>24</v>
      </c>
      <c r="D5456" s="7">
        <v>144</v>
      </c>
      <c r="E5456" s="7">
        <v>22</v>
      </c>
      <c r="F5456" s="7">
        <f t="shared" si="85"/>
        <v>3</v>
      </c>
      <c r="G5456" s="7" t="str">
        <f>LOOKUP(H5456,[1]startdates!$A$2:$A$10,[1]startdates!$B$2:$B$10)</f>
        <v>FMr</v>
      </c>
      <c r="H5456">
        <v>6</v>
      </c>
      <c r="O5456" s="7">
        <v>176</v>
      </c>
    </row>
    <row r="5457" spans="1:19" x14ac:dyDescent="0.2">
      <c r="A5457">
        <v>5456</v>
      </c>
      <c r="B5457" s="1">
        <v>40883</v>
      </c>
      <c r="C5457" t="s">
        <v>24</v>
      </c>
      <c r="D5457" s="7">
        <v>144</v>
      </c>
      <c r="E5457" s="7">
        <v>22</v>
      </c>
      <c r="F5457" s="7">
        <f t="shared" si="85"/>
        <v>3</v>
      </c>
      <c r="G5457" s="7" t="str">
        <f>LOOKUP(H5457,[1]startdates!$A$2:$A$10,[1]startdates!$B$2:$B$10)</f>
        <v>FMr</v>
      </c>
      <c r="H5457">
        <v>6</v>
      </c>
      <c r="O5457" s="7">
        <v>168.3</v>
      </c>
    </row>
    <row r="5458" spans="1:19" x14ac:dyDescent="0.2">
      <c r="A5458">
        <v>5457</v>
      </c>
      <c r="B5458" s="1">
        <v>40883</v>
      </c>
      <c r="C5458" t="s">
        <v>24</v>
      </c>
      <c r="D5458" s="7">
        <v>144</v>
      </c>
      <c r="E5458" s="7">
        <v>22</v>
      </c>
      <c r="F5458" s="7">
        <f t="shared" si="85"/>
        <v>3</v>
      </c>
      <c r="G5458" s="7" t="str">
        <f>LOOKUP(H5458,[1]startdates!$A$2:$A$10,[1]startdates!$B$2:$B$10)</f>
        <v>FMr</v>
      </c>
      <c r="H5458">
        <v>7</v>
      </c>
      <c r="I5458" s="7">
        <v>629.70000000000005</v>
      </c>
      <c r="K5458" s="7">
        <v>532.29999999999995</v>
      </c>
      <c r="L5458" s="7">
        <v>428</v>
      </c>
      <c r="M5458" s="7">
        <v>273.7</v>
      </c>
      <c r="N5458" s="7">
        <v>197.6</v>
      </c>
      <c r="O5458" s="7">
        <v>156.30000000000001</v>
      </c>
      <c r="P5458" s="7">
        <v>484.7</v>
      </c>
      <c r="Q5458" s="7">
        <v>380.9</v>
      </c>
      <c r="R5458" s="7">
        <v>262.2</v>
      </c>
    </row>
    <row r="5459" spans="1:19" x14ac:dyDescent="0.2">
      <c r="A5459">
        <v>5458</v>
      </c>
      <c r="B5459" s="1">
        <v>40883</v>
      </c>
      <c r="C5459" t="s">
        <v>24</v>
      </c>
      <c r="D5459" s="7">
        <v>144</v>
      </c>
      <c r="E5459" s="7">
        <v>22</v>
      </c>
      <c r="F5459" s="7">
        <f t="shared" si="85"/>
        <v>3</v>
      </c>
      <c r="G5459" s="7" t="str">
        <f>LOOKUP(H5459,[1]startdates!$A$2:$A$10,[1]startdates!$B$2:$B$10)</f>
        <v>FMr</v>
      </c>
      <c r="H5459">
        <v>7</v>
      </c>
      <c r="I5459" s="7">
        <v>537.6</v>
      </c>
      <c r="K5459" s="7">
        <v>517.20000000000005</v>
      </c>
      <c r="L5459" s="7">
        <v>417.4</v>
      </c>
      <c r="M5459" s="7">
        <v>289.2</v>
      </c>
      <c r="N5459" s="7">
        <v>234.2</v>
      </c>
      <c r="O5459" s="7">
        <v>151.1</v>
      </c>
      <c r="P5459" s="7">
        <v>502.8</v>
      </c>
      <c r="Q5459" s="7">
        <v>353.5</v>
      </c>
      <c r="R5459" s="7">
        <v>278.7</v>
      </c>
    </row>
    <row r="5460" spans="1:19" x14ac:dyDescent="0.2">
      <c r="A5460">
        <v>5459</v>
      </c>
      <c r="B5460" s="1">
        <v>40883</v>
      </c>
      <c r="C5460" t="s">
        <v>24</v>
      </c>
      <c r="D5460" s="7">
        <v>144</v>
      </c>
      <c r="E5460" s="7">
        <v>22</v>
      </c>
      <c r="F5460" s="7">
        <f t="shared" si="85"/>
        <v>3</v>
      </c>
      <c r="G5460" s="7" t="str">
        <f>LOOKUP(H5460,[1]startdates!$A$2:$A$10,[1]startdates!$B$2:$B$10)</f>
        <v>FMr</v>
      </c>
      <c r="H5460">
        <v>7</v>
      </c>
      <c r="I5460" s="7">
        <v>531.29999999999995</v>
      </c>
      <c r="K5460" s="7">
        <v>467.2</v>
      </c>
      <c r="L5460" s="7">
        <v>400.5</v>
      </c>
      <c r="M5460" s="7">
        <v>329.7</v>
      </c>
      <c r="N5460" s="7">
        <v>192</v>
      </c>
      <c r="O5460" s="7">
        <v>185</v>
      </c>
      <c r="P5460" s="7">
        <v>448.3</v>
      </c>
    </row>
    <row r="5461" spans="1:19" x14ac:dyDescent="0.2">
      <c r="A5461">
        <v>5460</v>
      </c>
      <c r="B5461" s="1">
        <v>40883</v>
      </c>
      <c r="C5461" t="s">
        <v>24</v>
      </c>
      <c r="D5461" s="7">
        <v>144</v>
      </c>
      <c r="E5461" s="7">
        <v>22</v>
      </c>
      <c r="F5461" s="7">
        <f t="shared" si="85"/>
        <v>3</v>
      </c>
      <c r="G5461" s="7" t="str">
        <f>LOOKUP(H5461,[1]startdates!$A$2:$A$10,[1]startdates!$B$2:$B$10)</f>
        <v>FMr</v>
      </c>
      <c r="H5461">
        <v>7</v>
      </c>
      <c r="I5461" s="7">
        <v>461.2</v>
      </c>
      <c r="K5461" s="7">
        <v>469.8</v>
      </c>
      <c r="M5461" s="7">
        <v>281</v>
      </c>
      <c r="N5461" s="7">
        <v>232.2</v>
      </c>
      <c r="O5461" s="7">
        <v>163.5</v>
      </c>
      <c r="P5461" s="7">
        <v>434</v>
      </c>
    </row>
    <row r="5462" spans="1:19" x14ac:dyDescent="0.2">
      <c r="A5462">
        <v>5461</v>
      </c>
      <c r="B5462" s="1">
        <v>40883</v>
      </c>
      <c r="C5462" t="s">
        <v>24</v>
      </c>
      <c r="D5462" s="7">
        <v>144</v>
      </c>
      <c r="E5462" s="7">
        <v>22</v>
      </c>
      <c r="F5462" s="7">
        <f t="shared" si="85"/>
        <v>3</v>
      </c>
      <c r="G5462" s="7" t="str">
        <f>LOOKUP(H5462,[1]startdates!$A$2:$A$10,[1]startdates!$B$2:$B$10)</f>
        <v>FMr</v>
      </c>
      <c r="H5462">
        <v>7</v>
      </c>
      <c r="I5462" s="7">
        <v>503.9</v>
      </c>
      <c r="K5462" s="7">
        <v>440.2</v>
      </c>
      <c r="M5462" s="7">
        <v>334.3</v>
      </c>
      <c r="N5462" s="7">
        <v>218</v>
      </c>
      <c r="O5462" s="7">
        <v>169.7</v>
      </c>
      <c r="P5462" s="7">
        <v>448.5</v>
      </c>
    </row>
    <row r="5463" spans="1:19" x14ac:dyDescent="0.2">
      <c r="A5463">
        <v>5462</v>
      </c>
      <c r="B5463" s="1">
        <v>40883</v>
      </c>
      <c r="C5463" t="s">
        <v>24</v>
      </c>
      <c r="D5463" s="7">
        <v>144</v>
      </c>
      <c r="E5463" s="7">
        <v>22</v>
      </c>
      <c r="F5463" s="7">
        <f t="shared" si="85"/>
        <v>3</v>
      </c>
      <c r="G5463" s="7" t="str">
        <f>LOOKUP(H5463,[1]startdates!$A$2:$A$10,[1]startdates!$B$2:$B$10)</f>
        <v>FMr</v>
      </c>
      <c r="H5463">
        <v>7</v>
      </c>
      <c r="I5463" s="7">
        <v>578.4</v>
      </c>
      <c r="K5463" s="7">
        <v>466.6</v>
      </c>
      <c r="M5463" s="7">
        <v>316.60000000000002</v>
      </c>
      <c r="N5463" s="7">
        <v>200.5</v>
      </c>
      <c r="O5463" s="7">
        <v>163</v>
      </c>
      <c r="P5463" s="7">
        <v>484.1</v>
      </c>
    </row>
    <row r="5464" spans="1:19" x14ac:dyDescent="0.2">
      <c r="A5464">
        <v>5463</v>
      </c>
      <c r="B5464" s="1">
        <v>40883</v>
      </c>
      <c r="C5464" t="s">
        <v>24</v>
      </c>
      <c r="D5464" s="7">
        <v>144</v>
      </c>
      <c r="E5464" s="7">
        <v>22</v>
      </c>
      <c r="F5464" s="7">
        <f t="shared" si="85"/>
        <v>3</v>
      </c>
      <c r="G5464" s="7" t="str">
        <f>LOOKUP(H5464,[1]startdates!$A$2:$A$10,[1]startdates!$B$2:$B$10)</f>
        <v>FMr</v>
      </c>
      <c r="H5464">
        <v>7</v>
      </c>
      <c r="I5464" s="7">
        <v>548.29999999999995</v>
      </c>
      <c r="K5464" s="7">
        <v>517.70000000000005</v>
      </c>
      <c r="M5464" s="7">
        <v>274.89999999999998</v>
      </c>
      <c r="N5464" s="7">
        <v>206.5</v>
      </c>
      <c r="O5464" s="7">
        <v>177.7</v>
      </c>
      <c r="P5464" s="7">
        <v>430.8</v>
      </c>
    </row>
    <row r="5465" spans="1:19" x14ac:dyDescent="0.2">
      <c r="A5465">
        <v>5464</v>
      </c>
      <c r="B5465" s="1">
        <v>40883</v>
      </c>
      <c r="C5465" t="s">
        <v>24</v>
      </c>
      <c r="D5465" s="7">
        <v>144</v>
      </c>
      <c r="E5465" s="7">
        <v>22</v>
      </c>
      <c r="F5465" s="7">
        <f t="shared" si="85"/>
        <v>3</v>
      </c>
      <c r="G5465" s="7" t="str">
        <f>LOOKUP(H5465,[1]startdates!$A$2:$A$10,[1]startdates!$B$2:$B$10)</f>
        <v>FMr</v>
      </c>
      <c r="H5465">
        <v>7</v>
      </c>
      <c r="I5465" s="7">
        <v>620.70000000000005</v>
      </c>
      <c r="K5465" s="7">
        <v>600.20000000000005</v>
      </c>
      <c r="N5465" s="7">
        <v>224</v>
      </c>
      <c r="O5465" s="7">
        <v>171.6</v>
      </c>
    </row>
    <row r="5466" spans="1:19" x14ac:dyDescent="0.2">
      <c r="A5466">
        <v>5465</v>
      </c>
      <c r="B5466" s="1">
        <v>40883</v>
      </c>
      <c r="C5466" t="s">
        <v>24</v>
      </c>
      <c r="D5466" s="7">
        <v>144</v>
      </c>
      <c r="E5466" s="7">
        <v>22</v>
      </c>
      <c r="F5466" s="7">
        <f t="shared" si="85"/>
        <v>3</v>
      </c>
      <c r="G5466" s="7" t="str">
        <f>LOOKUP(H5466,[1]startdates!$A$2:$A$10,[1]startdates!$B$2:$B$10)</f>
        <v>FMr</v>
      </c>
      <c r="H5466">
        <v>7</v>
      </c>
      <c r="I5466" s="7">
        <v>623.79999999999995</v>
      </c>
      <c r="N5466" s="7">
        <v>205.5</v>
      </c>
      <c r="O5466" s="7">
        <v>172.4</v>
      </c>
    </row>
    <row r="5467" spans="1:19" x14ac:dyDescent="0.2">
      <c r="A5467">
        <v>5466</v>
      </c>
      <c r="B5467" s="1">
        <v>40883</v>
      </c>
      <c r="C5467" t="s">
        <v>24</v>
      </c>
      <c r="D5467" s="7">
        <v>144</v>
      </c>
      <c r="E5467" s="7">
        <v>22</v>
      </c>
      <c r="F5467" s="7">
        <f t="shared" si="85"/>
        <v>3</v>
      </c>
      <c r="G5467" s="7" t="str">
        <f>LOOKUP(H5467,[1]startdates!$A$2:$A$10,[1]startdates!$B$2:$B$10)</f>
        <v>FMr</v>
      </c>
      <c r="H5467">
        <v>7</v>
      </c>
      <c r="I5467" s="7">
        <v>662.9</v>
      </c>
      <c r="N5467" s="7">
        <v>202.8</v>
      </c>
      <c r="O5467" s="7">
        <v>170.6</v>
      </c>
    </row>
    <row r="5468" spans="1:19" x14ac:dyDescent="0.2">
      <c r="A5468">
        <v>5467</v>
      </c>
      <c r="B5468" s="1">
        <v>40883</v>
      </c>
      <c r="C5468" t="s">
        <v>24</v>
      </c>
      <c r="D5468" s="7">
        <v>144</v>
      </c>
      <c r="E5468" s="7">
        <v>22</v>
      </c>
      <c r="F5468" s="7">
        <f t="shared" si="85"/>
        <v>3</v>
      </c>
      <c r="G5468" s="7" t="str">
        <f>LOOKUP(H5468,[1]startdates!$A$2:$A$10,[1]startdates!$B$2:$B$10)</f>
        <v>FMr</v>
      </c>
      <c r="H5468">
        <v>7</v>
      </c>
      <c r="N5468" s="7">
        <v>175.6</v>
      </c>
    </row>
    <row r="5469" spans="1:19" x14ac:dyDescent="0.2">
      <c r="A5469">
        <v>5468</v>
      </c>
      <c r="B5469" s="1">
        <v>40883</v>
      </c>
      <c r="C5469" t="s">
        <v>24</v>
      </c>
      <c r="D5469" s="7">
        <v>144</v>
      </c>
      <c r="E5469" s="7">
        <v>22</v>
      </c>
      <c r="F5469" s="7">
        <f t="shared" si="85"/>
        <v>3</v>
      </c>
      <c r="G5469" s="7" t="str">
        <f>LOOKUP(H5469,[1]startdates!$A$2:$A$10,[1]startdates!$B$2:$B$10)</f>
        <v>C</v>
      </c>
      <c r="H5469">
        <v>8</v>
      </c>
      <c r="I5469" s="7">
        <v>655.4</v>
      </c>
      <c r="J5469" s="7">
        <v>482.4</v>
      </c>
      <c r="K5469" s="7">
        <v>549.29999999999995</v>
      </c>
      <c r="L5469" s="7">
        <v>467.7</v>
      </c>
      <c r="M5469" s="7">
        <v>322.39999999999998</v>
      </c>
      <c r="N5469" s="7">
        <v>240.4</v>
      </c>
      <c r="O5469" s="7">
        <v>176</v>
      </c>
      <c r="Q5469" s="7">
        <v>349.8</v>
      </c>
      <c r="R5469" s="7">
        <v>227.1</v>
      </c>
      <c r="S5469" s="7">
        <v>282.2</v>
      </c>
    </row>
    <row r="5470" spans="1:19" x14ac:dyDescent="0.2">
      <c r="A5470">
        <v>5469</v>
      </c>
      <c r="B5470" s="1">
        <v>40883</v>
      </c>
      <c r="C5470" t="s">
        <v>24</v>
      </c>
      <c r="D5470" s="7">
        <v>144</v>
      </c>
      <c r="E5470" s="7">
        <v>22</v>
      </c>
      <c r="F5470" s="7">
        <f t="shared" si="85"/>
        <v>3</v>
      </c>
      <c r="G5470" s="7" t="str">
        <f>LOOKUP(H5470,[1]startdates!$A$2:$A$10,[1]startdates!$B$2:$B$10)</f>
        <v>C</v>
      </c>
      <c r="H5470">
        <v>8</v>
      </c>
      <c r="I5470" s="7">
        <v>592.70000000000005</v>
      </c>
      <c r="J5470" s="7">
        <v>590.70000000000005</v>
      </c>
      <c r="K5470" s="7">
        <v>552</v>
      </c>
      <c r="L5470" s="7">
        <v>457.2</v>
      </c>
      <c r="M5470" s="7">
        <v>305.7</v>
      </c>
      <c r="N5470" s="7">
        <v>213.7</v>
      </c>
      <c r="O5470" s="7">
        <v>167</v>
      </c>
      <c r="Q5470" s="7">
        <v>316.5</v>
      </c>
      <c r="R5470" s="7">
        <v>244.8</v>
      </c>
    </row>
    <row r="5471" spans="1:19" x14ac:dyDescent="0.2">
      <c r="A5471">
        <v>5470</v>
      </c>
      <c r="B5471" s="1">
        <v>40883</v>
      </c>
      <c r="C5471" t="s">
        <v>24</v>
      </c>
      <c r="D5471" s="7">
        <v>144</v>
      </c>
      <c r="E5471" s="7">
        <v>22</v>
      </c>
      <c r="F5471" s="7">
        <f t="shared" si="85"/>
        <v>3</v>
      </c>
      <c r="G5471" s="7" t="str">
        <f>LOOKUP(H5471,[1]startdates!$A$2:$A$10,[1]startdates!$B$2:$B$10)</f>
        <v>C</v>
      </c>
      <c r="H5471">
        <v>8</v>
      </c>
      <c r="I5471" s="7">
        <v>470.8</v>
      </c>
      <c r="J5471" s="7">
        <v>508.4</v>
      </c>
      <c r="K5471" s="7">
        <v>455.8</v>
      </c>
      <c r="L5471" s="7">
        <v>453.1</v>
      </c>
      <c r="M5471" s="7">
        <v>359.4</v>
      </c>
      <c r="N5471" s="7">
        <v>243.1</v>
      </c>
      <c r="O5471" s="7">
        <v>158.5</v>
      </c>
      <c r="Q5471" s="7">
        <v>377</v>
      </c>
      <c r="R5471" s="7">
        <v>271.5</v>
      </c>
    </row>
    <row r="5472" spans="1:19" x14ac:dyDescent="0.2">
      <c r="A5472">
        <v>5471</v>
      </c>
      <c r="B5472" s="1">
        <v>40883</v>
      </c>
      <c r="C5472" t="s">
        <v>24</v>
      </c>
      <c r="D5472" s="7">
        <v>144</v>
      </c>
      <c r="E5472" s="7">
        <v>22</v>
      </c>
      <c r="F5472" s="7">
        <f t="shared" si="85"/>
        <v>3</v>
      </c>
      <c r="G5472" s="7" t="str">
        <f>LOOKUP(H5472,[1]startdates!$A$2:$A$10,[1]startdates!$B$2:$B$10)</f>
        <v>C</v>
      </c>
      <c r="H5472">
        <v>8</v>
      </c>
      <c r="I5472" s="7">
        <v>601</v>
      </c>
      <c r="J5472" s="7">
        <v>467.6</v>
      </c>
      <c r="K5472" s="7">
        <v>630.9</v>
      </c>
      <c r="L5472" s="7">
        <v>375.2</v>
      </c>
      <c r="M5472" s="7">
        <v>299.7</v>
      </c>
      <c r="N5472" s="7">
        <v>205.8</v>
      </c>
      <c r="O5472" s="7">
        <v>187</v>
      </c>
    </row>
    <row r="5473" spans="1:19" x14ac:dyDescent="0.2">
      <c r="A5473">
        <v>5472</v>
      </c>
      <c r="B5473" s="1">
        <v>40883</v>
      </c>
      <c r="C5473" t="s">
        <v>24</v>
      </c>
      <c r="D5473" s="7">
        <v>144</v>
      </c>
      <c r="E5473" s="7">
        <v>22</v>
      </c>
      <c r="F5473" s="7">
        <f t="shared" si="85"/>
        <v>3</v>
      </c>
      <c r="G5473" s="7" t="str">
        <f>LOOKUP(H5473,[1]startdates!$A$2:$A$10,[1]startdates!$B$2:$B$10)</f>
        <v>C</v>
      </c>
      <c r="H5473">
        <v>8</v>
      </c>
      <c r="I5473" s="7">
        <v>636.5</v>
      </c>
      <c r="K5473" s="7">
        <v>579.20000000000005</v>
      </c>
      <c r="M5473" s="7">
        <v>304.3</v>
      </c>
      <c r="N5473" s="7">
        <v>213.6</v>
      </c>
      <c r="O5473" s="7">
        <v>177.7</v>
      </c>
    </row>
    <row r="5474" spans="1:19" x14ac:dyDescent="0.2">
      <c r="A5474">
        <v>5473</v>
      </c>
      <c r="B5474" s="1">
        <v>40883</v>
      </c>
      <c r="C5474" t="s">
        <v>24</v>
      </c>
      <c r="D5474" s="7">
        <v>144</v>
      </c>
      <c r="E5474" s="7">
        <v>22</v>
      </c>
      <c r="F5474" s="7">
        <f t="shared" si="85"/>
        <v>3</v>
      </c>
      <c r="G5474" s="7" t="str">
        <f>LOOKUP(H5474,[1]startdates!$A$2:$A$10,[1]startdates!$B$2:$B$10)</f>
        <v>C</v>
      </c>
      <c r="H5474">
        <v>8</v>
      </c>
      <c r="I5474" s="7">
        <v>618.4</v>
      </c>
      <c r="K5474" s="7">
        <v>614.4</v>
      </c>
      <c r="M5474" s="7">
        <v>258.8</v>
      </c>
      <c r="N5474" s="7">
        <v>224.6</v>
      </c>
      <c r="O5474" s="7">
        <v>154.69999999999999</v>
      </c>
    </row>
    <row r="5475" spans="1:19" x14ac:dyDescent="0.2">
      <c r="A5475">
        <v>5474</v>
      </c>
      <c r="B5475" s="1">
        <v>40883</v>
      </c>
      <c r="C5475" t="s">
        <v>24</v>
      </c>
      <c r="D5475" s="7">
        <v>144</v>
      </c>
      <c r="E5475" s="7">
        <v>22</v>
      </c>
      <c r="F5475" s="7">
        <f t="shared" si="85"/>
        <v>3</v>
      </c>
      <c r="G5475" s="7" t="str">
        <f>LOOKUP(H5475,[1]startdates!$A$2:$A$10,[1]startdates!$B$2:$B$10)</f>
        <v>C</v>
      </c>
      <c r="H5475">
        <v>8</v>
      </c>
      <c r="I5475" s="7">
        <v>523</v>
      </c>
      <c r="K5475" s="7">
        <v>493.2</v>
      </c>
      <c r="M5475" s="7">
        <v>332.6</v>
      </c>
      <c r="N5475" s="7">
        <v>226.3</v>
      </c>
      <c r="O5475" s="7">
        <v>163</v>
      </c>
    </row>
    <row r="5476" spans="1:19" x14ac:dyDescent="0.2">
      <c r="A5476">
        <v>5475</v>
      </c>
      <c r="B5476" s="1">
        <v>40883</v>
      </c>
      <c r="C5476" t="s">
        <v>24</v>
      </c>
      <c r="D5476" s="7">
        <v>144</v>
      </c>
      <c r="E5476" s="7">
        <v>22</v>
      </c>
      <c r="F5476" s="7">
        <f t="shared" si="85"/>
        <v>3</v>
      </c>
      <c r="G5476" s="7" t="str">
        <f>LOOKUP(H5476,[1]startdates!$A$2:$A$10,[1]startdates!$B$2:$B$10)</f>
        <v>C</v>
      </c>
      <c r="H5476">
        <v>8</v>
      </c>
      <c r="I5476" s="7">
        <v>559.29999999999995</v>
      </c>
      <c r="K5476" s="7">
        <v>530.20000000000005</v>
      </c>
      <c r="M5476" s="7">
        <v>309.8</v>
      </c>
      <c r="N5476" s="7">
        <v>177</v>
      </c>
      <c r="O5476" s="7">
        <v>135</v>
      </c>
    </row>
    <row r="5477" spans="1:19" x14ac:dyDescent="0.2">
      <c r="A5477">
        <v>5476</v>
      </c>
      <c r="B5477" s="1">
        <v>40883</v>
      </c>
      <c r="C5477" t="s">
        <v>24</v>
      </c>
      <c r="D5477" s="7">
        <v>144</v>
      </c>
      <c r="E5477" s="7">
        <v>22</v>
      </c>
      <c r="F5477" s="7">
        <f t="shared" si="85"/>
        <v>3</v>
      </c>
      <c r="G5477" s="7" t="str">
        <f>LOOKUP(H5477,[1]startdates!$A$2:$A$10,[1]startdates!$B$2:$B$10)</f>
        <v>C</v>
      </c>
      <c r="H5477">
        <v>8</v>
      </c>
      <c r="I5477" s="7">
        <v>626.20000000000005</v>
      </c>
      <c r="K5477" s="7">
        <v>579.4</v>
      </c>
      <c r="M5477" s="7">
        <v>345.9</v>
      </c>
      <c r="O5477" s="7">
        <v>174.1</v>
      </c>
    </row>
    <row r="5478" spans="1:19" x14ac:dyDescent="0.2">
      <c r="A5478">
        <v>5477</v>
      </c>
      <c r="B5478" s="1">
        <v>40883</v>
      </c>
      <c r="C5478" t="s">
        <v>24</v>
      </c>
      <c r="D5478" s="7">
        <v>144</v>
      </c>
      <c r="E5478" s="7">
        <v>22</v>
      </c>
      <c r="F5478" s="7">
        <f t="shared" si="85"/>
        <v>3</v>
      </c>
      <c r="G5478" s="7" t="str">
        <f>LOOKUP(H5478,[1]startdates!$A$2:$A$10,[1]startdates!$B$2:$B$10)</f>
        <v>C</v>
      </c>
      <c r="H5478">
        <v>8</v>
      </c>
      <c r="I5478" s="7">
        <v>659.3</v>
      </c>
      <c r="O5478" s="7">
        <v>179.5</v>
      </c>
    </row>
    <row r="5479" spans="1:19" x14ac:dyDescent="0.2">
      <c r="A5479">
        <v>5478</v>
      </c>
      <c r="B5479" s="1">
        <v>40883</v>
      </c>
      <c r="C5479" t="s">
        <v>24</v>
      </c>
      <c r="D5479" s="7">
        <v>144</v>
      </c>
      <c r="E5479" s="7">
        <v>22</v>
      </c>
      <c r="F5479" s="7">
        <f t="shared" si="85"/>
        <v>3</v>
      </c>
      <c r="G5479" s="7" t="str">
        <f>LOOKUP(H5479,[1]startdates!$A$2:$A$10,[1]startdates!$B$2:$B$10)</f>
        <v>C</v>
      </c>
      <c r="H5479">
        <v>8</v>
      </c>
      <c r="O5479" s="7">
        <v>181.9</v>
      </c>
    </row>
    <row r="5480" spans="1:19" x14ac:dyDescent="0.2">
      <c r="A5480">
        <v>5479</v>
      </c>
      <c r="B5480" s="1">
        <v>40883</v>
      </c>
      <c r="C5480" t="s">
        <v>28</v>
      </c>
      <c r="D5480" s="7">
        <v>144</v>
      </c>
      <c r="E5480" s="7">
        <v>22</v>
      </c>
      <c r="F5480" s="7">
        <f t="shared" si="85"/>
        <v>3</v>
      </c>
      <c r="G5480" s="7" t="str">
        <f>LOOKUP(H5480,[1]startdates!$A$2:$A$10,[1]startdates!$B$2:$B$10)</f>
        <v>FMr</v>
      </c>
      <c r="H5480">
        <v>9</v>
      </c>
      <c r="I5480" s="7">
        <v>596.4</v>
      </c>
      <c r="J5480" s="7">
        <v>494</v>
      </c>
      <c r="K5480" s="7">
        <v>517</v>
      </c>
      <c r="L5480" s="7">
        <v>422</v>
      </c>
      <c r="M5480" s="7">
        <v>321.60000000000002</v>
      </c>
      <c r="N5480" s="7">
        <v>203.7</v>
      </c>
      <c r="P5480" s="7">
        <v>449.2</v>
      </c>
      <c r="Q5480" s="7">
        <v>379.5</v>
      </c>
      <c r="R5480" s="7">
        <v>274</v>
      </c>
      <c r="S5480" s="7">
        <v>288.10000000000002</v>
      </c>
    </row>
    <row r="5481" spans="1:19" x14ac:dyDescent="0.2">
      <c r="A5481">
        <v>5480</v>
      </c>
      <c r="B5481" s="1">
        <v>40883</v>
      </c>
      <c r="C5481" t="s">
        <v>28</v>
      </c>
      <c r="D5481" s="7">
        <v>144</v>
      </c>
      <c r="E5481" s="7">
        <v>22</v>
      </c>
      <c r="F5481" s="7">
        <f t="shared" ref="F5481:F5544" si="86">WEEKDAY(B5481)</f>
        <v>3</v>
      </c>
      <c r="G5481" s="7" t="str">
        <f>LOOKUP(H5481,[1]startdates!$A$2:$A$10,[1]startdates!$B$2:$B$10)</f>
        <v>FMr</v>
      </c>
      <c r="H5481">
        <v>9</v>
      </c>
      <c r="I5481" s="7">
        <v>588.79999999999995</v>
      </c>
      <c r="K5481" s="7">
        <v>524.4</v>
      </c>
      <c r="L5481" s="7">
        <v>397.4</v>
      </c>
      <c r="M5481" s="7">
        <v>375.2</v>
      </c>
      <c r="N5481" s="7">
        <v>192.6</v>
      </c>
      <c r="P5481" s="7">
        <v>436.1</v>
      </c>
      <c r="S5481" s="7">
        <v>247.1</v>
      </c>
    </row>
    <row r="5482" spans="1:19" x14ac:dyDescent="0.2">
      <c r="A5482">
        <v>5481</v>
      </c>
      <c r="B5482" s="1">
        <v>40883</v>
      </c>
      <c r="C5482" t="s">
        <v>28</v>
      </c>
      <c r="D5482" s="7">
        <v>144</v>
      </c>
      <c r="E5482" s="7">
        <v>22</v>
      </c>
      <c r="F5482" s="7">
        <f t="shared" si="86"/>
        <v>3</v>
      </c>
      <c r="G5482" s="7" t="str">
        <f>LOOKUP(H5482,[1]startdates!$A$2:$A$10,[1]startdates!$B$2:$B$10)</f>
        <v>FMr</v>
      </c>
      <c r="H5482">
        <v>9</v>
      </c>
      <c r="I5482" s="7">
        <v>576.70000000000005</v>
      </c>
      <c r="K5482" s="7">
        <v>566</v>
      </c>
      <c r="L5482" s="7">
        <v>395.5</v>
      </c>
      <c r="M5482" s="7">
        <v>355.4</v>
      </c>
      <c r="N5482" s="7">
        <v>226.6</v>
      </c>
      <c r="P5482" s="7">
        <v>441</v>
      </c>
      <c r="S5482" s="7">
        <v>242</v>
      </c>
    </row>
    <row r="5483" spans="1:19" x14ac:dyDescent="0.2">
      <c r="A5483">
        <v>5482</v>
      </c>
      <c r="B5483" s="1">
        <v>40883</v>
      </c>
      <c r="C5483" t="s">
        <v>28</v>
      </c>
      <c r="D5483" s="7">
        <v>144</v>
      </c>
      <c r="E5483" s="7">
        <v>22</v>
      </c>
      <c r="F5483" s="7">
        <f t="shared" si="86"/>
        <v>3</v>
      </c>
      <c r="G5483" s="7" t="str">
        <f>LOOKUP(H5483,[1]startdates!$A$2:$A$10,[1]startdates!$B$2:$B$10)</f>
        <v>FMr</v>
      </c>
      <c r="H5483">
        <v>9</v>
      </c>
      <c r="I5483" s="7">
        <v>512.29999999999995</v>
      </c>
      <c r="K5483" s="7">
        <v>490.2</v>
      </c>
      <c r="M5483" s="7">
        <v>373.2</v>
      </c>
      <c r="N5483" s="7">
        <v>242</v>
      </c>
      <c r="P5483" s="7">
        <v>419.3</v>
      </c>
    </row>
    <row r="5484" spans="1:19" x14ac:dyDescent="0.2">
      <c r="A5484">
        <v>5483</v>
      </c>
      <c r="B5484" s="1">
        <v>40883</v>
      </c>
      <c r="C5484" t="s">
        <v>28</v>
      </c>
      <c r="D5484" s="7">
        <v>144</v>
      </c>
      <c r="E5484" s="7">
        <v>22</v>
      </c>
      <c r="F5484" s="7">
        <f t="shared" si="86"/>
        <v>3</v>
      </c>
      <c r="G5484" s="7" t="str">
        <f>LOOKUP(H5484,[1]startdates!$A$2:$A$10,[1]startdates!$B$2:$B$10)</f>
        <v>FMr</v>
      </c>
      <c r="H5484">
        <v>9</v>
      </c>
      <c r="I5484" s="7">
        <v>552.6</v>
      </c>
      <c r="K5484" s="7">
        <v>489.7</v>
      </c>
      <c r="M5484" s="7">
        <v>348.1</v>
      </c>
      <c r="N5484" s="7">
        <v>218.7</v>
      </c>
    </row>
    <row r="5485" spans="1:19" x14ac:dyDescent="0.2">
      <c r="A5485">
        <v>5484</v>
      </c>
      <c r="B5485" s="1">
        <v>40883</v>
      </c>
      <c r="C5485" t="s">
        <v>28</v>
      </c>
      <c r="D5485" s="7">
        <v>144</v>
      </c>
      <c r="E5485" s="7">
        <v>22</v>
      </c>
      <c r="F5485" s="7">
        <f t="shared" si="86"/>
        <v>3</v>
      </c>
      <c r="G5485" s="7" t="str">
        <f>LOOKUP(H5485,[1]startdates!$A$2:$A$10,[1]startdates!$B$2:$B$10)</f>
        <v>FMr</v>
      </c>
      <c r="H5485">
        <v>9</v>
      </c>
      <c r="I5485" s="7">
        <v>594.4</v>
      </c>
      <c r="K5485" s="7">
        <v>503.7</v>
      </c>
      <c r="N5485" s="7">
        <v>261.60000000000002</v>
      </c>
    </row>
    <row r="5486" spans="1:19" x14ac:dyDescent="0.2">
      <c r="A5486">
        <v>5485</v>
      </c>
      <c r="B5486" s="1">
        <v>40883</v>
      </c>
      <c r="C5486" t="s">
        <v>28</v>
      </c>
      <c r="D5486" s="7">
        <v>144</v>
      </c>
      <c r="E5486" s="7">
        <v>22</v>
      </c>
      <c r="F5486" s="7">
        <f t="shared" si="86"/>
        <v>3</v>
      </c>
      <c r="G5486" s="7" t="str">
        <f>LOOKUP(H5486,[1]startdates!$A$2:$A$10,[1]startdates!$B$2:$B$10)</f>
        <v>FMr</v>
      </c>
      <c r="H5486">
        <v>9</v>
      </c>
      <c r="I5486" s="7">
        <v>645.70000000000005</v>
      </c>
      <c r="N5486" s="7">
        <v>196</v>
      </c>
    </row>
    <row r="5487" spans="1:19" x14ac:dyDescent="0.2">
      <c r="A5487">
        <v>5486</v>
      </c>
      <c r="B5487" s="1">
        <v>40883</v>
      </c>
      <c r="C5487" t="s">
        <v>28</v>
      </c>
      <c r="D5487" s="7">
        <v>144</v>
      </c>
      <c r="E5487" s="7">
        <v>22</v>
      </c>
      <c r="F5487" s="7">
        <f t="shared" si="86"/>
        <v>3</v>
      </c>
      <c r="G5487" s="7" t="str">
        <f>LOOKUP(H5487,[1]startdates!$A$2:$A$10,[1]startdates!$B$2:$B$10)</f>
        <v>FMr</v>
      </c>
      <c r="H5487">
        <v>9</v>
      </c>
      <c r="I5487" s="7">
        <v>544.4</v>
      </c>
      <c r="N5487" s="7">
        <v>199.1</v>
      </c>
    </row>
    <row r="5488" spans="1:19" x14ac:dyDescent="0.2">
      <c r="A5488">
        <v>5487</v>
      </c>
      <c r="B5488" s="1">
        <v>40883</v>
      </c>
      <c r="C5488" t="s">
        <v>28</v>
      </c>
      <c r="D5488" s="7">
        <v>144</v>
      </c>
      <c r="E5488" s="7">
        <v>22</v>
      </c>
      <c r="F5488" s="7">
        <f t="shared" si="86"/>
        <v>3</v>
      </c>
      <c r="G5488" s="7" t="str">
        <f>LOOKUP(H5488,[1]startdates!$A$2:$A$10,[1]startdates!$B$2:$B$10)</f>
        <v>FMr</v>
      </c>
      <c r="H5488">
        <v>9</v>
      </c>
      <c r="I5488" s="7">
        <v>606.9</v>
      </c>
      <c r="N5488" s="7">
        <v>204.6</v>
      </c>
    </row>
    <row r="5489" spans="1:18" x14ac:dyDescent="0.2">
      <c r="A5489">
        <v>5488</v>
      </c>
      <c r="B5489" s="1">
        <v>40883</v>
      </c>
      <c r="C5489" t="s">
        <v>28</v>
      </c>
      <c r="D5489" s="7">
        <v>144</v>
      </c>
      <c r="E5489" s="7">
        <v>22</v>
      </c>
      <c r="F5489" s="7">
        <f t="shared" si="86"/>
        <v>3</v>
      </c>
      <c r="G5489" s="7" t="str">
        <f>LOOKUP(H5489,[1]startdates!$A$2:$A$10,[1]startdates!$B$2:$B$10)</f>
        <v>FMr</v>
      </c>
      <c r="H5489">
        <v>9</v>
      </c>
      <c r="N5489" s="7">
        <v>243.5</v>
      </c>
    </row>
    <row r="5490" spans="1:18" x14ac:dyDescent="0.2">
      <c r="A5490">
        <v>5489</v>
      </c>
      <c r="B5490" s="1">
        <v>40886</v>
      </c>
      <c r="C5490" t="s">
        <v>28</v>
      </c>
      <c r="D5490" s="7">
        <v>147</v>
      </c>
      <c r="E5490" s="7">
        <v>22</v>
      </c>
      <c r="F5490" s="7">
        <f t="shared" si="86"/>
        <v>6</v>
      </c>
      <c r="G5490" s="7" t="str">
        <f>LOOKUP(H5490,[1]startdates!$A$2:$A$10,[1]startdates!$B$2:$B$10)</f>
        <v>SMr</v>
      </c>
      <c r="H5490">
        <v>1</v>
      </c>
      <c r="I5490" s="7">
        <v>620.20000000000005</v>
      </c>
      <c r="J5490" s="7">
        <v>455.3</v>
      </c>
      <c r="K5490" s="7">
        <v>499.2</v>
      </c>
      <c r="L5490" s="7">
        <v>436.2</v>
      </c>
      <c r="M5490" s="7">
        <v>316.60000000000002</v>
      </c>
      <c r="N5490" s="7">
        <v>219.7</v>
      </c>
      <c r="O5490" s="7">
        <v>154.80000000000001</v>
      </c>
      <c r="P5490" s="7">
        <v>456.5</v>
      </c>
      <c r="Q5490" s="7">
        <v>340</v>
      </c>
      <c r="R5490" s="7">
        <v>269</v>
      </c>
    </row>
    <row r="5491" spans="1:18" x14ac:dyDescent="0.2">
      <c r="A5491">
        <v>5490</v>
      </c>
      <c r="B5491" s="1">
        <v>40886</v>
      </c>
      <c r="C5491" t="s">
        <v>28</v>
      </c>
      <c r="D5491" s="7">
        <v>147</v>
      </c>
      <c r="E5491" s="7">
        <v>22</v>
      </c>
      <c r="F5491" s="7">
        <f t="shared" si="86"/>
        <v>6</v>
      </c>
      <c r="G5491" s="7" t="str">
        <f>LOOKUP(H5491,[1]startdates!$A$2:$A$10,[1]startdates!$B$2:$B$10)</f>
        <v>SMr</v>
      </c>
      <c r="H5491">
        <v>1</v>
      </c>
      <c r="I5491" s="7">
        <v>496.5</v>
      </c>
      <c r="J5491" s="7">
        <v>479.5</v>
      </c>
      <c r="K5491" s="7">
        <v>509.1</v>
      </c>
      <c r="L5491" s="7">
        <v>454</v>
      </c>
      <c r="M5491" s="7">
        <v>362.6</v>
      </c>
      <c r="N5491" s="7">
        <v>246.3</v>
      </c>
      <c r="O5491" s="7">
        <v>165.7</v>
      </c>
      <c r="P5491" s="7">
        <v>531.20000000000005</v>
      </c>
      <c r="Q5491" s="7">
        <v>304.7</v>
      </c>
      <c r="R5491" s="7">
        <v>255.7</v>
      </c>
    </row>
    <row r="5492" spans="1:18" x14ac:dyDescent="0.2">
      <c r="A5492">
        <v>5491</v>
      </c>
      <c r="B5492" s="1">
        <v>40886</v>
      </c>
      <c r="C5492" t="s">
        <v>28</v>
      </c>
      <c r="D5492" s="7">
        <v>147</v>
      </c>
      <c r="E5492" s="7">
        <v>22</v>
      </c>
      <c r="F5492" s="7">
        <f t="shared" si="86"/>
        <v>6</v>
      </c>
      <c r="G5492" s="7" t="str">
        <f>LOOKUP(H5492,[1]startdates!$A$2:$A$10,[1]startdates!$B$2:$B$10)</f>
        <v>SMr</v>
      </c>
      <c r="H5492">
        <v>1</v>
      </c>
      <c r="I5492" s="7">
        <v>593</v>
      </c>
      <c r="K5492" s="7">
        <v>479.3</v>
      </c>
      <c r="L5492" s="7">
        <v>438.2</v>
      </c>
      <c r="M5492" s="7">
        <v>311.89999999999998</v>
      </c>
      <c r="N5492" s="7">
        <v>186.2</v>
      </c>
      <c r="O5492" s="7">
        <v>189.5</v>
      </c>
      <c r="P5492" s="7">
        <v>463.7</v>
      </c>
      <c r="Q5492" s="7">
        <v>342.4</v>
      </c>
      <c r="R5492" s="7">
        <v>244.8</v>
      </c>
    </row>
    <row r="5493" spans="1:18" x14ac:dyDescent="0.2">
      <c r="A5493">
        <v>5492</v>
      </c>
      <c r="B5493" s="1">
        <v>40886</v>
      </c>
      <c r="C5493" t="s">
        <v>28</v>
      </c>
      <c r="D5493" s="7">
        <v>147</v>
      </c>
      <c r="E5493" s="7">
        <v>22</v>
      </c>
      <c r="F5493" s="7">
        <f t="shared" si="86"/>
        <v>6</v>
      </c>
      <c r="G5493" s="7" t="str">
        <f>LOOKUP(H5493,[1]startdates!$A$2:$A$10,[1]startdates!$B$2:$B$10)</f>
        <v>SMr</v>
      </c>
      <c r="H5493">
        <v>1</v>
      </c>
      <c r="I5493" s="7">
        <v>471.3</v>
      </c>
      <c r="K5493" s="7">
        <v>493.2</v>
      </c>
      <c r="L5493" s="7">
        <v>403.7</v>
      </c>
      <c r="M5493" s="7">
        <v>343.9</v>
      </c>
      <c r="N5493" s="7">
        <v>174.6</v>
      </c>
      <c r="O5493" s="7">
        <v>175</v>
      </c>
      <c r="Q5493" s="7">
        <v>379.1</v>
      </c>
    </row>
    <row r="5494" spans="1:18" x14ac:dyDescent="0.2">
      <c r="A5494">
        <v>5493</v>
      </c>
      <c r="B5494" s="1">
        <v>40886</v>
      </c>
      <c r="C5494" t="s">
        <v>28</v>
      </c>
      <c r="D5494" s="7">
        <v>147</v>
      </c>
      <c r="E5494" s="7">
        <v>22</v>
      </c>
      <c r="F5494" s="7">
        <f t="shared" si="86"/>
        <v>6</v>
      </c>
      <c r="G5494" s="7" t="str">
        <f>LOOKUP(H5494,[1]startdates!$A$2:$A$10,[1]startdates!$B$2:$B$10)</f>
        <v>SMr</v>
      </c>
      <c r="H5494">
        <v>1</v>
      </c>
      <c r="I5494" s="7">
        <v>559.29999999999995</v>
      </c>
      <c r="K5494" s="7">
        <v>554.9</v>
      </c>
      <c r="L5494" s="7">
        <v>441.3</v>
      </c>
      <c r="M5494" s="7">
        <v>345.2</v>
      </c>
      <c r="N5494" s="7">
        <v>253.9</v>
      </c>
      <c r="O5494" s="7">
        <v>178.4</v>
      </c>
    </row>
    <row r="5495" spans="1:18" x14ac:dyDescent="0.2">
      <c r="A5495">
        <v>5494</v>
      </c>
      <c r="B5495" s="1">
        <v>40886</v>
      </c>
      <c r="C5495" t="s">
        <v>28</v>
      </c>
      <c r="D5495" s="7">
        <v>147</v>
      </c>
      <c r="E5495" s="7">
        <v>22</v>
      </c>
      <c r="F5495" s="7">
        <f t="shared" si="86"/>
        <v>6</v>
      </c>
      <c r="G5495" s="7" t="str">
        <f>LOOKUP(H5495,[1]startdates!$A$2:$A$10,[1]startdates!$B$2:$B$10)</f>
        <v>SMr</v>
      </c>
      <c r="H5495">
        <v>1</v>
      </c>
      <c r="I5495" s="7">
        <v>560.79999999999995</v>
      </c>
      <c r="L5495" s="7">
        <v>430.9</v>
      </c>
      <c r="M5495" s="7">
        <v>323.7</v>
      </c>
      <c r="N5495" s="7">
        <v>222.9</v>
      </c>
      <c r="O5495" s="7">
        <v>154.1</v>
      </c>
    </row>
    <row r="5496" spans="1:18" x14ac:dyDescent="0.2">
      <c r="A5496">
        <v>5495</v>
      </c>
      <c r="B5496" s="1">
        <v>40886</v>
      </c>
      <c r="C5496" t="s">
        <v>28</v>
      </c>
      <c r="D5496" s="7">
        <v>147</v>
      </c>
      <c r="E5496" s="7">
        <v>22</v>
      </c>
      <c r="F5496" s="7">
        <f t="shared" si="86"/>
        <v>6</v>
      </c>
      <c r="G5496" s="7" t="str">
        <f>LOOKUP(H5496,[1]startdates!$A$2:$A$10,[1]startdates!$B$2:$B$10)</f>
        <v>SMr</v>
      </c>
      <c r="H5496">
        <v>1</v>
      </c>
      <c r="I5496" s="7">
        <v>556.20000000000005</v>
      </c>
      <c r="M5496" s="7">
        <v>301</v>
      </c>
      <c r="N5496" s="7">
        <v>250.8</v>
      </c>
      <c r="O5496" s="7">
        <v>171.9</v>
      </c>
    </row>
    <row r="5497" spans="1:18" x14ac:dyDescent="0.2">
      <c r="A5497">
        <v>5496</v>
      </c>
      <c r="B5497" s="1">
        <v>40886</v>
      </c>
      <c r="C5497" t="s">
        <v>28</v>
      </c>
      <c r="D5497" s="7">
        <v>147</v>
      </c>
      <c r="E5497" s="7">
        <v>22</v>
      </c>
      <c r="F5497" s="7">
        <f t="shared" si="86"/>
        <v>6</v>
      </c>
      <c r="G5497" s="7" t="str">
        <f>LOOKUP(H5497,[1]startdates!$A$2:$A$10,[1]startdates!$B$2:$B$10)</f>
        <v>SMr</v>
      </c>
      <c r="H5497">
        <v>1</v>
      </c>
      <c r="I5497" s="7">
        <v>549.20000000000005</v>
      </c>
      <c r="M5497" s="7">
        <v>377</v>
      </c>
      <c r="N5497" s="7">
        <v>220.7</v>
      </c>
      <c r="O5497" s="7">
        <v>166.1</v>
      </c>
    </row>
    <row r="5498" spans="1:18" x14ac:dyDescent="0.2">
      <c r="A5498">
        <v>5497</v>
      </c>
      <c r="B5498" s="1">
        <v>40886</v>
      </c>
      <c r="C5498" t="s">
        <v>28</v>
      </c>
      <c r="D5498" s="7">
        <v>147</v>
      </c>
      <c r="E5498" s="7">
        <v>22</v>
      </c>
      <c r="F5498" s="7">
        <f t="shared" si="86"/>
        <v>6</v>
      </c>
      <c r="G5498" s="7" t="str">
        <f>LOOKUP(H5498,[1]startdates!$A$2:$A$10,[1]startdates!$B$2:$B$10)</f>
        <v>SMr</v>
      </c>
      <c r="H5498">
        <v>1</v>
      </c>
      <c r="I5498" s="7">
        <v>500.7</v>
      </c>
      <c r="M5498" s="7">
        <v>333.1</v>
      </c>
      <c r="N5498" s="7">
        <v>228.9</v>
      </c>
      <c r="O5498" s="7">
        <v>180.6</v>
      </c>
    </row>
    <row r="5499" spans="1:18" x14ac:dyDescent="0.2">
      <c r="A5499">
        <v>5498</v>
      </c>
      <c r="B5499" s="1">
        <v>40886</v>
      </c>
      <c r="C5499" t="s">
        <v>28</v>
      </c>
      <c r="D5499" s="7">
        <v>147</v>
      </c>
      <c r="E5499" s="7">
        <v>22</v>
      </c>
      <c r="F5499" s="7">
        <f t="shared" si="86"/>
        <v>6</v>
      </c>
      <c r="G5499" s="7" t="str">
        <f>LOOKUP(H5499,[1]startdates!$A$2:$A$10,[1]startdates!$B$2:$B$10)</f>
        <v>SMr</v>
      </c>
      <c r="H5499">
        <v>1</v>
      </c>
      <c r="M5499" s="7">
        <v>325.10000000000002</v>
      </c>
      <c r="N5499" s="7">
        <v>202.8</v>
      </c>
    </row>
    <row r="5500" spans="1:18" x14ac:dyDescent="0.2">
      <c r="A5500">
        <v>5499</v>
      </c>
      <c r="B5500" s="1">
        <v>40886</v>
      </c>
      <c r="C5500" t="s">
        <v>28</v>
      </c>
      <c r="D5500" s="7">
        <v>147</v>
      </c>
      <c r="E5500" s="7">
        <v>22</v>
      </c>
      <c r="F5500" s="7">
        <f t="shared" si="86"/>
        <v>6</v>
      </c>
      <c r="G5500" s="7" t="str">
        <f>LOOKUP(H5500,[1]startdates!$A$2:$A$10,[1]startdates!$B$2:$B$10)</f>
        <v>SMr</v>
      </c>
      <c r="H5500">
        <v>1</v>
      </c>
      <c r="M5500" s="7">
        <v>389.5</v>
      </c>
    </row>
    <row r="5501" spans="1:18" x14ac:dyDescent="0.2">
      <c r="A5501">
        <v>5500</v>
      </c>
      <c r="B5501" s="1">
        <v>40886</v>
      </c>
      <c r="C5501" t="s">
        <v>28</v>
      </c>
      <c r="D5501" s="7">
        <v>147</v>
      </c>
      <c r="E5501" s="7">
        <v>22</v>
      </c>
      <c r="F5501" s="7">
        <f t="shared" si="86"/>
        <v>6</v>
      </c>
      <c r="G5501" s="7" t="str">
        <f>LOOKUP(H5501,[1]startdates!$A$2:$A$10,[1]startdates!$B$2:$B$10)</f>
        <v>SMr</v>
      </c>
      <c r="H5501">
        <v>2</v>
      </c>
      <c r="I5501" s="7">
        <v>610.20000000000005</v>
      </c>
      <c r="K5501" s="7">
        <v>508.3</v>
      </c>
      <c r="L5501" s="7">
        <v>402.1</v>
      </c>
      <c r="M5501" s="7">
        <v>357.4</v>
      </c>
      <c r="N5501" s="7">
        <v>224.9</v>
      </c>
      <c r="O5501" s="7">
        <v>158.5</v>
      </c>
      <c r="Q5501" s="7">
        <v>310.7</v>
      </c>
      <c r="R5501" s="7">
        <v>257.89999999999998</v>
      </c>
    </row>
    <row r="5502" spans="1:18" x14ac:dyDescent="0.2">
      <c r="A5502">
        <v>5501</v>
      </c>
      <c r="B5502" s="1">
        <v>40886</v>
      </c>
      <c r="C5502" t="s">
        <v>28</v>
      </c>
      <c r="D5502" s="7">
        <v>147</v>
      </c>
      <c r="E5502" s="7">
        <v>22</v>
      </c>
      <c r="F5502" s="7">
        <f t="shared" si="86"/>
        <v>6</v>
      </c>
      <c r="G5502" s="7" t="str">
        <f>LOOKUP(H5502,[1]startdates!$A$2:$A$10,[1]startdates!$B$2:$B$10)</f>
        <v>SMr</v>
      </c>
      <c r="H5502">
        <v>2</v>
      </c>
      <c r="I5502" s="7">
        <v>539.20000000000005</v>
      </c>
      <c r="K5502" s="7">
        <v>549.79999999999995</v>
      </c>
      <c r="L5502" s="7">
        <v>449.6</v>
      </c>
      <c r="M5502" s="7">
        <v>333.4</v>
      </c>
      <c r="N5502" s="7">
        <v>277.8</v>
      </c>
      <c r="O5502" s="7">
        <v>177.7</v>
      </c>
      <c r="Q5502" s="7">
        <v>313.60000000000002</v>
      </c>
      <c r="R5502" s="7">
        <v>244.1</v>
      </c>
    </row>
    <row r="5503" spans="1:18" x14ac:dyDescent="0.2">
      <c r="A5503">
        <v>5502</v>
      </c>
      <c r="B5503" s="1">
        <v>40886</v>
      </c>
      <c r="C5503" t="s">
        <v>28</v>
      </c>
      <c r="D5503" s="7">
        <v>147</v>
      </c>
      <c r="E5503" s="7">
        <v>22</v>
      </c>
      <c r="F5503" s="7">
        <f t="shared" si="86"/>
        <v>6</v>
      </c>
      <c r="G5503" s="7" t="str">
        <f>LOOKUP(H5503,[1]startdates!$A$2:$A$10,[1]startdates!$B$2:$B$10)</f>
        <v>SMr</v>
      </c>
      <c r="H5503">
        <v>2</v>
      </c>
      <c r="I5503" s="7">
        <v>467.9</v>
      </c>
      <c r="K5503" s="7">
        <v>507.7</v>
      </c>
      <c r="L5503" s="7">
        <v>432.7</v>
      </c>
      <c r="M5503" s="7">
        <v>331</v>
      </c>
      <c r="N5503" s="7">
        <v>202.8</v>
      </c>
      <c r="O5503" s="7">
        <v>165.7</v>
      </c>
      <c r="Q5503" s="7">
        <v>337.6</v>
      </c>
    </row>
    <row r="5504" spans="1:18" x14ac:dyDescent="0.2">
      <c r="A5504">
        <v>5503</v>
      </c>
      <c r="B5504" s="1">
        <v>40886</v>
      </c>
      <c r="C5504" t="s">
        <v>28</v>
      </c>
      <c r="D5504" s="7">
        <v>147</v>
      </c>
      <c r="E5504" s="7">
        <v>22</v>
      </c>
      <c r="F5504" s="7">
        <f t="shared" si="86"/>
        <v>6</v>
      </c>
      <c r="G5504" s="7" t="str">
        <f>LOOKUP(H5504,[1]startdates!$A$2:$A$10,[1]startdates!$B$2:$B$10)</f>
        <v>SMr</v>
      </c>
      <c r="H5504">
        <v>2</v>
      </c>
      <c r="I5504" s="7">
        <v>614.6</v>
      </c>
      <c r="K5504" s="7">
        <v>487.5</v>
      </c>
      <c r="L5504" s="7">
        <v>445.7</v>
      </c>
      <c r="M5504" s="7">
        <v>345.6</v>
      </c>
      <c r="N5504" s="7">
        <v>191.4</v>
      </c>
      <c r="O5504" s="7">
        <v>157.4</v>
      </c>
    </row>
    <row r="5505" spans="1:18" x14ac:dyDescent="0.2">
      <c r="A5505">
        <v>5504</v>
      </c>
      <c r="B5505" s="1">
        <v>40886</v>
      </c>
      <c r="C5505" t="s">
        <v>28</v>
      </c>
      <c r="D5505" s="7">
        <v>147</v>
      </c>
      <c r="E5505" s="7">
        <v>22</v>
      </c>
      <c r="F5505" s="7">
        <f t="shared" si="86"/>
        <v>6</v>
      </c>
      <c r="G5505" s="7" t="str">
        <f>LOOKUP(H5505,[1]startdates!$A$2:$A$10,[1]startdates!$B$2:$B$10)</f>
        <v>SMr</v>
      </c>
      <c r="H5505">
        <v>2</v>
      </c>
      <c r="I5505" s="7">
        <v>482.2</v>
      </c>
      <c r="K5505" s="7">
        <v>581.79999999999995</v>
      </c>
      <c r="L5505" s="7">
        <v>425.3</v>
      </c>
      <c r="M5505" s="7">
        <v>345.6</v>
      </c>
      <c r="N5505" s="7">
        <v>260.39999999999998</v>
      </c>
      <c r="O5505" s="7">
        <v>140.69999999999999</v>
      </c>
    </row>
    <row r="5506" spans="1:18" x14ac:dyDescent="0.2">
      <c r="A5506">
        <v>5505</v>
      </c>
      <c r="B5506" s="1">
        <v>40886</v>
      </c>
      <c r="C5506" t="s">
        <v>28</v>
      </c>
      <c r="D5506" s="7">
        <v>147</v>
      </c>
      <c r="E5506" s="7">
        <v>22</v>
      </c>
      <c r="F5506" s="7">
        <f t="shared" si="86"/>
        <v>6</v>
      </c>
      <c r="G5506" s="7" t="str">
        <f>LOOKUP(H5506,[1]startdates!$A$2:$A$10,[1]startdates!$B$2:$B$10)</f>
        <v>SMr</v>
      </c>
      <c r="H5506">
        <v>2</v>
      </c>
      <c r="I5506" s="7">
        <v>653.70000000000005</v>
      </c>
      <c r="K5506" s="7">
        <v>478.8</v>
      </c>
      <c r="L5506" s="7">
        <v>456.4</v>
      </c>
      <c r="M5506" s="7">
        <v>348.3</v>
      </c>
      <c r="N5506" s="7">
        <v>191.5</v>
      </c>
      <c r="O5506" s="7">
        <v>149.1</v>
      </c>
    </row>
    <row r="5507" spans="1:18" x14ac:dyDescent="0.2">
      <c r="A5507">
        <v>5506</v>
      </c>
      <c r="B5507" s="1">
        <v>40886</v>
      </c>
      <c r="C5507" t="s">
        <v>28</v>
      </c>
      <c r="D5507" s="7">
        <v>147</v>
      </c>
      <c r="E5507" s="7">
        <v>22</v>
      </c>
      <c r="F5507" s="7">
        <f t="shared" si="86"/>
        <v>6</v>
      </c>
      <c r="G5507" s="7" t="str">
        <f>LOOKUP(H5507,[1]startdates!$A$2:$A$10,[1]startdates!$B$2:$B$10)</f>
        <v>SMr</v>
      </c>
      <c r="H5507">
        <v>2</v>
      </c>
      <c r="I5507" s="7">
        <v>680.4</v>
      </c>
      <c r="M5507" s="7">
        <v>340</v>
      </c>
      <c r="N5507" s="7">
        <v>218.7</v>
      </c>
      <c r="O5507" s="7">
        <v>189.2</v>
      </c>
    </row>
    <row r="5508" spans="1:18" x14ac:dyDescent="0.2">
      <c r="A5508">
        <v>5507</v>
      </c>
      <c r="B5508" s="1">
        <v>40886</v>
      </c>
      <c r="C5508" t="s">
        <v>28</v>
      </c>
      <c r="D5508" s="7">
        <v>147</v>
      </c>
      <c r="E5508" s="7">
        <v>22</v>
      </c>
      <c r="F5508" s="7">
        <f t="shared" si="86"/>
        <v>6</v>
      </c>
      <c r="G5508" s="7" t="str">
        <f>LOOKUP(H5508,[1]startdates!$A$2:$A$10,[1]startdates!$B$2:$B$10)</f>
        <v>SMr</v>
      </c>
      <c r="H5508">
        <v>2</v>
      </c>
      <c r="I5508" s="7">
        <v>563.6</v>
      </c>
      <c r="M5508" s="7">
        <v>345.9</v>
      </c>
      <c r="N5508" s="7">
        <v>188.2</v>
      </c>
      <c r="O5508" s="7">
        <v>197.1</v>
      </c>
    </row>
    <row r="5509" spans="1:18" x14ac:dyDescent="0.2">
      <c r="A5509">
        <v>5508</v>
      </c>
      <c r="B5509" s="1">
        <v>40886</v>
      </c>
      <c r="C5509" t="s">
        <v>28</v>
      </c>
      <c r="D5509" s="7">
        <v>147</v>
      </c>
      <c r="E5509" s="7">
        <v>22</v>
      </c>
      <c r="F5509" s="7">
        <f t="shared" si="86"/>
        <v>6</v>
      </c>
      <c r="G5509" s="7" t="str">
        <f>LOOKUP(H5509,[1]startdates!$A$2:$A$10,[1]startdates!$B$2:$B$10)</f>
        <v>SMr</v>
      </c>
      <c r="H5509">
        <v>2</v>
      </c>
      <c r="I5509" s="7">
        <v>513.29999999999995</v>
      </c>
      <c r="M5509" s="7">
        <v>303.7</v>
      </c>
      <c r="N5509" s="7">
        <v>246.1</v>
      </c>
      <c r="O5509" s="7">
        <v>157.30000000000001</v>
      </c>
    </row>
    <row r="5510" spans="1:18" x14ac:dyDescent="0.2">
      <c r="A5510">
        <v>5509</v>
      </c>
      <c r="B5510" s="1">
        <v>40886</v>
      </c>
      <c r="C5510" t="s">
        <v>28</v>
      </c>
      <c r="D5510" s="7">
        <v>147</v>
      </c>
      <c r="E5510" s="7">
        <v>22</v>
      </c>
      <c r="F5510" s="7">
        <f t="shared" si="86"/>
        <v>6</v>
      </c>
      <c r="G5510" s="7" t="str">
        <f>LOOKUP(H5510,[1]startdates!$A$2:$A$10,[1]startdates!$B$2:$B$10)</f>
        <v>SMr</v>
      </c>
      <c r="H5510">
        <v>2</v>
      </c>
      <c r="I5510" s="7">
        <v>576.1</v>
      </c>
      <c r="M5510" s="7">
        <v>307.60000000000002</v>
      </c>
      <c r="N5510" s="7">
        <v>234.2</v>
      </c>
      <c r="O5510" s="7">
        <v>185.3</v>
      </c>
    </row>
    <row r="5511" spans="1:18" x14ac:dyDescent="0.2">
      <c r="A5511">
        <v>5510</v>
      </c>
      <c r="B5511" s="1">
        <v>40886</v>
      </c>
      <c r="C5511" t="s">
        <v>28</v>
      </c>
      <c r="D5511" s="7">
        <v>147</v>
      </c>
      <c r="E5511" s="7">
        <v>22</v>
      </c>
      <c r="F5511" s="7">
        <f t="shared" si="86"/>
        <v>6</v>
      </c>
      <c r="G5511" s="7" t="str">
        <f>LOOKUP(H5511,[1]startdates!$A$2:$A$10,[1]startdates!$B$2:$B$10)</f>
        <v>SMr</v>
      </c>
      <c r="H5511">
        <v>2</v>
      </c>
      <c r="I5511" s="7">
        <v>584.9</v>
      </c>
      <c r="M5511" s="7">
        <v>305.60000000000002</v>
      </c>
    </row>
    <row r="5512" spans="1:18" x14ac:dyDescent="0.2">
      <c r="A5512">
        <v>5511</v>
      </c>
      <c r="B5512" s="1">
        <v>40886</v>
      </c>
      <c r="C5512" t="s">
        <v>28</v>
      </c>
      <c r="D5512" s="7">
        <v>147</v>
      </c>
      <c r="E5512" s="7">
        <v>22</v>
      </c>
      <c r="F5512" s="7">
        <f t="shared" si="86"/>
        <v>6</v>
      </c>
      <c r="G5512" s="7" t="str">
        <f>LOOKUP(H5512,[1]startdates!$A$2:$A$10,[1]startdates!$B$2:$B$10)</f>
        <v>C</v>
      </c>
      <c r="H5512">
        <v>3</v>
      </c>
      <c r="I5512" s="7">
        <v>514.70000000000005</v>
      </c>
      <c r="K5512" s="7">
        <v>553.9</v>
      </c>
      <c r="L5512" s="7">
        <v>421.5</v>
      </c>
      <c r="M5512" s="7">
        <v>332.9</v>
      </c>
      <c r="N5512" s="7">
        <v>210.8</v>
      </c>
      <c r="O5512" s="7">
        <v>166.1</v>
      </c>
      <c r="P5512" s="7">
        <v>448.9</v>
      </c>
      <c r="Q5512" s="7">
        <v>325</v>
      </c>
      <c r="R5512" s="7">
        <v>248</v>
      </c>
    </row>
    <row r="5513" spans="1:18" x14ac:dyDescent="0.2">
      <c r="A5513">
        <v>5512</v>
      </c>
      <c r="B5513" s="1">
        <v>40886</v>
      </c>
      <c r="C5513" t="s">
        <v>28</v>
      </c>
      <c r="D5513" s="7">
        <v>147</v>
      </c>
      <c r="E5513" s="7">
        <v>22</v>
      </c>
      <c r="F5513" s="7">
        <f t="shared" si="86"/>
        <v>6</v>
      </c>
      <c r="G5513" s="7" t="str">
        <f>LOOKUP(H5513,[1]startdates!$A$2:$A$10,[1]startdates!$B$2:$B$10)</f>
        <v>C</v>
      </c>
      <c r="H5513">
        <v>3</v>
      </c>
      <c r="I5513" s="7">
        <v>528.6</v>
      </c>
      <c r="K5513" s="7">
        <v>519.20000000000005</v>
      </c>
      <c r="L5513" s="7">
        <v>444.9</v>
      </c>
      <c r="M5513" s="7">
        <v>307.7</v>
      </c>
      <c r="N5513" s="7">
        <v>225.6</v>
      </c>
      <c r="O5513" s="7">
        <v>160.4</v>
      </c>
      <c r="Q5513" s="7">
        <v>319.10000000000002</v>
      </c>
    </row>
    <row r="5514" spans="1:18" x14ac:dyDescent="0.2">
      <c r="A5514">
        <v>5513</v>
      </c>
      <c r="B5514" s="1">
        <v>40886</v>
      </c>
      <c r="C5514" t="s">
        <v>28</v>
      </c>
      <c r="D5514" s="7">
        <v>147</v>
      </c>
      <c r="E5514" s="7">
        <v>22</v>
      </c>
      <c r="F5514" s="7">
        <f t="shared" si="86"/>
        <v>6</v>
      </c>
      <c r="G5514" s="7" t="str">
        <f>LOOKUP(H5514,[1]startdates!$A$2:$A$10,[1]startdates!$B$2:$B$10)</f>
        <v>C</v>
      </c>
      <c r="H5514">
        <v>3</v>
      </c>
      <c r="I5514" s="7">
        <v>581.29999999999995</v>
      </c>
      <c r="K5514" s="7">
        <v>518.79999999999995</v>
      </c>
      <c r="L5514" s="7">
        <v>390.5</v>
      </c>
      <c r="M5514" s="7">
        <v>336.5</v>
      </c>
      <c r="N5514" s="7">
        <v>207.3</v>
      </c>
      <c r="O5514" s="7">
        <v>159.80000000000001</v>
      </c>
      <c r="Q5514" s="7">
        <v>326.39999999999998</v>
      </c>
    </row>
    <row r="5515" spans="1:18" x14ac:dyDescent="0.2">
      <c r="A5515">
        <v>5514</v>
      </c>
      <c r="B5515" s="1">
        <v>40886</v>
      </c>
      <c r="C5515" t="s">
        <v>28</v>
      </c>
      <c r="D5515" s="7">
        <v>147</v>
      </c>
      <c r="E5515" s="7">
        <v>22</v>
      </c>
      <c r="F5515" s="7">
        <f t="shared" si="86"/>
        <v>6</v>
      </c>
      <c r="G5515" s="7" t="str">
        <f>LOOKUP(H5515,[1]startdates!$A$2:$A$10,[1]startdates!$B$2:$B$10)</f>
        <v>C</v>
      </c>
      <c r="H5515">
        <v>3</v>
      </c>
      <c r="I5515" s="7">
        <v>552.6</v>
      </c>
      <c r="K5515" s="7">
        <v>491.2</v>
      </c>
      <c r="L5515" s="7">
        <v>453.8</v>
      </c>
      <c r="M5515" s="7">
        <v>342.2</v>
      </c>
      <c r="N5515" s="7">
        <v>185</v>
      </c>
      <c r="O5515" s="7">
        <v>152.69999999999999</v>
      </c>
    </row>
    <row r="5516" spans="1:18" x14ac:dyDescent="0.2">
      <c r="A5516">
        <v>5515</v>
      </c>
      <c r="B5516" s="1">
        <v>40886</v>
      </c>
      <c r="C5516" t="s">
        <v>28</v>
      </c>
      <c r="D5516" s="7">
        <v>147</v>
      </c>
      <c r="E5516" s="7">
        <v>22</v>
      </c>
      <c r="F5516" s="7">
        <f t="shared" si="86"/>
        <v>6</v>
      </c>
      <c r="G5516" s="7" t="str">
        <f>LOOKUP(H5516,[1]startdates!$A$2:$A$10,[1]startdates!$B$2:$B$10)</f>
        <v>C</v>
      </c>
      <c r="H5516">
        <v>3</v>
      </c>
      <c r="I5516" s="7">
        <v>535.70000000000005</v>
      </c>
      <c r="K5516" s="7">
        <v>484.3</v>
      </c>
      <c r="L5516" s="7">
        <v>431.3</v>
      </c>
      <c r="M5516" s="7">
        <v>367</v>
      </c>
      <c r="N5516" s="7">
        <v>192.2</v>
      </c>
      <c r="O5516" s="7">
        <v>166.7</v>
      </c>
    </row>
    <row r="5517" spans="1:18" x14ac:dyDescent="0.2">
      <c r="A5517">
        <v>5516</v>
      </c>
      <c r="B5517" s="1">
        <v>40886</v>
      </c>
      <c r="C5517" t="s">
        <v>28</v>
      </c>
      <c r="D5517" s="7">
        <v>147</v>
      </c>
      <c r="E5517" s="7">
        <v>22</v>
      </c>
      <c r="F5517" s="7">
        <f t="shared" si="86"/>
        <v>6</v>
      </c>
      <c r="G5517" s="7" t="str">
        <f>LOOKUP(H5517,[1]startdates!$A$2:$A$10,[1]startdates!$B$2:$B$10)</f>
        <v>C</v>
      </c>
      <c r="H5517">
        <v>3</v>
      </c>
      <c r="I5517" s="7">
        <v>542.5</v>
      </c>
      <c r="L5517" s="7">
        <v>441.5</v>
      </c>
      <c r="M5517" s="7">
        <v>323</v>
      </c>
      <c r="N5517" s="7">
        <v>223.1</v>
      </c>
      <c r="O5517" s="7">
        <v>176</v>
      </c>
    </row>
    <row r="5518" spans="1:18" x14ac:dyDescent="0.2">
      <c r="A5518">
        <v>5517</v>
      </c>
      <c r="B5518" s="1">
        <v>40886</v>
      </c>
      <c r="C5518" t="s">
        <v>28</v>
      </c>
      <c r="D5518" s="7">
        <v>147</v>
      </c>
      <c r="E5518" s="7">
        <v>22</v>
      </c>
      <c r="F5518" s="7">
        <f t="shared" si="86"/>
        <v>6</v>
      </c>
      <c r="G5518" s="7" t="str">
        <f>LOOKUP(H5518,[1]startdates!$A$2:$A$10,[1]startdates!$B$2:$B$10)</f>
        <v>C</v>
      </c>
      <c r="H5518">
        <v>3</v>
      </c>
      <c r="I5518" s="7">
        <v>659.5</v>
      </c>
      <c r="M5518" s="7">
        <v>331.9</v>
      </c>
      <c r="N5518" s="7">
        <v>232.1</v>
      </c>
      <c r="O5518" s="7">
        <v>171.6</v>
      </c>
    </row>
    <row r="5519" spans="1:18" x14ac:dyDescent="0.2">
      <c r="A5519">
        <v>5518</v>
      </c>
      <c r="B5519" s="1">
        <v>40886</v>
      </c>
      <c r="C5519" t="s">
        <v>28</v>
      </c>
      <c r="D5519" s="7">
        <v>147</v>
      </c>
      <c r="E5519" s="7">
        <v>22</v>
      </c>
      <c r="F5519" s="7">
        <f t="shared" si="86"/>
        <v>6</v>
      </c>
      <c r="G5519" s="7" t="str">
        <f>LOOKUP(H5519,[1]startdates!$A$2:$A$10,[1]startdates!$B$2:$B$10)</f>
        <v>C</v>
      </c>
      <c r="H5519">
        <v>3</v>
      </c>
      <c r="I5519" s="7">
        <v>549.79999999999995</v>
      </c>
      <c r="M5519" s="7">
        <v>324.89999999999998</v>
      </c>
      <c r="N5519" s="7">
        <v>229</v>
      </c>
      <c r="O5519" s="7">
        <v>160.4</v>
      </c>
    </row>
    <row r="5520" spans="1:18" x14ac:dyDescent="0.2">
      <c r="A5520">
        <v>5519</v>
      </c>
      <c r="B5520" s="1">
        <v>40886</v>
      </c>
      <c r="C5520" t="s">
        <v>28</v>
      </c>
      <c r="D5520" s="7">
        <v>147</v>
      </c>
      <c r="E5520" s="7">
        <v>22</v>
      </c>
      <c r="F5520" s="7">
        <f t="shared" si="86"/>
        <v>6</v>
      </c>
      <c r="G5520" s="7" t="str">
        <f>LOOKUP(H5520,[1]startdates!$A$2:$A$10,[1]startdates!$B$2:$B$10)</f>
        <v>C</v>
      </c>
      <c r="H5520">
        <v>3</v>
      </c>
      <c r="I5520" s="7">
        <v>509.3</v>
      </c>
      <c r="M5520" s="7">
        <v>319.7</v>
      </c>
      <c r="N5520" s="7">
        <v>232</v>
      </c>
      <c r="O5520" s="7">
        <v>180.6</v>
      </c>
    </row>
    <row r="5521" spans="1:18" x14ac:dyDescent="0.2">
      <c r="A5521">
        <v>5520</v>
      </c>
      <c r="B5521" s="1">
        <v>40886</v>
      </c>
      <c r="C5521" t="s">
        <v>28</v>
      </c>
      <c r="D5521" s="7">
        <v>147</v>
      </c>
      <c r="E5521" s="7">
        <v>22</v>
      </c>
      <c r="F5521" s="7">
        <f t="shared" si="86"/>
        <v>6</v>
      </c>
      <c r="G5521" s="7" t="str">
        <f>LOOKUP(H5521,[1]startdates!$A$2:$A$10,[1]startdates!$B$2:$B$10)</f>
        <v>C</v>
      </c>
      <c r="H5521">
        <v>3</v>
      </c>
      <c r="I5521" s="7">
        <v>616</v>
      </c>
      <c r="M5521" s="7">
        <v>332.1</v>
      </c>
      <c r="N5521" s="7">
        <v>187.8</v>
      </c>
    </row>
    <row r="5522" spans="1:18" x14ac:dyDescent="0.2">
      <c r="A5522">
        <v>5521</v>
      </c>
      <c r="B5522" s="1">
        <v>40886</v>
      </c>
      <c r="C5522" t="s">
        <v>28</v>
      </c>
      <c r="D5522" s="7">
        <v>147</v>
      </c>
      <c r="E5522" s="7">
        <v>22</v>
      </c>
      <c r="F5522" s="7">
        <f t="shared" si="86"/>
        <v>6</v>
      </c>
      <c r="G5522" s="7" t="str">
        <f>LOOKUP(H5522,[1]startdates!$A$2:$A$10,[1]startdates!$B$2:$B$10)</f>
        <v>C</v>
      </c>
      <c r="H5522">
        <v>3</v>
      </c>
      <c r="I5522" s="7">
        <v>519.20000000000005</v>
      </c>
    </row>
    <row r="5523" spans="1:18" x14ac:dyDescent="0.2">
      <c r="A5523">
        <v>5522</v>
      </c>
      <c r="B5523" s="1">
        <v>40886</v>
      </c>
      <c r="C5523" t="s">
        <v>28</v>
      </c>
      <c r="D5523" s="7">
        <v>147</v>
      </c>
      <c r="E5523" s="7">
        <v>22</v>
      </c>
      <c r="F5523" s="7">
        <f t="shared" si="86"/>
        <v>6</v>
      </c>
      <c r="G5523" s="7" t="str">
        <f>LOOKUP(H5523,[1]startdates!$A$2:$A$10,[1]startdates!$B$2:$B$10)</f>
        <v>SMr</v>
      </c>
      <c r="H5523">
        <v>4</v>
      </c>
      <c r="I5523" s="7">
        <v>658.5</v>
      </c>
      <c r="K5523" s="7">
        <v>514.1</v>
      </c>
      <c r="L5523" s="7">
        <v>465.3</v>
      </c>
      <c r="M5523" s="7">
        <v>320.39999999999998</v>
      </c>
      <c r="N5523" s="7">
        <v>227.2</v>
      </c>
      <c r="O5523" s="7">
        <v>162.69999999999999</v>
      </c>
      <c r="P5523" s="7">
        <v>421.5</v>
      </c>
      <c r="Q5523" s="7">
        <v>305.60000000000002</v>
      </c>
      <c r="R5523" s="7">
        <v>277</v>
      </c>
    </row>
    <row r="5524" spans="1:18" x14ac:dyDescent="0.2">
      <c r="A5524">
        <v>5523</v>
      </c>
      <c r="B5524" s="1">
        <v>40886</v>
      </c>
      <c r="C5524" t="s">
        <v>28</v>
      </c>
      <c r="D5524" s="7">
        <v>147</v>
      </c>
      <c r="E5524" s="7">
        <v>22</v>
      </c>
      <c r="F5524" s="7">
        <f t="shared" si="86"/>
        <v>6</v>
      </c>
      <c r="G5524" s="7" t="str">
        <f>LOOKUP(H5524,[1]startdates!$A$2:$A$10,[1]startdates!$B$2:$B$10)</f>
        <v>SMr</v>
      </c>
      <c r="H5524">
        <v>4</v>
      </c>
      <c r="I5524" s="7">
        <v>506.6</v>
      </c>
      <c r="K5524" s="7">
        <v>476.4</v>
      </c>
      <c r="L5524" s="7">
        <v>413.9</v>
      </c>
      <c r="M5524" s="7">
        <v>300.5</v>
      </c>
      <c r="N5524" s="7">
        <v>216.6</v>
      </c>
      <c r="O5524" s="7">
        <v>171.3</v>
      </c>
      <c r="Q5524" s="7">
        <v>308.8</v>
      </c>
    </row>
    <row r="5525" spans="1:18" x14ac:dyDescent="0.2">
      <c r="A5525">
        <v>5524</v>
      </c>
      <c r="B5525" s="1">
        <v>40886</v>
      </c>
      <c r="C5525" t="s">
        <v>28</v>
      </c>
      <c r="D5525" s="7">
        <v>147</v>
      </c>
      <c r="E5525" s="7">
        <v>22</v>
      </c>
      <c r="F5525" s="7">
        <f t="shared" si="86"/>
        <v>6</v>
      </c>
      <c r="G5525" s="7" t="str">
        <f>LOOKUP(H5525,[1]startdates!$A$2:$A$10,[1]startdates!$B$2:$B$10)</f>
        <v>SMr</v>
      </c>
      <c r="H5525">
        <v>4</v>
      </c>
      <c r="I5525" s="7">
        <v>554.5</v>
      </c>
      <c r="K5525" s="7">
        <v>485.7</v>
      </c>
      <c r="M5525" s="7">
        <v>346.2</v>
      </c>
      <c r="N5525" s="7">
        <v>204.6</v>
      </c>
      <c r="O5525" s="7">
        <v>161</v>
      </c>
      <c r="Q5525" s="7">
        <v>324.89999999999998</v>
      </c>
    </row>
    <row r="5526" spans="1:18" x14ac:dyDescent="0.2">
      <c r="A5526">
        <v>5525</v>
      </c>
      <c r="B5526" s="1">
        <v>40886</v>
      </c>
      <c r="C5526" t="s">
        <v>28</v>
      </c>
      <c r="D5526" s="7">
        <v>147</v>
      </c>
      <c r="E5526" s="7">
        <v>22</v>
      </c>
      <c r="F5526" s="7">
        <f t="shared" si="86"/>
        <v>6</v>
      </c>
      <c r="G5526" s="7" t="str">
        <f>LOOKUP(H5526,[1]startdates!$A$2:$A$10,[1]startdates!$B$2:$B$10)</f>
        <v>SMr</v>
      </c>
      <c r="H5526">
        <v>4</v>
      </c>
      <c r="I5526" s="7">
        <v>563.4</v>
      </c>
      <c r="K5526" s="7">
        <v>520</v>
      </c>
      <c r="M5526" s="7">
        <v>360.6</v>
      </c>
      <c r="N5526" s="7">
        <v>224.1</v>
      </c>
      <c r="O5526" s="7">
        <v>156.5</v>
      </c>
      <c r="Q5526" s="7">
        <v>320.8</v>
      </c>
    </row>
    <row r="5527" spans="1:18" x14ac:dyDescent="0.2">
      <c r="A5527">
        <v>5526</v>
      </c>
      <c r="B5527" s="1">
        <v>40886</v>
      </c>
      <c r="C5527" t="s">
        <v>28</v>
      </c>
      <c r="D5527" s="7">
        <v>147</v>
      </c>
      <c r="E5527" s="7">
        <v>22</v>
      </c>
      <c r="F5527" s="7">
        <f t="shared" si="86"/>
        <v>6</v>
      </c>
      <c r="G5527" s="7" t="str">
        <f>LOOKUP(H5527,[1]startdates!$A$2:$A$10,[1]startdates!$B$2:$B$10)</f>
        <v>SMr</v>
      </c>
      <c r="H5527">
        <v>4</v>
      </c>
      <c r="I5527" s="7">
        <v>650.6</v>
      </c>
      <c r="K5527" s="7">
        <v>484.9</v>
      </c>
      <c r="M5527" s="7">
        <v>370.8</v>
      </c>
      <c r="N5527" s="7">
        <v>254.7</v>
      </c>
      <c r="O5527" s="7">
        <v>153.80000000000001</v>
      </c>
    </row>
    <row r="5528" spans="1:18" x14ac:dyDescent="0.2">
      <c r="A5528">
        <v>5527</v>
      </c>
      <c r="B5528" s="1">
        <v>40886</v>
      </c>
      <c r="C5528" t="s">
        <v>28</v>
      </c>
      <c r="D5528" s="7">
        <v>147</v>
      </c>
      <c r="E5528" s="7">
        <v>22</v>
      </c>
      <c r="F5528" s="7">
        <f t="shared" si="86"/>
        <v>6</v>
      </c>
      <c r="G5528" s="7" t="str">
        <f>LOOKUP(H5528,[1]startdates!$A$2:$A$10,[1]startdates!$B$2:$B$10)</f>
        <v>SMr</v>
      </c>
      <c r="H5528">
        <v>4</v>
      </c>
      <c r="I5528" s="7">
        <v>667.1</v>
      </c>
      <c r="K5528" s="7">
        <v>518</v>
      </c>
      <c r="M5528" s="7">
        <v>293.2</v>
      </c>
      <c r="N5528" s="7">
        <v>199.3</v>
      </c>
      <c r="O5528" s="7">
        <v>159.30000000000001</v>
      </c>
    </row>
    <row r="5529" spans="1:18" x14ac:dyDescent="0.2">
      <c r="A5529">
        <v>5528</v>
      </c>
      <c r="B5529" s="1">
        <v>40886</v>
      </c>
      <c r="C5529" t="s">
        <v>28</v>
      </c>
      <c r="D5529" s="7">
        <v>147</v>
      </c>
      <c r="E5529" s="7">
        <v>22</v>
      </c>
      <c r="F5529" s="7">
        <f t="shared" si="86"/>
        <v>6</v>
      </c>
      <c r="G5529" s="7" t="str">
        <f>LOOKUP(H5529,[1]startdates!$A$2:$A$10,[1]startdates!$B$2:$B$10)</f>
        <v>SMr</v>
      </c>
      <c r="H5529">
        <v>4</v>
      </c>
      <c r="I5529" s="7">
        <v>592.70000000000005</v>
      </c>
      <c r="K5529" s="7">
        <v>495.1</v>
      </c>
      <c r="M5529" s="7">
        <v>354</v>
      </c>
      <c r="N5529" s="7">
        <v>189.5</v>
      </c>
      <c r="O5529" s="7">
        <v>147.30000000000001</v>
      </c>
    </row>
    <row r="5530" spans="1:18" x14ac:dyDescent="0.2">
      <c r="A5530">
        <v>5529</v>
      </c>
      <c r="B5530" s="1">
        <v>40886</v>
      </c>
      <c r="C5530" t="s">
        <v>28</v>
      </c>
      <c r="D5530" s="7">
        <v>147</v>
      </c>
      <c r="E5530" s="7">
        <v>22</v>
      </c>
      <c r="F5530" s="7">
        <f t="shared" si="86"/>
        <v>6</v>
      </c>
      <c r="G5530" s="7" t="str">
        <f>LOOKUP(H5530,[1]startdates!$A$2:$A$10,[1]startdates!$B$2:$B$10)</f>
        <v>SMr</v>
      </c>
      <c r="H5530">
        <v>4</v>
      </c>
      <c r="I5530" s="7">
        <v>473.8</v>
      </c>
      <c r="K5530" s="7">
        <v>477.8</v>
      </c>
      <c r="M5530" s="7">
        <v>314.60000000000002</v>
      </c>
      <c r="N5530" s="7">
        <v>242.1</v>
      </c>
      <c r="O5530" s="7">
        <v>162.4</v>
      </c>
    </row>
    <row r="5531" spans="1:18" x14ac:dyDescent="0.2">
      <c r="A5531">
        <v>5530</v>
      </c>
      <c r="B5531" s="1">
        <v>40886</v>
      </c>
      <c r="C5531" t="s">
        <v>28</v>
      </c>
      <c r="D5531" s="7">
        <v>147</v>
      </c>
      <c r="E5531" s="7">
        <v>22</v>
      </c>
      <c r="F5531" s="7">
        <f t="shared" si="86"/>
        <v>6</v>
      </c>
      <c r="G5531" s="7" t="str">
        <f>LOOKUP(H5531,[1]startdates!$A$2:$A$10,[1]startdates!$B$2:$B$10)</f>
        <v>SMr</v>
      </c>
      <c r="H5531">
        <v>4</v>
      </c>
      <c r="I5531" s="7">
        <v>597.70000000000005</v>
      </c>
      <c r="M5531" s="7">
        <v>323.2</v>
      </c>
      <c r="N5531" s="7">
        <v>164.7</v>
      </c>
      <c r="O5531" s="7">
        <v>159.80000000000001</v>
      </c>
    </row>
    <row r="5532" spans="1:18" x14ac:dyDescent="0.2">
      <c r="A5532">
        <v>5531</v>
      </c>
      <c r="B5532" s="1">
        <v>40886</v>
      </c>
      <c r="C5532" t="s">
        <v>28</v>
      </c>
      <c r="D5532" s="7">
        <v>147</v>
      </c>
      <c r="E5532" s="7">
        <v>22</v>
      </c>
      <c r="F5532" s="7">
        <f t="shared" si="86"/>
        <v>6</v>
      </c>
      <c r="G5532" s="7" t="str">
        <f>LOOKUP(H5532,[1]startdates!$A$2:$A$10,[1]startdates!$B$2:$B$10)</f>
        <v>SMr</v>
      </c>
      <c r="H5532">
        <v>4</v>
      </c>
      <c r="I5532" s="7">
        <v>465</v>
      </c>
      <c r="M5532" s="7">
        <v>347.3</v>
      </c>
      <c r="N5532" s="7">
        <v>239.7</v>
      </c>
      <c r="O5532" s="7">
        <v>154.80000000000001</v>
      </c>
    </row>
    <row r="5533" spans="1:18" x14ac:dyDescent="0.2">
      <c r="A5533">
        <v>5532</v>
      </c>
      <c r="B5533" s="1">
        <v>40886</v>
      </c>
      <c r="C5533" t="s">
        <v>28</v>
      </c>
      <c r="D5533" s="7">
        <v>147</v>
      </c>
      <c r="E5533" s="7">
        <v>22</v>
      </c>
      <c r="F5533" s="7">
        <f t="shared" si="86"/>
        <v>6</v>
      </c>
      <c r="G5533" s="7" t="str">
        <f>LOOKUP(H5533,[1]startdates!$A$2:$A$10,[1]startdates!$B$2:$B$10)</f>
        <v>SMr</v>
      </c>
      <c r="H5533">
        <v>4</v>
      </c>
      <c r="I5533" s="7">
        <v>598.79999999999995</v>
      </c>
    </row>
    <row r="5534" spans="1:18" x14ac:dyDescent="0.2">
      <c r="A5534">
        <v>5533</v>
      </c>
      <c r="B5534" s="1">
        <v>40886</v>
      </c>
      <c r="C5534" t="s">
        <v>28</v>
      </c>
      <c r="D5534" s="7">
        <v>147</v>
      </c>
      <c r="E5534" s="7">
        <v>22</v>
      </c>
      <c r="F5534" s="7">
        <f t="shared" si="86"/>
        <v>6</v>
      </c>
      <c r="G5534" s="7" t="str">
        <f>LOOKUP(H5534,[1]startdates!$A$2:$A$10,[1]startdates!$B$2:$B$10)</f>
        <v>SMr</v>
      </c>
      <c r="H5534">
        <v>4</v>
      </c>
      <c r="I5534" s="7">
        <v>606.20000000000005</v>
      </c>
    </row>
    <row r="5535" spans="1:18" x14ac:dyDescent="0.2">
      <c r="A5535">
        <v>5534</v>
      </c>
      <c r="B5535" s="1">
        <v>40886</v>
      </c>
      <c r="C5535" t="s">
        <v>28</v>
      </c>
      <c r="D5535" s="7">
        <v>147</v>
      </c>
      <c r="E5535" s="7">
        <v>22</v>
      </c>
      <c r="F5535" s="7">
        <f t="shared" si="86"/>
        <v>6</v>
      </c>
      <c r="G5535" s="7" t="str">
        <f>LOOKUP(H5535,[1]startdates!$A$2:$A$10,[1]startdates!$B$2:$B$10)</f>
        <v>SMr</v>
      </c>
      <c r="H5535">
        <v>4</v>
      </c>
      <c r="I5535" s="7">
        <v>471.1</v>
      </c>
    </row>
    <row r="5536" spans="1:18" x14ac:dyDescent="0.2">
      <c r="A5536">
        <v>5535</v>
      </c>
      <c r="B5536" s="1">
        <v>40886</v>
      </c>
      <c r="C5536" t="s">
        <v>28</v>
      </c>
      <c r="D5536" s="7">
        <v>147</v>
      </c>
      <c r="E5536" s="7">
        <v>22</v>
      </c>
      <c r="F5536" s="7">
        <f t="shared" si="86"/>
        <v>6</v>
      </c>
      <c r="G5536" s="7" t="str">
        <f>LOOKUP(H5536,[1]startdates!$A$2:$A$10,[1]startdates!$B$2:$B$10)</f>
        <v>C</v>
      </c>
      <c r="H5536">
        <v>5</v>
      </c>
      <c r="I5536" s="7">
        <v>622.79999999999995</v>
      </c>
      <c r="K5536" s="7">
        <v>601</v>
      </c>
      <c r="L5536" s="7">
        <v>430.2</v>
      </c>
      <c r="M5536" s="7">
        <v>311.5</v>
      </c>
      <c r="N5536" s="7">
        <v>198.1</v>
      </c>
      <c r="O5536" s="7">
        <v>161.69999999999999</v>
      </c>
      <c r="P5536" s="7">
        <v>406</v>
      </c>
      <c r="Q5536" s="7">
        <v>318.10000000000002</v>
      </c>
      <c r="R5536" s="7">
        <v>237.1</v>
      </c>
    </row>
    <row r="5537" spans="1:18" x14ac:dyDescent="0.2">
      <c r="A5537">
        <v>5536</v>
      </c>
      <c r="B5537" s="1">
        <v>40886</v>
      </c>
      <c r="C5537" t="s">
        <v>28</v>
      </c>
      <c r="D5537" s="7">
        <v>147</v>
      </c>
      <c r="E5537" s="7">
        <v>22</v>
      </c>
      <c r="F5537" s="7">
        <f t="shared" si="86"/>
        <v>6</v>
      </c>
      <c r="G5537" s="7" t="str">
        <f>LOOKUP(H5537,[1]startdates!$A$2:$A$10,[1]startdates!$B$2:$B$10)</f>
        <v>C</v>
      </c>
      <c r="H5537">
        <v>5</v>
      </c>
      <c r="I5537" s="7">
        <v>622.29999999999995</v>
      </c>
      <c r="K5537" s="7">
        <v>500.1</v>
      </c>
      <c r="L5537" s="7">
        <v>391.1</v>
      </c>
      <c r="M5537" s="7">
        <v>339</v>
      </c>
      <c r="N5537" s="7">
        <v>221</v>
      </c>
      <c r="O5537" s="7">
        <v>143.6</v>
      </c>
      <c r="P5537" s="7">
        <v>411.9</v>
      </c>
      <c r="Q5537" s="7">
        <v>333.6</v>
      </c>
      <c r="R5537" s="7">
        <v>236.7</v>
      </c>
    </row>
    <row r="5538" spans="1:18" x14ac:dyDescent="0.2">
      <c r="A5538">
        <v>5537</v>
      </c>
      <c r="B5538" s="1">
        <v>40886</v>
      </c>
      <c r="C5538" t="s">
        <v>28</v>
      </c>
      <c r="D5538" s="7">
        <v>147</v>
      </c>
      <c r="E5538" s="7">
        <v>22</v>
      </c>
      <c r="F5538" s="7">
        <f t="shared" si="86"/>
        <v>6</v>
      </c>
      <c r="G5538" s="7" t="str">
        <f>LOOKUP(H5538,[1]startdates!$A$2:$A$10,[1]startdates!$B$2:$B$10)</f>
        <v>C</v>
      </c>
      <c r="H5538">
        <v>5</v>
      </c>
      <c r="I5538" s="7">
        <v>640</v>
      </c>
      <c r="K5538" s="7">
        <v>538.79999999999995</v>
      </c>
      <c r="L5538" s="7">
        <v>460.8</v>
      </c>
      <c r="M5538" s="7">
        <v>316.60000000000002</v>
      </c>
      <c r="N5538" s="7">
        <v>248.2</v>
      </c>
      <c r="O5538" s="7">
        <v>156</v>
      </c>
      <c r="Q5538" s="7">
        <v>328</v>
      </c>
    </row>
    <row r="5539" spans="1:18" x14ac:dyDescent="0.2">
      <c r="A5539">
        <v>5538</v>
      </c>
      <c r="B5539" s="1">
        <v>40886</v>
      </c>
      <c r="C5539" t="s">
        <v>28</v>
      </c>
      <c r="D5539" s="7">
        <v>147</v>
      </c>
      <c r="E5539" s="7">
        <v>22</v>
      </c>
      <c r="F5539" s="7">
        <f t="shared" si="86"/>
        <v>6</v>
      </c>
      <c r="G5539" s="7" t="str">
        <f>LOOKUP(H5539,[1]startdates!$A$2:$A$10,[1]startdates!$B$2:$B$10)</f>
        <v>C</v>
      </c>
      <c r="H5539">
        <v>5</v>
      </c>
      <c r="I5539" s="7">
        <v>509.6</v>
      </c>
      <c r="K5539" s="7">
        <v>528</v>
      </c>
      <c r="L5539" s="7">
        <v>428.6</v>
      </c>
      <c r="M5539" s="7">
        <v>339.5</v>
      </c>
      <c r="N5539" s="7">
        <v>216.7</v>
      </c>
      <c r="O5539" s="7">
        <v>145.19999999999999</v>
      </c>
    </row>
    <row r="5540" spans="1:18" x14ac:dyDescent="0.2">
      <c r="A5540">
        <v>5539</v>
      </c>
      <c r="B5540" s="1">
        <v>40886</v>
      </c>
      <c r="C5540" t="s">
        <v>28</v>
      </c>
      <c r="D5540" s="7">
        <v>147</v>
      </c>
      <c r="E5540" s="7">
        <v>22</v>
      </c>
      <c r="F5540" s="7">
        <f t="shared" si="86"/>
        <v>6</v>
      </c>
      <c r="G5540" s="7" t="str">
        <f>LOOKUP(H5540,[1]startdates!$A$2:$A$10,[1]startdates!$B$2:$B$10)</f>
        <v>C</v>
      </c>
      <c r="H5540">
        <v>5</v>
      </c>
      <c r="I5540" s="7">
        <v>658.7</v>
      </c>
      <c r="K5540" s="7">
        <v>480.2</v>
      </c>
      <c r="L5540" s="7">
        <v>403.1</v>
      </c>
      <c r="M5540" s="7">
        <v>294.7</v>
      </c>
      <c r="N5540" s="7">
        <v>288</v>
      </c>
      <c r="O5540" s="7">
        <v>159.80000000000001</v>
      </c>
    </row>
    <row r="5541" spans="1:18" x14ac:dyDescent="0.2">
      <c r="A5541">
        <v>5540</v>
      </c>
      <c r="B5541" s="1">
        <v>40886</v>
      </c>
      <c r="C5541" t="s">
        <v>28</v>
      </c>
      <c r="D5541" s="7">
        <v>147</v>
      </c>
      <c r="E5541" s="7">
        <v>22</v>
      </c>
      <c r="F5541" s="7">
        <f t="shared" si="86"/>
        <v>6</v>
      </c>
      <c r="G5541" s="7" t="str">
        <f>LOOKUP(H5541,[1]startdates!$A$2:$A$10,[1]startdates!$B$2:$B$10)</f>
        <v>C</v>
      </c>
      <c r="H5541">
        <v>5</v>
      </c>
      <c r="I5541" s="7">
        <v>643.6</v>
      </c>
      <c r="L5541" s="7">
        <v>418.1</v>
      </c>
      <c r="M5541" s="7">
        <v>313.5</v>
      </c>
      <c r="N5541" s="7">
        <v>167.1</v>
      </c>
      <c r="O5541" s="7">
        <v>149</v>
      </c>
    </row>
    <row r="5542" spans="1:18" x14ac:dyDescent="0.2">
      <c r="A5542">
        <v>5541</v>
      </c>
      <c r="B5542" s="1">
        <v>40886</v>
      </c>
      <c r="C5542" t="s">
        <v>28</v>
      </c>
      <c r="D5542" s="7">
        <v>147</v>
      </c>
      <c r="E5542" s="7">
        <v>22</v>
      </c>
      <c r="F5542" s="7">
        <f t="shared" si="86"/>
        <v>6</v>
      </c>
      <c r="G5542" s="7" t="str">
        <f>LOOKUP(H5542,[1]startdates!$A$2:$A$10,[1]startdates!$B$2:$B$10)</f>
        <v>C</v>
      </c>
      <c r="H5542">
        <v>5</v>
      </c>
      <c r="I5542" s="7">
        <v>591.70000000000005</v>
      </c>
      <c r="M5542" s="7">
        <v>341.3</v>
      </c>
      <c r="N5542" s="7">
        <v>228.9</v>
      </c>
      <c r="O5542" s="7">
        <v>162.19999999999999</v>
      </c>
    </row>
    <row r="5543" spans="1:18" x14ac:dyDescent="0.2">
      <c r="A5543">
        <v>5542</v>
      </c>
      <c r="B5543" s="1">
        <v>40886</v>
      </c>
      <c r="C5543" t="s">
        <v>28</v>
      </c>
      <c r="D5543" s="7">
        <v>147</v>
      </c>
      <c r="E5543" s="7">
        <v>22</v>
      </c>
      <c r="F5543" s="7">
        <f t="shared" si="86"/>
        <v>6</v>
      </c>
      <c r="G5543" s="7" t="str">
        <f>LOOKUP(H5543,[1]startdates!$A$2:$A$10,[1]startdates!$B$2:$B$10)</f>
        <v>C</v>
      </c>
      <c r="H5543">
        <v>5</v>
      </c>
      <c r="I5543" s="7">
        <v>590</v>
      </c>
      <c r="M5543" s="7">
        <v>290.10000000000002</v>
      </c>
      <c r="N5543" s="7">
        <v>176.3</v>
      </c>
      <c r="O5543" s="7">
        <v>171.9</v>
      </c>
    </row>
    <row r="5544" spans="1:18" x14ac:dyDescent="0.2">
      <c r="A5544">
        <v>5543</v>
      </c>
      <c r="B5544" s="1">
        <v>40886</v>
      </c>
      <c r="C5544" t="s">
        <v>28</v>
      </c>
      <c r="D5544" s="7">
        <v>147</v>
      </c>
      <c r="E5544" s="7">
        <v>22</v>
      </c>
      <c r="F5544" s="7">
        <f t="shared" si="86"/>
        <v>6</v>
      </c>
      <c r="G5544" s="7" t="str">
        <f>LOOKUP(H5544,[1]startdates!$A$2:$A$10,[1]startdates!$B$2:$B$10)</f>
        <v>C</v>
      </c>
      <c r="H5544">
        <v>5</v>
      </c>
      <c r="I5544" s="7">
        <v>476.2</v>
      </c>
      <c r="M5544" s="7">
        <v>370.8</v>
      </c>
      <c r="N5544" s="7">
        <v>187.7</v>
      </c>
      <c r="O5544" s="7">
        <v>150.4</v>
      </c>
    </row>
    <row r="5545" spans="1:18" x14ac:dyDescent="0.2">
      <c r="A5545">
        <v>5544</v>
      </c>
      <c r="B5545" s="1">
        <v>40886</v>
      </c>
      <c r="C5545" t="s">
        <v>28</v>
      </c>
      <c r="D5545" s="7">
        <v>147</v>
      </c>
      <c r="E5545" s="7">
        <v>22</v>
      </c>
      <c r="F5545" s="7">
        <f t="shared" ref="F5545:F5608" si="87">WEEKDAY(B5545)</f>
        <v>6</v>
      </c>
      <c r="G5545" s="7" t="str">
        <f>LOOKUP(H5545,[1]startdates!$A$2:$A$10,[1]startdates!$B$2:$B$10)</f>
        <v>C</v>
      </c>
      <c r="H5545">
        <v>5</v>
      </c>
      <c r="I5545" s="7">
        <v>656.1</v>
      </c>
      <c r="M5545" s="7">
        <v>327.10000000000002</v>
      </c>
      <c r="N5545" s="7">
        <v>210.9</v>
      </c>
      <c r="O5545" s="7">
        <v>153.6</v>
      </c>
    </row>
    <row r="5546" spans="1:18" x14ac:dyDescent="0.2">
      <c r="A5546">
        <v>5545</v>
      </c>
      <c r="B5546" s="1">
        <v>40886</v>
      </c>
      <c r="C5546" t="s">
        <v>28</v>
      </c>
      <c r="D5546" s="7">
        <v>147</v>
      </c>
      <c r="E5546" s="7">
        <v>22</v>
      </c>
      <c r="F5546" s="7">
        <f t="shared" si="87"/>
        <v>6</v>
      </c>
      <c r="G5546" s="7" t="str">
        <f>LOOKUP(H5546,[1]startdates!$A$2:$A$10,[1]startdates!$B$2:$B$10)</f>
        <v>C</v>
      </c>
      <c r="H5546">
        <v>5</v>
      </c>
      <c r="I5546" s="7">
        <v>566.4</v>
      </c>
    </row>
    <row r="5547" spans="1:18" x14ac:dyDescent="0.2">
      <c r="A5547">
        <v>5546</v>
      </c>
      <c r="B5547" s="1">
        <v>40886</v>
      </c>
      <c r="C5547" t="s">
        <v>28</v>
      </c>
      <c r="D5547" s="7">
        <v>147</v>
      </c>
      <c r="E5547" s="7">
        <v>22</v>
      </c>
      <c r="F5547" s="7">
        <f t="shared" si="87"/>
        <v>6</v>
      </c>
      <c r="G5547" s="7" t="str">
        <f>LOOKUP(H5547,[1]startdates!$A$2:$A$10,[1]startdates!$B$2:$B$10)</f>
        <v>FMr</v>
      </c>
      <c r="H5547">
        <v>6</v>
      </c>
      <c r="I5547" s="7">
        <v>634.79999999999995</v>
      </c>
      <c r="K5547" s="7">
        <v>513.1</v>
      </c>
      <c r="L5547" s="7">
        <v>425.7</v>
      </c>
      <c r="M5547" s="7">
        <v>374.8</v>
      </c>
      <c r="N5547" s="7">
        <v>222.9</v>
      </c>
      <c r="O5547" s="7">
        <v>169.5</v>
      </c>
      <c r="Q5547" s="7">
        <v>339.7</v>
      </c>
      <c r="R5547" s="7">
        <v>207.7</v>
      </c>
    </row>
    <row r="5548" spans="1:18" x14ac:dyDescent="0.2">
      <c r="A5548">
        <v>5547</v>
      </c>
      <c r="B5548" s="1">
        <v>40886</v>
      </c>
      <c r="C5548" t="s">
        <v>28</v>
      </c>
      <c r="D5548" s="7">
        <v>147</v>
      </c>
      <c r="E5548" s="7">
        <v>22</v>
      </c>
      <c r="F5548" s="7">
        <f t="shared" si="87"/>
        <v>6</v>
      </c>
      <c r="G5548" s="7" t="str">
        <f>LOOKUP(H5548,[1]startdates!$A$2:$A$10,[1]startdates!$B$2:$B$10)</f>
        <v>FMr</v>
      </c>
      <c r="H5548">
        <v>6</v>
      </c>
      <c r="I5548" s="7">
        <v>586.1</v>
      </c>
      <c r="K5548" s="7">
        <v>486.9</v>
      </c>
      <c r="L5548" s="7">
        <v>460.3</v>
      </c>
      <c r="M5548" s="7">
        <v>354.7</v>
      </c>
      <c r="N5548" s="7">
        <v>279.10000000000002</v>
      </c>
      <c r="O5548" s="7">
        <v>152.6</v>
      </c>
      <c r="Q5548" s="7">
        <v>329.2</v>
      </c>
      <c r="R5548" s="7">
        <v>239.3</v>
      </c>
    </row>
    <row r="5549" spans="1:18" x14ac:dyDescent="0.2">
      <c r="A5549">
        <v>5548</v>
      </c>
      <c r="B5549" s="1">
        <v>40886</v>
      </c>
      <c r="C5549" t="s">
        <v>28</v>
      </c>
      <c r="D5549" s="7">
        <v>147</v>
      </c>
      <c r="E5549" s="7">
        <v>22</v>
      </c>
      <c r="F5549" s="7">
        <f t="shared" si="87"/>
        <v>6</v>
      </c>
      <c r="G5549" s="7" t="str">
        <f>LOOKUP(H5549,[1]startdates!$A$2:$A$10,[1]startdates!$B$2:$B$10)</f>
        <v>FMr</v>
      </c>
      <c r="H5549">
        <v>6</v>
      </c>
      <c r="I5549" s="7">
        <v>564.70000000000005</v>
      </c>
      <c r="K5549" s="7">
        <v>572.70000000000005</v>
      </c>
      <c r="L5549" s="7">
        <v>438.9</v>
      </c>
      <c r="M5549" s="7">
        <v>314.8</v>
      </c>
      <c r="N5549" s="7">
        <v>226</v>
      </c>
      <c r="O5549" s="7">
        <v>152.6</v>
      </c>
      <c r="R5549" s="7">
        <v>232.2</v>
      </c>
    </row>
    <row r="5550" spans="1:18" x14ac:dyDescent="0.2">
      <c r="A5550">
        <v>5549</v>
      </c>
      <c r="B5550" s="1">
        <v>40886</v>
      </c>
      <c r="C5550" t="s">
        <v>28</v>
      </c>
      <c r="D5550" s="7">
        <v>147</v>
      </c>
      <c r="E5550" s="7">
        <v>22</v>
      </c>
      <c r="F5550" s="7">
        <f t="shared" si="87"/>
        <v>6</v>
      </c>
      <c r="G5550" s="7" t="str">
        <f>LOOKUP(H5550,[1]startdates!$A$2:$A$10,[1]startdates!$B$2:$B$10)</f>
        <v>FMr</v>
      </c>
      <c r="H5550">
        <v>6</v>
      </c>
      <c r="I5550" s="7">
        <v>531.9</v>
      </c>
      <c r="K5550" s="7">
        <v>479.3</v>
      </c>
      <c r="L5550" s="7">
        <v>444.2</v>
      </c>
      <c r="M5550" s="7">
        <v>299.3</v>
      </c>
      <c r="N5550" s="7">
        <v>270.89999999999998</v>
      </c>
      <c r="O5550" s="7">
        <v>139.69999999999999</v>
      </c>
    </row>
    <row r="5551" spans="1:18" x14ac:dyDescent="0.2">
      <c r="A5551">
        <v>5550</v>
      </c>
      <c r="B5551" s="1">
        <v>40886</v>
      </c>
      <c r="C5551" t="s">
        <v>28</v>
      </c>
      <c r="D5551" s="7">
        <v>147</v>
      </c>
      <c r="E5551" s="7">
        <v>22</v>
      </c>
      <c r="F5551" s="7">
        <f t="shared" si="87"/>
        <v>6</v>
      </c>
      <c r="G5551" s="7" t="str">
        <f>LOOKUP(H5551,[1]startdates!$A$2:$A$10,[1]startdates!$B$2:$B$10)</f>
        <v>FMr</v>
      </c>
      <c r="H5551">
        <v>6</v>
      </c>
      <c r="I5551" s="7">
        <v>557.70000000000005</v>
      </c>
      <c r="K5551" s="7">
        <v>564.1</v>
      </c>
      <c r="L5551" s="7">
        <v>455.3</v>
      </c>
      <c r="M5551" s="7">
        <v>333.3</v>
      </c>
      <c r="N5551" s="7">
        <v>226.8</v>
      </c>
      <c r="O5551" s="7">
        <v>146.6</v>
      </c>
    </row>
    <row r="5552" spans="1:18" x14ac:dyDescent="0.2">
      <c r="A5552">
        <v>5551</v>
      </c>
      <c r="B5552" s="1">
        <v>40886</v>
      </c>
      <c r="C5552" t="s">
        <v>28</v>
      </c>
      <c r="D5552" s="7">
        <v>147</v>
      </c>
      <c r="E5552" s="7">
        <v>22</v>
      </c>
      <c r="F5552" s="7">
        <f t="shared" si="87"/>
        <v>6</v>
      </c>
      <c r="G5552" s="7" t="str">
        <f>LOOKUP(H5552,[1]startdates!$A$2:$A$10,[1]startdates!$B$2:$B$10)</f>
        <v>FMr</v>
      </c>
      <c r="H5552">
        <v>6</v>
      </c>
      <c r="I5552" s="7">
        <v>582</v>
      </c>
      <c r="K5552" s="7">
        <v>482.7</v>
      </c>
      <c r="L5552" s="7">
        <v>452.8</v>
      </c>
      <c r="M5552" s="7">
        <v>345.4</v>
      </c>
      <c r="N5552" s="7">
        <v>181.3</v>
      </c>
      <c r="O5552" s="7">
        <v>158.4</v>
      </c>
    </row>
    <row r="5553" spans="1:18" x14ac:dyDescent="0.2">
      <c r="A5553">
        <v>5552</v>
      </c>
      <c r="B5553" s="1">
        <v>40886</v>
      </c>
      <c r="C5553" t="s">
        <v>28</v>
      </c>
      <c r="D5553" s="7">
        <v>147</v>
      </c>
      <c r="E5553" s="7">
        <v>22</v>
      </c>
      <c r="F5553" s="7">
        <f t="shared" si="87"/>
        <v>6</v>
      </c>
      <c r="G5553" s="7" t="str">
        <f>LOOKUP(H5553,[1]startdates!$A$2:$A$10,[1]startdates!$B$2:$B$10)</f>
        <v>FMr</v>
      </c>
      <c r="H5553">
        <v>6</v>
      </c>
      <c r="I5553" s="7">
        <v>593.29999999999995</v>
      </c>
      <c r="K5553" s="7">
        <v>454.2</v>
      </c>
      <c r="L5553" s="7">
        <v>445.9</v>
      </c>
      <c r="M5553" s="7">
        <v>316.60000000000002</v>
      </c>
      <c r="N5553" s="7">
        <v>234</v>
      </c>
      <c r="O5553" s="7">
        <v>151.80000000000001</v>
      </c>
    </row>
    <row r="5554" spans="1:18" x14ac:dyDescent="0.2">
      <c r="A5554">
        <v>5553</v>
      </c>
      <c r="B5554" s="1">
        <v>40886</v>
      </c>
      <c r="C5554" t="s">
        <v>28</v>
      </c>
      <c r="D5554" s="7">
        <v>147</v>
      </c>
      <c r="E5554" s="7">
        <v>22</v>
      </c>
      <c r="F5554" s="7">
        <f t="shared" si="87"/>
        <v>6</v>
      </c>
      <c r="G5554" s="7" t="str">
        <f>LOOKUP(H5554,[1]startdates!$A$2:$A$10,[1]startdates!$B$2:$B$10)</f>
        <v>FMr</v>
      </c>
      <c r="H5554">
        <v>6</v>
      </c>
      <c r="I5554" s="7">
        <v>469.4</v>
      </c>
      <c r="L5554" s="7">
        <v>439.6</v>
      </c>
      <c r="M5554" s="7">
        <v>356.2</v>
      </c>
      <c r="N5554" s="7">
        <v>236.1</v>
      </c>
      <c r="O5554" s="7">
        <v>177.1</v>
      </c>
    </row>
    <row r="5555" spans="1:18" x14ac:dyDescent="0.2">
      <c r="A5555">
        <v>5554</v>
      </c>
      <c r="B5555" s="1">
        <v>40886</v>
      </c>
      <c r="C5555" t="s">
        <v>28</v>
      </c>
      <c r="D5555" s="7">
        <v>147</v>
      </c>
      <c r="E5555" s="7">
        <v>22</v>
      </c>
      <c r="F5555" s="7">
        <f t="shared" si="87"/>
        <v>6</v>
      </c>
      <c r="G5555" s="7" t="str">
        <f>LOOKUP(H5555,[1]startdates!$A$2:$A$10,[1]startdates!$B$2:$B$10)</f>
        <v>FMr</v>
      </c>
      <c r="H5555">
        <v>6</v>
      </c>
      <c r="I5555" s="7">
        <v>559.70000000000005</v>
      </c>
      <c r="N5555" s="7">
        <v>165</v>
      </c>
      <c r="O5555" s="7">
        <v>153.80000000000001</v>
      </c>
    </row>
    <row r="5556" spans="1:18" x14ac:dyDescent="0.2">
      <c r="A5556">
        <v>5555</v>
      </c>
      <c r="B5556" s="1">
        <v>40886</v>
      </c>
      <c r="C5556" t="s">
        <v>28</v>
      </c>
      <c r="D5556" s="7">
        <v>147</v>
      </c>
      <c r="E5556" s="7">
        <v>22</v>
      </c>
      <c r="F5556" s="7">
        <f t="shared" si="87"/>
        <v>6</v>
      </c>
      <c r="G5556" s="7" t="str">
        <f>LOOKUP(H5556,[1]startdates!$A$2:$A$10,[1]startdates!$B$2:$B$10)</f>
        <v>FMr</v>
      </c>
      <c r="H5556">
        <v>6</v>
      </c>
      <c r="I5556" s="7">
        <v>555.5</v>
      </c>
      <c r="N5556" s="7">
        <v>202.6</v>
      </c>
      <c r="O5556" s="7">
        <v>173.5</v>
      </c>
    </row>
    <row r="5557" spans="1:18" x14ac:dyDescent="0.2">
      <c r="A5557">
        <v>5556</v>
      </c>
      <c r="B5557" s="1">
        <v>40886</v>
      </c>
      <c r="C5557" t="s">
        <v>28</v>
      </c>
      <c r="D5557" s="7">
        <v>147</v>
      </c>
      <c r="E5557" s="7">
        <v>22</v>
      </c>
      <c r="F5557" s="7">
        <f t="shared" si="87"/>
        <v>6</v>
      </c>
      <c r="G5557" s="7" t="str">
        <f>LOOKUP(H5557,[1]startdates!$A$2:$A$10,[1]startdates!$B$2:$B$10)</f>
        <v>FMr</v>
      </c>
      <c r="H5557">
        <v>6</v>
      </c>
      <c r="I5557" s="7">
        <v>573.79999999999995</v>
      </c>
    </row>
    <row r="5558" spans="1:18" x14ac:dyDescent="0.2">
      <c r="A5558">
        <v>5557</v>
      </c>
      <c r="B5558" s="1">
        <v>40886</v>
      </c>
      <c r="C5558" t="s">
        <v>28</v>
      </c>
      <c r="D5558" s="7">
        <v>147</v>
      </c>
      <c r="E5558" s="7">
        <v>22</v>
      </c>
      <c r="F5558" s="7">
        <f t="shared" si="87"/>
        <v>6</v>
      </c>
      <c r="G5558" s="7" t="str">
        <f>LOOKUP(H5558,[1]startdates!$A$2:$A$10,[1]startdates!$B$2:$B$10)</f>
        <v>FMr</v>
      </c>
      <c r="H5558">
        <v>6</v>
      </c>
      <c r="I5558" s="7">
        <v>641.79999999999995</v>
      </c>
    </row>
    <row r="5559" spans="1:18" x14ac:dyDescent="0.2">
      <c r="A5559">
        <v>5558</v>
      </c>
      <c r="B5559" s="1">
        <v>40886</v>
      </c>
      <c r="C5559" t="s">
        <v>28</v>
      </c>
      <c r="D5559" s="7">
        <v>147</v>
      </c>
      <c r="E5559" s="7">
        <v>22</v>
      </c>
      <c r="F5559" s="7">
        <f t="shared" si="87"/>
        <v>6</v>
      </c>
      <c r="G5559" s="7" t="str">
        <f>LOOKUP(H5559,[1]startdates!$A$2:$A$10,[1]startdates!$B$2:$B$10)</f>
        <v>FMr</v>
      </c>
      <c r="H5559">
        <v>6</v>
      </c>
      <c r="I5559" s="7">
        <v>597.29999999999995</v>
      </c>
    </row>
    <row r="5560" spans="1:18" x14ac:dyDescent="0.2">
      <c r="A5560">
        <v>5559</v>
      </c>
      <c r="B5560" s="1">
        <v>40886</v>
      </c>
      <c r="C5560" t="s">
        <v>28</v>
      </c>
      <c r="D5560" s="7">
        <v>147</v>
      </c>
      <c r="E5560" s="7">
        <v>22</v>
      </c>
      <c r="F5560" s="7">
        <f t="shared" si="87"/>
        <v>6</v>
      </c>
      <c r="G5560" s="7" t="str">
        <f>LOOKUP(H5560,[1]startdates!$A$2:$A$10,[1]startdates!$B$2:$B$10)</f>
        <v>FMr</v>
      </c>
      <c r="H5560">
        <v>7</v>
      </c>
      <c r="I5560" s="7">
        <v>505.1</v>
      </c>
      <c r="K5560" s="7">
        <v>510</v>
      </c>
      <c r="L5560" s="7">
        <v>434.7</v>
      </c>
      <c r="M5560" s="7">
        <v>329.3</v>
      </c>
      <c r="N5560" s="7">
        <v>224.4</v>
      </c>
      <c r="O5560" s="7">
        <v>152.6</v>
      </c>
      <c r="P5560" s="7">
        <v>410.7</v>
      </c>
      <c r="Q5560" s="7">
        <v>358.3</v>
      </c>
      <c r="R5560" s="7">
        <v>291.10000000000002</v>
      </c>
    </row>
    <row r="5561" spans="1:18" x14ac:dyDescent="0.2">
      <c r="A5561">
        <v>5560</v>
      </c>
      <c r="B5561" s="1">
        <v>40886</v>
      </c>
      <c r="C5561" t="s">
        <v>28</v>
      </c>
      <c r="D5561" s="7">
        <v>147</v>
      </c>
      <c r="E5561" s="7">
        <v>22</v>
      </c>
      <c r="F5561" s="7">
        <f t="shared" si="87"/>
        <v>6</v>
      </c>
      <c r="G5561" s="7" t="str">
        <f>LOOKUP(H5561,[1]startdates!$A$2:$A$10,[1]startdates!$B$2:$B$10)</f>
        <v>FMr</v>
      </c>
      <c r="H5561">
        <v>7</v>
      </c>
      <c r="I5561" s="7">
        <v>625.70000000000005</v>
      </c>
      <c r="K5561" s="7">
        <v>527.1</v>
      </c>
      <c r="L5561" s="7">
        <v>399.8</v>
      </c>
      <c r="M5561" s="7">
        <v>339</v>
      </c>
      <c r="N5561" s="7">
        <v>259.60000000000002</v>
      </c>
      <c r="O5561" s="7">
        <v>163.5</v>
      </c>
      <c r="Q5561" s="7">
        <v>317.2</v>
      </c>
      <c r="R5561" s="7">
        <v>270.8</v>
      </c>
    </row>
    <row r="5562" spans="1:18" x14ac:dyDescent="0.2">
      <c r="A5562">
        <v>5561</v>
      </c>
      <c r="B5562" s="1">
        <v>40886</v>
      </c>
      <c r="C5562" t="s">
        <v>28</v>
      </c>
      <c r="D5562" s="7">
        <v>147</v>
      </c>
      <c r="E5562" s="7">
        <v>22</v>
      </c>
      <c r="F5562" s="7">
        <f t="shared" si="87"/>
        <v>6</v>
      </c>
      <c r="G5562" s="7" t="str">
        <f>LOOKUP(H5562,[1]startdates!$A$2:$A$10,[1]startdates!$B$2:$B$10)</f>
        <v>FMr</v>
      </c>
      <c r="H5562">
        <v>7</v>
      </c>
      <c r="I5562" s="7">
        <v>599.29999999999995</v>
      </c>
      <c r="K5562" s="7">
        <v>528.5</v>
      </c>
      <c r="L5562" s="7">
        <v>457.5</v>
      </c>
      <c r="M5562" s="7">
        <v>362</v>
      </c>
      <c r="N5562" s="7">
        <v>242.1</v>
      </c>
      <c r="O5562" s="7">
        <v>163</v>
      </c>
      <c r="Q5562" s="7">
        <v>305.10000000000002</v>
      </c>
    </row>
    <row r="5563" spans="1:18" x14ac:dyDescent="0.2">
      <c r="A5563">
        <v>5562</v>
      </c>
      <c r="B5563" s="1">
        <v>40886</v>
      </c>
      <c r="C5563" t="s">
        <v>28</v>
      </c>
      <c r="D5563" s="7">
        <v>147</v>
      </c>
      <c r="E5563" s="7">
        <v>22</v>
      </c>
      <c r="F5563" s="7">
        <f t="shared" si="87"/>
        <v>6</v>
      </c>
      <c r="G5563" s="7" t="str">
        <f>LOOKUP(H5563,[1]startdates!$A$2:$A$10,[1]startdates!$B$2:$B$10)</f>
        <v>FMr</v>
      </c>
      <c r="H5563">
        <v>7</v>
      </c>
      <c r="I5563" s="7">
        <v>471.8</v>
      </c>
      <c r="K5563" s="7">
        <v>531.5</v>
      </c>
      <c r="L5563" s="7">
        <v>390.3</v>
      </c>
      <c r="M5563" s="7">
        <v>342</v>
      </c>
      <c r="N5563" s="7">
        <v>212</v>
      </c>
      <c r="O5563" s="7">
        <v>166.6</v>
      </c>
    </row>
    <row r="5564" spans="1:18" x14ac:dyDescent="0.2">
      <c r="A5564">
        <v>5563</v>
      </c>
      <c r="B5564" s="1">
        <v>40886</v>
      </c>
      <c r="C5564" t="s">
        <v>28</v>
      </c>
      <c r="D5564" s="7">
        <v>147</v>
      </c>
      <c r="E5564" s="7">
        <v>22</v>
      </c>
      <c r="F5564" s="7">
        <f t="shared" si="87"/>
        <v>6</v>
      </c>
      <c r="G5564" s="7" t="str">
        <f>LOOKUP(H5564,[1]startdates!$A$2:$A$10,[1]startdates!$B$2:$B$10)</f>
        <v>FMr</v>
      </c>
      <c r="H5564">
        <v>7</v>
      </c>
      <c r="I5564" s="7">
        <v>530.29999999999995</v>
      </c>
      <c r="K5564" s="7">
        <v>472.1</v>
      </c>
      <c r="L5564" s="7">
        <v>413.4</v>
      </c>
      <c r="M5564" s="7">
        <v>346.2</v>
      </c>
      <c r="N5564" s="7">
        <v>170.4</v>
      </c>
      <c r="O5564" s="7">
        <v>166.5</v>
      </c>
    </row>
    <row r="5565" spans="1:18" x14ac:dyDescent="0.2">
      <c r="A5565">
        <v>5564</v>
      </c>
      <c r="B5565" s="1">
        <v>40886</v>
      </c>
      <c r="C5565" t="s">
        <v>28</v>
      </c>
      <c r="D5565" s="7">
        <v>147</v>
      </c>
      <c r="E5565" s="7">
        <v>22</v>
      </c>
      <c r="F5565" s="7">
        <f t="shared" si="87"/>
        <v>6</v>
      </c>
      <c r="G5565" s="7" t="str">
        <f>LOOKUP(H5565,[1]startdates!$A$2:$A$10,[1]startdates!$B$2:$B$10)</f>
        <v>FMr</v>
      </c>
      <c r="H5565">
        <v>7</v>
      </c>
      <c r="I5565" s="7">
        <v>633.79999999999995</v>
      </c>
      <c r="K5565" s="7">
        <v>488.7</v>
      </c>
      <c r="L5565" s="7">
        <v>425.7</v>
      </c>
      <c r="M5565" s="7">
        <v>307.39999999999998</v>
      </c>
      <c r="N5565" s="7">
        <v>201.2</v>
      </c>
      <c r="O5565" s="7">
        <v>173.1</v>
      </c>
    </row>
    <row r="5566" spans="1:18" x14ac:dyDescent="0.2">
      <c r="A5566">
        <v>5565</v>
      </c>
      <c r="B5566" s="1">
        <v>40886</v>
      </c>
      <c r="C5566" t="s">
        <v>28</v>
      </c>
      <c r="D5566" s="7">
        <v>147</v>
      </c>
      <c r="E5566" s="7">
        <v>22</v>
      </c>
      <c r="F5566" s="7">
        <f t="shared" si="87"/>
        <v>6</v>
      </c>
      <c r="G5566" s="7" t="str">
        <f>LOOKUP(H5566,[1]startdates!$A$2:$A$10,[1]startdates!$B$2:$B$10)</f>
        <v>FMr</v>
      </c>
      <c r="H5566">
        <v>7</v>
      </c>
      <c r="I5566" s="7">
        <v>613.29999999999995</v>
      </c>
      <c r="M5566" s="7">
        <v>363.2</v>
      </c>
      <c r="N5566" s="7">
        <v>231.2</v>
      </c>
      <c r="O5566" s="7">
        <v>158.4</v>
      </c>
    </row>
    <row r="5567" spans="1:18" x14ac:dyDescent="0.2">
      <c r="A5567">
        <v>5566</v>
      </c>
      <c r="B5567" s="1">
        <v>40886</v>
      </c>
      <c r="C5567" t="s">
        <v>28</v>
      </c>
      <c r="D5567" s="7">
        <v>147</v>
      </c>
      <c r="E5567" s="7">
        <v>22</v>
      </c>
      <c r="F5567" s="7">
        <f t="shared" si="87"/>
        <v>6</v>
      </c>
      <c r="G5567" s="7" t="str">
        <f>LOOKUP(H5567,[1]startdates!$A$2:$A$10,[1]startdates!$B$2:$B$10)</f>
        <v>FMr</v>
      </c>
      <c r="H5567">
        <v>7</v>
      </c>
      <c r="I5567" s="7">
        <v>550.29999999999995</v>
      </c>
      <c r="M5567" s="7">
        <v>360.1</v>
      </c>
      <c r="N5567" s="7">
        <v>243.1</v>
      </c>
      <c r="O5567" s="7">
        <v>166.1</v>
      </c>
    </row>
    <row r="5568" spans="1:18" x14ac:dyDescent="0.2">
      <c r="A5568">
        <v>5567</v>
      </c>
      <c r="B5568" s="1">
        <v>40886</v>
      </c>
      <c r="C5568" t="s">
        <v>28</v>
      </c>
      <c r="D5568" s="7">
        <v>147</v>
      </c>
      <c r="E5568" s="7">
        <v>22</v>
      </c>
      <c r="F5568" s="7">
        <f t="shared" si="87"/>
        <v>6</v>
      </c>
      <c r="G5568" s="7" t="str">
        <f>LOOKUP(H5568,[1]startdates!$A$2:$A$10,[1]startdates!$B$2:$B$10)</f>
        <v>FMr</v>
      </c>
      <c r="H5568">
        <v>7</v>
      </c>
      <c r="I5568" s="7">
        <v>647.29999999999995</v>
      </c>
      <c r="M5568" s="7">
        <v>337.5</v>
      </c>
      <c r="N5568" s="7">
        <v>262.39999999999998</v>
      </c>
      <c r="O5568" s="7">
        <v>154.80000000000001</v>
      </c>
    </row>
    <row r="5569" spans="1:19" x14ac:dyDescent="0.2">
      <c r="A5569">
        <v>5568</v>
      </c>
      <c r="B5569" s="1">
        <v>40886</v>
      </c>
      <c r="C5569" t="s">
        <v>28</v>
      </c>
      <c r="D5569" s="7">
        <v>147</v>
      </c>
      <c r="E5569" s="7">
        <v>22</v>
      </c>
      <c r="F5569" s="7">
        <f t="shared" si="87"/>
        <v>6</v>
      </c>
      <c r="G5569" s="7" t="str">
        <f>LOOKUP(H5569,[1]startdates!$A$2:$A$10,[1]startdates!$B$2:$B$10)</f>
        <v>FMr</v>
      </c>
      <c r="H5569">
        <v>7</v>
      </c>
      <c r="I5569" s="7">
        <v>526</v>
      </c>
      <c r="M5569" s="7">
        <v>318.10000000000002</v>
      </c>
      <c r="N5569" s="7">
        <v>154.1</v>
      </c>
      <c r="O5569" s="7">
        <v>166.6</v>
      </c>
    </row>
    <row r="5570" spans="1:19" x14ac:dyDescent="0.2">
      <c r="A5570">
        <v>5569</v>
      </c>
      <c r="B5570" s="1">
        <v>40886</v>
      </c>
      <c r="C5570" t="s">
        <v>28</v>
      </c>
      <c r="D5570" s="7">
        <v>147</v>
      </c>
      <c r="E5570" s="7">
        <v>22</v>
      </c>
      <c r="F5570" s="7">
        <f t="shared" si="87"/>
        <v>6</v>
      </c>
      <c r="G5570" s="7" t="str">
        <f>LOOKUP(H5570,[1]startdates!$A$2:$A$10,[1]startdates!$B$2:$B$10)</f>
        <v>FMr</v>
      </c>
      <c r="H5570">
        <v>7</v>
      </c>
      <c r="I5570" s="7">
        <v>512.9</v>
      </c>
    </row>
    <row r="5571" spans="1:19" x14ac:dyDescent="0.2">
      <c r="A5571">
        <v>5570</v>
      </c>
      <c r="B5571" s="1">
        <v>40886</v>
      </c>
      <c r="C5571" t="s">
        <v>28</v>
      </c>
      <c r="D5571" s="7">
        <v>147</v>
      </c>
      <c r="E5571" s="7">
        <v>22</v>
      </c>
      <c r="F5571" s="7">
        <f t="shared" si="87"/>
        <v>6</v>
      </c>
      <c r="G5571" s="7" t="str">
        <f>LOOKUP(H5571,[1]startdates!$A$2:$A$10,[1]startdates!$B$2:$B$10)</f>
        <v>FMr</v>
      </c>
      <c r="H5571">
        <v>7</v>
      </c>
      <c r="I5571" s="7">
        <v>596.1</v>
      </c>
    </row>
    <row r="5572" spans="1:19" x14ac:dyDescent="0.2">
      <c r="A5572">
        <v>5571</v>
      </c>
      <c r="B5572" s="1">
        <v>40886</v>
      </c>
      <c r="C5572" t="s">
        <v>28</v>
      </c>
      <c r="D5572" s="7">
        <v>147</v>
      </c>
      <c r="E5572" s="7">
        <v>22</v>
      </c>
      <c r="F5572" s="7">
        <f t="shared" si="87"/>
        <v>6</v>
      </c>
      <c r="G5572" s="7" t="str">
        <f>LOOKUP(H5572,[1]startdates!$A$2:$A$10,[1]startdates!$B$2:$B$10)</f>
        <v>C</v>
      </c>
      <c r="H5572">
        <v>8</v>
      </c>
      <c r="I5572" s="7">
        <v>546.79999999999995</v>
      </c>
      <c r="J5572" s="7">
        <v>520.20000000000005</v>
      </c>
      <c r="K5572" s="7">
        <v>603.20000000000005</v>
      </c>
      <c r="L5572" s="7">
        <v>441.3</v>
      </c>
      <c r="M5572" s="7">
        <v>334.2</v>
      </c>
      <c r="N5572" s="7">
        <v>276.60000000000002</v>
      </c>
      <c r="O5572" s="7">
        <v>201.4</v>
      </c>
      <c r="S5572" s="7">
        <v>244.4</v>
      </c>
    </row>
    <row r="5573" spans="1:19" x14ac:dyDescent="0.2">
      <c r="A5573">
        <v>5572</v>
      </c>
      <c r="B5573" s="1">
        <v>40886</v>
      </c>
      <c r="C5573" t="s">
        <v>28</v>
      </c>
      <c r="D5573" s="7">
        <v>147</v>
      </c>
      <c r="E5573" s="7">
        <v>22</v>
      </c>
      <c r="F5573" s="7">
        <f t="shared" si="87"/>
        <v>6</v>
      </c>
      <c r="G5573" s="7" t="str">
        <f>LOOKUP(H5573,[1]startdates!$A$2:$A$10,[1]startdates!$B$2:$B$10)</f>
        <v>C</v>
      </c>
      <c r="H5573">
        <v>8</v>
      </c>
      <c r="I5573" s="7">
        <v>609.20000000000005</v>
      </c>
      <c r="J5573" s="7">
        <v>491.6</v>
      </c>
      <c r="K5573" s="7">
        <v>454.7</v>
      </c>
      <c r="L5573" s="7">
        <v>392.5</v>
      </c>
      <c r="M5573" s="7">
        <v>290.89999999999998</v>
      </c>
      <c r="N5573" s="7">
        <v>196.9</v>
      </c>
      <c r="O5573" s="7">
        <v>177.7</v>
      </c>
    </row>
    <row r="5574" spans="1:19" x14ac:dyDescent="0.2">
      <c r="A5574">
        <v>5573</v>
      </c>
      <c r="B5574" s="1">
        <v>40886</v>
      </c>
      <c r="C5574" t="s">
        <v>28</v>
      </c>
      <c r="D5574" s="7">
        <v>147</v>
      </c>
      <c r="E5574" s="7">
        <v>22</v>
      </c>
      <c r="F5574" s="7">
        <f t="shared" si="87"/>
        <v>6</v>
      </c>
      <c r="G5574" s="7" t="str">
        <f>LOOKUP(H5574,[1]startdates!$A$2:$A$10,[1]startdates!$B$2:$B$10)</f>
        <v>C</v>
      </c>
      <c r="H5574">
        <v>8</v>
      </c>
      <c r="I5574" s="7">
        <v>572.9</v>
      </c>
      <c r="J5574" s="7">
        <v>551.29999999999995</v>
      </c>
      <c r="K5574" s="7">
        <v>522.20000000000005</v>
      </c>
      <c r="L5574" s="7" t="s">
        <v>69</v>
      </c>
      <c r="M5574" s="7">
        <v>364.6</v>
      </c>
      <c r="N5574" s="7">
        <v>210.9</v>
      </c>
      <c r="O5574" s="7">
        <v>152.6</v>
      </c>
    </row>
    <row r="5575" spans="1:19" x14ac:dyDescent="0.2">
      <c r="A5575">
        <v>5574</v>
      </c>
      <c r="B5575" s="1">
        <v>40886</v>
      </c>
      <c r="C5575" t="s">
        <v>28</v>
      </c>
      <c r="D5575" s="7">
        <v>147</v>
      </c>
      <c r="E5575" s="7">
        <v>22</v>
      </c>
      <c r="F5575" s="7">
        <f t="shared" si="87"/>
        <v>6</v>
      </c>
      <c r="G5575" s="7" t="str">
        <f>LOOKUP(H5575,[1]startdates!$A$2:$A$10,[1]startdates!$B$2:$B$10)</f>
        <v>C</v>
      </c>
      <c r="H5575">
        <v>8</v>
      </c>
      <c r="I5575" s="7">
        <v>606.9</v>
      </c>
      <c r="J5575" s="7">
        <v>479.5</v>
      </c>
      <c r="K5575" s="7">
        <v>522.29999999999995</v>
      </c>
      <c r="M5575" s="7">
        <v>330.4</v>
      </c>
      <c r="N5575" s="7">
        <v>278.3</v>
      </c>
      <c r="O5575" s="7">
        <v>166.3</v>
      </c>
    </row>
    <row r="5576" spans="1:19" x14ac:dyDescent="0.2">
      <c r="A5576">
        <v>5575</v>
      </c>
      <c r="B5576" s="1">
        <v>40886</v>
      </c>
      <c r="C5576" t="s">
        <v>28</v>
      </c>
      <c r="D5576" s="7">
        <v>147</v>
      </c>
      <c r="E5576" s="7">
        <v>22</v>
      </c>
      <c r="F5576" s="7">
        <f t="shared" si="87"/>
        <v>6</v>
      </c>
      <c r="G5576" s="7" t="str">
        <f>LOOKUP(H5576,[1]startdates!$A$2:$A$10,[1]startdates!$B$2:$B$10)</f>
        <v>C</v>
      </c>
      <c r="H5576">
        <v>8</v>
      </c>
      <c r="I5576" s="7">
        <v>632.70000000000005</v>
      </c>
      <c r="K5576" s="7">
        <v>524.9</v>
      </c>
      <c r="M5576" s="7">
        <v>358.7</v>
      </c>
      <c r="N5576" s="7">
        <v>180.4</v>
      </c>
      <c r="O5576" s="7">
        <v>168.2</v>
      </c>
    </row>
    <row r="5577" spans="1:19" x14ac:dyDescent="0.2">
      <c r="A5577">
        <v>5576</v>
      </c>
      <c r="B5577" s="1">
        <v>40886</v>
      </c>
      <c r="C5577" t="s">
        <v>28</v>
      </c>
      <c r="D5577" s="7">
        <v>147</v>
      </c>
      <c r="E5577" s="7">
        <v>22</v>
      </c>
      <c r="F5577" s="7">
        <f t="shared" si="87"/>
        <v>6</v>
      </c>
      <c r="G5577" s="7" t="str">
        <f>LOOKUP(H5577,[1]startdates!$A$2:$A$10,[1]startdates!$B$2:$B$10)</f>
        <v>C</v>
      </c>
      <c r="H5577">
        <v>8</v>
      </c>
      <c r="I5577" s="7">
        <v>615</v>
      </c>
      <c r="M5577" s="7">
        <v>310.3</v>
      </c>
      <c r="N5577" s="7">
        <v>209.9</v>
      </c>
      <c r="O5577" s="7">
        <v>164.9</v>
      </c>
    </row>
    <row r="5578" spans="1:19" x14ac:dyDescent="0.2">
      <c r="A5578">
        <v>5577</v>
      </c>
      <c r="B5578" s="1">
        <v>40886</v>
      </c>
      <c r="C5578" t="s">
        <v>28</v>
      </c>
      <c r="D5578" s="7">
        <v>147</v>
      </c>
      <c r="E5578" s="7">
        <v>22</v>
      </c>
      <c r="F5578" s="7">
        <f t="shared" si="87"/>
        <v>6</v>
      </c>
      <c r="G5578" s="7" t="str">
        <f>LOOKUP(H5578,[1]startdates!$A$2:$A$10,[1]startdates!$B$2:$B$10)</f>
        <v>C</v>
      </c>
      <c r="H5578">
        <v>8</v>
      </c>
      <c r="I5578" s="7">
        <v>616.20000000000005</v>
      </c>
      <c r="M5578" s="7">
        <v>320.8</v>
      </c>
      <c r="N5578" s="7">
        <v>215.2</v>
      </c>
      <c r="O5578" s="7">
        <v>165.4</v>
      </c>
    </row>
    <row r="5579" spans="1:19" x14ac:dyDescent="0.2">
      <c r="A5579">
        <v>5578</v>
      </c>
      <c r="B5579" s="1">
        <v>40886</v>
      </c>
      <c r="C5579" t="s">
        <v>28</v>
      </c>
      <c r="D5579" s="7">
        <v>147</v>
      </c>
      <c r="E5579" s="7">
        <v>22</v>
      </c>
      <c r="F5579" s="7">
        <f t="shared" si="87"/>
        <v>6</v>
      </c>
      <c r="G5579" s="7" t="str">
        <f>LOOKUP(H5579,[1]startdates!$A$2:$A$10,[1]startdates!$B$2:$B$10)</f>
        <v>C</v>
      </c>
      <c r="H5579">
        <v>8</v>
      </c>
      <c r="I5579" s="7">
        <v>553.20000000000005</v>
      </c>
      <c r="M5579" s="7">
        <v>295.10000000000002</v>
      </c>
      <c r="N5579" s="7">
        <v>231.1</v>
      </c>
      <c r="O5579" s="7">
        <v>155</v>
      </c>
    </row>
    <row r="5580" spans="1:19" x14ac:dyDescent="0.2">
      <c r="A5580">
        <v>5579</v>
      </c>
      <c r="B5580" s="1">
        <v>40886</v>
      </c>
      <c r="C5580" t="s">
        <v>28</v>
      </c>
      <c r="D5580" s="7">
        <v>147</v>
      </c>
      <c r="E5580" s="7">
        <v>22</v>
      </c>
      <c r="F5580" s="7">
        <f t="shared" si="87"/>
        <v>6</v>
      </c>
      <c r="G5580" s="7" t="str">
        <f>LOOKUP(H5580,[1]startdates!$A$2:$A$10,[1]startdates!$B$2:$B$10)</f>
        <v>C</v>
      </c>
      <c r="H5580">
        <v>8</v>
      </c>
      <c r="N5580" s="7">
        <v>181.9</v>
      </c>
      <c r="O5580" s="7">
        <v>161.9</v>
      </c>
    </row>
    <row r="5581" spans="1:19" x14ac:dyDescent="0.2">
      <c r="A5581">
        <v>5580</v>
      </c>
      <c r="B5581" s="1">
        <v>40886</v>
      </c>
      <c r="C5581" t="s">
        <v>28</v>
      </c>
      <c r="D5581" s="7">
        <v>147</v>
      </c>
      <c r="E5581" s="7">
        <v>22</v>
      </c>
      <c r="F5581" s="7">
        <f t="shared" si="87"/>
        <v>6</v>
      </c>
      <c r="G5581" s="7" t="str">
        <f>LOOKUP(H5581,[1]startdates!$A$2:$A$10,[1]startdates!$B$2:$B$10)</f>
        <v>C</v>
      </c>
      <c r="H5581">
        <v>8</v>
      </c>
      <c r="N5581" s="7">
        <v>255</v>
      </c>
      <c r="O5581" s="7">
        <v>167.9</v>
      </c>
    </row>
    <row r="5582" spans="1:19" x14ac:dyDescent="0.2">
      <c r="A5582">
        <v>5581</v>
      </c>
      <c r="B5582" s="1">
        <v>40886</v>
      </c>
      <c r="C5582" t="s">
        <v>28</v>
      </c>
      <c r="D5582" s="7">
        <v>147</v>
      </c>
      <c r="E5582" s="7">
        <v>22</v>
      </c>
      <c r="F5582" s="7">
        <f t="shared" si="87"/>
        <v>6</v>
      </c>
      <c r="G5582" s="7" t="str">
        <f>LOOKUP(H5582,[1]startdates!$A$2:$A$10,[1]startdates!$B$2:$B$10)</f>
        <v>C</v>
      </c>
      <c r="H5582">
        <v>8</v>
      </c>
      <c r="O5582" s="7">
        <v>159.4</v>
      </c>
    </row>
    <row r="5583" spans="1:19" x14ac:dyDescent="0.2">
      <c r="A5583">
        <v>5582</v>
      </c>
      <c r="B5583" s="1">
        <v>40886</v>
      </c>
      <c r="C5583" t="s">
        <v>28</v>
      </c>
      <c r="D5583" s="7">
        <v>147</v>
      </c>
      <c r="E5583" s="7">
        <v>22</v>
      </c>
      <c r="F5583" s="7">
        <f t="shared" si="87"/>
        <v>6</v>
      </c>
      <c r="G5583" s="7" t="str">
        <f>LOOKUP(H5583,[1]startdates!$A$2:$A$10,[1]startdates!$B$2:$B$10)</f>
        <v>FMr</v>
      </c>
      <c r="H5583">
        <v>9</v>
      </c>
      <c r="I5583" s="7">
        <v>517.70000000000005</v>
      </c>
      <c r="J5583" s="7">
        <v>514.70000000000005</v>
      </c>
      <c r="K5583" s="7">
        <v>609</v>
      </c>
      <c r="L5583" s="7">
        <v>428</v>
      </c>
      <c r="M5583" s="7">
        <v>373.8</v>
      </c>
      <c r="N5583" s="7">
        <v>205.5</v>
      </c>
      <c r="O5583" s="7">
        <v>158.4</v>
      </c>
      <c r="P5583" s="7">
        <v>408.7</v>
      </c>
      <c r="Q5583" s="7">
        <v>310.39999999999998</v>
      </c>
    </row>
    <row r="5584" spans="1:19" x14ac:dyDescent="0.2">
      <c r="A5584">
        <v>5583</v>
      </c>
      <c r="B5584" s="1">
        <v>40886</v>
      </c>
      <c r="C5584" t="s">
        <v>28</v>
      </c>
      <c r="D5584" s="7">
        <v>147</v>
      </c>
      <c r="E5584" s="7">
        <v>22</v>
      </c>
      <c r="F5584" s="7">
        <f t="shared" si="87"/>
        <v>6</v>
      </c>
      <c r="G5584" s="7" t="str">
        <f>LOOKUP(H5584,[1]startdates!$A$2:$A$10,[1]startdates!$B$2:$B$10)</f>
        <v>FMr</v>
      </c>
      <c r="H5584">
        <v>9</v>
      </c>
      <c r="I5584" s="7">
        <v>609.6</v>
      </c>
      <c r="K5584" s="7">
        <v>469.5</v>
      </c>
      <c r="L5584" s="7">
        <v>474.8</v>
      </c>
      <c r="M5584" s="7">
        <v>375.5</v>
      </c>
      <c r="N5584" s="7">
        <v>253.6</v>
      </c>
      <c r="O5584" s="7">
        <v>157.30000000000001</v>
      </c>
      <c r="P5584" s="7">
        <v>453.1</v>
      </c>
      <c r="Q5584" s="7">
        <v>315.7</v>
      </c>
    </row>
    <row r="5585" spans="1:21" x14ac:dyDescent="0.2">
      <c r="A5585">
        <v>5584</v>
      </c>
      <c r="B5585" s="1">
        <v>40886</v>
      </c>
      <c r="C5585" t="s">
        <v>28</v>
      </c>
      <c r="D5585" s="7">
        <v>147</v>
      </c>
      <c r="E5585" s="7">
        <v>22</v>
      </c>
      <c r="F5585" s="7">
        <f t="shared" si="87"/>
        <v>6</v>
      </c>
      <c r="G5585" s="7" t="str">
        <f>LOOKUP(H5585,[1]startdates!$A$2:$A$10,[1]startdates!$B$2:$B$10)</f>
        <v>FMr</v>
      </c>
      <c r="H5585">
        <v>9</v>
      </c>
      <c r="I5585" s="7">
        <v>564.5</v>
      </c>
      <c r="K5585" s="7">
        <v>523.79999999999995</v>
      </c>
      <c r="L5585" s="7">
        <v>466.3</v>
      </c>
      <c r="M5585" s="7">
        <v>292.39999999999998</v>
      </c>
      <c r="N5585" s="7">
        <v>193.5</v>
      </c>
      <c r="O5585" s="7">
        <v>182.8</v>
      </c>
      <c r="P5585" s="7">
        <v>410</v>
      </c>
      <c r="Q5585" s="7">
        <v>345.9</v>
      </c>
    </row>
    <row r="5586" spans="1:21" x14ac:dyDescent="0.2">
      <c r="A5586">
        <v>5585</v>
      </c>
      <c r="B5586" s="1">
        <v>40886</v>
      </c>
      <c r="C5586" t="s">
        <v>28</v>
      </c>
      <c r="D5586" s="7">
        <v>147</v>
      </c>
      <c r="E5586" s="7">
        <v>22</v>
      </c>
      <c r="F5586" s="7">
        <f t="shared" si="87"/>
        <v>6</v>
      </c>
      <c r="G5586" s="7" t="str">
        <f>LOOKUP(H5586,[1]startdates!$A$2:$A$10,[1]startdates!$B$2:$B$10)</f>
        <v>FMr</v>
      </c>
      <c r="H5586">
        <v>9</v>
      </c>
      <c r="I5586" s="7">
        <v>548.9</v>
      </c>
      <c r="K5586" s="7">
        <v>529</v>
      </c>
      <c r="L5586" s="7">
        <v>471.8</v>
      </c>
      <c r="M5586" s="7">
        <v>321.10000000000002</v>
      </c>
      <c r="N5586" s="7">
        <v>233.8</v>
      </c>
      <c r="O5586" s="7">
        <v>173.8</v>
      </c>
    </row>
    <row r="5587" spans="1:21" x14ac:dyDescent="0.2">
      <c r="A5587">
        <v>5586</v>
      </c>
      <c r="B5587" s="1">
        <v>40886</v>
      </c>
      <c r="C5587" t="s">
        <v>28</v>
      </c>
      <c r="D5587" s="7">
        <v>147</v>
      </c>
      <c r="E5587" s="7">
        <v>22</v>
      </c>
      <c r="F5587" s="7">
        <f t="shared" si="87"/>
        <v>6</v>
      </c>
      <c r="G5587" s="7" t="str">
        <f>LOOKUP(H5587,[1]startdates!$A$2:$A$10,[1]startdates!$B$2:$B$10)</f>
        <v>FMr</v>
      </c>
      <c r="H5587">
        <v>9</v>
      </c>
      <c r="I5587" s="7">
        <v>565.6</v>
      </c>
      <c r="K5587" s="7">
        <v>546.4</v>
      </c>
      <c r="L5587" s="7">
        <v>420.8</v>
      </c>
      <c r="M5587" s="7">
        <v>331.9</v>
      </c>
      <c r="N5587" s="7">
        <v>266</v>
      </c>
      <c r="O5587" s="7">
        <v>171.3</v>
      </c>
    </row>
    <row r="5588" spans="1:21" x14ac:dyDescent="0.2">
      <c r="A5588">
        <v>5587</v>
      </c>
      <c r="B5588" s="1">
        <v>40886</v>
      </c>
      <c r="C5588" t="s">
        <v>28</v>
      </c>
      <c r="D5588" s="7">
        <v>147</v>
      </c>
      <c r="E5588" s="7">
        <v>22</v>
      </c>
      <c r="F5588" s="7">
        <f t="shared" si="87"/>
        <v>6</v>
      </c>
      <c r="G5588" s="7" t="str">
        <f>LOOKUP(H5588,[1]startdates!$A$2:$A$10,[1]startdates!$B$2:$B$10)</f>
        <v>FMr</v>
      </c>
      <c r="H5588">
        <v>9</v>
      </c>
      <c r="I5588" s="7">
        <v>540.1</v>
      </c>
      <c r="K5588" s="7">
        <v>472.4</v>
      </c>
      <c r="M5588" s="7">
        <v>351</v>
      </c>
      <c r="N5588" s="7">
        <v>269.7</v>
      </c>
      <c r="O5588" s="7">
        <v>171.7</v>
      </c>
    </row>
    <row r="5589" spans="1:21" x14ac:dyDescent="0.2">
      <c r="A5589">
        <v>5588</v>
      </c>
      <c r="B5589" s="1">
        <v>40886</v>
      </c>
      <c r="C5589" t="s">
        <v>28</v>
      </c>
      <c r="D5589" s="7">
        <v>147</v>
      </c>
      <c r="E5589" s="7">
        <v>22</v>
      </c>
      <c r="F5589" s="7">
        <f t="shared" si="87"/>
        <v>6</v>
      </c>
      <c r="G5589" s="7" t="str">
        <f>LOOKUP(H5589,[1]startdates!$A$2:$A$10,[1]startdates!$B$2:$B$10)</f>
        <v>FMr</v>
      </c>
      <c r="H5589">
        <v>9</v>
      </c>
      <c r="I5589" s="7">
        <v>610.20000000000005</v>
      </c>
      <c r="K5589" s="7">
        <v>555.1</v>
      </c>
      <c r="M5589" s="7">
        <v>378.5</v>
      </c>
      <c r="N5589" s="7">
        <v>261.5</v>
      </c>
      <c r="O5589" s="7">
        <v>166.5</v>
      </c>
    </row>
    <row r="5590" spans="1:21" x14ac:dyDescent="0.2">
      <c r="A5590">
        <v>5589</v>
      </c>
      <c r="B5590" s="1">
        <v>40886</v>
      </c>
      <c r="C5590" t="s">
        <v>28</v>
      </c>
      <c r="D5590" s="7">
        <v>147</v>
      </c>
      <c r="E5590" s="7">
        <v>22</v>
      </c>
      <c r="F5590" s="7">
        <f t="shared" si="87"/>
        <v>6</v>
      </c>
      <c r="G5590" s="7" t="str">
        <f>LOOKUP(H5590,[1]startdates!$A$2:$A$10,[1]startdates!$B$2:$B$10)</f>
        <v>FMr</v>
      </c>
      <c r="H5590">
        <v>9</v>
      </c>
      <c r="I5590" s="7">
        <v>608.9</v>
      </c>
      <c r="K5590" s="7">
        <v>495.7</v>
      </c>
      <c r="M5590" s="7">
        <v>362.4</v>
      </c>
      <c r="N5590" s="7">
        <v>195.2</v>
      </c>
      <c r="O5590" s="7">
        <v>178.6</v>
      </c>
    </row>
    <row r="5591" spans="1:21" x14ac:dyDescent="0.2">
      <c r="A5591">
        <v>5590</v>
      </c>
      <c r="B5591" s="1">
        <v>40886</v>
      </c>
      <c r="C5591" t="s">
        <v>28</v>
      </c>
      <c r="D5591" s="7">
        <v>147</v>
      </c>
      <c r="E5591" s="7">
        <v>22</v>
      </c>
      <c r="F5591" s="7">
        <f t="shared" si="87"/>
        <v>6</v>
      </c>
      <c r="G5591" s="7" t="str">
        <f>LOOKUP(H5591,[1]startdates!$A$2:$A$10,[1]startdates!$B$2:$B$10)</f>
        <v>FMr</v>
      </c>
      <c r="H5591">
        <v>9</v>
      </c>
      <c r="I5591" s="7">
        <v>574.1</v>
      </c>
      <c r="K5591" s="7">
        <v>486.2</v>
      </c>
      <c r="N5591" s="7">
        <v>195.7</v>
      </c>
      <c r="O5591" s="7">
        <v>173.8</v>
      </c>
    </row>
    <row r="5592" spans="1:21" x14ac:dyDescent="0.2">
      <c r="A5592">
        <v>5591</v>
      </c>
      <c r="B5592" s="1">
        <v>40886</v>
      </c>
      <c r="C5592" t="s">
        <v>28</v>
      </c>
      <c r="D5592" s="7">
        <v>147</v>
      </c>
      <c r="E5592" s="7">
        <v>22</v>
      </c>
      <c r="F5592" s="7">
        <f t="shared" si="87"/>
        <v>6</v>
      </c>
      <c r="G5592" s="7" t="str">
        <f>LOOKUP(H5592,[1]startdates!$A$2:$A$10,[1]startdates!$B$2:$B$10)</f>
        <v>FMr</v>
      </c>
      <c r="H5592">
        <v>9</v>
      </c>
      <c r="I5592" s="7">
        <v>643</v>
      </c>
      <c r="N5592" s="7">
        <v>263.60000000000002</v>
      </c>
      <c r="O5592" s="7">
        <v>176.5</v>
      </c>
    </row>
    <row r="5593" spans="1:21" x14ac:dyDescent="0.2">
      <c r="A5593">
        <v>5592</v>
      </c>
      <c r="B5593" s="1">
        <v>40886</v>
      </c>
      <c r="C5593" t="s">
        <v>28</v>
      </c>
      <c r="D5593" s="7">
        <v>147</v>
      </c>
      <c r="E5593" s="7">
        <v>22</v>
      </c>
      <c r="F5593" s="7">
        <f t="shared" si="87"/>
        <v>6</v>
      </c>
      <c r="G5593" s="7" t="str">
        <f>LOOKUP(H5593,[1]startdates!$A$2:$A$10,[1]startdates!$B$2:$B$10)</f>
        <v>FMr</v>
      </c>
      <c r="H5593">
        <v>9</v>
      </c>
      <c r="I5593" s="7">
        <v>614.6</v>
      </c>
    </row>
    <row r="5594" spans="1:21" x14ac:dyDescent="0.2">
      <c r="A5594">
        <v>5593</v>
      </c>
      <c r="B5594" s="1">
        <v>40886</v>
      </c>
      <c r="C5594" t="s">
        <v>28</v>
      </c>
      <c r="D5594" s="7">
        <v>147</v>
      </c>
      <c r="E5594" s="7">
        <v>22</v>
      </c>
      <c r="F5594" s="7">
        <f t="shared" si="87"/>
        <v>6</v>
      </c>
      <c r="G5594" s="7" t="str">
        <f>LOOKUP(H5594,[1]startdates!$A$2:$A$10,[1]startdates!$B$2:$B$10)</f>
        <v>FMr</v>
      </c>
      <c r="H5594">
        <v>9</v>
      </c>
      <c r="I5594" s="7">
        <v>528</v>
      </c>
    </row>
    <row r="5595" spans="1:21" x14ac:dyDescent="0.2">
      <c r="A5595">
        <v>5594</v>
      </c>
      <c r="B5595" s="1">
        <v>40886</v>
      </c>
      <c r="C5595" t="s">
        <v>28</v>
      </c>
      <c r="D5595" s="7">
        <v>147</v>
      </c>
      <c r="E5595" s="7">
        <v>22</v>
      </c>
      <c r="F5595" s="7">
        <f t="shared" si="87"/>
        <v>6</v>
      </c>
      <c r="G5595" s="7" t="str">
        <f>LOOKUP(H5595,[1]startdates!$A$2:$A$10,[1]startdates!$B$2:$B$10)</f>
        <v>FMr</v>
      </c>
      <c r="H5595">
        <v>9</v>
      </c>
      <c r="I5595" s="7">
        <v>572.70000000000005</v>
      </c>
    </row>
    <row r="5596" spans="1:21" x14ac:dyDescent="0.2">
      <c r="A5596">
        <v>5595</v>
      </c>
      <c r="B5596" s="1">
        <v>40890</v>
      </c>
      <c r="C5596" t="s">
        <v>24</v>
      </c>
      <c r="D5596" s="7">
        <v>151</v>
      </c>
      <c r="E5596" s="7">
        <v>23</v>
      </c>
      <c r="F5596" s="7">
        <f t="shared" si="87"/>
        <v>3</v>
      </c>
      <c r="G5596" s="7" t="str">
        <f>LOOKUP(H5596,[1]startdates!$A$2:$A$10,[1]startdates!$B$2:$B$10)</f>
        <v>SMr</v>
      </c>
      <c r="H5596">
        <v>1</v>
      </c>
      <c r="I5596" s="7">
        <v>467.2</v>
      </c>
      <c r="J5596" s="7">
        <v>462.7</v>
      </c>
      <c r="K5596" s="7">
        <v>439.6</v>
      </c>
      <c r="L5596" s="7">
        <v>457.1</v>
      </c>
      <c r="M5596" s="7">
        <v>318.8</v>
      </c>
      <c r="N5596" s="7">
        <v>225.7</v>
      </c>
      <c r="O5596" s="7">
        <v>202.6</v>
      </c>
      <c r="P5596" s="7">
        <v>459</v>
      </c>
      <c r="Q5596" s="7">
        <v>367.2</v>
      </c>
      <c r="R5596" s="7">
        <v>286.5</v>
      </c>
      <c r="U5596" s="7">
        <v>500.1</v>
      </c>
    </row>
    <row r="5597" spans="1:21" x14ac:dyDescent="0.2">
      <c r="A5597">
        <v>5596</v>
      </c>
      <c r="B5597" s="1">
        <v>40890</v>
      </c>
      <c r="C5597" t="s">
        <v>24</v>
      </c>
      <c r="D5597" s="7">
        <v>151</v>
      </c>
      <c r="E5597" s="7">
        <v>23</v>
      </c>
      <c r="F5597" s="7">
        <f t="shared" si="87"/>
        <v>3</v>
      </c>
      <c r="G5597" s="7" t="str">
        <f>LOOKUP(H5597,[1]startdates!$A$2:$A$10,[1]startdates!$B$2:$B$10)</f>
        <v>SMr</v>
      </c>
      <c r="H5597">
        <v>1</v>
      </c>
      <c r="I5597" s="7">
        <v>510.2</v>
      </c>
      <c r="J5597" s="7">
        <v>488.5</v>
      </c>
      <c r="K5597" s="7">
        <v>421.7</v>
      </c>
      <c r="M5597" s="7">
        <v>299</v>
      </c>
      <c r="N5597" s="7">
        <v>156.6</v>
      </c>
      <c r="O5597" s="7">
        <v>176.8</v>
      </c>
      <c r="P5597" s="7">
        <v>451.2</v>
      </c>
      <c r="Q5597" s="7">
        <v>394.1</v>
      </c>
      <c r="R5597" s="7">
        <v>288.3</v>
      </c>
      <c r="U5597" s="7">
        <v>430.2</v>
      </c>
    </row>
    <row r="5598" spans="1:21" x14ac:dyDescent="0.2">
      <c r="A5598">
        <v>5597</v>
      </c>
      <c r="B5598" s="1">
        <v>40890</v>
      </c>
      <c r="C5598" t="s">
        <v>24</v>
      </c>
      <c r="D5598" s="7">
        <v>151</v>
      </c>
      <c r="E5598" s="7">
        <v>23</v>
      </c>
      <c r="F5598" s="7">
        <f t="shared" si="87"/>
        <v>3</v>
      </c>
      <c r="G5598" s="7" t="str">
        <f>LOOKUP(H5598,[1]startdates!$A$2:$A$10,[1]startdates!$B$2:$B$10)</f>
        <v>SMr</v>
      </c>
      <c r="H5598">
        <v>1</v>
      </c>
      <c r="I5598" s="7">
        <v>547.79999999999995</v>
      </c>
      <c r="J5598" s="7">
        <v>468.6</v>
      </c>
      <c r="K5598" s="7">
        <v>426.9</v>
      </c>
      <c r="M5598" s="7">
        <v>395.3</v>
      </c>
      <c r="N5598" s="7">
        <v>179.8</v>
      </c>
      <c r="O5598" s="7">
        <v>189.8</v>
      </c>
      <c r="P5598" s="7">
        <v>452.1</v>
      </c>
      <c r="Q5598" s="7">
        <v>390.3</v>
      </c>
      <c r="U5598" s="7">
        <v>388</v>
      </c>
    </row>
    <row r="5599" spans="1:21" x14ac:dyDescent="0.2">
      <c r="A5599">
        <v>5598</v>
      </c>
      <c r="B5599" s="1">
        <v>40890</v>
      </c>
      <c r="C5599" t="s">
        <v>24</v>
      </c>
      <c r="D5599" s="7">
        <v>151</v>
      </c>
      <c r="E5599" s="7">
        <v>23</v>
      </c>
      <c r="F5599" s="7">
        <f t="shared" si="87"/>
        <v>3</v>
      </c>
      <c r="G5599" s="7" t="str">
        <f>LOOKUP(H5599,[1]startdates!$A$2:$A$10,[1]startdates!$B$2:$B$10)</f>
        <v>SMr</v>
      </c>
      <c r="H5599">
        <v>1</v>
      </c>
      <c r="I5599" s="7">
        <v>572.70000000000005</v>
      </c>
      <c r="J5599" s="7">
        <v>462.6</v>
      </c>
      <c r="M5599" s="7">
        <v>387.4</v>
      </c>
      <c r="N5599" s="7">
        <v>211</v>
      </c>
      <c r="O5599" s="7">
        <v>188.5</v>
      </c>
      <c r="Q5599" s="7">
        <v>344.6</v>
      </c>
    </row>
    <row r="5600" spans="1:21" x14ac:dyDescent="0.2">
      <c r="A5600">
        <v>5599</v>
      </c>
      <c r="B5600" s="1">
        <v>40890</v>
      </c>
      <c r="C5600" t="s">
        <v>24</v>
      </c>
      <c r="D5600" s="7">
        <v>151</v>
      </c>
      <c r="E5600" s="7">
        <v>23</v>
      </c>
      <c r="F5600" s="7">
        <f t="shared" si="87"/>
        <v>3</v>
      </c>
      <c r="G5600" s="7" t="str">
        <f>LOOKUP(H5600,[1]startdates!$A$2:$A$10,[1]startdates!$B$2:$B$10)</f>
        <v>SMr</v>
      </c>
      <c r="H5600">
        <v>1</v>
      </c>
      <c r="I5600" s="7">
        <v>580.5</v>
      </c>
      <c r="N5600" s="7">
        <v>221.5</v>
      </c>
      <c r="O5600" s="7">
        <v>187.8</v>
      </c>
    </row>
    <row r="5601" spans="1:21" x14ac:dyDescent="0.2">
      <c r="A5601">
        <v>5600</v>
      </c>
      <c r="B5601" s="1">
        <v>40890</v>
      </c>
      <c r="C5601" t="s">
        <v>24</v>
      </c>
      <c r="D5601" s="7">
        <v>151</v>
      </c>
      <c r="E5601" s="7">
        <v>23</v>
      </c>
      <c r="F5601" s="7">
        <f t="shared" si="87"/>
        <v>3</v>
      </c>
      <c r="G5601" s="7" t="str">
        <f>LOOKUP(H5601,[1]startdates!$A$2:$A$10,[1]startdates!$B$2:$B$10)</f>
        <v>SMr</v>
      </c>
      <c r="H5601">
        <v>1</v>
      </c>
      <c r="I5601" s="7">
        <v>469.3</v>
      </c>
      <c r="N5601" s="7">
        <v>222.4</v>
      </c>
      <c r="O5601" s="7">
        <v>162.19999999999999</v>
      </c>
    </row>
    <row r="5602" spans="1:21" x14ac:dyDescent="0.2">
      <c r="A5602">
        <v>5601</v>
      </c>
      <c r="B5602" s="1">
        <v>40890</v>
      </c>
      <c r="C5602" t="s">
        <v>24</v>
      </c>
      <c r="D5602" s="7">
        <v>151</v>
      </c>
      <c r="E5602" s="7">
        <v>23</v>
      </c>
      <c r="F5602" s="7">
        <f t="shared" si="87"/>
        <v>3</v>
      </c>
      <c r="G5602" s="7" t="str">
        <f>LOOKUP(H5602,[1]startdates!$A$2:$A$10,[1]startdates!$B$2:$B$10)</f>
        <v>SMr</v>
      </c>
      <c r="H5602">
        <v>1</v>
      </c>
      <c r="I5602" s="7">
        <v>595.79999999999995</v>
      </c>
      <c r="N5602" s="7">
        <v>206.5</v>
      </c>
      <c r="O5602" s="7">
        <v>169.5</v>
      </c>
    </row>
    <row r="5603" spans="1:21" x14ac:dyDescent="0.2">
      <c r="A5603">
        <v>5602</v>
      </c>
      <c r="B5603" s="1">
        <v>40890</v>
      </c>
      <c r="C5603" t="s">
        <v>24</v>
      </c>
      <c r="D5603" s="7">
        <v>151</v>
      </c>
      <c r="E5603" s="7">
        <v>23</v>
      </c>
      <c r="F5603" s="7">
        <f t="shared" si="87"/>
        <v>3</v>
      </c>
      <c r="G5603" s="7" t="str">
        <f>LOOKUP(H5603,[1]startdates!$A$2:$A$10,[1]startdates!$B$2:$B$10)</f>
        <v>SMr</v>
      </c>
      <c r="H5603">
        <v>1</v>
      </c>
      <c r="I5603" s="7">
        <v>626.1</v>
      </c>
      <c r="N5603" s="7">
        <v>209.6</v>
      </c>
    </row>
    <row r="5604" spans="1:21" x14ac:dyDescent="0.2">
      <c r="A5604">
        <v>5603</v>
      </c>
      <c r="B5604" s="1">
        <v>40890</v>
      </c>
      <c r="C5604" t="s">
        <v>24</v>
      </c>
      <c r="D5604" s="7">
        <v>151</v>
      </c>
      <c r="E5604" s="7">
        <v>23</v>
      </c>
      <c r="F5604" s="7">
        <f t="shared" si="87"/>
        <v>3</v>
      </c>
      <c r="G5604" s="7" t="str">
        <f>LOOKUP(H5604,[1]startdates!$A$2:$A$10,[1]startdates!$B$2:$B$10)</f>
        <v>SMr</v>
      </c>
      <c r="H5604">
        <v>1</v>
      </c>
      <c r="N5604" s="7">
        <v>197.9</v>
      </c>
    </row>
    <row r="5605" spans="1:21" x14ac:dyDescent="0.2">
      <c r="A5605">
        <v>5604</v>
      </c>
      <c r="B5605" s="1">
        <v>40890</v>
      </c>
      <c r="C5605" t="s">
        <v>24</v>
      </c>
      <c r="D5605" s="7">
        <v>151</v>
      </c>
      <c r="E5605" s="7">
        <v>23</v>
      </c>
      <c r="F5605" s="7">
        <f t="shared" si="87"/>
        <v>3</v>
      </c>
      <c r="G5605" s="7" t="str">
        <f>LOOKUP(H5605,[1]startdates!$A$2:$A$10,[1]startdates!$B$2:$B$10)</f>
        <v>SMr</v>
      </c>
      <c r="H5605">
        <v>2</v>
      </c>
      <c r="I5605" s="7">
        <v>571</v>
      </c>
      <c r="J5605" s="7">
        <v>517.29999999999995</v>
      </c>
      <c r="K5605" s="7">
        <v>428</v>
      </c>
      <c r="L5605" s="7">
        <v>462.4</v>
      </c>
      <c r="M5605" s="7">
        <v>319.5</v>
      </c>
      <c r="N5605" s="7">
        <v>212.8</v>
      </c>
      <c r="O5605" s="7">
        <v>175.4</v>
      </c>
      <c r="P5605" s="7">
        <v>498.1</v>
      </c>
      <c r="Q5605" s="7">
        <v>352.1</v>
      </c>
      <c r="R5605" s="7">
        <v>268.8</v>
      </c>
      <c r="U5605" s="7">
        <v>474</v>
      </c>
    </row>
    <row r="5606" spans="1:21" x14ac:dyDescent="0.2">
      <c r="A5606">
        <v>5605</v>
      </c>
      <c r="B5606" s="1">
        <v>40890</v>
      </c>
      <c r="C5606" t="s">
        <v>24</v>
      </c>
      <c r="D5606" s="7">
        <v>151</v>
      </c>
      <c r="E5606" s="7">
        <v>23</v>
      </c>
      <c r="F5606" s="7">
        <f t="shared" si="87"/>
        <v>3</v>
      </c>
      <c r="G5606" s="7" t="str">
        <f>LOOKUP(H5606,[1]startdates!$A$2:$A$10,[1]startdates!$B$2:$B$10)</f>
        <v>SMr</v>
      </c>
      <c r="H5606">
        <v>2</v>
      </c>
      <c r="I5606" s="7">
        <v>533.70000000000005</v>
      </c>
      <c r="K5606" s="7">
        <v>433.1</v>
      </c>
      <c r="L5606" s="7">
        <v>439.7</v>
      </c>
      <c r="M5606" s="7">
        <v>385.4</v>
      </c>
      <c r="N5606" s="7">
        <v>232.9</v>
      </c>
      <c r="O5606" s="7">
        <v>180.6</v>
      </c>
      <c r="Q5606" s="7">
        <v>380.1</v>
      </c>
      <c r="R5606" s="7">
        <v>291.10000000000002</v>
      </c>
      <c r="U5606" s="7">
        <v>471.8</v>
      </c>
    </row>
    <row r="5607" spans="1:21" x14ac:dyDescent="0.2">
      <c r="A5607">
        <v>5606</v>
      </c>
      <c r="B5607" s="1">
        <v>40890</v>
      </c>
      <c r="C5607" t="s">
        <v>24</v>
      </c>
      <c r="D5607" s="7">
        <v>151</v>
      </c>
      <c r="E5607" s="7">
        <v>23</v>
      </c>
      <c r="F5607" s="7">
        <f t="shared" si="87"/>
        <v>3</v>
      </c>
      <c r="G5607" s="7" t="str">
        <f>LOOKUP(H5607,[1]startdates!$A$2:$A$10,[1]startdates!$B$2:$B$10)</f>
        <v>SMr</v>
      </c>
      <c r="H5607">
        <v>2</v>
      </c>
      <c r="I5607" s="7">
        <v>636.79999999999995</v>
      </c>
      <c r="K5607" s="7">
        <v>455.8</v>
      </c>
      <c r="L5607" s="7">
        <v>351.8</v>
      </c>
      <c r="M5607" s="7">
        <v>354.6</v>
      </c>
      <c r="N5607" s="7">
        <v>265.39999999999998</v>
      </c>
      <c r="O5607" s="7">
        <v>195.1</v>
      </c>
      <c r="R5607" s="7">
        <v>238</v>
      </c>
      <c r="U5607" s="7">
        <v>479.7</v>
      </c>
    </row>
    <row r="5608" spans="1:21" x14ac:dyDescent="0.2">
      <c r="A5608">
        <v>5607</v>
      </c>
      <c r="B5608" s="1">
        <v>40890</v>
      </c>
      <c r="C5608" t="s">
        <v>24</v>
      </c>
      <c r="D5608" s="7">
        <v>151</v>
      </c>
      <c r="E5608" s="7">
        <v>23</v>
      </c>
      <c r="F5608" s="7">
        <f t="shared" si="87"/>
        <v>3</v>
      </c>
      <c r="G5608" s="7" t="str">
        <f>LOOKUP(H5608,[1]startdates!$A$2:$A$10,[1]startdates!$B$2:$B$10)</f>
        <v>SMr</v>
      </c>
      <c r="H5608">
        <v>2</v>
      </c>
      <c r="I5608" s="7">
        <v>619.6</v>
      </c>
      <c r="K5608" s="7">
        <v>420.8</v>
      </c>
      <c r="M5608" s="7">
        <v>335.1</v>
      </c>
      <c r="N5608" s="7">
        <v>187.9</v>
      </c>
      <c r="O5608" s="7">
        <v>152.1</v>
      </c>
      <c r="R5608" s="7">
        <v>287.2</v>
      </c>
      <c r="U5608" s="7">
        <v>472.8</v>
      </c>
    </row>
    <row r="5609" spans="1:21" x14ac:dyDescent="0.2">
      <c r="A5609">
        <v>5608</v>
      </c>
      <c r="B5609" s="1">
        <v>40890</v>
      </c>
      <c r="C5609" t="s">
        <v>24</v>
      </c>
      <c r="D5609" s="7">
        <v>151</v>
      </c>
      <c r="E5609" s="7">
        <v>23</v>
      </c>
      <c r="F5609" s="7">
        <f t="shared" ref="F5609:F5672" si="88">WEEKDAY(B5609)</f>
        <v>3</v>
      </c>
      <c r="G5609" s="7" t="str">
        <f>LOOKUP(H5609,[1]startdates!$A$2:$A$10,[1]startdates!$B$2:$B$10)</f>
        <v>SMr</v>
      </c>
      <c r="H5609">
        <v>2</v>
      </c>
      <c r="I5609" s="7">
        <v>600.29999999999995</v>
      </c>
      <c r="M5609" s="7">
        <v>328.4</v>
      </c>
      <c r="N5609" s="7">
        <v>190.1</v>
      </c>
      <c r="O5609" s="7">
        <v>153.80000000000001</v>
      </c>
    </row>
    <row r="5610" spans="1:21" x14ac:dyDescent="0.2">
      <c r="A5610">
        <v>5609</v>
      </c>
      <c r="B5610" s="1">
        <v>40890</v>
      </c>
      <c r="C5610" t="s">
        <v>24</v>
      </c>
      <c r="D5610" s="7">
        <v>151</v>
      </c>
      <c r="E5610" s="7">
        <v>23</v>
      </c>
      <c r="F5610" s="7">
        <f t="shared" si="88"/>
        <v>3</v>
      </c>
      <c r="G5610" s="7" t="str">
        <f>LOOKUP(H5610,[1]startdates!$A$2:$A$10,[1]startdates!$B$2:$B$10)</f>
        <v>SMr</v>
      </c>
      <c r="H5610">
        <v>2</v>
      </c>
      <c r="I5610" s="7">
        <v>519.5</v>
      </c>
      <c r="M5610" s="7">
        <v>331.6</v>
      </c>
      <c r="N5610" s="7">
        <v>206.2</v>
      </c>
      <c r="O5610" s="7">
        <v>146.19999999999999</v>
      </c>
    </row>
    <row r="5611" spans="1:21" x14ac:dyDescent="0.2">
      <c r="A5611">
        <v>5610</v>
      </c>
      <c r="B5611" s="1">
        <v>40890</v>
      </c>
      <c r="C5611" t="s">
        <v>24</v>
      </c>
      <c r="D5611" s="7">
        <v>151</v>
      </c>
      <c r="E5611" s="7">
        <v>23</v>
      </c>
      <c r="F5611" s="7">
        <f t="shared" si="88"/>
        <v>3</v>
      </c>
      <c r="G5611" s="7" t="str">
        <f>LOOKUP(H5611,[1]startdates!$A$2:$A$10,[1]startdates!$B$2:$B$10)</f>
        <v>SMr</v>
      </c>
      <c r="H5611">
        <v>2</v>
      </c>
      <c r="I5611" s="7">
        <v>525.6</v>
      </c>
      <c r="N5611" s="7">
        <v>178.2</v>
      </c>
      <c r="O5611" s="7">
        <v>177.7</v>
      </c>
    </row>
    <row r="5612" spans="1:21" x14ac:dyDescent="0.2">
      <c r="A5612">
        <v>5611</v>
      </c>
      <c r="B5612" s="1">
        <v>40890</v>
      </c>
      <c r="C5612" t="s">
        <v>24</v>
      </c>
      <c r="D5612" s="7">
        <v>151</v>
      </c>
      <c r="E5612" s="7">
        <v>23</v>
      </c>
      <c r="F5612" s="7">
        <f t="shared" si="88"/>
        <v>3</v>
      </c>
      <c r="G5612" s="7" t="str">
        <f>LOOKUP(H5612,[1]startdates!$A$2:$A$10,[1]startdates!$B$2:$B$10)</f>
        <v>SMr</v>
      </c>
      <c r="H5612">
        <v>2</v>
      </c>
      <c r="I5612" s="7">
        <v>634.79999999999995</v>
      </c>
      <c r="N5612" s="7">
        <v>225.8</v>
      </c>
      <c r="O5612" s="7">
        <v>171.7</v>
      </c>
    </row>
    <row r="5613" spans="1:21" x14ac:dyDescent="0.2">
      <c r="A5613">
        <v>5612</v>
      </c>
      <c r="B5613" s="1">
        <v>40890</v>
      </c>
      <c r="C5613" t="s">
        <v>24</v>
      </c>
      <c r="D5613" s="7">
        <v>151</v>
      </c>
      <c r="E5613" s="7">
        <v>23</v>
      </c>
      <c r="F5613" s="7">
        <f t="shared" si="88"/>
        <v>3</v>
      </c>
      <c r="G5613" s="7" t="str">
        <f>LOOKUP(H5613,[1]startdates!$A$2:$A$10,[1]startdates!$B$2:$B$10)</f>
        <v>SMr</v>
      </c>
      <c r="H5613">
        <v>2</v>
      </c>
      <c r="I5613" s="7">
        <v>591.29999999999995</v>
      </c>
      <c r="N5613" s="7">
        <v>222.4</v>
      </c>
      <c r="O5613" s="7">
        <v>174.9</v>
      </c>
    </row>
    <row r="5614" spans="1:21" x14ac:dyDescent="0.2">
      <c r="A5614">
        <v>5613</v>
      </c>
      <c r="B5614" s="1">
        <v>40890</v>
      </c>
      <c r="C5614" t="s">
        <v>24</v>
      </c>
      <c r="D5614" s="7">
        <v>151</v>
      </c>
      <c r="E5614" s="7">
        <v>23</v>
      </c>
      <c r="F5614" s="7">
        <f t="shared" si="88"/>
        <v>3</v>
      </c>
      <c r="G5614" s="7" t="str">
        <f>LOOKUP(H5614,[1]startdates!$A$2:$A$10,[1]startdates!$B$2:$B$10)</f>
        <v>SMr</v>
      </c>
      <c r="H5614">
        <v>2</v>
      </c>
      <c r="I5614" s="7">
        <v>654.4</v>
      </c>
      <c r="N5614" s="7">
        <v>222</v>
      </c>
      <c r="O5614" s="7">
        <v>173.1</v>
      </c>
    </row>
    <row r="5615" spans="1:21" x14ac:dyDescent="0.2">
      <c r="A5615">
        <v>5614</v>
      </c>
      <c r="B5615" s="1">
        <v>40890</v>
      </c>
      <c r="C5615" t="s">
        <v>24</v>
      </c>
      <c r="D5615" s="7">
        <v>151</v>
      </c>
      <c r="E5615" s="7">
        <v>23</v>
      </c>
      <c r="F5615" s="7">
        <f t="shared" si="88"/>
        <v>3</v>
      </c>
      <c r="G5615" s="7" t="str">
        <f>LOOKUP(H5615,[1]startdates!$A$2:$A$10,[1]startdates!$B$2:$B$10)</f>
        <v>SMr</v>
      </c>
      <c r="H5615">
        <v>2</v>
      </c>
      <c r="I5615" s="7">
        <v>592.9</v>
      </c>
      <c r="N5615" s="7">
        <v>249.5</v>
      </c>
    </row>
    <row r="5616" spans="1:21" x14ac:dyDescent="0.2">
      <c r="A5616">
        <v>5615</v>
      </c>
      <c r="B5616" s="1">
        <v>40890</v>
      </c>
      <c r="C5616" t="s">
        <v>28</v>
      </c>
      <c r="D5616" s="7">
        <v>151</v>
      </c>
      <c r="E5616" s="7">
        <v>23</v>
      </c>
      <c r="F5616" s="7">
        <f t="shared" si="88"/>
        <v>3</v>
      </c>
      <c r="G5616" s="7" t="str">
        <f>LOOKUP(H5616,[1]startdates!$A$2:$A$10,[1]startdates!$B$2:$B$10)</f>
        <v>C</v>
      </c>
      <c r="H5616">
        <v>3</v>
      </c>
      <c r="I5616" s="7">
        <v>537.6</v>
      </c>
      <c r="K5616" s="7">
        <v>543</v>
      </c>
      <c r="L5616" s="7">
        <v>449.8</v>
      </c>
      <c r="M5616" s="7">
        <v>314.8</v>
      </c>
      <c r="N5616" s="7">
        <v>224.1</v>
      </c>
      <c r="O5616" s="7">
        <v>146.6</v>
      </c>
      <c r="P5616" s="7">
        <v>458.2</v>
      </c>
      <c r="Q5616" s="7">
        <v>319.7</v>
      </c>
      <c r="R5616" s="7">
        <v>283.10000000000002</v>
      </c>
    </row>
    <row r="5617" spans="1:21" x14ac:dyDescent="0.2">
      <c r="A5617">
        <v>5616</v>
      </c>
      <c r="B5617" s="1">
        <v>40890</v>
      </c>
      <c r="C5617" t="s">
        <v>28</v>
      </c>
      <c r="D5617" s="7">
        <v>151</v>
      </c>
      <c r="E5617" s="7">
        <v>23</v>
      </c>
      <c r="F5617" s="7">
        <f t="shared" si="88"/>
        <v>3</v>
      </c>
      <c r="G5617" s="7" t="str">
        <f>LOOKUP(H5617,[1]startdates!$A$2:$A$10,[1]startdates!$B$2:$B$10)</f>
        <v>C</v>
      </c>
      <c r="H5617">
        <v>3</v>
      </c>
      <c r="I5617" s="7">
        <v>553.1</v>
      </c>
      <c r="K5617" s="7">
        <v>475.9</v>
      </c>
      <c r="L5617" s="7">
        <v>437.5</v>
      </c>
      <c r="M5617" s="7">
        <v>297.5</v>
      </c>
      <c r="N5617" s="7">
        <v>209.6</v>
      </c>
      <c r="O5617" s="7">
        <v>173.5</v>
      </c>
      <c r="P5617" s="7">
        <v>443.1</v>
      </c>
      <c r="Q5617" s="7">
        <v>307</v>
      </c>
      <c r="R5617" s="7">
        <v>244.8</v>
      </c>
    </row>
    <row r="5618" spans="1:21" x14ac:dyDescent="0.2">
      <c r="A5618">
        <v>5617</v>
      </c>
      <c r="B5618" s="1">
        <v>40890</v>
      </c>
      <c r="C5618" t="s">
        <v>28</v>
      </c>
      <c r="D5618" s="7">
        <v>151</v>
      </c>
      <c r="E5618" s="7">
        <v>23</v>
      </c>
      <c r="F5618" s="7">
        <f t="shared" si="88"/>
        <v>3</v>
      </c>
      <c r="G5618" s="7" t="str">
        <f>LOOKUP(H5618,[1]startdates!$A$2:$A$10,[1]startdates!$B$2:$B$10)</f>
        <v>C</v>
      </c>
      <c r="H5618">
        <v>3</v>
      </c>
      <c r="I5618" s="7">
        <v>547.29999999999995</v>
      </c>
      <c r="K5618" s="7">
        <v>500.7</v>
      </c>
      <c r="L5618" s="7">
        <v>400.4</v>
      </c>
      <c r="M5618" s="7">
        <v>375.1</v>
      </c>
      <c r="N5618" s="7">
        <v>233.1</v>
      </c>
      <c r="O5618" s="7">
        <v>166</v>
      </c>
      <c r="P5618" s="7">
        <v>402</v>
      </c>
    </row>
    <row r="5619" spans="1:21" x14ac:dyDescent="0.2">
      <c r="A5619">
        <v>5618</v>
      </c>
      <c r="B5619" s="1">
        <v>40890</v>
      </c>
      <c r="C5619" t="s">
        <v>28</v>
      </c>
      <c r="D5619" s="7">
        <v>151</v>
      </c>
      <c r="E5619" s="7">
        <v>23</v>
      </c>
      <c r="F5619" s="7">
        <f t="shared" si="88"/>
        <v>3</v>
      </c>
      <c r="G5619" s="7" t="str">
        <f>LOOKUP(H5619,[1]startdates!$A$2:$A$10,[1]startdates!$B$2:$B$10)</f>
        <v>C</v>
      </c>
      <c r="H5619">
        <v>3</v>
      </c>
      <c r="I5619" s="7">
        <v>511.2</v>
      </c>
      <c r="K5619" s="7">
        <v>503.3</v>
      </c>
      <c r="L5619" s="7">
        <v>459.4</v>
      </c>
      <c r="M5619" s="7">
        <v>316.3</v>
      </c>
      <c r="N5619" s="7">
        <v>250.5</v>
      </c>
      <c r="O5619" s="7">
        <v>166.5</v>
      </c>
      <c r="P5619" s="7">
        <v>431.4</v>
      </c>
    </row>
    <row r="5620" spans="1:21" x14ac:dyDescent="0.2">
      <c r="A5620">
        <v>5619</v>
      </c>
      <c r="B5620" s="1">
        <v>40890</v>
      </c>
      <c r="C5620" t="s">
        <v>28</v>
      </c>
      <c r="D5620" s="7">
        <v>151</v>
      </c>
      <c r="E5620" s="7">
        <v>23</v>
      </c>
      <c r="F5620" s="7">
        <f t="shared" si="88"/>
        <v>3</v>
      </c>
      <c r="G5620" s="7" t="str">
        <f>LOOKUP(H5620,[1]startdates!$A$2:$A$10,[1]startdates!$B$2:$B$10)</f>
        <v>C</v>
      </c>
      <c r="H5620">
        <v>3</v>
      </c>
      <c r="I5620" s="7">
        <v>529.79999999999995</v>
      </c>
      <c r="K5620" s="7">
        <v>571.9</v>
      </c>
      <c r="L5620" s="7">
        <v>423.8</v>
      </c>
      <c r="M5620" s="7">
        <v>289.89999999999998</v>
      </c>
      <c r="N5620" s="7">
        <v>188.7</v>
      </c>
      <c r="O5620" s="7">
        <v>165.8</v>
      </c>
    </row>
    <row r="5621" spans="1:21" x14ac:dyDescent="0.2">
      <c r="A5621">
        <v>5620</v>
      </c>
      <c r="B5621" s="1">
        <v>40890</v>
      </c>
      <c r="C5621" t="s">
        <v>28</v>
      </c>
      <c r="D5621" s="7">
        <v>151</v>
      </c>
      <c r="E5621" s="7">
        <v>23</v>
      </c>
      <c r="F5621" s="7">
        <f t="shared" si="88"/>
        <v>3</v>
      </c>
      <c r="G5621" s="7" t="str">
        <f>LOOKUP(H5621,[1]startdates!$A$2:$A$10,[1]startdates!$B$2:$B$10)</f>
        <v>C</v>
      </c>
      <c r="H5621">
        <v>3</v>
      </c>
      <c r="I5621" s="7">
        <v>477.9</v>
      </c>
      <c r="K5621" s="7">
        <v>575.4</v>
      </c>
      <c r="L5621" s="7">
        <v>409.9</v>
      </c>
      <c r="M5621" s="7">
        <v>369.7</v>
      </c>
      <c r="N5621" s="7">
        <v>181.3</v>
      </c>
      <c r="O5621" s="7">
        <v>161.69999999999999</v>
      </c>
    </row>
    <row r="5622" spans="1:21" x14ac:dyDescent="0.2">
      <c r="A5622">
        <v>5621</v>
      </c>
      <c r="B5622" s="1">
        <v>40890</v>
      </c>
      <c r="C5622" t="s">
        <v>28</v>
      </c>
      <c r="D5622" s="7">
        <v>151</v>
      </c>
      <c r="E5622" s="7">
        <v>23</v>
      </c>
      <c r="F5622" s="7">
        <f t="shared" si="88"/>
        <v>3</v>
      </c>
      <c r="G5622" s="7" t="str">
        <f>LOOKUP(H5622,[1]startdates!$A$2:$A$10,[1]startdates!$B$2:$B$10)</f>
        <v>C</v>
      </c>
      <c r="H5622">
        <v>3</v>
      </c>
      <c r="I5622" s="7">
        <v>534.20000000000005</v>
      </c>
      <c r="K5622" s="7">
        <v>542.79999999999995</v>
      </c>
      <c r="L5622" s="7">
        <v>408.6</v>
      </c>
      <c r="M5622" s="7">
        <v>319</v>
      </c>
      <c r="N5622" s="7">
        <v>207</v>
      </c>
      <c r="O5622" s="7">
        <v>176.2</v>
      </c>
    </row>
    <row r="5623" spans="1:21" x14ac:dyDescent="0.2">
      <c r="A5623">
        <v>5622</v>
      </c>
      <c r="B5623" s="1">
        <v>40890</v>
      </c>
      <c r="C5623" t="s">
        <v>28</v>
      </c>
      <c r="D5623" s="7">
        <v>151</v>
      </c>
      <c r="E5623" s="7">
        <v>23</v>
      </c>
      <c r="F5623" s="7">
        <f t="shared" si="88"/>
        <v>3</v>
      </c>
      <c r="G5623" s="7" t="str">
        <f>LOOKUP(H5623,[1]startdates!$A$2:$A$10,[1]startdates!$B$2:$B$10)</f>
        <v>C</v>
      </c>
      <c r="H5623">
        <v>3</v>
      </c>
      <c r="I5623" s="7">
        <v>555.9</v>
      </c>
      <c r="M5623" s="7">
        <v>340.3</v>
      </c>
      <c r="N5623" s="7">
        <v>231.2</v>
      </c>
      <c r="O5623" s="7">
        <v>172.1</v>
      </c>
    </row>
    <row r="5624" spans="1:21" x14ac:dyDescent="0.2">
      <c r="A5624">
        <v>5623</v>
      </c>
      <c r="B5624" s="1">
        <v>40890</v>
      </c>
      <c r="C5624" t="s">
        <v>28</v>
      </c>
      <c r="D5624" s="7">
        <v>151</v>
      </c>
      <c r="E5624" s="7">
        <v>23</v>
      </c>
      <c r="F5624" s="7">
        <f t="shared" si="88"/>
        <v>3</v>
      </c>
      <c r="G5624" s="7" t="str">
        <f>LOOKUP(H5624,[1]startdates!$A$2:$A$10,[1]startdates!$B$2:$B$10)</f>
        <v>C</v>
      </c>
      <c r="H5624">
        <v>3</v>
      </c>
      <c r="I5624" s="7">
        <v>589.79999999999995</v>
      </c>
      <c r="M5624" s="7">
        <v>328.1</v>
      </c>
      <c r="N5624" s="7">
        <v>242.2</v>
      </c>
      <c r="O5624" s="7">
        <v>173.1</v>
      </c>
    </row>
    <row r="5625" spans="1:21" x14ac:dyDescent="0.2">
      <c r="A5625">
        <v>5624</v>
      </c>
      <c r="B5625" s="1">
        <v>40890</v>
      </c>
      <c r="C5625" t="s">
        <v>28</v>
      </c>
      <c r="D5625" s="7">
        <v>151</v>
      </c>
      <c r="E5625" s="7">
        <v>23</v>
      </c>
      <c r="F5625" s="7">
        <f t="shared" si="88"/>
        <v>3</v>
      </c>
      <c r="G5625" s="7" t="str">
        <f>LOOKUP(H5625,[1]startdates!$A$2:$A$10,[1]startdates!$B$2:$B$10)</f>
        <v>C</v>
      </c>
      <c r="H5625">
        <v>3</v>
      </c>
      <c r="I5625" s="7">
        <v>627.4</v>
      </c>
      <c r="M5625" s="7">
        <v>339.4</v>
      </c>
      <c r="N5625" s="7">
        <v>258.5</v>
      </c>
      <c r="O5625" s="7">
        <v>156.80000000000001</v>
      </c>
    </row>
    <row r="5626" spans="1:21" x14ac:dyDescent="0.2">
      <c r="A5626">
        <v>5625</v>
      </c>
      <c r="B5626" s="1">
        <v>40890</v>
      </c>
      <c r="C5626" t="s">
        <v>28</v>
      </c>
      <c r="D5626" s="7">
        <v>151</v>
      </c>
      <c r="E5626" s="7">
        <v>23</v>
      </c>
      <c r="F5626" s="7">
        <f t="shared" si="88"/>
        <v>3</v>
      </c>
      <c r="G5626" s="7" t="str">
        <f>LOOKUP(H5626,[1]startdates!$A$2:$A$10,[1]startdates!$B$2:$B$10)</f>
        <v>C</v>
      </c>
      <c r="H5626">
        <v>3</v>
      </c>
      <c r="I5626" s="7">
        <v>604.5</v>
      </c>
    </row>
    <row r="5627" spans="1:21" x14ac:dyDescent="0.2">
      <c r="A5627">
        <v>5626</v>
      </c>
      <c r="B5627" s="1">
        <v>40890</v>
      </c>
      <c r="C5627" t="s">
        <v>28</v>
      </c>
      <c r="D5627" s="7">
        <v>151</v>
      </c>
      <c r="E5627" s="7">
        <v>23</v>
      </c>
      <c r="F5627" s="7">
        <f t="shared" si="88"/>
        <v>3</v>
      </c>
      <c r="G5627" s="7" t="str">
        <f>LOOKUP(H5627,[1]startdates!$A$2:$A$10,[1]startdates!$B$2:$B$10)</f>
        <v>C</v>
      </c>
      <c r="H5627">
        <v>3</v>
      </c>
      <c r="I5627" s="7">
        <v>646.79999999999995</v>
      </c>
    </row>
    <row r="5628" spans="1:21" x14ac:dyDescent="0.2">
      <c r="A5628">
        <v>5627</v>
      </c>
      <c r="B5628" s="1">
        <v>40890</v>
      </c>
      <c r="C5628" t="s">
        <v>28</v>
      </c>
      <c r="D5628" s="7">
        <v>151</v>
      </c>
      <c r="E5628" s="7">
        <v>23</v>
      </c>
      <c r="F5628" s="7">
        <f t="shared" si="88"/>
        <v>3</v>
      </c>
      <c r="G5628" s="7" t="str">
        <f>LOOKUP(H5628,[1]startdates!$A$2:$A$10,[1]startdates!$B$2:$B$10)</f>
        <v>SMr</v>
      </c>
      <c r="H5628">
        <v>4</v>
      </c>
      <c r="I5628" s="7">
        <v>506.7</v>
      </c>
      <c r="K5628" s="7">
        <v>511.1</v>
      </c>
      <c r="L5628" s="7">
        <v>415.3</v>
      </c>
      <c r="M5628" s="7">
        <v>358.9</v>
      </c>
      <c r="N5628" s="7">
        <v>216.1</v>
      </c>
      <c r="O5628" s="7">
        <v>155</v>
      </c>
      <c r="P5628" s="7">
        <v>445.8</v>
      </c>
      <c r="Q5628" s="7">
        <v>305.10000000000002</v>
      </c>
      <c r="S5628" s="7">
        <v>253.9</v>
      </c>
      <c r="U5628" s="7">
        <v>456.9</v>
      </c>
    </row>
    <row r="5629" spans="1:21" x14ac:dyDescent="0.2">
      <c r="A5629">
        <v>5628</v>
      </c>
      <c r="B5629" s="1">
        <v>40890</v>
      </c>
      <c r="C5629" t="s">
        <v>28</v>
      </c>
      <c r="D5629" s="7">
        <v>151</v>
      </c>
      <c r="E5629" s="7">
        <v>23</v>
      </c>
      <c r="F5629" s="7">
        <f t="shared" si="88"/>
        <v>3</v>
      </c>
      <c r="G5629" s="7" t="str">
        <f>LOOKUP(H5629,[1]startdates!$A$2:$A$10,[1]startdates!$B$2:$B$10)</f>
        <v>SMr</v>
      </c>
      <c r="H5629">
        <v>4</v>
      </c>
      <c r="I5629" s="7">
        <v>512.20000000000005</v>
      </c>
      <c r="K5629" s="7">
        <v>485.7</v>
      </c>
      <c r="L5629" s="7">
        <v>404.4</v>
      </c>
      <c r="M5629" s="7">
        <v>367.2</v>
      </c>
      <c r="N5629" s="7">
        <v>244.9</v>
      </c>
      <c r="O5629" s="7">
        <v>160.5</v>
      </c>
      <c r="P5629" s="7">
        <v>409.4</v>
      </c>
      <c r="Q5629" s="7">
        <v>322.5</v>
      </c>
      <c r="U5629" s="7">
        <v>523</v>
      </c>
    </row>
    <row r="5630" spans="1:21" x14ac:dyDescent="0.2">
      <c r="A5630">
        <v>5629</v>
      </c>
      <c r="B5630" s="1">
        <v>40890</v>
      </c>
      <c r="C5630" t="s">
        <v>28</v>
      </c>
      <c r="D5630" s="7">
        <v>151</v>
      </c>
      <c r="E5630" s="7">
        <v>23</v>
      </c>
      <c r="F5630" s="7">
        <f t="shared" si="88"/>
        <v>3</v>
      </c>
      <c r="G5630" s="7" t="str">
        <f>LOOKUP(H5630,[1]startdates!$A$2:$A$10,[1]startdates!$B$2:$B$10)</f>
        <v>SMr</v>
      </c>
      <c r="H5630">
        <v>4</v>
      </c>
      <c r="I5630" s="7">
        <v>465.4</v>
      </c>
      <c r="K5630" s="7">
        <v>580.6</v>
      </c>
      <c r="L5630" s="7">
        <v>465.5</v>
      </c>
      <c r="M5630" s="7">
        <v>320.5</v>
      </c>
      <c r="N5630" s="7">
        <v>180.7</v>
      </c>
      <c r="O5630" s="7">
        <v>155</v>
      </c>
      <c r="P5630" s="7">
        <v>402.5</v>
      </c>
      <c r="Q5630" s="7">
        <v>337.6</v>
      </c>
      <c r="U5630" s="7">
        <v>469.3</v>
      </c>
    </row>
    <row r="5631" spans="1:21" x14ac:dyDescent="0.2">
      <c r="A5631">
        <v>5630</v>
      </c>
      <c r="B5631" s="1">
        <v>40890</v>
      </c>
      <c r="C5631" t="s">
        <v>28</v>
      </c>
      <c r="D5631" s="7">
        <v>151</v>
      </c>
      <c r="E5631" s="7">
        <v>23</v>
      </c>
      <c r="F5631" s="7">
        <f t="shared" si="88"/>
        <v>3</v>
      </c>
      <c r="G5631" s="7" t="str">
        <f>LOOKUP(H5631,[1]startdates!$A$2:$A$10,[1]startdates!$B$2:$B$10)</f>
        <v>SMr</v>
      </c>
      <c r="H5631">
        <v>4</v>
      </c>
      <c r="I5631" s="7">
        <v>645.70000000000005</v>
      </c>
      <c r="K5631" s="7">
        <v>558.20000000000005</v>
      </c>
      <c r="L5631" s="7">
        <v>399.3</v>
      </c>
      <c r="M5631" s="7">
        <v>320.3</v>
      </c>
      <c r="N5631" s="7">
        <v>208.4</v>
      </c>
      <c r="O5631" s="7">
        <v>160.5</v>
      </c>
      <c r="P5631" s="7">
        <v>397.4</v>
      </c>
      <c r="Q5631" s="7">
        <v>328.4</v>
      </c>
      <c r="U5631" s="7">
        <v>459.9</v>
      </c>
    </row>
    <row r="5632" spans="1:21" x14ac:dyDescent="0.2">
      <c r="A5632">
        <v>5631</v>
      </c>
      <c r="B5632" s="1">
        <v>40890</v>
      </c>
      <c r="C5632" t="s">
        <v>28</v>
      </c>
      <c r="D5632" s="7">
        <v>151</v>
      </c>
      <c r="E5632" s="7">
        <v>23</v>
      </c>
      <c r="F5632" s="7">
        <f t="shared" si="88"/>
        <v>3</v>
      </c>
      <c r="G5632" s="7" t="str">
        <f>LOOKUP(H5632,[1]startdates!$A$2:$A$10,[1]startdates!$B$2:$B$10)</f>
        <v>SMr</v>
      </c>
      <c r="H5632">
        <v>4</v>
      </c>
      <c r="I5632" s="7">
        <v>507.6</v>
      </c>
      <c r="M5632" s="7">
        <v>358.9</v>
      </c>
      <c r="N5632" s="7">
        <v>228.6</v>
      </c>
      <c r="O5632" s="7">
        <v>150.4</v>
      </c>
      <c r="P5632" s="7">
        <v>383.3</v>
      </c>
    </row>
    <row r="5633" spans="1:18" x14ac:dyDescent="0.2">
      <c r="A5633">
        <v>5632</v>
      </c>
      <c r="B5633" s="1">
        <v>40890</v>
      </c>
      <c r="C5633" t="s">
        <v>28</v>
      </c>
      <c r="D5633" s="7">
        <v>151</v>
      </c>
      <c r="E5633" s="7">
        <v>23</v>
      </c>
      <c r="F5633" s="7">
        <f t="shared" si="88"/>
        <v>3</v>
      </c>
      <c r="G5633" s="7" t="str">
        <f>LOOKUP(H5633,[1]startdates!$A$2:$A$10,[1]startdates!$B$2:$B$10)</f>
        <v>SMr</v>
      </c>
      <c r="H5633">
        <v>4</v>
      </c>
      <c r="I5633" s="7">
        <v>574.29999999999995</v>
      </c>
      <c r="M5633" s="7">
        <v>343</v>
      </c>
      <c r="N5633" s="7">
        <v>242.2</v>
      </c>
      <c r="O5633" s="7">
        <v>142.30000000000001</v>
      </c>
    </row>
    <row r="5634" spans="1:18" x14ac:dyDescent="0.2">
      <c r="A5634">
        <v>5633</v>
      </c>
      <c r="B5634" s="1">
        <v>40890</v>
      </c>
      <c r="C5634" t="s">
        <v>28</v>
      </c>
      <c r="D5634" s="7">
        <v>151</v>
      </c>
      <c r="E5634" s="7">
        <v>23</v>
      </c>
      <c r="F5634" s="7">
        <f t="shared" si="88"/>
        <v>3</v>
      </c>
      <c r="G5634" s="7" t="str">
        <f>LOOKUP(H5634,[1]startdates!$A$2:$A$10,[1]startdates!$B$2:$B$10)</f>
        <v>SMr</v>
      </c>
      <c r="H5634">
        <v>4</v>
      </c>
      <c r="I5634" s="7">
        <v>525.70000000000005</v>
      </c>
      <c r="M5634" s="7">
        <v>287.5</v>
      </c>
      <c r="N5634" s="7">
        <v>238.7</v>
      </c>
      <c r="O5634" s="7">
        <v>162.4</v>
      </c>
    </row>
    <row r="5635" spans="1:18" x14ac:dyDescent="0.2">
      <c r="A5635">
        <v>5634</v>
      </c>
      <c r="B5635" s="1">
        <v>40890</v>
      </c>
      <c r="C5635" t="s">
        <v>28</v>
      </c>
      <c r="D5635" s="7">
        <v>151</v>
      </c>
      <c r="E5635" s="7">
        <v>23</v>
      </c>
      <c r="F5635" s="7">
        <f t="shared" si="88"/>
        <v>3</v>
      </c>
      <c r="G5635" s="7" t="str">
        <f>LOOKUP(H5635,[1]startdates!$A$2:$A$10,[1]startdates!$B$2:$B$10)</f>
        <v>SMr</v>
      </c>
      <c r="H5635">
        <v>4</v>
      </c>
      <c r="I5635" s="7">
        <v>633.4</v>
      </c>
      <c r="M5635" s="7">
        <v>389.4</v>
      </c>
      <c r="N5635" s="7">
        <v>194.3</v>
      </c>
      <c r="O5635" s="7">
        <v>165.5</v>
      </c>
    </row>
    <row r="5636" spans="1:18" x14ac:dyDescent="0.2">
      <c r="A5636">
        <v>5635</v>
      </c>
      <c r="B5636" s="1">
        <v>40890</v>
      </c>
      <c r="C5636" t="s">
        <v>28</v>
      </c>
      <c r="D5636" s="7">
        <v>151</v>
      </c>
      <c r="E5636" s="7">
        <v>23</v>
      </c>
      <c r="F5636" s="7">
        <f t="shared" si="88"/>
        <v>3</v>
      </c>
      <c r="G5636" s="7" t="str">
        <f>LOOKUP(H5636,[1]startdates!$A$2:$A$10,[1]startdates!$B$2:$B$10)</f>
        <v>SMr</v>
      </c>
      <c r="H5636">
        <v>4</v>
      </c>
      <c r="I5636" s="7">
        <v>629</v>
      </c>
      <c r="M5636" s="7">
        <v>354.2</v>
      </c>
      <c r="N5636" s="7">
        <v>227.7</v>
      </c>
      <c r="O5636" s="7">
        <v>151.80000000000001</v>
      </c>
    </row>
    <row r="5637" spans="1:18" x14ac:dyDescent="0.2">
      <c r="A5637">
        <v>5636</v>
      </c>
      <c r="B5637" s="1">
        <v>40890</v>
      </c>
      <c r="C5637" t="s">
        <v>28</v>
      </c>
      <c r="D5637" s="7">
        <v>151</v>
      </c>
      <c r="E5637" s="7">
        <v>23</v>
      </c>
      <c r="F5637" s="7">
        <f t="shared" si="88"/>
        <v>3</v>
      </c>
      <c r="G5637" s="7" t="str">
        <f>LOOKUP(H5637,[1]startdates!$A$2:$A$10,[1]startdates!$B$2:$B$10)</f>
        <v>SMr</v>
      </c>
      <c r="H5637">
        <v>4</v>
      </c>
      <c r="I5637" s="7">
        <v>523.29999999999995</v>
      </c>
      <c r="M5637" s="7">
        <v>317.8</v>
      </c>
      <c r="N5637" s="7">
        <v>206.7</v>
      </c>
      <c r="O5637" s="7">
        <v>144.4</v>
      </c>
    </row>
    <row r="5638" spans="1:18" x14ac:dyDescent="0.2">
      <c r="A5638">
        <v>5637</v>
      </c>
      <c r="B5638" s="1">
        <v>40890</v>
      </c>
      <c r="C5638" t="s">
        <v>28</v>
      </c>
      <c r="D5638" s="7">
        <v>151</v>
      </c>
      <c r="E5638" s="7">
        <v>23</v>
      </c>
      <c r="F5638" s="7">
        <f t="shared" si="88"/>
        <v>3</v>
      </c>
      <c r="G5638" s="7" t="str">
        <f>LOOKUP(H5638,[1]startdates!$A$2:$A$10,[1]startdates!$B$2:$B$10)</f>
        <v>SMr</v>
      </c>
      <c r="H5638">
        <v>4</v>
      </c>
      <c r="I5638" s="7">
        <v>558</v>
      </c>
      <c r="O5638" s="7">
        <v>165.8</v>
      </c>
    </row>
    <row r="5639" spans="1:18" x14ac:dyDescent="0.2">
      <c r="A5639">
        <v>5638</v>
      </c>
      <c r="B5639" s="1">
        <v>40890</v>
      </c>
      <c r="C5639" t="s">
        <v>28</v>
      </c>
      <c r="D5639" s="7">
        <v>151</v>
      </c>
      <c r="E5639" s="7">
        <v>23</v>
      </c>
      <c r="F5639" s="7">
        <f t="shared" si="88"/>
        <v>3</v>
      </c>
      <c r="G5639" s="7" t="str">
        <f>LOOKUP(H5639,[1]startdates!$A$2:$A$10,[1]startdates!$B$2:$B$10)</f>
        <v>SMr</v>
      </c>
      <c r="H5639">
        <v>4</v>
      </c>
      <c r="O5639" s="7">
        <v>176.8</v>
      </c>
    </row>
    <row r="5640" spans="1:18" x14ac:dyDescent="0.2">
      <c r="A5640">
        <v>5639</v>
      </c>
      <c r="B5640" s="1">
        <v>40890</v>
      </c>
      <c r="C5640" t="s">
        <v>28</v>
      </c>
      <c r="D5640" s="7">
        <v>151</v>
      </c>
      <c r="E5640" s="7">
        <v>23</v>
      </c>
      <c r="F5640" s="7">
        <f t="shared" si="88"/>
        <v>3</v>
      </c>
      <c r="G5640" s="7" t="str">
        <f>LOOKUP(H5640,[1]startdates!$A$2:$A$10,[1]startdates!$B$2:$B$10)</f>
        <v>SMr</v>
      </c>
      <c r="H5640">
        <v>4</v>
      </c>
      <c r="O5640" s="7">
        <v>171.5</v>
      </c>
    </row>
    <row r="5641" spans="1:18" x14ac:dyDescent="0.2">
      <c r="A5641">
        <v>5640</v>
      </c>
      <c r="B5641" s="1">
        <v>40890</v>
      </c>
      <c r="C5641" t="s">
        <v>28</v>
      </c>
      <c r="D5641" s="7">
        <v>151</v>
      </c>
      <c r="E5641" s="7">
        <v>23</v>
      </c>
      <c r="F5641" s="7">
        <f t="shared" si="88"/>
        <v>3</v>
      </c>
      <c r="G5641" s="7" t="str">
        <f>LOOKUP(H5641,[1]startdates!$A$2:$A$10,[1]startdates!$B$2:$B$10)</f>
        <v>C</v>
      </c>
      <c r="H5641">
        <v>5</v>
      </c>
      <c r="I5641" s="7">
        <v>599</v>
      </c>
      <c r="J5641" s="7">
        <v>559.9</v>
      </c>
      <c r="K5641" s="7">
        <v>569.79999999999995</v>
      </c>
      <c r="L5641" s="7">
        <v>450.6</v>
      </c>
      <c r="M5641" s="7">
        <v>354.6</v>
      </c>
      <c r="N5641" s="7">
        <v>191.4</v>
      </c>
      <c r="O5641" s="7">
        <v>143.30000000000001</v>
      </c>
      <c r="P5641" s="7">
        <v>457.8</v>
      </c>
      <c r="Q5641" s="7">
        <v>342.3</v>
      </c>
      <c r="R5641" s="7">
        <v>277.2</v>
      </c>
    </row>
    <row r="5642" spans="1:18" x14ac:dyDescent="0.2">
      <c r="A5642">
        <v>5641</v>
      </c>
      <c r="B5642" s="1">
        <v>40890</v>
      </c>
      <c r="C5642" t="s">
        <v>28</v>
      </c>
      <c r="D5642" s="7">
        <v>151</v>
      </c>
      <c r="E5642" s="7">
        <v>23</v>
      </c>
      <c r="F5642" s="7">
        <f t="shared" si="88"/>
        <v>3</v>
      </c>
      <c r="G5642" s="7" t="str">
        <f>LOOKUP(H5642,[1]startdates!$A$2:$A$10,[1]startdates!$B$2:$B$10)</f>
        <v>C</v>
      </c>
      <c r="H5642">
        <v>5</v>
      </c>
      <c r="I5642" s="7">
        <v>631.4</v>
      </c>
      <c r="K5642" s="7">
        <v>455.6</v>
      </c>
      <c r="L5642" s="7">
        <v>428.6</v>
      </c>
      <c r="M5642" s="7">
        <v>341.2</v>
      </c>
      <c r="N5642" s="7">
        <v>275.7</v>
      </c>
      <c r="O5642" s="7">
        <v>171.7</v>
      </c>
      <c r="P5642" s="7">
        <v>462.7</v>
      </c>
      <c r="Q5642" s="7">
        <v>379.5</v>
      </c>
      <c r="R5642" s="7">
        <v>255.3</v>
      </c>
    </row>
    <row r="5643" spans="1:18" x14ac:dyDescent="0.2">
      <c r="A5643">
        <v>5642</v>
      </c>
      <c r="B5643" s="1">
        <v>40890</v>
      </c>
      <c r="C5643" t="s">
        <v>28</v>
      </c>
      <c r="D5643" s="7">
        <v>151</v>
      </c>
      <c r="E5643" s="7">
        <v>23</v>
      </c>
      <c r="F5643" s="7">
        <f t="shared" si="88"/>
        <v>3</v>
      </c>
      <c r="G5643" s="7" t="str">
        <f>LOOKUP(H5643,[1]startdates!$A$2:$A$10,[1]startdates!$B$2:$B$10)</f>
        <v>C</v>
      </c>
      <c r="H5643">
        <v>5</v>
      </c>
      <c r="I5643" s="7">
        <v>555.4</v>
      </c>
      <c r="K5643" s="7">
        <v>530.5</v>
      </c>
      <c r="L5643" s="7">
        <v>462</v>
      </c>
      <c r="M5643" s="7">
        <v>340</v>
      </c>
      <c r="N5643" s="7">
        <v>253.6</v>
      </c>
      <c r="O5643" s="7">
        <v>158.1</v>
      </c>
      <c r="P5643" s="7">
        <v>447.7</v>
      </c>
      <c r="Q5643" s="7">
        <v>304.2</v>
      </c>
      <c r="R5643" s="7">
        <v>265.7</v>
      </c>
    </row>
    <row r="5644" spans="1:18" x14ac:dyDescent="0.2">
      <c r="A5644">
        <v>5643</v>
      </c>
      <c r="B5644" s="1">
        <v>40890</v>
      </c>
      <c r="C5644" t="s">
        <v>28</v>
      </c>
      <c r="D5644" s="7">
        <v>151</v>
      </c>
      <c r="E5644" s="7">
        <v>23</v>
      </c>
      <c r="F5644" s="7">
        <f t="shared" si="88"/>
        <v>3</v>
      </c>
      <c r="G5644" s="7" t="str">
        <f>LOOKUP(H5644,[1]startdates!$A$2:$A$10,[1]startdates!$B$2:$B$10)</f>
        <v>C</v>
      </c>
      <c r="H5644">
        <v>5</v>
      </c>
      <c r="I5644" s="7">
        <v>655.7</v>
      </c>
      <c r="K5644" s="7">
        <v>581.1</v>
      </c>
      <c r="M5644" s="7">
        <v>310.10000000000002</v>
      </c>
      <c r="N5644" s="7">
        <v>252.4</v>
      </c>
      <c r="O5644" s="7">
        <v>143.80000000000001</v>
      </c>
    </row>
    <row r="5645" spans="1:18" x14ac:dyDescent="0.2">
      <c r="A5645">
        <v>5644</v>
      </c>
      <c r="B5645" s="1">
        <v>40890</v>
      </c>
      <c r="C5645" t="s">
        <v>28</v>
      </c>
      <c r="D5645" s="7">
        <v>151</v>
      </c>
      <c r="E5645" s="7">
        <v>23</v>
      </c>
      <c r="F5645" s="7">
        <f t="shared" si="88"/>
        <v>3</v>
      </c>
      <c r="G5645" s="7" t="str">
        <f>LOOKUP(H5645,[1]startdates!$A$2:$A$10,[1]startdates!$B$2:$B$10)</f>
        <v>C</v>
      </c>
      <c r="H5645">
        <v>5</v>
      </c>
      <c r="I5645" s="7">
        <v>597.79999999999995</v>
      </c>
      <c r="K5645" s="7">
        <v>475</v>
      </c>
      <c r="M5645" s="7">
        <v>299.7</v>
      </c>
      <c r="N5645" s="7">
        <v>263.10000000000002</v>
      </c>
      <c r="O5645" s="7">
        <v>154.80000000000001</v>
      </c>
    </row>
    <row r="5646" spans="1:18" x14ac:dyDescent="0.2">
      <c r="A5646">
        <v>5645</v>
      </c>
      <c r="B5646" s="1">
        <v>40890</v>
      </c>
      <c r="C5646" t="s">
        <v>28</v>
      </c>
      <c r="D5646" s="7">
        <v>151</v>
      </c>
      <c r="E5646" s="7">
        <v>23</v>
      </c>
      <c r="F5646" s="7">
        <f t="shared" si="88"/>
        <v>3</v>
      </c>
      <c r="G5646" s="7" t="str">
        <f>LOOKUP(H5646,[1]startdates!$A$2:$A$10,[1]startdates!$B$2:$B$10)</f>
        <v>C</v>
      </c>
      <c r="H5646">
        <v>5</v>
      </c>
      <c r="I5646" s="7">
        <v>534.6</v>
      </c>
      <c r="K5646" s="7">
        <v>538.5</v>
      </c>
      <c r="M5646" s="7">
        <v>310.10000000000002</v>
      </c>
      <c r="N5646" s="7">
        <v>243.2</v>
      </c>
      <c r="O5646" s="7">
        <v>184.1</v>
      </c>
    </row>
    <row r="5647" spans="1:18" x14ac:dyDescent="0.2">
      <c r="A5647">
        <v>5646</v>
      </c>
      <c r="B5647" s="1">
        <v>40890</v>
      </c>
      <c r="C5647" t="s">
        <v>28</v>
      </c>
      <c r="D5647" s="7">
        <v>151</v>
      </c>
      <c r="E5647" s="7">
        <v>23</v>
      </c>
      <c r="F5647" s="7">
        <f t="shared" si="88"/>
        <v>3</v>
      </c>
      <c r="G5647" s="7" t="str">
        <f>LOOKUP(H5647,[1]startdates!$A$2:$A$10,[1]startdates!$B$2:$B$10)</f>
        <v>C</v>
      </c>
      <c r="H5647">
        <v>5</v>
      </c>
      <c r="I5647" s="7">
        <v>631.6</v>
      </c>
      <c r="M5647" s="7">
        <v>351.6</v>
      </c>
      <c r="N5647" s="7">
        <v>218.7</v>
      </c>
      <c r="O5647" s="7">
        <v>154.80000000000001</v>
      </c>
    </row>
    <row r="5648" spans="1:18" x14ac:dyDescent="0.2">
      <c r="A5648">
        <v>5647</v>
      </c>
      <c r="B5648" s="1">
        <v>40890</v>
      </c>
      <c r="C5648" t="s">
        <v>28</v>
      </c>
      <c r="D5648" s="7">
        <v>151</v>
      </c>
      <c r="E5648" s="7">
        <v>23</v>
      </c>
      <c r="F5648" s="7">
        <f t="shared" si="88"/>
        <v>3</v>
      </c>
      <c r="G5648" s="7" t="str">
        <f>LOOKUP(H5648,[1]startdates!$A$2:$A$10,[1]startdates!$B$2:$B$10)</f>
        <v>C</v>
      </c>
      <c r="H5648">
        <v>5</v>
      </c>
      <c r="I5648" s="7">
        <v>716.6</v>
      </c>
      <c r="M5648" s="7">
        <v>369.8</v>
      </c>
      <c r="N5648" s="7">
        <v>202.5</v>
      </c>
      <c r="O5648" s="7">
        <v>154.5</v>
      </c>
    </row>
    <row r="5649" spans="1:18" x14ac:dyDescent="0.2">
      <c r="A5649">
        <v>5648</v>
      </c>
      <c r="B5649" s="1">
        <v>40890</v>
      </c>
      <c r="C5649" t="s">
        <v>28</v>
      </c>
      <c r="D5649" s="7">
        <v>151</v>
      </c>
      <c r="E5649" s="7">
        <v>23</v>
      </c>
      <c r="F5649" s="7">
        <f t="shared" si="88"/>
        <v>3</v>
      </c>
      <c r="G5649" s="7" t="str">
        <f>LOOKUP(H5649,[1]startdates!$A$2:$A$10,[1]startdates!$B$2:$B$10)</f>
        <v>C</v>
      </c>
      <c r="H5649">
        <v>5</v>
      </c>
      <c r="I5649" s="7">
        <v>621.9</v>
      </c>
      <c r="M5649" s="7">
        <v>345.6</v>
      </c>
      <c r="N5649" s="7">
        <v>245.7</v>
      </c>
      <c r="O5649" s="7">
        <v>163.1</v>
      </c>
    </row>
    <row r="5650" spans="1:18" x14ac:dyDescent="0.2">
      <c r="A5650">
        <v>5649</v>
      </c>
      <c r="B5650" s="1">
        <v>40890</v>
      </c>
      <c r="C5650" t="s">
        <v>28</v>
      </c>
      <c r="D5650" s="7">
        <v>151</v>
      </c>
      <c r="E5650" s="7">
        <v>23</v>
      </c>
      <c r="F5650" s="7">
        <f t="shared" si="88"/>
        <v>3</v>
      </c>
      <c r="G5650" s="7" t="str">
        <f>LOOKUP(H5650,[1]startdates!$A$2:$A$10,[1]startdates!$B$2:$B$10)</f>
        <v>C</v>
      </c>
      <c r="H5650">
        <v>5</v>
      </c>
      <c r="I5650" s="7">
        <v>603.5</v>
      </c>
      <c r="M5650" s="7">
        <v>356.4</v>
      </c>
      <c r="N5650" s="7">
        <v>217.6</v>
      </c>
      <c r="O5650" s="7">
        <v>164</v>
      </c>
    </row>
    <row r="5651" spans="1:18" x14ac:dyDescent="0.2">
      <c r="A5651">
        <v>5650</v>
      </c>
      <c r="B5651" s="1">
        <v>40890</v>
      </c>
      <c r="C5651" t="s">
        <v>28</v>
      </c>
      <c r="D5651" s="7">
        <v>151</v>
      </c>
      <c r="E5651" s="7">
        <v>23</v>
      </c>
      <c r="F5651" s="7">
        <f t="shared" si="88"/>
        <v>3</v>
      </c>
      <c r="G5651" s="7" t="str">
        <f>LOOKUP(H5651,[1]startdates!$A$2:$A$10,[1]startdates!$B$2:$B$10)</f>
        <v>C</v>
      </c>
      <c r="H5651">
        <v>5</v>
      </c>
      <c r="I5651" s="7">
        <v>611.20000000000005</v>
      </c>
    </row>
    <row r="5652" spans="1:18" x14ac:dyDescent="0.2">
      <c r="A5652">
        <v>5651</v>
      </c>
      <c r="B5652" s="1">
        <v>40890</v>
      </c>
      <c r="C5652" t="s">
        <v>24</v>
      </c>
      <c r="D5652" s="7">
        <v>151</v>
      </c>
      <c r="E5652" s="7">
        <v>23</v>
      </c>
      <c r="F5652" s="7">
        <f t="shared" si="88"/>
        <v>3</v>
      </c>
      <c r="G5652" s="7" t="str">
        <f>LOOKUP(H5652,[1]startdates!$A$2:$A$10,[1]startdates!$B$2:$B$10)</f>
        <v>FMr</v>
      </c>
      <c r="H5652">
        <v>6</v>
      </c>
      <c r="I5652" s="7">
        <v>539.29999999999995</v>
      </c>
      <c r="J5652" s="7">
        <v>492.6</v>
      </c>
      <c r="K5652" s="7">
        <v>448.6</v>
      </c>
      <c r="L5652" s="7">
        <v>410.2</v>
      </c>
      <c r="M5652" s="7">
        <v>296.8</v>
      </c>
      <c r="N5652" s="7">
        <v>178.2</v>
      </c>
      <c r="O5652" s="7">
        <v>191.4</v>
      </c>
      <c r="Q5652" s="7">
        <v>360.6</v>
      </c>
      <c r="R5652" s="7">
        <v>246.7</v>
      </c>
    </row>
    <row r="5653" spans="1:18" x14ac:dyDescent="0.2">
      <c r="A5653">
        <v>5652</v>
      </c>
      <c r="B5653" s="1">
        <v>40890</v>
      </c>
      <c r="C5653" t="s">
        <v>24</v>
      </c>
      <c r="D5653" s="7">
        <v>151</v>
      </c>
      <c r="E5653" s="7">
        <v>23</v>
      </c>
      <c r="F5653" s="7">
        <f t="shared" si="88"/>
        <v>3</v>
      </c>
      <c r="G5653" s="7" t="str">
        <f>LOOKUP(H5653,[1]startdates!$A$2:$A$10,[1]startdates!$B$2:$B$10)</f>
        <v>FMr</v>
      </c>
      <c r="H5653">
        <v>6</v>
      </c>
      <c r="I5653" s="7">
        <v>636.20000000000005</v>
      </c>
      <c r="K5653" s="7">
        <v>428</v>
      </c>
      <c r="L5653" s="7">
        <v>442.9</v>
      </c>
      <c r="M5653" s="7">
        <v>252.4</v>
      </c>
      <c r="N5653" s="7">
        <v>209.9</v>
      </c>
      <c r="O5653" s="7">
        <v>163</v>
      </c>
      <c r="Q5653" s="7">
        <v>348.2</v>
      </c>
      <c r="R5653" s="7">
        <v>309.8</v>
      </c>
    </row>
    <row r="5654" spans="1:18" x14ac:dyDescent="0.2">
      <c r="A5654">
        <v>5653</v>
      </c>
      <c r="B5654" s="1">
        <v>40890</v>
      </c>
      <c r="C5654" t="s">
        <v>24</v>
      </c>
      <c r="D5654" s="7">
        <v>151</v>
      </c>
      <c r="E5654" s="7">
        <v>23</v>
      </c>
      <c r="F5654" s="7">
        <f t="shared" si="88"/>
        <v>3</v>
      </c>
      <c r="G5654" s="7" t="str">
        <f>LOOKUP(H5654,[1]startdates!$A$2:$A$10,[1]startdates!$B$2:$B$10)</f>
        <v>FMr</v>
      </c>
      <c r="H5654">
        <v>6</v>
      </c>
      <c r="I5654" s="7">
        <v>576.4</v>
      </c>
      <c r="K5654" s="7">
        <v>405.8</v>
      </c>
      <c r="L5654" s="7">
        <v>440.4</v>
      </c>
      <c r="M5654" s="7">
        <v>312.10000000000002</v>
      </c>
      <c r="N5654" s="7">
        <v>214.7</v>
      </c>
      <c r="O5654" s="7">
        <v>205.1</v>
      </c>
      <c r="R5654" s="7">
        <v>309.39999999999998</v>
      </c>
    </row>
    <row r="5655" spans="1:18" x14ac:dyDescent="0.2">
      <c r="A5655">
        <v>5654</v>
      </c>
      <c r="B5655" s="1">
        <v>40890</v>
      </c>
      <c r="C5655" t="s">
        <v>24</v>
      </c>
      <c r="D5655" s="7">
        <v>151</v>
      </c>
      <c r="E5655" s="7">
        <v>23</v>
      </c>
      <c r="F5655" s="7">
        <f t="shared" si="88"/>
        <v>3</v>
      </c>
      <c r="G5655" s="7" t="str">
        <f>LOOKUP(H5655,[1]startdates!$A$2:$A$10,[1]startdates!$B$2:$B$10)</f>
        <v>FMr</v>
      </c>
      <c r="H5655">
        <v>6</v>
      </c>
      <c r="I5655" s="7">
        <v>533.70000000000005</v>
      </c>
      <c r="K5655" s="7">
        <v>392.2</v>
      </c>
      <c r="M5655" s="7">
        <v>307.39999999999998</v>
      </c>
      <c r="N5655" s="7">
        <v>244.4</v>
      </c>
      <c r="O5655" s="7">
        <v>160.69999999999999</v>
      </c>
      <c r="R5655" s="7">
        <v>300.5</v>
      </c>
    </row>
    <row r="5656" spans="1:18" x14ac:dyDescent="0.2">
      <c r="A5656">
        <v>5655</v>
      </c>
      <c r="B5656" s="1">
        <v>40890</v>
      </c>
      <c r="C5656" t="s">
        <v>24</v>
      </c>
      <c r="D5656" s="7">
        <v>151</v>
      </c>
      <c r="E5656" s="7">
        <v>23</v>
      </c>
      <c r="F5656" s="7">
        <f t="shared" si="88"/>
        <v>3</v>
      </c>
      <c r="G5656" s="7" t="str">
        <f>LOOKUP(H5656,[1]startdates!$A$2:$A$10,[1]startdates!$B$2:$B$10)</f>
        <v>FMr</v>
      </c>
      <c r="H5656">
        <v>6</v>
      </c>
      <c r="I5656" s="7">
        <v>559.6</v>
      </c>
      <c r="K5656" s="7">
        <v>390.3</v>
      </c>
      <c r="M5656" s="7">
        <v>282.89999999999998</v>
      </c>
      <c r="N5656" s="7">
        <v>220.1</v>
      </c>
      <c r="O5656" s="7">
        <v>183.1</v>
      </c>
    </row>
    <row r="5657" spans="1:18" x14ac:dyDescent="0.2">
      <c r="A5657">
        <v>5656</v>
      </c>
      <c r="B5657" s="1">
        <v>40890</v>
      </c>
      <c r="C5657" t="s">
        <v>24</v>
      </c>
      <c r="D5657" s="7">
        <v>151</v>
      </c>
      <c r="E5657" s="7">
        <v>23</v>
      </c>
      <c r="F5657" s="7">
        <f t="shared" si="88"/>
        <v>3</v>
      </c>
      <c r="G5657" s="7" t="str">
        <f>LOOKUP(H5657,[1]startdates!$A$2:$A$10,[1]startdates!$B$2:$B$10)</f>
        <v>FMr</v>
      </c>
      <c r="H5657">
        <v>6</v>
      </c>
      <c r="I5657" s="7">
        <v>499.5</v>
      </c>
      <c r="K5657" s="7">
        <v>410</v>
      </c>
      <c r="M5657" s="7">
        <v>333</v>
      </c>
      <c r="N5657" s="7">
        <v>195.4</v>
      </c>
      <c r="O5657" s="7">
        <v>183.2</v>
      </c>
    </row>
    <row r="5658" spans="1:18" x14ac:dyDescent="0.2">
      <c r="A5658">
        <v>5657</v>
      </c>
      <c r="B5658" s="1">
        <v>40890</v>
      </c>
      <c r="C5658" t="s">
        <v>24</v>
      </c>
      <c r="D5658" s="7">
        <v>151</v>
      </c>
      <c r="E5658" s="7">
        <v>23</v>
      </c>
      <c r="F5658" s="7">
        <f t="shared" si="88"/>
        <v>3</v>
      </c>
      <c r="G5658" s="7" t="str">
        <f>LOOKUP(H5658,[1]startdates!$A$2:$A$10,[1]startdates!$B$2:$B$10)</f>
        <v>FMr</v>
      </c>
      <c r="H5658">
        <v>6</v>
      </c>
      <c r="I5658" s="7">
        <v>463.7</v>
      </c>
      <c r="K5658" s="7">
        <v>534</v>
      </c>
      <c r="M5658" s="7">
        <v>323.3</v>
      </c>
      <c r="N5658" s="7">
        <v>197.6</v>
      </c>
      <c r="O5658" s="7">
        <v>153.1</v>
      </c>
    </row>
    <row r="5659" spans="1:18" x14ac:dyDescent="0.2">
      <c r="A5659">
        <v>5658</v>
      </c>
      <c r="B5659" s="1">
        <v>40890</v>
      </c>
      <c r="C5659" t="s">
        <v>24</v>
      </c>
      <c r="D5659" s="7">
        <v>151</v>
      </c>
      <c r="E5659" s="7">
        <v>23</v>
      </c>
      <c r="F5659" s="7">
        <f t="shared" si="88"/>
        <v>3</v>
      </c>
      <c r="G5659" s="7" t="str">
        <f>LOOKUP(H5659,[1]startdates!$A$2:$A$10,[1]startdates!$B$2:$B$10)</f>
        <v>FMr</v>
      </c>
      <c r="H5659">
        <v>6</v>
      </c>
      <c r="I5659" s="7">
        <v>482.7</v>
      </c>
      <c r="K5659" s="7">
        <v>537.9</v>
      </c>
      <c r="N5659" s="7">
        <v>231.9</v>
      </c>
      <c r="O5659" s="7">
        <v>153.80000000000001</v>
      </c>
    </row>
    <row r="5660" spans="1:18" x14ac:dyDescent="0.2">
      <c r="A5660">
        <v>5659</v>
      </c>
      <c r="B5660" s="1">
        <v>40890</v>
      </c>
      <c r="C5660" t="s">
        <v>24</v>
      </c>
      <c r="D5660" s="7">
        <v>151</v>
      </c>
      <c r="E5660" s="7">
        <v>23</v>
      </c>
      <c r="F5660" s="7">
        <f t="shared" si="88"/>
        <v>3</v>
      </c>
      <c r="G5660" s="7" t="str">
        <f>LOOKUP(H5660,[1]startdates!$A$2:$A$10,[1]startdates!$B$2:$B$10)</f>
        <v>FMr</v>
      </c>
      <c r="H5660">
        <v>6</v>
      </c>
      <c r="I5660" s="7">
        <v>687.3</v>
      </c>
      <c r="N5660" s="7">
        <v>197.1</v>
      </c>
      <c r="O5660" s="7">
        <v>170.2</v>
      </c>
    </row>
    <row r="5661" spans="1:18" x14ac:dyDescent="0.2">
      <c r="A5661">
        <v>5660</v>
      </c>
      <c r="B5661" s="1">
        <v>40890</v>
      </c>
      <c r="C5661" t="s">
        <v>24</v>
      </c>
      <c r="D5661" s="7">
        <v>151</v>
      </c>
      <c r="E5661" s="7">
        <v>23</v>
      </c>
      <c r="F5661" s="7">
        <f t="shared" si="88"/>
        <v>3</v>
      </c>
      <c r="G5661" s="7" t="str">
        <f>LOOKUP(H5661,[1]startdates!$A$2:$A$10,[1]startdates!$B$2:$B$10)</f>
        <v>FMr</v>
      </c>
      <c r="H5661">
        <v>6</v>
      </c>
      <c r="N5661" s="7">
        <v>261.8</v>
      </c>
      <c r="O5661" s="7">
        <v>173.7</v>
      </c>
    </row>
    <row r="5662" spans="1:18" x14ac:dyDescent="0.2">
      <c r="A5662">
        <v>5661</v>
      </c>
      <c r="B5662" s="1">
        <v>40890</v>
      </c>
      <c r="C5662" t="s">
        <v>24</v>
      </c>
      <c r="D5662" s="7">
        <v>151</v>
      </c>
      <c r="E5662" s="7">
        <v>23</v>
      </c>
      <c r="F5662" s="7">
        <f t="shared" si="88"/>
        <v>3</v>
      </c>
      <c r="G5662" s="7" t="str">
        <f>LOOKUP(H5662,[1]startdates!$A$2:$A$10,[1]startdates!$B$2:$B$10)</f>
        <v>FMr</v>
      </c>
      <c r="H5662">
        <v>6</v>
      </c>
      <c r="O5662" s="7">
        <v>174.6</v>
      </c>
    </row>
    <row r="5663" spans="1:18" x14ac:dyDescent="0.2">
      <c r="A5663">
        <v>5662</v>
      </c>
      <c r="B5663" s="1">
        <v>40890</v>
      </c>
      <c r="C5663" t="s">
        <v>28</v>
      </c>
      <c r="D5663" s="7">
        <v>151</v>
      </c>
      <c r="E5663" s="7">
        <v>23</v>
      </c>
      <c r="F5663" s="7">
        <f t="shared" si="88"/>
        <v>3</v>
      </c>
      <c r="G5663" s="7" t="str">
        <f>LOOKUP(H5663,[1]startdates!$A$2:$A$10,[1]startdates!$B$2:$B$10)</f>
        <v>FMr</v>
      </c>
      <c r="H5663">
        <v>7</v>
      </c>
      <c r="I5663" s="7">
        <v>599</v>
      </c>
      <c r="K5663" s="7">
        <v>555.4</v>
      </c>
      <c r="L5663" s="7">
        <v>422.9</v>
      </c>
      <c r="M5663" s="7">
        <v>365.2</v>
      </c>
      <c r="N5663" s="7">
        <v>214.5</v>
      </c>
      <c r="O5663" s="7">
        <v>166.7</v>
      </c>
      <c r="P5663" s="7">
        <v>415.3</v>
      </c>
      <c r="Q5663" s="7">
        <v>315.7</v>
      </c>
      <c r="R5663" s="7">
        <v>250.4</v>
      </c>
    </row>
    <row r="5664" spans="1:18" x14ac:dyDescent="0.2">
      <c r="A5664">
        <v>5663</v>
      </c>
      <c r="B5664" s="1">
        <v>40890</v>
      </c>
      <c r="C5664" t="s">
        <v>28</v>
      </c>
      <c r="D5664" s="7">
        <v>151</v>
      </c>
      <c r="E5664" s="7">
        <v>23</v>
      </c>
      <c r="F5664" s="7">
        <f t="shared" si="88"/>
        <v>3</v>
      </c>
      <c r="G5664" s="7" t="str">
        <f>LOOKUP(H5664,[1]startdates!$A$2:$A$10,[1]startdates!$B$2:$B$10)</f>
        <v>FMr</v>
      </c>
      <c r="H5664">
        <v>7</v>
      </c>
      <c r="I5664" s="7">
        <v>526.1</v>
      </c>
      <c r="K5664" s="7">
        <v>461.8</v>
      </c>
      <c r="L5664" s="7">
        <v>398.9</v>
      </c>
      <c r="M5664" s="7">
        <v>328.7</v>
      </c>
      <c r="N5664" s="7">
        <v>254.2</v>
      </c>
      <c r="O5664" s="7">
        <v>159.5</v>
      </c>
      <c r="Q5664" s="7">
        <v>303.89999999999998</v>
      </c>
      <c r="R5664" s="7">
        <v>232.2</v>
      </c>
    </row>
    <row r="5665" spans="1:19" x14ac:dyDescent="0.2">
      <c r="A5665">
        <v>5664</v>
      </c>
      <c r="B5665" s="1">
        <v>40890</v>
      </c>
      <c r="C5665" t="s">
        <v>28</v>
      </c>
      <c r="D5665" s="7">
        <v>151</v>
      </c>
      <c r="E5665" s="7">
        <v>23</v>
      </c>
      <c r="F5665" s="7">
        <f t="shared" si="88"/>
        <v>3</v>
      </c>
      <c r="G5665" s="7" t="str">
        <f>LOOKUP(H5665,[1]startdates!$A$2:$A$10,[1]startdates!$B$2:$B$10)</f>
        <v>FMr</v>
      </c>
      <c r="H5665">
        <v>7</v>
      </c>
      <c r="I5665" s="7">
        <v>595</v>
      </c>
      <c r="K5665" s="7">
        <v>582</v>
      </c>
      <c r="L5665" s="7">
        <v>394.2</v>
      </c>
      <c r="M5665" s="7">
        <v>298.3</v>
      </c>
      <c r="N5665" s="7">
        <v>243.1</v>
      </c>
      <c r="O5665" s="7">
        <v>170.2</v>
      </c>
      <c r="Q5665" s="7">
        <v>333.9</v>
      </c>
      <c r="R5665" s="7">
        <v>249.4</v>
      </c>
    </row>
    <row r="5666" spans="1:19" x14ac:dyDescent="0.2">
      <c r="A5666">
        <v>5665</v>
      </c>
      <c r="B5666" s="1">
        <v>40890</v>
      </c>
      <c r="C5666" t="s">
        <v>28</v>
      </c>
      <c r="D5666" s="7">
        <v>151</v>
      </c>
      <c r="E5666" s="7">
        <v>23</v>
      </c>
      <c r="F5666" s="7">
        <f t="shared" si="88"/>
        <v>3</v>
      </c>
      <c r="G5666" s="7" t="str">
        <f>LOOKUP(H5666,[1]startdates!$A$2:$A$10,[1]startdates!$B$2:$B$10)</f>
        <v>FMr</v>
      </c>
      <c r="H5666">
        <v>7</v>
      </c>
      <c r="I5666" s="7">
        <v>558.20000000000005</v>
      </c>
      <c r="K5666" s="7">
        <v>469.2</v>
      </c>
      <c r="L5666" s="7">
        <v>393.3</v>
      </c>
      <c r="M5666" s="7">
        <v>314.3</v>
      </c>
      <c r="N5666" s="7">
        <v>217.8</v>
      </c>
      <c r="O5666" s="7">
        <v>156.19999999999999</v>
      </c>
      <c r="R5666" s="7">
        <v>233.8</v>
      </c>
    </row>
    <row r="5667" spans="1:19" x14ac:dyDescent="0.2">
      <c r="A5667">
        <v>5666</v>
      </c>
      <c r="B5667" s="1">
        <v>40890</v>
      </c>
      <c r="C5667" t="s">
        <v>28</v>
      </c>
      <c r="D5667" s="7">
        <v>151</v>
      </c>
      <c r="E5667" s="7">
        <v>23</v>
      </c>
      <c r="F5667" s="7">
        <f t="shared" si="88"/>
        <v>3</v>
      </c>
      <c r="G5667" s="7" t="str">
        <f>LOOKUP(H5667,[1]startdates!$A$2:$A$10,[1]startdates!$B$2:$B$10)</f>
        <v>FMr</v>
      </c>
      <c r="H5667">
        <v>7</v>
      </c>
      <c r="I5667" s="7">
        <v>563.20000000000005</v>
      </c>
      <c r="K5667" s="7">
        <v>505.1</v>
      </c>
      <c r="L5667" s="7">
        <v>464.3</v>
      </c>
      <c r="M5667" s="7">
        <v>349</v>
      </c>
      <c r="N5667" s="7">
        <v>240</v>
      </c>
      <c r="O5667" s="7">
        <v>168.9</v>
      </c>
      <c r="R5667" s="7">
        <v>257</v>
      </c>
    </row>
    <row r="5668" spans="1:19" x14ac:dyDescent="0.2">
      <c r="A5668">
        <v>5667</v>
      </c>
      <c r="B5668" s="1">
        <v>40890</v>
      </c>
      <c r="C5668" t="s">
        <v>28</v>
      </c>
      <c r="D5668" s="7">
        <v>151</v>
      </c>
      <c r="E5668" s="7">
        <v>23</v>
      </c>
      <c r="F5668" s="7">
        <f t="shared" si="88"/>
        <v>3</v>
      </c>
      <c r="G5668" s="7" t="str">
        <f>LOOKUP(H5668,[1]startdates!$A$2:$A$10,[1]startdates!$B$2:$B$10)</f>
        <v>FMr</v>
      </c>
      <c r="H5668">
        <v>7</v>
      </c>
      <c r="I5668" s="7">
        <v>557.1</v>
      </c>
      <c r="K5668" s="7">
        <v>431.6</v>
      </c>
      <c r="L5668" s="7">
        <v>393.8</v>
      </c>
      <c r="M5668" s="7">
        <v>348.8</v>
      </c>
      <c r="N5668" s="7">
        <v>253.6</v>
      </c>
      <c r="O5668" s="7">
        <v>153.19999999999999</v>
      </c>
    </row>
    <row r="5669" spans="1:19" x14ac:dyDescent="0.2">
      <c r="A5669">
        <v>5668</v>
      </c>
      <c r="B5669" s="1">
        <v>40890</v>
      </c>
      <c r="C5669" t="s">
        <v>28</v>
      </c>
      <c r="D5669" s="7">
        <v>151</v>
      </c>
      <c r="E5669" s="7">
        <v>23</v>
      </c>
      <c r="F5669" s="7">
        <f t="shared" si="88"/>
        <v>3</v>
      </c>
      <c r="G5669" s="7" t="str">
        <f>LOOKUP(H5669,[1]startdates!$A$2:$A$10,[1]startdates!$B$2:$B$10)</f>
        <v>FMr</v>
      </c>
      <c r="H5669">
        <v>7</v>
      </c>
      <c r="I5669" s="7">
        <v>524.70000000000005</v>
      </c>
      <c r="K5669" s="7">
        <v>514</v>
      </c>
      <c r="M5669" s="7">
        <v>324.7</v>
      </c>
      <c r="N5669" s="7">
        <v>241.3</v>
      </c>
      <c r="O5669" s="7">
        <v>152.6</v>
      </c>
    </row>
    <row r="5670" spans="1:19" x14ac:dyDescent="0.2">
      <c r="A5670">
        <v>5669</v>
      </c>
      <c r="B5670" s="1">
        <v>40890</v>
      </c>
      <c r="C5670" t="s">
        <v>28</v>
      </c>
      <c r="D5670" s="7">
        <v>151</v>
      </c>
      <c r="E5670" s="7">
        <v>23</v>
      </c>
      <c r="F5670" s="7">
        <f t="shared" si="88"/>
        <v>3</v>
      </c>
      <c r="G5670" s="7" t="str">
        <f>LOOKUP(H5670,[1]startdates!$A$2:$A$10,[1]startdates!$B$2:$B$10)</f>
        <v>FMr</v>
      </c>
      <c r="H5670">
        <v>7</v>
      </c>
      <c r="I5670" s="7">
        <v>669.9</v>
      </c>
      <c r="N5670" s="7">
        <v>198.3</v>
      </c>
      <c r="O5670" s="7">
        <v>165.5</v>
      </c>
    </row>
    <row r="5671" spans="1:19" x14ac:dyDescent="0.2">
      <c r="A5671">
        <v>5670</v>
      </c>
      <c r="B5671" s="1">
        <v>40890</v>
      </c>
      <c r="C5671" t="s">
        <v>28</v>
      </c>
      <c r="D5671" s="7">
        <v>151</v>
      </c>
      <c r="E5671" s="7">
        <v>23</v>
      </c>
      <c r="F5671" s="7">
        <f t="shared" si="88"/>
        <v>3</v>
      </c>
      <c r="G5671" s="7" t="str">
        <f>LOOKUP(H5671,[1]startdates!$A$2:$A$10,[1]startdates!$B$2:$B$10)</f>
        <v>FMr</v>
      </c>
      <c r="H5671">
        <v>7</v>
      </c>
      <c r="I5671" s="7">
        <v>531</v>
      </c>
      <c r="N5671" s="7">
        <v>258.60000000000002</v>
      </c>
      <c r="O5671" s="7">
        <v>154.5</v>
      </c>
    </row>
    <row r="5672" spans="1:19" x14ac:dyDescent="0.2">
      <c r="A5672">
        <v>5671</v>
      </c>
      <c r="B5672" s="1">
        <v>40890</v>
      </c>
      <c r="C5672" t="s">
        <v>28</v>
      </c>
      <c r="D5672" s="7">
        <v>151</v>
      </c>
      <c r="E5672" s="7">
        <v>23</v>
      </c>
      <c r="F5672" s="7">
        <f t="shared" si="88"/>
        <v>3</v>
      </c>
      <c r="G5672" s="7" t="str">
        <f>LOOKUP(H5672,[1]startdates!$A$2:$A$10,[1]startdates!$B$2:$B$10)</f>
        <v>FMr</v>
      </c>
      <c r="H5672">
        <v>7</v>
      </c>
      <c r="I5672" s="7">
        <v>492.4</v>
      </c>
      <c r="N5672" s="7">
        <v>264.3</v>
      </c>
      <c r="O5672" s="7">
        <v>178.9</v>
      </c>
    </row>
    <row r="5673" spans="1:19" x14ac:dyDescent="0.2">
      <c r="A5673">
        <v>5672</v>
      </c>
      <c r="B5673" s="1">
        <v>40890</v>
      </c>
      <c r="C5673" t="s">
        <v>28</v>
      </c>
      <c r="D5673" s="7">
        <v>151</v>
      </c>
      <c r="E5673" s="7">
        <v>23</v>
      </c>
      <c r="F5673" s="7">
        <f t="shared" ref="F5673:F5736" si="89">WEEKDAY(B5673)</f>
        <v>3</v>
      </c>
      <c r="G5673" s="7" t="str">
        <f>LOOKUP(H5673,[1]startdates!$A$2:$A$10,[1]startdates!$B$2:$B$10)</f>
        <v>FMr</v>
      </c>
      <c r="H5673">
        <v>7</v>
      </c>
      <c r="I5673" s="7">
        <v>543.6</v>
      </c>
    </row>
    <row r="5674" spans="1:19" x14ac:dyDescent="0.2">
      <c r="A5674">
        <v>5673</v>
      </c>
      <c r="B5674" s="1">
        <v>40890</v>
      </c>
      <c r="C5674" t="s">
        <v>28</v>
      </c>
      <c r="D5674" s="7">
        <v>151</v>
      </c>
      <c r="E5674" s="7">
        <v>23</v>
      </c>
      <c r="F5674" s="7">
        <f t="shared" si="89"/>
        <v>3</v>
      </c>
      <c r="G5674" s="7" t="str">
        <f>LOOKUP(H5674,[1]startdates!$A$2:$A$10,[1]startdates!$B$2:$B$10)</f>
        <v>FMr</v>
      </c>
      <c r="H5674">
        <v>7</v>
      </c>
      <c r="I5674" s="7">
        <v>605.1</v>
      </c>
    </row>
    <row r="5675" spans="1:19" x14ac:dyDescent="0.2">
      <c r="A5675">
        <v>5674</v>
      </c>
      <c r="B5675" s="1">
        <v>40890</v>
      </c>
      <c r="C5675" t="s">
        <v>24</v>
      </c>
      <c r="D5675" s="7">
        <v>151</v>
      </c>
      <c r="E5675" s="7">
        <v>23</v>
      </c>
      <c r="F5675" s="7">
        <f t="shared" si="89"/>
        <v>3</v>
      </c>
      <c r="G5675" s="7" t="str">
        <f>LOOKUP(H5675,[1]startdates!$A$2:$A$10,[1]startdates!$B$2:$B$10)</f>
        <v>C</v>
      </c>
      <c r="H5675">
        <v>8</v>
      </c>
      <c r="I5675" s="7">
        <v>627.70000000000005</v>
      </c>
      <c r="J5675" s="7">
        <v>496</v>
      </c>
      <c r="K5675" s="7">
        <v>587.70000000000005</v>
      </c>
      <c r="L5675" s="7">
        <v>491.4</v>
      </c>
      <c r="M5675" s="7">
        <v>377.2</v>
      </c>
      <c r="N5675" s="7">
        <v>219.5</v>
      </c>
      <c r="O5675" s="7">
        <v>181.9</v>
      </c>
      <c r="P5675" s="7">
        <v>533.6</v>
      </c>
      <c r="R5675" s="7">
        <v>283.10000000000002</v>
      </c>
      <c r="S5675" s="7">
        <v>263.60000000000002</v>
      </c>
    </row>
    <row r="5676" spans="1:19" x14ac:dyDescent="0.2">
      <c r="A5676">
        <v>5675</v>
      </c>
      <c r="B5676" s="1">
        <v>40890</v>
      </c>
      <c r="C5676" t="s">
        <v>24</v>
      </c>
      <c r="D5676" s="7">
        <v>151</v>
      </c>
      <c r="E5676" s="7">
        <v>23</v>
      </c>
      <c r="F5676" s="7">
        <f t="shared" si="89"/>
        <v>3</v>
      </c>
      <c r="G5676" s="7" t="str">
        <f>LOOKUP(H5676,[1]startdates!$A$2:$A$10,[1]startdates!$B$2:$B$10)</f>
        <v>C</v>
      </c>
      <c r="H5676">
        <v>8</v>
      </c>
      <c r="I5676" s="7">
        <v>604.6</v>
      </c>
      <c r="J5676" s="7">
        <v>528.70000000000005</v>
      </c>
      <c r="K5676" s="7">
        <v>613</v>
      </c>
      <c r="M5676" s="7">
        <v>335.8</v>
      </c>
      <c r="N5676" s="7">
        <v>199.7</v>
      </c>
      <c r="O5676" s="7">
        <v>178.9</v>
      </c>
      <c r="P5676" s="7">
        <v>624.9</v>
      </c>
      <c r="R5676" s="7">
        <v>266.10000000000002</v>
      </c>
      <c r="S5676" s="7">
        <v>301.89999999999998</v>
      </c>
    </row>
    <row r="5677" spans="1:19" x14ac:dyDescent="0.2">
      <c r="A5677">
        <v>5676</v>
      </c>
      <c r="B5677" s="1">
        <v>40890</v>
      </c>
      <c r="C5677" t="s">
        <v>24</v>
      </c>
      <c r="D5677" s="7">
        <v>151</v>
      </c>
      <c r="E5677" s="7">
        <v>23</v>
      </c>
      <c r="F5677" s="7">
        <f t="shared" si="89"/>
        <v>3</v>
      </c>
      <c r="G5677" s="7" t="str">
        <f>LOOKUP(H5677,[1]startdates!$A$2:$A$10,[1]startdates!$B$2:$B$10)</f>
        <v>C</v>
      </c>
      <c r="H5677">
        <v>8</v>
      </c>
      <c r="I5677" s="7">
        <v>692</v>
      </c>
      <c r="J5677" s="7">
        <v>539</v>
      </c>
      <c r="K5677" s="7">
        <v>572.4</v>
      </c>
      <c r="M5677" s="7">
        <v>332.3</v>
      </c>
      <c r="N5677" s="7">
        <v>238.5</v>
      </c>
      <c r="O5677" s="7">
        <v>221.5</v>
      </c>
      <c r="R5677" s="7">
        <v>268.2</v>
      </c>
    </row>
    <row r="5678" spans="1:19" x14ac:dyDescent="0.2">
      <c r="A5678">
        <v>5677</v>
      </c>
      <c r="B5678" s="1">
        <v>40890</v>
      </c>
      <c r="C5678" t="s">
        <v>24</v>
      </c>
      <c r="D5678" s="7">
        <v>151</v>
      </c>
      <c r="E5678" s="7">
        <v>23</v>
      </c>
      <c r="F5678" s="7">
        <f t="shared" si="89"/>
        <v>3</v>
      </c>
      <c r="G5678" s="7" t="str">
        <f>LOOKUP(H5678,[1]startdates!$A$2:$A$10,[1]startdates!$B$2:$B$10)</f>
        <v>C</v>
      </c>
      <c r="H5678">
        <v>8</v>
      </c>
      <c r="I5678" s="7">
        <v>616.4</v>
      </c>
      <c r="K5678" s="7">
        <v>478.6</v>
      </c>
      <c r="M5678" s="7">
        <v>283.89999999999998</v>
      </c>
      <c r="N5678" s="7">
        <v>205.2</v>
      </c>
      <c r="O5678" s="7">
        <v>177</v>
      </c>
    </row>
    <row r="5679" spans="1:19" x14ac:dyDescent="0.2">
      <c r="A5679">
        <v>5678</v>
      </c>
      <c r="B5679" s="1">
        <v>40890</v>
      </c>
      <c r="C5679" t="s">
        <v>24</v>
      </c>
      <c r="D5679" s="7">
        <v>151</v>
      </c>
      <c r="E5679" s="7">
        <v>23</v>
      </c>
      <c r="F5679" s="7">
        <f t="shared" si="89"/>
        <v>3</v>
      </c>
      <c r="G5679" s="7" t="str">
        <f>LOOKUP(H5679,[1]startdates!$A$2:$A$10,[1]startdates!$B$2:$B$10)</f>
        <v>C</v>
      </c>
      <c r="H5679">
        <v>8</v>
      </c>
      <c r="I5679" s="7">
        <v>637.1</v>
      </c>
      <c r="K5679" s="7">
        <v>515.6</v>
      </c>
      <c r="M5679" s="7">
        <v>361.1</v>
      </c>
      <c r="N5679" s="7">
        <v>211.7</v>
      </c>
      <c r="O5679" s="7">
        <v>183.8</v>
      </c>
    </row>
    <row r="5680" spans="1:19" x14ac:dyDescent="0.2">
      <c r="A5680">
        <v>5679</v>
      </c>
      <c r="B5680" s="1">
        <v>40890</v>
      </c>
      <c r="C5680" t="s">
        <v>24</v>
      </c>
      <c r="D5680" s="7">
        <v>151</v>
      </c>
      <c r="E5680" s="7">
        <v>23</v>
      </c>
      <c r="F5680" s="7">
        <f t="shared" si="89"/>
        <v>3</v>
      </c>
      <c r="G5680" s="7" t="str">
        <f>LOOKUP(H5680,[1]startdates!$A$2:$A$10,[1]startdates!$B$2:$B$10)</f>
        <v>C</v>
      </c>
      <c r="H5680">
        <v>8</v>
      </c>
      <c r="I5680" s="7">
        <v>622.5</v>
      </c>
      <c r="K5680" s="7">
        <v>648</v>
      </c>
      <c r="M5680" s="7">
        <v>316.8</v>
      </c>
      <c r="N5680" s="7">
        <v>222.9</v>
      </c>
      <c r="O5680" s="7">
        <v>174.9</v>
      </c>
    </row>
    <row r="5681" spans="1:18" x14ac:dyDescent="0.2">
      <c r="A5681">
        <v>5680</v>
      </c>
      <c r="B5681" s="1">
        <v>40890</v>
      </c>
      <c r="C5681" t="s">
        <v>24</v>
      </c>
      <c r="D5681" s="7">
        <v>151</v>
      </c>
      <c r="E5681" s="7">
        <v>23</v>
      </c>
      <c r="F5681" s="7">
        <f t="shared" si="89"/>
        <v>3</v>
      </c>
      <c r="G5681" s="7" t="str">
        <f>LOOKUP(H5681,[1]startdates!$A$2:$A$10,[1]startdates!$B$2:$B$10)</f>
        <v>C</v>
      </c>
      <c r="H5681">
        <v>8</v>
      </c>
      <c r="I5681" s="7">
        <v>644.9</v>
      </c>
      <c r="K5681" s="7">
        <v>506.6</v>
      </c>
      <c r="M5681" s="7">
        <v>284.2</v>
      </c>
      <c r="N5681" s="7">
        <v>215.1</v>
      </c>
      <c r="O5681" s="7">
        <v>162</v>
      </c>
    </row>
    <row r="5682" spans="1:18" x14ac:dyDescent="0.2">
      <c r="A5682">
        <v>5681</v>
      </c>
      <c r="B5682" s="1">
        <v>40890</v>
      </c>
      <c r="C5682" t="s">
        <v>24</v>
      </c>
      <c r="D5682" s="7">
        <v>151</v>
      </c>
      <c r="E5682" s="7">
        <v>23</v>
      </c>
      <c r="F5682" s="7">
        <f t="shared" si="89"/>
        <v>3</v>
      </c>
      <c r="G5682" s="7" t="str">
        <f>LOOKUP(H5682,[1]startdates!$A$2:$A$10,[1]startdates!$B$2:$B$10)</f>
        <v>C</v>
      </c>
      <c r="H5682">
        <v>8</v>
      </c>
      <c r="I5682" s="7">
        <v>643.29999999999995</v>
      </c>
      <c r="K5682" s="7">
        <v>590.29999999999995</v>
      </c>
      <c r="M5682" s="7">
        <v>297.10000000000002</v>
      </c>
      <c r="O5682" s="7">
        <v>177.8</v>
      </c>
    </row>
    <row r="5683" spans="1:18" x14ac:dyDescent="0.2">
      <c r="A5683">
        <v>5682</v>
      </c>
      <c r="B5683" s="1">
        <v>40890</v>
      </c>
      <c r="C5683" t="s">
        <v>24</v>
      </c>
      <c r="D5683" s="7">
        <v>151</v>
      </c>
      <c r="E5683" s="7">
        <v>23</v>
      </c>
      <c r="F5683" s="7">
        <f t="shared" si="89"/>
        <v>3</v>
      </c>
      <c r="G5683" s="7" t="str">
        <f>LOOKUP(H5683,[1]startdates!$A$2:$A$10,[1]startdates!$B$2:$B$10)</f>
        <v>C</v>
      </c>
      <c r="H5683">
        <v>8</v>
      </c>
      <c r="I5683" s="7">
        <v>562</v>
      </c>
    </row>
    <row r="5684" spans="1:18" x14ac:dyDescent="0.2">
      <c r="A5684">
        <v>5683</v>
      </c>
      <c r="B5684" s="1">
        <v>40890</v>
      </c>
      <c r="C5684" t="s">
        <v>24</v>
      </c>
      <c r="D5684" s="7">
        <v>151</v>
      </c>
      <c r="E5684" s="7">
        <v>23</v>
      </c>
      <c r="F5684" s="7">
        <f t="shared" si="89"/>
        <v>3</v>
      </c>
      <c r="G5684" s="7" t="str">
        <f>LOOKUP(H5684,[1]startdates!$A$2:$A$10,[1]startdates!$B$2:$B$10)</f>
        <v>C</v>
      </c>
      <c r="H5684">
        <v>8</v>
      </c>
      <c r="I5684" s="7">
        <v>564.1</v>
      </c>
    </row>
    <row r="5685" spans="1:18" x14ac:dyDescent="0.2">
      <c r="A5685">
        <v>5684</v>
      </c>
      <c r="B5685" s="1">
        <v>40890</v>
      </c>
      <c r="C5685" t="s">
        <v>24</v>
      </c>
      <c r="D5685" s="7">
        <v>151</v>
      </c>
      <c r="E5685" s="7">
        <v>23</v>
      </c>
      <c r="F5685" s="7">
        <f t="shared" si="89"/>
        <v>3</v>
      </c>
      <c r="G5685" s="7" t="str">
        <f>LOOKUP(H5685,[1]startdates!$A$2:$A$10,[1]startdates!$B$2:$B$10)</f>
        <v>FMr</v>
      </c>
      <c r="H5685">
        <v>9</v>
      </c>
      <c r="I5685" s="7">
        <v>620.6</v>
      </c>
      <c r="J5685" s="7">
        <v>523.4</v>
      </c>
      <c r="K5685" s="7">
        <v>540.4</v>
      </c>
      <c r="L5685" s="7">
        <v>431</v>
      </c>
      <c r="M5685" s="7">
        <v>234.4</v>
      </c>
      <c r="N5685" s="7">
        <v>208.9</v>
      </c>
      <c r="O5685" s="7">
        <v>187.5</v>
      </c>
      <c r="P5685" s="7">
        <v>427.1</v>
      </c>
      <c r="Q5685" s="7">
        <v>326.2</v>
      </c>
      <c r="R5685" s="7">
        <v>228.3</v>
      </c>
    </row>
    <row r="5686" spans="1:18" x14ac:dyDescent="0.2">
      <c r="A5686">
        <v>5685</v>
      </c>
      <c r="B5686" s="1">
        <v>40890</v>
      </c>
      <c r="C5686" t="s">
        <v>24</v>
      </c>
      <c r="D5686" s="7">
        <v>151</v>
      </c>
      <c r="E5686" s="7">
        <v>23</v>
      </c>
      <c r="F5686" s="7">
        <f t="shared" si="89"/>
        <v>3</v>
      </c>
      <c r="G5686" s="7" t="str">
        <f>LOOKUP(H5686,[1]startdates!$A$2:$A$10,[1]startdates!$B$2:$B$10)</f>
        <v>FMr</v>
      </c>
      <c r="H5686">
        <v>9</v>
      </c>
      <c r="I5686" s="7">
        <v>587.1</v>
      </c>
      <c r="K5686" s="7">
        <v>482</v>
      </c>
      <c r="L5686" s="7">
        <v>386.9</v>
      </c>
      <c r="M5686" s="7">
        <v>305.60000000000002</v>
      </c>
      <c r="N5686" s="7">
        <v>193.5</v>
      </c>
      <c r="O5686" s="7">
        <v>169.9</v>
      </c>
      <c r="P5686" s="7">
        <v>404.3</v>
      </c>
      <c r="Q5686" s="7">
        <v>329</v>
      </c>
      <c r="R5686" s="7">
        <v>236.6</v>
      </c>
    </row>
    <row r="5687" spans="1:18" x14ac:dyDescent="0.2">
      <c r="A5687">
        <v>5686</v>
      </c>
      <c r="B5687" s="1">
        <v>40890</v>
      </c>
      <c r="C5687" t="s">
        <v>24</v>
      </c>
      <c r="D5687" s="7">
        <v>151</v>
      </c>
      <c r="E5687" s="7">
        <v>23</v>
      </c>
      <c r="F5687" s="7">
        <f t="shared" si="89"/>
        <v>3</v>
      </c>
      <c r="G5687" s="7" t="str">
        <f>LOOKUP(H5687,[1]startdates!$A$2:$A$10,[1]startdates!$B$2:$B$10)</f>
        <v>FMr</v>
      </c>
      <c r="H5687">
        <v>9</v>
      </c>
      <c r="I5687" s="7">
        <v>552.6</v>
      </c>
      <c r="K5687" s="7">
        <v>494.5</v>
      </c>
      <c r="L5687" s="7">
        <v>331.9</v>
      </c>
      <c r="M5687" s="7">
        <v>263.60000000000002</v>
      </c>
      <c r="N5687" s="7">
        <v>206.5</v>
      </c>
      <c r="O5687" s="7">
        <v>178.9</v>
      </c>
    </row>
    <row r="5688" spans="1:18" x14ac:dyDescent="0.2">
      <c r="A5688">
        <v>5687</v>
      </c>
      <c r="B5688" s="1">
        <v>40890</v>
      </c>
      <c r="C5688" t="s">
        <v>24</v>
      </c>
      <c r="D5688" s="7">
        <v>151</v>
      </c>
      <c r="E5688" s="7">
        <v>23</v>
      </c>
      <c r="F5688" s="7">
        <f t="shared" si="89"/>
        <v>3</v>
      </c>
      <c r="G5688" s="7" t="str">
        <f>LOOKUP(H5688,[1]startdates!$A$2:$A$10,[1]startdates!$B$2:$B$10)</f>
        <v>FMr</v>
      </c>
      <c r="H5688">
        <v>9</v>
      </c>
      <c r="I5688" s="7">
        <v>641.29999999999995</v>
      </c>
      <c r="K5688" s="7">
        <v>457.8</v>
      </c>
      <c r="L5688" s="7">
        <v>336</v>
      </c>
      <c r="M5688" s="7">
        <v>317.2</v>
      </c>
      <c r="N5688" s="7">
        <v>216.1</v>
      </c>
      <c r="O5688" s="7">
        <v>158.5</v>
      </c>
    </row>
    <row r="5689" spans="1:18" x14ac:dyDescent="0.2">
      <c r="A5689">
        <v>5688</v>
      </c>
      <c r="B5689" s="1">
        <v>40890</v>
      </c>
      <c r="C5689" t="s">
        <v>24</v>
      </c>
      <c r="D5689" s="7">
        <v>151</v>
      </c>
      <c r="E5689" s="7">
        <v>23</v>
      </c>
      <c r="F5689" s="7">
        <f t="shared" si="89"/>
        <v>3</v>
      </c>
      <c r="G5689" s="7" t="str">
        <f>LOOKUP(H5689,[1]startdates!$A$2:$A$10,[1]startdates!$B$2:$B$10)</f>
        <v>FMr</v>
      </c>
      <c r="H5689">
        <v>9</v>
      </c>
      <c r="I5689" s="7">
        <v>546.4</v>
      </c>
      <c r="K5689" s="7">
        <v>518.6</v>
      </c>
      <c r="L5689" s="7">
        <v>418.9</v>
      </c>
      <c r="M5689" s="7">
        <v>244.5</v>
      </c>
      <c r="N5689" s="7">
        <v>203.8</v>
      </c>
      <c r="O5689" s="7">
        <v>189.2</v>
      </c>
    </row>
    <row r="5690" spans="1:18" x14ac:dyDescent="0.2">
      <c r="A5690">
        <v>5689</v>
      </c>
      <c r="B5690" s="1">
        <v>40890</v>
      </c>
      <c r="C5690" t="s">
        <v>24</v>
      </c>
      <c r="D5690" s="7">
        <v>151</v>
      </c>
      <c r="E5690" s="7">
        <v>23</v>
      </c>
      <c r="F5690" s="7">
        <f t="shared" si="89"/>
        <v>3</v>
      </c>
      <c r="G5690" s="7" t="str">
        <f>LOOKUP(H5690,[1]startdates!$A$2:$A$10,[1]startdates!$B$2:$B$10)</f>
        <v>FMr</v>
      </c>
      <c r="H5690">
        <v>9</v>
      </c>
      <c r="I5690" s="7">
        <v>620.70000000000005</v>
      </c>
      <c r="K5690" s="7">
        <v>460.6</v>
      </c>
      <c r="L5690" s="7">
        <v>387</v>
      </c>
      <c r="M5690" s="7">
        <v>264</v>
      </c>
      <c r="N5690" s="7">
        <v>236.3</v>
      </c>
      <c r="O5690" s="7">
        <v>176.8</v>
      </c>
    </row>
    <row r="5691" spans="1:18" x14ac:dyDescent="0.2">
      <c r="A5691">
        <v>5690</v>
      </c>
      <c r="B5691" s="1">
        <v>40890</v>
      </c>
      <c r="C5691" t="s">
        <v>24</v>
      </c>
      <c r="D5691" s="7">
        <v>151</v>
      </c>
      <c r="E5691" s="7">
        <v>23</v>
      </c>
      <c r="F5691" s="7">
        <f t="shared" si="89"/>
        <v>3</v>
      </c>
      <c r="G5691" s="7" t="str">
        <f>LOOKUP(H5691,[1]startdates!$A$2:$A$10,[1]startdates!$B$2:$B$10)</f>
        <v>FMr</v>
      </c>
      <c r="H5691">
        <v>9</v>
      </c>
      <c r="I5691" s="7">
        <v>679.4</v>
      </c>
      <c r="K5691" s="7">
        <v>600.4</v>
      </c>
      <c r="L5691" s="7">
        <v>401.3</v>
      </c>
      <c r="N5691" s="7">
        <v>232.4</v>
      </c>
      <c r="O5691" s="7">
        <v>179.2</v>
      </c>
    </row>
    <row r="5692" spans="1:18" x14ac:dyDescent="0.2">
      <c r="A5692">
        <v>5691</v>
      </c>
      <c r="B5692" s="1">
        <v>40890</v>
      </c>
      <c r="C5692" t="s">
        <v>24</v>
      </c>
      <c r="D5692" s="7">
        <v>151</v>
      </c>
      <c r="E5692" s="7">
        <v>23</v>
      </c>
      <c r="F5692" s="7">
        <f t="shared" si="89"/>
        <v>3</v>
      </c>
      <c r="G5692" s="7" t="str">
        <f>LOOKUP(H5692,[1]startdates!$A$2:$A$10,[1]startdates!$B$2:$B$10)</f>
        <v>FMr</v>
      </c>
      <c r="H5692">
        <v>9</v>
      </c>
      <c r="I5692" s="7">
        <v>614.20000000000005</v>
      </c>
      <c r="K5692" s="7">
        <v>413.4</v>
      </c>
      <c r="L5692" s="7">
        <v>411.7</v>
      </c>
      <c r="N5692" s="7">
        <v>202.5</v>
      </c>
      <c r="O5692" s="7">
        <v>167.1</v>
      </c>
    </row>
    <row r="5693" spans="1:18" x14ac:dyDescent="0.2">
      <c r="A5693">
        <v>5692</v>
      </c>
      <c r="B5693" s="1">
        <v>40890</v>
      </c>
      <c r="C5693" t="s">
        <v>24</v>
      </c>
      <c r="D5693" s="7">
        <v>151</v>
      </c>
      <c r="E5693" s="7">
        <v>23</v>
      </c>
      <c r="F5693" s="7">
        <f t="shared" si="89"/>
        <v>3</v>
      </c>
      <c r="G5693" s="7" t="str">
        <f>LOOKUP(H5693,[1]startdates!$A$2:$A$10,[1]startdates!$B$2:$B$10)</f>
        <v>FMr</v>
      </c>
      <c r="H5693">
        <v>9</v>
      </c>
      <c r="I5693" s="7">
        <v>590.79999999999995</v>
      </c>
      <c r="K5693" s="7">
        <v>515.9</v>
      </c>
      <c r="N5693" s="7">
        <v>178.7</v>
      </c>
      <c r="O5693" s="7">
        <v>169.7</v>
      </c>
    </row>
    <row r="5694" spans="1:18" x14ac:dyDescent="0.2">
      <c r="A5694">
        <v>5693</v>
      </c>
      <c r="B5694" s="1">
        <v>40890</v>
      </c>
      <c r="C5694" t="s">
        <v>24</v>
      </c>
      <c r="D5694" s="7">
        <v>151</v>
      </c>
      <c r="E5694" s="7">
        <v>23</v>
      </c>
      <c r="F5694" s="7">
        <f t="shared" si="89"/>
        <v>3</v>
      </c>
      <c r="G5694" s="7" t="str">
        <f>LOOKUP(H5694,[1]startdates!$A$2:$A$10,[1]startdates!$B$2:$B$10)</f>
        <v>FMr</v>
      </c>
      <c r="H5694">
        <v>9</v>
      </c>
      <c r="I5694" s="7">
        <v>537.5</v>
      </c>
      <c r="O5694" s="7">
        <v>181.3</v>
      </c>
    </row>
    <row r="5695" spans="1:18" x14ac:dyDescent="0.2">
      <c r="A5695">
        <v>5694</v>
      </c>
      <c r="B5695" s="1">
        <v>40890</v>
      </c>
      <c r="C5695" t="s">
        <v>24</v>
      </c>
      <c r="D5695" s="7">
        <v>151</v>
      </c>
      <c r="E5695" s="7">
        <v>23</v>
      </c>
      <c r="F5695" s="7">
        <f t="shared" si="89"/>
        <v>3</v>
      </c>
      <c r="G5695" s="7" t="str">
        <f>LOOKUP(H5695,[1]startdates!$A$2:$A$10,[1]startdates!$B$2:$B$10)</f>
        <v>FMr</v>
      </c>
      <c r="H5695">
        <v>9</v>
      </c>
      <c r="I5695" s="7">
        <v>534.20000000000005</v>
      </c>
    </row>
    <row r="5696" spans="1:18" x14ac:dyDescent="0.2">
      <c r="A5696">
        <v>5695</v>
      </c>
      <c r="B5696" s="1">
        <v>40890</v>
      </c>
      <c r="C5696" t="s">
        <v>24</v>
      </c>
      <c r="D5696" s="7">
        <v>151</v>
      </c>
      <c r="E5696" s="7">
        <v>23</v>
      </c>
      <c r="F5696" s="7">
        <f t="shared" si="89"/>
        <v>3</v>
      </c>
      <c r="G5696" s="7" t="str">
        <f>LOOKUP(H5696,[1]startdates!$A$2:$A$10,[1]startdates!$B$2:$B$10)</f>
        <v>FMr</v>
      </c>
      <c r="H5696">
        <v>9</v>
      </c>
      <c r="I5696" s="7">
        <v>603.4</v>
      </c>
    </row>
    <row r="5697" spans="1:19" x14ac:dyDescent="0.2">
      <c r="A5697">
        <v>5696</v>
      </c>
      <c r="B5697" s="1">
        <v>40893</v>
      </c>
      <c r="C5697" t="s">
        <v>24</v>
      </c>
      <c r="D5697" s="7">
        <v>154</v>
      </c>
      <c r="E5697" s="7">
        <v>23</v>
      </c>
      <c r="F5697" s="7">
        <f t="shared" si="89"/>
        <v>6</v>
      </c>
      <c r="G5697" s="7" t="str">
        <f>LOOKUP(H5697,[1]startdates!$A$2:$A$10,[1]startdates!$B$2:$B$10)</f>
        <v>SMr</v>
      </c>
      <c r="H5697">
        <v>1</v>
      </c>
      <c r="I5697" s="7">
        <v>556.4</v>
      </c>
      <c r="J5697" s="7">
        <v>468.8</v>
      </c>
      <c r="K5697" s="7">
        <v>510.1</v>
      </c>
      <c r="L5697" s="7">
        <v>419.2</v>
      </c>
      <c r="M5697" s="7">
        <v>383.1</v>
      </c>
      <c r="N5697" s="7">
        <v>217.3</v>
      </c>
      <c r="O5697" s="7">
        <v>192</v>
      </c>
      <c r="P5697" s="7">
        <v>402.1</v>
      </c>
      <c r="Q5697" s="7">
        <v>342.4</v>
      </c>
      <c r="R5697" s="7">
        <v>257.7</v>
      </c>
      <c r="S5697" s="7">
        <v>250.8</v>
      </c>
    </row>
    <row r="5698" spans="1:19" x14ac:dyDescent="0.2">
      <c r="A5698">
        <v>5697</v>
      </c>
      <c r="B5698" s="1">
        <v>40893</v>
      </c>
      <c r="C5698" t="s">
        <v>24</v>
      </c>
      <c r="D5698" s="7">
        <v>154</v>
      </c>
      <c r="E5698" s="7">
        <v>23</v>
      </c>
      <c r="F5698" s="7">
        <f t="shared" si="89"/>
        <v>6</v>
      </c>
      <c r="G5698" s="7" t="str">
        <f>LOOKUP(H5698,[1]startdates!$A$2:$A$10,[1]startdates!$B$2:$B$10)</f>
        <v>SMr</v>
      </c>
      <c r="H5698">
        <v>1</v>
      </c>
      <c r="I5698" s="7">
        <v>601.9</v>
      </c>
      <c r="J5698" s="7">
        <v>497.3</v>
      </c>
      <c r="K5698" s="7">
        <v>481.1</v>
      </c>
      <c r="L5698" s="7">
        <v>423.2</v>
      </c>
      <c r="M5698" s="7">
        <v>387</v>
      </c>
      <c r="N5698" s="7">
        <v>229</v>
      </c>
      <c r="O5698" s="7">
        <v>183.1</v>
      </c>
      <c r="P5698" s="7">
        <v>481.6</v>
      </c>
      <c r="Q5698" s="7">
        <v>335.1</v>
      </c>
      <c r="R5698" s="7">
        <v>252</v>
      </c>
      <c r="S5698" s="7">
        <v>243.1</v>
      </c>
    </row>
    <row r="5699" spans="1:19" x14ac:dyDescent="0.2">
      <c r="A5699">
        <v>5698</v>
      </c>
      <c r="B5699" s="1">
        <v>40893</v>
      </c>
      <c r="C5699" t="s">
        <v>24</v>
      </c>
      <c r="D5699" s="7">
        <v>154</v>
      </c>
      <c r="E5699" s="7">
        <v>23</v>
      </c>
      <c r="F5699" s="7">
        <f t="shared" si="89"/>
        <v>6</v>
      </c>
      <c r="G5699" s="7" t="str">
        <f>LOOKUP(H5699,[1]startdates!$A$2:$A$10,[1]startdates!$B$2:$B$10)</f>
        <v>SMr</v>
      </c>
      <c r="H5699">
        <v>1</v>
      </c>
      <c r="I5699" s="7">
        <v>589.4</v>
      </c>
      <c r="K5699" s="7">
        <v>454</v>
      </c>
      <c r="L5699" s="7">
        <v>414.5</v>
      </c>
      <c r="M5699" s="7">
        <v>323.7</v>
      </c>
      <c r="N5699" s="7">
        <v>252.1</v>
      </c>
      <c r="O5699" s="7">
        <v>170.8</v>
      </c>
      <c r="Q5699" s="7">
        <v>337.5</v>
      </c>
      <c r="R5699" s="7">
        <v>296.89999999999998</v>
      </c>
      <c r="S5699" s="7">
        <v>267</v>
      </c>
    </row>
    <row r="5700" spans="1:19" x14ac:dyDescent="0.2">
      <c r="A5700">
        <v>5699</v>
      </c>
      <c r="B5700" s="1">
        <v>40893</v>
      </c>
      <c r="C5700" t="s">
        <v>24</v>
      </c>
      <c r="D5700" s="7">
        <v>154</v>
      </c>
      <c r="E5700" s="7">
        <v>23</v>
      </c>
      <c r="F5700" s="7">
        <f t="shared" si="89"/>
        <v>6</v>
      </c>
      <c r="G5700" s="7" t="str">
        <f>LOOKUP(H5700,[1]startdates!$A$2:$A$10,[1]startdates!$B$2:$B$10)</f>
        <v>SMr</v>
      </c>
      <c r="H5700">
        <v>1</v>
      </c>
      <c r="I5700" s="7">
        <v>494.7</v>
      </c>
      <c r="K5700" s="7">
        <v>379.9</v>
      </c>
      <c r="M5700" s="7">
        <v>314.8</v>
      </c>
      <c r="N5700" s="7">
        <v>229.8</v>
      </c>
      <c r="O5700" s="7">
        <v>181.3</v>
      </c>
      <c r="Q5700" s="7">
        <v>311.89999999999998</v>
      </c>
    </row>
    <row r="5701" spans="1:19" x14ac:dyDescent="0.2">
      <c r="A5701">
        <v>5700</v>
      </c>
      <c r="B5701" s="1">
        <v>40893</v>
      </c>
      <c r="C5701" t="s">
        <v>24</v>
      </c>
      <c r="D5701" s="7">
        <v>154</v>
      </c>
      <c r="E5701" s="7">
        <v>23</v>
      </c>
      <c r="F5701" s="7">
        <f t="shared" si="89"/>
        <v>6</v>
      </c>
      <c r="G5701" s="7" t="str">
        <f>LOOKUP(H5701,[1]startdates!$A$2:$A$10,[1]startdates!$B$2:$B$10)</f>
        <v>SMr</v>
      </c>
      <c r="H5701">
        <v>1</v>
      </c>
      <c r="I5701" s="7">
        <v>539.29999999999995</v>
      </c>
      <c r="K5701" s="7">
        <v>334</v>
      </c>
      <c r="M5701" s="7">
        <v>319.3</v>
      </c>
      <c r="N5701" s="7">
        <v>238.6</v>
      </c>
      <c r="O5701" s="7">
        <v>144.80000000000001</v>
      </c>
      <c r="Q5701" s="7">
        <v>374.5</v>
      </c>
    </row>
    <row r="5702" spans="1:19" x14ac:dyDescent="0.2">
      <c r="A5702">
        <v>5701</v>
      </c>
      <c r="B5702" s="1">
        <v>40893</v>
      </c>
      <c r="C5702" t="s">
        <v>24</v>
      </c>
      <c r="D5702" s="7">
        <v>154</v>
      </c>
      <c r="E5702" s="7">
        <v>23</v>
      </c>
      <c r="F5702" s="7">
        <f t="shared" si="89"/>
        <v>6</v>
      </c>
      <c r="G5702" s="7" t="str">
        <f>LOOKUP(H5702,[1]startdates!$A$2:$A$10,[1]startdates!$B$2:$B$10)</f>
        <v>SMr</v>
      </c>
      <c r="H5702">
        <v>1</v>
      </c>
      <c r="I5702" s="7">
        <v>477</v>
      </c>
      <c r="K5702" s="7">
        <v>365.5</v>
      </c>
      <c r="N5702" s="7">
        <v>219</v>
      </c>
      <c r="O5702" s="7">
        <v>161.4</v>
      </c>
    </row>
    <row r="5703" spans="1:19" x14ac:dyDescent="0.2">
      <c r="A5703">
        <v>5702</v>
      </c>
      <c r="B5703" s="1">
        <v>40893</v>
      </c>
      <c r="C5703" t="s">
        <v>24</v>
      </c>
      <c r="D5703" s="7">
        <v>154</v>
      </c>
      <c r="E5703" s="7">
        <v>23</v>
      </c>
      <c r="F5703" s="7">
        <f t="shared" si="89"/>
        <v>6</v>
      </c>
      <c r="G5703" s="7" t="str">
        <f>LOOKUP(H5703,[1]startdates!$A$2:$A$10,[1]startdates!$B$2:$B$10)</f>
        <v>SMr</v>
      </c>
      <c r="H5703">
        <v>1</v>
      </c>
      <c r="I5703" s="7">
        <v>567.70000000000005</v>
      </c>
      <c r="N5703" s="7">
        <v>210.1</v>
      </c>
      <c r="O5703" s="7">
        <v>185.7</v>
      </c>
    </row>
    <row r="5704" spans="1:19" x14ac:dyDescent="0.2">
      <c r="A5704">
        <v>5703</v>
      </c>
      <c r="B5704" s="1">
        <v>40893</v>
      </c>
      <c r="C5704" t="s">
        <v>24</v>
      </c>
      <c r="D5704" s="7">
        <v>154</v>
      </c>
      <c r="E5704" s="7">
        <v>23</v>
      </c>
      <c r="F5704" s="7">
        <f t="shared" si="89"/>
        <v>6</v>
      </c>
      <c r="G5704" s="7" t="str">
        <f>LOOKUP(H5704,[1]startdates!$A$2:$A$10,[1]startdates!$B$2:$B$10)</f>
        <v>SMr</v>
      </c>
      <c r="H5704">
        <v>1</v>
      </c>
      <c r="I5704" s="7">
        <v>552.6</v>
      </c>
      <c r="N5704" s="7">
        <v>201.6</v>
      </c>
      <c r="O5704" s="7">
        <v>175.6</v>
      </c>
    </row>
    <row r="5705" spans="1:19" x14ac:dyDescent="0.2">
      <c r="A5705">
        <v>5704</v>
      </c>
      <c r="B5705" s="1">
        <v>40893</v>
      </c>
      <c r="C5705" t="s">
        <v>24</v>
      </c>
      <c r="D5705" s="7">
        <v>154</v>
      </c>
      <c r="E5705" s="7">
        <v>23</v>
      </c>
      <c r="F5705" s="7">
        <f t="shared" si="89"/>
        <v>6</v>
      </c>
      <c r="G5705" s="7" t="str">
        <f>LOOKUP(H5705,[1]startdates!$A$2:$A$10,[1]startdates!$B$2:$B$10)</f>
        <v>SMr</v>
      </c>
      <c r="H5705">
        <v>1</v>
      </c>
      <c r="I5705" s="7">
        <v>515.79999999999995</v>
      </c>
      <c r="N5705" s="7">
        <v>190.1</v>
      </c>
      <c r="O5705" s="7">
        <v>154.9</v>
      </c>
    </row>
    <row r="5706" spans="1:19" x14ac:dyDescent="0.2">
      <c r="A5706">
        <v>5705</v>
      </c>
      <c r="B5706" s="1">
        <v>40893</v>
      </c>
      <c r="C5706" t="s">
        <v>24</v>
      </c>
      <c r="D5706" s="7">
        <v>154</v>
      </c>
      <c r="E5706" s="7">
        <v>23</v>
      </c>
      <c r="F5706" s="7">
        <f t="shared" si="89"/>
        <v>6</v>
      </c>
      <c r="G5706" s="7" t="str">
        <f>LOOKUP(H5706,[1]startdates!$A$2:$A$10,[1]startdates!$B$2:$B$10)</f>
        <v>SMr</v>
      </c>
      <c r="H5706">
        <v>1</v>
      </c>
      <c r="I5706" s="7">
        <v>579.79999999999995</v>
      </c>
      <c r="N5706" s="7">
        <v>214.7</v>
      </c>
      <c r="O5706" s="7">
        <v>168.1</v>
      </c>
    </row>
    <row r="5707" spans="1:19" x14ac:dyDescent="0.2">
      <c r="A5707">
        <v>5706</v>
      </c>
      <c r="B5707" s="1">
        <v>40893</v>
      </c>
      <c r="C5707" t="s">
        <v>28</v>
      </c>
      <c r="D5707" s="7">
        <v>154</v>
      </c>
      <c r="E5707" s="7">
        <v>23</v>
      </c>
      <c r="F5707" s="7">
        <f t="shared" si="89"/>
        <v>6</v>
      </c>
      <c r="G5707" s="7" t="str">
        <f>LOOKUP(H5707,[1]startdates!$A$2:$A$10,[1]startdates!$B$2:$B$10)</f>
        <v>SMr</v>
      </c>
      <c r="H5707">
        <v>2</v>
      </c>
      <c r="I5707" s="7">
        <v>667.7</v>
      </c>
      <c r="J5707" s="7">
        <v>557.70000000000005</v>
      </c>
      <c r="K5707" s="7">
        <v>482.2</v>
      </c>
      <c r="L5707" s="7">
        <v>424</v>
      </c>
      <c r="M5707" s="7">
        <v>330.7</v>
      </c>
      <c r="N5707" s="7">
        <v>288.8</v>
      </c>
      <c r="O5707" s="7">
        <v>166.5</v>
      </c>
      <c r="P5707" s="7">
        <v>426.8</v>
      </c>
      <c r="Q5707" s="7">
        <v>353.5</v>
      </c>
    </row>
    <row r="5708" spans="1:19" x14ac:dyDescent="0.2">
      <c r="A5708">
        <v>5707</v>
      </c>
      <c r="B5708" s="1">
        <v>40893</v>
      </c>
      <c r="C5708" t="s">
        <v>28</v>
      </c>
      <c r="D5708" s="7">
        <v>154</v>
      </c>
      <c r="E5708" s="7">
        <v>23</v>
      </c>
      <c r="F5708" s="7">
        <f t="shared" si="89"/>
        <v>6</v>
      </c>
      <c r="G5708" s="7" t="str">
        <f>LOOKUP(H5708,[1]startdates!$A$2:$A$10,[1]startdates!$B$2:$B$10)</f>
        <v>SMr</v>
      </c>
      <c r="H5708">
        <v>2</v>
      </c>
      <c r="I5708" s="7">
        <v>505.1</v>
      </c>
      <c r="K5708" s="7">
        <v>516.9</v>
      </c>
      <c r="L5708" s="7">
        <v>467.6</v>
      </c>
      <c r="M5708" s="7">
        <v>315.2</v>
      </c>
      <c r="N5708" s="7">
        <v>286.5</v>
      </c>
      <c r="O5708" s="7">
        <v>161.69999999999999</v>
      </c>
    </row>
    <row r="5709" spans="1:19" x14ac:dyDescent="0.2">
      <c r="A5709">
        <v>5708</v>
      </c>
      <c r="B5709" s="1">
        <v>40893</v>
      </c>
      <c r="C5709" t="s">
        <v>28</v>
      </c>
      <c r="D5709" s="7">
        <v>154</v>
      </c>
      <c r="E5709" s="7">
        <v>23</v>
      </c>
      <c r="F5709" s="7">
        <f t="shared" si="89"/>
        <v>6</v>
      </c>
      <c r="G5709" s="7" t="str">
        <f>LOOKUP(H5709,[1]startdates!$A$2:$A$10,[1]startdates!$B$2:$B$10)</f>
        <v>SMr</v>
      </c>
      <c r="H5709">
        <v>2</v>
      </c>
      <c r="I5709" s="7">
        <v>584.6</v>
      </c>
      <c r="K5709" s="7">
        <v>501.4</v>
      </c>
      <c r="L5709" s="7">
        <v>453.1</v>
      </c>
      <c r="M5709" s="7">
        <v>324.39999999999998</v>
      </c>
      <c r="N5709" s="7">
        <v>179.7</v>
      </c>
      <c r="O5709" s="7">
        <v>169.6</v>
      </c>
    </row>
    <row r="5710" spans="1:19" x14ac:dyDescent="0.2">
      <c r="A5710">
        <v>5709</v>
      </c>
      <c r="B5710" s="1">
        <v>40893</v>
      </c>
      <c r="C5710" t="s">
        <v>28</v>
      </c>
      <c r="D5710" s="7">
        <v>154</v>
      </c>
      <c r="E5710" s="7">
        <v>23</v>
      </c>
      <c r="F5710" s="7">
        <f t="shared" si="89"/>
        <v>6</v>
      </c>
      <c r="G5710" s="7" t="str">
        <f>LOOKUP(H5710,[1]startdates!$A$2:$A$10,[1]startdates!$B$2:$B$10)</f>
        <v>SMr</v>
      </c>
      <c r="H5710">
        <v>2</v>
      </c>
      <c r="I5710" s="7">
        <v>557.4</v>
      </c>
      <c r="K5710" s="7">
        <v>576.5</v>
      </c>
      <c r="L5710" s="7">
        <v>385.6</v>
      </c>
      <c r="M5710" s="7">
        <v>300.8</v>
      </c>
      <c r="N5710" s="7">
        <v>175</v>
      </c>
      <c r="O5710" s="7">
        <v>159.4</v>
      </c>
    </row>
    <row r="5711" spans="1:19" x14ac:dyDescent="0.2">
      <c r="A5711">
        <v>5710</v>
      </c>
      <c r="B5711" s="1">
        <v>40893</v>
      </c>
      <c r="C5711" t="s">
        <v>28</v>
      </c>
      <c r="D5711" s="7">
        <v>154</v>
      </c>
      <c r="E5711" s="7">
        <v>23</v>
      </c>
      <c r="F5711" s="7">
        <f t="shared" si="89"/>
        <v>6</v>
      </c>
      <c r="G5711" s="7" t="str">
        <f>LOOKUP(H5711,[1]startdates!$A$2:$A$10,[1]startdates!$B$2:$B$10)</f>
        <v>SMr</v>
      </c>
      <c r="H5711">
        <v>2</v>
      </c>
      <c r="I5711" s="7">
        <v>500.8</v>
      </c>
      <c r="L5711" s="7">
        <v>461.3</v>
      </c>
      <c r="M5711" s="7">
        <v>358</v>
      </c>
      <c r="N5711" s="7">
        <v>270.39999999999998</v>
      </c>
      <c r="O5711" s="7">
        <v>163.4</v>
      </c>
    </row>
    <row r="5712" spans="1:19" x14ac:dyDescent="0.2">
      <c r="A5712">
        <v>5711</v>
      </c>
      <c r="B5712" s="1">
        <v>40893</v>
      </c>
      <c r="C5712" t="s">
        <v>28</v>
      </c>
      <c r="D5712" s="7">
        <v>154</v>
      </c>
      <c r="E5712" s="7">
        <v>23</v>
      </c>
      <c r="F5712" s="7">
        <f t="shared" si="89"/>
        <v>6</v>
      </c>
      <c r="G5712" s="7" t="str">
        <f>LOOKUP(H5712,[1]startdates!$A$2:$A$10,[1]startdates!$B$2:$B$10)</f>
        <v>SMr</v>
      </c>
      <c r="H5712">
        <v>2</v>
      </c>
      <c r="I5712" s="7">
        <v>623.4</v>
      </c>
      <c r="L5712" s="7">
        <v>418.1</v>
      </c>
      <c r="M5712" s="7">
        <v>325.5</v>
      </c>
      <c r="N5712" s="7">
        <v>209.9</v>
      </c>
      <c r="O5712" s="7">
        <v>182.8</v>
      </c>
    </row>
    <row r="5713" spans="1:18" x14ac:dyDescent="0.2">
      <c r="A5713">
        <v>5712</v>
      </c>
      <c r="B5713" s="1">
        <v>40893</v>
      </c>
      <c r="C5713" t="s">
        <v>28</v>
      </c>
      <c r="D5713" s="7">
        <v>154</v>
      </c>
      <c r="E5713" s="7">
        <v>23</v>
      </c>
      <c r="F5713" s="7">
        <f t="shared" si="89"/>
        <v>6</v>
      </c>
      <c r="G5713" s="7" t="str">
        <f>LOOKUP(H5713,[1]startdates!$A$2:$A$10,[1]startdates!$B$2:$B$10)</f>
        <v>SMr</v>
      </c>
      <c r="H5713">
        <v>2</v>
      </c>
      <c r="I5713" s="7">
        <v>589.5</v>
      </c>
      <c r="M5713" s="7">
        <v>374.9</v>
      </c>
      <c r="N5713" s="7">
        <v>198.5</v>
      </c>
      <c r="O5713" s="7">
        <v>168.2</v>
      </c>
    </row>
    <row r="5714" spans="1:18" x14ac:dyDescent="0.2">
      <c r="A5714">
        <v>5713</v>
      </c>
      <c r="B5714" s="1">
        <v>40893</v>
      </c>
      <c r="C5714" t="s">
        <v>28</v>
      </c>
      <c r="D5714" s="7">
        <v>154</v>
      </c>
      <c r="E5714" s="7">
        <v>23</v>
      </c>
      <c r="F5714" s="7">
        <f t="shared" si="89"/>
        <v>6</v>
      </c>
      <c r="G5714" s="7" t="str">
        <f>LOOKUP(H5714,[1]startdates!$A$2:$A$10,[1]startdates!$B$2:$B$10)</f>
        <v>SMr</v>
      </c>
      <c r="H5714">
        <v>2</v>
      </c>
      <c r="I5714" s="7">
        <v>504.7</v>
      </c>
      <c r="M5714" s="7">
        <v>302.10000000000002</v>
      </c>
      <c r="N5714" s="7">
        <v>240.7</v>
      </c>
      <c r="O5714" s="7">
        <v>153.30000000000001</v>
      </c>
    </row>
    <row r="5715" spans="1:18" x14ac:dyDescent="0.2">
      <c r="A5715">
        <v>5714</v>
      </c>
      <c r="B5715" s="1">
        <v>40893</v>
      </c>
      <c r="C5715" t="s">
        <v>28</v>
      </c>
      <c r="D5715" s="7">
        <v>154</v>
      </c>
      <c r="E5715" s="7">
        <v>23</v>
      </c>
      <c r="F5715" s="7">
        <f t="shared" si="89"/>
        <v>6</v>
      </c>
      <c r="G5715" s="7" t="str">
        <f>LOOKUP(H5715,[1]startdates!$A$2:$A$10,[1]startdates!$B$2:$B$10)</f>
        <v>SMr</v>
      </c>
      <c r="H5715">
        <v>2</v>
      </c>
      <c r="I5715" s="7">
        <v>626.20000000000005</v>
      </c>
      <c r="M5715" s="7">
        <v>376.7</v>
      </c>
      <c r="N5715" s="7">
        <v>193.7</v>
      </c>
      <c r="O5715" s="7">
        <v>156</v>
      </c>
    </row>
    <row r="5716" spans="1:18" x14ac:dyDescent="0.2">
      <c r="A5716">
        <v>5715</v>
      </c>
      <c r="B5716" s="1">
        <v>40893</v>
      </c>
      <c r="C5716" t="s">
        <v>28</v>
      </c>
      <c r="D5716" s="7">
        <v>154</v>
      </c>
      <c r="E5716" s="7">
        <v>23</v>
      </c>
      <c r="F5716" s="7">
        <f t="shared" si="89"/>
        <v>6</v>
      </c>
      <c r="G5716" s="7" t="str">
        <f>LOOKUP(H5716,[1]startdates!$A$2:$A$10,[1]startdates!$B$2:$B$10)</f>
        <v>SMr</v>
      </c>
      <c r="H5716">
        <v>2</v>
      </c>
      <c r="I5716" s="7">
        <v>597.4</v>
      </c>
      <c r="M5716" s="7">
        <v>368.8</v>
      </c>
      <c r="N5716" s="7">
        <v>206</v>
      </c>
      <c r="O5716" s="7">
        <v>183.4</v>
      </c>
    </row>
    <row r="5717" spans="1:18" x14ac:dyDescent="0.2">
      <c r="A5717">
        <v>5716</v>
      </c>
      <c r="B5717" s="1">
        <v>40893</v>
      </c>
      <c r="C5717" t="s">
        <v>28</v>
      </c>
      <c r="D5717" s="7">
        <v>154</v>
      </c>
      <c r="E5717" s="7">
        <v>23</v>
      </c>
      <c r="F5717" s="7">
        <f t="shared" si="89"/>
        <v>6</v>
      </c>
      <c r="G5717" s="7" t="str">
        <f>LOOKUP(H5717,[1]startdates!$A$2:$A$10,[1]startdates!$B$2:$B$10)</f>
        <v>SMr</v>
      </c>
      <c r="H5717">
        <v>2</v>
      </c>
      <c r="I5717" s="7">
        <v>568.6</v>
      </c>
      <c r="N5717" s="7">
        <v>276.3</v>
      </c>
    </row>
    <row r="5718" spans="1:18" x14ac:dyDescent="0.2">
      <c r="A5718">
        <v>5717</v>
      </c>
      <c r="B5718" s="1">
        <v>40893</v>
      </c>
      <c r="C5718" t="s">
        <v>28</v>
      </c>
      <c r="D5718" s="7">
        <v>154</v>
      </c>
      <c r="E5718" s="7">
        <v>23</v>
      </c>
      <c r="F5718" s="7">
        <f t="shared" si="89"/>
        <v>6</v>
      </c>
      <c r="G5718" s="7" t="str">
        <f>LOOKUP(H5718,[1]startdates!$A$2:$A$10,[1]startdates!$B$2:$B$10)</f>
        <v>SMr</v>
      </c>
      <c r="H5718">
        <v>2</v>
      </c>
      <c r="I5718" s="7">
        <v>566.20000000000005</v>
      </c>
    </row>
    <row r="5719" spans="1:18" x14ac:dyDescent="0.2">
      <c r="A5719">
        <v>5718</v>
      </c>
      <c r="B5719" s="1">
        <v>40893</v>
      </c>
      <c r="C5719" t="s">
        <v>28</v>
      </c>
      <c r="D5719" s="7">
        <v>154</v>
      </c>
      <c r="E5719" s="7">
        <v>23</v>
      </c>
      <c r="F5719" s="7">
        <f t="shared" si="89"/>
        <v>6</v>
      </c>
      <c r="G5719" s="7" t="str">
        <f>LOOKUP(H5719,[1]startdates!$A$2:$A$10,[1]startdates!$B$2:$B$10)</f>
        <v>SMr</v>
      </c>
      <c r="H5719">
        <v>2</v>
      </c>
      <c r="I5719" s="7">
        <v>574.6</v>
      </c>
    </row>
    <row r="5720" spans="1:18" x14ac:dyDescent="0.2">
      <c r="A5720">
        <v>5719</v>
      </c>
      <c r="B5720" s="1">
        <v>40893</v>
      </c>
      <c r="C5720" t="s">
        <v>24</v>
      </c>
      <c r="D5720" s="7">
        <v>154</v>
      </c>
      <c r="E5720" s="7">
        <v>23</v>
      </c>
      <c r="F5720" s="7">
        <f t="shared" si="89"/>
        <v>6</v>
      </c>
      <c r="G5720" s="7" t="str">
        <f>LOOKUP(H5720,[1]startdates!$A$2:$A$10,[1]startdates!$B$2:$B$10)</f>
        <v>C</v>
      </c>
      <c r="H5720">
        <v>3</v>
      </c>
      <c r="I5720" s="7">
        <v>523.70000000000005</v>
      </c>
      <c r="K5720" s="7">
        <v>614.4</v>
      </c>
      <c r="L5720" s="7">
        <v>417.7</v>
      </c>
      <c r="M5720" s="7">
        <v>380.7</v>
      </c>
      <c r="N5720" s="7">
        <v>211</v>
      </c>
      <c r="O5720" s="7">
        <v>164.9</v>
      </c>
      <c r="P5720" s="7">
        <v>472.8</v>
      </c>
      <c r="R5720" s="7">
        <v>316.60000000000002</v>
      </c>
    </row>
    <row r="5721" spans="1:18" x14ac:dyDescent="0.2">
      <c r="A5721">
        <v>5720</v>
      </c>
      <c r="B5721" s="1">
        <v>40893</v>
      </c>
      <c r="C5721" t="s">
        <v>24</v>
      </c>
      <c r="D5721" s="7">
        <v>154</v>
      </c>
      <c r="E5721" s="7">
        <v>23</v>
      </c>
      <c r="F5721" s="7">
        <f t="shared" si="89"/>
        <v>6</v>
      </c>
      <c r="G5721" s="7" t="str">
        <f>LOOKUP(H5721,[1]startdates!$A$2:$A$10,[1]startdates!$B$2:$B$10)</f>
        <v>C</v>
      </c>
      <c r="H5721">
        <v>3</v>
      </c>
      <c r="I5721" s="7">
        <v>632.6</v>
      </c>
      <c r="K5721" s="7">
        <v>578</v>
      </c>
      <c r="L5721" s="7">
        <v>434</v>
      </c>
      <c r="M5721" s="7">
        <v>378.6</v>
      </c>
      <c r="N5721" s="7">
        <v>202.2</v>
      </c>
      <c r="O5721" s="7">
        <v>180.5</v>
      </c>
      <c r="R5721" s="7">
        <v>308.60000000000002</v>
      </c>
    </row>
    <row r="5722" spans="1:18" x14ac:dyDescent="0.2">
      <c r="A5722">
        <v>5721</v>
      </c>
      <c r="B5722" s="1">
        <v>40893</v>
      </c>
      <c r="C5722" t="s">
        <v>24</v>
      </c>
      <c r="D5722" s="7">
        <v>154</v>
      </c>
      <c r="E5722" s="7">
        <v>23</v>
      </c>
      <c r="F5722" s="7">
        <f t="shared" si="89"/>
        <v>6</v>
      </c>
      <c r="G5722" s="7" t="str">
        <f>LOOKUP(H5722,[1]startdates!$A$2:$A$10,[1]startdates!$B$2:$B$10)</f>
        <v>C</v>
      </c>
      <c r="H5722">
        <v>3</v>
      </c>
      <c r="I5722" s="7">
        <v>629.79999999999995</v>
      </c>
      <c r="K5722" s="7">
        <v>480.4</v>
      </c>
      <c r="M5722" s="7">
        <v>357.4</v>
      </c>
      <c r="N5722" s="7">
        <v>216</v>
      </c>
      <c r="O5722" s="7">
        <v>145.6</v>
      </c>
    </row>
    <row r="5723" spans="1:18" x14ac:dyDescent="0.2">
      <c r="A5723">
        <v>5722</v>
      </c>
      <c r="B5723" s="1">
        <v>40893</v>
      </c>
      <c r="C5723" t="s">
        <v>24</v>
      </c>
      <c r="D5723" s="7">
        <v>154</v>
      </c>
      <c r="E5723" s="7">
        <v>23</v>
      </c>
      <c r="F5723" s="7">
        <f t="shared" si="89"/>
        <v>6</v>
      </c>
      <c r="G5723" s="7" t="str">
        <f>LOOKUP(H5723,[1]startdates!$A$2:$A$10,[1]startdates!$B$2:$B$10)</f>
        <v>C</v>
      </c>
      <c r="H5723">
        <v>3</v>
      </c>
      <c r="I5723" s="7">
        <v>573.29999999999995</v>
      </c>
      <c r="K5723" s="7">
        <v>422.9</v>
      </c>
      <c r="M5723" s="7">
        <v>304.60000000000002</v>
      </c>
      <c r="N5723" s="7">
        <v>208.4</v>
      </c>
      <c r="O5723" s="7">
        <v>177.3</v>
      </c>
    </row>
    <row r="5724" spans="1:18" x14ac:dyDescent="0.2">
      <c r="A5724">
        <v>5723</v>
      </c>
      <c r="B5724" s="1">
        <v>40893</v>
      </c>
      <c r="C5724" t="s">
        <v>24</v>
      </c>
      <c r="D5724" s="7">
        <v>154</v>
      </c>
      <c r="E5724" s="7">
        <v>23</v>
      </c>
      <c r="F5724" s="7">
        <f t="shared" si="89"/>
        <v>6</v>
      </c>
      <c r="G5724" s="7" t="str">
        <f>LOOKUP(H5724,[1]startdates!$A$2:$A$10,[1]startdates!$B$2:$B$10)</f>
        <v>C</v>
      </c>
      <c r="H5724">
        <v>3</v>
      </c>
      <c r="I5724" s="7">
        <v>601.9</v>
      </c>
      <c r="K5724" s="7">
        <v>512.20000000000005</v>
      </c>
      <c r="M5724" s="7">
        <v>343.5</v>
      </c>
      <c r="N5724" s="7">
        <v>190.1</v>
      </c>
      <c r="O5724" s="7">
        <v>181.5</v>
      </c>
    </row>
    <row r="5725" spans="1:18" x14ac:dyDescent="0.2">
      <c r="A5725">
        <v>5724</v>
      </c>
      <c r="B5725" s="1">
        <v>40893</v>
      </c>
      <c r="C5725" t="s">
        <v>24</v>
      </c>
      <c r="D5725" s="7">
        <v>154</v>
      </c>
      <c r="E5725" s="7">
        <v>23</v>
      </c>
      <c r="F5725" s="7">
        <f t="shared" si="89"/>
        <v>6</v>
      </c>
      <c r="G5725" s="7" t="str">
        <f>LOOKUP(H5725,[1]startdates!$A$2:$A$10,[1]startdates!$B$2:$B$10)</f>
        <v>C</v>
      </c>
      <c r="H5725">
        <v>3</v>
      </c>
      <c r="I5725" s="7">
        <v>605.5</v>
      </c>
      <c r="K5725" s="7">
        <v>487.6</v>
      </c>
      <c r="M5725" s="7">
        <v>327</v>
      </c>
      <c r="N5725" s="7">
        <v>195.1</v>
      </c>
      <c r="O5725" s="7">
        <v>172.5</v>
      </c>
    </row>
    <row r="5726" spans="1:18" x14ac:dyDescent="0.2">
      <c r="A5726">
        <v>5725</v>
      </c>
      <c r="B5726" s="1">
        <v>40893</v>
      </c>
      <c r="C5726" t="s">
        <v>24</v>
      </c>
      <c r="D5726" s="7">
        <v>154</v>
      </c>
      <c r="E5726" s="7">
        <v>23</v>
      </c>
      <c r="F5726" s="7">
        <f t="shared" si="89"/>
        <v>6</v>
      </c>
      <c r="G5726" s="7" t="str">
        <f>LOOKUP(H5726,[1]startdates!$A$2:$A$10,[1]startdates!$B$2:$B$10)</f>
        <v>C</v>
      </c>
      <c r="H5726">
        <v>3</v>
      </c>
      <c r="I5726" s="7">
        <v>572</v>
      </c>
      <c r="K5726" s="7">
        <v>541.29999999999995</v>
      </c>
      <c r="M5726" s="7">
        <v>286.5</v>
      </c>
      <c r="N5726" s="7">
        <v>184.7</v>
      </c>
      <c r="O5726" s="7">
        <v>186.3</v>
      </c>
    </row>
    <row r="5727" spans="1:18" x14ac:dyDescent="0.2">
      <c r="A5727">
        <v>5726</v>
      </c>
      <c r="B5727" s="1">
        <v>40893</v>
      </c>
      <c r="C5727" t="s">
        <v>24</v>
      </c>
      <c r="D5727" s="7">
        <v>154</v>
      </c>
      <c r="E5727" s="7">
        <v>23</v>
      </c>
      <c r="F5727" s="7">
        <f t="shared" si="89"/>
        <v>6</v>
      </c>
      <c r="G5727" s="7" t="str">
        <f>LOOKUP(H5727,[1]startdates!$A$2:$A$10,[1]startdates!$B$2:$B$10)</f>
        <v>C</v>
      </c>
      <c r="H5727">
        <v>3</v>
      </c>
      <c r="I5727" s="7">
        <v>576.29999999999995</v>
      </c>
      <c r="K5727" s="7">
        <v>449.5</v>
      </c>
      <c r="M5727" s="7">
        <v>294.2</v>
      </c>
      <c r="N5727" s="7">
        <v>187.9</v>
      </c>
      <c r="O5727" s="7">
        <v>155.19999999999999</v>
      </c>
    </row>
    <row r="5728" spans="1:18" x14ac:dyDescent="0.2">
      <c r="A5728">
        <v>5727</v>
      </c>
      <c r="B5728" s="1">
        <v>40893</v>
      </c>
      <c r="C5728" t="s">
        <v>24</v>
      </c>
      <c r="D5728" s="7">
        <v>154</v>
      </c>
      <c r="E5728" s="7">
        <v>23</v>
      </c>
      <c r="F5728" s="7">
        <f t="shared" si="89"/>
        <v>6</v>
      </c>
      <c r="G5728" s="7" t="str">
        <f>LOOKUP(H5728,[1]startdates!$A$2:$A$10,[1]startdates!$B$2:$B$10)</f>
        <v>C</v>
      </c>
      <c r="H5728">
        <v>3</v>
      </c>
      <c r="K5728" s="7">
        <v>506.6</v>
      </c>
      <c r="N5728" s="7">
        <v>233.9</v>
      </c>
      <c r="O5728" s="7">
        <v>202.2</v>
      </c>
    </row>
    <row r="5729" spans="1:18" x14ac:dyDescent="0.2">
      <c r="A5729">
        <v>5728</v>
      </c>
      <c r="B5729" s="1">
        <v>40893</v>
      </c>
      <c r="C5729" t="s">
        <v>24</v>
      </c>
      <c r="D5729" s="7">
        <v>154</v>
      </c>
      <c r="E5729" s="7">
        <v>23</v>
      </c>
      <c r="F5729" s="7">
        <f t="shared" si="89"/>
        <v>6</v>
      </c>
      <c r="G5729" s="7" t="str">
        <f>LOOKUP(H5729,[1]startdates!$A$2:$A$10,[1]startdates!$B$2:$B$10)</f>
        <v>C</v>
      </c>
      <c r="H5729">
        <v>3</v>
      </c>
      <c r="K5729" s="7">
        <v>559.9</v>
      </c>
      <c r="N5729" s="7">
        <v>209.3</v>
      </c>
      <c r="O5729" s="7">
        <v>188.7</v>
      </c>
    </row>
    <row r="5730" spans="1:18" x14ac:dyDescent="0.2">
      <c r="A5730">
        <v>5729</v>
      </c>
      <c r="B5730" s="1">
        <v>40893</v>
      </c>
      <c r="C5730" t="s">
        <v>24</v>
      </c>
      <c r="D5730" s="7">
        <v>154</v>
      </c>
      <c r="E5730" s="7">
        <v>23</v>
      </c>
      <c r="F5730" s="7">
        <f t="shared" si="89"/>
        <v>6</v>
      </c>
      <c r="G5730" s="7" t="str">
        <f>LOOKUP(H5730,[1]startdates!$A$2:$A$10,[1]startdates!$B$2:$B$10)</f>
        <v>C</v>
      </c>
      <c r="H5730">
        <v>3</v>
      </c>
      <c r="K5730" s="7">
        <v>469.3</v>
      </c>
    </row>
    <row r="5731" spans="1:18" x14ac:dyDescent="0.2">
      <c r="A5731">
        <v>5730</v>
      </c>
      <c r="B5731" s="1">
        <v>40893</v>
      </c>
      <c r="C5731" t="s">
        <v>24</v>
      </c>
      <c r="D5731" s="7">
        <v>154</v>
      </c>
      <c r="E5731" s="7">
        <v>23</v>
      </c>
      <c r="F5731" s="7">
        <f t="shared" si="89"/>
        <v>6</v>
      </c>
      <c r="G5731" s="7" t="str">
        <f>LOOKUP(H5731,[1]startdates!$A$2:$A$10,[1]startdates!$B$2:$B$10)</f>
        <v>C</v>
      </c>
      <c r="H5731">
        <v>3</v>
      </c>
      <c r="K5731" s="7">
        <v>470.6</v>
      </c>
    </row>
    <row r="5732" spans="1:18" x14ac:dyDescent="0.2">
      <c r="A5732">
        <v>5731</v>
      </c>
      <c r="B5732" s="1">
        <v>40893</v>
      </c>
      <c r="C5732" t="s">
        <v>28</v>
      </c>
      <c r="D5732" s="7">
        <v>154</v>
      </c>
      <c r="E5732" s="7">
        <v>23</v>
      </c>
      <c r="F5732" s="7">
        <f t="shared" si="89"/>
        <v>6</v>
      </c>
      <c r="G5732" s="7" t="str">
        <f>LOOKUP(H5732,[1]startdates!$A$2:$A$10,[1]startdates!$B$2:$B$10)</f>
        <v>SMr</v>
      </c>
      <c r="H5732">
        <v>4</v>
      </c>
      <c r="I5732" s="7">
        <v>622.4</v>
      </c>
      <c r="K5732" s="7">
        <v>521.6</v>
      </c>
      <c r="L5732" s="7">
        <v>396.5</v>
      </c>
      <c r="M5732" s="7">
        <v>336.6</v>
      </c>
      <c r="N5732" s="7">
        <v>194.3</v>
      </c>
      <c r="O5732" s="7">
        <v>165.8</v>
      </c>
      <c r="P5732" s="7">
        <v>431.6</v>
      </c>
      <c r="Q5732" s="7">
        <v>317.89999999999998</v>
      </c>
      <c r="R5732" s="7">
        <v>282.2</v>
      </c>
    </row>
    <row r="5733" spans="1:18" x14ac:dyDescent="0.2">
      <c r="A5733">
        <v>5732</v>
      </c>
      <c r="B5733" s="1">
        <v>40893</v>
      </c>
      <c r="C5733" t="s">
        <v>28</v>
      </c>
      <c r="D5733" s="7">
        <v>154</v>
      </c>
      <c r="E5733" s="7">
        <v>23</v>
      </c>
      <c r="F5733" s="7">
        <f t="shared" si="89"/>
        <v>6</v>
      </c>
      <c r="G5733" s="7" t="str">
        <f>LOOKUP(H5733,[1]startdates!$A$2:$A$10,[1]startdates!$B$2:$B$10)</f>
        <v>SMr</v>
      </c>
      <c r="H5733">
        <v>4</v>
      </c>
      <c r="I5733" s="7">
        <v>631.1</v>
      </c>
      <c r="K5733" s="7">
        <v>555</v>
      </c>
      <c r="L5733" s="7">
        <v>449.7</v>
      </c>
      <c r="M5733" s="7">
        <v>370.4</v>
      </c>
      <c r="N5733" s="7">
        <v>229.6</v>
      </c>
      <c r="O5733" s="7">
        <v>178.1</v>
      </c>
      <c r="P5733" s="7">
        <v>442.8</v>
      </c>
      <c r="Q5733" s="7">
        <v>315.5</v>
      </c>
    </row>
    <row r="5734" spans="1:18" x14ac:dyDescent="0.2">
      <c r="A5734">
        <v>5733</v>
      </c>
      <c r="B5734" s="1">
        <v>40893</v>
      </c>
      <c r="C5734" t="s">
        <v>28</v>
      </c>
      <c r="D5734" s="7">
        <v>154</v>
      </c>
      <c r="E5734" s="7">
        <v>23</v>
      </c>
      <c r="F5734" s="7">
        <f t="shared" si="89"/>
        <v>6</v>
      </c>
      <c r="G5734" s="7" t="str">
        <f>LOOKUP(H5734,[1]startdates!$A$2:$A$10,[1]startdates!$B$2:$B$10)</f>
        <v>SMr</v>
      </c>
      <c r="H5734">
        <v>4</v>
      </c>
      <c r="I5734" s="7">
        <v>518.9</v>
      </c>
      <c r="K5734" s="7">
        <v>466.7</v>
      </c>
      <c r="L5734" s="7">
        <v>411.6</v>
      </c>
      <c r="M5734" s="7">
        <v>342.4</v>
      </c>
      <c r="N5734" s="7">
        <v>203.3</v>
      </c>
      <c r="O5734" s="7">
        <v>169</v>
      </c>
      <c r="Q5734" s="7">
        <v>326.7</v>
      </c>
    </row>
    <row r="5735" spans="1:18" x14ac:dyDescent="0.2">
      <c r="A5735">
        <v>5734</v>
      </c>
      <c r="B5735" s="1">
        <v>40893</v>
      </c>
      <c r="C5735" t="s">
        <v>28</v>
      </c>
      <c r="D5735" s="7">
        <v>154</v>
      </c>
      <c r="E5735" s="7">
        <v>23</v>
      </c>
      <c r="F5735" s="7">
        <f t="shared" si="89"/>
        <v>6</v>
      </c>
      <c r="G5735" s="7" t="str">
        <f>LOOKUP(H5735,[1]startdates!$A$2:$A$10,[1]startdates!$B$2:$B$10)</f>
        <v>SMr</v>
      </c>
      <c r="H5735">
        <v>4</v>
      </c>
      <c r="I5735" s="7">
        <v>461.3</v>
      </c>
      <c r="K5735" s="7">
        <v>494.5</v>
      </c>
      <c r="L5735" s="7">
        <v>411.7</v>
      </c>
      <c r="M5735" s="7">
        <v>299.5</v>
      </c>
      <c r="N5735" s="7">
        <v>174.6</v>
      </c>
      <c r="O5735" s="7">
        <v>166.7</v>
      </c>
      <c r="Q5735" s="7">
        <v>337.8</v>
      </c>
    </row>
    <row r="5736" spans="1:18" x14ac:dyDescent="0.2">
      <c r="A5736">
        <v>5735</v>
      </c>
      <c r="B5736" s="1">
        <v>40893</v>
      </c>
      <c r="C5736" t="s">
        <v>28</v>
      </c>
      <c r="D5736" s="7">
        <v>154</v>
      </c>
      <c r="E5736" s="7">
        <v>23</v>
      </c>
      <c r="F5736" s="7">
        <f t="shared" si="89"/>
        <v>6</v>
      </c>
      <c r="G5736" s="7" t="str">
        <f>LOOKUP(H5736,[1]startdates!$A$2:$A$10,[1]startdates!$B$2:$B$10)</f>
        <v>SMr</v>
      </c>
      <c r="H5736">
        <v>4</v>
      </c>
      <c r="I5736" s="7">
        <v>610.79999999999995</v>
      </c>
      <c r="K5736" s="7">
        <v>513.6</v>
      </c>
      <c r="L5736" s="7">
        <v>452.9</v>
      </c>
      <c r="M5736" s="7">
        <v>291.10000000000002</v>
      </c>
      <c r="N5736" s="7">
        <v>176.9</v>
      </c>
      <c r="O5736" s="7">
        <v>170.2</v>
      </c>
      <c r="Q5736" s="7">
        <v>342.7</v>
      </c>
    </row>
    <row r="5737" spans="1:18" x14ac:dyDescent="0.2">
      <c r="A5737">
        <v>5736</v>
      </c>
      <c r="B5737" s="1">
        <v>40893</v>
      </c>
      <c r="C5737" t="s">
        <v>28</v>
      </c>
      <c r="D5737" s="7">
        <v>154</v>
      </c>
      <c r="E5737" s="7">
        <v>23</v>
      </c>
      <c r="F5737" s="7">
        <f t="shared" ref="F5737:F5800" si="90">WEEKDAY(B5737)</f>
        <v>6</v>
      </c>
      <c r="G5737" s="7" t="str">
        <f>LOOKUP(H5737,[1]startdates!$A$2:$A$10,[1]startdates!$B$2:$B$10)</f>
        <v>SMr</v>
      </c>
      <c r="H5737">
        <v>4</v>
      </c>
      <c r="I5737" s="7">
        <v>562.6</v>
      </c>
      <c r="L5737" s="7">
        <v>429.9</v>
      </c>
      <c r="M5737" s="7">
        <v>342.4</v>
      </c>
      <c r="N5737" s="7">
        <v>193.2</v>
      </c>
      <c r="O5737" s="7">
        <v>164.9</v>
      </c>
    </row>
    <row r="5738" spans="1:18" x14ac:dyDescent="0.2">
      <c r="A5738">
        <v>5737</v>
      </c>
      <c r="B5738" s="1">
        <v>40893</v>
      </c>
      <c r="C5738" t="s">
        <v>28</v>
      </c>
      <c r="D5738" s="7">
        <v>154</v>
      </c>
      <c r="E5738" s="7">
        <v>23</v>
      </c>
      <c r="F5738" s="7">
        <f t="shared" si="90"/>
        <v>6</v>
      </c>
      <c r="G5738" s="7" t="str">
        <f>LOOKUP(H5738,[1]startdates!$A$2:$A$10,[1]startdates!$B$2:$B$10)</f>
        <v>SMr</v>
      </c>
      <c r="H5738">
        <v>4</v>
      </c>
      <c r="I5738" s="7">
        <v>572.29999999999995</v>
      </c>
      <c r="L5738" s="7">
        <v>416.4</v>
      </c>
      <c r="M5738" s="7">
        <v>299.5</v>
      </c>
      <c r="N5738" s="7">
        <v>192.9</v>
      </c>
      <c r="O5738" s="7">
        <v>173.5</v>
      </c>
    </row>
    <row r="5739" spans="1:18" x14ac:dyDescent="0.2">
      <c r="A5739">
        <v>5738</v>
      </c>
      <c r="B5739" s="1">
        <v>40893</v>
      </c>
      <c r="C5739" t="s">
        <v>28</v>
      </c>
      <c r="D5739" s="7">
        <v>154</v>
      </c>
      <c r="E5739" s="7">
        <v>23</v>
      </c>
      <c r="F5739" s="7">
        <f t="shared" si="90"/>
        <v>6</v>
      </c>
      <c r="G5739" s="7" t="str">
        <f>LOOKUP(H5739,[1]startdates!$A$2:$A$10,[1]startdates!$B$2:$B$10)</f>
        <v>SMr</v>
      </c>
      <c r="H5739">
        <v>4</v>
      </c>
      <c r="I5739" s="7">
        <v>627.6</v>
      </c>
      <c r="L5739" s="7">
        <v>423.3</v>
      </c>
      <c r="M5739" s="7">
        <v>291.10000000000002</v>
      </c>
      <c r="N5739" s="7">
        <v>241.2</v>
      </c>
      <c r="O5739" s="7">
        <v>165</v>
      </c>
    </row>
    <row r="5740" spans="1:18" x14ac:dyDescent="0.2">
      <c r="A5740">
        <v>5739</v>
      </c>
      <c r="B5740" s="1">
        <v>40893</v>
      </c>
      <c r="C5740" t="s">
        <v>28</v>
      </c>
      <c r="D5740" s="7">
        <v>154</v>
      </c>
      <c r="E5740" s="7">
        <v>23</v>
      </c>
      <c r="F5740" s="7">
        <f t="shared" si="90"/>
        <v>6</v>
      </c>
      <c r="G5740" s="7" t="str">
        <f>LOOKUP(H5740,[1]startdates!$A$2:$A$10,[1]startdates!$B$2:$B$10)</f>
        <v>SMr</v>
      </c>
      <c r="H5740">
        <v>4</v>
      </c>
      <c r="I5740" s="7">
        <v>659.3</v>
      </c>
      <c r="L5740" s="7">
        <v>400.4</v>
      </c>
      <c r="M5740" s="7">
        <v>337.9</v>
      </c>
      <c r="N5740" s="7">
        <v>203.8</v>
      </c>
      <c r="O5740" s="7">
        <v>160</v>
      </c>
    </row>
    <row r="5741" spans="1:18" x14ac:dyDescent="0.2">
      <c r="A5741">
        <v>5740</v>
      </c>
      <c r="B5741" s="1">
        <v>40893</v>
      </c>
      <c r="C5741" t="s">
        <v>28</v>
      </c>
      <c r="D5741" s="7">
        <v>154</v>
      </c>
      <c r="E5741" s="7">
        <v>23</v>
      </c>
      <c r="F5741" s="7">
        <f t="shared" si="90"/>
        <v>6</v>
      </c>
      <c r="G5741" s="7" t="str">
        <f>LOOKUP(H5741,[1]startdates!$A$2:$A$10,[1]startdates!$B$2:$B$10)</f>
        <v>SMr</v>
      </c>
      <c r="H5741">
        <v>4</v>
      </c>
      <c r="I5741" s="7">
        <v>531.29999999999995</v>
      </c>
      <c r="L5741" s="7">
        <v>437.1</v>
      </c>
      <c r="M5741" s="7">
        <v>356.7</v>
      </c>
      <c r="N5741" s="7">
        <v>219.1</v>
      </c>
      <c r="O5741" s="7">
        <v>162.69999999999999</v>
      </c>
    </row>
    <row r="5742" spans="1:18" x14ac:dyDescent="0.2">
      <c r="A5742">
        <v>5741</v>
      </c>
      <c r="B5742" s="1">
        <v>40893</v>
      </c>
      <c r="C5742" t="s">
        <v>28</v>
      </c>
      <c r="D5742" s="7">
        <v>154</v>
      </c>
      <c r="E5742" s="7">
        <v>23</v>
      </c>
      <c r="F5742" s="7">
        <f t="shared" si="90"/>
        <v>6</v>
      </c>
      <c r="G5742" s="7" t="str">
        <f>LOOKUP(H5742,[1]startdates!$A$2:$A$10,[1]startdates!$B$2:$B$10)</f>
        <v>SMr</v>
      </c>
      <c r="H5742">
        <v>4</v>
      </c>
      <c r="I5742" s="7">
        <v>472.3</v>
      </c>
      <c r="L5742" s="7">
        <v>396</v>
      </c>
      <c r="M5742" s="7">
        <v>377.2</v>
      </c>
      <c r="O5742" s="7">
        <v>160.4</v>
      </c>
    </row>
    <row r="5743" spans="1:18" x14ac:dyDescent="0.2">
      <c r="A5743">
        <v>5742</v>
      </c>
      <c r="B5743" s="1">
        <v>40893</v>
      </c>
      <c r="C5743" t="s">
        <v>28</v>
      </c>
      <c r="D5743" s="7">
        <v>154</v>
      </c>
      <c r="E5743" s="7">
        <v>23</v>
      </c>
      <c r="F5743" s="7">
        <f t="shared" si="90"/>
        <v>6</v>
      </c>
      <c r="G5743" s="7" t="str">
        <f>LOOKUP(H5743,[1]startdates!$A$2:$A$10,[1]startdates!$B$2:$B$10)</f>
        <v>SMr</v>
      </c>
      <c r="H5743">
        <v>4</v>
      </c>
      <c r="M5743" s="7">
        <v>295.89999999999998</v>
      </c>
    </row>
    <row r="5744" spans="1:18" x14ac:dyDescent="0.2">
      <c r="A5744">
        <v>5743</v>
      </c>
      <c r="B5744" s="1">
        <v>40893</v>
      </c>
      <c r="C5744" t="s">
        <v>28</v>
      </c>
      <c r="D5744" s="7">
        <v>154</v>
      </c>
      <c r="E5744" s="7">
        <v>23</v>
      </c>
      <c r="F5744" s="7">
        <f t="shared" si="90"/>
        <v>6</v>
      </c>
      <c r="G5744" s="7" t="str">
        <f>LOOKUP(H5744,[1]startdates!$A$2:$A$10,[1]startdates!$B$2:$B$10)</f>
        <v>SMr</v>
      </c>
      <c r="H5744">
        <v>4</v>
      </c>
      <c r="M5744" s="7">
        <v>326.2</v>
      </c>
    </row>
    <row r="5745" spans="1:18" x14ac:dyDescent="0.2">
      <c r="A5745">
        <v>5744</v>
      </c>
      <c r="B5745" s="1">
        <v>40893</v>
      </c>
      <c r="C5745" t="s">
        <v>24</v>
      </c>
      <c r="D5745" s="7">
        <v>154</v>
      </c>
      <c r="E5745" s="7">
        <v>23</v>
      </c>
      <c r="F5745" s="7">
        <f t="shared" si="90"/>
        <v>6</v>
      </c>
      <c r="G5745" s="7" t="str">
        <f>LOOKUP(H5745,[1]startdates!$A$2:$A$10,[1]startdates!$B$2:$B$10)</f>
        <v>C</v>
      </c>
      <c r="H5745">
        <v>5</v>
      </c>
      <c r="I5745" s="7">
        <v>537.6</v>
      </c>
      <c r="J5745" s="7">
        <v>524.9</v>
      </c>
      <c r="K5745" s="7">
        <v>511.2</v>
      </c>
      <c r="L5745" s="7">
        <v>402.2</v>
      </c>
      <c r="M5745" s="7">
        <v>373.8</v>
      </c>
      <c r="N5745" s="7">
        <v>221</v>
      </c>
      <c r="O5745" s="7">
        <v>150.19999999999999</v>
      </c>
      <c r="P5745" s="7">
        <v>538.20000000000005</v>
      </c>
      <c r="Q5745" s="7">
        <v>406.6</v>
      </c>
      <c r="R5745" s="7">
        <v>294.8</v>
      </c>
    </row>
    <row r="5746" spans="1:18" x14ac:dyDescent="0.2">
      <c r="A5746">
        <v>5745</v>
      </c>
      <c r="B5746" s="1">
        <v>40893</v>
      </c>
      <c r="C5746" t="s">
        <v>24</v>
      </c>
      <c r="D5746" s="7">
        <v>154</v>
      </c>
      <c r="E5746" s="7">
        <v>23</v>
      </c>
      <c r="F5746" s="7">
        <f t="shared" si="90"/>
        <v>6</v>
      </c>
      <c r="G5746" s="7" t="str">
        <f>LOOKUP(H5746,[1]startdates!$A$2:$A$10,[1]startdates!$B$2:$B$10)</f>
        <v>C</v>
      </c>
      <c r="H5746">
        <v>5</v>
      </c>
      <c r="I5746" s="7">
        <v>632.6</v>
      </c>
      <c r="K5746" s="7">
        <v>563.20000000000005</v>
      </c>
      <c r="L5746" s="7">
        <v>427.1</v>
      </c>
      <c r="M5746" s="7">
        <v>385.2</v>
      </c>
      <c r="N5746" s="7">
        <v>230.7</v>
      </c>
      <c r="O5746" s="7">
        <v>176.8</v>
      </c>
      <c r="P5746" s="7">
        <v>497</v>
      </c>
      <c r="Q5746" s="7">
        <v>352.4</v>
      </c>
      <c r="R5746" s="7">
        <v>265.7</v>
      </c>
    </row>
    <row r="5747" spans="1:18" x14ac:dyDescent="0.2">
      <c r="A5747">
        <v>5746</v>
      </c>
      <c r="B5747" s="1">
        <v>40893</v>
      </c>
      <c r="C5747" t="s">
        <v>24</v>
      </c>
      <c r="D5747" s="7">
        <v>154</v>
      </c>
      <c r="E5747" s="7">
        <v>23</v>
      </c>
      <c r="F5747" s="7">
        <f t="shared" si="90"/>
        <v>6</v>
      </c>
      <c r="G5747" s="7" t="str">
        <f>LOOKUP(H5747,[1]startdates!$A$2:$A$10,[1]startdates!$B$2:$B$10)</f>
        <v>C</v>
      </c>
      <c r="H5747">
        <v>5</v>
      </c>
      <c r="I5747" s="7">
        <v>622.79999999999995</v>
      </c>
      <c r="K5747" s="7">
        <v>473.8</v>
      </c>
      <c r="L5747" s="7">
        <v>372.7</v>
      </c>
      <c r="M5747" s="7">
        <v>309.5</v>
      </c>
      <c r="N5747" s="7">
        <v>167</v>
      </c>
      <c r="O5747" s="7">
        <v>182.5</v>
      </c>
      <c r="P5747" s="7">
        <v>467.2</v>
      </c>
      <c r="Q5747" s="7">
        <v>334.9</v>
      </c>
    </row>
    <row r="5748" spans="1:18" x14ac:dyDescent="0.2">
      <c r="A5748">
        <v>5747</v>
      </c>
      <c r="B5748" s="1">
        <v>40893</v>
      </c>
      <c r="C5748" t="s">
        <v>24</v>
      </c>
      <c r="D5748" s="7">
        <v>154</v>
      </c>
      <c r="E5748" s="7">
        <v>23</v>
      </c>
      <c r="F5748" s="7">
        <f t="shared" si="90"/>
        <v>6</v>
      </c>
      <c r="G5748" s="7" t="str">
        <f>LOOKUP(H5748,[1]startdates!$A$2:$A$10,[1]startdates!$B$2:$B$10)</f>
        <v>C</v>
      </c>
      <c r="H5748">
        <v>5</v>
      </c>
      <c r="I5748" s="7">
        <v>655.7</v>
      </c>
      <c r="K5748" s="7">
        <v>427</v>
      </c>
      <c r="L5748" s="7">
        <v>385.2</v>
      </c>
      <c r="M5748" s="7">
        <v>289.8</v>
      </c>
      <c r="N5748" s="7">
        <v>205.5</v>
      </c>
      <c r="O5748" s="7">
        <v>169.2</v>
      </c>
    </row>
    <row r="5749" spans="1:18" x14ac:dyDescent="0.2">
      <c r="A5749">
        <v>5748</v>
      </c>
      <c r="B5749" s="1">
        <v>40893</v>
      </c>
      <c r="C5749" t="s">
        <v>24</v>
      </c>
      <c r="D5749" s="7">
        <v>154</v>
      </c>
      <c r="E5749" s="7">
        <v>23</v>
      </c>
      <c r="F5749" s="7">
        <f t="shared" si="90"/>
        <v>6</v>
      </c>
      <c r="G5749" s="7" t="str">
        <f>LOOKUP(H5749,[1]startdates!$A$2:$A$10,[1]startdates!$B$2:$B$10)</f>
        <v>C</v>
      </c>
      <c r="H5749">
        <v>5</v>
      </c>
      <c r="I5749" s="7">
        <v>666</v>
      </c>
      <c r="K5749" s="7">
        <v>426.1</v>
      </c>
      <c r="L5749" s="7">
        <v>415.8</v>
      </c>
      <c r="M5749" s="7">
        <v>296.39999999999998</v>
      </c>
      <c r="N5749" s="7">
        <v>189.3</v>
      </c>
      <c r="O5749" s="7">
        <v>176.8</v>
      </c>
    </row>
    <row r="5750" spans="1:18" x14ac:dyDescent="0.2">
      <c r="A5750">
        <v>5749</v>
      </c>
      <c r="B5750" s="1">
        <v>40893</v>
      </c>
      <c r="C5750" t="s">
        <v>24</v>
      </c>
      <c r="D5750" s="7">
        <v>154</v>
      </c>
      <c r="E5750" s="7">
        <v>23</v>
      </c>
      <c r="F5750" s="7">
        <f t="shared" si="90"/>
        <v>6</v>
      </c>
      <c r="G5750" s="7" t="str">
        <f>LOOKUP(H5750,[1]startdates!$A$2:$A$10,[1]startdates!$B$2:$B$10)</f>
        <v>C</v>
      </c>
      <c r="H5750">
        <v>5</v>
      </c>
      <c r="I5750" s="7">
        <v>631.79999999999995</v>
      </c>
      <c r="K5750" s="7">
        <v>556.79999999999995</v>
      </c>
      <c r="M5750" s="7">
        <v>322.60000000000002</v>
      </c>
      <c r="N5750" s="7">
        <v>194.7</v>
      </c>
      <c r="O5750" s="7">
        <v>147.1</v>
      </c>
    </row>
    <row r="5751" spans="1:18" x14ac:dyDescent="0.2">
      <c r="A5751">
        <v>5750</v>
      </c>
      <c r="B5751" s="1">
        <v>40893</v>
      </c>
      <c r="C5751" t="s">
        <v>24</v>
      </c>
      <c r="D5751" s="7">
        <v>154</v>
      </c>
      <c r="E5751" s="7">
        <v>23</v>
      </c>
      <c r="F5751" s="7">
        <f t="shared" si="90"/>
        <v>6</v>
      </c>
      <c r="G5751" s="7" t="str">
        <f>LOOKUP(H5751,[1]startdates!$A$2:$A$10,[1]startdates!$B$2:$B$10)</f>
        <v>C</v>
      </c>
      <c r="H5751">
        <v>5</v>
      </c>
      <c r="I5751" s="7">
        <v>650.79999999999995</v>
      </c>
      <c r="M5751" s="7">
        <v>328.4</v>
      </c>
      <c r="N5751" s="7">
        <v>194.4</v>
      </c>
      <c r="O5751" s="7">
        <v>195.7</v>
      </c>
    </row>
    <row r="5752" spans="1:18" x14ac:dyDescent="0.2">
      <c r="A5752">
        <v>5751</v>
      </c>
      <c r="B5752" s="1">
        <v>40893</v>
      </c>
      <c r="C5752" t="s">
        <v>24</v>
      </c>
      <c r="D5752" s="7">
        <v>154</v>
      </c>
      <c r="E5752" s="7">
        <v>23</v>
      </c>
      <c r="F5752" s="7">
        <f t="shared" si="90"/>
        <v>6</v>
      </c>
      <c r="G5752" s="7" t="str">
        <f>LOOKUP(H5752,[1]startdates!$A$2:$A$10,[1]startdates!$B$2:$B$10)</f>
        <v>C</v>
      </c>
      <c r="H5752">
        <v>5</v>
      </c>
      <c r="I5752" s="7">
        <v>671.8</v>
      </c>
      <c r="M5752" s="7">
        <v>270.3</v>
      </c>
      <c r="N5752" s="7">
        <v>213.7</v>
      </c>
      <c r="O5752" s="7">
        <v>193</v>
      </c>
    </row>
    <row r="5753" spans="1:18" x14ac:dyDescent="0.2">
      <c r="A5753">
        <v>5752</v>
      </c>
      <c r="B5753" s="1">
        <v>40893</v>
      </c>
      <c r="C5753" t="s">
        <v>24</v>
      </c>
      <c r="D5753" s="7">
        <v>154</v>
      </c>
      <c r="E5753" s="7">
        <v>23</v>
      </c>
      <c r="F5753" s="7">
        <f t="shared" si="90"/>
        <v>6</v>
      </c>
      <c r="G5753" s="7" t="str">
        <f>LOOKUP(H5753,[1]startdates!$A$2:$A$10,[1]startdates!$B$2:$B$10)</f>
        <v>C</v>
      </c>
      <c r="H5753">
        <v>5</v>
      </c>
      <c r="N5753" s="7">
        <v>215.7</v>
      </c>
      <c r="O5753" s="7">
        <v>165.8</v>
      </c>
    </row>
    <row r="5754" spans="1:18" x14ac:dyDescent="0.2">
      <c r="A5754">
        <v>5753</v>
      </c>
      <c r="B5754" s="1">
        <v>40893</v>
      </c>
      <c r="C5754" t="s">
        <v>24</v>
      </c>
      <c r="D5754" s="7">
        <v>154</v>
      </c>
      <c r="E5754" s="7">
        <v>23</v>
      </c>
      <c r="F5754" s="7">
        <f t="shared" si="90"/>
        <v>6</v>
      </c>
      <c r="G5754" s="7" t="str">
        <f>LOOKUP(H5754,[1]startdates!$A$2:$A$10,[1]startdates!$B$2:$B$10)</f>
        <v>C</v>
      </c>
      <c r="H5754">
        <v>5</v>
      </c>
      <c r="O5754" s="7">
        <v>166.1</v>
      </c>
    </row>
    <row r="5755" spans="1:18" x14ac:dyDescent="0.2">
      <c r="A5755">
        <v>5754</v>
      </c>
      <c r="B5755" s="1">
        <v>40893</v>
      </c>
      <c r="C5755" t="s">
        <v>24</v>
      </c>
      <c r="D5755" s="7">
        <v>154</v>
      </c>
      <c r="E5755" s="7">
        <v>23</v>
      </c>
      <c r="F5755" s="7">
        <f t="shared" si="90"/>
        <v>6</v>
      </c>
      <c r="G5755" s="7" t="str">
        <f>LOOKUP(H5755,[1]startdates!$A$2:$A$10,[1]startdates!$B$2:$B$10)</f>
        <v>C</v>
      </c>
      <c r="H5755">
        <v>5</v>
      </c>
      <c r="O5755" s="7">
        <v>168.2</v>
      </c>
    </row>
    <row r="5756" spans="1:18" x14ac:dyDescent="0.2">
      <c r="A5756">
        <v>5755</v>
      </c>
      <c r="B5756" s="1">
        <v>40893</v>
      </c>
      <c r="C5756" t="s">
        <v>24</v>
      </c>
      <c r="D5756" s="7">
        <v>154</v>
      </c>
      <c r="E5756" s="7">
        <v>23</v>
      </c>
      <c r="F5756" s="7">
        <f t="shared" si="90"/>
        <v>6</v>
      </c>
      <c r="G5756" s="7" t="str">
        <f>LOOKUP(H5756,[1]startdates!$A$2:$A$10,[1]startdates!$B$2:$B$10)</f>
        <v>FMr</v>
      </c>
      <c r="H5756">
        <v>6</v>
      </c>
      <c r="I5756" s="7">
        <v>631.29999999999995</v>
      </c>
      <c r="K5756" s="7">
        <v>525.79999999999995</v>
      </c>
      <c r="L5756" s="7">
        <v>428.4</v>
      </c>
      <c r="M5756" s="7">
        <v>326.3</v>
      </c>
      <c r="N5756" s="7">
        <v>255.2</v>
      </c>
      <c r="O5756" s="7">
        <v>163.5</v>
      </c>
      <c r="Q5756" s="7">
        <v>346.8</v>
      </c>
      <c r="R5756" s="7">
        <v>255.3</v>
      </c>
    </row>
    <row r="5757" spans="1:18" x14ac:dyDescent="0.2">
      <c r="A5757">
        <v>5756</v>
      </c>
      <c r="B5757" s="1">
        <v>40893</v>
      </c>
      <c r="C5757" t="s">
        <v>24</v>
      </c>
      <c r="D5757" s="7">
        <v>154</v>
      </c>
      <c r="E5757" s="7">
        <v>23</v>
      </c>
      <c r="F5757" s="7">
        <f t="shared" si="90"/>
        <v>6</v>
      </c>
      <c r="G5757" s="7" t="str">
        <f>LOOKUP(H5757,[1]startdates!$A$2:$A$10,[1]startdates!$B$2:$B$10)</f>
        <v>FMr</v>
      </c>
      <c r="H5757">
        <v>6</v>
      </c>
      <c r="I5757" s="7">
        <v>530.5</v>
      </c>
      <c r="K5757" s="7">
        <v>424.8</v>
      </c>
      <c r="L5757" s="7">
        <v>443.4</v>
      </c>
      <c r="M5757" s="7">
        <v>296.10000000000002</v>
      </c>
      <c r="N5757" s="7">
        <v>195.2</v>
      </c>
      <c r="O5757" s="7">
        <v>181.1</v>
      </c>
      <c r="Q5757" s="7">
        <v>364</v>
      </c>
      <c r="R5757" s="7">
        <v>254.3</v>
      </c>
    </row>
    <row r="5758" spans="1:18" x14ac:dyDescent="0.2">
      <c r="A5758">
        <v>5757</v>
      </c>
      <c r="B5758" s="1">
        <v>40893</v>
      </c>
      <c r="C5758" t="s">
        <v>24</v>
      </c>
      <c r="D5758" s="7">
        <v>154</v>
      </c>
      <c r="E5758" s="7">
        <v>23</v>
      </c>
      <c r="F5758" s="7">
        <f t="shared" si="90"/>
        <v>6</v>
      </c>
      <c r="G5758" s="7" t="str">
        <f>LOOKUP(H5758,[1]startdates!$A$2:$A$10,[1]startdates!$B$2:$B$10)</f>
        <v>FMr</v>
      </c>
      <c r="H5758">
        <v>6</v>
      </c>
      <c r="I5758" s="7">
        <v>534.5</v>
      </c>
      <c r="K5758" s="7">
        <v>440.7</v>
      </c>
      <c r="L5758" s="7">
        <v>436.6</v>
      </c>
      <c r="M5758" s="7">
        <v>338.4</v>
      </c>
      <c r="N5758" s="7">
        <v>189.5</v>
      </c>
      <c r="O5758" s="7">
        <v>180.5</v>
      </c>
      <c r="Q5758" s="7">
        <v>375.5</v>
      </c>
    </row>
    <row r="5759" spans="1:18" x14ac:dyDescent="0.2">
      <c r="A5759">
        <v>5758</v>
      </c>
      <c r="B5759" s="1">
        <v>40893</v>
      </c>
      <c r="C5759" t="s">
        <v>24</v>
      </c>
      <c r="D5759" s="7">
        <v>154</v>
      </c>
      <c r="E5759" s="7">
        <v>23</v>
      </c>
      <c r="F5759" s="7">
        <f t="shared" si="90"/>
        <v>6</v>
      </c>
      <c r="G5759" s="7" t="str">
        <f>LOOKUP(H5759,[1]startdates!$A$2:$A$10,[1]startdates!$B$2:$B$10)</f>
        <v>FMr</v>
      </c>
      <c r="H5759">
        <v>6</v>
      </c>
      <c r="I5759" s="7">
        <v>505.1</v>
      </c>
      <c r="K5759" s="7">
        <v>482.7</v>
      </c>
      <c r="L5759" s="7">
        <v>472.3</v>
      </c>
      <c r="M5759" s="7">
        <v>324.2</v>
      </c>
      <c r="N5759" s="7">
        <v>210.8</v>
      </c>
      <c r="O5759" s="7">
        <v>150.30000000000001</v>
      </c>
    </row>
    <row r="5760" spans="1:18" x14ac:dyDescent="0.2">
      <c r="A5760">
        <v>5759</v>
      </c>
      <c r="B5760" s="1">
        <v>40893</v>
      </c>
      <c r="C5760" t="s">
        <v>24</v>
      </c>
      <c r="D5760" s="7">
        <v>154</v>
      </c>
      <c r="E5760" s="7">
        <v>23</v>
      </c>
      <c r="F5760" s="7">
        <f t="shared" si="90"/>
        <v>6</v>
      </c>
      <c r="G5760" s="7" t="str">
        <f>LOOKUP(H5760,[1]startdates!$A$2:$A$10,[1]startdates!$B$2:$B$10)</f>
        <v>FMr</v>
      </c>
      <c r="H5760">
        <v>6</v>
      </c>
      <c r="I5760" s="7">
        <v>646.29999999999995</v>
      </c>
      <c r="K5760" s="7">
        <v>505.5</v>
      </c>
      <c r="L5760" s="7">
        <v>453</v>
      </c>
      <c r="M5760" s="7">
        <v>310</v>
      </c>
      <c r="N5760" s="7">
        <v>252.6</v>
      </c>
      <c r="O5760" s="7">
        <v>160.4</v>
      </c>
    </row>
    <row r="5761" spans="1:18" x14ac:dyDescent="0.2">
      <c r="A5761">
        <v>5760</v>
      </c>
      <c r="B5761" s="1">
        <v>40893</v>
      </c>
      <c r="C5761" t="s">
        <v>24</v>
      </c>
      <c r="D5761" s="7">
        <v>154</v>
      </c>
      <c r="E5761" s="7">
        <v>23</v>
      </c>
      <c r="F5761" s="7">
        <f t="shared" si="90"/>
        <v>6</v>
      </c>
      <c r="G5761" s="7" t="str">
        <f>LOOKUP(H5761,[1]startdates!$A$2:$A$10,[1]startdates!$B$2:$B$10)</f>
        <v>FMr</v>
      </c>
      <c r="H5761">
        <v>6</v>
      </c>
      <c r="I5761" s="7">
        <v>599.4</v>
      </c>
      <c r="K5761" s="7">
        <v>485.9</v>
      </c>
      <c r="M5761" s="7">
        <v>310.7</v>
      </c>
      <c r="N5761" s="7">
        <v>197.33</v>
      </c>
      <c r="O5761" s="7">
        <v>195.1</v>
      </c>
    </row>
    <row r="5762" spans="1:18" x14ac:dyDescent="0.2">
      <c r="A5762">
        <v>5761</v>
      </c>
      <c r="B5762" s="1">
        <v>40893</v>
      </c>
      <c r="C5762" t="s">
        <v>24</v>
      </c>
      <c r="D5762" s="7">
        <v>154</v>
      </c>
      <c r="E5762" s="7">
        <v>23</v>
      </c>
      <c r="F5762" s="7">
        <f t="shared" si="90"/>
        <v>6</v>
      </c>
      <c r="G5762" s="7" t="str">
        <f>LOOKUP(H5762,[1]startdates!$A$2:$A$10,[1]startdates!$B$2:$B$10)</f>
        <v>FMr</v>
      </c>
      <c r="H5762">
        <v>6</v>
      </c>
      <c r="I5762" s="7">
        <v>681.3</v>
      </c>
      <c r="N5762" s="7">
        <v>244.5</v>
      </c>
      <c r="O5762" s="7">
        <v>164.9</v>
      </c>
    </row>
    <row r="5763" spans="1:18" x14ac:dyDescent="0.2">
      <c r="A5763">
        <v>5762</v>
      </c>
      <c r="B5763" s="1">
        <v>40893</v>
      </c>
      <c r="C5763" t="s">
        <v>24</v>
      </c>
      <c r="D5763" s="7">
        <v>154</v>
      </c>
      <c r="E5763" s="7">
        <v>23</v>
      </c>
      <c r="F5763" s="7">
        <f t="shared" si="90"/>
        <v>6</v>
      </c>
      <c r="G5763" s="7" t="str">
        <f>LOOKUP(H5763,[1]startdates!$A$2:$A$10,[1]startdates!$B$2:$B$10)</f>
        <v>FMr</v>
      </c>
      <c r="H5763">
        <v>6</v>
      </c>
      <c r="I5763" s="7">
        <v>596.9</v>
      </c>
      <c r="N5763" s="7">
        <v>214.5</v>
      </c>
      <c r="O5763" s="7">
        <v>190.9</v>
      </c>
    </row>
    <row r="5764" spans="1:18" x14ac:dyDescent="0.2">
      <c r="A5764">
        <v>5763</v>
      </c>
      <c r="B5764" s="1">
        <v>40893</v>
      </c>
      <c r="C5764" t="s">
        <v>24</v>
      </c>
      <c r="D5764" s="7">
        <v>154</v>
      </c>
      <c r="E5764" s="7">
        <v>23</v>
      </c>
      <c r="F5764" s="7">
        <f t="shared" si="90"/>
        <v>6</v>
      </c>
      <c r="G5764" s="7" t="str">
        <f>LOOKUP(H5764,[1]startdates!$A$2:$A$10,[1]startdates!$B$2:$B$10)</f>
        <v>FMr</v>
      </c>
      <c r="H5764">
        <v>6</v>
      </c>
      <c r="I5764" s="7">
        <v>622.70000000000005</v>
      </c>
      <c r="N5764" s="7">
        <v>230.7</v>
      </c>
      <c r="O5764" s="7">
        <v>167.7</v>
      </c>
    </row>
    <row r="5765" spans="1:18" x14ac:dyDescent="0.2">
      <c r="A5765">
        <v>5764</v>
      </c>
      <c r="B5765" s="1">
        <v>40893</v>
      </c>
      <c r="C5765" t="s">
        <v>24</v>
      </c>
      <c r="D5765" s="7">
        <v>154</v>
      </c>
      <c r="E5765" s="7">
        <v>23</v>
      </c>
      <c r="F5765" s="7">
        <f t="shared" si="90"/>
        <v>6</v>
      </c>
      <c r="G5765" s="7" t="str">
        <f>LOOKUP(H5765,[1]startdates!$A$2:$A$10,[1]startdates!$B$2:$B$10)</f>
        <v>FMr</v>
      </c>
      <c r="H5765">
        <v>6</v>
      </c>
      <c r="I5765" s="7">
        <v>576.1</v>
      </c>
      <c r="N5765" s="7">
        <v>192.1</v>
      </c>
      <c r="O5765" s="7">
        <v>182.2</v>
      </c>
    </row>
    <row r="5766" spans="1:18" x14ac:dyDescent="0.2">
      <c r="A5766">
        <v>5765</v>
      </c>
      <c r="B5766" s="1">
        <v>40893</v>
      </c>
      <c r="C5766" t="s">
        <v>24</v>
      </c>
      <c r="D5766" s="7">
        <v>154</v>
      </c>
      <c r="E5766" s="7">
        <v>23</v>
      </c>
      <c r="F5766" s="7">
        <f t="shared" si="90"/>
        <v>6</v>
      </c>
      <c r="G5766" s="7" t="str">
        <f>LOOKUP(H5766,[1]startdates!$A$2:$A$10,[1]startdates!$B$2:$B$10)</f>
        <v>FMr</v>
      </c>
      <c r="H5766">
        <v>6</v>
      </c>
      <c r="I5766" s="7">
        <v>596.6</v>
      </c>
      <c r="N5766" s="7">
        <v>202.5</v>
      </c>
      <c r="O5766" s="7">
        <v>174.4</v>
      </c>
    </row>
    <row r="5767" spans="1:18" x14ac:dyDescent="0.2">
      <c r="A5767">
        <v>5766</v>
      </c>
      <c r="B5767" s="1">
        <v>40893</v>
      </c>
      <c r="C5767" t="s">
        <v>28</v>
      </c>
      <c r="D5767" s="7">
        <v>154</v>
      </c>
      <c r="E5767" s="7">
        <v>23</v>
      </c>
      <c r="F5767" s="7">
        <f t="shared" si="90"/>
        <v>6</v>
      </c>
      <c r="G5767" s="7" t="str">
        <f>LOOKUP(H5767,[1]startdates!$A$2:$A$10,[1]startdates!$B$2:$B$10)</f>
        <v>FMr</v>
      </c>
      <c r="H5767">
        <v>7</v>
      </c>
      <c r="I5767" s="7">
        <v>583.20000000000005</v>
      </c>
      <c r="K5767" s="7">
        <v>596.6</v>
      </c>
      <c r="L5767" s="7">
        <v>440</v>
      </c>
      <c r="M5767" s="7">
        <v>304.5</v>
      </c>
      <c r="N5767" s="7">
        <v>250.4</v>
      </c>
      <c r="O5767" s="7">
        <v>145.6</v>
      </c>
      <c r="P5767" s="7">
        <v>448.5</v>
      </c>
      <c r="Q5767" s="7">
        <v>383.1</v>
      </c>
      <c r="R5767" s="7">
        <v>271.3</v>
      </c>
    </row>
    <row r="5768" spans="1:18" x14ac:dyDescent="0.2">
      <c r="A5768">
        <v>5767</v>
      </c>
      <c r="B5768" s="1">
        <v>40893</v>
      </c>
      <c r="C5768" t="s">
        <v>28</v>
      </c>
      <c r="D5768" s="7">
        <v>154</v>
      </c>
      <c r="E5768" s="7">
        <v>23</v>
      </c>
      <c r="F5768" s="7">
        <f t="shared" si="90"/>
        <v>6</v>
      </c>
      <c r="G5768" s="7" t="str">
        <f>LOOKUP(H5768,[1]startdates!$A$2:$A$10,[1]startdates!$B$2:$B$10)</f>
        <v>FMr</v>
      </c>
      <c r="H5768">
        <v>7</v>
      </c>
      <c r="I5768" s="7">
        <v>571.4</v>
      </c>
      <c r="K5768" s="7">
        <v>495.1</v>
      </c>
      <c r="L5768" s="7">
        <v>398.5</v>
      </c>
      <c r="M5768" s="7">
        <v>322.89999999999998</v>
      </c>
      <c r="N5768" s="7">
        <v>192.3</v>
      </c>
      <c r="O5768" s="7">
        <v>169.7</v>
      </c>
      <c r="Q5768" s="7">
        <v>368.2</v>
      </c>
      <c r="R5768" s="7">
        <v>250.4</v>
      </c>
    </row>
    <row r="5769" spans="1:18" x14ac:dyDescent="0.2">
      <c r="A5769">
        <v>5768</v>
      </c>
      <c r="B5769" s="1">
        <v>40893</v>
      </c>
      <c r="C5769" t="s">
        <v>28</v>
      </c>
      <c r="D5769" s="7">
        <v>154</v>
      </c>
      <c r="E5769" s="7">
        <v>23</v>
      </c>
      <c r="F5769" s="7">
        <f t="shared" si="90"/>
        <v>6</v>
      </c>
      <c r="G5769" s="7" t="str">
        <f>LOOKUP(H5769,[1]startdates!$A$2:$A$10,[1]startdates!$B$2:$B$10)</f>
        <v>FMr</v>
      </c>
      <c r="H5769">
        <v>7</v>
      </c>
      <c r="I5769" s="7">
        <v>490.5</v>
      </c>
      <c r="K5769" s="7">
        <v>489.7</v>
      </c>
      <c r="L5769" s="7">
        <v>415.8</v>
      </c>
      <c r="M5769" s="7">
        <v>380.1</v>
      </c>
      <c r="N5769" s="7">
        <v>272.39999999999998</v>
      </c>
      <c r="O5769" s="7">
        <v>170.6</v>
      </c>
      <c r="Q5769" s="7">
        <v>304.3</v>
      </c>
      <c r="R5769" s="7">
        <v>249.9</v>
      </c>
    </row>
    <row r="5770" spans="1:18" x14ac:dyDescent="0.2">
      <c r="A5770">
        <v>5769</v>
      </c>
      <c r="B5770" s="1">
        <v>40893</v>
      </c>
      <c r="C5770" t="s">
        <v>28</v>
      </c>
      <c r="D5770" s="7">
        <v>154</v>
      </c>
      <c r="E5770" s="7">
        <v>23</v>
      </c>
      <c r="F5770" s="7">
        <f t="shared" si="90"/>
        <v>6</v>
      </c>
      <c r="G5770" s="7" t="str">
        <f>LOOKUP(H5770,[1]startdates!$A$2:$A$10,[1]startdates!$B$2:$B$10)</f>
        <v>FMr</v>
      </c>
      <c r="H5770">
        <v>7</v>
      </c>
      <c r="I5770" s="7">
        <v>485.8</v>
      </c>
      <c r="K5770" s="7">
        <v>519.29999999999995</v>
      </c>
      <c r="L5770" s="7">
        <v>461</v>
      </c>
      <c r="M5770" s="7">
        <v>340.8</v>
      </c>
      <c r="N5770" s="7">
        <v>257.7</v>
      </c>
      <c r="O5770" s="7">
        <v>167.5</v>
      </c>
      <c r="Q5770" s="7">
        <v>313.7</v>
      </c>
    </row>
    <row r="5771" spans="1:18" x14ac:dyDescent="0.2">
      <c r="A5771">
        <v>5770</v>
      </c>
      <c r="B5771" s="1">
        <v>40893</v>
      </c>
      <c r="C5771" t="s">
        <v>28</v>
      </c>
      <c r="D5771" s="7">
        <v>154</v>
      </c>
      <c r="E5771" s="7">
        <v>23</v>
      </c>
      <c r="F5771" s="7">
        <f t="shared" si="90"/>
        <v>6</v>
      </c>
      <c r="G5771" s="7" t="str">
        <f>LOOKUP(H5771,[1]startdates!$A$2:$A$10,[1]startdates!$B$2:$B$10)</f>
        <v>FMr</v>
      </c>
      <c r="H5771">
        <v>7</v>
      </c>
      <c r="I5771" s="7">
        <v>654.29999999999995</v>
      </c>
      <c r="K5771" s="7">
        <v>499.5</v>
      </c>
      <c r="L5771" s="7">
        <v>394.8</v>
      </c>
      <c r="M5771" s="7">
        <v>299.8</v>
      </c>
      <c r="N5771" s="7">
        <v>182.8</v>
      </c>
      <c r="O5771" s="7">
        <v>151</v>
      </c>
    </row>
    <row r="5772" spans="1:18" x14ac:dyDescent="0.2">
      <c r="A5772">
        <v>5771</v>
      </c>
      <c r="B5772" s="1">
        <v>40893</v>
      </c>
      <c r="C5772" t="s">
        <v>28</v>
      </c>
      <c r="D5772" s="7">
        <v>154</v>
      </c>
      <c r="E5772" s="7">
        <v>23</v>
      </c>
      <c r="F5772" s="7">
        <f t="shared" si="90"/>
        <v>6</v>
      </c>
      <c r="G5772" s="7" t="str">
        <f>LOOKUP(H5772,[1]startdates!$A$2:$A$10,[1]startdates!$B$2:$B$10)</f>
        <v>FMr</v>
      </c>
      <c r="H5772">
        <v>7</v>
      </c>
      <c r="I5772" s="7">
        <v>540.1</v>
      </c>
      <c r="L5772" s="7">
        <v>412.6</v>
      </c>
      <c r="M5772" s="7">
        <v>301.89999999999998</v>
      </c>
      <c r="N5772" s="7">
        <v>242.1</v>
      </c>
      <c r="O5772" s="7">
        <v>151.80000000000001</v>
      </c>
    </row>
    <row r="5773" spans="1:18" x14ac:dyDescent="0.2">
      <c r="A5773">
        <v>5772</v>
      </c>
      <c r="B5773" s="1">
        <v>40893</v>
      </c>
      <c r="C5773" t="s">
        <v>28</v>
      </c>
      <c r="D5773" s="7">
        <v>154</v>
      </c>
      <c r="E5773" s="7">
        <v>23</v>
      </c>
      <c r="F5773" s="7">
        <f t="shared" si="90"/>
        <v>6</v>
      </c>
      <c r="G5773" s="7" t="str">
        <f>LOOKUP(H5773,[1]startdates!$A$2:$A$10,[1]startdates!$B$2:$B$10)</f>
        <v>FMr</v>
      </c>
      <c r="H5773">
        <v>7</v>
      </c>
      <c r="I5773" s="7">
        <v>610.1</v>
      </c>
      <c r="L5773" s="7">
        <v>395.5</v>
      </c>
      <c r="M5773" s="7">
        <v>312.39999999999998</v>
      </c>
      <c r="N5773" s="7">
        <v>193.1</v>
      </c>
      <c r="O5773" s="7">
        <v>151</v>
      </c>
    </row>
    <row r="5774" spans="1:18" x14ac:dyDescent="0.2">
      <c r="A5774">
        <v>5773</v>
      </c>
      <c r="B5774" s="1">
        <v>40893</v>
      </c>
      <c r="C5774" t="s">
        <v>28</v>
      </c>
      <c r="D5774" s="7">
        <v>154</v>
      </c>
      <c r="E5774" s="7">
        <v>23</v>
      </c>
      <c r="F5774" s="7">
        <f t="shared" si="90"/>
        <v>6</v>
      </c>
      <c r="G5774" s="7" t="str">
        <f>LOOKUP(H5774,[1]startdates!$A$2:$A$10,[1]startdates!$B$2:$B$10)</f>
        <v>FMr</v>
      </c>
      <c r="H5774">
        <v>7</v>
      </c>
      <c r="I5774" s="7">
        <v>525.29999999999995</v>
      </c>
      <c r="L5774" s="7">
        <v>410.9</v>
      </c>
      <c r="N5774" s="7">
        <v>229</v>
      </c>
      <c r="O5774" s="7">
        <v>156.80000000000001</v>
      </c>
    </row>
    <row r="5775" spans="1:18" x14ac:dyDescent="0.2">
      <c r="A5775">
        <v>5774</v>
      </c>
      <c r="B5775" s="1">
        <v>40893</v>
      </c>
      <c r="C5775" t="s">
        <v>28</v>
      </c>
      <c r="D5775" s="7">
        <v>154</v>
      </c>
      <c r="E5775" s="7">
        <v>23</v>
      </c>
      <c r="F5775" s="7">
        <f t="shared" si="90"/>
        <v>6</v>
      </c>
      <c r="G5775" s="7" t="str">
        <f>LOOKUP(H5775,[1]startdates!$A$2:$A$10,[1]startdates!$B$2:$B$10)</f>
        <v>FMr</v>
      </c>
      <c r="H5775">
        <v>7</v>
      </c>
      <c r="I5775" s="7">
        <v>608.29999999999995</v>
      </c>
      <c r="N5775" s="7">
        <v>197.3</v>
      </c>
      <c r="O5775" s="7">
        <v>187.7</v>
      </c>
    </row>
    <row r="5776" spans="1:18" x14ac:dyDescent="0.2">
      <c r="A5776">
        <v>5775</v>
      </c>
      <c r="B5776" s="1">
        <v>40893</v>
      </c>
      <c r="C5776" t="s">
        <v>28</v>
      </c>
      <c r="D5776" s="7">
        <v>154</v>
      </c>
      <c r="E5776" s="7">
        <v>23</v>
      </c>
      <c r="F5776" s="7">
        <f t="shared" si="90"/>
        <v>6</v>
      </c>
      <c r="G5776" s="7" t="str">
        <f>LOOKUP(H5776,[1]startdates!$A$2:$A$10,[1]startdates!$B$2:$B$10)</f>
        <v>FMr</v>
      </c>
      <c r="H5776">
        <v>7</v>
      </c>
      <c r="I5776" s="7">
        <v>528.9</v>
      </c>
      <c r="N5776" s="7">
        <v>205.8</v>
      </c>
      <c r="O5776" s="7">
        <v>162.4</v>
      </c>
    </row>
    <row r="5777" spans="1:18" x14ac:dyDescent="0.2">
      <c r="A5777">
        <v>5776</v>
      </c>
      <c r="B5777" s="1">
        <v>40893</v>
      </c>
      <c r="C5777" t="s">
        <v>24</v>
      </c>
      <c r="D5777" s="7">
        <v>154</v>
      </c>
      <c r="E5777" s="7">
        <v>23</v>
      </c>
      <c r="F5777" s="7">
        <f t="shared" si="90"/>
        <v>6</v>
      </c>
      <c r="G5777" s="7" t="str">
        <f>LOOKUP(H5777,[1]startdates!$A$2:$A$10,[1]startdates!$B$2:$B$10)</f>
        <v>C</v>
      </c>
      <c r="H5777">
        <v>8</v>
      </c>
      <c r="I5777" s="7">
        <v>610</v>
      </c>
      <c r="J5777" s="7">
        <v>533.20000000000005</v>
      </c>
      <c r="K5777" s="7">
        <v>515.5</v>
      </c>
      <c r="L5777" s="7">
        <v>441.3</v>
      </c>
      <c r="M5777" s="7">
        <v>387.5</v>
      </c>
      <c r="N5777" s="7">
        <v>236.1</v>
      </c>
      <c r="O5777" s="7">
        <v>185.3</v>
      </c>
      <c r="Q5777" s="7">
        <v>390.2</v>
      </c>
    </row>
    <row r="5778" spans="1:18" x14ac:dyDescent="0.2">
      <c r="A5778">
        <v>5777</v>
      </c>
      <c r="B5778" s="1">
        <v>40893</v>
      </c>
      <c r="C5778" t="s">
        <v>24</v>
      </c>
      <c r="D5778" s="7">
        <v>154</v>
      </c>
      <c r="E5778" s="7">
        <v>23</v>
      </c>
      <c r="F5778" s="7">
        <f t="shared" si="90"/>
        <v>6</v>
      </c>
      <c r="G5778" s="7" t="str">
        <f>LOOKUP(H5778,[1]startdates!$A$2:$A$10,[1]startdates!$B$2:$B$10)</f>
        <v>C</v>
      </c>
      <c r="H5778">
        <v>8</v>
      </c>
      <c r="I5778" s="7">
        <v>581</v>
      </c>
      <c r="J5778" s="7">
        <v>474.2</v>
      </c>
      <c r="K5778" s="7">
        <v>568.5</v>
      </c>
      <c r="L5778" s="7">
        <v>426.1</v>
      </c>
      <c r="M5778" s="7">
        <v>348.1</v>
      </c>
      <c r="N5778" s="7">
        <v>233.8</v>
      </c>
      <c r="O5778" s="7">
        <v>168.1</v>
      </c>
    </row>
    <row r="5779" spans="1:18" x14ac:dyDescent="0.2">
      <c r="A5779">
        <v>5778</v>
      </c>
      <c r="B5779" s="1">
        <v>40893</v>
      </c>
      <c r="C5779" t="s">
        <v>24</v>
      </c>
      <c r="D5779" s="7">
        <v>154</v>
      </c>
      <c r="E5779" s="7">
        <v>23</v>
      </c>
      <c r="F5779" s="7">
        <f t="shared" si="90"/>
        <v>6</v>
      </c>
      <c r="G5779" s="7" t="str">
        <f>LOOKUP(H5779,[1]startdates!$A$2:$A$10,[1]startdates!$B$2:$B$10)</f>
        <v>C</v>
      </c>
      <c r="H5779">
        <v>8</v>
      </c>
      <c r="I5779" s="7">
        <v>655.7</v>
      </c>
      <c r="J5779" s="7">
        <v>535.79999999999995</v>
      </c>
      <c r="K5779" s="7">
        <v>590.5</v>
      </c>
      <c r="L5779" s="7">
        <v>449.2</v>
      </c>
      <c r="M5779" s="7">
        <v>304.60000000000002</v>
      </c>
      <c r="N5779" s="7">
        <v>232.2</v>
      </c>
      <c r="O5779" s="7">
        <v>194.3</v>
      </c>
    </row>
    <row r="5780" spans="1:18" x14ac:dyDescent="0.2">
      <c r="A5780">
        <v>5779</v>
      </c>
      <c r="B5780" s="1">
        <v>40893</v>
      </c>
      <c r="C5780" t="s">
        <v>24</v>
      </c>
      <c r="D5780" s="7">
        <v>154</v>
      </c>
      <c r="E5780" s="7">
        <v>23</v>
      </c>
      <c r="F5780" s="7">
        <f t="shared" si="90"/>
        <v>6</v>
      </c>
      <c r="G5780" s="7" t="str">
        <f>LOOKUP(H5780,[1]startdates!$A$2:$A$10,[1]startdates!$B$2:$B$10)</f>
        <v>C</v>
      </c>
      <c r="H5780">
        <v>8</v>
      </c>
      <c r="I5780" s="7">
        <v>599.4</v>
      </c>
      <c r="J5780" s="7">
        <v>541.70000000000005</v>
      </c>
      <c r="K5780" s="7">
        <v>543.29999999999995</v>
      </c>
      <c r="M5780" s="7">
        <v>327.8</v>
      </c>
      <c r="N5780" s="7">
        <v>226.8</v>
      </c>
      <c r="O5780" s="7">
        <v>161.4</v>
      </c>
    </row>
    <row r="5781" spans="1:18" x14ac:dyDescent="0.2">
      <c r="A5781">
        <v>5780</v>
      </c>
      <c r="B5781" s="1">
        <v>40893</v>
      </c>
      <c r="C5781" t="s">
        <v>24</v>
      </c>
      <c r="D5781" s="7">
        <v>154</v>
      </c>
      <c r="E5781" s="7">
        <v>23</v>
      </c>
      <c r="F5781" s="7">
        <f t="shared" si="90"/>
        <v>6</v>
      </c>
      <c r="G5781" s="7" t="str">
        <f>LOOKUP(H5781,[1]startdates!$A$2:$A$10,[1]startdates!$B$2:$B$10)</f>
        <v>C</v>
      </c>
      <c r="H5781">
        <v>8</v>
      </c>
      <c r="I5781" s="7">
        <v>633.79999999999995</v>
      </c>
      <c r="J5781" s="7">
        <v>475.9</v>
      </c>
      <c r="K5781" s="7">
        <v>580.79999999999995</v>
      </c>
      <c r="M5781" s="7">
        <v>322.8</v>
      </c>
      <c r="N5781" s="7">
        <v>203.1</v>
      </c>
      <c r="O5781" s="7">
        <v>175.4</v>
      </c>
    </row>
    <row r="5782" spans="1:18" x14ac:dyDescent="0.2">
      <c r="A5782">
        <v>5781</v>
      </c>
      <c r="B5782" s="1">
        <v>40893</v>
      </c>
      <c r="C5782" t="s">
        <v>24</v>
      </c>
      <c r="D5782" s="7">
        <v>154</v>
      </c>
      <c r="E5782" s="7">
        <v>23</v>
      </c>
      <c r="F5782" s="7">
        <f t="shared" si="90"/>
        <v>6</v>
      </c>
      <c r="G5782" s="7" t="str">
        <f>LOOKUP(H5782,[1]startdates!$A$2:$A$10,[1]startdates!$B$2:$B$10)</f>
        <v>C</v>
      </c>
      <c r="H5782">
        <v>8</v>
      </c>
      <c r="I5782" s="7">
        <v>614.70000000000005</v>
      </c>
      <c r="J5782" s="7">
        <v>483.7</v>
      </c>
      <c r="M5782" s="7">
        <v>332.1</v>
      </c>
      <c r="N5782" s="7">
        <v>229.2</v>
      </c>
      <c r="O5782" s="7">
        <v>187</v>
      </c>
    </row>
    <row r="5783" spans="1:18" x14ac:dyDescent="0.2">
      <c r="A5783">
        <v>5782</v>
      </c>
      <c r="B5783" s="1">
        <v>40893</v>
      </c>
      <c r="C5783" t="s">
        <v>24</v>
      </c>
      <c r="D5783" s="7">
        <v>154</v>
      </c>
      <c r="E5783" s="7">
        <v>23</v>
      </c>
      <c r="F5783" s="7">
        <f t="shared" si="90"/>
        <v>6</v>
      </c>
      <c r="G5783" s="7" t="str">
        <f>LOOKUP(H5783,[1]startdates!$A$2:$A$10,[1]startdates!$B$2:$B$10)</f>
        <v>C</v>
      </c>
      <c r="H5783">
        <v>8</v>
      </c>
      <c r="M5783" s="7">
        <v>298.3</v>
      </c>
      <c r="N5783" s="7">
        <v>222.4</v>
      </c>
      <c r="O5783" s="7">
        <v>189.5</v>
      </c>
    </row>
    <row r="5784" spans="1:18" x14ac:dyDescent="0.2">
      <c r="A5784">
        <v>5783</v>
      </c>
      <c r="B5784" s="1">
        <v>40893</v>
      </c>
      <c r="C5784" t="s">
        <v>24</v>
      </c>
      <c r="D5784" s="7">
        <v>154</v>
      </c>
      <c r="E5784" s="7">
        <v>23</v>
      </c>
      <c r="F5784" s="7">
        <f t="shared" si="90"/>
        <v>6</v>
      </c>
      <c r="G5784" s="7" t="str">
        <f>LOOKUP(H5784,[1]startdates!$A$2:$A$10,[1]startdates!$B$2:$B$10)</f>
        <v>C</v>
      </c>
      <c r="H5784">
        <v>8</v>
      </c>
      <c r="M5784" s="7">
        <v>309.60000000000002</v>
      </c>
      <c r="N5784" s="7">
        <v>227.1</v>
      </c>
      <c r="O5784" s="7">
        <v>168.1</v>
      </c>
    </row>
    <row r="5785" spans="1:18" x14ac:dyDescent="0.2">
      <c r="A5785">
        <v>5784</v>
      </c>
      <c r="B5785" s="1">
        <v>40893</v>
      </c>
      <c r="C5785" t="s">
        <v>24</v>
      </c>
      <c r="D5785" s="7">
        <v>154</v>
      </c>
      <c r="E5785" s="7">
        <v>23</v>
      </c>
      <c r="F5785" s="7">
        <f t="shared" si="90"/>
        <v>6</v>
      </c>
      <c r="G5785" s="7" t="str">
        <f>LOOKUP(H5785,[1]startdates!$A$2:$A$10,[1]startdates!$B$2:$B$10)</f>
        <v>C</v>
      </c>
      <c r="H5785">
        <v>8</v>
      </c>
      <c r="N5785" s="7">
        <v>222.4</v>
      </c>
      <c r="O5785" s="7">
        <v>155.4</v>
      </c>
    </row>
    <row r="5786" spans="1:18" x14ac:dyDescent="0.2">
      <c r="A5786">
        <v>5785</v>
      </c>
      <c r="B5786" s="1">
        <v>40893</v>
      </c>
      <c r="C5786" t="s">
        <v>24</v>
      </c>
      <c r="D5786" s="7">
        <v>154</v>
      </c>
      <c r="E5786" s="7">
        <v>23</v>
      </c>
      <c r="F5786" s="7">
        <f t="shared" si="90"/>
        <v>6</v>
      </c>
      <c r="G5786" s="7" t="str">
        <f>LOOKUP(H5786,[1]startdates!$A$2:$A$10,[1]startdates!$B$2:$B$10)</f>
        <v>C</v>
      </c>
      <c r="H5786">
        <v>8</v>
      </c>
      <c r="N5786" s="7">
        <v>244.5</v>
      </c>
      <c r="O5786" s="7">
        <v>176.8</v>
      </c>
    </row>
    <row r="5787" spans="1:18" x14ac:dyDescent="0.2">
      <c r="A5787">
        <v>5786</v>
      </c>
      <c r="B5787" s="1">
        <v>40893</v>
      </c>
      <c r="C5787" t="s">
        <v>24</v>
      </c>
      <c r="D5787" s="7">
        <v>154</v>
      </c>
      <c r="E5787" s="7">
        <v>23</v>
      </c>
      <c r="F5787" s="7">
        <f t="shared" si="90"/>
        <v>6</v>
      </c>
      <c r="G5787" s="7" t="str">
        <f>LOOKUP(H5787,[1]startdates!$A$2:$A$10,[1]startdates!$B$2:$B$10)</f>
        <v>C</v>
      </c>
      <c r="H5787">
        <v>8</v>
      </c>
      <c r="N5787" s="7">
        <v>226.7</v>
      </c>
    </row>
    <row r="5788" spans="1:18" x14ac:dyDescent="0.2">
      <c r="A5788">
        <v>5787</v>
      </c>
      <c r="B5788" s="1">
        <v>40893</v>
      </c>
      <c r="C5788" t="s">
        <v>28</v>
      </c>
      <c r="D5788" s="7">
        <v>154</v>
      </c>
      <c r="E5788" s="7">
        <v>23</v>
      </c>
      <c r="F5788" s="7">
        <f t="shared" si="90"/>
        <v>6</v>
      </c>
      <c r="G5788" s="7" t="str">
        <f>LOOKUP(H5788,[1]startdates!$A$2:$A$10,[1]startdates!$B$2:$B$10)</f>
        <v>FMr</v>
      </c>
      <c r="H5788">
        <v>9</v>
      </c>
      <c r="I5788" s="7">
        <v>654.1</v>
      </c>
      <c r="J5788" s="7">
        <v>512.20000000000005</v>
      </c>
      <c r="K5788" s="7">
        <v>510.9</v>
      </c>
      <c r="L5788" s="7">
        <v>421.7</v>
      </c>
      <c r="M5788" s="7">
        <v>336.1</v>
      </c>
      <c r="N5788" s="7">
        <v>282.2</v>
      </c>
      <c r="O5788" s="7">
        <v>156.4</v>
      </c>
      <c r="P5788" s="7">
        <v>402.4</v>
      </c>
      <c r="Q5788" s="7">
        <v>334.3</v>
      </c>
      <c r="R5788" s="7">
        <v>257.7</v>
      </c>
    </row>
    <row r="5789" spans="1:18" x14ac:dyDescent="0.2">
      <c r="A5789">
        <v>5788</v>
      </c>
      <c r="B5789" s="1">
        <v>40893</v>
      </c>
      <c r="C5789" t="s">
        <v>28</v>
      </c>
      <c r="D5789" s="7">
        <v>154</v>
      </c>
      <c r="E5789" s="7">
        <v>23</v>
      </c>
      <c r="F5789" s="7">
        <f t="shared" si="90"/>
        <v>6</v>
      </c>
      <c r="G5789" s="7" t="str">
        <f>LOOKUP(H5789,[1]startdates!$A$2:$A$10,[1]startdates!$B$2:$B$10)</f>
        <v>FMr</v>
      </c>
      <c r="H5789">
        <v>9</v>
      </c>
      <c r="I5789" s="7">
        <v>656.3</v>
      </c>
      <c r="K5789" s="7">
        <v>484.5</v>
      </c>
      <c r="L5789" s="7">
        <v>402.2</v>
      </c>
      <c r="M5789" s="7">
        <v>380.1</v>
      </c>
      <c r="N5789" s="7">
        <v>231.3</v>
      </c>
      <c r="O5789" s="7">
        <v>186.9</v>
      </c>
      <c r="P5789" s="7">
        <v>440</v>
      </c>
      <c r="Q5789" s="7">
        <v>312.7</v>
      </c>
    </row>
    <row r="5790" spans="1:18" x14ac:dyDescent="0.2">
      <c r="A5790">
        <v>5789</v>
      </c>
      <c r="B5790" s="1">
        <v>40893</v>
      </c>
      <c r="C5790" t="s">
        <v>28</v>
      </c>
      <c r="D5790" s="7">
        <v>154</v>
      </c>
      <c r="E5790" s="7">
        <v>23</v>
      </c>
      <c r="F5790" s="7">
        <f t="shared" si="90"/>
        <v>6</v>
      </c>
      <c r="G5790" s="7" t="str">
        <f>LOOKUP(H5790,[1]startdates!$A$2:$A$10,[1]startdates!$B$2:$B$10)</f>
        <v>FMr</v>
      </c>
      <c r="H5790">
        <v>9</v>
      </c>
      <c r="I5790" s="7">
        <v>610.4</v>
      </c>
      <c r="K5790" s="7">
        <v>519.20000000000005</v>
      </c>
      <c r="L5790" s="7">
        <v>436.1</v>
      </c>
      <c r="M5790" s="7">
        <v>351.5</v>
      </c>
      <c r="N5790" s="7">
        <v>202.5</v>
      </c>
      <c r="O5790" s="7">
        <v>161.69999999999999</v>
      </c>
    </row>
    <row r="5791" spans="1:18" x14ac:dyDescent="0.2">
      <c r="A5791">
        <v>5790</v>
      </c>
      <c r="B5791" s="1">
        <v>40893</v>
      </c>
      <c r="C5791" t="s">
        <v>28</v>
      </c>
      <c r="D5791" s="7">
        <v>154</v>
      </c>
      <c r="E5791" s="7">
        <v>23</v>
      </c>
      <c r="F5791" s="7">
        <f t="shared" si="90"/>
        <v>6</v>
      </c>
      <c r="G5791" s="7" t="str">
        <f>LOOKUP(H5791,[1]startdates!$A$2:$A$10,[1]startdates!$B$2:$B$10)</f>
        <v>FMr</v>
      </c>
      <c r="H5791">
        <v>9</v>
      </c>
      <c r="I5791" s="7">
        <v>581.70000000000005</v>
      </c>
      <c r="K5791" s="7">
        <v>596.79999999999995</v>
      </c>
      <c r="L5791" s="7">
        <v>443.4</v>
      </c>
      <c r="M5791" s="7">
        <v>329</v>
      </c>
      <c r="N5791" s="7">
        <v>166.7</v>
      </c>
      <c r="O5791" s="7">
        <v>169.4</v>
      </c>
    </row>
    <row r="5792" spans="1:18" x14ac:dyDescent="0.2">
      <c r="A5792">
        <v>5791</v>
      </c>
      <c r="B5792" s="1">
        <v>40893</v>
      </c>
      <c r="C5792" t="s">
        <v>28</v>
      </c>
      <c r="D5792" s="7">
        <v>154</v>
      </c>
      <c r="E5792" s="7">
        <v>23</v>
      </c>
      <c r="F5792" s="7">
        <f t="shared" si="90"/>
        <v>6</v>
      </c>
      <c r="G5792" s="7" t="str">
        <f>LOOKUP(H5792,[1]startdates!$A$2:$A$10,[1]startdates!$B$2:$B$10)</f>
        <v>FMr</v>
      </c>
      <c r="H5792">
        <v>9</v>
      </c>
      <c r="I5792" s="7">
        <v>507.6</v>
      </c>
      <c r="K5792" s="7">
        <v>544.29999999999995</v>
      </c>
      <c r="M5792" s="7">
        <v>280.7</v>
      </c>
      <c r="N5792" s="7">
        <v>214.5</v>
      </c>
      <c r="O5792" s="7">
        <v>147.9</v>
      </c>
    </row>
    <row r="5793" spans="1:21" x14ac:dyDescent="0.2">
      <c r="A5793">
        <v>5792</v>
      </c>
      <c r="B5793" s="1">
        <v>40893</v>
      </c>
      <c r="C5793" t="s">
        <v>28</v>
      </c>
      <c r="D5793" s="7">
        <v>154</v>
      </c>
      <c r="E5793" s="7">
        <v>23</v>
      </c>
      <c r="F5793" s="7">
        <f t="shared" si="90"/>
        <v>6</v>
      </c>
      <c r="G5793" s="7" t="str">
        <f>LOOKUP(H5793,[1]startdates!$A$2:$A$10,[1]startdates!$B$2:$B$10)</f>
        <v>FMr</v>
      </c>
      <c r="H5793">
        <v>9</v>
      </c>
      <c r="I5793" s="7">
        <v>541.70000000000005</v>
      </c>
      <c r="K5793" s="7">
        <v>474.3</v>
      </c>
      <c r="M5793" s="7">
        <v>360.8</v>
      </c>
      <c r="N5793" s="7">
        <v>213.6</v>
      </c>
      <c r="O5793" s="7">
        <v>164.9</v>
      </c>
    </row>
    <row r="5794" spans="1:21" x14ac:dyDescent="0.2">
      <c r="A5794">
        <v>5793</v>
      </c>
      <c r="B5794" s="1">
        <v>40893</v>
      </c>
      <c r="C5794" t="s">
        <v>28</v>
      </c>
      <c r="D5794" s="7">
        <v>154</v>
      </c>
      <c r="E5794" s="7">
        <v>23</v>
      </c>
      <c r="F5794" s="7">
        <f t="shared" si="90"/>
        <v>6</v>
      </c>
      <c r="G5794" s="7" t="str">
        <f>LOOKUP(H5794,[1]startdates!$A$2:$A$10,[1]startdates!$B$2:$B$10)</f>
        <v>FMr</v>
      </c>
      <c r="H5794">
        <v>9</v>
      </c>
      <c r="I5794" s="7">
        <v>590</v>
      </c>
      <c r="M5794" s="7">
        <v>380.7</v>
      </c>
      <c r="N5794" s="7">
        <v>195.7</v>
      </c>
      <c r="O5794" s="7">
        <v>147.69999999999999</v>
      </c>
    </row>
    <row r="5795" spans="1:21" x14ac:dyDescent="0.2">
      <c r="A5795">
        <v>5794</v>
      </c>
      <c r="B5795" s="1">
        <v>40893</v>
      </c>
      <c r="C5795" t="s">
        <v>28</v>
      </c>
      <c r="D5795" s="7">
        <v>154</v>
      </c>
      <c r="E5795" s="7">
        <v>23</v>
      </c>
      <c r="F5795" s="7">
        <f t="shared" si="90"/>
        <v>6</v>
      </c>
      <c r="G5795" s="7" t="str">
        <f>LOOKUP(H5795,[1]startdates!$A$2:$A$10,[1]startdates!$B$2:$B$10)</f>
        <v>FMr</v>
      </c>
      <c r="H5795">
        <v>9</v>
      </c>
      <c r="I5795" s="7">
        <v>508.2</v>
      </c>
      <c r="M5795" s="7">
        <v>329.7</v>
      </c>
      <c r="N5795" s="7">
        <v>203.3</v>
      </c>
      <c r="O5795" s="7">
        <v>173.8</v>
      </c>
    </row>
    <row r="5796" spans="1:21" x14ac:dyDescent="0.2">
      <c r="A5796">
        <v>5795</v>
      </c>
      <c r="B5796" s="1">
        <v>40893</v>
      </c>
      <c r="C5796" t="s">
        <v>28</v>
      </c>
      <c r="D5796" s="7">
        <v>154</v>
      </c>
      <c r="E5796" s="7">
        <v>23</v>
      </c>
      <c r="F5796" s="7">
        <f t="shared" si="90"/>
        <v>6</v>
      </c>
      <c r="G5796" s="7" t="str">
        <f>LOOKUP(H5796,[1]startdates!$A$2:$A$10,[1]startdates!$B$2:$B$10)</f>
        <v>FMr</v>
      </c>
      <c r="H5796">
        <v>9</v>
      </c>
      <c r="I5796" s="7">
        <v>604.5</v>
      </c>
      <c r="M5796" s="7">
        <v>353.5</v>
      </c>
      <c r="N5796" s="7">
        <v>210.4</v>
      </c>
      <c r="O5796" s="7">
        <v>137.9</v>
      </c>
    </row>
    <row r="5797" spans="1:21" x14ac:dyDescent="0.2">
      <c r="A5797">
        <v>5796</v>
      </c>
      <c r="B5797" s="1">
        <v>40893</v>
      </c>
      <c r="C5797" t="s">
        <v>28</v>
      </c>
      <c r="D5797" s="7">
        <v>154</v>
      </c>
      <c r="E5797" s="7">
        <v>23</v>
      </c>
      <c r="F5797" s="7">
        <f t="shared" si="90"/>
        <v>6</v>
      </c>
      <c r="G5797" s="7" t="str">
        <f>LOOKUP(H5797,[1]startdates!$A$2:$A$10,[1]startdates!$B$2:$B$10)</f>
        <v>FMr</v>
      </c>
      <c r="H5797">
        <v>9</v>
      </c>
      <c r="I5797" s="7">
        <v>585.1</v>
      </c>
      <c r="N5797" s="7">
        <v>207.5</v>
      </c>
      <c r="O5797" s="7">
        <v>159.80000000000001</v>
      </c>
    </row>
    <row r="5798" spans="1:21" x14ac:dyDescent="0.2">
      <c r="A5798">
        <v>5797</v>
      </c>
      <c r="B5798" s="1">
        <v>40893</v>
      </c>
      <c r="C5798" t="s">
        <v>28</v>
      </c>
      <c r="D5798" s="7">
        <v>154</v>
      </c>
      <c r="E5798" s="7">
        <v>23</v>
      </c>
      <c r="F5798" s="7">
        <f t="shared" si="90"/>
        <v>6</v>
      </c>
      <c r="G5798" s="7" t="str">
        <f>LOOKUP(H5798,[1]startdates!$A$2:$A$10,[1]startdates!$B$2:$B$10)</f>
        <v>FMr</v>
      </c>
      <c r="H5798">
        <v>9</v>
      </c>
      <c r="I5798" s="7">
        <v>567.5</v>
      </c>
      <c r="O5798" s="7">
        <v>163.1</v>
      </c>
    </row>
    <row r="5799" spans="1:21" x14ac:dyDescent="0.2">
      <c r="A5799">
        <v>5798</v>
      </c>
      <c r="B5799" s="1">
        <v>40893</v>
      </c>
      <c r="C5799" t="s">
        <v>28</v>
      </c>
      <c r="D5799" s="7">
        <v>154</v>
      </c>
      <c r="E5799" s="7">
        <v>23</v>
      </c>
      <c r="F5799" s="7">
        <f t="shared" si="90"/>
        <v>6</v>
      </c>
      <c r="G5799" s="7" t="str">
        <f>LOOKUP(H5799,[1]startdates!$A$2:$A$10,[1]startdates!$B$2:$B$10)</f>
        <v>FMr</v>
      </c>
      <c r="H5799">
        <v>9</v>
      </c>
      <c r="I5799" s="7">
        <v>551.6</v>
      </c>
    </row>
    <row r="5800" spans="1:21" x14ac:dyDescent="0.2">
      <c r="A5800">
        <v>5799</v>
      </c>
      <c r="B5800" s="1">
        <v>40893</v>
      </c>
      <c r="C5800" t="s">
        <v>28</v>
      </c>
      <c r="D5800" s="7">
        <v>154</v>
      </c>
      <c r="E5800" s="7">
        <v>23</v>
      </c>
      <c r="F5800" s="7">
        <f t="shared" si="90"/>
        <v>6</v>
      </c>
      <c r="G5800" s="7" t="str">
        <f>LOOKUP(H5800,[1]startdates!$A$2:$A$10,[1]startdates!$B$2:$B$10)</f>
        <v>FMr</v>
      </c>
      <c r="H5800">
        <v>9</v>
      </c>
      <c r="I5800" s="7">
        <v>699.6</v>
      </c>
    </row>
    <row r="5801" spans="1:21" x14ac:dyDescent="0.2">
      <c r="A5801">
        <v>5800</v>
      </c>
      <c r="B5801" s="1">
        <v>40893</v>
      </c>
      <c r="C5801" t="s">
        <v>28</v>
      </c>
      <c r="D5801" s="7">
        <v>154</v>
      </c>
      <c r="E5801" s="7">
        <v>23</v>
      </c>
      <c r="F5801" s="7">
        <f t="shared" ref="F5801:F5864" si="91">WEEKDAY(B5801)</f>
        <v>6</v>
      </c>
      <c r="G5801" s="7" t="str">
        <f>LOOKUP(H5801,[1]startdates!$A$2:$A$10,[1]startdates!$B$2:$B$10)</f>
        <v>FMr</v>
      </c>
      <c r="H5801">
        <v>9</v>
      </c>
      <c r="I5801" s="7">
        <v>514</v>
      </c>
    </row>
    <row r="5802" spans="1:21" x14ac:dyDescent="0.2">
      <c r="A5802">
        <v>5801</v>
      </c>
      <c r="B5802" s="1">
        <v>40897</v>
      </c>
      <c r="C5802" t="s">
        <v>24</v>
      </c>
      <c r="D5802" s="7">
        <v>158</v>
      </c>
      <c r="E5802" s="7">
        <v>24</v>
      </c>
      <c r="F5802" s="7">
        <f t="shared" si="91"/>
        <v>3</v>
      </c>
      <c r="G5802" s="7" t="str">
        <f>LOOKUP(H5802,[1]startdates!$A$2:$A$10,[1]startdates!$B$2:$B$10)</f>
        <v>SMr</v>
      </c>
      <c r="H5802">
        <v>1</v>
      </c>
      <c r="I5802" s="7">
        <v>642.4</v>
      </c>
      <c r="J5802" s="7">
        <v>430.6</v>
      </c>
      <c r="K5802" s="7">
        <v>430.3</v>
      </c>
      <c r="L5802" s="7">
        <v>492.3</v>
      </c>
      <c r="M5802" s="7">
        <v>301.7</v>
      </c>
      <c r="N5802" s="7">
        <v>203.7</v>
      </c>
      <c r="O5802" s="7">
        <v>153.19999999999999</v>
      </c>
      <c r="P5802" s="7">
        <v>441.1</v>
      </c>
      <c r="Q5802" s="7">
        <v>395.3</v>
      </c>
      <c r="R5802" s="7">
        <v>270.2</v>
      </c>
      <c r="S5802" s="7">
        <v>239.3</v>
      </c>
      <c r="U5802" s="7">
        <v>431.1</v>
      </c>
    </row>
    <row r="5803" spans="1:21" x14ac:dyDescent="0.2">
      <c r="A5803">
        <v>5802</v>
      </c>
      <c r="B5803" s="1">
        <v>40897</v>
      </c>
      <c r="C5803" t="s">
        <v>24</v>
      </c>
      <c r="D5803" s="7">
        <v>158</v>
      </c>
      <c r="E5803" s="7">
        <v>24</v>
      </c>
      <c r="F5803" s="7">
        <f t="shared" si="91"/>
        <v>3</v>
      </c>
      <c r="G5803" s="7" t="str">
        <f>LOOKUP(H5803,[1]startdates!$A$2:$A$10,[1]startdates!$B$2:$B$10)</f>
        <v>SMr</v>
      </c>
      <c r="H5803">
        <v>1</v>
      </c>
      <c r="I5803" s="7">
        <v>565.5</v>
      </c>
      <c r="J5803" s="7">
        <v>417.6</v>
      </c>
      <c r="K5803" s="7">
        <v>484.5</v>
      </c>
      <c r="L5803" s="7">
        <v>474.3</v>
      </c>
      <c r="M5803" s="7">
        <v>290</v>
      </c>
      <c r="N5803" s="7">
        <v>206.3</v>
      </c>
      <c r="O5803" s="7">
        <v>170.6</v>
      </c>
      <c r="P5803" s="7">
        <v>461.1</v>
      </c>
      <c r="Q5803" s="7">
        <v>377.8</v>
      </c>
      <c r="R5803" s="7">
        <v>237.3</v>
      </c>
      <c r="S5803" s="7">
        <v>233.8</v>
      </c>
      <c r="U5803" s="7">
        <v>488.5</v>
      </c>
    </row>
    <row r="5804" spans="1:21" x14ac:dyDescent="0.2">
      <c r="A5804">
        <v>5803</v>
      </c>
      <c r="B5804" s="1">
        <v>40897</v>
      </c>
      <c r="C5804" t="s">
        <v>24</v>
      </c>
      <c r="D5804" s="7">
        <v>158</v>
      </c>
      <c r="E5804" s="7">
        <v>24</v>
      </c>
      <c r="F5804" s="7">
        <f t="shared" si="91"/>
        <v>3</v>
      </c>
      <c r="G5804" s="7" t="str">
        <f>LOOKUP(H5804,[1]startdates!$A$2:$A$10,[1]startdates!$B$2:$B$10)</f>
        <v>SMr</v>
      </c>
      <c r="H5804">
        <v>1</v>
      </c>
      <c r="I5804" s="7">
        <v>550.4</v>
      </c>
      <c r="J5804" s="7">
        <v>471.8</v>
      </c>
      <c r="K5804" s="7">
        <v>515.79999999999995</v>
      </c>
      <c r="M5804" s="7">
        <v>340.9</v>
      </c>
      <c r="N5804" s="7">
        <v>217.7</v>
      </c>
      <c r="O5804" s="7">
        <v>182.3</v>
      </c>
      <c r="Q5804" s="7">
        <v>365.6</v>
      </c>
      <c r="R5804" s="7">
        <v>260.39999999999998</v>
      </c>
      <c r="U5804" s="7">
        <v>482.8</v>
      </c>
    </row>
    <row r="5805" spans="1:21" x14ac:dyDescent="0.2">
      <c r="A5805">
        <v>5804</v>
      </c>
      <c r="B5805" s="1">
        <v>40897</v>
      </c>
      <c r="C5805" t="s">
        <v>24</v>
      </c>
      <c r="D5805" s="7">
        <v>158</v>
      </c>
      <c r="E5805" s="7">
        <v>24</v>
      </c>
      <c r="F5805" s="7">
        <f t="shared" si="91"/>
        <v>3</v>
      </c>
      <c r="G5805" s="7" t="str">
        <f>LOOKUP(H5805,[1]startdates!$A$2:$A$10,[1]startdates!$B$2:$B$10)</f>
        <v>SMr</v>
      </c>
      <c r="H5805">
        <v>1</v>
      </c>
      <c r="I5805" s="7">
        <v>626.20000000000005</v>
      </c>
      <c r="K5805" s="7">
        <v>499.4</v>
      </c>
      <c r="M5805" s="7">
        <v>324.5</v>
      </c>
      <c r="N5805" s="7">
        <v>176.8</v>
      </c>
      <c r="O5805" s="7">
        <v>138</v>
      </c>
      <c r="U5805" s="7">
        <v>475.4</v>
      </c>
    </row>
    <row r="5806" spans="1:21" x14ac:dyDescent="0.2">
      <c r="A5806">
        <v>5805</v>
      </c>
      <c r="B5806" s="1">
        <v>40897</v>
      </c>
      <c r="C5806" t="s">
        <v>24</v>
      </c>
      <c r="D5806" s="7">
        <v>158</v>
      </c>
      <c r="E5806" s="7">
        <v>24</v>
      </c>
      <c r="F5806" s="7">
        <f t="shared" si="91"/>
        <v>3</v>
      </c>
      <c r="G5806" s="7" t="str">
        <f>LOOKUP(H5806,[1]startdates!$A$2:$A$10,[1]startdates!$B$2:$B$10)</f>
        <v>SMr</v>
      </c>
      <c r="H5806">
        <v>1</v>
      </c>
      <c r="K5806" s="7">
        <v>434.8</v>
      </c>
      <c r="M5806" s="7">
        <v>377.1</v>
      </c>
      <c r="N5806" s="7">
        <v>201.1</v>
      </c>
      <c r="O5806" s="7">
        <v>169.6</v>
      </c>
      <c r="U5806" s="7">
        <v>536.5</v>
      </c>
    </row>
    <row r="5807" spans="1:21" x14ac:dyDescent="0.2">
      <c r="A5807">
        <v>5806</v>
      </c>
      <c r="B5807" s="1">
        <v>40897</v>
      </c>
      <c r="C5807" t="s">
        <v>24</v>
      </c>
      <c r="D5807" s="7">
        <v>158</v>
      </c>
      <c r="E5807" s="7">
        <v>24</v>
      </c>
      <c r="F5807" s="7">
        <f t="shared" si="91"/>
        <v>3</v>
      </c>
      <c r="G5807" s="7" t="str">
        <f>LOOKUP(H5807,[1]startdates!$A$2:$A$10,[1]startdates!$B$2:$B$10)</f>
        <v>SMr</v>
      </c>
      <c r="H5807">
        <v>1</v>
      </c>
      <c r="N5807" s="7">
        <v>191.1</v>
      </c>
      <c r="O5807" s="7">
        <v>160.4</v>
      </c>
    </row>
    <row r="5808" spans="1:21" x14ac:dyDescent="0.2">
      <c r="A5808">
        <v>5807</v>
      </c>
      <c r="B5808" s="1">
        <v>40897</v>
      </c>
      <c r="C5808" t="s">
        <v>24</v>
      </c>
      <c r="D5808" s="7">
        <v>158</v>
      </c>
      <c r="E5808" s="7">
        <v>24</v>
      </c>
      <c r="F5808" s="7">
        <f t="shared" si="91"/>
        <v>3</v>
      </c>
      <c r="G5808" s="7" t="str">
        <f>LOOKUP(H5808,[1]startdates!$A$2:$A$10,[1]startdates!$B$2:$B$10)</f>
        <v>SMr</v>
      </c>
      <c r="H5808">
        <v>1</v>
      </c>
      <c r="N5808" s="7">
        <v>204.6</v>
      </c>
      <c r="O5808" s="7">
        <v>151.4</v>
      </c>
    </row>
    <row r="5809" spans="1:21" x14ac:dyDescent="0.2">
      <c r="A5809">
        <v>5808</v>
      </c>
      <c r="B5809" s="1">
        <v>40897</v>
      </c>
      <c r="C5809" t="s">
        <v>24</v>
      </c>
      <c r="D5809" s="7">
        <v>158</v>
      </c>
      <c r="E5809" s="7">
        <v>24</v>
      </c>
      <c r="F5809" s="7">
        <f t="shared" si="91"/>
        <v>3</v>
      </c>
      <c r="G5809" s="7" t="str">
        <f>LOOKUP(H5809,[1]startdates!$A$2:$A$10,[1]startdates!$B$2:$B$10)</f>
        <v>SMr</v>
      </c>
      <c r="H5809">
        <v>1</v>
      </c>
      <c r="N5809" s="7">
        <v>239.4</v>
      </c>
      <c r="O5809" s="7">
        <v>169.5</v>
      </c>
    </row>
    <row r="5810" spans="1:21" x14ac:dyDescent="0.2">
      <c r="A5810">
        <v>5809</v>
      </c>
      <c r="B5810" s="1">
        <v>40897</v>
      </c>
      <c r="C5810" t="s">
        <v>24</v>
      </c>
      <c r="D5810" s="7">
        <v>158</v>
      </c>
      <c r="E5810" s="7">
        <v>24</v>
      </c>
      <c r="F5810" s="7">
        <f t="shared" si="91"/>
        <v>3</v>
      </c>
      <c r="G5810" s="7" t="str">
        <f>LOOKUP(H5810,[1]startdates!$A$2:$A$10,[1]startdates!$B$2:$B$10)</f>
        <v>SMr</v>
      </c>
      <c r="H5810">
        <v>1</v>
      </c>
      <c r="N5810" s="7">
        <v>236.9</v>
      </c>
      <c r="O5810" s="7">
        <v>191.5</v>
      </c>
    </row>
    <row r="5811" spans="1:21" x14ac:dyDescent="0.2">
      <c r="A5811">
        <v>5810</v>
      </c>
      <c r="B5811" s="1">
        <v>40897</v>
      </c>
      <c r="C5811" t="s">
        <v>24</v>
      </c>
      <c r="D5811" s="7">
        <v>158</v>
      </c>
      <c r="E5811" s="7">
        <v>24</v>
      </c>
      <c r="F5811" s="7">
        <f t="shared" si="91"/>
        <v>3</v>
      </c>
      <c r="G5811" s="7" t="str">
        <f>LOOKUP(H5811,[1]startdates!$A$2:$A$10,[1]startdates!$B$2:$B$10)</f>
        <v>SMr</v>
      </c>
      <c r="H5811">
        <v>1</v>
      </c>
      <c r="N5811" s="7">
        <v>245.4</v>
      </c>
      <c r="O5811" s="7">
        <v>163</v>
      </c>
    </row>
    <row r="5812" spans="1:21" x14ac:dyDescent="0.2">
      <c r="A5812">
        <v>5811</v>
      </c>
      <c r="B5812" s="1">
        <v>40897</v>
      </c>
      <c r="C5812" t="s">
        <v>24</v>
      </c>
      <c r="D5812" s="7">
        <v>158</v>
      </c>
      <c r="E5812" s="7">
        <v>24</v>
      </c>
      <c r="F5812" s="7">
        <f t="shared" si="91"/>
        <v>3</v>
      </c>
      <c r="G5812" s="7" t="str">
        <f>LOOKUP(H5812,[1]startdates!$A$2:$A$10,[1]startdates!$B$2:$B$10)</f>
        <v>SMr</v>
      </c>
      <c r="H5812">
        <v>1</v>
      </c>
      <c r="O5812" s="7">
        <v>168.1</v>
      </c>
    </row>
    <row r="5813" spans="1:21" x14ac:dyDescent="0.2">
      <c r="A5813">
        <v>5812</v>
      </c>
      <c r="B5813" s="1">
        <v>40897</v>
      </c>
      <c r="C5813" t="s">
        <v>28</v>
      </c>
      <c r="D5813" s="7">
        <v>158</v>
      </c>
      <c r="E5813" s="7">
        <v>24</v>
      </c>
      <c r="F5813" s="7">
        <f t="shared" si="91"/>
        <v>3</v>
      </c>
      <c r="G5813" s="7" t="str">
        <f>LOOKUP(H5813,[1]startdates!$A$2:$A$10,[1]startdates!$B$2:$B$10)</f>
        <v>SMr</v>
      </c>
      <c r="H5813">
        <v>2</v>
      </c>
      <c r="I5813" s="7">
        <v>615.1</v>
      </c>
      <c r="K5813" s="7">
        <v>498.6</v>
      </c>
      <c r="L5813" s="7">
        <v>405.6</v>
      </c>
      <c r="M5813" s="7">
        <v>292.3</v>
      </c>
      <c r="N5813" s="7">
        <v>216.8</v>
      </c>
      <c r="O5813" s="7">
        <v>163.4</v>
      </c>
      <c r="P5813" s="7">
        <v>405</v>
      </c>
      <c r="Q5813" s="7">
        <v>317.7</v>
      </c>
      <c r="U5813" s="7">
        <v>473.8</v>
      </c>
    </row>
    <row r="5814" spans="1:21" x14ac:dyDescent="0.2">
      <c r="A5814">
        <v>5813</v>
      </c>
      <c r="B5814" s="1">
        <v>40897</v>
      </c>
      <c r="C5814" t="s">
        <v>28</v>
      </c>
      <c r="D5814" s="7">
        <v>158</v>
      </c>
      <c r="E5814" s="7">
        <v>24</v>
      </c>
      <c r="F5814" s="7">
        <f t="shared" si="91"/>
        <v>3</v>
      </c>
      <c r="G5814" s="7" t="str">
        <f>LOOKUP(H5814,[1]startdates!$A$2:$A$10,[1]startdates!$B$2:$B$10)</f>
        <v>SMr</v>
      </c>
      <c r="H5814">
        <v>2</v>
      </c>
      <c r="I5814" s="7">
        <v>638.79999999999995</v>
      </c>
      <c r="K5814" s="7">
        <v>536.29999999999995</v>
      </c>
      <c r="L5814" s="7">
        <v>403.1</v>
      </c>
      <c r="M5814" s="7">
        <v>300.8</v>
      </c>
      <c r="N5814" s="7">
        <v>227.7</v>
      </c>
      <c r="O5814" s="7">
        <v>161.5</v>
      </c>
      <c r="P5814" s="7">
        <v>447.3</v>
      </c>
      <c r="Q5814" s="7">
        <v>316</v>
      </c>
      <c r="U5814" s="7">
        <v>482.3</v>
      </c>
    </row>
    <row r="5815" spans="1:21" x14ac:dyDescent="0.2">
      <c r="A5815">
        <v>5814</v>
      </c>
      <c r="B5815" s="1">
        <v>40897</v>
      </c>
      <c r="C5815" t="s">
        <v>28</v>
      </c>
      <c r="D5815" s="7">
        <v>158</v>
      </c>
      <c r="E5815" s="7">
        <v>24</v>
      </c>
      <c r="F5815" s="7">
        <f t="shared" si="91"/>
        <v>3</v>
      </c>
      <c r="G5815" s="7" t="str">
        <f>LOOKUP(H5815,[1]startdates!$A$2:$A$10,[1]startdates!$B$2:$B$10)</f>
        <v>SMr</v>
      </c>
      <c r="H5815">
        <v>2</v>
      </c>
      <c r="I5815" s="7">
        <v>645.70000000000005</v>
      </c>
      <c r="K5815" s="7">
        <v>436.7</v>
      </c>
      <c r="L5815" s="7">
        <v>411.1</v>
      </c>
      <c r="M5815" s="7">
        <v>330.9</v>
      </c>
      <c r="N5815" s="7">
        <v>190.2</v>
      </c>
      <c r="O5815" s="7">
        <v>164.5</v>
      </c>
      <c r="P5815" s="7">
        <v>420.8</v>
      </c>
      <c r="U5815" s="7">
        <v>434.5</v>
      </c>
    </row>
    <row r="5816" spans="1:21" x14ac:dyDescent="0.2">
      <c r="A5816">
        <v>5815</v>
      </c>
      <c r="B5816" s="1">
        <v>40897</v>
      </c>
      <c r="C5816" t="s">
        <v>28</v>
      </c>
      <c r="D5816" s="7">
        <v>158</v>
      </c>
      <c r="E5816" s="7">
        <v>24</v>
      </c>
      <c r="F5816" s="7">
        <f t="shared" si="91"/>
        <v>3</v>
      </c>
      <c r="G5816" s="7" t="str">
        <f>LOOKUP(H5816,[1]startdates!$A$2:$A$10,[1]startdates!$B$2:$B$10)</f>
        <v>SMr</v>
      </c>
      <c r="H5816">
        <v>2</v>
      </c>
      <c r="I5816" s="7">
        <v>502.9</v>
      </c>
      <c r="K5816" s="7">
        <v>498.3</v>
      </c>
      <c r="L5816" s="7">
        <v>449.4</v>
      </c>
      <c r="M5816" s="7">
        <v>347.4</v>
      </c>
      <c r="N5816" s="7">
        <v>219.5</v>
      </c>
      <c r="O5816" s="7">
        <v>173.5</v>
      </c>
      <c r="U5816" s="7">
        <v>468.1</v>
      </c>
    </row>
    <row r="5817" spans="1:21" x14ac:dyDescent="0.2">
      <c r="A5817">
        <v>5816</v>
      </c>
      <c r="B5817" s="1">
        <v>40897</v>
      </c>
      <c r="C5817" t="s">
        <v>28</v>
      </c>
      <c r="D5817" s="7">
        <v>158</v>
      </c>
      <c r="E5817" s="7">
        <v>24</v>
      </c>
      <c r="F5817" s="7">
        <f t="shared" si="91"/>
        <v>3</v>
      </c>
      <c r="G5817" s="7" t="str">
        <f>LOOKUP(H5817,[1]startdates!$A$2:$A$10,[1]startdates!$B$2:$B$10)</f>
        <v>SMr</v>
      </c>
      <c r="H5817">
        <v>2</v>
      </c>
      <c r="I5817" s="7">
        <v>476</v>
      </c>
      <c r="M5817" s="7">
        <v>322.5</v>
      </c>
      <c r="N5817" s="7">
        <v>232.4</v>
      </c>
      <c r="O5817" s="7">
        <v>173.1</v>
      </c>
    </row>
    <row r="5818" spans="1:21" x14ac:dyDescent="0.2">
      <c r="A5818">
        <v>5817</v>
      </c>
      <c r="B5818" s="1">
        <v>40897</v>
      </c>
      <c r="C5818" t="s">
        <v>28</v>
      </c>
      <c r="D5818" s="7">
        <v>158</v>
      </c>
      <c r="E5818" s="7">
        <v>24</v>
      </c>
      <c r="F5818" s="7">
        <f t="shared" si="91"/>
        <v>3</v>
      </c>
      <c r="G5818" s="7" t="str">
        <f>LOOKUP(H5818,[1]startdates!$A$2:$A$10,[1]startdates!$B$2:$B$10)</f>
        <v>SMr</v>
      </c>
      <c r="H5818">
        <v>2</v>
      </c>
      <c r="I5818" s="7">
        <v>486</v>
      </c>
      <c r="M5818" s="7">
        <v>358.1</v>
      </c>
      <c r="N5818" s="7">
        <v>254.3</v>
      </c>
      <c r="O5818" s="7">
        <v>181.9</v>
      </c>
    </row>
    <row r="5819" spans="1:21" x14ac:dyDescent="0.2">
      <c r="A5819">
        <v>5818</v>
      </c>
      <c r="B5819" s="1">
        <v>40897</v>
      </c>
      <c r="C5819" t="s">
        <v>28</v>
      </c>
      <c r="D5819" s="7">
        <v>158</v>
      </c>
      <c r="E5819" s="7">
        <v>24</v>
      </c>
      <c r="F5819" s="7">
        <f t="shared" si="91"/>
        <v>3</v>
      </c>
      <c r="G5819" s="7" t="str">
        <f>LOOKUP(H5819,[1]startdates!$A$2:$A$10,[1]startdates!$B$2:$B$10)</f>
        <v>SMr</v>
      </c>
      <c r="H5819">
        <v>2</v>
      </c>
      <c r="I5819" s="7">
        <v>499.7</v>
      </c>
      <c r="M5819" s="7">
        <v>331.3</v>
      </c>
      <c r="N5819" s="7">
        <v>244.4</v>
      </c>
      <c r="O5819" s="7">
        <v>158.30000000000001</v>
      </c>
    </row>
    <row r="5820" spans="1:21" x14ac:dyDescent="0.2">
      <c r="A5820">
        <v>5819</v>
      </c>
      <c r="B5820" s="1">
        <v>40897</v>
      </c>
      <c r="C5820" t="s">
        <v>28</v>
      </c>
      <c r="D5820" s="7">
        <v>158</v>
      </c>
      <c r="E5820" s="7">
        <v>24</v>
      </c>
      <c r="F5820" s="7">
        <f t="shared" si="91"/>
        <v>3</v>
      </c>
      <c r="G5820" s="7" t="str">
        <f>LOOKUP(H5820,[1]startdates!$A$2:$A$10,[1]startdates!$B$2:$B$10)</f>
        <v>SMr</v>
      </c>
      <c r="H5820">
        <v>2</v>
      </c>
      <c r="I5820" s="7">
        <v>548</v>
      </c>
      <c r="N5820" s="7">
        <v>202.2</v>
      </c>
      <c r="O5820" s="7">
        <v>152.4</v>
      </c>
    </row>
    <row r="5821" spans="1:21" x14ac:dyDescent="0.2">
      <c r="A5821">
        <v>5820</v>
      </c>
      <c r="B5821" s="1">
        <v>40897</v>
      </c>
      <c r="C5821" t="s">
        <v>28</v>
      </c>
      <c r="D5821" s="7">
        <v>158</v>
      </c>
      <c r="E5821" s="7">
        <v>24</v>
      </c>
      <c r="F5821" s="7">
        <f t="shared" si="91"/>
        <v>3</v>
      </c>
      <c r="G5821" s="7" t="str">
        <f>LOOKUP(H5821,[1]startdates!$A$2:$A$10,[1]startdates!$B$2:$B$10)</f>
        <v>SMr</v>
      </c>
      <c r="H5821">
        <v>2</v>
      </c>
      <c r="I5821" s="7">
        <v>581.79999999999995</v>
      </c>
      <c r="N5821" s="7">
        <v>191.3</v>
      </c>
      <c r="O5821" s="7">
        <v>150.19999999999999</v>
      </c>
    </row>
    <row r="5822" spans="1:21" x14ac:dyDescent="0.2">
      <c r="A5822">
        <v>5821</v>
      </c>
      <c r="B5822" s="1">
        <v>40897</v>
      </c>
      <c r="C5822" t="s">
        <v>28</v>
      </c>
      <c r="D5822" s="7">
        <v>158</v>
      </c>
      <c r="E5822" s="7">
        <v>24</v>
      </c>
      <c r="F5822" s="7">
        <f t="shared" si="91"/>
        <v>3</v>
      </c>
      <c r="G5822" s="7" t="str">
        <f>LOOKUP(H5822,[1]startdates!$A$2:$A$10,[1]startdates!$B$2:$B$10)</f>
        <v>SMr</v>
      </c>
      <c r="H5822">
        <v>2</v>
      </c>
      <c r="I5822" s="7">
        <v>556.5</v>
      </c>
      <c r="N5822" s="7">
        <v>242.8</v>
      </c>
      <c r="O5822" s="7">
        <v>168.8</v>
      </c>
    </row>
    <row r="5823" spans="1:21" x14ac:dyDescent="0.2">
      <c r="A5823">
        <v>5822</v>
      </c>
      <c r="B5823" s="1">
        <v>40897</v>
      </c>
      <c r="C5823" t="s">
        <v>28</v>
      </c>
      <c r="D5823" s="7">
        <v>158</v>
      </c>
      <c r="E5823" s="7">
        <v>24</v>
      </c>
      <c r="F5823" s="7">
        <f t="shared" si="91"/>
        <v>3</v>
      </c>
      <c r="G5823" s="7" t="str">
        <f>LOOKUP(H5823,[1]startdates!$A$2:$A$10,[1]startdates!$B$2:$B$10)</f>
        <v>SMr</v>
      </c>
      <c r="H5823">
        <v>2</v>
      </c>
      <c r="I5823" s="7">
        <v>545.20000000000005</v>
      </c>
      <c r="N5823" s="7">
        <v>265.7</v>
      </c>
      <c r="O5823" s="7">
        <v>166.3</v>
      </c>
    </row>
    <row r="5824" spans="1:21" x14ac:dyDescent="0.2">
      <c r="A5824">
        <v>5823</v>
      </c>
      <c r="B5824" s="1">
        <v>40897</v>
      </c>
      <c r="C5824" t="s">
        <v>24</v>
      </c>
      <c r="D5824" s="7">
        <v>158</v>
      </c>
      <c r="E5824" s="7">
        <v>24</v>
      </c>
      <c r="F5824" s="7">
        <f t="shared" si="91"/>
        <v>3</v>
      </c>
      <c r="G5824" s="7" t="str">
        <f>LOOKUP(H5824,[1]startdates!$A$2:$A$10,[1]startdates!$B$2:$B$10)</f>
        <v>C</v>
      </c>
      <c r="H5824">
        <v>3</v>
      </c>
      <c r="I5824" s="7">
        <v>523.79999999999995</v>
      </c>
      <c r="J5824" s="7">
        <v>473.3</v>
      </c>
      <c r="K5824" s="7">
        <v>533.29999999999995</v>
      </c>
      <c r="L5824" s="7">
        <v>411.2</v>
      </c>
      <c r="M5824" s="7">
        <v>339.5</v>
      </c>
      <c r="N5824" s="7">
        <v>221</v>
      </c>
      <c r="O5824" s="7">
        <v>172.6</v>
      </c>
      <c r="R5824" s="7">
        <v>288.3</v>
      </c>
    </row>
    <row r="5825" spans="1:21" x14ac:dyDescent="0.2">
      <c r="A5825">
        <v>5824</v>
      </c>
      <c r="B5825" s="1">
        <v>40897</v>
      </c>
      <c r="C5825" t="s">
        <v>24</v>
      </c>
      <c r="D5825" s="7">
        <v>158</v>
      </c>
      <c r="E5825" s="7">
        <v>24</v>
      </c>
      <c r="F5825" s="7">
        <f t="shared" si="91"/>
        <v>3</v>
      </c>
      <c r="G5825" s="7" t="str">
        <f>LOOKUP(H5825,[1]startdates!$A$2:$A$10,[1]startdates!$B$2:$B$10)</f>
        <v>C</v>
      </c>
      <c r="H5825">
        <v>3</v>
      </c>
      <c r="I5825" s="7">
        <v>637.20000000000005</v>
      </c>
      <c r="K5825" s="7">
        <v>438.3</v>
      </c>
      <c r="L5825" s="7">
        <v>412.6</v>
      </c>
      <c r="M5825" s="7">
        <v>329.4</v>
      </c>
      <c r="N5825" s="7">
        <v>228.9</v>
      </c>
      <c r="O5825" s="7">
        <v>147.5</v>
      </c>
      <c r="R5825" s="7">
        <v>263.60000000000002</v>
      </c>
    </row>
    <row r="5826" spans="1:21" x14ac:dyDescent="0.2">
      <c r="A5826">
        <v>5825</v>
      </c>
      <c r="B5826" s="1">
        <v>40897</v>
      </c>
      <c r="C5826" t="s">
        <v>24</v>
      </c>
      <c r="D5826" s="7">
        <v>158</v>
      </c>
      <c r="E5826" s="7">
        <v>24</v>
      </c>
      <c r="F5826" s="7">
        <f t="shared" si="91"/>
        <v>3</v>
      </c>
      <c r="G5826" s="7" t="str">
        <f>LOOKUP(H5826,[1]startdates!$A$2:$A$10,[1]startdates!$B$2:$B$10)</f>
        <v>C</v>
      </c>
      <c r="H5826">
        <v>3</v>
      </c>
      <c r="I5826" s="7">
        <v>561.1</v>
      </c>
      <c r="K5826" s="7">
        <v>541.20000000000005</v>
      </c>
      <c r="L5826" s="7">
        <v>418.2</v>
      </c>
      <c r="M5826" s="7">
        <v>303.3</v>
      </c>
      <c r="N5826" s="7">
        <v>229.2</v>
      </c>
      <c r="O5826" s="7">
        <v>166.9</v>
      </c>
      <c r="R5826" s="7">
        <v>243.8</v>
      </c>
    </row>
    <row r="5827" spans="1:21" x14ac:dyDescent="0.2">
      <c r="A5827">
        <v>5826</v>
      </c>
      <c r="B5827" s="1">
        <v>40897</v>
      </c>
      <c r="C5827" t="s">
        <v>24</v>
      </c>
      <c r="D5827" s="7">
        <v>158</v>
      </c>
      <c r="E5827" s="7">
        <v>24</v>
      </c>
      <c r="F5827" s="7">
        <f t="shared" si="91"/>
        <v>3</v>
      </c>
      <c r="G5827" s="7" t="str">
        <f>LOOKUP(H5827,[1]startdates!$A$2:$A$10,[1]startdates!$B$2:$B$10)</f>
        <v>C</v>
      </c>
      <c r="H5827">
        <v>3</v>
      </c>
      <c r="I5827" s="7">
        <v>687</v>
      </c>
      <c r="K5827" s="7">
        <v>479.5</v>
      </c>
      <c r="L5827" s="7">
        <v>430.8</v>
      </c>
      <c r="M5827" s="7">
        <v>316.5</v>
      </c>
      <c r="N5827" s="7">
        <v>217.4</v>
      </c>
      <c r="O5827" s="7">
        <v>166</v>
      </c>
    </row>
    <row r="5828" spans="1:21" x14ac:dyDescent="0.2">
      <c r="A5828">
        <v>5827</v>
      </c>
      <c r="B5828" s="1">
        <v>40897</v>
      </c>
      <c r="C5828" t="s">
        <v>24</v>
      </c>
      <c r="D5828" s="7">
        <v>158</v>
      </c>
      <c r="E5828" s="7">
        <v>24</v>
      </c>
      <c r="F5828" s="7">
        <f t="shared" si="91"/>
        <v>3</v>
      </c>
      <c r="G5828" s="7" t="str">
        <f>LOOKUP(H5828,[1]startdates!$A$2:$A$10,[1]startdates!$B$2:$B$10)</f>
        <v>C</v>
      </c>
      <c r="H5828">
        <v>3</v>
      </c>
      <c r="I5828" s="7">
        <v>599.1</v>
      </c>
      <c r="K5828" s="7">
        <v>493.3</v>
      </c>
      <c r="L5828" s="7">
        <v>460.9</v>
      </c>
      <c r="M5828" s="7">
        <v>276.7</v>
      </c>
      <c r="N5828" s="7">
        <v>245.8</v>
      </c>
      <c r="O5828" s="7">
        <v>171.6</v>
      </c>
    </row>
    <row r="5829" spans="1:21" x14ac:dyDescent="0.2">
      <c r="A5829">
        <v>5828</v>
      </c>
      <c r="B5829" s="1">
        <v>40897</v>
      </c>
      <c r="C5829" t="s">
        <v>24</v>
      </c>
      <c r="D5829" s="7">
        <v>158</v>
      </c>
      <c r="E5829" s="7">
        <v>24</v>
      </c>
      <c r="F5829" s="7">
        <f t="shared" si="91"/>
        <v>3</v>
      </c>
      <c r="G5829" s="7" t="str">
        <f>LOOKUP(H5829,[1]startdates!$A$2:$A$10,[1]startdates!$B$2:$B$10)</f>
        <v>C</v>
      </c>
      <c r="H5829">
        <v>3</v>
      </c>
      <c r="K5829" s="7">
        <v>480.3</v>
      </c>
      <c r="L5829" s="7">
        <v>428.6</v>
      </c>
      <c r="M5829" s="7">
        <v>336.7</v>
      </c>
      <c r="N5829" s="7">
        <v>220.2</v>
      </c>
      <c r="O5829" s="7">
        <v>149.9</v>
      </c>
    </row>
    <row r="5830" spans="1:21" x14ac:dyDescent="0.2">
      <c r="A5830">
        <v>5829</v>
      </c>
      <c r="B5830" s="1">
        <v>40897</v>
      </c>
      <c r="C5830" t="s">
        <v>24</v>
      </c>
      <c r="D5830" s="7">
        <v>158</v>
      </c>
      <c r="E5830" s="7">
        <v>24</v>
      </c>
      <c r="F5830" s="7">
        <f t="shared" si="91"/>
        <v>3</v>
      </c>
      <c r="G5830" s="7" t="str">
        <f>LOOKUP(H5830,[1]startdates!$A$2:$A$10,[1]startdates!$B$2:$B$10)</f>
        <v>C</v>
      </c>
      <c r="H5830">
        <v>3</v>
      </c>
      <c r="K5830" s="7">
        <v>435.1</v>
      </c>
      <c r="L5830" s="7">
        <v>434.5</v>
      </c>
      <c r="M5830" s="7">
        <v>354.6</v>
      </c>
      <c r="N5830" s="7">
        <v>242.2</v>
      </c>
      <c r="O5830" s="7">
        <v>153.6</v>
      </c>
    </row>
    <row r="5831" spans="1:21" x14ac:dyDescent="0.2">
      <c r="A5831">
        <v>5830</v>
      </c>
      <c r="B5831" s="1">
        <v>40897</v>
      </c>
      <c r="C5831" t="s">
        <v>24</v>
      </c>
      <c r="D5831" s="7">
        <v>158</v>
      </c>
      <c r="E5831" s="7">
        <v>24</v>
      </c>
      <c r="F5831" s="7">
        <f t="shared" si="91"/>
        <v>3</v>
      </c>
      <c r="G5831" s="7" t="str">
        <f>LOOKUP(H5831,[1]startdates!$A$2:$A$10,[1]startdates!$B$2:$B$10)</f>
        <v>C</v>
      </c>
      <c r="H5831">
        <v>3</v>
      </c>
      <c r="L5831" s="7">
        <v>422.8</v>
      </c>
      <c r="M5831" s="7">
        <v>277.10000000000002</v>
      </c>
      <c r="N5831" s="7">
        <v>216.8</v>
      </c>
      <c r="O5831" s="7">
        <v>170.8</v>
      </c>
    </row>
    <row r="5832" spans="1:21" x14ac:dyDescent="0.2">
      <c r="A5832">
        <v>5831</v>
      </c>
      <c r="B5832" s="1">
        <v>40897</v>
      </c>
      <c r="C5832" t="s">
        <v>24</v>
      </c>
      <c r="D5832" s="7">
        <v>158</v>
      </c>
      <c r="E5832" s="7">
        <v>24</v>
      </c>
      <c r="F5832" s="7">
        <f t="shared" si="91"/>
        <v>3</v>
      </c>
      <c r="G5832" s="7" t="str">
        <f>LOOKUP(H5832,[1]startdates!$A$2:$A$10,[1]startdates!$B$2:$B$10)</f>
        <v>C</v>
      </c>
      <c r="H5832">
        <v>3</v>
      </c>
      <c r="L5832" s="7">
        <v>463.5</v>
      </c>
      <c r="M5832" s="7">
        <v>281.8</v>
      </c>
      <c r="O5832" s="7">
        <v>152.1</v>
      </c>
    </row>
    <row r="5833" spans="1:21" x14ac:dyDescent="0.2">
      <c r="A5833">
        <v>5832</v>
      </c>
      <c r="B5833" s="1">
        <v>40897</v>
      </c>
      <c r="C5833" t="s">
        <v>24</v>
      </c>
      <c r="D5833" s="7">
        <v>158</v>
      </c>
      <c r="E5833" s="7">
        <v>24</v>
      </c>
      <c r="F5833" s="7">
        <f t="shared" si="91"/>
        <v>3</v>
      </c>
      <c r="G5833" s="7" t="str">
        <f>LOOKUP(H5833,[1]startdates!$A$2:$A$10,[1]startdates!$B$2:$B$10)</f>
        <v>C</v>
      </c>
      <c r="H5833">
        <v>3</v>
      </c>
      <c r="O5833" s="7">
        <v>187.6</v>
      </c>
    </row>
    <row r="5834" spans="1:21" x14ac:dyDescent="0.2">
      <c r="A5834">
        <v>5833</v>
      </c>
      <c r="B5834" s="1">
        <v>40897</v>
      </c>
      <c r="C5834" t="s">
        <v>28</v>
      </c>
      <c r="D5834" s="7">
        <v>158</v>
      </c>
      <c r="E5834" s="7">
        <v>24</v>
      </c>
      <c r="F5834" s="7">
        <f t="shared" si="91"/>
        <v>3</v>
      </c>
      <c r="G5834" s="7" t="str">
        <f>LOOKUP(H5834,[1]startdates!$A$2:$A$10,[1]startdates!$B$2:$B$10)</f>
        <v>SMr</v>
      </c>
      <c r="H5834">
        <v>4</v>
      </c>
      <c r="I5834" s="7">
        <v>615.4</v>
      </c>
      <c r="K5834" s="7">
        <v>490.5</v>
      </c>
      <c r="L5834" s="7">
        <v>397.8</v>
      </c>
      <c r="M5834" s="7">
        <v>290.5</v>
      </c>
      <c r="N5834" s="7">
        <v>175</v>
      </c>
      <c r="O5834" s="7">
        <v>171.3</v>
      </c>
      <c r="P5834" s="7">
        <v>435.8</v>
      </c>
      <c r="Q5834" s="7">
        <v>317.89999999999998</v>
      </c>
      <c r="R5834" s="7">
        <v>286.8</v>
      </c>
      <c r="S5834" s="7">
        <v>240.3</v>
      </c>
      <c r="U5834" s="7">
        <v>512.79999999999995</v>
      </c>
    </row>
    <row r="5835" spans="1:21" x14ac:dyDescent="0.2">
      <c r="A5835">
        <v>5834</v>
      </c>
      <c r="B5835" s="1">
        <v>40897</v>
      </c>
      <c r="C5835" t="s">
        <v>28</v>
      </c>
      <c r="D5835" s="7">
        <v>158</v>
      </c>
      <c r="E5835" s="7">
        <v>24</v>
      </c>
      <c r="F5835" s="7">
        <f t="shared" si="91"/>
        <v>3</v>
      </c>
      <c r="G5835" s="7" t="str">
        <f>LOOKUP(H5835,[1]startdates!$A$2:$A$10,[1]startdates!$B$2:$B$10)</f>
        <v>SMr</v>
      </c>
      <c r="H5835">
        <v>4</v>
      </c>
      <c r="I5835" s="7">
        <v>571</v>
      </c>
      <c r="K5835" s="7">
        <v>514</v>
      </c>
      <c r="L5835" s="7">
        <v>387.7</v>
      </c>
      <c r="M5835" s="7">
        <v>332.7</v>
      </c>
      <c r="N5835" s="7">
        <v>222.6</v>
      </c>
      <c r="O5835" s="7">
        <v>162.5</v>
      </c>
      <c r="P5835" s="7">
        <v>437.5</v>
      </c>
      <c r="Q5835" s="7">
        <v>316.3</v>
      </c>
      <c r="U5835" s="7">
        <v>444.1</v>
      </c>
    </row>
    <row r="5836" spans="1:21" x14ac:dyDescent="0.2">
      <c r="A5836">
        <v>5835</v>
      </c>
      <c r="B5836" s="1">
        <v>40897</v>
      </c>
      <c r="C5836" t="s">
        <v>28</v>
      </c>
      <c r="D5836" s="7">
        <v>158</v>
      </c>
      <c r="E5836" s="7">
        <v>24</v>
      </c>
      <c r="F5836" s="7">
        <f t="shared" si="91"/>
        <v>3</v>
      </c>
      <c r="G5836" s="7" t="str">
        <f>LOOKUP(H5836,[1]startdates!$A$2:$A$10,[1]startdates!$B$2:$B$10)</f>
        <v>SMr</v>
      </c>
      <c r="H5836">
        <v>4</v>
      </c>
      <c r="I5836" s="7">
        <v>574.1</v>
      </c>
      <c r="K5836" s="7">
        <v>467.6</v>
      </c>
      <c r="L5836" s="7">
        <v>423.4</v>
      </c>
      <c r="M5836" s="7">
        <v>346.2</v>
      </c>
      <c r="N5836" s="7">
        <v>214.5</v>
      </c>
      <c r="O5836" s="7">
        <v>145</v>
      </c>
      <c r="P5836" s="7">
        <v>384</v>
      </c>
      <c r="Q5836" s="7">
        <v>356.9</v>
      </c>
      <c r="U5836" s="7">
        <v>486</v>
      </c>
    </row>
    <row r="5837" spans="1:21" x14ac:dyDescent="0.2">
      <c r="A5837">
        <v>5836</v>
      </c>
      <c r="B5837" s="1">
        <v>40897</v>
      </c>
      <c r="C5837" t="s">
        <v>28</v>
      </c>
      <c r="D5837" s="7">
        <v>158</v>
      </c>
      <c r="E5837" s="7">
        <v>24</v>
      </c>
      <c r="F5837" s="7">
        <f t="shared" si="91"/>
        <v>3</v>
      </c>
      <c r="G5837" s="7" t="str">
        <f>LOOKUP(H5837,[1]startdates!$A$2:$A$10,[1]startdates!$B$2:$B$10)</f>
        <v>SMr</v>
      </c>
      <c r="H5837">
        <v>4</v>
      </c>
      <c r="I5837" s="7">
        <v>530</v>
      </c>
      <c r="K5837" s="7">
        <v>488.2</v>
      </c>
      <c r="L5837" s="7">
        <v>391.2</v>
      </c>
      <c r="M5837" s="7">
        <v>358.1</v>
      </c>
      <c r="N5837" s="7">
        <v>210.6</v>
      </c>
      <c r="O5837" s="7">
        <v>175.4</v>
      </c>
      <c r="U5837" s="7">
        <v>502.5</v>
      </c>
    </row>
    <row r="5838" spans="1:21" x14ac:dyDescent="0.2">
      <c r="A5838">
        <v>5837</v>
      </c>
      <c r="B5838" s="1">
        <v>40897</v>
      </c>
      <c r="C5838" t="s">
        <v>28</v>
      </c>
      <c r="D5838" s="7">
        <v>158</v>
      </c>
      <c r="E5838" s="7">
        <v>24</v>
      </c>
      <c r="F5838" s="7">
        <f t="shared" si="91"/>
        <v>3</v>
      </c>
      <c r="G5838" s="7" t="str">
        <f>LOOKUP(H5838,[1]startdates!$A$2:$A$10,[1]startdates!$B$2:$B$10)</f>
        <v>SMr</v>
      </c>
      <c r="H5838">
        <v>4</v>
      </c>
      <c r="I5838" s="7">
        <v>510.3</v>
      </c>
      <c r="L5838" s="7">
        <v>446.4</v>
      </c>
      <c r="M5838" s="7">
        <v>339.1</v>
      </c>
      <c r="N5838" s="7">
        <v>246.9</v>
      </c>
      <c r="O5838" s="7">
        <v>138.80000000000001</v>
      </c>
    </row>
    <row r="5839" spans="1:21" x14ac:dyDescent="0.2">
      <c r="A5839">
        <v>5838</v>
      </c>
      <c r="B5839" s="1">
        <v>40897</v>
      </c>
      <c r="C5839" t="s">
        <v>28</v>
      </c>
      <c r="D5839" s="7">
        <v>158</v>
      </c>
      <c r="E5839" s="7">
        <v>24</v>
      </c>
      <c r="F5839" s="7">
        <f t="shared" si="91"/>
        <v>3</v>
      </c>
      <c r="G5839" s="7" t="str">
        <f>LOOKUP(H5839,[1]startdates!$A$2:$A$10,[1]startdates!$B$2:$B$10)</f>
        <v>SMr</v>
      </c>
      <c r="H5839">
        <v>4</v>
      </c>
      <c r="I5839" s="7">
        <v>576.29999999999995</v>
      </c>
      <c r="L5839" s="7">
        <v>454.3</v>
      </c>
      <c r="M5839" s="7">
        <v>345.1</v>
      </c>
      <c r="N5839" s="7">
        <v>245.7</v>
      </c>
    </row>
    <row r="5840" spans="1:21" x14ac:dyDescent="0.2">
      <c r="A5840">
        <v>5839</v>
      </c>
      <c r="B5840" s="1">
        <v>40897</v>
      </c>
      <c r="C5840" t="s">
        <v>28</v>
      </c>
      <c r="D5840" s="7">
        <v>158</v>
      </c>
      <c r="E5840" s="7">
        <v>24</v>
      </c>
      <c r="F5840" s="7">
        <f t="shared" si="91"/>
        <v>3</v>
      </c>
      <c r="G5840" s="7" t="str">
        <f>LOOKUP(H5840,[1]startdates!$A$2:$A$10,[1]startdates!$B$2:$B$10)</f>
        <v>SMr</v>
      </c>
      <c r="H5840">
        <v>4</v>
      </c>
      <c r="I5840" s="7">
        <v>490.4</v>
      </c>
      <c r="L5840" s="7">
        <v>459.5</v>
      </c>
      <c r="M5840" s="7">
        <v>386.6</v>
      </c>
      <c r="N5840" s="7">
        <v>276.60000000000002</v>
      </c>
    </row>
    <row r="5841" spans="1:18" x14ac:dyDescent="0.2">
      <c r="A5841">
        <v>5840</v>
      </c>
      <c r="B5841" s="1">
        <v>40897</v>
      </c>
      <c r="C5841" t="s">
        <v>28</v>
      </c>
      <c r="D5841" s="7">
        <v>158</v>
      </c>
      <c r="E5841" s="7">
        <v>24</v>
      </c>
      <c r="F5841" s="7">
        <f t="shared" si="91"/>
        <v>3</v>
      </c>
      <c r="G5841" s="7" t="str">
        <f>LOOKUP(H5841,[1]startdates!$A$2:$A$10,[1]startdates!$B$2:$B$10)</f>
        <v>SMr</v>
      </c>
      <c r="H5841">
        <v>4</v>
      </c>
      <c r="I5841" s="7">
        <v>467.6</v>
      </c>
      <c r="L5841" s="7">
        <v>403.5</v>
      </c>
      <c r="M5841" s="7">
        <v>344.7</v>
      </c>
      <c r="N5841" s="7">
        <v>200.3</v>
      </c>
    </row>
    <row r="5842" spans="1:18" x14ac:dyDescent="0.2">
      <c r="A5842">
        <v>5841</v>
      </c>
      <c r="B5842" s="1">
        <v>40897</v>
      </c>
      <c r="C5842" t="s">
        <v>28</v>
      </c>
      <c r="D5842" s="7">
        <v>158</v>
      </c>
      <c r="E5842" s="7">
        <v>24</v>
      </c>
      <c r="F5842" s="7">
        <f t="shared" si="91"/>
        <v>3</v>
      </c>
      <c r="G5842" s="7" t="str">
        <f>LOOKUP(H5842,[1]startdates!$A$2:$A$10,[1]startdates!$B$2:$B$10)</f>
        <v>SMr</v>
      </c>
      <c r="H5842">
        <v>4</v>
      </c>
      <c r="I5842" s="7">
        <v>670.1</v>
      </c>
      <c r="L5842" s="7">
        <v>398.5</v>
      </c>
      <c r="M5842" s="7">
        <v>389</v>
      </c>
      <c r="N5842" s="7">
        <v>228.9</v>
      </c>
    </row>
    <row r="5843" spans="1:18" x14ac:dyDescent="0.2">
      <c r="A5843">
        <v>5842</v>
      </c>
      <c r="B5843" s="1">
        <v>40897</v>
      </c>
      <c r="C5843" t="s">
        <v>28</v>
      </c>
      <c r="D5843" s="7">
        <v>158</v>
      </c>
      <c r="E5843" s="7">
        <v>24</v>
      </c>
      <c r="F5843" s="7">
        <f t="shared" si="91"/>
        <v>3</v>
      </c>
      <c r="G5843" s="7" t="str">
        <f>LOOKUP(H5843,[1]startdates!$A$2:$A$10,[1]startdates!$B$2:$B$10)</f>
        <v>SMr</v>
      </c>
      <c r="H5843">
        <v>4</v>
      </c>
      <c r="I5843" s="7">
        <v>570.20000000000005</v>
      </c>
      <c r="M5843" s="7">
        <v>333.4</v>
      </c>
    </row>
    <row r="5844" spans="1:18" x14ac:dyDescent="0.2">
      <c r="A5844">
        <v>5843</v>
      </c>
      <c r="B5844" s="1">
        <v>40897</v>
      </c>
      <c r="C5844" t="s">
        <v>28</v>
      </c>
      <c r="D5844" s="7">
        <v>158</v>
      </c>
      <c r="E5844" s="7">
        <v>24</v>
      </c>
      <c r="F5844" s="7">
        <f t="shared" si="91"/>
        <v>3</v>
      </c>
      <c r="G5844" s="7" t="str">
        <f>LOOKUP(H5844,[1]startdates!$A$2:$A$10,[1]startdates!$B$2:$B$10)</f>
        <v>SMr</v>
      </c>
      <c r="H5844">
        <v>4</v>
      </c>
      <c r="I5844" s="7">
        <v>541.5</v>
      </c>
    </row>
    <row r="5845" spans="1:18" x14ac:dyDescent="0.2">
      <c r="A5845">
        <v>5844</v>
      </c>
      <c r="B5845" s="1">
        <v>40897</v>
      </c>
      <c r="C5845" t="s">
        <v>28</v>
      </c>
      <c r="D5845" s="7">
        <v>158</v>
      </c>
      <c r="E5845" s="7">
        <v>24</v>
      </c>
      <c r="F5845" s="7">
        <f t="shared" si="91"/>
        <v>3</v>
      </c>
      <c r="G5845" s="7" t="str">
        <f>LOOKUP(H5845,[1]startdates!$A$2:$A$10,[1]startdates!$B$2:$B$10)</f>
        <v>SMr</v>
      </c>
      <c r="H5845">
        <v>4</v>
      </c>
      <c r="I5845" s="7">
        <v>549.5</v>
      </c>
    </row>
    <row r="5846" spans="1:18" x14ac:dyDescent="0.2">
      <c r="A5846">
        <v>5845</v>
      </c>
      <c r="B5846" s="1">
        <v>40897</v>
      </c>
      <c r="C5846" t="s">
        <v>28</v>
      </c>
      <c r="D5846" s="7">
        <v>158</v>
      </c>
      <c r="E5846" s="7">
        <v>24</v>
      </c>
      <c r="F5846" s="7">
        <f t="shared" si="91"/>
        <v>3</v>
      </c>
      <c r="G5846" s="7" t="str">
        <f>LOOKUP(H5846,[1]startdates!$A$2:$A$10,[1]startdates!$B$2:$B$10)</f>
        <v>SMr</v>
      </c>
      <c r="H5846">
        <v>4</v>
      </c>
      <c r="I5846" s="7">
        <v>515.70000000000005</v>
      </c>
    </row>
    <row r="5847" spans="1:18" x14ac:dyDescent="0.2">
      <c r="A5847">
        <v>5846</v>
      </c>
      <c r="B5847" s="1">
        <v>40897</v>
      </c>
      <c r="C5847" t="s">
        <v>28</v>
      </c>
      <c r="D5847" s="7">
        <v>158</v>
      </c>
      <c r="E5847" s="7">
        <v>24</v>
      </c>
      <c r="F5847" s="7">
        <f t="shared" si="91"/>
        <v>3</v>
      </c>
      <c r="G5847" s="7" t="str">
        <f>LOOKUP(H5847,[1]startdates!$A$2:$A$10,[1]startdates!$B$2:$B$10)</f>
        <v>SMr</v>
      </c>
      <c r="H5847">
        <v>4</v>
      </c>
      <c r="I5847" s="7">
        <v>504.6</v>
      </c>
    </row>
    <row r="5848" spans="1:18" x14ac:dyDescent="0.2">
      <c r="A5848">
        <v>5847</v>
      </c>
      <c r="B5848" s="1">
        <v>40897</v>
      </c>
      <c r="C5848" t="s">
        <v>24</v>
      </c>
      <c r="D5848" s="7">
        <v>158</v>
      </c>
      <c r="E5848" s="7">
        <v>24</v>
      </c>
      <c r="F5848" s="7">
        <f t="shared" si="91"/>
        <v>3</v>
      </c>
      <c r="G5848" s="7" t="str">
        <f>LOOKUP(H5848,[1]startdates!$A$2:$A$10,[1]startdates!$B$2:$B$10)</f>
        <v>C</v>
      </c>
      <c r="H5848">
        <v>5</v>
      </c>
      <c r="I5848" s="7">
        <v>581</v>
      </c>
      <c r="J5848" s="7">
        <v>542.1</v>
      </c>
      <c r="K5848" s="7">
        <v>496.2</v>
      </c>
      <c r="L5848" s="7">
        <v>494.6</v>
      </c>
      <c r="M5848" s="7">
        <v>354.6</v>
      </c>
      <c r="N5848" s="7">
        <v>209.3</v>
      </c>
      <c r="O5848" s="7">
        <v>169.9</v>
      </c>
      <c r="P5848" s="7">
        <v>523.4</v>
      </c>
      <c r="Q5848" s="7">
        <v>351.5</v>
      </c>
      <c r="R5848" s="7">
        <v>298.7</v>
      </c>
    </row>
    <row r="5849" spans="1:18" x14ac:dyDescent="0.2">
      <c r="A5849">
        <v>5848</v>
      </c>
      <c r="B5849" s="1">
        <v>40897</v>
      </c>
      <c r="C5849" t="s">
        <v>24</v>
      </c>
      <c r="D5849" s="7">
        <v>158</v>
      </c>
      <c r="E5849" s="7">
        <v>24</v>
      </c>
      <c r="F5849" s="7">
        <f t="shared" si="91"/>
        <v>3</v>
      </c>
      <c r="G5849" s="7" t="str">
        <f>LOOKUP(H5849,[1]startdates!$A$2:$A$10,[1]startdates!$B$2:$B$10)</f>
        <v>C</v>
      </c>
      <c r="H5849">
        <v>5</v>
      </c>
      <c r="I5849" s="7">
        <v>681.8</v>
      </c>
      <c r="J5849" s="7">
        <v>481.4</v>
      </c>
      <c r="K5849" s="7">
        <v>533.29999999999995</v>
      </c>
      <c r="L5849" s="7">
        <v>421</v>
      </c>
      <c r="M5849" s="7">
        <v>328.2</v>
      </c>
      <c r="N5849" s="7">
        <v>203.3</v>
      </c>
      <c r="O5849" s="7">
        <v>177.3</v>
      </c>
      <c r="P5849" s="7">
        <v>503.9</v>
      </c>
    </row>
    <row r="5850" spans="1:18" x14ac:dyDescent="0.2">
      <c r="A5850">
        <v>5849</v>
      </c>
      <c r="B5850" s="1">
        <v>40897</v>
      </c>
      <c r="C5850" t="s">
        <v>24</v>
      </c>
      <c r="D5850" s="7">
        <v>158</v>
      </c>
      <c r="E5850" s="7">
        <v>24</v>
      </c>
      <c r="F5850" s="7">
        <f t="shared" si="91"/>
        <v>3</v>
      </c>
      <c r="G5850" s="7" t="str">
        <f>LOOKUP(H5850,[1]startdates!$A$2:$A$10,[1]startdates!$B$2:$B$10)</f>
        <v>C</v>
      </c>
      <c r="H5850">
        <v>5</v>
      </c>
      <c r="I5850" s="7">
        <v>612.9</v>
      </c>
      <c r="K5850" s="7">
        <v>586</v>
      </c>
      <c r="L5850" s="7">
        <v>447.7</v>
      </c>
      <c r="M5850" s="7">
        <v>308.8</v>
      </c>
      <c r="N5850" s="7">
        <v>218.6</v>
      </c>
      <c r="O5850" s="7">
        <v>173.1</v>
      </c>
      <c r="P5850" s="7">
        <v>484.3</v>
      </c>
    </row>
    <row r="5851" spans="1:18" x14ac:dyDescent="0.2">
      <c r="A5851">
        <v>5850</v>
      </c>
      <c r="B5851" s="1">
        <v>40897</v>
      </c>
      <c r="C5851" t="s">
        <v>24</v>
      </c>
      <c r="D5851" s="7">
        <v>158</v>
      </c>
      <c r="E5851" s="7">
        <v>24</v>
      </c>
      <c r="F5851" s="7">
        <f t="shared" si="91"/>
        <v>3</v>
      </c>
      <c r="G5851" s="7" t="str">
        <f>LOOKUP(H5851,[1]startdates!$A$2:$A$10,[1]startdates!$B$2:$B$10)</f>
        <v>C</v>
      </c>
      <c r="H5851">
        <v>5</v>
      </c>
      <c r="I5851" s="7">
        <v>529</v>
      </c>
      <c r="K5851" s="7">
        <v>460.5</v>
      </c>
      <c r="L5851" s="7">
        <v>429.7</v>
      </c>
      <c r="M5851" s="7">
        <v>403.5</v>
      </c>
      <c r="N5851" s="7">
        <v>220.2</v>
      </c>
      <c r="O5851" s="7">
        <v>150.19999999999999</v>
      </c>
    </row>
    <row r="5852" spans="1:18" x14ac:dyDescent="0.2">
      <c r="A5852">
        <v>5851</v>
      </c>
      <c r="B5852" s="1">
        <v>40897</v>
      </c>
      <c r="C5852" t="s">
        <v>24</v>
      </c>
      <c r="D5852" s="7">
        <v>158</v>
      </c>
      <c r="E5852" s="7">
        <v>24</v>
      </c>
      <c r="F5852" s="7">
        <f t="shared" si="91"/>
        <v>3</v>
      </c>
      <c r="G5852" s="7" t="str">
        <f>LOOKUP(H5852,[1]startdates!$A$2:$A$10,[1]startdates!$B$2:$B$10)</f>
        <v>C</v>
      </c>
      <c r="H5852">
        <v>5</v>
      </c>
      <c r="I5852" s="7">
        <v>585.4</v>
      </c>
      <c r="K5852" s="7">
        <v>501.2</v>
      </c>
      <c r="L5852" s="7">
        <v>438.9</v>
      </c>
      <c r="M5852" s="7">
        <v>299.2</v>
      </c>
      <c r="N5852" s="7">
        <v>221.2</v>
      </c>
      <c r="O5852" s="7">
        <v>199.1</v>
      </c>
    </row>
    <row r="5853" spans="1:18" x14ac:dyDescent="0.2">
      <c r="A5853">
        <v>5852</v>
      </c>
      <c r="B5853" s="1">
        <v>40897</v>
      </c>
      <c r="C5853" t="s">
        <v>24</v>
      </c>
      <c r="D5853" s="7">
        <v>158</v>
      </c>
      <c r="E5853" s="7">
        <v>24</v>
      </c>
      <c r="F5853" s="7">
        <f t="shared" si="91"/>
        <v>3</v>
      </c>
      <c r="G5853" s="7" t="str">
        <f>LOOKUP(H5853,[1]startdates!$A$2:$A$10,[1]startdates!$B$2:$B$10)</f>
        <v>C</v>
      </c>
      <c r="H5853">
        <v>5</v>
      </c>
      <c r="I5853" s="7">
        <v>633.9</v>
      </c>
      <c r="L5853" s="7">
        <v>412.9</v>
      </c>
      <c r="N5853" s="7">
        <v>248.4</v>
      </c>
      <c r="O5853" s="7">
        <v>155.30000000000001</v>
      </c>
    </row>
    <row r="5854" spans="1:18" x14ac:dyDescent="0.2">
      <c r="A5854">
        <v>5853</v>
      </c>
      <c r="B5854" s="1">
        <v>40897</v>
      </c>
      <c r="C5854" t="s">
        <v>24</v>
      </c>
      <c r="D5854" s="7">
        <v>158</v>
      </c>
      <c r="E5854" s="7">
        <v>24</v>
      </c>
      <c r="F5854" s="7">
        <f t="shared" si="91"/>
        <v>3</v>
      </c>
      <c r="G5854" s="7" t="str">
        <f>LOOKUP(H5854,[1]startdates!$A$2:$A$10,[1]startdates!$B$2:$B$10)</f>
        <v>C</v>
      </c>
      <c r="H5854">
        <v>5</v>
      </c>
      <c r="I5854" s="7">
        <v>571.1</v>
      </c>
      <c r="L5854" s="7">
        <v>392.2</v>
      </c>
      <c r="N5854" s="7">
        <v>257.7</v>
      </c>
      <c r="O5854" s="7">
        <v>177</v>
      </c>
    </row>
    <row r="5855" spans="1:18" x14ac:dyDescent="0.2">
      <c r="A5855">
        <v>5854</v>
      </c>
      <c r="B5855" s="1">
        <v>40897</v>
      </c>
      <c r="C5855" t="s">
        <v>24</v>
      </c>
      <c r="D5855" s="7">
        <v>158</v>
      </c>
      <c r="E5855" s="7">
        <v>24</v>
      </c>
      <c r="F5855" s="7">
        <f t="shared" si="91"/>
        <v>3</v>
      </c>
      <c r="G5855" s="7" t="str">
        <f>LOOKUP(H5855,[1]startdates!$A$2:$A$10,[1]startdates!$B$2:$B$10)</f>
        <v>C</v>
      </c>
      <c r="H5855">
        <v>5</v>
      </c>
      <c r="I5855" s="7">
        <v>664.7</v>
      </c>
      <c r="N5855" s="7">
        <v>235.9</v>
      </c>
      <c r="O5855" s="7">
        <v>169.2</v>
      </c>
    </row>
    <row r="5856" spans="1:18" x14ac:dyDescent="0.2">
      <c r="A5856">
        <v>5855</v>
      </c>
      <c r="B5856" s="1">
        <v>40897</v>
      </c>
      <c r="C5856" t="s">
        <v>24</v>
      </c>
      <c r="D5856" s="7">
        <v>158</v>
      </c>
      <c r="E5856" s="7">
        <v>24</v>
      </c>
      <c r="F5856" s="7">
        <f t="shared" si="91"/>
        <v>3</v>
      </c>
      <c r="G5856" s="7" t="str">
        <f>LOOKUP(H5856,[1]startdates!$A$2:$A$10,[1]startdates!$B$2:$B$10)</f>
        <v>C</v>
      </c>
      <c r="H5856">
        <v>5</v>
      </c>
      <c r="I5856" s="7">
        <v>577</v>
      </c>
      <c r="N5856" s="7">
        <v>297</v>
      </c>
      <c r="O5856" s="7">
        <v>173.1</v>
      </c>
    </row>
    <row r="5857" spans="1:18" x14ac:dyDescent="0.2">
      <c r="A5857">
        <v>5856</v>
      </c>
      <c r="B5857" s="1">
        <v>40897</v>
      </c>
      <c r="C5857" t="s">
        <v>24</v>
      </c>
      <c r="D5857" s="7">
        <v>158</v>
      </c>
      <c r="E5857" s="7">
        <v>24</v>
      </c>
      <c r="F5857" s="7">
        <f t="shared" si="91"/>
        <v>3</v>
      </c>
      <c r="G5857" s="7" t="str">
        <f>LOOKUP(H5857,[1]startdates!$A$2:$A$10,[1]startdates!$B$2:$B$10)</f>
        <v>C</v>
      </c>
      <c r="H5857">
        <v>5</v>
      </c>
      <c r="I5857" s="7">
        <v>605.9</v>
      </c>
      <c r="N5857" s="7">
        <v>292.39999999999998</v>
      </c>
      <c r="O5857" s="7">
        <v>192.6</v>
      </c>
    </row>
    <row r="5858" spans="1:18" x14ac:dyDescent="0.2">
      <c r="A5858">
        <v>5857</v>
      </c>
      <c r="B5858" s="1">
        <v>40897</v>
      </c>
      <c r="C5858" t="s">
        <v>24</v>
      </c>
      <c r="D5858" s="7">
        <v>158</v>
      </c>
      <c r="E5858" s="7">
        <v>24</v>
      </c>
      <c r="F5858" s="7">
        <f t="shared" si="91"/>
        <v>3</v>
      </c>
      <c r="G5858" s="7" t="str">
        <f>LOOKUP(H5858,[1]startdates!$A$2:$A$10,[1]startdates!$B$2:$B$10)</f>
        <v>C</v>
      </c>
      <c r="H5858">
        <v>5</v>
      </c>
      <c r="O5858" s="7">
        <v>164.4</v>
      </c>
    </row>
    <row r="5859" spans="1:18" x14ac:dyDescent="0.2">
      <c r="A5859">
        <v>5858</v>
      </c>
      <c r="B5859" s="1">
        <v>40897</v>
      </c>
      <c r="C5859" t="s">
        <v>24</v>
      </c>
      <c r="D5859" s="7">
        <v>158</v>
      </c>
      <c r="E5859" s="7">
        <v>24</v>
      </c>
      <c r="F5859" s="7">
        <f t="shared" si="91"/>
        <v>3</v>
      </c>
      <c r="G5859" s="7" t="str">
        <f>LOOKUP(H5859,[1]startdates!$A$2:$A$10,[1]startdates!$B$2:$B$10)</f>
        <v>C</v>
      </c>
      <c r="H5859">
        <v>5</v>
      </c>
      <c r="O5859" s="7">
        <v>171.3</v>
      </c>
    </row>
    <row r="5860" spans="1:18" x14ac:dyDescent="0.2">
      <c r="A5860">
        <v>5859</v>
      </c>
      <c r="B5860" s="1">
        <v>40897</v>
      </c>
      <c r="C5860" t="s">
        <v>24</v>
      </c>
      <c r="D5860" s="7">
        <v>158</v>
      </c>
      <c r="E5860" s="7">
        <v>24</v>
      </c>
      <c r="F5860" s="7">
        <f t="shared" si="91"/>
        <v>3</v>
      </c>
      <c r="G5860" s="7" t="str">
        <f>LOOKUP(H5860,[1]startdates!$A$2:$A$10,[1]startdates!$B$2:$B$10)</f>
        <v>C</v>
      </c>
      <c r="H5860">
        <v>5</v>
      </c>
      <c r="O5860" s="7">
        <v>171.8</v>
      </c>
    </row>
    <row r="5861" spans="1:18" x14ac:dyDescent="0.2">
      <c r="A5861">
        <v>5860</v>
      </c>
      <c r="B5861" s="1">
        <v>40897</v>
      </c>
      <c r="C5861" t="s">
        <v>24</v>
      </c>
      <c r="D5861" s="7">
        <v>158</v>
      </c>
      <c r="E5861" s="7">
        <v>24</v>
      </c>
      <c r="F5861" s="7">
        <f t="shared" si="91"/>
        <v>3</v>
      </c>
      <c r="G5861" s="7" t="str">
        <f>LOOKUP(H5861,[1]startdates!$A$2:$A$10,[1]startdates!$B$2:$B$10)</f>
        <v>C</v>
      </c>
      <c r="H5861">
        <v>5</v>
      </c>
      <c r="O5861" s="7">
        <v>171.3</v>
      </c>
    </row>
    <row r="5862" spans="1:18" x14ac:dyDescent="0.2">
      <c r="A5862">
        <v>5861</v>
      </c>
      <c r="B5862" s="1">
        <v>40897</v>
      </c>
      <c r="C5862" t="s">
        <v>24</v>
      </c>
      <c r="D5862" s="7">
        <v>158</v>
      </c>
      <c r="E5862" s="7">
        <v>24</v>
      </c>
      <c r="F5862" s="7">
        <f t="shared" si="91"/>
        <v>3</v>
      </c>
      <c r="G5862" s="7" t="str">
        <f>LOOKUP(H5862,[1]startdates!$A$2:$A$10,[1]startdates!$B$2:$B$10)</f>
        <v>C</v>
      </c>
      <c r="H5862">
        <v>5</v>
      </c>
      <c r="O5862" s="7">
        <v>171.9</v>
      </c>
    </row>
    <row r="5863" spans="1:18" x14ac:dyDescent="0.2">
      <c r="A5863">
        <v>5862</v>
      </c>
      <c r="B5863" s="1">
        <v>40897</v>
      </c>
      <c r="C5863" t="s">
        <v>24</v>
      </c>
      <c r="D5863" s="7">
        <v>158</v>
      </c>
      <c r="E5863" s="7">
        <v>24</v>
      </c>
      <c r="F5863" s="7">
        <f t="shared" si="91"/>
        <v>3</v>
      </c>
      <c r="G5863" s="7" t="str">
        <f>LOOKUP(H5863,[1]startdates!$A$2:$A$10,[1]startdates!$B$2:$B$10)</f>
        <v>C</v>
      </c>
      <c r="H5863">
        <v>5</v>
      </c>
      <c r="O5863" s="7">
        <v>179.3</v>
      </c>
    </row>
    <row r="5864" spans="1:18" x14ac:dyDescent="0.2">
      <c r="A5864">
        <v>5863</v>
      </c>
      <c r="B5864" s="1">
        <v>40897</v>
      </c>
      <c r="C5864" t="s">
        <v>24</v>
      </c>
      <c r="D5864" s="7">
        <v>158</v>
      </c>
      <c r="E5864" s="7">
        <v>24</v>
      </c>
      <c r="F5864" s="7">
        <f t="shared" si="91"/>
        <v>3</v>
      </c>
      <c r="G5864" s="7" t="str">
        <f>LOOKUP(H5864,[1]startdates!$A$2:$A$10,[1]startdates!$B$2:$B$10)</f>
        <v>C</v>
      </c>
      <c r="H5864">
        <v>5</v>
      </c>
      <c r="O5864" s="7">
        <v>171.3</v>
      </c>
    </row>
    <row r="5865" spans="1:18" x14ac:dyDescent="0.2">
      <c r="A5865">
        <v>5864</v>
      </c>
      <c r="B5865" s="1">
        <v>40897</v>
      </c>
      <c r="C5865" t="s">
        <v>24</v>
      </c>
      <c r="D5865" s="7">
        <v>158</v>
      </c>
      <c r="E5865" s="7">
        <v>24</v>
      </c>
      <c r="F5865" s="7">
        <f t="shared" ref="F5865:F5928" si="92">WEEKDAY(B5865)</f>
        <v>3</v>
      </c>
      <c r="G5865" s="7" t="str">
        <f>LOOKUP(H5865,[1]startdates!$A$2:$A$10,[1]startdates!$B$2:$B$10)</f>
        <v>FMr</v>
      </c>
      <c r="H5865">
        <v>6</v>
      </c>
      <c r="I5865" s="7">
        <v>528.6</v>
      </c>
      <c r="K5865" s="7">
        <v>475.6</v>
      </c>
      <c r="L5865" s="7">
        <v>486.3</v>
      </c>
      <c r="M5865" s="7">
        <v>313</v>
      </c>
      <c r="N5865" s="7">
        <v>221.2</v>
      </c>
      <c r="O5865" s="7">
        <v>165</v>
      </c>
      <c r="P5865" s="7">
        <v>431</v>
      </c>
      <c r="R5865" s="7">
        <v>262.39999999999998</v>
      </c>
    </row>
    <row r="5866" spans="1:18" x14ac:dyDescent="0.2">
      <c r="A5866">
        <v>5865</v>
      </c>
      <c r="B5866" s="1">
        <v>40897</v>
      </c>
      <c r="C5866" t="s">
        <v>24</v>
      </c>
      <c r="D5866" s="7">
        <v>158</v>
      </c>
      <c r="E5866" s="7">
        <v>24</v>
      </c>
      <c r="F5866" s="7">
        <f t="shared" si="92"/>
        <v>3</v>
      </c>
      <c r="G5866" s="7" t="str">
        <f>LOOKUP(H5866,[1]startdates!$A$2:$A$10,[1]startdates!$B$2:$B$10)</f>
        <v>FMr</v>
      </c>
      <c r="H5866">
        <v>6</v>
      </c>
      <c r="I5866" s="7">
        <v>598.70000000000005</v>
      </c>
      <c r="K5866" s="7">
        <v>556</v>
      </c>
      <c r="L5866" s="7">
        <v>432.8</v>
      </c>
      <c r="M5866" s="7">
        <v>376.4</v>
      </c>
      <c r="N5866" s="7">
        <v>152.4</v>
      </c>
      <c r="O5866" s="7">
        <v>164</v>
      </c>
    </row>
    <row r="5867" spans="1:18" x14ac:dyDescent="0.2">
      <c r="A5867">
        <v>5866</v>
      </c>
      <c r="B5867" s="1">
        <v>40897</v>
      </c>
      <c r="C5867" t="s">
        <v>24</v>
      </c>
      <c r="D5867" s="7">
        <v>158</v>
      </c>
      <c r="E5867" s="7">
        <v>24</v>
      </c>
      <c r="F5867" s="7">
        <f t="shared" si="92"/>
        <v>3</v>
      </c>
      <c r="G5867" s="7" t="str">
        <f>LOOKUP(H5867,[1]startdates!$A$2:$A$10,[1]startdates!$B$2:$B$10)</f>
        <v>FMr</v>
      </c>
      <c r="H5867">
        <v>6</v>
      </c>
      <c r="I5867" s="7">
        <v>529.4</v>
      </c>
      <c r="K5867" s="7">
        <v>505.7</v>
      </c>
      <c r="L5867" s="7">
        <v>443</v>
      </c>
      <c r="M5867" s="7">
        <v>389.1</v>
      </c>
      <c r="N5867" s="7">
        <v>169.7</v>
      </c>
      <c r="O5867" s="7">
        <v>167.9</v>
      </c>
    </row>
    <row r="5868" spans="1:18" x14ac:dyDescent="0.2">
      <c r="A5868">
        <v>5867</v>
      </c>
      <c r="B5868" s="1">
        <v>40897</v>
      </c>
      <c r="C5868" t="s">
        <v>24</v>
      </c>
      <c r="D5868" s="7">
        <v>158</v>
      </c>
      <c r="E5868" s="7">
        <v>24</v>
      </c>
      <c r="F5868" s="7">
        <f t="shared" si="92"/>
        <v>3</v>
      </c>
      <c r="G5868" s="7" t="str">
        <f>LOOKUP(H5868,[1]startdates!$A$2:$A$10,[1]startdates!$B$2:$B$10)</f>
        <v>FMr</v>
      </c>
      <c r="H5868">
        <v>6</v>
      </c>
      <c r="I5868" s="7">
        <v>614.70000000000005</v>
      </c>
      <c r="K5868" s="7">
        <v>471.4</v>
      </c>
      <c r="L5868" s="7">
        <v>456.4</v>
      </c>
      <c r="M5868" s="7">
        <v>400.8</v>
      </c>
      <c r="N5868" s="7">
        <v>198.2</v>
      </c>
      <c r="O5868" s="7">
        <v>159</v>
      </c>
    </row>
    <row r="5869" spans="1:18" x14ac:dyDescent="0.2">
      <c r="A5869">
        <v>5868</v>
      </c>
      <c r="B5869" s="1">
        <v>40897</v>
      </c>
      <c r="C5869" t="s">
        <v>24</v>
      </c>
      <c r="D5869" s="7">
        <v>158</v>
      </c>
      <c r="E5869" s="7">
        <v>24</v>
      </c>
      <c r="F5869" s="7">
        <f t="shared" si="92"/>
        <v>3</v>
      </c>
      <c r="G5869" s="7" t="str">
        <f>LOOKUP(H5869,[1]startdates!$A$2:$A$10,[1]startdates!$B$2:$B$10)</f>
        <v>FMr</v>
      </c>
      <c r="H5869">
        <v>6</v>
      </c>
      <c r="I5869" s="7">
        <v>461.1</v>
      </c>
      <c r="L5869" s="7">
        <v>453.1</v>
      </c>
      <c r="M5869" s="7">
        <v>379.7</v>
      </c>
      <c r="N5869" s="7">
        <v>200.6</v>
      </c>
      <c r="O5869" s="7">
        <v>176.5</v>
      </c>
    </row>
    <row r="5870" spans="1:18" x14ac:dyDescent="0.2">
      <c r="A5870">
        <v>5869</v>
      </c>
      <c r="B5870" s="1">
        <v>40897</v>
      </c>
      <c r="C5870" t="s">
        <v>24</v>
      </c>
      <c r="D5870" s="7">
        <v>158</v>
      </c>
      <c r="E5870" s="7">
        <v>24</v>
      </c>
      <c r="F5870" s="7">
        <f t="shared" si="92"/>
        <v>3</v>
      </c>
      <c r="G5870" s="7" t="str">
        <f>LOOKUP(H5870,[1]startdates!$A$2:$A$10,[1]startdates!$B$2:$B$10)</f>
        <v>FMr</v>
      </c>
      <c r="H5870">
        <v>6</v>
      </c>
      <c r="I5870" s="7">
        <v>511.1</v>
      </c>
      <c r="M5870" s="7">
        <v>387</v>
      </c>
      <c r="N5870" s="7">
        <v>228.9</v>
      </c>
      <c r="O5870" s="7">
        <v>154.69999999999999</v>
      </c>
    </row>
    <row r="5871" spans="1:18" x14ac:dyDescent="0.2">
      <c r="A5871">
        <v>5870</v>
      </c>
      <c r="B5871" s="1">
        <v>40897</v>
      </c>
      <c r="C5871" t="s">
        <v>24</v>
      </c>
      <c r="D5871" s="7">
        <v>158</v>
      </c>
      <c r="E5871" s="7">
        <v>24</v>
      </c>
      <c r="F5871" s="7">
        <f t="shared" si="92"/>
        <v>3</v>
      </c>
      <c r="G5871" s="7" t="str">
        <f>LOOKUP(H5871,[1]startdates!$A$2:$A$10,[1]startdates!$B$2:$B$10)</f>
        <v>FMr</v>
      </c>
      <c r="H5871">
        <v>6</v>
      </c>
      <c r="I5871" s="7">
        <v>651.4</v>
      </c>
      <c r="M5871" s="7">
        <v>386.9</v>
      </c>
      <c r="N5871" s="7">
        <v>193.8</v>
      </c>
      <c r="O5871" s="7">
        <v>166.3</v>
      </c>
    </row>
    <row r="5872" spans="1:18" x14ac:dyDescent="0.2">
      <c r="A5872">
        <v>5871</v>
      </c>
      <c r="B5872" s="1">
        <v>40897</v>
      </c>
      <c r="C5872" t="s">
        <v>24</v>
      </c>
      <c r="D5872" s="7">
        <v>158</v>
      </c>
      <c r="E5872" s="7">
        <v>24</v>
      </c>
      <c r="F5872" s="7">
        <f t="shared" si="92"/>
        <v>3</v>
      </c>
      <c r="G5872" s="7" t="str">
        <f>LOOKUP(H5872,[1]startdates!$A$2:$A$10,[1]startdates!$B$2:$B$10)</f>
        <v>FMr</v>
      </c>
      <c r="H5872">
        <v>6</v>
      </c>
      <c r="I5872" s="7">
        <v>552.4</v>
      </c>
      <c r="M5872" s="7">
        <v>353.5</v>
      </c>
      <c r="N5872" s="7">
        <v>244.1</v>
      </c>
      <c r="O5872" s="7">
        <v>147.69999999999999</v>
      </c>
    </row>
    <row r="5873" spans="1:19" x14ac:dyDescent="0.2">
      <c r="A5873">
        <v>5872</v>
      </c>
      <c r="B5873" s="1">
        <v>40897</v>
      </c>
      <c r="C5873" t="s">
        <v>24</v>
      </c>
      <c r="D5873" s="7">
        <v>158</v>
      </c>
      <c r="E5873" s="7">
        <v>24</v>
      </c>
      <c r="F5873" s="7">
        <f t="shared" si="92"/>
        <v>3</v>
      </c>
      <c r="G5873" s="7" t="str">
        <f>LOOKUP(H5873,[1]startdates!$A$2:$A$10,[1]startdates!$B$2:$B$10)</f>
        <v>FMr</v>
      </c>
      <c r="H5873">
        <v>6</v>
      </c>
      <c r="I5873" s="7">
        <v>621.5</v>
      </c>
      <c r="M5873" s="7">
        <v>315.60000000000002</v>
      </c>
      <c r="O5873" s="7">
        <v>158.80000000000001</v>
      </c>
    </row>
    <row r="5874" spans="1:19" x14ac:dyDescent="0.2">
      <c r="A5874">
        <v>5873</v>
      </c>
      <c r="B5874" s="1">
        <v>40897</v>
      </c>
      <c r="C5874" t="s">
        <v>24</v>
      </c>
      <c r="D5874" s="7">
        <v>158</v>
      </c>
      <c r="E5874" s="7">
        <v>24</v>
      </c>
      <c r="F5874" s="7">
        <f t="shared" si="92"/>
        <v>3</v>
      </c>
      <c r="G5874" s="7" t="str">
        <f>LOOKUP(H5874,[1]startdates!$A$2:$A$10,[1]startdates!$B$2:$B$10)</f>
        <v>FMr</v>
      </c>
      <c r="H5874">
        <v>6</v>
      </c>
      <c r="O5874" s="7">
        <v>162.19999999999999</v>
      </c>
    </row>
    <row r="5875" spans="1:19" x14ac:dyDescent="0.2">
      <c r="A5875">
        <v>5874</v>
      </c>
      <c r="B5875" s="1">
        <v>40897</v>
      </c>
      <c r="C5875" t="s">
        <v>24</v>
      </c>
      <c r="D5875" s="7">
        <v>158</v>
      </c>
      <c r="E5875" s="7">
        <v>24</v>
      </c>
      <c r="F5875" s="7">
        <f t="shared" si="92"/>
        <v>3</v>
      </c>
      <c r="G5875" s="7" t="str">
        <f>LOOKUP(H5875,[1]startdates!$A$2:$A$10,[1]startdates!$B$2:$B$10)</f>
        <v>FMr</v>
      </c>
      <c r="H5875">
        <v>6</v>
      </c>
      <c r="O5875" s="7">
        <v>149.1</v>
      </c>
    </row>
    <row r="5876" spans="1:19" x14ac:dyDescent="0.2">
      <c r="A5876">
        <v>5875</v>
      </c>
      <c r="B5876" s="1">
        <v>40897</v>
      </c>
      <c r="C5876" t="s">
        <v>28</v>
      </c>
      <c r="D5876" s="7">
        <v>158</v>
      </c>
      <c r="E5876" s="7">
        <v>24</v>
      </c>
      <c r="F5876" s="7">
        <f t="shared" si="92"/>
        <v>3</v>
      </c>
      <c r="G5876" s="7" t="str">
        <f>LOOKUP(H5876,[1]startdates!$A$2:$A$10,[1]startdates!$B$2:$B$10)</f>
        <v>FMr</v>
      </c>
      <c r="H5876">
        <v>7</v>
      </c>
      <c r="I5876" s="7">
        <v>626.5</v>
      </c>
      <c r="K5876" s="7">
        <v>515.6</v>
      </c>
      <c r="L5876" s="7">
        <v>449.5</v>
      </c>
      <c r="M5876" s="7">
        <v>330.9</v>
      </c>
      <c r="N5876" s="7">
        <v>213.7</v>
      </c>
      <c r="O5876" s="7">
        <v>170.6</v>
      </c>
      <c r="P5876" s="7">
        <v>428.1</v>
      </c>
      <c r="Q5876" s="7">
        <v>350.5</v>
      </c>
      <c r="R5876" s="7">
        <v>215</v>
      </c>
    </row>
    <row r="5877" spans="1:19" x14ac:dyDescent="0.2">
      <c r="A5877">
        <v>5876</v>
      </c>
      <c r="B5877" s="1">
        <v>40897</v>
      </c>
      <c r="C5877" t="s">
        <v>28</v>
      </c>
      <c r="D5877" s="7">
        <v>158</v>
      </c>
      <c r="E5877" s="7">
        <v>24</v>
      </c>
      <c r="F5877" s="7">
        <f t="shared" si="92"/>
        <v>3</v>
      </c>
      <c r="G5877" s="7" t="str">
        <f>LOOKUP(H5877,[1]startdates!$A$2:$A$10,[1]startdates!$B$2:$B$10)</f>
        <v>FMr</v>
      </c>
      <c r="H5877">
        <v>7</v>
      </c>
      <c r="I5877" s="7">
        <v>603</v>
      </c>
      <c r="K5877" s="7">
        <v>460.3</v>
      </c>
      <c r="L5877" s="7">
        <v>377.9</v>
      </c>
      <c r="M5877" s="7">
        <v>302.2</v>
      </c>
      <c r="N5877" s="7">
        <v>221.7</v>
      </c>
      <c r="O5877" s="7">
        <v>160.4</v>
      </c>
      <c r="P5877" s="7">
        <v>423.5</v>
      </c>
      <c r="Q5877" s="7">
        <v>313.10000000000002</v>
      </c>
      <c r="R5877" s="7">
        <v>232.2</v>
      </c>
    </row>
    <row r="5878" spans="1:19" x14ac:dyDescent="0.2">
      <c r="A5878">
        <v>5877</v>
      </c>
      <c r="B5878" s="1">
        <v>40897</v>
      </c>
      <c r="C5878" t="s">
        <v>28</v>
      </c>
      <c r="D5878" s="7">
        <v>158</v>
      </c>
      <c r="E5878" s="7">
        <v>24</v>
      </c>
      <c r="F5878" s="7">
        <f t="shared" si="92"/>
        <v>3</v>
      </c>
      <c r="G5878" s="7" t="str">
        <f>LOOKUP(H5878,[1]startdates!$A$2:$A$10,[1]startdates!$B$2:$B$10)</f>
        <v>FMr</v>
      </c>
      <c r="H5878">
        <v>7</v>
      </c>
      <c r="I5878" s="7">
        <v>486</v>
      </c>
      <c r="K5878" s="7">
        <v>483.2</v>
      </c>
      <c r="L5878" s="7">
        <v>387.3</v>
      </c>
      <c r="M5878" s="7">
        <v>340.3</v>
      </c>
      <c r="N5878" s="7">
        <v>253.9</v>
      </c>
      <c r="O5878" s="7">
        <v>164.5</v>
      </c>
      <c r="Q5878" s="7">
        <v>334.1</v>
      </c>
      <c r="R5878" s="7">
        <v>255.2</v>
      </c>
    </row>
    <row r="5879" spans="1:19" x14ac:dyDescent="0.2">
      <c r="A5879">
        <v>5878</v>
      </c>
      <c r="B5879" s="1">
        <v>40897</v>
      </c>
      <c r="C5879" t="s">
        <v>28</v>
      </c>
      <c r="D5879" s="7">
        <v>158</v>
      </c>
      <c r="E5879" s="7">
        <v>24</v>
      </c>
      <c r="F5879" s="7">
        <f t="shared" si="92"/>
        <v>3</v>
      </c>
      <c r="G5879" s="7" t="str">
        <f>LOOKUP(H5879,[1]startdates!$A$2:$A$10,[1]startdates!$B$2:$B$10)</f>
        <v>FMr</v>
      </c>
      <c r="H5879">
        <v>7</v>
      </c>
      <c r="I5879" s="7">
        <v>607.79999999999995</v>
      </c>
      <c r="K5879" s="7">
        <v>578</v>
      </c>
      <c r="L5879" s="7">
        <v>420.2</v>
      </c>
      <c r="M5879" s="7">
        <v>330.6</v>
      </c>
      <c r="N5879" s="7">
        <v>219.2</v>
      </c>
      <c r="O5879" s="7">
        <v>152.69999999999999</v>
      </c>
    </row>
    <row r="5880" spans="1:19" x14ac:dyDescent="0.2">
      <c r="A5880">
        <v>5879</v>
      </c>
      <c r="B5880" s="1">
        <v>40897</v>
      </c>
      <c r="C5880" t="s">
        <v>28</v>
      </c>
      <c r="D5880" s="7">
        <v>158</v>
      </c>
      <c r="E5880" s="7">
        <v>24</v>
      </c>
      <c r="F5880" s="7">
        <f t="shared" si="92"/>
        <v>3</v>
      </c>
      <c r="G5880" s="7" t="str">
        <f>LOOKUP(H5880,[1]startdates!$A$2:$A$10,[1]startdates!$B$2:$B$10)</f>
        <v>FMr</v>
      </c>
      <c r="H5880">
        <v>7</v>
      </c>
      <c r="I5880" s="7">
        <v>519.20000000000005</v>
      </c>
      <c r="K5880" s="7">
        <v>504.6</v>
      </c>
      <c r="L5880" s="7">
        <v>436.9</v>
      </c>
      <c r="M5880" s="7">
        <v>306.7</v>
      </c>
      <c r="N5880" s="7">
        <v>255.6</v>
      </c>
      <c r="O5880" s="7">
        <v>169.4</v>
      </c>
    </row>
    <row r="5881" spans="1:19" x14ac:dyDescent="0.2">
      <c r="A5881">
        <v>5880</v>
      </c>
      <c r="B5881" s="1">
        <v>40897</v>
      </c>
      <c r="C5881" t="s">
        <v>28</v>
      </c>
      <c r="D5881" s="7">
        <v>158</v>
      </c>
      <c r="E5881" s="7">
        <v>24</v>
      </c>
      <c r="F5881" s="7">
        <f t="shared" si="92"/>
        <v>3</v>
      </c>
      <c r="G5881" s="7" t="str">
        <f>LOOKUP(H5881,[1]startdates!$A$2:$A$10,[1]startdates!$B$2:$B$10)</f>
        <v>FMr</v>
      </c>
      <c r="H5881">
        <v>7</v>
      </c>
      <c r="I5881" s="7">
        <v>508.2</v>
      </c>
      <c r="L5881" s="7">
        <v>422.4</v>
      </c>
      <c r="M5881" s="7">
        <v>374.2</v>
      </c>
      <c r="N5881" s="7">
        <v>250.2</v>
      </c>
      <c r="O5881" s="7">
        <v>162.69999999999999</v>
      </c>
    </row>
    <row r="5882" spans="1:19" x14ac:dyDescent="0.2">
      <c r="A5882">
        <v>5881</v>
      </c>
      <c r="B5882" s="1">
        <v>40897</v>
      </c>
      <c r="C5882" t="s">
        <v>28</v>
      </c>
      <c r="D5882" s="7">
        <v>158</v>
      </c>
      <c r="E5882" s="7">
        <v>24</v>
      </c>
      <c r="F5882" s="7">
        <f t="shared" si="92"/>
        <v>3</v>
      </c>
      <c r="G5882" s="7" t="str">
        <f>LOOKUP(H5882,[1]startdates!$A$2:$A$10,[1]startdates!$B$2:$B$10)</f>
        <v>FMr</v>
      </c>
      <c r="H5882">
        <v>7</v>
      </c>
      <c r="I5882" s="7">
        <v>646.4</v>
      </c>
      <c r="M5882" s="7">
        <v>359.1</v>
      </c>
      <c r="N5882" s="7">
        <v>220.1</v>
      </c>
      <c r="O5882" s="7">
        <v>164.2</v>
      </c>
    </row>
    <row r="5883" spans="1:19" x14ac:dyDescent="0.2">
      <c r="A5883">
        <v>5882</v>
      </c>
      <c r="B5883" s="1">
        <v>40897</v>
      </c>
      <c r="C5883" t="s">
        <v>28</v>
      </c>
      <c r="D5883" s="7">
        <v>158</v>
      </c>
      <c r="E5883" s="7">
        <v>24</v>
      </c>
      <c r="F5883" s="7">
        <f t="shared" si="92"/>
        <v>3</v>
      </c>
      <c r="G5883" s="7" t="str">
        <f>LOOKUP(H5883,[1]startdates!$A$2:$A$10,[1]startdates!$B$2:$B$10)</f>
        <v>FMr</v>
      </c>
      <c r="H5883">
        <v>7</v>
      </c>
      <c r="I5883" s="7">
        <v>588.70000000000005</v>
      </c>
      <c r="M5883" s="7">
        <v>315.60000000000002</v>
      </c>
      <c r="N5883" s="7">
        <v>186.2</v>
      </c>
      <c r="O5883" s="7">
        <v>155.30000000000001</v>
      </c>
    </row>
    <row r="5884" spans="1:19" x14ac:dyDescent="0.2">
      <c r="A5884">
        <v>5883</v>
      </c>
      <c r="B5884" s="1">
        <v>40897</v>
      </c>
      <c r="C5884" t="s">
        <v>28</v>
      </c>
      <c r="D5884" s="7">
        <v>158</v>
      </c>
      <c r="E5884" s="7">
        <v>24</v>
      </c>
      <c r="F5884" s="7">
        <f t="shared" si="92"/>
        <v>3</v>
      </c>
      <c r="G5884" s="7" t="str">
        <f>LOOKUP(H5884,[1]startdates!$A$2:$A$10,[1]startdates!$B$2:$B$10)</f>
        <v>FMr</v>
      </c>
      <c r="H5884">
        <v>7</v>
      </c>
      <c r="I5884" s="7">
        <v>541.5</v>
      </c>
      <c r="M5884" s="7">
        <v>320.8</v>
      </c>
      <c r="N5884" s="7">
        <v>222.5</v>
      </c>
      <c r="O5884" s="7">
        <v>176.8</v>
      </c>
    </row>
    <row r="5885" spans="1:19" x14ac:dyDescent="0.2">
      <c r="A5885">
        <v>5884</v>
      </c>
      <c r="B5885" s="1">
        <v>40897</v>
      </c>
      <c r="C5885" t="s">
        <v>28</v>
      </c>
      <c r="D5885" s="7">
        <v>158</v>
      </c>
      <c r="E5885" s="7">
        <v>24</v>
      </c>
      <c r="F5885" s="7">
        <f t="shared" si="92"/>
        <v>3</v>
      </c>
      <c r="G5885" s="7" t="str">
        <f>LOOKUP(H5885,[1]startdates!$A$2:$A$10,[1]startdates!$B$2:$B$10)</f>
        <v>FMr</v>
      </c>
      <c r="H5885">
        <v>7</v>
      </c>
      <c r="I5885" s="7">
        <v>576.29999999999995</v>
      </c>
      <c r="M5885" s="7">
        <v>330.7</v>
      </c>
      <c r="N5885" s="7">
        <v>200.3</v>
      </c>
      <c r="O5885" s="7">
        <v>156.80000000000001</v>
      </c>
    </row>
    <row r="5886" spans="1:19" x14ac:dyDescent="0.2">
      <c r="A5886">
        <v>5885</v>
      </c>
      <c r="B5886" s="1">
        <v>40897</v>
      </c>
      <c r="C5886" t="s">
        <v>28</v>
      </c>
      <c r="D5886" s="7">
        <v>158</v>
      </c>
      <c r="E5886" s="7">
        <v>24</v>
      </c>
      <c r="F5886" s="7">
        <f t="shared" si="92"/>
        <v>3</v>
      </c>
      <c r="G5886" s="7" t="str">
        <f>LOOKUP(H5886,[1]startdates!$A$2:$A$10,[1]startdates!$B$2:$B$10)</f>
        <v>FMr</v>
      </c>
      <c r="H5886">
        <v>7</v>
      </c>
      <c r="I5886" s="7">
        <v>529</v>
      </c>
    </row>
    <row r="5887" spans="1:19" x14ac:dyDescent="0.2">
      <c r="A5887">
        <v>5886</v>
      </c>
      <c r="B5887" s="1">
        <v>40897</v>
      </c>
      <c r="C5887" t="s">
        <v>28</v>
      </c>
      <c r="D5887" s="7">
        <v>158</v>
      </c>
      <c r="E5887" s="7">
        <v>24</v>
      </c>
      <c r="F5887" s="7">
        <f t="shared" si="92"/>
        <v>3</v>
      </c>
      <c r="G5887" s="7" t="str">
        <f>LOOKUP(H5887,[1]startdates!$A$2:$A$10,[1]startdates!$B$2:$B$10)</f>
        <v>C</v>
      </c>
      <c r="H5887">
        <v>8</v>
      </c>
      <c r="I5887" s="7">
        <v>588.5</v>
      </c>
      <c r="J5887" s="7">
        <v>562.20000000000005</v>
      </c>
      <c r="K5887" s="7">
        <v>519.4</v>
      </c>
      <c r="L5887" s="7">
        <v>429.8</v>
      </c>
      <c r="M5887" s="7">
        <v>369.8</v>
      </c>
      <c r="N5887" s="7">
        <v>190</v>
      </c>
      <c r="O5887" s="7">
        <v>161.69999999999999</v>
      </c>
      <c r="P5887" s="7">
        <v>420.5</v>
      </c>
      <c r="Q5887" s="7">
        <v>359.3</v>
      </c>
      <c r="S5887" s="7">
        <v>295.60000000000002</v>
      </c>
    </row>
    <row r="5888" spans="1:19" x14ac:dyDescent="0.2">
      <c r="A5888">
        <v>5887</v>
      </c>
      <c r="B5888" s="1">
        <v>40897</v>
      </c>
      <c r="C5888" t="s">
        <v>28</v>
      </c>
      <c r="D5888" s="7">
        <v>158</v>
      </c>
      <c r="E5888" s="7">
        <v>24</v>
      </c>
      <c r="F5888" s="7">
        <f t="shared" si="92"/>
        <v>3</v>
      </c>
      <c r="G5888" s="7" t="str">
        <f>LOOKUP(H5888,[1]startdates!$A$2:$A$10,[1]startdates!$B$2:$B$10)</f>
        <v>C</v>
      </c>
      <c r="H5888">
        <v>8</v>
      </c>
      <c r="I5888" s="7">
        <v>638.9</v>
      </c>
      <c r="J5888" s="7">
        <v>547.6</v>
      </c>
      <c r="K5888" s="7">
        <v>602.5</v>
      </c>
      <c r="L5888" s="7">
        <v>422.3</v>
      </c>
      <c r="M5888" s="7">
        <v>344.6</v>
      </c>
      <c r="N5888" s="7">
        <v>177.9</v>
      </c>
      <c r="O5888" s="7">
        <v>173</v>
      </c>
    </row>
    <row r="5889" spans="1:19" x14ac:dyDescent="0.2">
      <c r="A5889">
        <v>5888</v>
      </c>
      <c r="B5889" s="1">
        <v>40897</v>
      </c>
      <c r="C5889" t="s">
        <v>28</v>
      </c>
      <c r="D5889" s="7">
        <v>158</v>
      </c>
      <c r="E5889" s="7">
        <v>24</v>
      </c>
      <c r="F5889" s="7">
        <f t="shared" si="92"/>
        <v>3</v>
      </c>
      <c r="G5889" s="7" t="str">
        <f>LOOKUP(H5889,[1]startdates!$A$2:$A$10,[1]startdates!$B$2:$B$10)</f>
        <v>C</v>
      </c>
      <c r="H5889">
        <v>8</v>
      </c>
      <c r="I5889" s="7">
        <v>617</v>
      </c>
      <c r="J5889" s="7">
        <v>528.5</v>
      </c>
      <c r="K5889" s="7">
        <v>631.79999999999995</v>
      </c>
      <c r="M5889" s="7">
        <v>320.60000000000002</v>
      </c>
      <c r="N5889" s="7">
        <v>180.4</v>
      </c>
      <c r="O5889" s="7">
        <v>179.8</v>
      </c>
    </row>
    <row r="5890" spans="1:19" x14ac:dyDescent="0.2">
      <c r="A5890">
        <v>5889</v>
      </c>
      <c r="B5890" s="1">
        <v>40897</v>
      </c>
      <c r="C5890" t="s">
        <v>28</v>
      </c>
      <c r="D5890" s="7">
        <v>158</v>
      </c>
      <c r="E5890" s="7">
        <v>24</v>
      </c>
      <c r="F5890" s="7">
        <f t="shared" si="92"/>
        <v>3</v>
      </c>
      <c r="G5890" s="7" t="str">
        <f>LOOKUP(H5890,[1]startdates!$A$2:$A$10,[1]startdates!$B$2:$B$10)</f>
        <v>C</v>
      </c>
      <c r="H5890">
        <v>8</v>
      </c>
      <c r="I5890" s="7">
        <v>550</v>
      </c>
      <c r="J5890" s="7">
        <v>460.5</v>
      </c>
      <c r="K5890" s="7">
        <v>551.1</v>
      </c>
      <c r="M5890" s="7">
        <v>331</v>
      </c>
      <c r="N5890" s="7">
        <v>219.7</v>
      </c>
      <c r="O5890" s="7">
        <v>159.80000000000001</v>
      </c>
    </row>
    <row r="5891" spans="1:19" x14ac:dyDescent="0.2">
      <c r="A5891">
        <v>5890</v>
      </c>
      <c r="B5891" s="1">
        <v>40897</v>
      </c>
      <c r="C5891" t="s">
        <v>28</v>
      </c>
      <c r="D5891" s="7">
        <v>158</v>
      </c>
      <c r="E5891" s="7">
        <v>24</v>
      </c>
      <c r="F5891" s="7">
        <f t="shared" si="92"/>
        <v>3</v>
      </c>
      <c r="G5891" s="7" t="str">
        <f>LOOKUP(H5891,[1]startdates!$A$2:$A$10,[1]startdates!$B$2:$B$10)</f>
        <v>C</v>
      </c>
      <c r="H5891">
        <v>8</v>
      </c>
      <c r="J5891" s="7">
        <v>471.1</v>
      </c>
      <c r="K5891" s="7">
        <v>543.1</v>
      </c>
      <c r="M5891" s="7">
        <v>326</v>
      </c>
      <c r="N5891" s="7">
        <v>245.7</v>
      </c>
      <c r="O5891" s="7">
        <v>166.4</v>
      </c>
    </row>
    <row r="5892" spans="1:19" x14ac:dyDescent="0.2">
      <c r="A5892">
        <v>5891</v>
      </c>
      <c r="B5892" s="1">
        <v>40897</v>
      </c>
      <c r="C5892" t="s">
        <v>28</v>
      </c>
      <c r="D5892" s="7">
        <v>158</v>
      </c>
      <c r="E5892" s="7">
        <v>24</v>
      </c>
      <c r="F5892" s="7">
        <f t="shared" si="92"/>
        <v>3</v>
      </c>
      <c r="G5892" s="7" t="str">
        <f>LOOKUP(H5892,[1]startdates!$A$2:$A$10,[1]startdates!$B$2:$B$10)</f>
        <v>C</v>
      </c>
      <c r="H5892">
        <v>8</v>
      </c>
      <c r="J5892" s="7">
        <v>457.7</v>
      </c>
      <c r="M5892" s="7">
        <v>331.5</v>
      </c>
      <c r="N5892" s="7">
        <v>208.9</v>
      </c>
      <c r="O5892" s="7">
        <v>180.4</v>
      </c>
    </row>
    <row r="5893" spans="1:19" x14ac:dyDescent="0.2">
      <c r="A5893">
        <v>5892</v>
      </c>
      <c r="B5893" s="1">
        <v>40897</v>
      </c>
      <c r="C5893" t="s">
        <v>28</v>
      </c>
      <c r="D5893" s="7">
        <v>158</v>
      </c>
      <c r="E5893" s="7">
        <v>24</v>
      </c>
      <c r="F5893" s="7">
        <f t="shared" si="92"/>
        <v>3</v>
      </c>
      <c r="G5893" s="7" t="str">
        <f>LOOKUP(H5893,[1]startdates!$A$2:$A$10,[1]startdates!$B$2:$B$10)</f>
        <v>C</v>
      </c>
      <c r="H5893">
        <v>8</v>
      </c>
      <c r="M5893" s="7">
        <v>270.39999999999998</v>
      </c>
      <c r="N5893" s="7">
        <v>206.5</v>
      </c>
      <c r="O5893" s="7">
        <v>175.8</v>
      </c>
    </row>
    <row r="5894" spans="1:19" x14ac:dyDescent="0.2">
      <c r="A5894">
        <v>5893</v>
      </c>
      <c r="B5894" s="1">
        <v>40897</v>
      </c>
      <c r="C5894" t="s">
        <v>28</v>
      </c>
      <c r="D5894" s="7">
        <v>158</v>
      </c>
      <c r="E5894" s="7">
        <v>24</v>
      </c>
      <c r="F5894" s="7">
        <f t="shared" si="92"/>
        <v>3</v>
      </c>
      <c r="G5894" s="7" t="str">
        <f>LOOKUP(H5894,[1]startdates!$A$2:$A$10,[1]startdates!$B$2:$B$10)</f>
        <v>C</v>
      </c>
      <c r="H5894">
        <v>8</v>
      </c>
      <c r="M5894" s="7">
        <v>313.8</v>
      </c>
      <c r="N5894" s="7">
        <v>216.1</v>
      </c>
      <c r="O5894" s="7">
        <v>173.5</v>
      </c>
    </row>
    <row r="5895" spans="1:19" x14ac:dyDescent="0.2">
      <c r="A5895">
        <v>5894</v>
      </c>
      <c r="B5895" s="1">
        <v>40897</v>
      </c>
      <c r="C5895" t="s">
        <v>28</v>
      </c>
      <c r="D5895" s="7">
        <v>158</v>
      </c>
      <c r="E5895" s="7">
        <v>24</v>
      </c>
      <c r="F5895" s="7">
        <f t="shared" si="92"/>
        <v>3</v>
      </c>
      <c r="G5895" s="7" t="str">
        <f>LOOKUP(H5895,[1]startdates!$A$2:$A$10,[1]startdates!$B$2:$B$10)</f>
        <v>C</v>
      </c>
      <c r="H5895">
        <v>8</v>
      </c>
      <c r="M5895" s="7">
        <v>318.10000000000002</v>
      </c>
      <c r="N5895" s="7">
        <v>190.1</v>
      </c>
      <c r="O5895" s="7">
        <v>176</v>
      </c>
    </row>
    <row r="5896" spans="1:19" x14ac:dyDescent="0.2">
      <c r="A5896">
        <v>5895</v>
      </c>
      <c r="B5896" s="1">
        <v>40897</v>
      </c>
      <c r="C5896" t="s">
        <v>24</v>
      </c>
      <c r="D5896" s="7">
        <v>158</v>
      </c>
      <c r="E5896" s="7">
        <v>24</v>
      </c>
      <c r="F5896" s="7">
        <f t="shared" si="92"/>
        <v>3</v>
      </c>
      <c r="G5896" s="7" t="str">
        <f>LOOKUP(H5896,[1]startdates!$A$2:$A$10,[1]startdates!$B$2:$B$10)</f>
        <v>FMr</v>
      </c>
      <c r="H5896">
        <v>9</v>
      </c>
      <c r="I5896" s="7">
        <v>594.70000000000005</v>
      </c>
      <c r="K5896" s="7">
        <v>573.6</v>
      </c>
      <c r="L5896" s="7">
        <v>422</v>
      </c>
      <c r="M5896" s="7">
        <v>333.6</v>
      </c>
      <c r="N5896" s="7">
        <v>176.8</v>
      </c>
      <c r="O5896" s="7">
        <v>150.19999999999999</v>
      </c>
      <c r="Q5896" s="7">
        <v>330.6</v>
      </c>
      <c r="R5896" s="7">
        <v>266.60000000000002</v>
      </c>
      <c r="S5896" s="7">
        <v>251.9</v>
      </c>
    </row>
    <row r="5897" spans="1:19" x14ac:dyDescent="0.2">
      <c r="A5897">
        <v>5896</v>
      </c>
      <c r="B5897" s="1">
        <v>40897</v>
      </c>
      <c r="C5897" t="s">
        <v>24</v>
      </c>
      <c r="D5897" s="7">
        <v>158</v>
      </c>
      <c r="E5897" s="7">
        <v>24</v>
      </c>
      <c r="F5897" s="7">
        <f t="shared" si="92"/>
        <v>3</v>
      </c>
      <c r="G5897" s="7" t="str">
        <f>LOOKUP(H5897,[1]startdates!$A$2:$A$10,[1]startdates!$B$2:$B$10)</f>
        <v>FMr</v>
      </c>
      <c r="H5897">
        <v>9</v>
      </c>
      <c r="I5897" s="7">
        <v>523.4</v>
      </c>
      <c r="K5897" s="7">
        <v>560</v>
      </c>
      <c r="L5897" s="7">
        <v>395.7</v>
      </c>
      <c r="M5897" s="7">
        <v>354.4</v>
      </c>
      <c r="N5897" s="7">
        <v>286.7</v>
      </c>
      <c r="O5897" s="7">
        <v>148.4</v>
      </c>
      <c r="Q5897" s="7">
        <v>351.1</v>
      </c>
      <c r="R5897" s="7">
        <v>294.5</v>
      </c>
    </row>
    <row r="5898" spans="1:19" x14ac:dyDescent="0.2">
      <c r="A5898">
        <v>5897</v>
      </c>
      <c r="B5898" s="1">
        <v>40897</v>
      </c>
      <c r="C5898" t="s">
        <v>24</v>
      </c>
      <c r="D5898" s="7">
        <v>158</v>
      </c>
      <c r="E5898" s="7">
        <v>24</v>
      </c>
      <c r="F5898" s="7">
        <f t="shared" si="92"/>
        <v>3</v>
      </c>
      <c r="G5898" s="7" t="str">
        <f>LOOKUP(H5898,[1]startdates!$A$2:$A$10,[1]startdates!$B$2:$B$10)</f>
        <v>FMr</v>
      </c>
      <c r="H5898">
        <v>9</v>
      </c>
      <c r="I5898" s="7">
        <v>629.5</v>
      </c>
      <c r="K5898" s="7">
        <v>557.70000000000005</v>
      </c>
      <c r="L5898" s="7">
        <v>458.2</v>
      </c>
      <c r="M5898" s="7">
        <v>371.5</v>
      </c>
      <c r="N5898" s="7">
        <v>255.7</v>
      </c>
      <c r="O5898" s="7">
        <v>164.4</v>
      </c>
      <c r="R5898" s="7">
        <v>286.5</v>
      </c>
    </row>
    <row r="5899" spans="1:19" x14ac:dyDescent="0.2">
      <c r="A5899">
        <v>5898</v>
      </c>
      <c r="B5899" s="1">
        <v>40897</v>
      </c>
      <c r="C5899" t="s">
        <v>24</v>
      </c>
      <c r="D5899" s="7">
        <v>158</v>
      </c>
      <c r="E5899" s="7">
        <v>24</v>
      </c>
      <c r="F5899" s="7">
        <f t="shared" si="92"/>
        <v>3</v>
      </c>
      <c r="G5899" s="7" t="str">
        <f>LOOKUP(H5899,[1]startdates!$A$2:$A$10,[1]startdates!$B$2:$B$10)</f>
        <v>FMr</v>
      </c>
      <c r="H5899">
        <v>9</v>
      </c>
      <c r="I5899" s="7">
        <v>555.79999999999995</v>
      </c>
      <c r="K5899" s="7">
        <v>586</v>
      </c>
      <c r="L5899" s="7">
        <v>443.9</v>
      </c>
      <c r="M5899" s="7">
        <v>323</v>
      </c>
      <c r="N5899" s="7">
        <v>187.8</v>
      </c>
      <c r="O5899" s="7">
        <v>160.5</v>
      </c>
    </row>
    <row r="5900" spans="1:19" x14ac:dyDescent="0.2">
      <c r="A5900">
        <v>5899</v>
      </c>
      <c r="B5900" s="1">
        <v>40897</v>
      </c>
      <c r="C5900" t="s">
        <v>24</v>
      </c>
      <c r="D5900" s="7">
        <v>158</v>
      </c>
      <c r="E5900" s="7">
        <v>24</v>
      </c>
      <c r="F5900" s="7">
        <f t="shared" si="92"/>
        <v>3</v>
      </c>
      <c r="G5900" s="7" t="str">
        <f>LOOKUP(H5900,[1]startdates!$A$2:$A$10,[1]startdates!$B$2:$B$10)</f>
        <v>FMr</v>
      </c>
      <c r="H5900">
        <v>9</v>
      </c>
      <c r="I5900" s="7">
        <v>650.1</v>
      </c>
      <c r="K5900" s="7">
        <v>585.20000000000005</v>
      </c>
      <c r="L5900" s="7">
        <v>424</v>
      </c>
      <c r="M5900" s="7">
        <v>347.4</v>
      </c>
      <c r="N5900" s="7">
        <v>209.9</v>
      </c>
      <c r="O5900" s="7">
        <v>171.9</v>
      </c>
    </row>
    <row r="5901" spans="1:19" x14ac:dyDescent="0.2">
      <c r="A5901">
        <v>5900</v>
      </c>
      <c r="B5901" s="1">
        <v>40897</v>
      </c>
      <c r="C5901" t="s">
        <v>24</v>
      </c>
      <c r="D5901" s="7">
        <v>158</v>
      </c>
      <c r="E5901" s="7">
        <v>24</v>
      </c>
      <c r="F5901" s="7">
        <f t="shared" si="92"/>
        <v>3</v>
      </c>
      <c r="G5901" s="7" t="str">
        <f>LOOKUP(H5901,[1]startdates!$A$2:$A$10,[1]startdates!$B$2:$B$10)</f>
        <v>FMr</v>
      </c>
      <c r="H5901">
        <v>9</v>
      </c>
      <c r="I5901" s="7">
        <v>588.5</v>
      </c>
      <c r="K5901" s="7">
        <v>634.29999999999995</v>
      </c>
      <c r="L5901" s="7">
        <v>438</v>
      </c>
      <c r="M5901" s="7">
        <v>336.1</v>
      </c>
      <c r="N5901" s="7">
        <v>211.7</v>
      </c>
      <c r="O5901" s="7">
        <v>173.7</v>
      </c>
    </row>
    <row r="5902" spans="1:19" x14ac:dyDescent="0.2">
      <c r="A5902">
        <v>5901</v>
      </c>
      <c r="B5902" s="1">
        <v>40897</v>
      </c>
      <c r="C5902" t="s">
        <v>24</v>
      </c>
      <c r="D5902" s="7">
        <v>158</v>
      </c>
      <c r="E5902" s="7">
        <v>24</v>
      </c>
      <c r="F5902" s="7">
        <f t="shared" si="92"/>
        <v>3</v>
      </c>
      <c r="G5902" s="7" t="str">
        <f>LOOKUP(H5902,[1]startdates!$A$2:$A$10,[1]startdates!$B$2:$B$10)</f>
        <v>FMr</v>
      </c>
      <c r="H5902">
        <v>9</v>
      </c>
      <c r="I5902" s="7">
        <v>520.20000000000005</v>
      </c>
      <c r="M5902" s="7">
        <v>345.9</v>
      </c>
      <c r="N5902" s="7">
        <v>239.6</v>
      </c>
      <c r="O5902" s="7">
        <v>151.4</v>
      </c>
    </row>
    <row r="5903" spans="1:19" x14ac:dyDescent="0.2">
      <c r="A5903">
        <v>5902</v>
      </c>
      <c r="B5903" s="1">
        <v>40897</v>
      </c>
      <c r="C5903" t="s">
        <v>24</v>
      </c>
      <c r="D5903" s="7">
        <v>158</v>
      </c>
      <c r="E5903" s="7">
        <v>24</v>
      </c>
      <c r="F5903" s="7">
        <f t="shared" si="92"/>
        <v>3</v>
      </c>
      <c r="G5903" s="7" t="str">
        <f>LOOKUP(H5903,[1]startdates!$A$2:$A$10,[1]startdates!$B$2:$B$10)</f>
        <v>FMr</v>
      </c>
      <c r="H5903">
        <v>9</v>
      </c>
      <c r="I5903" s="7">
        <v>546.70000000000005</v>
      </c>
      <c r="M5903" s="7">
        <v>326.5</v>
      </c>
      <c r="N5903" s="7">
        <v>195.1</v>
      </c>
      <c r="O5903" s="7">
        <v>171.7</v>
      </c>
    </row>
    <row r="5904" spans="1:19" x14ac:dyDescent="0.2">
      <c r="A5904">
        <v>5903</v>
      </c>
      <c r="B5904" s="1">
        <v>40897</v>
      </c>
      <c r="C5904" t="s">
        <v>24</v>
      </c>
      <c r="D5904" s="7">
        <v>158</v>
      </c>
      <c r="E5904" s="7">
        <v>24</v>
      </c>
      <c r="F5904" s="7">
        <f t="shared" si="92"/>
        <v>3</v>
      </c>
      <c r="G5904" s="7" t="str">
        <f>LOOKUP(H5904,[1]startdates!$A$2:$A$10,[1]startdates!$B$2:$B$10)</f>
        <v>FMr</v>
      </c>
      <c r="H5904">
        <v>9</v>
      </c>
      <c r="I5904" s="7">
        <v>553.5</v>
      </c>
      <c r="M5904" s="7">
        <v>322.7</v>
      </c>
      <c r="N5904" s="7">
        <v>198.6</v>
      </c>
      <c r="O5904" s="7">
        <v>170.8</v>
      </c>
    </row>
    <row r="5905" spans="1:19" x14ac:dyDescent="0.2">
      <c r="A5905">
        <v>5904</v>
      </c>
      <c r="B5905" s="1">
        <v>40897</v>
      </c>
      <c r="C5905" t="s">
        <v>24</v>
      </c>
      <c r="D5905" s="7">
        <v>158</v>
      </c>
      <c r="E5905" s="7">
        <v>24</v>
      </c>
      <c r="F5905" s="7">
        <f t="shared" si="92"/>
        <v>3</v>
      </c>
      <c r="G5905" s="7" t="str">
        <f>LOOKUP(H5905,[1]startdates!$A$2:$A$10,[1]startdates!$B$2:$B$10)</f>
        <v>FMr</v>
      </c>
      <c r="H5905">
        <v>9</v>
      </c>
      <c r="I5905" s="7">
        <v>636.6</v>
      </c>
      <c r="M5905" s="7">
        <v>315.2</v>
      </c>
      <c r="N5905" s="7">
        <v>251.7</v>
      </c>
      <c r="O5905" s="7">
        <v>163</v>
      </c>
    </row>
    <row r="5906" spans="1:19" x14ac:dyDescent="0.2">
      <c r="A5906">
        <v>5905</v>
      </c>
      <c r="B5906" s="1">
        <v>40897</v>
      </c>
      <c r="C5906" t="s">
        <v>24</v>
      </c>
      <c r="D5906" s="7">
        <v>158</v>
      </c>
      <c r="E5906" s="7">
        <v>24</v>
      </c>
      <c r="F5906" s="7">
        <f t="shared" si="92"/>
        <v>3</v>
      </c>
      <c r="G5906" s="7" t="str">
        <f>LOOKUP(H5906,[1]startdates!$A$2:$A$10,[1]startdates!$B$2:$B$10)</f>
        <v>FMr</v>
      </c>
      <c r="H5906">
        <v>9</v>
      </c>
      <c r="I5906" s="7">
        <v>561.6</v>
      </c>
    </row>
    <row r="5907" spans="1:19" x14ac:dyDescent="0.2">
      <c r="A5907">
        <v>5906</v>
      </c>
      <c r="B5907" s="1">
        <v>40897</v>
      </c>
      <c r="C5907" t="s">
        <v>24</v>
      </c>
      <c r="D5907" s="7">
        <v>158</v>
      </c>
      <c r="E5907" s="7">
        <v>24</v>
      </c>
      <c r="F5907" s="7">
        <f t="shared" si="92"/>
        <v>3</v>
      </c>
      <c r="G5907" s="7" t="str">
        <f>LOOKUP(H5907,[1]startdates!$A$2:$A$10,[1]startdates!$B$2:$B$10)</f>
        <v>FMr</v>
      </c>
      <c r="H5907">
        <v>9</v>
      </c>
      <c r="I5907" s="7">
        <v>523.1</v>
      </c>
    </row>
    <row r="5908" spans="1:19" x14ac:dyDescent="0.2">
      <c r="A5908">
        <v>5907</v>
      </c>
      <c r="B5908" s="1">
        <v>40900</v>
      </c>
      <c r="C5908" t="s">
        <v>28</v>
      </c>
      <c r="D5908" s="7">
        <v>161</v>
      </c>
      <c r="E5908" s="7">
        <v>24</v>
      </c>
      <c r="F5908" s="7">
        <f t="shared" si="92"/>
        <v>6</v>
      </c>
      <c r="G5908" s="7" t="str">
        <f>LOOKUP(H5908,[1]startdates!$A$2:$A$10,[1]startdates!$B$2:$B$10)</f>
        <v>SMr</v>
      </c>
      <c r="H5908">
        <v>1</v>
      </c>
      <c r="I5908" s="7">
        <v>582.29999999999995</v>
      </c>
      <c r="J5908" s="7">
        <v>493.3</v>
      </c>
      <c r="K5908" s="7">
        <v>504.5</v>
      </c>
      <c r="L5908" s="7">
        <v>400.6</v>
      </c>
      <c r="M5908" s="7">
        <v>297.8</v>
      </c>
      <c r="N5908" s="7">
        <v>174.6</v>
      </c>
      <c r="O5908" s="7">
        <v>181.9</v>
      </c>
      <c r="P5908" s="7">
        <v>512.9</v>
      </c>
      <c r="Q5908" s="7">
        <v>347</v>
      </c>
      <c r="S5908" s="7">
        <v>278.89999999999998</v>
      </c>
    </row>
    <row r="5909" spans="1:19" x14ac:dyDescent="0.2">
      <c r="A5909">
        <v>5908</v>
      </c>
      <c r="B5909" s="1">
        <v>40900</v>
      </c>
      <c r="C5909" t="s">
        <v>28</v>
      </c>
      <c r="D5909" s="7">
        <v>161</v>
      </c>
      <c r="E5909" s="7">
        <v>24</v>
      </c>
      <c r="F5909" s="7">
        <f t="shared" si="92"/>
        <v>6</v>
      </c>
      <c r="G5909" s="7" t="str">
        <f>LOOKUP(H5909,[1]startdates!$A$2:$A$10,[1]startdates!$B$2:$B$10)</f>
        <v>SMr</v>
      </c>
      <c r="H5909">
        <v>1</v>
      </c>
      <c r="I5909" s="7">
        <v>616</v>
      </c>
      <c r="J5909" s="7">
        <v>501.2</v>
      </c>
      <c r="K5909" s="7">
        <v>477.6</v>
      </c>
      <c r="L5909" s="7">
        <v>406</v>
      </c>
      <c r="M5909" s="7">
        <v>317.7</v>
      </c>
      <c r="N5909" s="7">
        <v>208.9</v>
      </c>
      <c r="O5909" s="7">
        <v>159.69999999999999</v>
      </c>
      <c r="P5909" s="7">
        <v>402</v>
      </c>
      <c r="Q5909" s="7">
        <v>388.1</v>
      </c>
    </row>
    <row r="5910" spans="1:19" x14ac:dyDescent="0.2">
      <c r="A5910">
        <v>5909</v>
      </c>
      <c r="B5910" s="1">
        <v>40900</v>
      </c>
      <c r="C5910" t="s">
        <v>28</v>
      </c>
      <c r="D5910" s="7">
        <v>161</v>
      </c>
      <c r="E5910" s="7">
        <v>24</v>
      </c>
      <c r="F5910" s="7">
        <f t="shared" si="92"/>
        <v>6</v>
      </c>
      <c r="G5910" s="7" t="str">
        <f>LOOKUP(H5910,[1]startdates!$A$2:$A$10,[1]startdates!$B$2:$B$10)</f>
        <v>SMr</v>
      </c>
      <c r="H5910">
        <v>1</v>
      </c>
      <c r="I5910" s="7">
        <v>654.1</v>
      </c>
      <c r="K5910" s="7">
        <v>474.1</v>
      </c>
      <c r="L5910" s="7">
        <v>379.1</v>
      </c>
      <c r="M5910" s="7">
        <v>297.89999999999998</v>
      </c>
      <c r="N5910" s="7">
        <v>197.3</v>
      </c>
      <c r="O5910" s="7">
        <v>168.3</v>
      </c>
      <c r="P5910" s="7">
        <v>423.3</v>
      </c>
    </row>
    <row r="5911" spans="1:19" x14ac:dyDescent="0.2">
      <c r="A5911">
        <v>5910</v>
      </c>
      <c r="B5911" s="1">
        <v>40900</v>
      </c>
      <c r="C5911" t="s">
        <v>28</v>
      </c>
      <c r="D5911" s="7">
        <v>161</v>
      </c>
      <c r="E5911" s="7">
        <v>24</v>
      </c>
      <c r="F5911" s="7">
        <f t="shared" si="92"/>
        <v>6</v>
      </c>
      <c r="G5911" s="7" t="str">
        <f>LOOKUP(H5911,[1]startdates!$A$2:$A$10,[1]startdates!$B$2:$B$10)</f>
        <v>SMr</v>
      </c>
      <c r="H5911">
        <v>1</v>
      </c>
      <c r="I5911" s="7">
        <v>573.1</v>
      </c>
      <c r="K5911" s="7">
        <v>587.6</v>
      </c>
      <c r="L5911" s="7">
        <v>412.5</v>
      </c>
      <c r="M5911" s="7">
        <v>376.5</v>
      </c>
      <c r="N5911" s="7">
        <v>216.6</v>
      </c>
      <c r="O5911" s="7">
        <v>141</v>
      </c>
    </row>
    <row r="5912" spans="1:19" x14ac:dyDescent="0.2">
      <c r="A5912">
        <v>5911</v>
      </c>
      <c r="B5912" s="1">
        <v>40900</v>
      </c>
      <c r="C5912" t="s">
        <v>28</v>
      </c>
      <c r="D5912" s="7">
        <v>161</v>
      </c>
      <c r="E5912" s="7">
        <v>24</v>
      </c>
      <c r="F5912" s="7">
        <f t="shared" si="92"/>
        <v>6</v>
      </c>
      <c r="G5912" s="7" t="str">
        <f>LOOKUP(H5912,[1]startdates!$A$2:$A$10,[1]startdates!$B$2:$B$10)</f>
        <v>SMr</v>
      </c>
      <c r="H5912">
        <v>1</v>
      </c>
      <c r="I5912" s="7">
        <v>614.70000000000005</v>
      </c>
      <c r="K5912" s="7">
        <v>528.5</v>
      </c>
      <c r="L5912" s="7">
        <v>386.9</v>
      </c>
      <c r="M5912" s="7">
        <v>293.10000000000002</v>
      </c>
      <c r="N5912" s="7">
        <v>231.1</v>
      </c>
      <c r="O5912" s="7">
        <v>155.30000000000001</v>
      </c>
    </row>
    <row r="5913" spans="1:19" x14ac:dyDescent="0.2">
      <c r="A5913">
        <v>5912</v>
      </c>
      <c r="B5913" s="1">
        <v>40900</v>
      </c>
      <c r="C5913" t="s">
        <v>28</v>
      </c>
      <c r="D5913" s="7">
        <v>161</v>
      </c>
      <c r="E5913" s="7">
        <v>24</v>
      </c>
      <c r="F5913" s="7">
        <f t="shared" si="92"/>
        <v>6</v>
      </c>
      <c r="G5913" s="7" t="str">
        <f>LOOKUP(H5913,[1]startdates!$A$2:$A$10,[1]startdates!$B$2:$B$10)</f>
        <v>SMr</v>
      </c>
      <c r="H5913">
        <v>1</v>
      </c>
      <c r="I5913" s="7">
        <v>589.5</v>
      </c>
      <c r="L5913" s="7">
        <v>408.7</v>
      </c>
      <c r="M5913" s="7">
        <v>322.89999999999998</v>
      </c>
      <c r="N5913" s="7">
        <v>222</v>
      </c>
      <c r="O5913" s="7">
        <v>177.7</v>
      </c>
    </row>
    <row r="5914" spans="1:19" x14ac:dyDescent="0.2">
      <c r="A5914">
        <v>5913</v>
      </c>
      <c r="B5914" s="1">
        <v>40900</v>
      </c>
      <c r="C5914" t="s">
        <v>28</v>
      </c>
      <c r="D5914" s="7">
        <v>161</v>
      </c>
      <c r="E5914" s="7">
        <v>24</v>
      </c>
      <c r="F5914" s="7">
        <f t="shared" si="92"/>
        <v>6</v>
      </c>
      <c r="G5914" s="7" t="str">
        <f>LOOKUP(H5914,[1]startdates!$A$2:$A$10,[1]startdates!$B$2:$B$10)</f>
        <v>SMr</v>
      </c>
      <c r="H5914">
        <v>1</v>
      </c>
      <c r="I5914" s="7">
        <v>596.9</v>
      </c>
      <c r="M5914" s="7">
        <v>320.39999999999998</v>
      </c>
      <c r="N5914" s="7">
        <v>177.7</v>
      </c>
      <c r="O5914" s="7">
        <v>164.9</v>
      </c>
    </row>
    <row r="5915" spans="1:19" x14ac:dyDescent="0.2">
      <c r="A5915">
        <v>5914</v>
      </c>
      <c r="B5915" s="1">
        <v>40900</v>
      </c>
      <c r="C5915" t="s">
        <v>28</v>
      </c>
      <c r="D5915" s="7">
        <v>161</v>
      </c>
      <c r="E5915" s="7">
        <v>24</v>
      </c>
      <c r="F5915" s="7">
        <f t="shared" si="92"/>
        <v>6</v>
      </c>
      <c r="G5915" s="7" t="str">
        <f>LOOKUP(H5915,[1]startdates!$A$2:$A$10,[1]startdates!$B$2:$B$10)</f>
        <v>SMr</v>
      </c>
      <c r="H5915">
        <v>1</v>
      </c>
      <c r="I5915" s="7">
        <v>530.20000000000005</v>
      </c>
      <c r="M5915" s="7">
        <v>345.4</v>
      </c>
      <c r="N5915" s="7">
        <v>231.8</v>
      </c>
      <c r="O5915" s="7">
        <v>161.5</v>
      </c>
    </row>
    <row r="5916" spans="1:19" x14ac:dyDescent="0.2">
      <c r="A5916">
        <v>5915</v>
      </c>
      <c r="B5916" s="1">
        <v>40900</v>
      </c>
      <c r="C5916" t="s">
        <v>28</v>
      </c>
      <c r="D5916" s="7">
        <v>161</v>
      </c>
      <c r="E5916" s="7">
        <v>24</v>
      </c>
      <c r="F5916" s="7">
        <f t="shared" si="92"/>
        <v>6</v>
      </c>
      <c r="G5916" s="7" t="str">
        <f>LOOKUP(H5916,[1]startdates!$A$2:$A$10,[1]startdates!$B$2:$B$10)</f>
        <v>SMr</v>
      </c>
      <c r="H5916">
        <v>1</v>
      </c>
      <c r="I5916" s="7">
        <v>552.6</v>
      </c>
      <c r="M5916" s="7">
        <v>340.3</v>
      </c>
      <c r="N5916" s="7">
        <v>203.1</v>
      </c>
      <c r="O5916" s="7">
        <v>159.69999999999999</v>
      </c>
    </row>
    <row r="5917" spans="1:19" x14ac:dyDescent="0.2">
      <c r="A5917">
        <v>5916</v>
      </c>
      <c r="B5917" s="1">
        <v>40900</v>
      </c>
      <c r="C5917" t="s">
        <v>28</v>
      </c>
      <c r="D5917" s="7">
        <v>161</v>
      </c>
      <c r="E5917" s="7">
        <v>24</v>
      </c>
      <c r="F5917" s="7">
        <f t="shared" si="92"/>
        <v>6</v>
      </c>
      <c r="G5917" s="7" t="str">
        <f>LOOKUP(H5917,[1]startdates!$A$2:$A$10,[1]startdates!$B$2:$B$10)</f>
        <v>SMr</v>
      </c>
      <c r="H5917">
        <v>1</v>
      </c>
      <c r="I5917" s="7">
        <v>648.6</v>
      </c>
      <c r="M5917" s="7">
        <v>338.8</v>
      </c>
      <c r="N5917" s="7">
        <v>223.3</v>
      </c>
      <c r="O5917" s="7">
        <v>148</v>
      </c>
    </row>
    <row r="5918" spans="1:19" x14ac:dyDescent="0.2">
      <c r="A5918">
        <v>5917</v>
      </c>
      <c r="B5918" s="1">
        <v>40900</v>
      </c>
      <c r="C5918" t="s">
        <v>28</v>
      </c>
      <c r="D5918" s="7">
        <v>161</v>
      </c>
      <c r="E5918" s="7">
        <v>24</v>
      </c>
      <c r="F5918" s="7">
        <f t="shared" si="92"/>
        <v>6</v>
      </c>
      <c r="G5918" s="7" t="str">
        <f>LOOKUP(H5918,[1]startdates!$A$2:$A$10,[1]startdates!$B$2:$B$10)</f>
        <v>SMr</v>
      </c>
      <c r="H5918">
        <v>1</v>
      </c>
      <c r="I5918" s="7">
        <v>627</v>
      </c>
    </row>
    <row r="5919" spans="1:19" x14ac:dyDescent="0.2">
      <c r="A5919">
        <v>5918</v>
      </c>
      <c r="B5919" s="1">
        <v>40900</v>
      </c>
      <c r="C5919" t="s">
        <v>28</v>
      </c>
      <c r="D5919" s="7">
        <v>161</v>
      </c>
      <c r="E5919" s="7">
        <v>24</v>
      </c>
      <c r="F5919" s="7">
        <f t="shared" si="92"/>
        <v>6</v>
      </c>
      <c r="G5919" s="7" t="str">
        <f>LOOKUP(H5919,[1]startdates!$A$2:$A$10,[1]startdates!$B$2:$B$10)</f>
        <v>SMr</v>
      </c>
      <c r="H5919">
        <v>1</v>
      </c>
      <c r="I5919" s="7">
        <v>471.6</v>
      </c>
    </row>
    <row r="5920" spans="1:19" x14ac:dyDescent="0.2">
      <c r="A5920">
        <v>5919</v>
      </c>
      <c r="B5920" s="1">
        <v>40900</v>
      </c>
      <c r="C5920" t="s">
        <v>24</v>
      </c>
      <c r="D5920" s="7">
        <v>161</v>
      </c>
      <c r="E5920" s="7">
        <v>24</v>
      </c>
      <c r="F5920" s="7">
        <f t="shared" si="92"/>
        <v>6</v>
      </c>
      <c r="G5920" s="7" t="str">
        <f>LOOKUP(H5920,[1]startdates!$A$2:$A$10,[1]startdates!$B$2:$B$10)</f>
        <v>SMr</v>
      </c>
      <c r="H5920">
        <v>2</v>
      </c>
      <c r="I5920" s="7">
        <v>617.5</v>
      </c>
      <c r="J5920" s="7">
        <v>458.8</v>
      </c>
      <c r="K5920" s="7">
        <v>480.8</v>
      </c>
      <c r="L5920" s="7">
        <v>434.4</v>
      </c>
      <c r="M5920" s="7">
        <v>288.8</v>
      </c>
      <c r="N5920" s="7">
        <v>202.5</v>
      </c>
      <c r="O5920" s="7">
        <v>158.1</v>
      </c>
      <c r="P5920" s="7">
        <v>400.5</v>
      </c>
    </row>
    <row r="5921" spans="1:17" x14ac:dyDescent="0.2">
      <c r="A5921">
        <v>5920</v>
      </c>
      <c r="B5921" s="1">
        <v>40900</v>
      </c>
      <c r="C5921" t="s">
        <v>24</v>
      </c>
      <c r="D5921" s="7">
        <v>161</v>
      </c>
      <c r="E5921" s="7">
        <v>24</v>
      </c>
      <c r="F5921" s="7">
        <f t="shared" si="92"/>
        <v>6</v>
      </c>
      <c r="G5921" s="7" t="str">
        <f>LOOKUP(H5921,[1]startdates!$A$2:$A$10,[1]startdates!$B$2:$B$10)</f>
        <v>SMr</v>
      </c>
      <c r="H5921">
        <v>2</v>
      </c>
      <c r="I5921" s="7">
        <v>602.9</v>
      </c>
      <c r="K5921" s="7">
        <v>416.7</v>
      </c>
      <c r="L5921" s="7">
        <v>388.6</v>
      </c>
      <c r="M5921" s="7">
        <v>301.60000000000002</v>
      </c>
      <c r="N5921" s="7">
        <v>189.3</v>
      </c>
      <c r="O5921" s="7">
        <v>143</v>
      </c>
      <c r="P5921" s="7">
        <v>425.3</v>
      </c>
    </row>
    <row r="5922" spans="1:17" x14ac:dyDescent="0.2">
      <c r="A5922">
        <v>5921</v>
      </c>
      <c r="B5922" s="1">
        <v>40900</v>
      </c>
      <c r="C5922" t="s">
        <v>24</v>
      </c>
      <c r="D5922" s="7">
        <v>161</v>
      </c>
      <c r="E5922" s="7">
        <v>24</v>
      </c>
      <c r="F5922" s="7">
        <f t="shared" si="92"/>
        <v>6</v>
      </c>
      <c r="G5922" s="7" t="str">
        <f>LOOKUP(H5922,[1]startdates!$A$2:$A$10,[1]startdates!$B$2:$B$10)</f>
        <v>SMr</v>
      </c>
      <c r="H5922">
        <v>2</v>
      </c>
      <c r="I5922" s="7">
        <v>653.6</v>
      </c>
      <c r="K5922" s="7">
        <v>527.9</v>
      </c>
      <c r="L5922" s="7">
        <v>426.5</v>
      </c>
      <c r="M5922" s="7">
        <v>315.7</v>
      </c>
      <c r="N5922" s="7">
        <v>222.6</v>
      </c>
      <c r="O5922" s="7">
        <v>172.5</v>
      </c>
      <c r="P5922" s="7">
        <v>429</v>
      </c>
    </row>
    <row r="5923" spans="1:17" x14ac:dyDescent="0.2">
      <c r="A5923">
        <v>5922</v>
      </c>
      <c r="B5923" s="1">
        <v>40900</v>
      </c>
      <c r="C5923" t="s">
        <v>24</v>
      </c>
      <c r="D5923" s="7">
        <v>161</v>
      </c>
      <c r="E5923" s="7">
        <v>24</v>
      </c>
      <c r="F5923" s="7">
        <f t="shared" si="92"/>
        <v>6</v>
      </c>
      <c r="G5923" s="7" t="str">
        <f>LOOKUP(H5923,[1]startdates!$A$2:$A$10,[1]startdates!$B$2:$B$10)</f>
        <v>SMr</v>
      </c>
      <c r="H5923">
        <v>2</v>
      </c>
      <c r="I5923" s="7">
        <v>614.70000000000005</v>
      </c>
      <c r="K5923" s="7">
        <v>389.1</v>
      </c>
      <c r="L5923" s="7">
        <v>422.4</v>
      </c>
      <c r="M5923" s="7">
        <v>367.2</v>
      </c>
      <c r="N5923" s="7">
        <v>240.4</v>
      </c>
      <c r="O5923" s="7">
        <v>148.1</v>
      </c>
    </row>
    <row r="5924" spans="1:17" x14ac:dyDescent="0.2">
      <c r="A5924">
        <v>5923</v>
      </c>
      <c r="B5924" s="1">
        <v>40900</v>
      </c>
      <c r="C5924" t="s">
        <v>24</v>
      </c>
      <c r="D5924" s="7">
        <v>161</v>
      </c>
      <c r="E5924" s="7">
        <v>24</v>
      </c>
      <c r="F5924" s="7">
        <f t="shared" si="92"/>
        <v>6</v>
      </c>
      <c r="G5924" s="7" t="str">
        <f>LOOKUP(H5924,[1]startdates!$A$2:$A$10,[1]startdates!$B$2:$B$10)</f>
        <v>SMr</v>
      </c>
      <c r="H5924">
        <v>2</v>
      </c>
      <c r="I5924" s="7">
        <v>596.4</v>
      </c>
      <c r="M5924" s="7">
        <v>319.7</v>
      </c>
      <c r="N5924" s="7">
        <v>204.9</v>
      </c>
      <c r="O5924" s="7">
        <v>187.7</v>
      </c>
    </row>
    <row r="5925" spans="1:17" x14ac:dyDescent="0.2">
      <c r="A5925">
        <v>5924</v>
      </c>
      <c r="B5925" s="1">
        <v>40900</v>
      </c>
      <c r="C5925" t="s">
        <v>24</v>
      </c>
      <c r="D5925" s="7">
        <v>161</v>
      </c>
      <c r="E5925" s="7">
        <v>24</v>
      </c>
      <c r="F5925" s="7">
        <f t="shared" si="92"/>
        <v>6</v>
      </c>
      <c r="G5925" s="7" t="str">
        <f>LOOKUP(H5925,[1]startdates!$A$2:$A$10,[1]startdates!$B$2:$B$10)</f>
        <v>SMr</v>
      </c>
      <c r="H5925">
        <v>2</v>
      </c>
      <c r="I5925" s="7">
        <v>575.1</v>
      </c>
      <c r="M5925" s="7">
        <v>336.1</v>
      </c>
      <c r="N5925" s="7">
        <v>216.1</v>
      </c>
      <c r="O5925" s="7">
        <v>177.7</v>
      </c>
    </row>
    <row r="5926" spans="1:17" x14ac:dyDescent="0.2">
      <c r="A5926">
        <v>5925</v>
      </c>
      <c r="B5926" s="1">
        <v>40900</v>
      </c>
      <c r="C5926" t="s">
        <v>24</v>
      </c>
      <c r="D5926" s="7">
        <v>161</v>
      </c>
      <c r="E5926" s="7">
        <v>24</v>
      </c>
      <c r="F5926" s="7">
        <f t="shared" si="92"/>
        <v>6</v>
      </c>
      <c r="G5926" s="7" t="str">
        <f>LOOKUP(H5926,[1]startdates!$A$2:$A$10,[1]startdates!$B$2:$B$10)</f>
        <v>SMr</v>
      </c>
      <c r="H5926">
        <v>2</v>
      </c>
      <c r="I5926" s="7">
        <v>579.4</v>
      </c>
      <c r="M5926" s="7">
        <v>312.60000000000002</v>
      </c>
      <c r="N5926" s="7">
        <v>204.2</v>
      </c>
      <c r="O5926" s="7">
        <v>171.9</v>
      </c>
    </row>
    <row r="5927" spans="1:17" x14ac:dyDescent="0.2">
      <c r="A5927">
        <v>5926</v>
      </c>
      <c r="B5927" s="1">
        <v>40900</v>
      </c>
      <c r="C5927" t="s">
        <v>24</v>
      </c>
      <c r="D5927" s="7">
        <v>161</v>
      </c>
      <c r="E5927" s="7">
        <v>24</v>
      </c>
      <c r="F5927" s="7">
        <f t="shared" si="92"/>
        <v>6</v>
      </c>
      <c r="G5927" s="7" t="str">
        <f>LOOKUP(H5927,[1]startdates!$A$2:$A$10,[1]startdates!$B$2:$B$10)</f>
        <v>SMr</v>
      </c>
      <c r="H5927">
        <v>2</v>
      </c>
      <c r="I5927" s="7">
        <v>646.4</v>
      </c>
      <c r="M5927" s="7">
        <v>327.5</v>
      </c>
      <c r="N5927" s="7">
        <v>201.8</v>
      </c>
      <c r="O5927" s="7">
        <v>213.1</v>
      </c>
    </row>
    <row r="5928" spans="1:17" x14ac:dyDescent="0.2">
      <c r="A5928">
        <v>5927</v>
      </c>
      <c r="B5928" s="1">
        <v>40900</v>
      </c>
      <c r="C5928" t="s">
        <v>24</v>
      </c>
      <c r="D5928" s="7">
        <v>161</v>
      </c>
      <c r="E5928" s="7">
        <v>24</v>
      </c>
      <c r="F5928" s="7">
        <f t="shared" si="92"/>
        <v>6</v>
      </c>
      <c r="G5928" s="7" t="str">
        <f>LOOKUP(H5928,[1]startdates!$A$2:$A$10,[1]startdates!$B$2:$B$10)</f>
        <v>SMr</v>
      </c>
      <c r="H5928">
        <v>2</v>
      </c>
      <c r="I5928" s="7">
        <v>605.4</v>
      </c>
      <c r="N5928" s="7">
        <v>222.9</v>
      </c>
    </row>
    <row r="5929" spans="1:17" x14ac:dyDescent="0.2">
      <c r="A5929">
        <v>5928</v>
      </c>
      <c r="B5929" s="1">
        <v>40900</v>
      </c>
      <c r="C5929" t="s">
        <v>24</v>
      </c>
      <c r="D5929" s="7">
        <v>161</v>
      </c>
      <c r="E5929" s="7">
        <v>24</v>
      </c>
      <c r="F5929" s="7">
        <f t="shared" ref="F5929:F5992" si="93">WEEKDAY(B5929)</f>
        <v>6</v>
      </c>
      <c r="G5929" s="7" t="str">
        <f>LOOKUP(H5929,[1]startdates!$A$2:$A$10,[1]startdates!$B$2:$B$10)</f>
        <v>SMr</v>
      </c>
      <c r="H5929">
        <v>2</v>
      </c>
      <c r="I5929" s="7">
        <v>578.70000000000005</v>
      </c>
      <c r="N5929" s="7">
        <v>204.2</v>
      </c>
    </row>
    <row r="5930" spans="1:17" x14ac:dyDescent="0.2">
      <c r="A5930">
        <v>5929</v>
      </c>
      <c r="B5930" s="1">
        <v>40900</v>
      </c>
      <c r="C5930" t="s">
        <v>24</v>
      </c>
      <c r="D5930" s="7">
        <v>161</v>
      </c>
      <c r="E5930" s="7">
        <v>24</v>
      </c>
      <c r="F5930" s="7">
        <f t="shared" si="93"/>
        <v>6</v>
      </c>
      <c r="G5930" s="7" t="str">
        <f>LOOKUP(H5930,[1]startdates!$A$2:$A$10,[1]startdates!$B$2:$B$10)</f>
        <v>SMr</v>
      </c>
      <c r="H5930">
        <v>2</v>
      </c>
      <c r="I5930" s="7">
        <v>499.8</v>
      </c>
    </row>
    <row r="5931" spans="1:17" x14ac:dyDescent="0.2">
      <c r="A5931">
        <v>5930</v>
      </c>
      <c r="B5931" s="1">
        <v>40900</v>
      </c>
      <c r="C5931" t="s">
        <v>24</v>
      </c>
      <c r="D5931" s="7">
        <v>161</v>
      </c>
      <c r="E5931" s="7">
        <v>24</v>
      </c>
      <c r="F5931" s="7">
        <f t="shared" si="93"/>
        <v>6</v>
      </c>
      <c r="G5931" s="7" t="str">
        <f>LOOKUP(H5931,[1]startdates!$A$2:$A$10,[1]startdates!$B$2:$B$10)</f>
        <v>C</v>
      </c>
      <c r="H5931">
        <v>3</v>
      </c>
      <c r="I5931" s="7">
        <v>492.6</v>
      </c>
      <c r="J5931" s="7">
        <v>529.79999999999995</v>
      </c>
      <c r="K5931" s="7">
        <v>444.9</v>
      </c>
      <c r="L5931" s="7">
        <v>415</v>
      </c>
      <c r="M5931" s="7">
        <v>314</v>
      </c>
      <c r="N5931" s="7">
        <v>244</v>
      </c>
      <c r="O5931" s="7">
        <v>154.1</v>
      </c>
      <c r="P5931" s="7">
        <v>436.4</v>
      </c>
      <c r="Q5931" s="7">
        <v>341.5</v>
      </c>
    </row>
    <row r="5932" spans="1:17" x14ac:dyDescent="0.2">
      <c r="A5932">
        <v>5931</v>
      </c>
      <c r="B5932" s="1">
        <v>40900</v>
      </c>
      <c r="C5932" t="s">
        <v>24</v>
      </c>
      <c r="D5932" s="7">
        <v>161</v>
      </c>
      <c r="E5932" s="7">
        <v>24</v>
      </c>
      <c r="F5932" s="7">
        <f t="shared" si="93"/>
        <v>6</v>
      </c>
      <c r="G5932" s="7" t="str">
        <f>LOOKUP(H5932,[1]startdates!$A$2:$A$10,[1]startdates!$B$2:$B$10)</f>
        <v>C</v>
      </c>
      <c r="H5932">
        <v>3</v>
      </c>
      <c r="I5932" s="7">
        <v>477.6</v>
      </c>
      <c r="J5932" s="7">
        <v>474.9</v>
      </c>
      <c r="K5932" s="7">
        <v>449.9</v>
      </c>
      <c r="L5932" s="7">
        <v>484</v>
      </c>
      <c r="M5932" s="7">
        <v>306.5</v>
      </c>
      <c r="N5932" s="7">
        <v>225.3</v>
      </c>
      <c r="O5932" s="7">
        <v>183.2</v>
      </c>
      <c r="P5932" s="7">
        <v>462</v>
      </c>
      <c r="Q5932" s="7">
        <v>327.10000000000002</v>
      </c>
    </row>
    <row r="5933" spans="1:17" x14ac:dyDescent="0.2">
      <c r="A5933">
        <v>5932</v>
      </c>
      <c r="B5933" s="1">
        <v>40900</v>
      </c>
      <c r="C5933" t="s">
        <v>24</v>
      </c>
      <c r="D5933" s="7">
        <v>161</v>
      </c>
      <c r="E5933" s="7">
        <v>24</v>
      </c>
      <c r="F5933" s="7">
        <f t="shared" si="93"/>
        <v>6</v>
      </c>
      <c r="G5933" s="7" t="str">
        <f>LOOKUP(H5933,[1]startdates!$A$2:$A$10,[1]startdates!$B$2:$B$10)</f>
        <v>C</v>
      </c>
      <c r="H5933">
        <v>3</v>
      </c>
      <c r="I5933" s="7">
        <v>591.70000000000005</v>
      </c>
      <c r="K5933" s="7">
        <v>581.70000000000005</v>
      </c>
      <c r="L5933" s="7">
        <v>418.8</v>
      </c>
      <c r="M5933" s="7">
        <v>396.6</v>
      </c>
      <c r="N5933" s="7">
        <v>214.5</v>
      </c>
      <c r="O5933" s="7">
        <v>180.5</v>
      </c>
    </row>
    <row r="5934" spans="1:17" x14ac:dyDescent="0.2">
      <c r="A5934">
        <v>5933</v>
      </c>
      <c r="B5934" s="1">
        <v>40900</v>
      </c>
      <c r="C5934" t="s">
        <v>24</v>
      </c>
      <c r="D5934" s="7">
        <v>161</v>
      </c>
      <c r="E5934" s="7">
        <v>24</v>
      </c>
      <c r="F5934" s="7">
        <f t="shared" si="93"/>
        <v>6</v>
      </c>
      <c r="G5934" s="7" t="str">
        <f>LOOKUP(H5934,[1]startdates!$A$2:$A$10,[1]startdates!$B$2:$B$10)</f>
        <v>C</v>
      </c>
      <c r="H5934">
        <v>3</v>
      </c>
      <c r="I5934" s="7">
        <v>565.79999999999995</v>
      </c>
      <c r="K5934" s="7">
        <v>432.2</v>
      </c>
      <c r="L5934" s="7">
        <v>430.8</v>
      </c>
      <c r="M5934" s="7">
        <v>350.1</v>
      </c>
      <c r="N5934" s="7">
        <v>173.1</v>
      </c>
      <c r="O5934" s="7">
        <v>156.19999999999999</v>
      </c>
    </row>
    <row r="5935" spans="1:17" x14ac:dyDescent="0.2">
      <c r="A5935">
        <v>5934</v>
      </c>
      <c r="B5935" s="1">
        <v>40900</v>
      </c>
      <c r="C5935" t="s">
        <v>24</v>
      </c>
      <c r="D5935" s="7">
        <v>161</v>
      </c>
      <c r="E5935" s="7">
        <v>24</v>
      </c>
      <c r="F5935" s="7">
        <f t="shared" si="93"/>
        <v>6</v>
      </c>
      <c r="G5935" s="7" t="str">
        <f>LOOKUP(H5935,[1]startdates!$A$2:$A$10,[1]startdates!$B$2:$B$10)</f>
        <v>C</v>
      </c>
      <c r="H5935">
        <v>3</v>
      </c>
      <c r="I5935" s="7">
        <v>614.70000000000005</v>
      </c>
      <c r="K5935" s="7">
        <v>606.79999999999995</v>
      </c>
      <c r="M5935" s="7">
        <v>378.8</v>
      </c>
      <c r="N5935" s="7">
        <v>200.3</v>
      </c>
      <c r="O5935" s="7">
        <v>179.5</v>
      </c>
    </row>
    <row r="5936" spans="1:17" x14ac:dyDescent="0.2">
      <c r="A5936">
        <v>5935</v>
      </c>
      <c r="B5936" s="1">
        <v>40900</v>
      </c>
      <c r="C5936" t="s">
        <v>24</v>
      </c>
      <c r="D5936" s="7">
        <v>161</v>
      </c>
      <c r="E5936" s="7">
        <v>24</v>
      </c>
      <c r="F5936" s="7">
        <f t="shared" si="93"/>
        <v>6</v>
      </c>
      <c r="G5936" s="7" t="str">
        <f>LOOKUP(H5936,[1]startdates!$A$2:$A$10,[1]startdates!$B$2:$B$10)</f>
        <v>C</v>
      </c>
      <c r="H5936">
        <v>3</v>
      </c>
      <c r="I5936" s="7">
        <v>559</v>
      </c>
      <c r="K5936" s="7">
        <v>480.6</v>
      </c>
      <c r="M5936" s="7">
        <v>316.60000000000002</v>
      </c>
      <c r="N5936" s="7">
        <v>221</v>
      </c>
      <c r="O5936" s="7">
        <v>192.2</v>
      </c>
    </row>
    <row r="5937" spans="1:19" x14ac:dyDescent="0.2">
      <c r="A5937">
        <v>5936</v>
      </c>
      <c r="B5937" s="1">
        <v>40900</v>
      </c>
      <c r="C5937" t="s">
        <v>24</v>
      </c>
      <c r="D5937" s="7">
        <v>161</v>
      </c>
      <c r="E5937" s="7">
        <v>24</v>
      </c>
      <c r="F5937" s="7">
        <f t="shared" si="93"/>
        <v>6</v>
      </c>
      <c r="G5937" s="7" t="str">
        <f>LOOKUP(H5937,[1]startdates!$A$2:$A$10,[1]startdates!$B$2:$B$10)</f>
        <v>C</v>
      </c>
      <c r="H5937">
        <v>3</v>
      </c>
      <c r="I5937" s="7">
        <v>594.1</v>
      </c>
      <c r="N5937" s="7">
        <v>196.1</v>
      </c>
      <c r="O5937" s="7">
        <v>191.1</v>
      </c>
    </row>
    <row r="5938" spans="1:19" x14ac:dyDescent="0.2">
      <c r="A5938">
        <v>5937</v>
      </c>
      <c r="B5938" s="1">
        <v>40900</v>
      </c>
      <c r="C5938" t="s">
        <v>24</v>
      </c>
      <c r="D5938" s="7">
        <v>161</v>
      </c>
      <c r="E5938" s="7">
        <v>24</v>
      </c>
      <c r="F5938" s="7">
        <f t="shared" si="93"/>
        <v>6</v>
      </c>
      <c r="G5938" s="7" t="str">
        <f>LOOKUP(H5938,[1]startdates!$A$2:$A$10,[1]startdates!$B$2:$B$10)</f>
        <v>C</v>
      </c>
      <c r="H5938">
        <v>3</v>
      </c>
      <c r="I5938" s="7">
        <v>528</v>
      </c>
      <c r="N5938" s="7">
        <v>241.5</v>
      </c>
      <c r="O5938" s="7">
        <v>181.3</v>
      </c>
    </row>
    <row r="5939" spans="1:19" x14ac:dyDescent="0.2">
      <c r="A5939">
        <v>5938</v>
      </c>
      <c r="B5939" s="1">
        <v>40900</v>
      </c>
      <c r="C5939" t="s">
        <v>24</v>
      </c>
      <c r="D5939" s="7">
        <v>161</v>
      </c>
      <c r="E5939" s="7">
        <v>24</v>
      </c>
      <c r="F5939" s="7">
        <f t="shared" si="93"/>
        <v>6</v>
      </c>
      <c r="G5939" s="7" t="str">
        <f>LOOKUP(H5939,[1]startdates!$A$2:$A$10,[1]startdates!$B$2:$B$10)</f>
        <v>C</v>
      </c>
      <c r="H5939">
        <v>3</v>
      </c>
      <c r="I5939" s="7">
        <v>596.1</v>
      </c>
      <c r="N5939" s="7">
        <v>219.7</v>
      </c>
      <c r="O5939" s="7">
        <v>169.4</v>
      </c>
    </row>
    <row r="5940" spans="1:19" x14ac:dyDescent="0.2">
      <c r="A5940">
        <v>5939</v>
      </c>
      <c r="B5940" s="1">
        <v>40900</v>
      </c>
      <c r="C5940" t="s">
        <v>24</v>
      </c>
      <c r="D5940" s="7">
        <v>161</v>
      </c>
      <c r="E5940" s="7">
        <v>24</v>
      </c>
      <c r="F5940" s="7">
        <f t="shared" si="93"/>
        <v>6</v>
      </c>
      <c r="G5940" s="7" t="str">
        <f>LOOKUP(H5940,[1]startdates!$A$2:$A$10,[1]startdates!$B$2:$B$10)</f>
        <v>C</v>
      </c>
      <c r="H5940">
        <v>3</v>
      </c>
      <c r="N5940" s="7">
        <v>240.2</v>
      </c>
      <c r="O5940" s="7">
        <v>154.69999999999999</v>
      </c>
    </row>
    <row r="5941" spans="1:19" x14ac:dyDescent="0.2">
      <c r="A5941">
        <v>5940</v>
      </c>
      <c r="B5941" s="1">
        <v>40900</v>
      </c>
      <c r="C5941" t="s">
        <v>24</v>
      </c>
      <c r="D5941" s="7">
        <v>161</v>
      </c>
      <c r="E5941" s="7">
        <v>24</v>
      </c>
      <c r="F5941" s="7">
        <f t="shared" si="93"/>
        <v>6</v>
      </c>
      <c r="G5941" s="7" t="str">
        <f>LOOKUP(H5941,[1]startdates!$A$2:$A$10,[1]startdates!$B$2:$B$10)</f>
        <v>C</v>
      </c>
      <c r="H5941">
        <v>3</v>
      </c>
      <c r="O5941" s="7">
        <v>164.2</v>
      </c>
    </row>
    <row r="5942" spans="1:19" x14ac:dyDescent="0.2">
      <c r="A5942">
        <v>5941</v>
      </c>
      <c r="B5942" s="1">
        <v>40900</v>
      </c>
      <c r="C5942" t="s">
        <v>28</v>
      </c>
      <c r="D5942" s="7">
        <v>161</v>
      </c>
      <c r="E5942" s="7">
        <v>24</v>
      </c>
      <c r="F5942" s="7">
        <f t="shared" si="93"/>
        <v>6</v>
      </c>
      <c r="G5942" s="7" t="str">
        <f>LOOKUP(H5942,[1]startdates!$A$2:$A$10,[1]startdates!$B$2:$B$10)</f>
        <v>SMr</v>
      </c>
      <c r="H5942">
        <v>4</v>
      </c>
      <c r="I5942" s="7">
        <v>546.4</v>
      </c>
      <c r="K5942" s="7">
        <v>517.70000000000005</v>
      </c>
      <c r="L5942" s="7">
        <v>403.6</v>
      </c>
      <c r="M5942" s="7">
        <v>314.5</v>
      </c>
      <c r="N5942" s="7">
        <v>202.5</v>
      </c>
      <c r="O5942" s="7">
        <v>151.80000000000001</v>
      </c>
      <c r="P5942" s="7">
        <v>416</v>
      </c>
      <c r="Q5942" s="7">
        <v>324.39999999999998</v>
      </c>
      <c r="S5942" s="7">
        <v>240</v>
      </c>
    </row>
    <row r="5943" spans="1:19" x14ac:dyDescent="0.2">
      <c r="A5943">
        <v>5942</v>
      </c>
      <c r="B5943" s="1">
        <v>40900</v>
      </c>
      <c r="C5943" t="s">
        <v>28</v>
      </c>
      <c r="D5943" s="7">
        <v>161</v>
      </c>
      <c r="E5943" s="7">
        <v>24</v>
      </c>
      <c r="F5943" s="7">
        <f t="shared" si="93"/>
        <v>6</v>
      </c>
      <c r="G5943" s="7" t="str">
        <f>LOOKUP(H5943,[1]startdates!$A$2:$A$10,[1]startdates!$B$2:$B$10)</f>
        <v>SMr</v>
      </c>
      <c r="H5943">
        <v>4</v>
      </c>
      <c r="I5943" s="7">
        <v>488.5</v>
      </c>
      <c r="K5943" s="7">
        <v>486.7</v>
      </c>
      <c r="L5943" s="7">
        <v>433</v>
      </c>
      <c r="M5943" s="7">
        <v>291.3</v>
      </c>
      <c r="N5943" s="7">
        <v>186.3</v>
      </c>
      <c r="O5943" s="7">
        <v>163</v>
      </c>
      <c r="P5943" s="7">
        <v>390.1</v>
      </c>
      <c r="Q5943" s="7">
        <v>362.6</v>
      </c>
    </row>
    <row r="5944" spans="1:19" x14ac:dyDescent="0.2">
      <c r="A5944">
        <v>5943</v>
      </c>
      <c r="B5944" s="1">
        <v>40900</v>
      </c>
      <c r="C5944" t="s">
        <v>28</v>
      </c>
      <c r="D5944" s="7">
        <v>161</v>
      </c>
      <c r="E5944" s="7">
        <v>24</v>
      </c>
      <c r="F5944" s="7">
        <f t="shared" si="93"/>
        <v>6</v>
      </c>
      <c r="G5944" s="7" t="str">
        <f>LOOKUP(H5944,[1]startdates!$A$2:$A$10,[1]startdates!$B$2:$B$10)</f>
        <v>SMr</v>
      </c>
      <c r="H5944">
        <v>4</v>
      </c>
      <c r="I5944" s="7">
        <v>517.4</v>
      </c>
      <c r="K5944" s="7">
        <v>469.7</v>
      </c>
      <c r="L5944" s="7">
        <v>393.8</v>
      </c>
      <c r="M5944" s="7">
        <v>317.10000000000002</v>
      </c>
      <c r="N5944" s="7">
        <v>259.39999999999998</v>
      </c>
      <c r="O5944" s="7">
        <v>166.9</v>
      </c>
      <c r="P5944" s="7">
        <v>404.2</v>
      </c>
      <c r="Q5944" s="7">
        <v>369.7</v>
      </c>
    </row>
    <row r="5945" spans="1:19" x14ac:dyDescent="0.2">
      <c r="A5945">
        <v>5944</v>
      </c>
      <c r="B5945" s="1">
        <v>40900</v>
      </c>
      <c r="C5945" t="s">
        <v>28</v>
      </c>
      <c r="D5945" s="7">
        <v>161</v>
      </c>
      <c r="E5945" s="7">
        <v>24</v>
      </c>
      <c r="F5945" s="7">
        <f t="shared" si="93"/>
        <v>6</v>
      </c>
      <c r="G5945" s="7" t="str">
        <f>LOOKUP(H5945,[1]startdates!$A$2:$A$10,[1]startdates!$B$2:$B$10)</f>
        <v>SMr</v>
      </c>
      <c r="H5945">
        <v>4</v>
      </c>
      <c r="I5945" s="7">
        <v>649</v>
      </c>
      <c r="K5945" s="7">
        <v>501</v>
      </c>
      <c r="L5945" s="7">
        <v>420.7</v>
      </c>
      <c r="M5945" s="7">
        <v>350.2</v>
      </c>
      <c r="N5945" s="7">
        <v>182.2</v>
      </c>
      <c r="O5945" s="7">
        <v>187</v>
      </c>
      <c r="Q5945" s="7">
        <v>358.9</v>
      </c>
    </row>
    <row r="5946" spans="1:19" x14ac:dyDescent="0.2">
      <c r="A5946">
        <v>5945</v>
      </c>
      <c r="B5946" s="1">
        <v>40900</v>
      </c>
      <c r="C5946" t="s">
        <v>28</v>
      </c>
      <c r="D5946" s="7">
        <v>161</v>
      </c>
      <c r="E5946" s="7">
        <v>24</v>
      </c>
      <c r="F5946" s="7">
        <f t="shared" si="93"/>
        <v>6</v>
      </c>
      <c r="G5946" s="7" t="str">
        <f>LOOKUP(H5946,[1]startdates!$A$2:$A$10,[1]startdates!$B$2:$B$10)</f>
        <v>SMr</v>
      </c>
      <c r="H5946">
        <v>4</v>
      </c>
      <c r="I5946" s="7">
        <v>492.1</v>
      </c>
      <c r="K5946" s="7">
        <v>450.4</v>
      </c>
      <c r="L5946" s="7">
        <v>447.7</v>
      </c>
      <c r="M5946" s="7">
        <v>294.10000000000002</v>
      </c>
      <c r="N5946" s="7">
        <v>189.3</v>
      </c>
      <c r="O5946" s="7">
        <v>151</v>
      </c>
      <c r="Q5946" s="7">
        <v>307.2</v>
      </c>
    </row>
    <row r="5947" spans="1:19" x14ac:dyDescent="0.2">
      <c r="A5947">
        <v>5946</v>
      </c>
      <c r="B5947" s="1">
        <v>40900</v>
      </c>
      <c r="C5947" t="s">
        <v>28</v>
      </c>
      <c r="D5947" s="7">
        <v>161</v>
      </c>
      <c r="E5947" s="7">
        <v>24</v>
      </c>
      <c r="F5947" s="7">
        <f t="shared" si="93"/>
        <v>6</v>
      </c>
      <c r="G5947" s="7" t="str">
        <f>LOOKUP(H5947,[1]startdates!$A$2:$A$10,[1]startdates!$B$2:$B$10)</f>
        <v>SMr</v>
      </c>
      <c r="H5947">
        <v>4</v>
      </c>
      <c r="I5947" s="7">
        <v>612.70000000000005</v>
      </c>
      <c r="M5947" s="7">
        <v>291.2</v>
      </c>
      <c r="N5947" s="7">
        <v>223.1</v>
      </c>
      <c r="O5947" s="7">
        <v>156.19999999999999</v>
      </c>
    </row>
    <row r="5948" spans="1:19" x14ac:dyDescent="0.2">
      <c r="A5948">
        <v>5947</v>
      </c>
      <c r="B5948" s="1">
        <v>40900</v>
      </c>
      <c r="C5948" t="s">
        <v>28</v>
      </c>
      <c r="D5948" s="7">
        <v>161</v>
      </c>
      <c r="E5948" s="7">
        <v>24</v>
      </c>
      <c r="F5948" s="7">
        <f t="shared" si="93"/>
        <v>6</v>
      </c>
      <c r="G5948" s="7" t="str">
        <f>LOOKUP(H5948,[1]startdates!$A$2:$A$10,[1]startdates!$B$2:$B$10)</f>
        <v>SMr</v>
      </c>
      <c r="H5948">
        <v>4</v>
      </c>
      <c r="I5948" s="7">
        <v>594</v>
      </c>
      <c r="M5948" s="7">
        <v>315.2</v>
      </c>
      <c r="N5948" s="7">
        <v>208.6</v>
      </c>
      <c r="O5948" s="7">
        <v>172.5</v>
      </c>
    </row>
    <row r="5949" spans="1:19" x14ac:dyDescent="0.2">
      <c r="A5949">
        <v>5948</v>
      </c>
      <c r="B5949" s="1">
        <v>40900</v>
      </c>
      <c r="C5949" t="s">
        <v>28</v>
      </c>
      <c r="D5949" s="7">
        <v>161</v>
      </c>
      <c r="E5949" s="7">
        <v>24</v>
      </c>
      <c r="F5949" s="7">
        <f t="shared" si="93"/>
        <v>6</v>
      </c>
      <c r="G5949" s="7" t="str">
        <f>LOOKUP(H5949,[1]startdates!$A$2:$A$10,[1]startdates!$B$2:$B$10)</f>
        <v>SMr</v>
      </c>
      <c r="H5949">
        <v>4</v>
      </c>
      <c r="I5949" s="7">
        <v>610.9</v>
      </c>
      <c r="M5949" s="7">
        <v>380.9</v>
      </c>
      <c r="N5949" s="7">
        <v>208.4</v>
      </c>
      <c r="O5949" s="7">
        <v>176.2</v>
      </c>
    </row>
    <row r="5950" spans="1:19" x14ac:dyDescent="0.2">
      <c r="A5950">
        <v>5949</v>
      </c>
      <c r="B5950" s="1">
        <v>40900</v>
      </c>
      <c r="C5950" t="s">
        <v>28</v>
      </c>
      <c r="D5950" s="7">
        <v>161</v>
      </c>
      <c r="E5950" s="7">
        <v>24</v>
      </c>
      <c r="F5950" s="7">
        <f t="shared" si="93"/>
        <v>6</v>
      </c>
      <c r="G5950" s="7" t="str">
        <f>LOOKUP(H5950,[1]startdates!$A$2:$A$10,[1]startdates!$B$2:$B$10)</f>
        <v>SMr</v>
      </c>
      <c r="H5950">
        <v>4</v>
      </c>
      <c r="I5950" s="7">
        <v>466.3</v>
      </c>
      <c r="M5950" s="7">
        <v>311.10000000000002</v>
      </c>
      <c r="N5950" s="7">
        <v>251.2</v>
      </c>
      <c r="O5950" s="7">
        <v>161.5</v>
      </c>
    </row>
    <row r="5951" spans="1:19" x14ac:dyDescent="0.2">
      <c r="A5951">
        <v>5950</v>
      </c>
      <c r="B5951" s="1">
        <v>40900</v>
      </c>
      <c r="C5951" t="s">
        <v>28</v>
      </c>
      <c r="D5951" s="7">
        <v>161</v>
      </c>
      <c r="E5951" s="7">
        <v>24</v>
      </c>
      <c r="F5951" s="7">
        <f t="shared" si="93"/>
        <v>6</v>
      </c>
      <c r="G5951" s="7" t="str">
        <f>LOOKUP(H5951,[1]startdates!$A$2:$A$10,[1]startdates!$B$2:$B$10)</f>
        <v>SMr</v>
      </c>
      <c r="H5951">
        <v>4</v>
      </c>
      <c r="I5951" s="7">
        <v>607.79999999999995</v>
      </c>
      <c r="M5951" s="7">
        <v>333.3</v>
      </c>
      <c r="N5951" s="7">
        <v>195.3</v>
      </c>
      <c r="O5951" s="7">
        <v>144.80000000000001</v>
      </c>
    </row>
    <row r="5952" spans="1:19" x14ac:dyDescent="0.2">
      <c r="A5952">
        <v>5951</v>
      </c>
      <c r="B5952" s="1">
        <v>40900</v>
      </c>
      <c r="C5952" t="s">
        <v>28</v>
      </c>
      <c r="D5952" s="7">
        <v>161</v>
      </c>
      <c r="E5952" s="7">
        <v>24</v>
      </c>
      <c r="F5952" s="7">
        <f t="shared" si="93"/>
        <v>6</v>
      </c>
      <c r="G5952" s="7" t="str">
        <f>LOOKUP(H5952,[1]startdates!$A$2:$A$10,[1]startdates!$B$2:$B$10)</f>
        <v>SMr</v>
      </c>
      <c r="H5952">
        <v>4</v>
      </c>
      <c r="I5952" s="7">
        <v>600.20000000000005</v>
      </c>
    </row>
    <row r="5953" spans="1:19" x14ac:dyDescent="0.2">
      <c r="A5953">
        <v>5952</v>
      </c>
      <c r="B5953" s="1">
        <v>40900</v>
      </c>
      <c r="C5953" t="s">
        <v>24</v>
      </c>
      <c r="D5953" s="7">
        <v>161</v>
      </c>
      <c r="E5953" s="7">
        <v>24</v>
      </c>
      <c r="F5953" s="7">
        <f t="shared" si="93"/>
        <v>6</v>
      </c>
      <c r="G5953" s="7" t="str">
        <f>LOOKUP(H5953,[1]startdates!$A$2:$A$10,[1]startdates!$B$2:$B$10)</f>
        <v>C</v>
      </c>
      <c r="H5953">
        <v>5</v>
      </c>
      <c r="I5953" s="7">
        <v>635.20000000000005</v>
      </c>
      <c r="J5953" s="7">
        <v>530.4</v>
      </c>
      <c r="K5953" s="7">
        <v>541.79999999999995</v>
      </c>
      <c r="L5953" s="7">
        <v>453.5</v>
      </c>
      <c r="M5953" s="7">
        <v>386.9</v>
      </c>
      <c r="N5953" s="7">
        <v>237.4</v>
      </c>
      <c r="O5953" s="7">
        <v>165.7</v>
      </c>
      <c r="R5953" s="7">
        <v>334.3</v>
      </c>
    </row>
    <row r="5954" spans="1:19" x14ac:dyDescent="0.2">
      <c r="A5954">
        <v>5953</v>
      </c>
      <c r="B5954" s="1">
        <v>40900</v>
      </c>
      <c r="C5954" t="s">
        <v>24</v>
      </c>
      <c r="D5954" s="7">
        <v>161</v>
      </c>
      <c r="E5954" s="7">
        <v>24</v>
      </c>
      <c r="F5954" s="7">
        <f t="shared" si="93"/>
        <v>6</v>
      </c>
      <c r="G5954" s="7" t="str">
        <f>LOOKUP(H5954,[1]startdates!$A$2:$A$10,[1]startdates!$B$2:$B$10)</f>
        <v>C</v>
      </c>
      <c r="H5954">
        <v>5</v>
      </c>
      <c r="I5954" s="7">
        <v>594.6</v>
      </c>
      <c r="J5954" s="7">
        <v>567.9</v>
      </c>
      <c r="K5954" s="7">
        <v>492.1</v>
      </c>
      <c r="L5954" s="7">
        <v>419.8</v>
      </c>
      <c r="M5954" s="7">
        <v>343.6</v>
      </c>
      <c r="N5954" s="7">
        <v>216.2</v>
      </c>
      <c r="O5954" s="7">
        <v>174.6</v>
      </c>
      <c r="R5954" s="7">
        <v>261.5</v>
      </c>
    </row>
    <row r="5955" spans="1:19" x14ac:dyDescent="0.2">
      <c r="A5955">
        <v>5954</v>
      </c>
      <c r="B5955" s="1">
        <v>40900</v>
      </c>
      <c r="C5955" t="s">
        <v>24</v>
      </c>
      <c r="D5955" s="7">
        <v>161</v>
      </c>
      <c r="E5955" s="7">
        <v>24</v>
      </c>
      <c r="F5955" s="7">
        <f t="shared" si="93"/>
        <v>6</v>
      </c>
      <c r="G5955" s="7" t="str">
        <f>LOOKUP(H5955,[1]startdates!$A$2:$A$10,[1]startdates!$B$2:$B$10)</f>
        <v>C</v>
      </c>
      <c r="H5955">
        <v>5</v>
      </c>
      <c r="I5955" s="7">
        <v>628</v>
      </c>
      <c r="K5955" s="7">
        <v>517</v>
      </c>
      <c r="L5955" s="7">
        <v>437.5</v>
      </c>
      <c r="M5955" s="7">
        <v>359.4</v>
      </c>
      <c r="N5955" s="7">
        <v>209</v>
      </c>
      <c r="O5955" s="7">
        <v>163.5</v>
      </c>
    </row>
    <row r="5956" spans="1:19" x14ac:dyDescent="0.2">
      <c r="A5956">
        <v>5955</v>
      </c>
      <c r="B5956" s="1">
        <v>40900</v>
      </c>
      <c r="C5956" t="s">
        <v>24</v>
      </c>
      <c r="D5956" s="7">
        <v>161</v>
      </c>
      <c r="E5956" s="7">
        <v>24</v>
      </c>
      <c r="F5956" s="7">
        <f t="shared" si="93"/>
        <v>6</v>
      </c>
      <c r="G5956" s="7" t="str">
        <f>LOOKUP(H5956,[1]startdates!$A$2:$A$10,[1]startdates!$B$2:$B$10)</f>
        <v>C</v>
      </c>
      <c r="H5956">
        <v>5</v>
      </c>
      <c r="I5956" s="7">
        <v>626.6</v>
      </c>
      <c r="K5956" s="7">
        <v>522.1</v>
      </c>
      <c r="L5956" s="7">
        <v>512.5</v>
      </c>
      <c r="M5956" s="7">
        <v>399.7</v>
      </c>
      <c r="N5956" s="7">
        <v>222.9</v>
      </c>
      <c r="O5956" s="7">
        <v>188.5</v>
      </c>
    </row>
    <row r="5957" spans="1:19" x14ac:dyDescent="0.2">
      <c r="A5957">
        <v>5956</v>
      </c>
      <c r="B5957" s="1">
        <v>40900</v>
      </c>
      <c r="C5957" t="s">
        <v>24</v>
      </c>
      <c r="D5957" s="7">
        <v>161</v>
      </c>
      <c r="E5957" s="7">
        <v>24</v>
      </c>
      <c r="F5957" s="7">
        <f t="shared" si="93"/>
        <v>6</v>
      </c>
      <c r="G5957" s="7" t="str">
        <f>LOOKUP(H5957,[1]startdates!$A$2:$A$10,[1]startdates!$B$2:$B$10)</f>
        <v>C</v>
      </c>
      <c r="H5957">
        <v>5</v>
      </c>
      <c r="I5957" s="7">
        <v>643</v>
      </c>
      <c r="L5957" s="7">
        <v>446.7</v>
      </c>
      <c r="M5957" s="7">
        <v>345.8</v>
      </c>
      <c r="N5957" s="7">
        <v>212.2</v>
      </c>
      <c r="O5957" s="7">
        <v>204.6</v>
      </c>
    </row>
    <row r="5958" spans="1:19" x14ac:dyDescent="0.2">
      <c r="A5958">
        <v>5957</v>
      </c>
      <c r="B5958" s="1">
        <v>40900</v>
      </c>
      <c r="C5958" t="s">
        <v>24</v>
      </c>
      <c r="D5958" s="7">
        <v>161</v>
      </c>
      <c r="E5958" s="7">
        <v>24</v>
      </c>
      <c r="F5958" s="7">
        <f t="shared" si="93"/>
        <v>6</v>
      </c>
      <c r="G5958" s="7" t="str">
        <f>LOOKUP(H5958,[1]startdates!$A$2:$A$10,[1]startdates!$B$2:$B$10)</f>
        <v>C</v>
      </c>
      <c r="H5958">
        <v>5</v>
      </c>
      <c r="I5958" s="7">
        <v>647.20000000000005</v>
      </c>
      <c r="L5958" s="7">
        <v>380.1</v>
      </c>
      <c r="M5958" s="7">
        <v>375.9</v>
      </c>
      <c r="N5958" s="7">
        <v>212.4</v>
      </c>
      <c r="O5958" s="7">
        <v>187.7</v>
      </c>
    </row>
    <row r="5959" spans="1:19" x14ac:dyDescent="0.2">
      <c r="A5959">
        <v>5958</v>
      </c>
      <c r="B5959" s="1">
        <v>40900</v>
      </c>
      <c r="C5959" t="s">
        <v>24</v>
      </c>
      <c r="D5959" s="7">
        <v>161</v>
      </c>
      <c r="E5959" s="7">
        <v>24</v>
      </c>
      <c r="F5959" s="7">
        <f t="shared" si="93"/>
        <v>6</v>
      </c>
      <c r="G5959" s="7" t="str">
        <f>LOOKUP(H5959,[1]startdates!$A$2:$A$10,[1]startdates!$B$2:$B$10)</f>
        <v>C</v>
      </c>
      <c r="H5959">
        <v>5</v>
      </c>
      <c r="I5959" s="7">
        <v>596.70000000000005</v>
      </c>
      <c r="L5959" s="7">
        <v>466.1</v>
      </c>
      <c r="N5959" s="7">
        <v>235.5</v>
      </c>
      <c r="O5959" s="7">
        <v>187.8</v>
      </c>
    </row>
    <row r="5960" spans="1:19" x14ac:dyDescent="0.2">
      <c r="A5960">
        <v>5959</v>
      </c>
      <c r="B5960" s="1">
        <v>40900</v>
      </c>
      <c r="C5960" t="s">
        <v>24</v>
      </c>
      <c r="D5960" s="7">
        <v>161</v>
      </c>
      <c r="E5960" s="7">
        <v>24</v>
      </c>
      <c r="F5960" s="7">
        <f t="shared" si="93"/>
        <v>6</v>
      </c>
      <c r="G5960" s="7" t="str">
        <f>LOOKUP(H5960,[1]startdates!$A$2:$A$10,[1]startdates!$B$2:$B$10)</f>
        <v>C</v>
      </c>
      <c r="H5960">
        <v>5</v>
      </c>
      <c r="I5960" s="7">
        <v>601.6</v>
      </c>
      <c r="N5960" s="7">
        <v>191.4</v>
      </c>
      <c r="O5960" s="7">
        <v>164.2</v>
      </c>
    </row>
    <row r="5961" spans="1:19" x14ac:dyDescent="0.2">
      <c r="A5961">
        <v>5960</v>
      </c>
      <c r="B5961" s="1">
        <v>40900</v>
      </c>
      <c r="C5961" t="s">
        <v>24</v>
      </c>
      <c r="D5961" s="7">
        <v>161</v>
      </c>
      <c r="E5961" s="7">
        <v>24</v>
      </c>
      <c r="F5961" s="7">
        <f t="shared" si="93"/>
        <v>6</v>
      </c>
      <c r="G5961" s="7" t="str">
        <f>LOOKUP(H5961,[1]startdates!$A$2:$A$10,[1]startdates!$B$2:$B$10)</f>
        <v>C</v>
      </c>
      <c r="H5961">
        <v>5</v>
      </c>
      <c r="N5961" s="7">
        <v>191.5</v>
      </c>
      <c r="O5961" s="7">
        <v>177.8</v>
      </c>
    </row>
    <row r="5962" spans="1:19" x14ac:dyDescent="0.2">
      <c r="A5962">
        <v>5961</v>
      </c>
      <c r="B5962" s="1">
        <v>40900</v>
      </c>
      <c r="C5962" t="s">
        <v>24</v>
      </c>
      <c r="D5962" s="7">
        <v>161</v>
      </c>
      <c r="E5962" s="7">
        <v>24</v>
      </c>
      <c r="F5962" s="7">
        <f t="shared" si="93"/>
        <v>6</v>
      </c>
      <c r="G5962" s="7" t="str">
        <f>LOOKUP(H5962,[1]startdates!$A$2:$A$10,[1]startdates!$B$2:$B$10)</f>
        <v>C</v>
      </c>
      <c r="H5962">
        <v>5</v>
      </c>
      <c r="N5962" s="7">
        <v>184.1</v>
      </c>
      <c r="O5962" s="7">
        <v>201.8</v>
      </c>
    </row>
    <row r="5963" spans="1:19" x14ac:dyDescent="0.2">
      <c r="A5963">
        <v>5962</v>
      </c>
      <c r="B5963" s="1">
        <v>40900</v>
      </c>
      <c r="C5963" t="s">
        <v>24</v>
      </c>
      <c r="D5963" s="7">
        <v>161</v>
      </c>
      <c r="E5963" s="7">
        <v>24</v>
      </c>
      <c r="F5963" s="7">
        <f t="shared" si="93"/>
        <v>6</v>
      </c>
      <c r="G5963" s="7" t="str">
        <f>LOOKUP(H5963,[1]startdates!$A$2:$A$10,[1]startdates!$B$2:$B$10)</f>
        <v>C</v>
      </c>
      <c r="H5963">
        <v>5</v>
      </c>
      <c r="N5963" s="7">
        <v>235.6</v>
      </c>
    </row>
    <row r="5964" spans="1:19" x14ac:dyDescent="0.2">
      <c r="A5964">
        <v>5963</v>
      </c>
      <c r="B5964" s="1">
        <v>40900</v>
      </c>
      <c r="C5964" t="s">
        <v>24</v>
      </c>
      <c r="D5964" s="7">
        <v>161</v>
      </c>
      <c r="E5964" s="7">
        <v>24</v>
      </c>
      <c r="F5964" s="7">
        <f t="shared" si="93"/>
        <v>6</v>
      </c>
      <c r="G5964" s="7" t="str">
        <f>LOOKUP(H5964,[1]startdates!$A$2:$A$10,[1]startdates!$B$2:$B$10)</f>
        <v>C</v>
      </c>
      <c r="H5964">
        <v>5</v>
      </c>
      <c r="N5964" s="7">
        <v>216.1</v>
      </c>
    </row>
    <row r="5965" spans="1:19" x14ac:dyDescent="0.2">
      <c r="A5965">
        <v>5964</v>
      </c>
      <c r="B5965" s="1">
        <v>40900</v>
      </c>
      <c r="C5965" t="s">
        <v>24</v>
      </c>
      <c r="D5965" s="7">
        <v>161</v>
      </c>
      <c r="E5965" s="7">
        <v>24</v>
      </c>
      <c r="F5965" s="7">
        <f t="shared" si="93"/>
        <v>6</v>
      </c>
      <c r="G5965" s="7" t="str">
        <f>LOOKUP(H5965,[1]startdates!$A$2:$A$10,[1]startdates!$B$2:$B$10)</f>
        <v>FMr</v>
      </c>
      <c r="H5965">
        <v>6</v>
      </c>
      <c r="I5965" s="7">
        <v>550.1</v>
      </c>
      <c r="K5965" s="7">
        <v>527.9</v>
      </c>
      <c r="L5965" s="7">
        <v>466.7</v>
      </c>
      <c r="M5965" s="7">
        <v>337.1</v>
      </c>
      <c r="N5965" s="7">
        <v>229.9</v>
      </c>
      <c r="O5965" s="7">
        <v>185.2</v>
      </c>
      <c r="P5965" s="7">
        <v>512.1</v>
      </c>
      <c r="R5965" s="7">
        <v>225.1</v>
      </c>
      <c r="S5965" s="7">
        <v>252.6</v>
      </c>
    </row>
    <row r="5966" spans="1:19" x14ac:dyDescent="0.2">
      <c r="A5966">
        <v>5965</v>
      </c>
      <c r="B5966" s="1">
        <v>40900</v>
      </c>
      <c r="C5966" t="s">
        <v>24</v>
      </c>
      <c r="D5966" s="7">
        <v>161</v>
      </c>
      <c r="E5966" s="7">
        <v>24</v>
      </c>
      <c r="F5966" s="7">
        <f t="shared" si="93"/>
        <v>6</v>
      </c>
      <c r="G5966" s="7" t="str">
        <f>LOOKUP(H5966,[1]startdates!$A$2:$A$10,[1]startdates!$B$2:$B$10)</f>
        <v>FMr</v>
      </c>
      <c r="H5966">
        <v>6</v>
      </c>
      <c r="I5966" s="7">
        <v>653.9</v>
      </c>
      <c r="K5966" s="7">
        <v>373.3</v>
      </c>
      <c r="L5966" s="7">
        <v>434.4</v>
      </c>
      <c r="M5966" s="7">
        <v>353.6</v>
      </c>
      <c r="N5966" s="7">
        <v>225.4</v>
      </c>
      <c r="O5966" s="7">
        <v>168.6</v>
      </c>
      <c r="P5966" s="7">
        <v>515.4</v>
      </c>
      <c r="R5966" s="7">
        <v>318</v>
      </c>
    </row>
    <row r="5967" spans="1:19" x14ac:dyDescent="0.2">
      <c r="A5967">
        <v>5966</v>
      </c>
      <c r="B5967" s="1">
        <v>40900</v>
      </c>
      <c r="C5967" t="s">
        <v>24</v>
      </c>
      <c r="D5967" s="7">
        <v>161</v>
      </c>
      <c r="E5967" s="7">
        <v>24</v>
      </c>
      <c r="F5967" s="7">
        <f t="shared" si="93"/>
        <v>6</v>
      </c>
      <c r="G5967" s="7" t="str">
        <f>LOOKUP(H5967,[1]startdates!$A$2:$A$10,[1]startdates!$B$2:$B$10)</f>
        <v>FMr</v>
      </c>
      <c r="H5967">
        <v>6</v>
      </c>
      <c r="I5967" s="7">
        <v>591</v>
      </c>
      <c r="K5967" s="7">
        <v>469.6</v>
      </c>
      <c r="L5967" s="7">
        <v>454.1</v>
      </c>
      <c r="M5967" s="7">
        <v>281.60000000000002</v>
      </c>
      <c r="N5967" s="7">
        <v>246.9</v>
      </c>
      <c r="O5967" s="7">
        <v>144.4</v>
      </c>
      <c r="P5967" s="7">
        <v>474.5</v>
      </c>
      <c r="R5967" s="7">
        <v>290.2</v>
      </c>
    </row>
    <row r="5968" spans="1:19" x14ac:dyDescent="0.2">
      <c r="A5968">
        <v>5967</v>
      </c>
      <c r="B5968" s="1">
        <v>40900</v>
      </c>
      <c r="C5968" t="s">
        <v>24</v>
      </c>
      <c r="D5968" s="7">
        <v>161</v>
      </c>
      <c r="E5968" s="7">
        <v>24</v>
      </c>
      <c r="F5968" s="7">
        <f t="shared" si="93"/>
        <v>6</v>
      </c>
      <c r="G5968" s="7" t="str">
        <f>LOOKUP(H5968,[1]startdates!$A$2:$A$10,[1]startdates!$B$2:$B$10)</f>
        <v>FMr</v>
      </c>
      <c r="H5968">
        <v>6</v>
      </c>
      <c r="I5968" s="7">
        <v>652</v>
      </c>
      <c r="K5968" s="7">
        <v>483.2</v>
      </c>
      <c r="L5968" s="7">
        <v>401.3</v>
      </c>
      <c r="M5968" s="7">
        <v>288.60000000000002</v>
      </c>
      <c r="N5968" s="7">
        <v>234</v>
      </c>
      <c r="O5968" s="7">
        <v>141.6</v>
      </c>
      <c r="P5968" s="7">
        <v>482.5</v>
      </c>
    </row>
    <row r="5969" spans="1:18" x14ac:dyDescent="0.2">
      <c r="A5969">
        <v>5968</v>
      </c>
      <c r="B5969" s="1">
        <v>40900</v>
      </c>
      <c r="C5969" t="s">
        <v>24</v>
      </c>
      <c r="D5969" s="7">
        <v>161</v>
      </c>
      <c r="E5969" s="7">
        <v>24</v>
      </c>
      <c r="F5969" s="7">
        <f t="shared" si="93"/>
        <v>6</v>
      </c>
      <c r="G5969" s="7" t="str">
        <f>LOOKUP(H5969,[1]startdates!$A$2:$A$10,[1]startdates!$B$2:$B$10)</f>
        <v>FMr</v>
      </c>
      <c r="H5969">
        <v>6</v>
      </c>
      <c r="I5969" s="7">
        <v>582.20000000000005</v>
      </c>
      <c r="K5969" s="7">
        <v>407.9</v>
      </c>
      <c r="L5969" s="7">
        <v>494.2</v>
      </c>
      <c r="M5969" s="7">
        <v>320.60000000000002</v>
      </c>
      <c r="N5969" s="7">
        <v>183.1</v>
      </c>
      <c r="O5969" s="7">
        <v>205.2</v>
      </c>
    </row>
    <row r="5970" spans="1:18" x14ac:dyDescent="0.2">
      <c r="A5970">
        <v>5969</v>
      </c>
      <c r="B5970" s="1">
        <v>40900</v>
      </c>
      <c r="C5970" t="s">
        <v>24</v>
      </c>
      <c r="D5970" s="7">
        <v>161</v>
      </c>
      <c r="E5970" s="7">
        <v>24</v>
      </c>
      <c r="F5970" s="7">
        <f t="shared" si="93"/>
        <v>6</v>
      </c>
      <c r="G5970" s="7" t="str">
        <f>LOOKUP(H5970,[1]startdates!$A$2:$A$10,[1]startdates!$B$2:$B$10)</f>
        <v>FMr</v>
      </c>
      <c r="H5970">
        <v>6</v>
      </c>
      <c r="I5970" s="7">
        <v>530.9</v>
      </c>
      <c r="K5970" s="7">
        <v>519.20000000000005</v>
      </c>
      <c r="L5970" s="7">
        <v>432</v>
      </c>
      <c r="M5970" s="7">
        <v>301</v>
      </c>
      <c r="N5970" s="7">
        <v>228.3</v>
      </c>
      <c r="O5970" s="7">
        <v>171.7</v>
      </c>
    </row>
    <row r="5971" spans="1:18" x14ac:dyDescent="0.2">
      <c r="A5971">
        <v>5970</v>
      </c>
      <c r="B5971" s="1">
        <v>40900</v>
      </c>
      <c r="C5971" t="s">
        <v>24</v>
      </c>
      <c r="D5971" s="7">
        <v>161</v>
      </c>
      <c r="E5971" s="7">
        <v>24</v>
      </c>
      <c r="F5971" s="7">
        <f t="shared" si="93"/>
        <v>6</v>
      </c>
      <c r="G5971" s="7" t="str">
        <f>LOOKUP(H5971,[1]startdates!$A$2:$A$10,[1]startdates!$B$2:$B$10)</f>
        <v>FMr</v>
      </c>
      <c r="H5971">
        <v>6</v>
      </c>
      <c r="I5971" s="7">
        <v>627.5</v>
      </c>
      <c r="K5971" s="7">
        <v>442.1</v>
      </c>
      <c r="M5971" s="7">
        <v>300.8</v>
      </c>
      <c r="N5971" s="7">
        <v>209.6</v>
      </c>
      <c r="O5971" s="7">
        <v>148.6</v>
      </c>
    </row>
    <row r="5972" spans="1:18" x14ac:dyDescent="0.2">
      <c r="A5972">
        <v>5971</v>
      </c>
      <c r="B5972" s="1">
        <v>40900</v>
      </c>
      <c r="C5972" t="s">
        <v>24</v>
      </c>
      <c r="D5972" s="7">
        <v>161</v>
      </c>
      <c r="E5972" s="7">
        <v>24</v>
      </c>
      <c r="F5972" s="7">
        <f t="shared" si="93"/>
        <v>6</v>
      </c>
      <c r="G5972" s="7" t="str">
        <f>LOOKUP(H5972,[1]startdates!$A$2:$A$10,[1]startdates!$B$2:$B$10)</f>
        <v>FMr</v>
      </c>
      <c r="H5972">
        <v>6</v>
      </c>
      <c r="K5972" s="7">
        <v>474.4</v>
      </c>
      <c r="N5972" s="7">
        <v>212.8</v>
      </c>
      <c r="O5972" s="7">
        <v>161</v>
      </c>
    </row>
    <row r="5973" spans="1:18" x14ac:dyDescent="0.2">
      <c r="A5973">
        <v>5972</v>
      </c>
      <c r="B5973" s="1">
        <v>40900</v>
      </c>
      <c r="C5973" t="s">
        <v>24</v>
      </c>
      <c r="D5973" s="7">
        <v>161</v>
      </c>
      <c r="E5973" s="7">
        <v>24</v>
      </c>
      <c r="F5973" s="7">
        <f t="shared" si="93"/>
        <v>6</v>
      </c>
      <c r="G5973" s="7" t="str">
        <f>LOOKUP(H5973,[1]startdates!$A$2:$A$10,[1]startdates!$B$2:$B$10)</f>
        <v>FMr</v>
      </c>
      <c r="H5973">
        <v>6</v>
      </c>
      <c r="K5973" s="7">
        <v>468.9</v>
      </c>
      <c r="N5973" s="7">
        <v>246.9</v>
      </c>
      <c r="O5973" s="7">
        <v>165.7</v>
      </c>
    </row>
    <row r="5974" spans="1:18" x14ac:dyDescent="0.2">
      <c r="A5974">
        <v>5973</v>
      </c>
      <c r="B5974" s="1">
        <v>40900</v>
      </c>
      <c r="C5974" t="s">
        <v>24</v>
      </c>
      <c r="D5974" s="7">
        <v>161</v>
      </c>
      <c r="E5974" s="7">
        <v>24</v>
      </c>
      <c r="F5974" s="7">
        <f t="shared" si="93"/>
        <v>6</v>
      </c>
      <c r="G5974" s="7" t="str">
        <f>LOOKUP(H5974,[1]startdates!$A$2:$A$10,[1]startdates!$B$2:$B$10)</f>
        <v>FMr</v>
      </c>
      <c r="H5974">
        <v>6</v>
      </c>
      <c r="K5974" s="7">
        <v>499.6</v>
      </c>
      <c r="O5974" s="7">
        <v>154.6</v>
      </c>
    </row>
    <row r="5975" spans="1:18" x14ac:dyDescent="0.2">
      <c r="A5975">
        <v>5974</v>
      </c>
      <c r="B5975" s="1">
        <v>40900</v>
      </c>
      <c r="C5975" t="s">
        <v>24</v>
      </c>
      <c r="D5975" s="7">
        <v>161</v>
      </c>
      <c r="E5975" s="7">
        <v>24</v>
      </c>
      <c r="F5975" s="7">
        <f t="shared" si="93"/>
        <v>6</v>
      </c>
      <c r="G5975" s="7" t="str">
        <f>LOOKUP(H5975,[1]startdates!$A$2:$A$10,[1]startdates!$B$2:$B$10)</f>
        <v>FMr</v>
      </c>
      <c r="H5975">
        <v>6</v>
      </c>
      <c r="O5975" s="7">
        <v>187.7</v>
      </c>
    </row>
    <row r="5976" spans="1:18" x14ac:dyDescent="0.2">
      <c r="A5976">
        <v>5975</v>
      </c>
      <c r="B5976" s="1">
        <v>40900</v>
      </c>
      <c r="C5976" t="s">
        <v>28</v>
      </c>
      <c r="D5976" s="7">
        <v>161</v>
      </c>
      <c r="E5976" s="7">
        <v>24</v>
      </c>
      <c r="F5976" s="7">
        <f t="shared" si="93"/>
        <v>6</v>
      </c>
      <c r="G5976" s="7" t="str">
        <f>LOOKUP(H5976,[1]startdates!$A$2:$A$10,[1]startdates!$B$2:$B$10)</f>
        <v>FMr</v>
      </c>
      <c r="H5976">
        <v>7</v>
      </c>
      <c r="I5976" s="7">
        <v>624.29999999999995</v>
      </c>
      <c r="J5976" s="7">
        <v>468.6</v>
      </c>
      <c r="K5976" s="7">
        <v>599</v>
      </c>
      <c r="L5976" s="7">
        <v>441.3</v>
      </c>
      <c r="M5976" s="7">
        <v>377.9</v>
      </c>
      <c r="N5976" s="7">
        <v>288.7</v>
      </c>
      <c r="O5976" s="7">
        <v>153.1</v>
      </c>
      <c r="P5976" s="7">
        <v>447.9</v>
      </c>
      <c r="Q5976" s="7">
        <v>358.3</v>
      </c>
      <c r="R5976" s="7">
        <v>268</v>
      </c>
    </row>
    <row r="5977" spans="1:18" x14ac:dyDescent="0.2">
      <c r="A5977">
        <v>5976</v>
      </c>
      <c r="B5977" s="1">
        <v>40900</v>
      </c>
      <c r="C5977" t="s">
        <v>28</v>
      </c>
      <c r="D5977" s="7">
        <v>161</v>
      </c>
      <c r="E5977" s="7">
        <v>24</v>
      </c>
      <c r="F5977" s="7">
        <f t="shared" si="93"/>
        <v>6</v>
      </c>
      <c r="G5977" s="7" t="str">
        <f>LOOKUP(H5977,[1]startdates!$A$2:$A$10,[1]startdates!$B$2:$B$10)</f>
        <v>FMr</v>
      </c>
      <c r="H5977">
        <v>7</v>
      </c>
      <c r="I5977" s="7">
        <v>512.79999999999995</v>
      </c>
      <c r="K5977" s="7">
        <v>499.7</v>
      </c>
      <c r="L5977" s="7">
        <v>421</v>
      </c>
      <c r="M5977" s="7">
        <v>308.60000000000002</v>
      </c>
      <c r="N5977" s="7">
        <v>243</v>
      </c>
      <c r="O5977" s="7">
        <v>153.1</v>
      </c>
      <c r="P5977" s="7">
        <v>469.7</v>
      </c>
      <c r="R5977" s="7">
        <v>288</v>
      </c>
    </row>
    <row r="5978" spans="1:18" x14ac:dyDescent="0.2">
      <c r="A5978">
        <v>5977</v>
      </c>
      <c r="B5978" s="1">
        <v>40900</v>
      </c>
      <c r="C5978" t="s">
        <v>28</v>
      </c>
      <c r="D5978" s="7">
        <v>161</v>
      </c>
      <c r="E5978" s="7">
        <v>24</v>
      </c>
      <c r="F5978" s="7">
        <f t="shared" si="93"/>
        <v>6</v>
      </c>
      <c r="G5978" s="7" t="str">
        <f>LOOKUP(H5978,[1]startdates!$A$2:$A$10,[1]startdates!$B$2:$B$10)</f>
        <v>FMr</v>
      </c>
      <c r="H5978">
        <v>7</v>
      </c>
      <c r="I5978" s="7">
        <v>603.4</v>
      </c>
      <c r="K5978" s="7">
        <v>453</v>
      </c>
      <c r="L5978" s="7">
        <v>437.1</v>
      </c>
      <c r="M5978" s="7">
        <v>319.10000000000002</v>
      </c>
      <c r="N5978" s="7">
        <v>220.2</v>
      </c>
      <c r="O5978" s="7">
        <v>184.2</v>
      </c>
      <c r="R5978" s="7">
        <v>253.2</v>
      </c>
    </row>
    <row r="5979" spans="1:18" x14ac:dyDescent="0.2">
      <c r="A5979">
        <v>5978</v>
      </c>
      <c r="B5979" s="1">
        <v>40900</v>
      </c>
      <c r="C5979" t="s">
        <v>28</v>
      </c>
      <c r="D5979" s="7">
        <v>161</v>
      </c>
      <c r="E5979" s="7">
        <v>24</v>
      </c>
      <c r="F5979" s="7">
        <f t="shared" si="93"/>
        <v>6</v>
      </c>
      <c r="G5979" s="7" t="str">
        <f>LOOKUP(H5979,[1]startdates!$A$2:$A$10,[1]startdates!$B$2:$B$10)</f>
        <v>FMr</v>
      </c>
      <c r="H5979">
        <v>7</v>
      </c>
      <c r="I5979" s="7">
        <v>583.1</v>
      </c>
      <c r="K5979" s="7">
        <v>479</v>
      </c>
      <c r="L5979" s="7">
        <v>431.4</v>
      </c>
      <c r="M5979" s="7">
        <v>360.6</v>
      </c>
      <c r="N5979" s="7">
        <v>222.5</v>
      </c>
      <c r="O5979" s="7">
        <v>158.80000000000001</v>
      </c>
      <c r="R5979" s="7">
        <v>237</v>
      </c>
    </row>
    <row r="5980" spans="1:18" x14ac:dyDescent="0.2">
      <c r="A5980">
        <v>5979</v>
      </c>
      <c r="B5980" s="1">
        <v>40900</v>
      </c>
      <c r="C5980" t="s">
        <v>28</v>
      </c>
      <c r="D5980" s="7">
        <v>161</v>
      </c>
      <c r="E5980" s="7">
        <v>24</v>
      </c>
      <c r="F5980" s="7">
        <f t="shared" si="93"/>
        <v>6</v>
      </c>
      <c r="G5980" s="7" t="str">
        <f>LOOKUP(H5980,[1]startdates!$A$2:$A$10,[1]startdates!$B$2:$B$10)</f>
        <v>FMr</v>
      </c>
      <c r="H5980">
        <v>7</v>
      </c>
      <c r="I5980" s="7">
        <v>670.4</v>
      </c>
      <c r="K5980" s="7">
        <v>514.1</v>
      </c>
      <c r="L5980" s="7">
        <v>475.7</v>
      </c>
      <c r="M5980" s="7">
        <v>300.8</v>
      </c>
      <c r="N5980" s="7">
        <v>266.7</v>
      </c>
      <c r="O5980" s="7">
        <v>182.9</v>
      </c>
    </row>
    <row r="5981" spans="1:18" x14ac:dyDescent="0.2">
      <c r="A5981">
        <v>5980</v>
      </c>
      <c r="B5981" s="1">
        <v>40900</v>
      </c>
      <c r="C5981" t="s">
        <v>28</v>
      </c>
      <c r="D5981" s="7">
        <v>161</v>
      </c>
      <c r="E5981" s="7">
        <v>24</v>
      </c>
      <c r="F5981" s="7">
        <f t="shared" si="93"/>
        <v>6</v>
      </c>
      <c r="G5981" s="7" t="str">
        <f>LOOKUP(H5981,[1]startdates!$A$2:$A$10,[1]startdates!$B$2:$B$10)</f>
        <v>FMr</v>
      </c>
      <c r="H5981">
        <v>7</v>
      </c>
      <c r="I5981" s="7">
        <v>640.5</v>
      </c>
      <c r="K5981" s="7">
        <v>489.2</v>
      </c>
      <c r="L5981" s="7">
        <v>409.5</v>
      </c>
      <c r="M5981" s="7">
        <v>302.10000000000002</v>
      </c>
      <c r="N5981" s="7">
        <v>216.8</v>
      </c>
      <c r="O5981" s="7">
        <v>169.4</v>
      </c>
    </row>
    <row r="5982" spans="1:18" x14ac:dyDescent="0.2">
      <c r="A5982">
        <v>5981</v>
      </c>
      <c r="B5982" s="1">
        <v>40900</v>
      </c>
      <c r="C5982" t="s">
        <v>28</v>
      </c>
      <c r="D5982" s="7">
        <v>161</v>
      </c>
      <c r="E5982" s="7">
        <v>24</v>
      </c>
      <c r="F5982" s="7">
        <f t="shared" si="93"/>
        <v>6</v>
      </c>
      <c r="G5982" s="7" t="str">
        <f>LOOKUP(H5982,[1]startdates!$A$2:$A$10,[1]startdates!$B$2:$B$10)</f>
        <v>FMr</v>
      </c>
      <c r="H5982">
        <v>7</v>
      </c>
      <c r="I5982" s="7">
        <v>542.20000000000005</v>
      </c>
      <c r="K5982" s="7">
        <v>472.9</v>
      </c>
      <c r="L5982" s="7">
        <v>444.5</v>
      </c>
      <c r="M5982" s="7">
        <v>365.8</v>
      </c>
      <c r="N5982" s="7">
        <v>227.7</v>
      </c>
      <c r="O5982" s="7">
        <v>159.30000000000001</v>
      </c>
    </row>
    <row r="5983" spans="1:18" x14ac:dyDescent="0.2">
      <c r="A5983">
        <v>5982</v>
      </c>
      <c r="B5983" s="1">
        <v>40900</v>
      </c>
      <c r="C5983" t="s">
        <v>28</v>
      </c>
      <c r="D5983" s="7">
        <v>161</v>
      </c>
      <c r="E5983" s="7">
        <v>24</v>
      </c>
      <c r="F5983" s="7">
        <f t="shared" si="93"/>
        <v>6</v>
      </c>
      <c r="G5983" s="7" t="str">
        <f>LOOKUP(H5983,[1]startdates!$A$2:$A$10,[1]startdates!$B$2:$B$10)</f>
        <v>FMr</v>
      </c>
      <c r="H5983">
        <v>7</v>
      </c>
      <c r="I5983" s="7">
        <v>658.7</v>
      </c>
      <c r="L5983" s="7">
        <v>456.8</v>
      </c>
      <c r="M5983" s="7">
        <v>344.6</v>
      </c>
      <c r="N5983" s="7">
        <v>268.8</v>
      </c>
      <c r="O5983" s="7">
        <v>164.7</v>
      </c>
    </row>
    <row r="5984" spans="1:18" x14ac:dyDescent="0.2">
      <c r="A5984">
        <v>5983</v>
      </c>
      <c r="B5984" s="1">
        <v>40900</v>
      </c>
      <c r="C5984" t="s">
        <v>28</v>
      </c>
      <c r="D5984" s="7">
        <v>161</v>
      </c>
      <c r="E5984" s="7">
        <v>24</v>
      </c>
      <c r="F5984" s="7">
        <f t="shared" si="93"/>
        <v>6</v>
      </c>
      <c r="G5984" s="7" t="str">
        <f>LOOKUP(H5984,[1]startdates!$A$2:$A$10,[1]startdates!$B$2:$B$10)</f>
        <v>FMr</v>
      </c>
      <c r="H5984">
        <v>7</v>
      </c>
      <c r="I5984" s="7">
        <v>644</v>
      </c>
      <c r="M5984" s="7">
        <v>324.7</v>
      </c>
      <c r="N5984" s="7">
        <v>254.5</v>
      </c>
      <c r="O5984" s="7">
        <v>175.8</v>
      </c>
    </row>
    <row r="5985" spans="1:19" x14ac:dyDescent="0.2">
      <c r="A5985">
        <v>5984</v>
      </c>
      <c r="B5985" s="1">
        <v>40900</v>
      </c>
      <c r="C5985" t="s">
        <v>28</v>
      </c>
      <c r="D5985" s="7">
        <v>161</v>
      </c>
      <c r="E5985" s="7">
        <v>24</v>
      </c>
      <c r="F5985" s="7">
        <f t="shared" si="93"/>
        <v>6</v>
      </c>
      <c r="G5985" s="7" t="str">
        <f>LOOKUP(H5985,[1]startdates!$A$2:$A$10,[1]startdates!$B$2:$B$10)</f>
        <v>FMr</v>
      </c>
      <c r="H5985">
        <v>7</v>
      </c>
      <c r="I5985" s="7">
        <v>501.2</v>
      </c>
      <c r="M5985" s="7">
        <v>324</v>
      </c>
      <c r="N5985" s="7">
        <v>213.5</v>
      </c>
      <c r="O5985" s="7">
        <v>153.1</v>
      </c>
    </row>
    <row r="5986" spans="1:19" x14ac:dyDescent="0.2">
      <c r="A5986">
        <v>5985</v>
      </c>
      <c r="B5986" s="1">
        <v>40900</v>
      </c>
      <c r="C5986" t="s">
        <v>28</v>
      </c>
      <c r="D5986" s="7">
        <v>161</v>
      </c>
      <c r="E5986" s="7">
        <v>24</v>
      </c>
      <c r="F5986" s="7">
        <f t="shared" si="93"/>
        <v>6</v>
      </c>
      <c r="G5986" s="7" t="str">
        <f>LOOKUP(H5986,[1]startdates!$A$2:$A$10,[1]startdates!$B$2:$B$10)</f>
        <v>FMr</v>
      </c>
      <c r="H5986">
        <v>7</v>
      </c>
      <c r="I5986" s="7">
        <v>517.70000000000005</v>
      </c>
      <c r="M5986" s="7">
        <v>385.6</v>
      </c>
    </row>
    <row r="5987" spans="1:19" x14ac:dyDescent="0.2">
      <c r="A5987">
        <v>5986</v>
      </c>
      <c r="B5987" s="1">
        <v>40900</v>
      </c>
      <c r="C5987" t="s">
        <v>28</v>
      </c>
      <c r="D5987" s="7">
        <v>161</v>
      </c>
      <c r="E5987" s="7">
        <v>24</v>
      </c>
      <c r="F5987" s="7">
        <f t="shared" si="93"/>
        <v>6</v>
      </c>
      <c r="G5987" s="7" t="str">
        <f>LOOKUP(H5987,[1]startdates!$A$2:$A$10,[1]startdates!$B$2:$B$10)</f>
        <v>FMr</v>
      </c>
      <c r="H5987">
        <v>7</v>
      </c>
      <c r="I5987" s="7">
        <v>479.7</v>
      </c>
    </row>
    <row r="5988" spans="1:19" x14ac:dyDescent="0.2">
      <c r="A5988">
        <v>5987</v>
      </c>
      <c r="B5988" s="1">
        <v>40900</v>
      </c>
      <c r="C5988" t="s">
        <v>24</v>
      </c>
      <c r="D5988" s="7">
        <v>161</v>
      </c>
      <c r="E5988" s="7">
        <v>24</v>
      </c>
      <c r="F5988" s="7">
        <f t="shared" si="93"/>
        <v>6</v>
      </c>
      <c r="G5988" s="7" t="str">
        <f>LOOKUP(H5988,[1]startdates!$A$2:$A$10,[1]startdates!$B$2:$B$10)</f>
        <v>C</v>
      </c>
      <c r="H5988">
        <v>8</v>
      </c>
      <c r="I5988" s="7">
        <v>623.9</v>
      </c>
      <c r="J5988" s="7">
        <v>551.6</v>
      </c>
      <c r="K5988" s="7">
        <v>533.70000000000005</v>
      </c>
      <c r="L5988" s="7">
        <v>441.3</v>
      </c>
      <c r="M5988" s="7">
        <v>333.6</v>
      </c>
      <c r="N5988" s="7">
        <v>210.9</v>
      </c>
      <c r="O5988" s="7">
        <v>172</v>
      </c>
      <c r="S5988" s="7">
        <v>284.39999999999998</v>
      </c>
    </row>
    <row r="5989" spans="1:19" x14ac:dyDescent="0.2">
      <c r="A5989">
        <v>5988</v>
      </c>
      <c r="B5989" s="1">
        <v>40900</v>
      </c>
      <c r="C5989" t="s">
        <v>24</v>
      </c>
      <c r="D5989" s="7">
        <v>161</v>
      </c>
      <c r="E5989" s="7">
        <v>24</v>
      </c>
      <c r="F5989" s="7">
        <f t="shared" si="93"/>
        <v>6</v>
      </c>
      <c r="G5989" s="7" t="str">
        <f>LOOKUP(H5989,[1]startdates!$A$2:$A$10,[1]startdates!$B$2:$B$10)</f>
        <v>C</v>
      </c>
      <c r="H5989">
        <v>8</v>
      </c>
      <c r="I5989" s="7">
        <v>667.9</v>
      </c>
      <c r="J5989" s="7">
        <v>460.2</v>
      </c>
      <c r="K5989" s="7">
        <v>647.6</v>
      </c>
      <c r="L5989" s="7">
        <v>410.3</v>
      </c>
      <c r="M5989" s="7">
        <v>357.9</v>
      </c>
      <c r="N5989" s="7">
        <v>220.9</v>
      </c>
      <c r="O5989" s="7">
        <v>148.19999999999999</v>
      </c>
    </row>
    <row r="5990" spans="1:19" x14ac:dyDescent="0.2">
      <c r="A5990">
        <v>5989</v>
      </c>
      <c r="B5990" s="1">
        <v>40900</v>
      </c>
      <c r="C5990" t="s">
        <v>24</v>
      </c>
      <c r="D5990" s="7">
        <v>161</v>
      </c>
      <c r="E5990" s="7">
        <v>24</v>
      </c>
      <c r="F5990" s="7">
        <f t="shared" si="93"/>
        <v>6</v>
      </c>
      <c r="G5990" s="7" t="str">
        <f>LOOKUP(H5990,[1]startdates!$A$2:$A$10,[1]startdates!$B$2:$B$10)</f>
        <v>C</v>
      </c>
      <c r="H5990">
        <v>8</v>
      </c>
      <c r="I5990" s="7">
        <v>642.5</v>
      </c>
      <c r="J5990" s="7">
        <v>574.9</v>
      </c>
      <c r="K5990" s="7">
        <v>574.9</v>
      </c>
      <c r="L5990" s="7">
        <v>403.5</v>
      </c>
      <c r="M5990" s="7">
        <v>322.8</v>
      </c>
      <c r="N5990" s="7">
        <v>241.2</v>
      </c>
      <c r="O5990" s="7">
        <v>166.4</v>
      </c>
    </row>
    <row r="5991" spans="1:19" x14ac:dyDescent="0.2">
      <c r="A5991">
        <v>5990</v>
      </c>
      <c r="B5991" s="1">
        <v>40900</v>
      </c>
      <c r="C5991" t="s">
        <v>24</v>
      </c>
      <c r="D5991" s="7">
        <v>161</v>
      </c>
      <c r="E5991" s="7">
        <v>24</v>
      </c>
      <c r="F5991" s="7">
        <f t="shared" si="93"/>
        <v>6</v>
      </c>
      <c r="G5991" s="7" t="str">
        <f>LOOKUP(H5991,[1]startdates!$A$2:$A$10,[1]startdates!$B$2:$B$10)</f>
        <v>C</v>
      </c>
      <c r="H5991">
        <v>8</v>
      </c>
      <c r="I5991" s="7">
        <v>639.70000000000005</v>
      </c>
      <c r="J5991" s="7">
        <v>550.29999999999995</v>
      </c>
      <c r="K5991" s="7">
        <v>400.7</v>
      </c>
      <c r="L5991" s="7">
        <v>449.2</v>
      </c>
      <c r="M5991" s="7">
        <v>364.5</v>
      </c>
      <c r="N5991" s="7">
        <v>259.8</v>
      </c>
      <c r="O5991" s="7">
        <v>195.7</v>
      </c>
    </row>
    <row r="5992" spans="1:19" x14ac:dyDescent="0.2">
      <c r="A5992">
        <v>5991</v>
      </c>
      <c r="B5992" s="1">
        <v>40900</v>
      </c>
      <c r="C5992" t="s">
        <v>24</v>
      </c>
      <c r="D5992" s="7">
        <v>161</v>
      </c>
      <c r="E5992" s="7">
        <v>24</v>
      </c>
      <c r="F5992" s="7">
        <f t="shared" si="93"/>
        <v>6</v>
      </c>
      <c r="G5992" s="7" t="str">
        <f>LOOKUP(H5992,[1]startdates!$A$2:$A$10,[1]startdates!$B$2:$B$10)</f>
        <v>C</v>
      </c>
      <c r="H5992">
        <v>8</v>
      </c>
      <c r="I5992" s="7">
        <v>579.20000000000005</v>
      </c>
      <c r="J5992" s="7">
        <v>507.4</v>
      </c>
      <c r="K5992" s="7">
        <v>578.29999999999995</v>
      </c>
      <c r="L5992" s="7">
        <v>431</v>
      </c>
      <c r="M5992" s="7">
        <v>321.39999999999998</v>
      </c>
      <c r="N5992" s="7">
        <v>242.1</v>
      </c>
      <c r="O5992" s="7">
        <v>176.9</v>
      </c>
    </row>
    <row r="5993" spans="1:19" x14ac:dyDescent="0.2">
      <c r="A5993">
        <v>5992</v>
      </c>
      <c r="B5993" s="1">
        <v>40900</v>
      </c>
      <c r="C5993" t="s">
        <v>24</v>
      </c>
      <c r="D5993" s="7">
        <v>161</v>
      </c>
      <c r="E5993" s="7">
        <v>24</v>
      </c>
      <c r="F5993" s="7">
        <f t="shared" ref="F5993:F6056" si="94">WEEKDAY(B5993)</f>
        <v>6</v>
      </c>
      <c r="G5993" s="7" t="str">
        <f>LOOKUP(H5993,[1]startdates!$A$2:$A$10,[1]startdates!$B$2:$B$10)</f>
        <v>C</v>
      </c>
      <c r="H5993">
        <v>8</v>
      </c>
      <c r="I5993" s="7">
        <v>654.70000000000005</v>
      </c>
      <c r="K5993" s="7">
        <v>622.29999999999995</v>
      </c>
      <c r="L5993" s="7">
        <v>438.5</v>
      </c>
      <c r="M5993" s="7">
        <v>290.60000000000002</v>
      </c>
      <c r="N5993" s="7">
        <v>263</v>
      </c>
      <c r="O5993" s="7">
        <v>185.3</v>
      </c>
    </row>
    <row r="5994" spans="1:19" x14ac:dyDescent="0.2">
      <c r="A5994">
        <v>5993</v>
      </c>
      <c r="B5994" s="1">
        <v>40900</v>
      </c>
      <c r="C5994" t="s">
        <v>24</v>
      </c>
      <c r="D5994" s="7">
        <v>161</v>
      </c>
      <c r="E5994" s="7">
        <v>24</v>
      </c>
      <c r="F5994" s="7">
        <f t="shared" si="94"/>
        <v>6</v>
      </c>
      <c r="G5994" s="7" t="str">
        <f>LOOKUP(H5994,[1]startdates!$A$2:$A$10,[1]startdates!$B$2:$B$10)</f>
        <v>C</v>
      </c>
      <c r="H5994">
        <v>8</v>
      </c>
      <c r="I5994" s="7">
        <v>626</v>
      </c>
      <c r="M5994" s="7">
        <v>327.5</v>
      </c>
      <c r="N5994" s="7">
        <v>192.9</v>
      </c>
      <c r="O5994" s="7">
        <v>175.5</v>
      </c>
    </row>
    <row r="5995" spans="1:19" x14ac:dyDescent="0.2">
      <c r="A5995">
        <v>5994</v>
      </c>
      <c r="B5995" s="1">
        <v>40900</v>
      </c>
      <c r="C5995" t="s">
        <v>24</v>
      </c>
      <c r="D5995" s="7">
        <v>161</v>
      </c>
      <c r="E5995" s="7">
        <v>24</v>
      </c>
      <c r="F5995" s="7">
        <f t="shared" si="94"/>
        <v>6</v>
      </c>
      <c r="G5995" s="7" t="str">
        <f>LOOKUP(H5995,[1]startdates!$A$2:$A$10,[1]startdates!$B$2:$B$10)</f>
        <v>C</v>
      </c>
      <c r="H5995">
        <v>8</v>
      </c>
      <c r="I5995" s="7">
        <v>611</v>
      </c>
      <c r="N5995" s="7">
        <v>243.1</v>
      </c>
      <c r="O5995" s="7">
        <v>154.1</v>
      </c>
    </row>
    <row r="5996" spans="1:19" x14ac:dyDescent="0.2">
      <c r="A5996">
        <v>5995</v>
      </c>
      <c r="B5996" s="1">
        <v>40900</v>
      </c>
      <c r="C5996" t="s">
        <v>24</v>
      </c>
      <c r="D5996" s="7">
        <v>161</v>
      </c>
      <c r="E5996" s="7">
        <v>24</v>
      </c>
      <c r="F5996" s="7">
        <f t="shared" si="94"/>
        <v>6</v>
      </c>
      <c r="G5996" s="7" t="str">
        <f>LOOKUP(H5996,[1]startdates!$A$2:$A$10,[1]startdates!$B$2:$B$10)</f>
        <v>C</v>
      </c>
      <c r="H5996">
        <v>8</v>
      </c>
      <c r="I5996" s="7">
        <v>658.8</v>
      </c>
      <c r="N5996" s="7">
        <v>211.7</v>
      </c>
      <c r="O5996" s="7">
        <v>191</v>
      </c>
    </row>
    <row r="5997" spans="1:19" x14ac:dyDescent="0.2">
      <c r="A5997">
        <v>5996</v>
      </c>
      <c r="B5997" s="1">
        <v>40900</v>
      </c>
      <c r="C5997" t="s">
        <v>24</v>
      </c>
      <c r="D5997" s="7">
        <v>161</v>
      </c>
      <c r="E5997" s="7">
        <v>24</v>
      </c>
      <c r="F5997" s="7">
        <f t="shared" si="94"/>
        <v>6</v>
      </c>
      <c r="G5997" s="7" t="str">
        <f>LOOKUP(H5997,[1]startdates!$A$2:$A$10,[1]startdates!$B$2:$B$10)</f>
        <v>C</v>
      </c>
      <c r="H5997">
        <v>8</v>
      </c>
      <c r="N5997" s="7">
        <v>192.3</v>
      </c>
      <c r="O5997" s="7">
        <v>194.5</v>
      </c>
    </row>
    <row r="5998" spans="1:19" x14ac:dyDescent="0.2">
      <c r="A5998">
        <v>5997</v>
      </c>
      <c r="B5998" s="1">
        <v>40900</v>
      </c>
      <c r="C5998" t="s">
        <v>28</v>
      </c>
      <c r="D5998" s="7">
        <v>161</v>
      </c>
      <c r="E5998" s="7">
        <v>24</v>
      </c>
      <c r="F5998" s="7">
        <f t="shared" si="94"/>
        <v>6</v>
      </c>
      <c r="G5998" s="7" t="str">
        <f>LOOKUP(H5998,[1]startdates!$A$2:$A$10,[1]startdates!$B$2:$B$10)</f>
        <v>FMr</v>
      </c>
      <c r="H5998">
        <v>9</v>
      </c>
      <c r="I5998" s="7">
        <v>673</v>
      </c>
      <c r="J5998" s="7">
        <v>500.9</v>
      </c>
      <c r="K5998" s="7">
        <v>552.6</v>
      </c>
      <c r="L5998" s="7">
        <v>437.9</v>
      </c>
      <c r="M5998" s="7">
        <v>354.7</v>
      </c>
      <c r="N5998" s="7">
        <v>264.5</v>
      </c>
      <c r="O5998" s="7">
        <v>142.30000000000001</v>
      </c>
      <c r="P5998" s="7">
        <v>408.2</v>
      </c>
      <c r="Q5998" s="7">
        <v>380.1</v>
      </c>
      <c r="R5998" s="7">
        <v>288.10000000000002</v>
      </c>
    </row>
    <row r="5999" spans="1:19" x14ac:dyDescent="0.2">
      <c r="A5999">
        <v>5998</v>
      </c>
      <c r="B5999" s="1">
        <v>40900</v>
      </c>
      <c r="C5999" t="s">
        <v>28</v>
      </c>
      <c r="D5999" s="7">
        <v>161</v>
      </c>
      <c r="E5999" s="7">
        <v>24</v>
      </c>
      <c r="F5999" s="7">
        <f t="shared" si="94"/>
        <v>6</v>
      </c>
      <c r="G5999" s="7" t="str">
        <f>LOOKUP(H5999,[1]startdates!$A$2:$A$10,[1]startdates!$B$2:$B$10)</f>
        <v>FMr</v>
      </c>
      <c r="H5999">
        <v>9</v>
      </c>
      <c r="I5999" s="7">
        <v>627.29999999999995</v>
      </c>
      <c r="K5999" s="7">
        <v>521.70000000000005</v>
      </c>
      <c r="L5999" s="7">
        <v>438.5</v>
      </c>
      <c r="M5999" s="7">
        <v>308.3</v>
      </c>
      <c r="N5999" s="7">
        <v>184.1</v>
      </c>
      <c r="O5999" s="7">
        <v>180.7</v>
      </c>
      <c r="P5999" s="7">
        <v>484.8</v>
      </c>
      <c r="Q5999" s="7">
        <v>343.5</v>
      </c>
    </row>
    <row r="6000" spans="1:19" x14ac:dyDescent="0.2">
      <c r="A6000">
        <v>5999</v>
      </c>
      <c r="B6000" s="1">
        <v>40900</v>
      </c>
      <c r="C6000" t="s">
        <v>28</v>
      </c>
      <c r="D6000" s="7">
        <v>161</v>
      </c>
      <c r="E6000" s="7">
        <v>24</v>
      </c>
      <c r="F6000" s="7">
        <f t="shared" si="94"/>
        <v>6</v>
      </c>
      <c r="G6000" s="7" t="str">
        <f>LOOKUP(H6000,[1]startdates!$A$2:$A$10,[1]startdates!$B$2:$B$10)</f>
        <v>FMr</v>
      </c>
      <c r="H6000">
        <v>9</v>
      </c>
      <c r="I6000" s="7">
        <v>539.5</v>
      </c>
      <c r="K6000" s="7">
        <v>537.6</v>
      </c>
      <c r="L6000" s="7">
        <v>396.6</v>
      </c>
      <c r="M6000" s="7">
        <v>311.2</v>
      </c>
      <c r="N6000" s="7">
        <v>207.7</v>
      </c>
      <c r="O6000" s="7">
        <v>184.1</v>
      </c>
      <c r="P6000" s="7">
        <v>414</v>
      </c>
    </row>
    <row r="6001" spans="1:21" x14ac:dyDescent="0.2">
      <c r="A6001">
        <v>6000</v>
      </c>
      <c r="B6001" s="1">
        <v>40900</v>
      </c>
      <c r="C6001" t="s">
        <v>28</v>
      </c>
      <c r="D6001" s="7">
        <v>161</v>
      </c>
      <c r="E6001" s="7">
        <v>24</v>
      </c>
      <c r="F6001" s="7">
        <f t="shared" si="94"/>
        <v>6</v>
      </c>
      <c r="G6001" s="7" t="str">
        <f>LOOKUP(H6001,[1]startdates!$A$2:$A$10,[1]startdates!$B$2:$B$10)</f>
        <v>FMr</v>
      </c>
      <c r="H6001">
        <v>9</v>
      </c>
      <c r="I6001" s="7">
        <v>578.20000000000005</v>
      </c>
      <c r="K6001" s="7">
        <v>546.70000000000005</v>
      </c>
      <c r="L6001" s="7">
        <v>423.5</v>
      </c>
      <c r="M6001" s="7">
        <v>325.8</v>
      </c>
      <c r="N6001" s="7">
        <v>231.1</v>
      </c>
      <c r="O6001" s="7">
        <v>174.6</v>
      </c>
    </row>
    <row r="6002" spans="1:21" x14ac:dyDescent="0.2">
      <c r="A6002">
        <v>6001</v>
      </c>
      <c r="B6002" s="1">
        <v>40900</v>
      </c>
      <c r="C6002" t="s">
        <v>28</v>
      </c>
      <c r="D6002" s="7">
        <v>161</v>
      </c>
      <c r="E6002" s="7">
        <v>24</v>
      </c>
      <c r="F6002" s="7">
        <f t="shared" si="94"/>
        <v>6</v>
      </c>
      <c r="G6002" s="7" t="str">
        <f>LOOKUP(H6002,[1]startdates!$A$2:$A$10,[1]startdates!$B$2:$B$10)</f>
        <v>FMr</v>
      </c>
      <c r="H6002">
        <v>9</v>
      </c>
      <c r="I6002" s="7">
        <v>614.6</v>
      </c>
      <c r="K6002" s="7">
        <v>548.5</v>
      </c>
      <c r="L6002" s="7">
        <v>445.6</v>
      </c>
      <c r="M6002" s="7">
        <v>374</v>
      </c>
      <c r="N6002" s="7">
        <v>277.7</v>
      </c>
      <c r="O6002" s="7">
        <v>158.5</v>
      </c>
    </row>
    <row r="6003" spans="1:21" x14ac:dyDescent="0.2">
      <c r="A6003">
        <v>6002</v>
      </c>
      <c r="B6003" s="1">
        <v>40900</v>
      </c>
      <c r="C6003" t="s">
        <v>28</v>
      </c>
      <c r="D6003" s="7">
        <v>161</v>
      </c>
      <c r="E6003" s="7">
        <v>24</v>
      </c>
      <c r="F6003" s="7">
        <f t="shared" si="94"/>
        <v>6</v>
      </c>
      <c r="G6003" s="7" t="str">
        <f>LOOKUP(H6003,[1]startdates!$A$2:$A$10,[1]startdates!$B$2:$B$10)</f>
        <v>FMr</v>
      </c>
      <c r="H6003">
        <v>9</v>
      </c>
      <c r="I6003" s="7">
        <v>561.70000000000005</v>
      </c>
      <c r="K6003" s="7">
        <v>582.29999999999995</v>
      </c>
      <c r="L6003" s="7">
        <v>448.5</v>
      </c>
      <c r="M6003" s="7">
        <v>294.2</v>
      </c>
      <c r="N6003" s="7">
        <v>203.8</v>
      </c>
      <c r="O6003" s="7">
        <v>161.69999999999999</v>
      </c>
    </row>
    <row r="6004" spans="1:21" x14ac:dyDescent="0.2">
      <c r="A6004">
        <v>6003</v>
      </c>
      <c r="B6004" s="1">
        <v>40900</v>
      </c>
      <c r="C6004" t="s">
        <v>28</v>
      </c>
      <c r="D6004" s="7">
        <v>161</v>
      </c>
      <c r="E6004" s="7">
        <v>24</v>
      </c>
      <c r="F6004" s="7">
        <f t="shared" si="94"/>
        <v>6</v>
      </c>
      <c r="G6004" s="7" t="str">
        <f>LOOKUP(H6004,[1]startdates!$A$2:$A$10,[1]startdates!$B$2:$B$10)</f>
        <v>FMr</v>
      </c>
      <c r="H6004">
        <v>9</v>
      </c>
      <c r="I6004" s="7">
        <v>597.6</v>
      </c>
      <c r="L6004" s="7">
        <v>446</v>
      </c>
      <c r="M6004" s="7">
        <v>341.1</v>
      </c>
      <c r="N6004" s="7">
        <v>221</v>
      </c>
      <c r="O6004" s="7">
        <v>164.9</v>
      </c>
    </row>
    <row r="6005" spans="1:21" x14ac:dyDescent="0.2">
      <c r="A6005">
        <v>6004</v>
      </c>
      <c r="B6005" s="1">
        <v>40900</v>
      </c>
      <c r="C6005" t="s">
        <v>28</v>
      </c>
      <c r="D6005" s="7">
        <v>161</v>
      </c>
      <c r="E6005" s="7">
        <v>24</v>
      </c>
      <c r="F6005" s="7">
        <f t="shared" si="94"/>
        <v>6</v>
      </c>
      <c r="G6005" s="7" t="str">
        <f>LOOKUP(H6005,[1]startdates!$A$2:$A$10,[1]startdates!$B$2:$B$10)</f>
        <v>FMr</v>
      </c>
      <c r="H6005">
        <v>9</v>
      </c>
      <c r="I6005" s="7">
        <v>640.79999999999995</v>
      </c>
      <c r="L6005" s="7">
        <v>405.5</v>
      </c>
      <c r="M6005" s="7">
        <v>371.4</v>
      </c>
      <c r="N6005" s="7">
        <v>245.4</v>
      </c>
      <c r="O6005" s="7">
        <v>151.6</v>
      </c>
    </row>
    <row r="6006" spans="1:21" x14ac:dyDescent="0.2">
      <c r="A6006">
        <v>6005</v>
      </c>
      <c r="B6006" s="1">
        <v>40900</v>
      </c>
      <c r="C6006" t="s">
        <v>28</v>
      </c>
      <c r="D6006" s="7">
        <v>161</v>
      </c>
      <c r="E6006" s="7">
        <v>24</v>
      </c>
      <c r="F6006" s="7">
        <f t="shared" si="94"/>
        <v>6</v>
      </c>
      <c r="G6006" s="7" t="str">
        <f>LOOKUP(H6006,[1]startdates!$A$2:$A$10,[1]startdates!$B$2:$B$10)</f>
        <v>FMr</v>
      </c>
      <c r="H6006">
        <v>9</v>
      </c>
      <c r="I6006" s="7">
        <v>622.9</v>
      </c>
      <c r="M6006" s="7">
        <v>364</v>
      </c>
      <c r="N6006" s="7">
        <v>237.5</v>
      </c>
      <c r="O6006" s="7">
        <v>164.9</v>
      </c>
    </row>
    <row r="6007" spans="1:21" x14ac:dyDescent="0.2">
      <c r="A6007">
        <v>6006</v>
      </c>
      <c r="B6007" s="1">
        <v>40900</v>
      </c>
      <c r="C6007" t="s">
        <v>28</v>
      </c>
      <c r="D6007" s="7">
        <v>161</v>
      </c>
      <c r="E6007" s="7">
        <v>24</v>
      </c>
      <c r="F6007" s="7">
        <f t="shared" si="94"/>
        <v>6</v>
      </c>
      <c r="G6007" s="7" t="str">
        <f>LOOKUP(H6007,[1]startdates!$A$2:$A$10,[1]startdates!$B$2:$B$10)</f>
        <v>FMr</v>
      </c>
      <c r="H6007">
        <v>9</v>
      </c>
      <c r="I6007" s="7">
        <v>459.9</v>
      </c>
      <c r="M6007" s="7">
        <v>365.6</v>
      </c>
      <c r="O6007" s="7">
        <v>173.5</v>
      </c>
    </row>
    <row r="6008" spans="1:21" x14ac:dyDescent="0.2">
      <c r="A6008">
        <v>6007</v>
      </c>
      <c r="B6008" s="1">
        <v>40904</v>
      </c>
      <c r="C6008" t="s">
        <v>24</v>
      </c>
      <c r="D6008" s="7">
        <v>165</v>
      </c>
      <c r="E6008" s="7">
        <v>25</v>
      </c>
      <c r="F6008" s="7">
        <f t="shared" si="94"/>
        <v>3</v>
      </c>
      <c r="G6008" s="7" t="str">
        <f>LOOKUP(H6008,[1]startdates!$A$2:$A$10,[1]startdates!$B$2:$B$10)</f>
        <v>SMr</v>
      </c>
      <c r="H6008">
        <v>1</v>
      </c>
      <c r="I6008" s="7">
        <v>547.70000000000005</v>
      </c>
      <c r="J6008" s="7">
        <v>528.70000000000005</v>
      </c>
      <c r="K6008" s="7">
        <v>489.6</v>
      </c>
      <c r="L6008" s="7">
        <v>413.3</v>
      </c>
      <c r="M6008" s="7">
        <v>367.2</v>
      </c>
      <c r="N6008" s="7">
        <v>237</v>
      </c>
      <c r="O6008" s="7">
        <v>155.4</v>
      </c>
      <c r="P6008" s="7">
        <v>428.1</v>
      </c>
      <c r="R6008" s="7">
        <v>254.2</v>
      </c>
      <c r="S6008" s="7">
        <v>251.3</v>
      </c>
      <c r="U6008" s="7">
        <v>411.1</v>
      </c>
    </row>
    <row r="6009" spans="1:21" x14ac:dyDescent="0.2">
      <c r="A6009">
        <v>6008</v>
      </c>
      <c r="B6009" s="1">
        <v>40904</v>
      </c>
      <c r="C6009" t="s">
        <v>24</v>
      </c>
      <c r="D6009" s="7">
        <v>165</v>
      </c>
      <c r="E6009" s="7">
        <v>25</v>
      </c>
      <c r="F6009" s="7">
        <f t="shared" si="94"/>
        <v>3</v>
      </c>
      <c r="G6009" s="7" t="str">
        <f>LOOKUP(H6009,[1]startdates!$A$2:$A$10,[1]startdates!$B$2:$B$10)</f>
        <v>SMr</v>
      </c>
      <c r="H6009">
        <v>1</v>
      </c>
      <c r="I6009" s="7">
        <v>573.29999999999995</v>
      </c>
      <c r="J6009" s="7">
        <v>491.7</v>
      </c>
      <c r="K6009" s="7">
        <v>503.1</v>
      </c>
      <c r="L6009" s="7">
        <v>395.2</v>
      </c>
      <c r="M6009" s="7">
        <v>379.5</v>
      </c>
      <c r="N6009" s="7">
        <v>199.1</v>
      </c>
      <c r="O6009" s="7">
        <v>173.5</v>
      </c>
      <c r="P6009" s="7">
        <v>450.7</v>
      </c>
      <c r="U6009" s="7">
        <v>520.79999999999995</v>
      </c>
    </row>
    <row r="6010" spans="1:21" x14ac:dyDescent="0.2">
      <c r="A6010">
        <v>6009</v>
      </c>
      <c r="B6010" s="1">
        <v>40904</v>
      </c>
      <c r="C6010" t="s">
        <v>24</v>
      </c>
      <c r="D6010" s="7">
        <v>165</v>
      </c>
      <c r="E6010" s="7">
        <v>25</v>
      </c>
      <c r="F6010" s="7">
        <f t="shared" si="94"/>
        <v>3</v>
      </c>
      <c r="G6010" s="7" t="str">
        <f>LOOKUP(H6010,[1]startdates!$A$2:$A$10,[1]startdates!$B$2:$B$10)</f>
        <v>SMr</v>
      </c>
      <c r="H6010">
        <v>1</v>
      </c>
      <c r="I6010" s="7">
        <v>574.5</v>
      </c>
      <c r="K6010" s="7">
        <v>400.2</v>
      </c>
      <c r="L6010" s="7">
        <v>420.4</v>
      </c>
      <c r="M6010" s="7">
        <v>313.5</v>
      </c>
      <c r="N6010" s="7">
        <v>221.4</v>
      </c>
      <c r="O6010" s="7">
        <v>188.7</v>
      </c>
      <c r="P6010" s="7">
        <v>439.6</v>
      </c>
    </row>
    <row r="6011" spans="1:21" x14ac:dyDescent="0.2">
      <c r="A6011">
        <v>6010</v>
      </c>
      <c r="B6011" s="1">
        <v>40904</v>
      </c>
      <c r="C6011" t="s">
        <v>24</v>
      </c>
      <c r="D6011" s="7">
        <v>165</v>
      </c>
      <c r="E6011" s="7">
        <v>25</v>
      </c>
      <c r="F6011" s="7">
        <f t="shared" si="94"/>
        <v>3</v>
      </c>
      <c r="G6011" s="7" t="str">
        <f>LOOKUP(H6011,[1]startdates!$A$2:$A$10,[1]startdates!$B$2:$B$10)</f>
        <v>SMr</v>
      </c>
      <c r="H6011">
        <v>1</v>
      </c>
      <c r="I6011" s="7">
        <v>567.1</v>
      </c>
      <c r="M6011" s="7">
        <v>311.89999999999998</v>
      </c>
      <c r="N6011" s="7">
        <v>229.6</v>
      </c>
      <c r="O6011" s="7">
        <v>177.7</v>
      </c>
    </row>
    <row r="6012" spans="1:21" x14ac:dyDescent="0.2">
      <c r="A6012">
        <v>6011</v>
      </c>
      <c r="B6012" s="1">
        <v>40904</v>
      </c>
      <c r="C6012" t="s">
        <v>24</v>
      </c>
      <c r="D6012" s="7">
        <v>165</v>
      </c>
      <c r="E6012" s="7">
        <v>25</v>
      </c>
      <c r="F6012" s="7">
        <f t="shared" si="94"/>
        <v>3</v>
      </c>
      <c r="G6012" s="7" t="str">
        <f>LOOKUP(H6012,[1]startdates!$A$2:$A$10,[1]startdates!$B$2:$B$10)</f>
        <v>SMr</v>
      </c>
      <c r="H6012">
        <v>1</v>
      </c>
      <c r="I6012" s="7">
        <v>559.9</v>
      </c>
      <c r="M6012" s="7">
        <v>281.8</v>
      </c>
      <c r="N6012" s="7">
        <v>216.7</v>
      </c>
      <c r="O6012" s="7">
        <v>166.6</v>
      </c>
    </row>
    <row r="6013" spans="1:21" x14ac:dyDescent="0.2">
      <c r="A6013">
        <v>6012</v>
      </c>
      <c r="B6013" s="1">
        <v>40904</v>
      </c>
      <c r="C6013" t="s">
        <v>24</v>
      </c>
      <c r="D6013" s="7">
        <v>165</v>
      </c>
      <c r="E6013" s="7">
        <v>25</v>
      </c>
      <c r="F6013" s="7">
        <f t="shared" si="94"/>
        <v>3</v>
      </c>
      <c r="G6013" s="7" t="str">
        <f>LOOKUP(H6013,[1]startdates!$A$2:$A$10,[1]startdates!$B$2:$B$10)</f>
        <v>SMr</v>
      </c>
      <c r="H6013">
        <v>1</v>
      </c>
      <c r="I6013" s="7">
        <v>597.20000000000005</v>
      </c>
      <c r="M6013" s="7">
        <v>303.7</v>
      </c>
      <c r="N6013" s="7">
        <v>232.4</v>
      </c>
      <c r="O6013" s="7">
        <v>164</v>
      </c>
    </row>
    <row r="6014" spans="1:21" x14ac:dyDescent="0.2">
      <c r="A6014">
        <v>6013</v>
      </c>
      <c r="B6014" s="1">
        <v>40904</v>
      </c>
      <c r="C6014" t="s">
        <v>24</v>
      </c>
      <c r="D6014" s="7">
        <v>165</v>
      </c>
      <c r="E6014" s="7">
        <v>25</v>
      </c>
      <c r="F6014" s="7">
        <f t="shared" si="94"/>
        <v>3</v>
      </c>
      <c r="G6014" s="7" t="str">
        <f>LOOKUP(H6014,[1]startdates!$A$2:$A$10,[1]startdates!$B$2:$B$10)</f>
        <v>SMr</v>
      </c>
      <c r="H6014">
        <v>1</v>
      </c>
      <c r="I6014" s="7">
        <v>499.5</v>
      </c>
      <c r="M6014" s="7">
        <v>261.8</v>
      </c>
      <c r="N6014" s="7">
        <v>202.8</v>
      </c>
      <c r="O6014" s="7">
        <v>166.4</v>
      </c>
    </row>
    <row r="6015" spans="1:21" x14ac:dyDescent="0.2">
      <c r="A6015">
        <v>6014</v>
      </c>
      <c r="B6015" s="1">
        <v>40904</v>
      </c>
      <c r="C6015" t="s">
        <v>24</v>
      </c>
      <c r="D6015" s="7">
        <v>165</v>
      </c>
      <c r="E6015" s="7">
        <v>25</v>
      </c>
      <c r="F6015" s="7">
        <f t="shared" si="94"/>
        <v>3</v>
      </c>
      <c r="G6015" s="7" t="str">
        <f>LOOKUP(H6015,[1]startdates!$A$2:$A$10,[1]startdates!$B$2:$B$10)</f>
        <v>SMr</v>
      </c>
      <c r="H6015">
        <v>1</v>
      </c>
      <c r="M6015" s="7">
        <v>317.39999999999998</v>
      </c>
      <c r="N6015" s="7">
        <v>202.8</v>
      </c>
      <c r="O6015" s="7">
        <v>158.6</v>
      </c>
    </row>
    <row r="6016" spans="1:21" x14ac:dyDescent="0.2">
      <c r="A6016">
        <v>6015</v>
      </c>
      <c r="B6016" s="1">
        <v>40904</v>
      </c>
      <c r="C6016" t="s">
        <v>24</v>
      </c>
      <c r="D6016" s="7">
        <v>165</v>
      </c>
      <c r="E6016" s="7">
        <v>25</v>
      </c>
      <c r="F6016" s="7">
        <f t="shared" si="94"/>
        <v>3</v>
      </c>
      <c r="G6016" s="7" t="str">
        <f>LOOKUP(H6016,[1]startdates!$A$2:$A$10,[1]startdates!$B$2:$B$10)</f>
        <v>SMr</v>
      </c>
      <c r="H6016">
        <v>1</v>
      </c>
      <c r="N6016" s="7">
        <v>202.6</v>
      </c>
    </row>
    <row r="6017" spans="1:21" x14ac:dyDescent="0.2">
      <c r="A6017">
        <v>6016</v>
      </c>
      <c r="B6017" s="1">
        <v>40904</v>
      </c>
      <c r="C6017" t="s">
        <v>24</v>
      </c>
      <c r="D6017" s="7">
        <v>165</v>
      </c>
      <c r="E6017" s="7">
        <v>25</v>
      </c>
      <c r="F6017" s="7">
        <f t="shared" si="94"/>
        <v>3</v>
      </c>
      <c r="G6017" s="7" t="str">
        <f>LOOKUP(H6017,[1]startdates!$A$2:$A$10,[1]startdates!$B$2:$B$10)</f>
        <v>SMr</v>
      </c>
      <c r="H6017">
        <v>1</v>
      </c>
      <c r="N6017" s="7">
        <v>208.8</v>
      </c>
    </row>
    <row r="6018" spans="1:21" x14ac:dyDescent="0.2">
      <c r="A6018">
        <v>6017</v>
      </c>
      <c r="B6018" s="1">
        <v>40904</v>
      </c>
      <c r="C6018" t="s">
        <v>24</v>
      </c>
      <c r="D6018" s="7">
        <v>165</v>
      </c>
      <c r="E6018" s="7">
        <v>25</v>
      </c>
      <c r="F6018" s="7">
        <f t="shared" si="94"/>
        <v>3</v>
      </c>
      <c r="G6018" s="7" t="str">
        <f>LOOKUP(H6018,[1]startdates!$A$2:$A$10,[1]startdates!$B$2:$B$10)</f>
        <v>SMr</v>
      </c>
      <c r="H6018">
        <v>2</v>
      </c>
      <c r="I6018" s="7">
        <v>536</v>
      </c>
      <c r="K6018" s="7">
        <v>420.7</v>
      </c>
      <c r="L6018" s="7">
        <v>454.3</v>
      </c>
      <c r="M6018" s="7">
        <v>353.9</v>
      </c>
      <c r="N6018" s="7">
        <v>188.2</v>
      </c>
      <c r="O6018" s="7">
        <v>159.30000000000001</v>
      </c>
      <c r="P6018" s="7">
        <v>425.8</v>
      </c>
      <c r="Q6018" s="7">
        <v>409.3</v>
      </c>
      <c r="R6018" s="7">
        <v>308</v>
      </c>
      <c r="S6018" s="7">
        <v>238.9</v>
      </c>
      <c r="U6018" s="7">
        <v>549.4</v>
      </c>
    </row>
    <row r="6019" spans="1:21" x14ac:dyDescent="0.2">
      <c r="A6019">
        <v>6018</v>
      </c>
      <c r="B6019" s="1">
        <v>40904</v>
      </c>
      <c r="C6019" t="s">
        <v>24</v>
      </c>
      <c r="D6019" s="7">
        <v>165</v>
      </c>
      <c r="E6019" s="7">
        <v>25</v>
      </c>
      <c r="F6019" s="7">
        <f t="shared" si="94"/>
        <v>3</v>
      </c>
      <c r="G6019" s="7" t="str">
        <f>LOOKUP(H6019,[1]startdates!$A$2:$A$10,[1]startdates!$B$2:$B$10)</f>
        <v>SMr</v>
      </c>
      <c r="H6019">
        <v>2</v>
      </c>
      <c r="I6019" s="7">
        <v>594.6</v>
      </c>
      <c r="K6019" s="7">
        <v>382.2</v>
      </c>
      <c r="L6019" s="7">
        <v>486.1</v>
      </c>
      <c r="M6019" s="7">
        <v>362</v>
      </c>
      <c r="N6019" s="7">
        <v>240.7</v>
      </c>
      <c r="O6019" s="7">
        <v>157.30000000000001</v>
      </c>
      <c r="P6019" s="7">
        <v>418.9</v>
      </c>
      <c r="R6019" s="7">
        <v>307.39999999999998</v>
      </c>
      <c r="U6019" s="7">
        <v>479.3</v>
      </c>
    </row>
    <row r="6020" spans="1:21" x14ac:dyDescent="0.2">
      <c r="A6020">
        <v>6019</v>
      </c>
      <c r="B6020" s="1">
        <v>40904</v>
      </c>
      <c r="C6020" t="s">
        <v>24</v>
      </c>
      <c r="D6020" s="7">
        <v>165</v>
      </c>
      <c r="E6020" s="7">
        <v>25</v>
      </c>
      <c r="F6020" s="7">
        <f t="shared" si="94"/>
        <v>3</v>
      </c>
      <c r="G6020" s="7" t="str">
        <f>LOOKUP(H6020,[1]startdates!$A$2:$A$10,[1]startdates!$B$2:$B$10)</f>
        <v>SMr</v>
      </c>
      <c r="H6020">
        <v>2</v>
      </c>
      <c r="I6020" s="7">
        <v>475</v>
      </c>
      <c r="K6020" s="7">
        <v>417.1</v>
      </c>
      <c r="M6020" s="7">
        <v>335.7</v>
      </c>
      <c r="N6020" s="7">
        <v>194.5</v>
      </c>
      <c r="O6020" s="7">
        <v>156.19999999999999</v>
      </c>
      <c r="P6020" s="7">
        <v>432.4</v>
      </c>
      <c r="U6020" s="7">
        <v>454.1</v>
      </c>
    </row>
    <row r="6021" spans="1:21" x14ac:dyDescent="0.2">
      <c r="A6021">
        <v>6020</v>
      </c>
      <c r="B6021" s="1">
        <v>40904</v>
      </c>
      <c r="C6021" t="s">
        <v>24</v>
      </c>
      <c r="D6021" s="7">
        <v>165</v>
      </c>
      <c r="E6021" s="7">
        <v>25</v>
      </c>
      <c r="F6021" s="7">
        <f t="shared" si="94"/>
        <v>3</v>
      </c>
      <c r="G6021" s="7" t="str">
        <f>LOOKUP(H6021,[1]startdates!$A$2:$A$10,[1]startdates!$B$2:$B$10)</f>
        <v>SMr</v>
      </c>
      <c r="H6021">
        <v>2</v>
      </c>
      <c r="I6021" s="7">
        <v>640.6</v>
      </c>
      <c r="K6021" s="7">
        <v>447.7</v>
      </c>
      <c r="M6021" s="7">
        <v>349.8</v>
      </c>
      <c r="N6021" s="7">
        <v>224.4</v>
      </c>
      <c r="O6021" s="7">
        <v>180</v>
      </c>
      <c r="P6021" s="7">
        <v>472.6</v>
      </c>
      <c r="U6021" s="7">
        <v>469.7</v>
      </c>
    </row>
    <row r="6022" spans="1:21" x14ac:dyDescent="0.2">
      <c r="A6022">
        <v>6021</v>
      </c>
      <c r="B6022" s="1">
        <v>40904</v>
      </c>
      <c r="C6022" t="s">
        <v>24</v>
      </c>
      <c r="D6022" s="7">
        <v>165</v>
      </c>
      <c r="E6022" s="7">
        <v>25</v>
      </c>
      <c r="F6022" s="7">
        <f t="shared" si="94"/>
        <v>3</v>
      </c>
      <c r="G6022" s="7" t="str">
        <f>LOOKUP(H6022,[1]startdates!$A$2:$A$10,[1]startdates!$B$2:$B$10)</f>
        <v>SMr</v>
      </c>
      <c r="H6022">
        <v>2</v>
      </c>
      <c r="I6022" s="7">
        <v>568</v>
      </c>
      <c r="M6022" s="7">
        <v>364.6</v>
      </c>
      <c r="N6022" s="7">
        <v>239.3</v>
      </c>
      <c r="O6022" s="7">
        <v>137.6</v>
      </c>
      <c r="P6022" s="7">
        <v>436.6</v>
      </c>
      <c r="U6022" s="7">
        <v>440</v>
      </c>
    </row>
    <row r="6023" spans="1:21" x14ac:dyDescent="0.2">
      <c r="A6023">
        <v>6022</v>
      </c>
      <c r="B6023" s="1">
        <v>40904</v>
      </c>
      <c r="C6023" t="s">
        <v>24</v>
      </c>
      <c r="D6023" s="7">
        <v>165</v>
      </c>
      <c r="E6023" s="7">
        <v>25</v>
      </c>
      <c r="F6023" s="7">
        <f t="shared" si="94"/>
        <v>3</v>
      </c>
      <c r="G6023" s="7" t="str">
        <f>LOOKUP(H6023,[1]startdates!$A$2:$A$10,[1]startdates!$B$2:$B$10)</f>
        <v>SMr</v>
      </c>
      <c r="H6023">
        <v>2</v>
      </c>
      <c r="I6023" s="7">
        <v>581.79999999999995</v>
      </c>
      <c r="N6023" s="7">
        <v>227.6</v>
      </c>
      <c r="O6023" s="7">
        <v>180.7</v>
      </c>
      <c r="P6023" s="7">
        <v>414.6</v>
      </c>
    </row>
    <row r="6024" spans="1:21" x14ac:dyDescent="0.2">
      <c r="A6024">
        <v>6023</v>
      </c>
      <c r="B6024" s="1">
        <v>40904</v>
      </c>
      <c r="C6024" t="s">
        <v>24</v>
      </c>
      <c r="D6024" s="7">
        <v>165</v>
      </c>
      <c r="E6024" s="7">
        <v>25</v>
      </c>
      <c r="F6024" s="7">
        <f t="shared" si="94"/>
        <v>3</v>
      </c>
      <c r="G6024" s="7" t="str">
        <f>LOOKUP(H6024,[1]startdates!$A$2:$A$10,[1]startdates!$B$2:$B$10)</f>
        <v>SMr</v>
      </c>
      <c r="H6024">
        <v>2</v>
      </c>
      <c r="I6024" s="7">
        <v>665.8</v>
      </c>
      <c r="N6024" s="7">
        <v>201.8</v>
      </c>
      <c r="O6024" s="7">
        <v>163.4</v>
      </c>
    </row>
    <row r="6025" spans="1:21" x14ac:dyDescent="0.2">
      <c r="A6025">
        <v>6024</v>
      </c>
      <c r="B6025" s="1">
        <v>40904</v>
      </c>
      <c r="C6025" t="s">
        <v>24</v>
      </c>
      <c r="D6025" s="7">
        <v>165</v>
      </c>
      <c r="E6025" s="7">
        <v>25</v>
      </c>
      <c r="F6025" s="7">
        <f t="shared" si="94"/>
        <v>3</v>
      </c>
      <c r="G6025" s="7" t="str">
        <f>LOOKUP(H6025,[1]startdates!$A$2:$A$10,[1]startdates!$B$2:$B$10)</f>
        <v>SMr</v>
      </c>
      <c r="H6025">
        <v>2</v>
      </c>
      <c r="I6025" s="7">
        <v>569.5</v>
      </c>
      <c r="N6025" s="7">
        <v>174.1</v>
      </c>
      <c r="O6025" s="7">
        <v>156.4</v>
      </c>
    </row>
    <row r="6026" spans="1:21" x14ac:dyDescent="0.2">
      <c r="A6026">
        <v>6025</v>
      </c>
      <c r="B6026" s="1">
        <v>40904</v>
      </c>
      <c r="C6026" t="s">
        <v>24</v>
      </c>
      <c r="D6026" s="7">
        <v>165</v>
      </c>
      <c r="E6026" s="7">
        <v>25</v>
      </c>
      <c r="F6026" s="7">
        <f t="shared" si="94"/>
        <v>3</v>
      </c>
      <c r="G6026" s="7" t="str">
        <f>LOOKUP(H6026,[1]startdates!$A$2:$A$10,[1]startdates!$B$2:$B$10)</f>
        <v>SMr</v>
      </c>
      <c r="H6026">
        <v>2</v>
      </c>
      <c r="I6026" s="7">
        <v>516.79999999999995</v>
      </c>
      <c r="N6026" s="7">
        <v>221</v>
      </c>
      <c r="O6026" s="7">
        <v>181.1</v>
      </c>
    </row>
    <row r="6027" spans="1:21" x14ac:dyDescent="0.2">
      <c r="A6027">
        <v>6026</v>
      </c>
      <c r="B6027" s="1">
        <v>40904</v>
      </c>
      <c r="C6027" t="s">
        <v>24</v>
      </c>
      <c r="D6027" s="7">
        <v>165</v>
      </c>
      <c r="E6027" s="7">
        <v>25</v>
      </c>
      <c r="F6027" s="7">
        <f t="shared" si="94"/>
        <v>3</v>
      </c>
      <c r="G6027" s="7" t="str">
        <f>LOOKUP(H6027,[1]startdates!$A$2:$A$10,[1]startdates!$B$2:$B$10)</f>
        <v>SMr</v>
      </c>
      <c r="H6027">
        <v>2</v>
      </c>
      <c r="I6027" s="7">
        <v>668.9</v>
      </c>
      <c r="N6027" s="7">
        <v>212.8</v>
      </c>
      <c r="O6027" s="7">
        <v>132.19999999999999</v>
      </c>
    </row>
    <row r="6028" spans="1:21" x14ac:dyDescent="0.2">
      <c r="A6028">
        <v>6027</v>
      </c>
      <c r="B6028" s="1">
        <v>40904</v>
      </c>
      <c r="C6028" t="s">
        <v>24</v>
      </c>
      <c r="D6028" s="7">
        <v>165</v>
      </c>
      <c r="E6028" s="7">
        <v>25</v>
      </c>
      <c r="F6028" s="7">
        <f t="shared" si="94"/>
        <v>3</v>
      </c>
      <c r="G6028" s="7" t="str">
        <f>LOOKUP(H6028,[1]startdates!$A$2:$A$10,[1]startdates!$B$2:$B$10)</f>
        <v>SMr</v>
      </c>
      <c r="H6028">
        <v>2</v>
      </c>
      <c r="I6028" s="7">
        <v>614.9</v>
      </c>
    </row>
    <row r="6029" spans="1:21" x14ac:dyDescent="0.2">
      <c r="A6029">
        <v>6028</v>
      </c>
      <c r="B6029" s="1">
        <v>40904</v>
      </c>
      <c r="C6029" t="s">
        <v>24</v>
      </c>
      <c r="D6029" s="7">
        <v>165</v>
      </c>
      <c r="E6029" s="7">
        <v>25</v>
      </c>
      <c r="F6029" s="7">
        <f t="shared" si="94"/>
        <v>3</v>
      </c>
      <c r="G6029" s="7" t="str">
        <f>LOOKUP(H6029,[1]startdates!$A$2:$A$10,[1]startdates!$B$2:$B$10)</f>
        <v>C</v>
      </c>
      <c r="H6029">
        <v>3</v>
      </c>
      <c r="I6029" s="7">
        <v>578</v>
      </c>
      <c r="K6029" s="7">
        <v>452.1</v>
      </c>
      <c r="L6029" s="7">
        <v>424.4</v>
      </c>
      <c r="M6029" s="7">
        <v>338.8</v>
      </c>
      <c r="N6029" s="7">
        <v>211.3</v>
      </c>
      <c r="O6029" s="7">
        <v>195.3</v>
      </c>
      <c r="P6029" s="7">
        <v>462.9</v>
      </c>
      <c r="Q6029" s="7">
        <v>328.8</v>
      </c>
      <c r="R6029" s="7">
        <v>257.10000000000002</v>
      </c>
    </row>
    <row r="6030" spans="1:21" x14ac:dyDescent="0.2">
      <c r="A6030">
        <v>6029</v>
      </c>
      <c r="B6030" s="1">
        <v>40904</v>
      </c>
      <c r="C6030" t="s">
        <v>24</v>
      </c>
      <c r="D6030" s="7">
        <v>165</v>
      </c>
      <c r="E6030" s="7">
        <v>25</v>
      </c>
      <c r="F6030" s="7">
        <f t="shared" si="94"/>
        <v>3</v>
      </c>
      <c r="G6030" s="7" t="str">
        <f>LOOKUP(H6030,[1]startdates!$A$2:$A$10,[1]startdates!$B$2:$B$10)</f>
        <v>C</v>
      </c>
      <c r="H6030">
        <v>3</v>
      </c>
      <c r="I6030" s="7">
        <v>407.3</v>
      </c>
      <c r="K6030" s="7">
        <v>398.7</v>
      </c>
      <c r="L6030" s="7">
        <v>514.70000000000005</v>
      </c>
      <c r="M6030" s="7">
        <v>368.2</v>
      </c>
      <c r="N6030" s="7">
        <v>232</v>
      </c>
      <c r="O6030" s="7">
        <v>169.4</v>
      </c>
      <c r="P6030" s="7">
        <v>460.6</v>
      </c>
      <c r="Q6030" s="7">
        <v>391.4</v>
      </c>
      <c r="R6030" s="7">
        <v>247.1</v>
      </c>
    </row>
    <row r="6031" spans="1:21" x14ac:dyDescent="0.2">
      <c r="A6031">
        <v>6030</v>
      </c>
      <c r="B6031" s="1">
        <v>40904</v>
      </c>
      <c r="C6031" t="s">
        <v>24</v>
      </c>
      <c r="D6031" s="7">
        <v>165</v>
      </c>
      <c r="E6031" s="7">
        <v>25</v>
      </c>
      <c r="F6031" s="7">
        <f t="shared" si="94"/>
        <v>3</v>
      </c>
      <c r="G6031" s="7" t="str">
        <f>LOOKUP(H6031,[1]startdates!$A$2:$A$10,[1]startdates!$B$2:$B$10)</f>
        <v>C</v>
      </c>
      <c r="H6031">
        <v>3</v>
      </c>
      <c r="I6031" s="7">
        <v>520.6</v>
      </c>
      <c r="K6031" s="7">
        <v>456.9</v>
      </c>
      <c r="L6031" s="7">
        <v>487.4</v>
      </c>
      <c r="M6031" s="7">
        <v>364.2</v>
      </c>
      <c r="N6031" s="7">
        <v>180.4</v>
      </c>
      <c r="O6031" s="7">
        <v>151.1</v>
      </c>
      <c r="P6031" s="7">
        <v>414.3</v>
      </c>
    </row>
    <row r="6032" spans="1:21" x14ac:dyDescent="0.2">
      <c r="A6032">
        <v>6031</v>
      </c>
      <c r="B6032" s="1">
        <v>40904</v>
      </c>
      <c r="C6032" t="s">
        <v>24</v>
      </c>
      <c r="D6032" s="7">
        <v>165</v>
      </c>
      <c r="E6032" s="7">
        <v>25</v>
      </c>
      <c r="F6032" s="7">
        <f t="shared" si="94"/>
        <v>3</v>
      </c>
      <c r="G6032" s="7" t="str">
        <f>LOOKUP(H6032,[1]startdates!$A$2:$A$10,[1]startdates!$B$2:$B$10)</f>
        <v>C</v>
      </c>
      <c r="H6032">
        <v>3</v>
      </c>
      <c r="I6032" s="7">
        <v>574.70000000000005</v>
      </c>
      <c r="K6032" s="7">
        <v>504.4</v>
      </c>
      <c r="L6032" s="7">
        <v>478.6</v>
      </c>
      <c r="M6032" s="7">
        <v>344.2</v>
      </c>
      <c r="N6032" s="7">
        <v>189.5</v>
      </c>
      <c r="O6032" s="7">
        <v>165.7</v>
      </c>
    </row>
    <row r="6033" spans="1:21" x14ac:dyDescent="0.2">
      <c r="A6033">
        <v>6032</v>
      </c>
      <c r="B6033" s="1">
        <v>40904</v>
      </c>
      <c r="C6033" t="s">
        <v>24</v>
      </c>
      <c r="D6033" s="7">
        <v>165</v>
      </c>
      <c r="E6033" s="7">
        <v>25</v>
      </c>
      <c r="F6033" s="7">
        <f t="shared" si="94"/>
        <v>3</v>
      </c>
      <c r="G6033" s="7" t="str">
        <f>LOOKUP(H6033,[1]startdates!$A$2:$A$10,[1]startdates!$B$2:$B$10)</f>
        <v>C</v>
      </c>
      <c r="H6033">
        <v>3</v>
      </c>
      <c r="I6033" s="7">
        <v>651.4</v>
      </c>
      <c r="K6033" s="7">
        <v>560.1</v>
      </c>
      <c r="M6033" s="7">
        <v>372.6</v>
      </c>
      <c r="N6033" s="7">
        <v>198.9</v>
      </c>
      <c r="O6033" s="7">
        <v>165.5</v>
      </c>
    </row>
    <row r="6034" spans="1:21" x14ac:dyDescent="0.2">
      <c r="A6034">
        <v>6033</v>
      </c>
      <c r="B6034" s="1">
        <v>40904</v>
      </c>
      <c r="C6034" t="s">
        <v>24</v>
      </c>
      <c r="D6034" s="7">
        <v>165</v>
      </c>
      <c r="E6034" s="7">
        <v>25</v>
      </c>
      <c r="F6034" s="7">
        <f t="shared" si="94"/>
        <v>3</v>
      </c>
      <c r="G6034" s="7" t="str">
        <f>LOOKUP(H6034,[1]startdates!$A$2:$A$10,[1]startdates!$B$2:$B$10)</f>
        <v>C</v>
      </c>
      <c r="H6034">
        <v>3</v>
      </c>
      <c r="I6034" s="7">
        <v>564.1</v>
      </c>
      <c r="K6034" s="7">
        <v>431.6</v>
      </c>
      <c r="N6034" s="7">
        <v>234.9</v>
      </c>
      <c r="O6034" s="7">
        <v>174.6</v>
      </c>
    </row>
    <row r="6035" spans="1:21" x14ac:dyDescent="0.2">
      <c r="A6035">
        <v>6034</v>
      </c>
      <c r="B6035" s="1">
        <v>40904</v>
      </c>
      <c r="C6035" t="s">
        <v>24</v>
      </c>
      <c r="D6035" s="7">
        <v>165</v>
      </c>
      <c r="E6035" s="7">
        <v>25</v>
      </c>
      <c r="F6035" s="7">
        <f t="shared" si="94"/>
        <v>3</v>
      </c>
      <c r="G6035" s="7" t="str">
        <f>LOOKUP(H6035,[1]startdates!$A$2:$A$10,[1]startdates!$B$2:$B$10)</f>
        <v>C</v>
      </c>
      <c r="H6035">
        <v>3</v>
      </c>
      <c r="I6035" s="7">
        <v>590.29999999999995</v>
      </c>
      <c r="K6035" s="7">
        <v>515.5</v>
      </c>
      <c r="N6035" s="7">
        <v>218.1</v>
      </c>
      <c r="O6035" s="7">
        <v>192.8</v>
      </c>
    </row>
    <row r="6036" spans="1:21" x14ac:dyDescent="0.2">
      <c r="A6036">
        <v>6035</v>
      </c>
      <c r="B6036" s="1">
        <v>40904</v>
      </c>
      <c r="C6036" t="s">
        <v>24</v>
      </c>
      <c r="D6036" s="7">
        <v>165</v>
      </c>
      <c r="E6036" s="7">
        <v>25</v>
      </c>
      <c r="F6036" s="7">
        <f t="shared" si="94"/>
        <v>3</v>
      </c>
      <c r="G6036" s="7" t="str">
        <f>LOOKUP(H6036,[1]startdates!$A$2:$A$10,[1]startdates!$B$2:$B$10)</f>
        <v>C</v>
      </c>
      <c r="H6036">
        <v>3</v>
      </c>
      <c r="I6036" s="7">
        <v>542.20000000000005</v>
      </c>
      <c r="K6036" s="7">
        <v>458.8</v>
      </c>
      <c r="N6036" s="7">
        <v>248.9</v>
      </c>
      <c r="O6036" s="7">
        <v>163.5</v>
      </c>
    </row>
    <row r="6037" spans="1:21" x14ac:dyDescent="0.2">
      <c r="A6037">
        <v>6036</v>
      </c>
      <c r="B6037" s="1">
        <v>40904</v>
      </c>
      <c r="C6037" t="s">
        <v>24</v>
      </c>
      <c r="D6037" s="7">
        <v>165</v>
      </c>
      <c r="E6037" s="7">
        <v>25</v>
      </c>
      <c r="F6037" s="7">
        <f t="shared" si="94"/>
        <v>3</v>
      </c>
      <c r="G6037" s="7" t="str">
        <f>LOOKUP(H6037,[1]startdates!$A$2:$A$10,[1]startdates!$B$2:$B$10)</f>
        <v>C</v>
      </c>
      <c r="H6037">
        <v>3</v>
      </c>
      <c r="I6037" s="7">
        <v>556</v>
      </c>
      <c r="N6037" s="7">
        <v>215.6</v>
      </c>
      <c r="O6037" s="7">
        <v>195.7</v>
      </c>
    </row>
    <row r="6038" spans="1:21" x14ac:dyDescent="0.2">
      <c r="A6038">
        <v>6037</v>
      </c>
      <c r="B6038" s="1">
        <v>40904</v>
      </c>
      <c r="C6038" t="s">
        <v>24</v>
      </c>
      <c r="D6038" s="7">
        <v>165</v>
      </c>
      <c r="E6038" s="7">
        <v>25</v>
      </c>
      <c r="F6038" s="7">
        <f t="shared" si="94"/>
        <v>3</v>
      </c>
      <c r="G6038" s="7" t="str">
        <f>LOOKUP(H6038,[1]startdates!$A$2:$A$10,[1]startdates!$B$2:$B$10)</f>
        <v>C</v>
      </c>
      <c r="H6038">
        <v>3</v>
      </c>
      <c r="N6038" s="7">
        <v>211</v>
      </c>
      <c r="O6038" s="7">
        <v>176.9</v>
      </c>
    </row>
    <row r="6039" spans="1:21" x14ac:dyDescent="0.2">
      <c r="A6039">
        <v>6038</v>
      </c>
      <c r="B6039" s="1">
        <v>40904</v>
      </c>
      <c r="C6039" t="s">
        <v>24</v>
      </c>
      <c r="D6039" s="7">
        <v>165</v>
      </c>
      <c r="E6039" s="7">
        <v>25</v>
      </c>
      <c r="F6039" s="7">
        <f t="shared" si="94"/>
        <v>3</v>
      </c>
      <c r="G6039" s="7" t="str">
        <f>LOOKUP(H6039,[1]startdates!$A$2:$A$10,[1]startdates!$B$2:$B$10)</f>
        <v>SMr</v>
      </c>
      <c r="H6039">
        <v>4</v>
      </c>
      <c r="I6039" s="7">
        <v>511.5</v>
      </c>
      <c r="J6039" s="7">
        <v>505.5</v>
      </c>
      <c r="K6039" s="7">
        <v>405.4</v>
      </c>
      <c r="L6039" s="7">
        <v>463.5</v>
      </c>
      <c r="M6039" s="7">
        <v>344.7</v>
      </c>
      <c r="N6039" s="7">
        <v>230.7</v>
      </c>
      <c r="O6039" s="7">
        <v>187</v>
      </c>
      <c r="P6039" s="7">
        <v>432.2</v>
      </c>
      <c r="Q6039" s="7">
        <v>371.3</v>
      </c>
      <c r="R6039" s="7">
        <v>319.10000000000002</v>
      </c>
      <c r="U6039" s="7">
        <v>430.8</v>
      </c>
    </row>
    <row r="6040" spans="1:21" x14ac:dyDescent="0.2">
      <c r="A6040">
        <v>6039</v>
      </c>
      <c r="B6040" s="1">
        <v>40904</v>
      </c>
      <c r="C6040" t="s">
        <v>24</v>
      </c>
      <c r="D6040" s="7">
        <v>165</v>
      </c>
      <c r="E6040" s="7">
        <v>25</v>
      </c>
      <c r="F6040" s="7">
        <f t="shared" si="94"/>
        <v>3</v>
      </c>
      <c r="G6040" s="7" t="str">
        <f>LOOKUP(H6040,[1]startdates!$A$2:$A$10,[1]startdates!$B$2:$B$10)</f>
        <v>SMr</v>
      </c>
      <c r="H6040">
        <v>4</v>
      </c>
      <c r="I6040" s="7">
        <v>572.4</v>
      </c>
      <c r="K6040" s="7">
        <v>467.2</v>
      </c>
      <c r="L6040" s="7">
        <v>395.2</v>
      </c>
      <c r="M6040" s="7">
        <v>328.4</v>
      </c>
      <c r="N6040" s="7">
        <v>224.9</v>
      </c>
      <c r="O6040" s="7">
        <v>141.1</v>
      </c>
      <c r="P6040" s="7">
        <v>444</v>
      </c>
      <c r="Q6040" s="7">
        <v>402</v>
      </c>
      <c r="R6040" s="7">
        <v>278</v>
      </c>
      <c r="U6040" s="7">
        <v>424.4</v>
      </c>
    </row>
    <row r="6041" spans="1:21" x14ac:dyDescent="0.2">
      <c r="A6041">
        <v>6040</v>
      </c>
      <c r="B6041" s="1">
        <v>40904</v>
      </c>
      <c r="C6041" t="s">
        <v>24</v>
      </c>
      <c r="D6041" s="7">
        <v>165</v>
      </c>
      <c r="E6041" s="7">
        <v>25</v>
      </c>
      <c r="F6041" s="7">
        <f t="shared" si="94"/>
        <v>3</v>
      </c>
      <c r="G6041" s="7" t="str">
        <f>LOOKUP(H6041,[1]startdates!$A$2:$A$10,[1]startdates!$B$2:$B$10)</f>
        <v>SMr</v>
      </c>
      <c r="H6041">
        <v>4</v>
      </c>
      <c r="I6041" s="7">
        <v>595</v>
      </c>
      <c r="K6041" s="7">
        <v>464.4</v>
      </c>
      <c r="L6041" s="7">
        <v>420.8</v>
      </c>
      <c r="M6041" s="7">
        <v>302</v>
      </c>
      <c r="N6041" s="7">
        <v>176.5</v>
      </c>
      <c r="O6041" s="7">
        <v>148</v>
      </c>
      <c r="P6041" s="7">
        <v>429.4</v>
      </c>
      <c r="Q6041" s="7">
        <v>384</v>
      </c>
      <c r="R6041" s="7">
        <v>267.10000000000002</v>
      </c>
      <c r="U6041" s="7">
        <v>421.7</v>
      </c>
    </row>
    <row r="6042" spans="1:21" x14ac:dyDescent="0.2">
      <c r="A6042">
        <v>6041</v>
      </c>
      <c r="B6042" s="1">
        <v>40904</v>
      </c>
      <c r="C6042" t="s">
        <v>24</v>
      </c>
      <c r="D6042" s="7">
        <v>165</v>
      </c>
      <c r="E6042" s="7">
        <v>25</v>
      </c>
      <c r="F6042" s="7">
        <f t="shared" si="94"/>
        <v>3</v>
      </c>
      <c r="G6042" s="7" t="str">
        <f>LOOKUP(H6042,[1]startdates!$A$2:$A$10,[1]startdates!$B$2:$B$10)</f>
        <v>SMr</v>
      </c>
      <c r="H6042">
        <v>4</v>
      </c>
      <c r="I6042" s="7">
        <v>474.1</v>
      </c>
      <c r="K6042" s="7">
        <v>460.2</v>
      </c>
      <c r="M6042" s="7">
        <v>290.89999999999998</v>
      </c>
      <c r="N6042" s="7">
        <v>204.1</v>
      </c>
      <c r="O6042" s="7">
        <v>170.6</v>
      </c>
      <c r="Q6042" s="7">
        <v>371.9</v>
      </c>
      <c r="R6042" s="7">
        <v>268</v>
      </c>
      <c r="U6042" s="7">
        <v>449.5</v>
      </c>
    </row>
    <row r="6043" spans="1:21" x14ac:dyDescent="0.2">
      <c r="A6043">
        <v>6042</v>
      </c>
      <c r="B6043" s="1">
        <v>40904</v>
      </c>
      <c r="C6043" t="s">
        <v>24</v>
      </c>
      <c r="D6043" s="7">
        <v>165</v>
      </c>
      <c r="E6043" s="7">
        <v>25</v>
      </c>
      <c r="F6043" s="7">
        <f t="shared" si="94"/>
        <v>3</v>
      </c>
      <c r="G6043" s="7" t="str">
        <f>LOOKUP(H6043,[1]startdates!$A$2:$A$10,[1]startdates!$B$2:$B$10)</f>
        <v>SMr</v>
      </c>
      <c r="H6043">
        <v>4</v>
      </c>
      <c r="I6043" s="7">
        <v>572.9</v>
      </c>
      <c r="K6043" s="7">
        <v>441.4</v>
      </c>
      <c r="M6043" s="7">
        <v>323.2</v>
      </c>
      <c r="N6043" s="7">
        <v>216</v>
      </c>
      <c r="O6043" s="7">
        <v>195.7</v>
      </c>
      <c r="U6043" s="7">
        <v>404.7</v>
      </c>
    </row>
    <row r="6044" spans="1:21" x14ac:dyDescent="0.2">
      <c r="A6044">
        <v>6043</v>
      </c>
      <c r="B6044" s="1">
        <v>40904</v>
      </c>
      <c r="C6044" t="s">
        <v>24</v>
      </c>
      <c r="D6044" s="7">
        <v>165</v>
      </c>
      <c r="E6044" s="7">
        <v>25</v>
      </c>
      <c r="F6044" s="7">
        <f t="shared" si="94"/>
        <v>3</v>
      </c>
      <c r="G6044" s="7" t="str">
        <f>LOOKUP(H6044,[1]startdates!$A$2:$A$10,[1]startdates!$B$2:$B$10)</f>
        <v>SMr</v>
      </c>
      <c r="H6044">
        <v>4</v>
      </c>
      <c r="I6044" s="7">
        <v>556</v>
      </c>
      <c r="M6044" s="7">
        <v>302.2</v>
      </c>
      <c r="N6044" s="7">
        <v>228.7</v>
      </c>
      <c r="O6044" s="7">
        <v>161.5</v>
      </c>
    </row>
    <row r="6045" spans="1:21" x14ac:dyDescent="0.2">
      <c r="A6045">
        <v>6044</v>
      </c>
      <c r="B6045" s="1">
        <v>40904</v>
      </c>
      <c r="C6045" t="s">
        <v>24</v>
      </c>
      <c r="D6045" s="7">
        <v>165</v>
      </c>
      <c r="E6045" s="7">
        <v>25</v>
      </c>
      <c r="F6045" s="7">
        <f t="shared" si="94"/>
        <v>3</v>
      </c>
      <c r="G6045" s="7" t="str">
        <f>LOOKUP(H6045,[1]startdates!$A$2:$A$10,[1]startdates!$B$2:$B$10)</f>
        <v>SMr</v>
      </c>
      <c r="H6045">
        <v>4</v>
      </c>
      <c r="I6045" s="7">
        <v>484.3</v>
      </c>
      <c r="M6045" s="7">
        <v>318.10000000000002</v>
      </c>
      <c r="N6045" s="7">
        <v>234.9</v>
      </c>
      <c r="O6045" s="7">
        <v>164</v>
      </c>
    </row>
    <row r="6046" spans="1:21" x14ac:dyDescent="0.2">
      <c r="A6046">
        <v>6045</v>
      </c>
      <c r="B6046" s="1">
        <v>40904</v>
      </c>
      <c r="C6046" t="s">
        <v>24</v>
      </c>
      <c r="D6046" s="7">
        <v>165</v>
      </c>
      <c r="E6046" s="7">
        <v>25</v>
      </c>
      <c r="F6046" s="7">
        <f t="shared" si="94"/>
        <v>3</v>
      </c>
      <c r="G6046" s="7" t="str">
        <f>LOOKUP(H6046,[1]startdates!$A$2:$A$10,[1]startdates!$B$2:$B$10)</f>
        <v>SMr</v>
      </c>
      <c r="H6046">
        <v>4</v>
      </c>
      <c r="I6046" s="7">
        <v>547.5</v>
      </c>
      <c r="N6046" s="7">
        <v>192</v>
      </c>
      <c r="O6046" s="7">
        <v>159</v>
      </c>
    </row>
    <row r="6047" spans="1:21" x14ac:dyDescent="0.2">
      <c r="A6047">
        <v>6046</v>
      </c>
      <c r="B6047" s="1">
        <v>40904</v>
      </c>
      <c r="C6047" t="s">
        <v>24</v>
      </c>
      <c r="D6047" s="7">
        <v>165</v>
      </c>
      <c r="E6047" s="7">
        <v>25</v>
      </c>
      <c r="F6047" s="7">
        <f t="shared" si="94"/>
        <v>3</v>
      </c>
      <c r="G6047" s="7" t="str">
        <f>LOOKUP(H6047,[1]startdates!$A$2:$A$10,[1]startdates!$B$2:$B$10)</f>
        <v>SMr</v>
      </c>
      <c r="H6047">
        <v>4</v>
      </c>
      <c r="I6047" s="7">
        <v>559.6</v>
      </c>
      <c r="N6047" s="7">
        <v>231.9</v>
      </c>
      <c r="O6047" s="7">
        <v>168.9</v>
      </c>
    </row>
    <row r="6048" spans="1:21" x14ac:dyDescent="0.2">
      <c r="A6048">
        <v>6047</v>
      </c>
      <c r="B6048" s="1">
        <v>40904</v>
      </c>
      <c r="C6048" t="s">
        <v>24</v>
      </c>
      <c r="D6048" s="7">
        <v>165</v>
      </c>
      <c r="E6048" s="7">
        <v>25</v>
      </c>
      <c r="F6048" s="7">
        <f t="shared" si="94"/>
        <v>3</v>
      </c>
      <c r="G6048" s="7" t="str">
        <f>LOOKUP(H6048,[1]startdates!$A$2:$A$10,[1]startdates!$B$2:$B$10)</f>
        <v>SMr</v>
      </c>
      <c r="H6048">
        <v>4</v>
      </c>
      <c r="I6048" s="7">
        <v>571.9</v>
      </c>
      <c r="N6048" s="7">
        <v>177.3</v>
      </c>
      <c r="O6048" s="7">
        <v>179.7</v>
      </c>
    </row>
    <row r="6049" spans="1:18" x14ac:dyDescent="0.2">
      <c r="A6049">
        <v>6048</v>
      </c>
      <c r="B6049" s="1">
        <v>40904</v>
      </c>
      <c r="C6049" t="s">
        <v>24</v>
      </c>
      <c r="D6049" s="7">
        <v>165</v>
      </c>
      <c r="E6049" s="7">
        <v>25</v>
      </c>
      <c r="F6049" s="7">
        <f t="shared" si="94"/>
        <v>3</v>
      </c>
      <c r="G6049" s="7" t="str">
        <f>LOOKUP(H6049,[1]startdates!$A$2:$A$10,[1]startdates!$B$2:$B$10)</f>
        <v>SMr</v>
      </c>
      <c r="H6049">
        <v>4</v>
      </c>
      <c r="N6049" s="7">
        <v>202.6</v>
      </c>
    </row>
    <row r="6050" spans="1:18" x14ac:dyDescent="0.2">
      <c r="A6050">
        <v>6049</v>
      </c>
      <c r="B6050" s="1">
        <v>40904</v>
      </c>
      <c r="C6050" t="s">
        <v>24</v>
      </c>
      <c r="D6050" s="7">
        <v>165</v>
      </c>
      <c r="E6050" s="7">
        <v>25</v>
      </c>
      <c r="F6050" s="7">
        <f t="shared" si="94"/>
        <v>3</v>
      </c>
      <c r="G6050" s="7" t="str">
        <f>LOOKUP(H6050,[1]startdates!$A$2:$A$10,[1]startdates!$B$2:$B$10)</f>
        <v>C</v>
      </c>
      <c r="H6050">
        <v>5</v>
      </c>
      <c r="I6050" s="7">
        <v>577.6</v>
      </c>
      <c r="J6050" s="7">
        <v>558.5</v>
      </c>
      <c r="K6050" s="7">
        <v>434.2</v>
      </c>
      <c r="L6050" s="7">
        <v>401.8</v>
      </c>
      <c r="M6050" s="7">
        <v>385.9</v>
      </c>
      <c r="N6050" s="7">
        <v>216.6</v>
      </c>
      <c r="O6050" s="7">
        <v>198.5</v>
      </c>
      <c r="P6050" s="7">
        <v>451.1</v>
      </c>
      <c r="R6050" s="7">
        <v>266</v>
      </c>
    </row>
    <row r="6051" spans="1:18" x14ac:dyDescent="0.2">
      <c r="A6051">
        <v>6050</v>
      </c>
      <c r="B6051" s="1">
        <v>40904</v>
      </c>
      <c r="C6051" t="s">
        <v>24</v>
      </c>
      <c r="D6051" s="7">
        <v>165</v>
      </c>
      <c r="E6051" s="7">
        <v>25</v>
      </c>
      <c r="F6051" s="7">
        <f t="shared" si="94"/>
        <v>3</v>
      </c>
      <c r="G6051" s="7" t="str">
        <f>LOOKUP(H6051,[1]startdates!$A$2:$A$10,[1]startdates!$B$2:$B$10)</f>
        <v>C</v>
      </c>
      <c r="H6051">
        <v>5</v>
      </c>
      <c r="I6051" s="7">
        <v>656.2</v>
      </c>
      <c r="J6051" s="7">
        <v>529</v>
      </c>
      <c r="K6051" s="7">
        <v>513.5</v>
      </c>
      <c r="L6051" s="7">
        <v>427.4</v>
      </c>
      <c r="M6051" s="7">
        <v>377.3</v>
      </c>
      <c r="N6051" s="7">
        <v>262.7</v>
      </c>
      <c r="O6051" s="7">
        <v>179.5</v>
      </c>
      <c r="P6051" s="7">
        <v>505.4</v>
      </c>
      <c r="R6051" s="7">
        <v>268</v>
      </c>
    </row>
    <row r="6052" spans="1:18" x14ac:dyDescent="0.2">
      <c r="A6052">
        <v>6051</v>
      </c>
      <c r="B6052" s="1">
        <v>40904</v>
      </c>
      <c r="C6052" t="s">
        <v>24</v>
      </c>
      <c r="D6052" s="7">
        <v>165</v>
      </c>
      <c r="E6052" s="7">
        <v>25</v>
      </c>
      <c r="F6052" s="7">
        <f t="shared" si="94"/>
        <v>3</v>
      </c>
      <c r="G6052" s="7" t="str">
        <f>LOOKUP(H6052,[1]startdates!$A$2:$A$10,[1]startdates!$B$2:$B$10)</f>
        <v>C</v>
      </c>
      <c r="H6052">
        <v>5</v>
      </c>
      <c r="I6052" s="7">
        <v>721.2</v>
      </c>
      <c r="J6052" s="7">
        <v>520.29999999999995</v>
      </c>
      <c r="K6052" s="7">
        <v>549.79999999999995</v>
      </c>
      <c r="L6052" s="7">
        <v>461.1</v>
      </c>
      <c r="M6052" s="7">
        <v>394.7</v>
      </c>
      <c r="N6052" s="7">
        <v>177.7</v>
      </c>
      <c r="O6052" s="7">
        <v>180.5</v>
      </c>
      <c r="P6052" s="7">
        <v>408.7</v>
      </c>
      <c r="R6052" s="7">
        <v>287.5</v>
      </c>
    </row>
    <row r="6053" spans="1:18" x14ac:dyDescent="0.2">
      <c r="A6053">
        <v>6052</v>
      </c>
      <c r="B6053" s="1">
        <v>40904</v>
      </c>
      <c r="C6053" t="s">
        <v>24</v>
      </c>
      <c r="D6053" s="7">
        <v>165</v>
      </c>
      <c r="E6053" s="7">
        <v>25</v>
      </c>
      <c r="F6053" s="7">
        <f t="shared" si="94"/>
        <v>3</v>
      </c>
      <c r="G6053" s="7" t="str">
        <f>LOOKUP(H6053,[1]startdates!$A$2:$A$10,[1]startdates!$B$2:$B$10)</f>
        <v>C</v>
      </c>
      <c r="H6053">
        <v>5</v>
      </c>
      <c r="I6053" s="7">
        <v>577.20000000000005</v>
      </c>
      <c r="K6053" s="7">
        <v>482.7</v>
      </c>
      <c r="L6053" s="7">
        <v>450.8</v>
      </c>
      <c r="M6053" s="7">
        <v>307.89999999999998</v>
      </c>
      <c r="N6053" s="7">
        <v>209.9</v>
      </c>
      <c r="O6053" s="7">
        <v>162.69999999999999</v>
      </c>
    </row>
    <row r="6054" spans="1:18" x14ac:dyDescent="0.2">
      <c r="A6054">
        <v>6053</v>
      </c>
      <c r="B6054" s="1">
        <v>40904</v>
      </c>
      <c r="C6054" t="s">
        <v>24</v>
      </c>
      <c r="D6054" s="7">
        <v>165</v>
      </c>
      <c r="E6054" s="7">
        <v>25</v>
      </c>
      <c r="F6054" s="7">
        <f t="shared" si="94"/>
        <v>3</v>
      </c>
      <c r="G6054" s="7" t="str">
        <f>LOOKUP(H6054,[1]startdates!$A$2:$A$10,[1]startdates!$B$2:$B$10)</f>
        <v>C</v>
      </c>
      <c r="H6054">
        <v>5</v>
      </c>
      <c r="I6054" s="7">
        <v>567.1</v>
      </c>
      <c r="K6054" s="7">
        <v>524.4</v>
      </c>
      <c r="M6054" s="7">
        <v>318.89999999999998</v>
      </c>
      <c r="N6054" s="7">
        <v>245.7</v>
      </c>
      <c r="O6054" s="7">
        <v>180.7</v>
      </c>
    </row>
    <row r="6055" spans="1:18" x14ac:dyDescent="0.2">
      <c r="A6055">
        <v>6054</v>
      </c>
      <c r="B6055" s="1">
        <v>40904</v>
      </c>
      <c r="C6055" t="s">
        <v>24</v>
      </c>
      <c r="D6055" s="7">
        <v>165</v>
      </c>
      <c r="E6055" s="7">
        <v>25</v>
      </c>
      <c r="F6055" s="7">
        <f t="shared" si="94"/>
        <v>3</v>
      </c>
      <c r="G6055" s="7" t="str">
        <f>LOOKUP(H6055,[1]startdates!$A$2:$A$10,[1]startdates!$B$2:$B$10)</f>
        <v>C</v>
      </c>
      <c r="H6055">
        <v>5</v>
      </c>
      <c r="I6055" s="7">
        <v>629</v>
      </c>
      <c r="N6055" s="7">
        <v>209.3</v>
      </c>
      <c r="O6055" s="7">
        <v>170.6</v>
      </c>
    </row>
    <row r="6056" spans="1:18" x14ac:dyDescent="0.2">
      <c r="A6056">
        <v>6055</v>
      </c>
      <c r="B6056" s="1">
        <v>40904</v>
      </c>
      <c r="C6056" t="s">
        <v>24</v>
      </c>
      <c r="D6056" s="7">
        <v>165</v>
      </c>
      <c r="E6056" s="7">
        <v>25</v>
      </c>
      <c r="F6056" s="7">
        <f t="shared" si="94"/>
        <v>3</v>
      </c>
      <c r="G6056" s="7" t="str">
        <f>LOOKUP(H6056,[1]startdates!$A$2:$A$10,[1]startdates!$B$2:$B$10)</f>
        <v>C</v>
      </c>
      <c r="H6056">
        <v>5</v>
      </c>
      <c r="I6056" s="7">
        <v>526.1</v>
      </c>
      <c r="N6056" s="7">
        <v>247.4</v>
      </c>
      <c r="O6056" s="7">
        <v>129.69999999999999</v>
      </c>
    </row>
    <row r="6057" spans="1:18" x14ac:dyDescent="0.2">
      <c r="A6057">
        <v>6056</v>
      </c>
      <c r="B6057" s="1">
        <v>40904</v>
      </c>
      <c r="C6057" t="s">
        <v>24</v>
      </c>
      <c r="D6057" s="7">
        <v>165</v>
      </c>
      <c r="E6057" s="7">
        <v>25</v>
      </c>
      <c r="F6057" s="7">
        <f t="shared" ref="F6057:F6120" si="95">WEEKDAY(B6057)</f>
        <v>3</v>
      </c>
      <c r="G6057" s="7" t="str">
        <f>LOOKUP(H6057,[1]startdates!$A$2:$A$10,[1]startdates!$B$2:$B$10)</f>
        <v>C</v>
      </c>
      <c r="H6057">
        <v>5</v>
      </c>
      <c r="I6057" s="7">
        <v>506.6</v>
      </c>
      <c r="N6057" s="7">
        <v>194.4</v>
      </c>
      <c r="O6057" s="7">
        <v>169.4</v>
      </c>
    </row>
    <row r="6058" spans="1:18" x14ac:dyDescent="0.2">
      <c r="A6058">
        <v>6057</v>
      </c>
      <c r="B6058" s="1">
        <v>40904</v>
      </c>
      <c r="C6058" t="s">
        <v>24</v>
      </c>
      <c r="D6058" s="7">
        <v>165</v>
      </c>
      <c r="E6058" s="7">
        <v>25</v>
      </c>
      <c r="F6058" s="7">
        <f t="shared" si="95"/>
        <v>3</v>
      </c>
      <c r="G6058" s="7" t="str">
        <f>LOOKUP(H6058,[1]startdates!$A$2:$A$10,[1]startdates!$B$2:$B$10)</f>
        <v>C</v>
      </c>
      <c r="H6058">
        <v>5</v>
      </c>
      <c r="I6058" s="7">
        <v>531</v>
      </c>
      <c r="N6058" s="7">
        <v>195.3</v>
      </c>
    </row>
    <row r="6059" spans="1:18" x14ac:dyDescent="0.2">
      <c r="A6059">
        <v>6058</v>
      </c>
      <c r="B6059" s="1">
        <v>40904</v>
      </c>
      <c r="C6059" t="s">
        <v>24</v>
      </c>
      <c r="D6059" s="7">
        <v>165</v>
      </c>
      <c r="E6059" s="7">
        <v>25</v>
      </c>
      <c r="F6059" s="7">
        <f t="shared" si="95"/>
        <v>3</v>
      </c>
      <c r="G6059" s="7" t="str">
        <f>LOOKUP(H6059,[1]startdates!$A$2:$A$10,[1]startdates!$B$2:$B$10)</f>
        <v>C</v>
      </c>
      <c r="H6059">
        <v>5</v>
      </c>
      <c r="I6059" s="7">
        <v>712.1</v>
      </c>
      <c r="N6059" s="7">
        <v>270.8</v>
      </c>
    </row>
    <row r="6060" spans="1:18" x14ac:dyDescent="0.2">
      <c r="A6060">
        <v>6059</v>
      </c>
      <c r="B6060" s="1">
        <v>40904</v>
      </c>
      <c r="C6060" t="s">
        <v>24</v>
      </c>
      <c r="D6060" s="7">
        <v>165</v>
      </c>
      <c r="E6060" s="7">
        <v>25</v>
      </c>
      <c r="F6060" s="7">
        <f t="shared" si="95"/>
        <v>3</v>
      </c>
      <c r="G6060" s="7" t="str">
        <f>LOOKUP(H6060,[1]startdates!$A$2:$A$10,[1]startdates!$B$2:$B$10)</f>
        <v>C</v>
      </c>
      <c r="H6060">
        <v>5</v>
      </c>
      <c r="I6060" s="7">
        <v>607.79999999999995</v>
      </c>
    </row>
    <row r="6061" spans="1:18" x14ac:dyDescent="0.2">
      <c r="A6061">
        <v>6060</v>
      </c>
      <c r="B6061" s="1">
        <v>40904</v>
      </c>
      <c r="C6061" t="s">
        <v>24</v>
      </c>
      <c r="D6061" s="7">
        <v>165</v>
      </c>
      <c r="E6061" s="7">
        <v>25</v>
      </c>
      <c r="F6061" s="7">
        <f t="shared" si="95"/>
        <v>3</v>
      </c>
      <c r="G6061" s="7" t="str">
        <f>LOOKUP(H6061,[1]startdates!$A$2:$A$10,[1]startdates!$B$2:$B$10)</f>
        <v>FMr</v>
      </c>
      <c r="H6061">
        <v>6</v>
      </c>
      <c r="I6061" s="7">
        <v>592</v>
      </c>
      <c r="K6061" s="7">
        <v>525.29999999999995</v>
      </c>
      <c r="L6061" s="7">
        <v>413.7</v>
      </c>
      <c r="M6061" s="7">
        <v>349.2</v>
      </c>
      <c r="N6061" s="7">
        <v>214</v>
      </c>
      <c r="O6061" s="7">
        <v>203.8</v>
      </c>
      <c r="R6061" s="7">
        <v>267.10000000000002</v>
      </c>
    </row>
    <row r="6062" spans="1:18" x14ac:dyDescent="0.2">
      <c r="A6062">
        <v>6061</v>
      </c>
      <c r="B6062" s="1">
        <v>40904</v>
      </c>
      <c r="C6062" t="s">
        <v>24</v>
      </c>
      <c r="D6062" s="7">
        <v>165</v>
      </c>
      <c r="E6062" s="7">
        <v>25</v>
      </c>
      <c r="F6062" s="7">
        <f t="shared" si="95"/>
        <v>3</v>
      </c>
      <c r="G6062" s="7" t="str">
        <f>LOOKUP(H6062,[1]startdates!$A$2:$A$10,[1]startdates!$B$2:$B$10)</f>
        <v>FMr</v>
      </c>
      <c r="H6062">
        <v>6</v>
      </c>
      <c r="I6062" s="7">
        <v>553.29999999999995</v>
      </c>
      <c r="K6062" s="7">
        <v>503</v>
      </c>
      <c r="M6062" s="7">
        <v>383.1</v>
      </c>
      <c r="N6062" s="7">
        <v>210.1</v>
      </c>
      <c r="O6062" s="7">
        <v>154.9</v>
      </c>
      <c r="R6062" s="7">
        <v>310.3</v>
      </c>
    </row>
    <row r="6063" spans="1:18" x14ac:dyDescent="0.2">
      <c r="A6063">
        <v>6062</v>
      </c>
      <c r="B6063" s="1">
        <v>40904</v>
      </c>
      <c r="C6063" t="s">
        <v>24</v>
      </c>
      <c r="D6063" s="7">
        <v>165</v>
      </c>
      <c r="E6063" s="7">
        <v>25</v>
      </c>
      <c r="F6063" s="7">
        <f t="shared" si="95"/>
        <v>3</v>
      </c>
      <c r="G6063" s="7" t="str">
        <f>LOOKUP(H6063,[1]startdates!$A$2:$A$10,[1]startdates!$B$2:$B$10)</f>
        <v>FMr</v>
      </c>
      <c r="H6063">
        <v>6</v>
      </c>
      <c r="I6063" s="7">
        <v>505.5</v>
      </c>
      <c r="K6063" s="7">
        <v>477</v>
      </c>
      <c r="M6063" s="7">
        <v>312.60000000000002</v>
      </c>
      <c r="N6063" s="7">
        <v>250.4</v>
      </c>
      <c r="O6063" s="7">
        <v>182.2</v>
      </c>
    </row>
    <row r="6064" spans="1:18" x14ac:dyDescent="0.2">
      <c r="A6064">
        <v>6063</v>
      </c>
      <c r="B6064" s="1">
        <v>40904</v>
      </c>
      <c r="C6064" t="s">
        <v>24</v>
      </c>
      <c r="D6064" s="7">
        <v>165</v>
      </c>
      <c r="E6064" s="7">
        <v>25</v>
      </c>
      <c r="F6064" s="7">
        <f t="shared" si="95"/>
        <v>3</v>
      </c>
      <c r="G6064" s="7" t="str">
        <f>LOOKUP(H6064,[1]startdates!$A$2:$A$10,[1]startdates!$B$2:$B$10)</f>
        <v>FMr</v>
      </c>
      <c r="H6064">
        <v>6</v>
      </c>
      <c r="I6064" s="7">
        <v>665.3</v>
      </c>
      <c r="K6064" s="7">
        <v>487.5</v>
      </c>
      <c r="M6064" s="7">
        <v>327.3</v>
      </c>
      <c r="N6064" s="7">
        <v>259.8</v>
      </c>
      <c r="O6064" s="7">
        <v>161.69999999999999</v>
      </c>
    </row>
    <row r="6065" spans="1:19" x14ac:dyDescent="0.2">
      <c r="A6065">
        <v>6064</v>
      </c>
      <c r="B6065" s="1">
        <v>40904</v>
      </c>
      <c r="C6065" t="s">
        <v>24</v>
      </c>
      <c r="D6065" s="7">
        <v>165</v>
      </c>
      <c r="E6065" s="7">
        <v>25</v>
      </c>
      <c r="F6065" s="7">
        <f t="shared" si="95"/>
        <v>3</v>
      </c>
      <c r="G6065" s="7" t="str">
        <f>LOOKUP(H6065,[1]startdates!$A$2:$A$10,[1]startdates!$B$2:$B$10)</f>
        <v>FMr</v>
      </c>
      <c r="H6065">
        <v>6</v>
      </c>
      <c r="I6065" s="7">
        <v>600.1</v>
      </c>
      <c r="K6065" s="7">
        <v>471.8</v>
      </c>
      <c r="N6065" s="7">
        <v>210.4</v>
      </c>
      <c r="O6065" s="7">
        <v>189.3</v>
      </c>
    </row>
    <row r="6066" spans="1:19" x14ac:dyDescent="0.2">
      <c r="A6066">
        <v>6065</v>
      </c>
      <c r="B6066" s="1">
        <v>40904</v>
      </c>
      <c r="C6066" t="s">
        <v>24</v>
      </c>
      <c r="D6066" s="7">
        <v>165</v>
      </c>
      <c r="E6066" s="7">
        <v>25</v>
      </c>
      <c r="F6066" s="7">
        <f t="shared" si="95"/>
        <v>3</v>
      </c>
      <c r="G6066" s="7" t="str">
        <f>LOOKUP(H6066,[1]startdates!$A$2:$A$10,[1]startdates!$B$2:$B$10)</f>
        <v>FMr</v>
      </c>
      <c r="H6066">
        <v>6</v>
      </c>
      <c r="I6066" s="7">
        <v>633.4</v>
      </c>
      <c r="K6066" s="7">
        <v>445.2</v>
      </c>
      <c r="N6066" s="7">
        <v>242.2</v>
      </c>
      <c r="O6066" s="7">
        <v>143.80000000000001</v>
      </c>
    </row>
    <row r="6067" spans="1:19" x14ac:dyDescent="0.2">
      <c r="A6067">
        <v>6066</v>
      </c>
      <c r="B6067" s="1">
        <v>40904</v>
      </c>
      <c r="C6067" t="s">
        <v>24</v>
      </c>
      <c r="D6067" s="7">
        <v>165</v>
      </c>
      <c r="E6067" s="7">
        <v>25</v>
      </c>
      <c r="F6067" s="7">
        <f t="shared" si="95"/>
        <v>3</v>
      </c>
      <c r="G6067" s="7" t="str">
        <f>LOOKUP(H6067,[1]startdates!$A$2:$A$10,[1]startdates!$B$2:$B$10)</f>
        <v>FMr</v>
      </c>
      <c r="H6067">
        <v>6</v>
      </c>
      <c r="I6067" s="7">
        <v>580</v>
      </c>
      <c r="K6067" s="7">
        <v>449.3</v>
      </c>
      <c r="N6067" s="7">
        <v>218.1</v>
      </c>
      <c r="O6067" s="7">
        <v>160.4</v>
      </c>
    </row>
    <row r="6068" spans="1:19" x14ac:dyDescent="0.2">
      <c r="A6068">
        <v>6067</v>
      </c>
      <c r="B6068" s="1">
        <v>40904</v>
      </c>
      <c r="C6068" t="s">
        <v>24</v>
      </c>
      <c r="D6068" s="7">
        <v>165</v>
      </c>
      <c r="E6068" s="7">
        <v>25</v>
      </c>
      <c r="F6068" s="7">
        <f t="shared" si="95"/>
        <v>3</v>
      </c>
      <c r="G6068" s="7" t="str">
        <f>LOOKUP(H6068,[1]startdates!$A$2:$A$10,[1]startdates!$B$2:$B$10)</f>
        <v>FMr</v>
      </c>
      <c r="H6068">
        <v>6</v>
      </c>
      <c r="I6068" s="7">
        <v>528.5</v>
      </c>
      <c r="N6068" s="7">
        <v>284.10000000000002</v>
      </c>
      <c r="O6068" s="7">
        <v>172.6</v>
      </c>
    </row>
    <row r="6069" spans="1:19" x14ac:dyDescent="0.2">
      <c r="A6069">
        <v>6068</v>
      </c>
      <c r="B6069" s="1">
        <v>40904</v>
      </c>
      <c r="C6069" t="s">
        <v>24</v>
      </c>
      <c r="D6069" s="7">
        <v>165</v>
      </c>
      <c r="E6069" s="7">
        <v>25</v>
      </c>
      <c r="F6069" s="7">
        <f t="shared" si="95"/>
        <v>3</v>
      </c>
      <c r="G6069" s="7" t="str">
        <f>LOOKUP(H6069,[1]startdates!$A$2:$A$10,[1]startdates!$B$2:$B$10)</f>
        <v>FMr</v>
      </c>
      <c r="H6069">
        <v>6</v>
      </c>
      <c r="I6069" s="7">
        <v>615.9</v>
      </c>
      <c r="N6069" s="7">
        <v>251.9</v>
      </c>
      <c r="O6069" s="7">
        <v>178.1</v>
      </c>
    </row>
    <row r="6070" spans="1:19" x14ac:dyDescent="0.2">
      <c r="A6070">
        <v>6069</v>
      </c>
      <c r="B6070" s="1">
        <v>40904</v>
      </c>
      <c r="C6070" t="s">
        <v>24</v>
      </c>
      <c r="D6070" s="7">
        <v>165</v>
      </c>
      <c r="E6070" s="7">
        <v>25</v>
      </c>
      <c r="F6070" s="7">
        <f t="shared" si="95"/>
        <v>3</v>
      </c>
      <c r="G6070" s="7" t="str">
        <f>LOOKUP(H6070,[1]startdates!$A$2:$A$10,[1]startdates!$B$2:$B$10)</f>
        <v>FMr</v>
      </c>
      <c r="H6070">
        <v>6</v>
      </c>
      <c r="I6070" s="7">
        <v>546.70000000000005</v>
      </c>
      <c r="N6070" s="7">
        <v>237.3</v>
      </c>
      <c r="O6070" s="7">
        <v>187.7</v>
      </c>
    </row>
    <row r="6071" spans="1:19" x14ac:dyDescent="0.2">
      <c r="A6071">
        <v>6070</v>
      </c>
      <c r="B6071" s="1">
        <v>40904</v>
      </c>
      <c r="C6071" t="s">
        <v>24</v>
      </c>
      <c r="D6071" s="7">
        <v>165</v>
      </c>
      <c r="E6071" s="7">
        <v>25</v>
      </c>
      <c r="F6071" s="7">
        <f t="shared" si="95"/>
        <v>3</v>
      </c>
      <c r="G6071" s="7" t="str">
        <f>LOOKUP(H6071,[1]startdates!$A$2:$A$10,[1]startdates!$B$2:$B$10)</f>
        <v>FMr</v>
      </c>
      <c r="H6071">
        <v>6</v>
      </c>
      <c r="I6071" s="7">
        <v>620.4</v>
      </c>
      <c r="N6071" s="7">
        <v>218.6</v>
      </c>
    </row>
    <row r="6072" spans="1:19" x14ac:dyDescent="0.2">
      <c r="A6072">
        <v>6071</v>
      </c>
      <c r="B6072" s="1">
        <v>40904</v>
      </c>
      <c r="C6072" t="s">
        <v>24</v>
      </c>
      <c r="D6072" s="7">
        <v>165</v>
      </c>
      <c r="E6072" s="7">
        <v>25</v>
      </c>
      <c r="F6072" s="7">
        <f t="shared" si="95"/>
        <v>3</v>
      </c>
      <c r="G6072" s="7" t="str">
        <f>LOOKUP(H6072,[1]startdates!$A$2:$A$10,[1]startdates!$B$2:$B$10)</f>
        <v>FMr</v>
      </c>
      <c r="H6072">
        <v>7</v>
      </c>
      <c r="I6072" s="7">
        <v>476.4</v>
      </c>
      <c r="K6072" s="7">
        <v>431.5</v>
      </c>
      <c r="L6072" s="7">
        <v>410.9</v>
      </c>
      <c r="M6072" s="7">
        <v>324.5</v>
      </c>
      <c r="N6072" s="7">
        <v>221.7</v>
      </c>
      <c r="O6072" s="7">
        <v>167.1</v>
      </c>
      <c r="P6072" s="7">
        <v>467.8</v>
      </c>
      <c r="Q6072" s="7">
        <v>376.9</v>
      </c>
      <c r="R6072" s="7">
        <v>270.10000000000002</v>
      </c>
      <c r="S6072" s="7">
        <v>259.60000000000002</v>
      </c>
    </row>
    <row r="6073" spans="1:19" x14ac:dyDescent="0.2">
      <c r="A6073">
        <v>6072</v>
      </c>
      <c r="B6073" s="1">
        <v>40904</v>
      </c>
      <c r="C6073" t="s">
        <v>24</v>
      </c>
      <c r="D6073" s="7">
        <v>165</v>
      </c>
      <c r="E6073" s="7">
        <v>25</v>
      </c>
      <c r="F6073" s="7">
        <f t="shared" si="95"/>
        <v>3</v>
      </c>
      <c r="G6073" s="7" t="str">
        <f>LOOKUP(H6073,[1]startdates!$A$2:$A$10,[1]startdates!$B$2:$B$10)</f>
        <v>FMr</v>
      </c>
      <c r="H6073">
        <v>7</v>
      </c>
      <c r="I6073" s="7">
        <v>626.1</v>
      </c>
      <c r="K6073" s="7">
        <v>477.3</v>
      </c>
      <c r="M6073" s="7">
        <v>296.89999999999998</v>
      </c>
      <c r="N6073" s="7">
        <v>229.6</v>
      </c>
      <c r="O6073" s="7">
        <v>172.4</v>
      </c>
      <c r="P6073" s="7">
        <v>434.1</v>
      </c>
    </row>
    <row r="6074" spans="1:19" x14ac:dyDescent="0.2">
      <c r="A6074">
        <v>6073</v>
      </c>
      <c r="B6074" s="1">
        <v>40904</v>
      </c>
      <c r="C6074" t="s">
        <v>24</v>
      </c>
      <c r="D6074" s="7">
        <v>165</v>
      </c>
      <c r="E6074" s="7">
        <v>25</v>
      </c>
      <c r="F6074" s="7">
        <f t="shared" si="95"/>
        <v>3</v>
      </c>
      <c r="G6074" s="7" t="str">
        <f>LOOKUP(H6074,[1]startdates!$A$2:$A$10,[1]startdates!$B$2:$B$10)</f>
        <v>FMr</v>
      </c>
      <c r="H6074">
        <v>7</v>
      </c>
      <c r="I6074" s="7">
        <v>568</v>
      </c>
      <c r="K6074" s="7">
        <v>498.7</v>
      </c>
      <c r="M6074" s="7">
        <v>309.8</v>
      </c>
      <c r="N6074" s="7">
        <v>155</v>
      </c>
      <c r="O6074" s="7">
        <v>162</v>
      </c>
      <c r="P6074" s="7">
        <v>445.9</v>
      </c>
    </row>
    <row r="6075" spans="1:19" x14ac:dyDescent="0.2">
      <c r="A6075">
        <v>6074</v>
      </c>
      <c r="B6075" s="1">
        <v>40904</v>
      </c>
      <c r="C6075" t="s">
        <v>24</v>
      </c>
      <c r="D6075" s="7">
        <v>165</v>
      </c>
      <c r="E6075" s="7">
        <v>25</v>
      </c>
      <c r="F6075" s="7">
        <f t="shared" si="95"/>
        <v>3</v>
      </c>
      <c r="G6075" s="7" t="str">
        <f>LOOKUP(H6075,[1]startdates!$A$2:$A$10,[1]startdates!$B$2:$B$10)</f>
        <v>FMr</v>
      </c>
      <c r="H6075">
        <v>7</v>
      </c>
      <c r="I6075" s="7">
        <v>526</v>
      </c>
      <c r="K6075" s="7">
        <v>446.2</v>
      </c>
      <c r="M6075" s="7">
        <v>348.4</v>
      </c>
      <c r="N6075" s="7">
        <v>224.6</v>
      </c>
      <c r="O6075" s="7">
        <v>164.2</v>
      </c>
      <c r="P6075" s="7">
        <v>411.6</v>
      </c>
    </row>
    <row r="6076" spans="1:19" x14ac:dyDescent="0.2">
      <c r="A6076">
        <v>6075</v>
      </c>
      <c r="B6076" s="1">
        <v>40904</v>
      </c>
      <c r="C6076" t="s">
        <v>24</v>
      </c>
      <c r="D6076" s="7">
        <v>165</v>
      </c>
      <c r="E6076" s="7">
        <v>25</v>
      </c>
      <c r="F6076" s="7">
        <f t="shared" si="95"/>
        <v>3</v>
      </c>
      <c r="G6076" s="7" t="str">
        <f>LOOKUP(H6076,[1]startdates!$A$2:$A$10,[1]startdates!$B$2:$B$10)</f>
        <v>FMr</v>
      </c>
      <c r="H6076">
        <v>7</v>
      </c>
      <c r="I6076" s="7">
        <v>510.9</v>
      </c>
      <c r="K6076" s="7">
        <v>491.2</v>
      </c>
      <c r="N6076" s="7">
        <v>230.4</v>
      </c>
      <c r="O6076" s="7">
        <v>181.1</v>
      </c>
      <c r="P6076" s="7">
        <v>438.9</v>
      </c>
    </row>
    <row r="6077" spans="1:19" x14ac:dyDescent="0.2">
      <c r="A6077">
        <v>6076</v>
      </c>
      <c r="B6077" s="1">
        <v>40904</v>
      </c>
      <c r="C6077" t="s">
        <v>24</v>
      </c>
      <c r="D6077" s="7">
        <v>165</v>
      </c>
      <c r="E6077" s="7">
        <v>25</v>
      </c>
      <c r="F6077" s="7">
        <f t="shared" si="95"/>
        <v>3</v>
      </c>
      <c r="G6077" s="7" t="str">
        <f>LOOKUP(H6077,[1]startdates!$A$2:$A$10,[1]startdates!$B$2:$B$10)</f>
        <v>FMr</v>
      </c>
      <c r="H6077">
        <v>7</v>
      </c>
      <c r="I6077" s="7">
        <v>640.29999999999995</v>
      </c>
      <c r="K6077" s="7">
        <v>497.2</v>
      </c>
      <c r="N6077" s="7">
        <v>181.1</v>
      </c>
      <c r="O6077" s="7">
        <v>151.80000000000001</v>
      </c>
      <c r="P6077" s="7">
        <v>470.9</v>
      </c>
    </row>
    <row r="6078" spans="1:19" x14ac:dyDescent="0.2">
      <c r="A6078">
        <v>6077</v>
      </c>
      <c r="B6078" s="1">
        <v>40904</v>
      </c>
      <c r="C6078" t="s">
        <v>24</v>
      </c>
      <c r="D6078" s="7">
        <v>165</v>
      </c>
      <c r="E6078" s="7">
        <v>25</v>
      </c>
      <c r="F6078" s="7">
        <f t="shared" si="95"/>
        <v>3</v>
      </c>
      <c r="G6078" s="7" t="str">
        <f>LOOKUP(H6078,[1]startdates!$A$2:$A$10,[1]startdates!$B$2:$B$10)</f>
        <v>FMr</v>
      </c>
      <c r="H6078">
        <v>7</v>
      </c>
      <c r="I6078" s="7">
        <v>521</v>
      </c>
      <c r="K6078" s="7">
        <v>440.9</v>
      </c>
      <c r="N6078" s="7">
        <v>228.2</v>
      </c>
      <c r="O6078" s="7">
        <v>157.4</v>
      </c>
      <c r="P6078" s="7">
        <v>438.9</v>
      </c>
    </row>
    <row r="6079" spans="1:19" x14ac:dyDescent="0.2">
      <c r="A6079">
        <v>6078</v>
      </c>
      <c r="B6079" s="1">
        <v>40904</v>
      </c>
      <c r="C6079" t="s">
        <v>24</v>
      </c>
      <c r="D6079" s="7">
        <v>165</v>
      </c>
      <c r="E6079" s="7">
        <v>25</v>
      </c>
      <c r="F6079" s="7">
        <f t="shared" si="95"/>
        <v>3</v>
      </c>
      <c r="G6079" s="7" t="str">
        <f>LOOKUP(H6079,[1]startdates!$A$2:$A$10,[1]startdates!$B$2:$B$10)</f>
        <v>FMr</v>
      </c>
      <c r="H6079">
        <v>7</v>
      </c>
      <c r="I6079" s="7">
        <v>486.8</v>
      </c>
      <c r="K6079" s="7">
        <v>510.3</v>
      </c>
      <c r="N6079" s="7">
        <v>203.3</v>
      </c>
      <c r="O6079" s="7">
        <v>157.30000000000001</v>
      </c>
    </row>
    <row r="6080" spans="1:19" x14ac:dyDescent="0.2">
      <c r="A6080">
        <v>6079</v>
      </c>
      <c r="B6080" s="1">
        <v>40904</v>
      </c>
      <c r="C6080" t="s">
        <v>24</v>
      </c>
      <c r="D6080" s="7">
        <v>165</v>
      </c>
      <c r="E6080" s="7">
        <v>25</v>
      </c>
      <c r="F6080" s="7">
        <f t="shared" si="95"/>
        <v>3</v>
      </c>
      <c r="G6080" s="7" t="str">
        <f>LOOKUP(H6080,[1]startdates!$A$2:$A$10,[1]startdates!$B$2:$B$10)</f>
        <v>FMr</v>
      </c>
      <c r="H6080">
        <v>7</v>
      </c>
      <c r="I6080" s="7">
        <v>635.20000000000005</v>
      </c>
      <c r="K6080" s="7">
        <v>447.9</v>
      </c>
      <c r="N6080" s="7">
        <v>197.8</v>
      </c>
      <c r="O6080" s="7">
        <v>161.9</v>
      </c>
    </row>
    <row r="6081" spans="1:22" x14ac:dyDescent="0.2">
      <c r="A6081">
        <v>6080</v>
      </c>
      <c r="B6081" s="1">
        <v>40904</v>
      </c>
      <c r="C6081" t="s">
        <v>24</v>
      </c>
      <c r="D6081" s="7">
        <v>165</v>
      </c>
      <c r="E6081" s="7">
        <v>25</v>
      </c>
      <c r="F6081" s="7">
        <f t="shared" si="95"/>
        <v>3</v>
      </c>
      <c r="G6081" s="7" t="str">
        <f>LOOKUP(H6081,[1]startdates!$A$2:$A$10,[1]startdates!$B$2:$B$10)</f>
        <v>FMr</v>
      </c>
      <c r="H6081">
        <v>7</v>
      </c>
      <c r="I6081" s="7">
        <v>520.4</v>
      </c>
      <c r="N6081" s="7">
        <v>196.4</v>
      </c>
      <c r="O6081" s="7">
        <v>159.80000000000001</v>
      </c>
    </row>
    <row r="6082" spans="1:22" x14ac:dyDescent="0.2">
      <c r="A6082">
        <v>6081</v>
      </c>
      <c r="B6082" s="1">
        <v>40904</v>
      </c>
      <c r="C6082" t="s">
        <v>24</v>
      </c>
      <c r="D6082" s="7">
        <v>165</v>
      </c>
      <c r="E6082" s="7">
        <v>25</v>
      </c>
      <c r="F6082" s="7">
        <f t="shared" si="95"/>
        <v>3</v>
      </c>
      <c r="G6082" s="7" t="str">
        <f>LOOKUP(H6082,[1]startdates!$A$2:$A$10,[1]startdates!$B$2:$B$10)</f>
        <v>FMr</v>
      </c>
      <c r="H6082">
        <v>7</v>
      </c>
      <c r="I6082" s="7">
        <v>539.70000000000005</v>
      </c>
    </row>
    <row r="6083" spans="1:22" x14ac:dyDescent="0.2">
      <c r="A6083">
        <v>6082</v>
      </c>
      <c r="B6083" s="1">
        <v>40904</v>
      </c>
      <c r="C6083" t="s">
        <v>24</v>
      </c>
      <c r="D6083" s="7">
        <v>165</v>
      </c>
      <c r="E6083" s="7">
        <v>25</v>
      </c>
      <c r="F6083" s="7">
        <f t="shared" si="95"/>
        <v>3</v>
      </c>
      <c r="G6083" s="7" t="str">
        <f>LOOKUP(H6083,[1]startdates!$A$2:$A$10,[1]startdates!$B$2:$B$10)</f>
        <v>FMr</v>
      </c>
      <c r="H6083">
        <v>7</v>
      </c>
      <c r="I6083" s="7">
        <v>539.6</v>
      </c>
    </row>
    <row r="6084" spans="1:22" x14ac:dyDescent="0.2">
      <c r="A6084">
        <v>6083</v>
      </c>
      <c r="B6084" s="1">
        <v>40904</v>
      </c>
      <c r="C6084" t="s">
        <v>24</v>
      </c>
      <c r="D6084" s="7">
        <v>165</v>
      </c>
      <c r="E6084" s="7">
        <v>25</v>
      </c>
      <c r="F6084" s="7">
        <f t="shared" si="95"/>
        <v>3</v>
      </c>
      <c r="G6084" s="7" t="str">
        <f>LOOKUP(H6084,[1]startdates!$A$2:$A$10,[1]startdates!$B$2:$B$10)</f>
        <v>FMr</v>
      </c>
      <c r="H6084">
        <v>7</v>
      </c>
      <c r="I6084" s="7">
        <v>479.9</v>
      </c>
    </row>
    <row r="6085" spans="1:22" x14ac:dyDescent="0.2">
      <c r="A6085">
        <v>6084</v>
      </c>
      <c r="B6085" s="1">
        <v>40904</v>
      </c>
      <c r="C6085" t="s">
        <v>24</v>
      </c>
      <c r="D6085" s="7">
        <v>165</v>
      </c>
      <c r="E6085" s="7">
        <v>25</v>
      </c>
      <c r="F6085" s="7">
        <f t="shared" si="95"/>
        <v>3</v>
      </c>
      <c r="G6085" s="7" t="str">
        <f>LOOKUP(H6085,[1]startdates!$A$2:$A$10,[1]startdates!$B$2:$B$10)</f>
        <v>C</v>
      </c>
      <c r="H6085">
        <v>8</v>
      </c>
      <c r="I6085" s="7">
        <v>606.9</v>
      </c>
      <c r="J6085" s="7">
        <v>473.7</v>
      </c>
      <c r="K6085" s="7">
        <v>547.29999999999995</v>
      </c>
      <c r="L6085" s="7">
        <v>410.5</v>
      </c>
      <c r="M6085" s="7">
        <v>321.89999999999998</v>
      </c>
      <c r="N6085" s="7">
        <v>233.8</v>
      </c>
      <c r="O6085" s="7">
        <v>164.2</v>
      </c>
      <c r="R6085" s="7">
        <v>294.10000000000002</v>
      </c>
      <c r="S6085" s="7">
        <v>247.4</v>
      </c>
    </row>
    <row r="6086" spans="1:22" x14ac:dyDescent="0.2">
      <c r="A6086">
        <v>6085</v>
      </c>
      <c r="B6086" s="1">
        <v>40904</v>
      </c>
      <c r="C6086" t="s">
        <v>24</v>
      </c>
      <c r="D6086" s="7">
        <v>165</v>
      </c>
      <c r="E6086" s="7">
        <v>25</v>
      </c>
      <c r="F6086" s="7">
        <f t="shared" si="95"/>
        <v>3</v>
      </c>
      <c r="G6086" s="7" t="str">
        <f>LOOKUP(H6086,[1]startdates!$A$2:$A$10,[1]startdates!$B$2:$B$10)</f>
        <v>C</v>
      </c>
      <c r="H6086">
        <v>8</v>
      </c>
      <c r="I6086" s="7">
        <v>614.9</v>
      </c>
      <c r="J6086" s="7">
        <v>452.6</v>
      </c>
      <c r="K6086" s="7">
        <v>586.5</v>
      </c>
      <c r="M6086" s="7">
        <v>322.8</v>
      </c>
      <c r="N6086" s="7">
        <v>216.7</v>
      </c>
      <c r="O6086" s="7">
        <v>179.5</v>
      </c>
      <c r="R6086" s="7">
        <v>273.7</v>
      </c>
      <c r="S6086" s="7">
        <v>271</v>
      </c>
    </row>
    <row r="6087" spans="1:22" x14ac:dyDescent="0.2">
      <c r="A6087">
        <v>6086</v>
      </c>
      <c r="B6087" s="1">
        <v>40904</v>
      </c>
      <c r="C6087" t="s">
        <v>24</v>
      </c>
      <c r="D6087" s="7">
        <v>165</v>
      </c>
      <c r="E6087" s="7">
        <v>25</v>
      </c>
      <c r="F6087" s="7">
        <f t="shared" si="95"/>
        <v>3</v>
      </c>
      <c r="G6087" s="7" t="str">
        <f>LOOKUP(H6087,[1]startdates!$A$2:$A$10,[1]startdates!$B$2:$B$10)</f>
        <v>C</v>
      </c>
      <c r="H6087">
        <v>8</v>
      </c>
      <c r="I6087" s="7">
        <v>643.9</v>
      </c>
      <c r="J6087" s="7">
        <v>515.4</v>
      </c>
      <c r="K6087" s="7">
        <v>588.79999999999995</v>
      </c>
      <c r="M6087" s="7">
        <v>276.89999999999998</v>
      </c>
      <c r="N6087" s="7">
        <v>217</v>
      </c>
      <c r="O6087" s="7">
        <v>187.4</v>
      </c>
    </row>
    <row r="6088" spans="1:22" x14ac:dyDescent="0.2">
      <c r="A6088">
        <v>6087</v>
      </c>
      <c r="B6088" s="1">
        <v>40904</v>
      </c>
      <c r="C6088" t="s">
        <v>24</v>
      </c>
      <c r="D6088" s="7">
        <v>165</v>
      </c>
      <c r="E6088" s="7">
        <v>25</v>
      </c>
      <c r="F6088" s="7">
        <f t="shared" si="95"/>
        <v>3</v>
      </c>
      <c r="G6088" s="7" t="str">
        <f>LOOKUP(H6088,[1]startdates!$A$2:$A$10,[1]startdates!$B$2:$B$10)</f>
        <v>C</v>
      </c>
      <c r="H6088">
        <v>8</v>
      </c>
      <c r="I6088" s="7">
        <v>648</v>
      </c>
      <c r="J6088" s="7">
        <v>471.3</v>
      </c>
      <c r="K6088" s="7">
        <v>472</v>
      </c>
      <c r="M6088" s="7">
        <v>337.3</v>
      </c>
      <c r="N6088" s="7">
        <v>210.4</v>
      </c>
      <c r="O6088" s="7">
        <v>173.5</v>
      </c>
    </row>
    <row r="6089" spans="1:22" x14ac:dyDescent="0.2">
      <c r="A6089">
        <v>6088</v>
      </c>
      <c r="B6089" s="1">
        <v>40904</v>
      </c>
      <c r="C6089" t="s">
        <v>24</v>
      </c>
      <c r="D6089" s="7">
        <v>165</v>
      </c>
      <c r="E6089" s="7">
        <v>25</v>
      </c>
      <c r="F6089" s="7">
        <f t="shared" si="95"/>
        <v>3</v>
      </c>
      <c r="G6089" s="7" t="str">
        <f>LOOKUP(H6089,[1]startdates!$A$2:$A$10,[1]startdates!$B$2:$B$10)</f>
        <v>C</v>
      </c>
      <c r="H6089">
        <v>8</v>
      </c>
      <c r="I6089" s="7">
        <v>543</v>
      </c>
      <c r="J6089" s="7">
        <v>531.9</v>
      </c>
      <c r="M6089" s="7">
        <v>372.3</v>
      </c>
      <c r="N6089" s="7">
        <v>198.1</v>
      </c>
      <c r="O6089" s="7">
        <v>169</v>
      </c>
    </row>
    <row r="6090" spans="1:22" x14ac:dyDescent="0.2">
      <c r="A6090">
        <v>6089</v>
      </c>
      <c r="B6090" s="1">
        <v>40904</v>
      </c>
      <c r="C6090" t="s">
        <v>24</v>
      </c>
      <c r="D6090" s="7">
        <v>165</v>
      </c>
      <c r="E6090" s="7">
        <v>25</v>
      </c>
      <c r="F6090" s="7">
        <f t="shared" si="95"/>
        <v>3</v>
      </c>
      <c r="G6090" s="7" t="str">
        <f>LOOKUP(H6090,[1]startdates!$A$2:$A$10,[1]startdates!$B$2:$B$10)</f>
        <v>C</v>
      </c>
      <c r="H6090">
        <v>8</v>
      </c>
      <c r="I6090" s="7">
        <v>454.3</v>
      </c>
      <c r="N6090" s="7">
        <v>179.8</v>
      </c>
      <c r="O6090" s="7">
        <v>171.5</v>
      </c>
    </row>
    <row r="6091" spans="1:22" x14ac:dyDescent="0.2">
      <c r="A6091">
        <v>6090</v>
      </c>
      <c r="B6091" s="1">
        <v>40904</v>
      </c>
      <c r="C6091" t="s">
        <v>24</v>
      </c>
      <c r="D6091" s="7">
        <v>165</v>
      </c>
      <c r="E6091" s="7">
        <v>25</v>
      </c>
      <c r="F6091" s="7">
        <f t="shared" si="95"/>
        <v>3</v>
      </c>
      <c r="G6091" s="7" t="str">
        <f>LOOKUP(H6091,[1]startdates!$A$2:$A$10,[1]startdates!$B$2:$B$10)</f>
        <v>C</v>
      </c>
      <c r="H6091">
        <v>8</v>
      </c>
      <c r="I6091" s="7">
        <v>500.8</v>
      </c>
      <c r="N6091" s="7">
        <v>178.1</v>
      </c>
      <c r="O6091" s="7">
        <v>171.5</v>
      </c>
    </row>
    <row r="6092" spans="1:22" x14ac:dyDescent="0.2">
      <c r="A6092">
        <v>6091</v>
      </c>
      <c r="B6092" s="1">
        <v>40904</v>
      </c>
      <c r="C6092" t="s">
        <v>24</v>
      </c>
      <c r="D6092" s="7">
        <v>165</v>
      </c>
      <c r="E6092" s="7">
        <v>25</v>
      </c>
      <c r="F6092" s="7">
        <f t="shared" si="95"/>
        <v>3</v>
      </c>
      <c r="G6092" s="7" t="str">
        <f>LOOKUP(H6092,[1]startdates!$A$2:$A$10,[1]startdates!$B$2:$B$10)</f>
        <v>C</v>
      </c>
      <c r="H6092">
        <v>8</v>
      </c>
      <c r="I6092" s="7">
        <v>619.5</v>
      </c>
      <c r="N6092" s="7">
        <v>212.8</v>
      </c>
      <c r="O6092" s="7">
        <v>186.9</v>
      </c>
    </row>
    <row r="6093" spans="1:22" x14ac:dyDescent="0.2">
      <c r="A6093">
        <v>6092</v>
      </c>
      <c r="B6093" s="1">
        <v>40904</v>
      </c>
      <c r="C6093" t="s">
        <v>24</v>
      </c>
      <c r="D6093" s="7">
        <v>165</v>
      </c>
      <c r="E6093" s="7">
        <v>25</v>
      </c>
      <c r="F6093" s="7">
        <f t="shared" si="95"/>
        <v>3</v>
      </c>
      <c r="G6093" s="7" t="str">
        <f>LOOKUP(H6093,[1]startdates!$A$2:$A$10,[1]startdates!$B$2:$B$10)</f>
        <v>C</v>
      </c>
      <c r="H6093">
        <v>8</v>
      </c>
      <c r="I6093" s="7">
        <v>566.6</v>
      </c>
      <c r="O6093" s="7">
        <v>175.6</v>
      </c>
    </row>
    <row r="6094" spans="1:22" x14ac:dyDescent="0.2">
      <c r="A6094">
        <v>6093</v>
      </c>
      <c r="B6094" s="1">
        <v>40904</v>
      </c>
      <c r="C6094" t="s">
        <v>24</v>
      </c>
      <c r="D6094" s="7">
        <v>165</v>
      </c>
      <c r="E6094" s="7">
        <v>25</v>
      </c>
      <c r="F6094" s="7">
        <f t="shared" si="95"/>
        <v>3</v>
      </c>
      <c r="G6094" s="7" t="str">
        <f>LOOKUP(H6094,[1]startdates!$A$2:$A$10,[1]startdates!$B$2:$B$10)</f>
        <v>C</v>
      </c>
      <c r="H6094">
        <v>8</v>
      </c>
      <c r="I6094" s="7">
        <v>513.5</v>
      </c>
      <c r="O6094" s="7">
        <v>186.2</v>
      </c>
    </row>
    <row r="6095" spans="1:22" x14ac:dyDescent="0.2">
      <c r="A6095">
        <v>6094</v>
      </c>
      <c r="B6095" s="1">
        <v>40904</v>
      </c>
      <c r="C6095" t="s">
        <v>24</v>
      </c>
      <c r="D6095" s="7">
        <v>165</v>
      </c>
      <c r="E6095" s="7">
        <v>25</v>
      </c>
      <c r="F6095" s="7">
        <f t="shared" si="95"/>
        <v>3</v>
      </c>
      <c r="G6095" s="7" t="str">
        <f>LOOKUP(H6095,[1]startdates!$A$2:$A$10,[1]startdates!$B$2:$B$10)</f>
        <v>C</v>
      </c>
      <c r="H6095">
        <v>8</v>
      </c>
      <c r="I6095" s="7">
        <v>647.29999999999995</v>
      </c>
    </row>
    <row r="6096" spans="1:22" x14ac:dyDescent="0.2">
      <c r="A6096">
        <v>6095</v>
      </c>
      <c r="B6096" s="1">
        <v>40904</v>
      </c>
      <c r="C6096" t="s">
        <v>24</v>
      </c>
      <c r="D6096" s="7">
        <v>165</v>
      </c>
      <c r="E6096" s="7">
        <v>25</v>
      </c>
      <c r="F6096" s="7">
        <f t="shared" si="95"/>
        <v>3</v>
      </c>
      <c r="G6096" s="7" t="str">
        <f>LOOKUP(H6096,[1]startdates!$A$2:$A$10,[1]startdates!$B$2:$B$10)</f>
        <v>FMr</v>
      </c>
      <c r="H6096">
        <v>9</v>
      </c>
      <c r="I6096" s="7">
        <v>557.1</v>
      </c>
      <c r="J6096" s="7">
        <v>478.6</v>
      </c>
      <c r="K6096" s="7">
        <v>524.4</v>
      </c>
      <c r="L6096" s="7">
        <v>427.5</v>
      </c>
      <c r="M6096" s="7">
        <v>311.60000000000002</v>
      </c>
      <c r="N6096" s="7">
        <v>214.5</v>
      </c>
      <c r="O6096" s="7">
        <v>166.7</v>
      </c>
      <c r="P6096" s="7">
        <v>449.6</v>
      </c>
      <c r="Q6096" s="7">
        <v>379.3</v>
      </c>
      <c r="R6096" s="7">
        <v>278.60000000000002</v>
      </c>
      <c r="V6096" s="7">
        <v>503.8</v>
      </c>
    </row>
    <row r="6097" spans="1:22" x14ac:dyDescent="0.2">
      <c r="A6097">
        <v>6096</v>
      </c>
      <c r="B6097" s="1">
        <v>40904</v>
      </c>
      <c r="C6097" t="s">
        <v>24</v>
      </c>
      <c r="D6097" s="7">
        <v>165</v>
      </c>
      <c r="E6097" s="7">
        <v>25</v>
      </c>
      <c r="F6097" s="7">
        <f t="shared" si="95"/>
        <v>3</v>
      </c>
      <c r="G6097" s="7" t="str">
        <f>LOOKUP(H6097,[1]startdates!$A$2:$A$10,[1]startdates!$B$2:$B$10)</f>
        <v>FMr</v>
      </c>
      <c r="H6097">
        <v>9</v>
      </c>
      <c r="I6097" s="7">
        <v>553.20000000000005</v>
      </c>
      <c r="K6097" s="7">
        <v>478.6</v>
      </c>
      <c r="L6097" s="7">
        <v>395</v>
      </c>
      <c r="M6097" s="7">
        <v>356.5</v>
      </c>
      <c r="N6097" s="7">
        <v>201.4</v>
      </c>
      <c r="O6097" s="7">
        <v>193.2</v>
      </c>
      <c r="P6097" s="7">
        <v>488</v>
      </c>
      <c r="V6097" s="7">
        <v>477.8</v>
      </c>
    </row>
    <row r="6098" spans="1:22" x14ac:dyDescent="0.2">
      <c r="A6098">
        <v>6097</v>
      </c>
      <c r="B6098" s="1">
        <v>40904</v>
      </c>
      <c r="C6098" t="s">
        <v>24</v>
      </c>
      <c r="D6098" s="7">
        <v>165</v>
      </c>
      <c r="E6098" s="7">
        <v>25</v>
      </c>
      <c r="F6098" s="7">
        <f t="shared" si="95"/>
        <v>3</v>
      </c>
      <c r="G6098" s="7" t="str">
        <f>LOOKUP(H6098,[1]startdates!$A$2:$A$10,[1]startdates!$B$2:$B$10)</f>
        <v>FMr</v>
      </c>
      <c r="H6098">
        <v>9</v>
      </c>
      <c r="I6098" s="7">
        <v>610.1</v>
      </c>
      <c r="K6098" s="7">
        <v>499.2</v>
      </c>
      <c r="M6098" s="7">
        <v>317.10000000000002</v>
      </c>
      <c r="N6098" s="7">
        <v>212.8</v>
      </c>
      <c r="O6098" s="7">
        <v>188.3</v>
      </c>
      <c r="P6098" s="7">
        <v>449.7</v>
      </c>
      <c r="V6098" s="7">
        <v>443.7</v>
      </c>
    </row>
    <row r="6099" spans="1:22" x14ac:dyDescent="0.2">
      <c r="A6099">
        <v>6098</v>
      </c>
      <c r="B6099" s="1">
        <v>40904</v>
      </c>
      <c r="C6099" t="s">
        <v>24</v>
      </c>
      <c r="D6099" s="7">
        <v>165</v>
      </c>
      <c r="E6099" s="7">
        <v>25</v>
      </c>
      <c r="F6099" s="7">
        <f t="shared" si="95"/>
        <v>3</v>
      </c>
      <c r="G6099" s="7" t="str">
        <f>LOOKUP(H6099,[1]startdates!$A$2:$A$10,[1]startdates!$B$2:$B$10)</f>
        <v>FMr</v>
      </c>
      <c r="H6099">
        <v>9</v>
      </c>
      <c r="I6099" s="7">
        <v>602.9</v>
      </c>
      <c r="K6099" s="7">
        <v>532</v>
      </c>
      <c r="M6099" s="7">
        <v>351</v>
      </c>
      <c r="N6099" s="7">
        <v>235.5</v>
      </c>
      <c r="O6099" s="7">
        <v>173.7</v>
      </c>
    </row>
    <row r="6100" spans="1:22" x14ac:dyDescent="0.2">
      <c r="A6100">
        <v>6099</v>
      </c>
      <c r="B6100" s="1">
        <v>40904</v>
      </c>
      <c r="C6100" t="s">
        <v>24</v>
      </c>
      <c r="D6100" s="7">
        <v>165</v>
      </c>
      <c r="E6100" s="7">
        <v>25</v>
      </c>
      <c r="F6100" s="7">
        <f t="shared" si="95"/>
        <v>3</v>
      </c>
      <c r="G6100" s="7" t="str">
        <f>LOOKUP(H6100,[1]startdates!$A$2:$A$10,[1]startdates!$B$2:$B$10)</f>
        <v>FMr</v>
      </c>
      <c r="H6100">
        <v>9</v>
      </c>
      <c r="I6100" s="7">
        <v>610.6</v>
      </c>
      <c r="K6100" s="7">
        <v>535.5</v>
      </c>
      <c r="N6100" s="7">
        <v>202.6</v>
      </c>
      <c r="O6100" s="7">
        <v>185.9</v>
      </c>
    </row>
    <row r="6101" spans="1:22" x14ac:dyDescent="0.2">
      <c r="A6101">
        <v>6100</v>
      </c>
      <c r="B6101" s="1">
        <v>40904</v>
      </c>
      <c r="C6101" t="s">
        <v>24</v>
      </c>
      <c r="D6101" s="7">
        <v>165</v>
      </c>
      <c r="E6101" s="7">
        <v>25</v>
      </c>
      <c r="F6101" s="7">
        <f t="shared" si="95"/>
        <v>3</v>
      </c>
      <c r="G6101" s="7" t="str">
        <f>LOOKUP(H6101,[1]startdates!$A$2:$A$10,[1]startdates!$B$2:$B$10)</f>
        <v>FMr</v>
      </c>
      <c r="H6101">
        <v>9</v>
      </c>
      <c r="I6101" s="7">
        <v>543.9</v>
      </c>
      <c r="K6101" s="7">
        <v>422.1</v>
      </c>
      <c r="N6101" s="7">
        <v>202.5</v>
      </c>
      <c r="O6101" s="7">
        <v>185.2</v>
      </c>
    </row>
    <row r="6102" spans="1:22" x14ac:dyDescent="0.2">
      <c r="A6102">
        <v>6101</v>
      </c>
      <c r="B6102" s="1">
        <v>40904</v>
      </c>
      <c r="C6102" t="s">
        <v>24</v>
      </c>
      <c r="D6102" s="7">
        <v>165</v>
      </c>
      <c r="E6102" s="7">
        <v>25</v>
      </c>
      <c r="F6102" s="7">
        <f t="shared" si="95"/>
        <v>3</v>
      </c>
      <c r="G6102" s="7" t="str">
        <f>LOOKUP(H6102,[1]startdates!$A$2:$A$10,[1]startdates!$B$2:$B$10)</f>
        <v>FMr</v>
      </c>
      <c r="H6102">
        <v>9</v>
      </c>
      <c r="I6102" s="7">
        <v>588.4</v>
      </c>
      <c r="K6102" s="7">
        <v>458.2</v>
      </c>
      <c r="N6102" s="7">
        <v>168.9</v>
      </c>
      <c r="O6102" s="7">
        <v>169</v>
      </c>
    </row>
    <row r="6103" spans="1:22" x14ac:dyDescent="0.2">
      <c r="A6103">
        <v>6102</v>
      </c>
      <c r="B6103" s="1">
        <v>40904</v>
      </c>
      <c r="C6103" t="s">
        <v>24</v>
      </c>
      <c r="D6103" s="7">
        <v>165</v>
      </c>
      <c r="E6103" s="7">
        <v>25</v>
      </c>
      <c r="F6103" s="7">
        <f t="shared" si="95"/>
        <v>3</v>
      </c>
      <c r="G6103" s="7" t="str">
        <f>LOOKUP(H6103,[1]startdates!$A$2:$A$10,[1]startdates!$B$2:$B$10)</f>
        <v>FMr</v>
      </c>
      <c r="H6103">
        <v>9</v>
      </c>
      <c r="I6103" s="7">
        <v>601.20000000000005</v>
      </c>
      <c r="K6103" s="7">
        <v>406.7</v>
      </c>
      <c r="N6103" s="7">
        <v>222.4</v>
      </c>
      <c r="O6103" s="7">
        <v>169.9</v>
      </c>
    </row>
    <row r="6104" spans="1:22" x14ac:dyDescent="0.2">
      <c r="A6104">
        <v>6103</v>
      </c>
      <c r="B6104" s="1">
        <v>40904</v>
      </c>
      <c r="C6104" t="s">
        <v>24</v>
      </c>
      <c r="D6104" s="7">
        <v>165</v>
      </c>
      <c r="E6104" s="7">
        <v>25</v>
      </c>
      <c r="F6104" s="7">
        <f t="shared" si="95"/>
        <v>3</v>
      </c>
      <c r="G6104" s="7" t="str">
        <f>LOOKUP(H6104,[1]startdates!$A$2:$A$10,[1]startdates!$B$2:$B$10)</f>
        <v>FMr</v>
      </c>
      <c r="H6104">
        <v>9</v>
      </c>
      <c r="I6104" s="7">
        <v>577.70000000000005</v>
      </c>
      <c r="N6104" s="7">
        <v>244.8</v>
      </c>
      <c r="O6104" s="7">
        <v>185.3</v>
      </c>
    </row>
    <row r="6105" spans="1:22" x14ac:dyDescent="0.2">
      <c r="A6105">
        <v>6104</v>
      </c>
      <c r="B6105" s="1">
        <v>40904</v>
      </c>
      <c r="C6105" t="s">
        <v>24</v>
      </c>
      <c r="D6105" s="7">
        <v>165</v>
      </c>
      <c r="E6105" s="7">
        <v>25</v>
      </c>
      <c r="F6105" s="7">
        <f t="shared" si="95"/>
        <v>3</v>
      </c>
      <c r="G6105" s="7" t="str">
        <f>LOOKUP(H6105,[1]startdates!$A$2:$A$10,[1]startdates!$B$2:$B$10)</f>
        <v>FMr</v>
      </c>
      <c r="H6105">
        <v>9</v>
      </c>
      <c r="I6105" s="7">
        <v>568.79999999999995</v>
      </c>
      <c r="N6105" s="7">
        <v>213.7</v>
      </c>
      <c r="O6105" s="7">
        <v>171.6</v>
      </c>
    </row>
    <row r="6106" spans="1:22" x14ac:dyDescent="0.2">
      <c r="A6106">
        <v>6105</v>
      </c>
      <c r="B6106" s="1">
        <v>40907</v>
      </c>
      <c r="C6106" t="s">
        <v>28</v>
      </c>
      <c r="D6106" s="7">
        <v>168</v>
      </c>
      <c r="E6106" s="7">
        <v>25</v>
      </c>
      <c r="F6106" s="7">
        <f t="shared" si="95"/>
        <v>6</v>
      </c>
      <c r="G6106" s="7" t="str">
        <f>LOOKUP(H6106,[1]startdates!$A$2:$A$10,[1]startdates!$B$2:$B$10)</f>
        <v>SMr</v>
      </c>
      <c r="H6106">
        <v>1</v>
      </c>
      <c r="I6106" s="7">
        <v>628</v>
      </c>
      <c r="J6106" s="7">
        <v>451.5</v>
      </c>
      <c r="K6106" s="7">
        <v>538.1</v>
      </c>
      <c r="L6106" s="7">
        <v>459.4</v>
      </c>
      <c r="M6106" s="7">
        <v>352.8</v>
      </c>
      <c r="N6106" s="7">
        <v>235.7</v>
      </c>
      <c r="O6106" s="7">
        <v>172.5</v>
      </c>
      <c r="P6106" s="7">
        <v>447.3</v>
      </c>
      <c r="Q6106" s="7">
        <v>318</v>
      </c>
      <c r="S6106" s="7">
        <v>288.8</v>
      </c>
    </row>
    <row r="6107" spans="1:22" x14ac:dyDescent="0.2">
      <c r="A6107">
        <v>6106</v>
      </c>
      <c r="B6107" s="1">
        <v>40907</v>
      </c>
      <c r="C6107" t="s">
        <v>28</v>
      </c>
      <c r="D6107" s="7">
        <v>168</v>
      </c>
      <c r="E6107" s="7">
        <v>25</v>
      </c>
      <c r="F6107" s="7">
        <f t="shared" si="95"/>
        <v>6</v>
      </c>
      <c r="G6107" s="7" t="str">
        <f>LOOKUP(H6107,[1]startdates!$A$2:$A$10,[1]startdates!$B$2:$B$10)</f>
        <v>SMr</v>
      </c>
      <c r="H6107">
        <v>1</v>
      </c>
      <c r="I6107" s="7">
        <v>499.2</v>
      </c>
      <c r="J6107" s="7">
        <v>478.1</v>
      </c>
      <c r="K6107" s="7">
        <v>527.9</v>
      </c>
      <c r="L6107" s="7">
        <v>404.4</v>
      </c>
      <c r="M6107" s="7">
        <v>293.10000000000002</v>
      </c>
      <c r="N6107" s="7">
        <v>255.5</v>
      </c>
      <c r="O6107" s="7">
        <v>173.3</v>
      </c>
      <c r="P6107" s="7">
        <v>392</v>
      </c>
      <c r="Q6107" s="7">
        <v>312.7</v>
      </c>
    </row>
    <row r="6108" spans="1:22" x14ac:dyDescent="0.2">
      <c r="A6108">
        <v>6107</v>
      </c>
      <c r="B6108" s="1">
        <v>40907</v>
      </c>
      <c r="C6108" t="s">
        <v>28</v>
      </c>
      <c r="D6108" s="7">
        <v>168</v>
      </c>
      <c r="E6108" s="7">
        <v>25</v>
      </c>
      <c r="F6108" s="7">
        <f t="shared" si="95"/>
        <v>6</v>
      </c>
      <c r="G6108" s="7" t="str">
        <f>LOOKUP(H6108,[1]startdates!$A$2:$A$10,[1]startdates!$B$2:$B$10)</f>
        <v>SMr</v>
      </c>
      <c r="H6108">
        <v>1</v>
      </c>
      <c r="I6108" s="7">
        <v>532.5</v>
      </c>
      <c r="J6108" s="7">
        <v>510.3</v>
      </c>
      <c r="K6108" s="7">
        <v>488.3</v>
      </c>
      <c r="L6108" s="7">
        <v>429.7</v>
      </c>
      <c r="M6108" s="7">
        <v>340.5</v>
      </c>
      <c r="N6108" s="7">
        <v>228.5</v>
      </c>
      <c r="O6108" s="7">
        <v>181.2</v>
      </c>
      <c r="P6108" s="7">
        <v>384.7</v>
      </c>
      <c r="Q6108" s="7">
        <v>352.4</v>
      </c>
    </row>
    <row r="6109" spans="1:22" x14ac:dyDescent="0.2">
      <c r="A6109">
        <v>6108</v>
      </c>
      <c r="B6109" s="1">
        <v>40907</v>
      </c>
      <c r="C6109" t="s">
        <v>28</v>
      </c>
      <c r="D6109" s="7">
        <v>168</v>
      </c>
      <c r="E6109" s="7">
        <v>25</v>
      </c>
      <c r="F6109" s="7">
        <f t="shared" si="95"/>
        <v>6</v>
      </c>
      <c r="G6109" s="7" t="str">
        <f>LOOKUP(H6109,[1]startdates!$A$2:$A$10,[1]startdates!$B$2:$B$10)</f>
        <v>SMr</v>
      </c>
      <c r="H6109">
        <v>1</v>
      </c>
      <c r="I6109" s="7">
        <v>630.70000000000005</v>
      </c>
      <c r="K6109" s="7">
        <v>451</v>
      </c>
      <c r="M6109" s="7">
        <v>318.3</v>
      </c>
      <c r="N6109" s="7">
        <v>220.9</v>
      </c>
      <c r="O6109" s="7">
        <v>149</v>
      </c>
    </row>
    <row r="6110" spans="1:22" x14ac:dyDescent="0.2">
      <c r="A6110">
        <v>6109</v>
      </c>
      <c r="B6110" s="1">
        <v>40907</v>
      </c>
      <c r="C6110" t="s">
        <v>28</v>
      </c>
      <c r="D6110" s="7">
        <v>168</v>
      </c>
      <c r="E6110" s="7">
        <v>25</v>
      </c>
      <c r="F6110" s="7">
        <f t="shared" si="95"/>
        <v>6</v>
      </c>
      <c r="G6110" s="7" t="str">
        <f>LOOKUP(H6110,[1]startdates!$A$2:$A$10,[1]startdates!$B$2:$B$10)</f>
        <v>SMr</v>
      </c>
      <c r="H6110">
        <v>1</v>
      </c>
      <c r="I6110" s="7">
        <v>599.9</v>
      </c>
      <c r="M6110" s="7">
        <v>343.2</v>
      </c>
      <c r="N6110" s="7">
        <v>247.1</v>
      </c>
      <c r="O6110" s="7">
        <v>145.6</v>
      </c>
    </row>
    <row r="6111" spans="1:22" x14ac:dyDescent="0.2">
      <c r="A6111">
        <v>6110</v>
      </c>
      <c r="B6111" s="1">
        <v>40907</v>
      </c>
      <c r="C6111" t="s">
        <v>28</v>
      </c>
      <c r="D6111" s="7">
        <v>168</v>
      </c>
      <c r="E6111" s="7">
        <v>25</v>
      </c>
      <c r="F6111" s="7">
        <f t="shared" si="95"/>
        <v>6</v>
      </c>
      <c r="G6111" s="7" t="str">
        <f>LOOKUP(H6111,[1]startdates!$A$2:$A$10,[1]startdates!$B$2:$B$10)</f>
        <v>SMr</v>
      </c>
      <c r="H6111">
        <v>1</v>
      </c>
      <c r="I6111" s="7">
        <v>550.70000000000005</v>
      </c>
      <c r="M6111" s="7">
        <v>357.4</v>
      </c>
      <c r="N6111" s="7">
        <v>196.1</v>
      </c>
      <c r="O6111" s="7">
        <v>179.8</v>
      </c>
    </row>
    <row r="6112" spans="1:22" x14ac:dyDescent="0.2">
      <c r="A6112">
        <v>6111</v>
      </c>
      <c r="B6112" s="1">
        <v>40907</v>
      </c>
      <c r="C6112" t="s">
        <v>28</v>
      </c>
      <c r="D6112" s="7">
        <v>168</v>
      </c>
      <c r="E6112" s="7">
        <v>25</v>
      </c>
      <c r="F6112" s="7">
        <f t="shared" si="95"/>
        <v>6</v>
      </c>
      <c r="G6112" s="7" t="str">
        <f>LOOKUP(H6112,[1]startdates!$A$2:$A$10,[1]startdates!$B$2:$B$10)</f>
        <v>SMr</v>
      </c>
      <c r="H6112">
        <v>1</v>
      </c>
      <c r="I6112" s="7">
        <v>557.5</v>
      </c>
      <c r="M6112" s="7">
        <v>349.4</v>
      </c>
      <c r="N6112" s="7">
        <v>197.9</v>
      </c>
      <c r="O6112" s="7">
        <v>176</v>
      </c>
    </row>
    <row r="6113" spans="1:19" x14ac:dyDescent="0.2">
      <c r="A6113">
        <v>6112</v>
      </c>
      <c r="B6113" s="1">
        <v>40907</v>
      </c>
      <c r="C6113" t="s">
        <v>28</v>
      </c>
      <c r="D6113" s="7">
        <v>168</v>
      </c>
      <c r="E6113" s="7">
        <v>25</v>
      </c>
      <c r="F6113" s="7">
        <f t="shared" si="95"/>
        <v>6</v>
      </c>
      <c r="G6113" s="7" t="str">
        <f>LOOKUP(H6113,[1]startdates!$A$2:$A$10,[1]startdates!$B$2:$B$10)</f>
        <v>SMr</v>
      </c>
      <c r="H6113">
        <v>1</v>
      </c>
      <c r="I6113" s="7">
        <v>522.79999999999995</v>
      </c>
      <c r="M6113" s="7">
        <v>333.3</v>
      </c>
      <c r="N6113" s="7">
        <v>249.3</v>
      </c>
      <c r="O6113" s="7">
        <v>173.7</v>
      </c>
    </row>
    <row r="6114" spans="1:19" x14ac:dyDescent="0.2">
      <c r="A6114">
        <v>6113</v>
      </c>
      <c r="B6114" s="1">
        <v>40907</v>
      </c>
      <c r="C6114" t="s">
        <v>28</v>
      </c>
      <c r="D6114" s="7">
        <v>168</v>
      </c>
      <c r="E6114" s="7">
        <v>25</v>
      </c>
      <c r="F6114" s="7">
        <f t="shared" si="95"/>
        <v>6</v>
      </c>
      <c r="G6114" s="7" t="str">
        <f>LOOKUP(H6114,[1]startdates!$A$2:$A$10,[1]startdates!$B$2:$B$10)</f>
        <v>SMr</v>
      </c>
      <c r="H6114">
        <v>1</v>
      </c>
      <c r="I6114" s="7">
        <v>538.5</v>
      </c>
      <c r="M6114" s="7">
        <v>314.3</v>
      </c>
      <c r="N6114" s="7">
        <v>213.7</v>
      </c>
      <c r="O6114" s="7">
        <v>159.30000000000001</v>
      </c>
    </row>
    <row r="6115" spans="1:19" x14ac:dyDescent="0.2">
      <c r="A6115">
        <v>6114</v>
      </c>
      <c r="B6115" s="1">
        <v>40907</v>
      </c>
      <c r="C6115" t="s">
        <v>28</v>
      </c>
      <c r="D6115" s="7">
        <v>168</v>
      </c>
      <c r="E6115" s="7">
        <v>25</v>
      </c>
      <c r="F6115" s="7">
        <f t="shared" si="95"/>
        <v>6</v>
      </c>
      <c r="G6115" s="7" t="str">
        <f>LOOKUP(H6115,[1]startdates!$A$2:$A$10,[1]startdates!$B$2:$B$10)</f>
        <v>SMr</v>
      </c>
      <c r="H6115">
        <v>1</v>
      </c>
      <c r="I6115" s="7">
        <v>580</v>
      </c>
      <c r="N6115" s="7">
        <v>285.2</v>
      </c>
      <c r="O6115" s="7">
        <v>157</v>
      </c>
    </row>
    <row r="6116" spans="1:19" x14ac:dyDescent="0.2">
      <c r="A6116">
        <v>6115</v>
      </c>
      <c r="B6116" s="1">
        <v>40907</v>
      </c>
      <c r="C6116" t="s">
        <v>28</v>
      </c>
      <c r="D6116" s="7">
        <v>168</v>
      </c>
      <c r="E6116" s="7">
        <v>25</v>
      </c>
      <c r="F6116" s="7">
        <f t="shared" si="95"/>
        <v>6</v>
      </c>
      <c r="G6116" s="7" t="str">
        <f>LOOKUP(H6116,[1]startdates!$A$2:$A$10,[1]startdates!$B$2:$B$10)</f>
        <v>SMr</v>
      </c>
      <c r="H6116">
        <v>2</v>
      </c>
      <c r="I6116" s="7">
        <v>603</v>
      </c>
      <c r="K6116" s="7">
        <v>522.79999999999995</v>
      </c>
      <c r="L6116" s="7">
        <v>439.7</v>
      </c>
      <c r="M6116" s="7">
        <v>342.4</v>
      </c>
      <c r="N6116" s="7">
        <v>201.4</v>
      </c>
      <c r="O6116" s="7">
        <v>133.80000000000001</v>
      </c>
      <c r="P6116" s="7">
        <v>430.2</v>
      </c>
      <c r="Q6116" s="7">
        <v>324.89999999999998</v>
      </c>
      <c r="S6116" s="7">
        <v>239.7</v>
      </c>
    </row>
    <row r="6117" spans="1:19" x14ac:dyDescent="0.2">
      <c r="A6117">
        <v>6116</v>
      </c>
      <c r="B6117" s="1">
        <v>40907</v>
      </c>
      <c r="C6117" t="s">
        <v>28</v>
      </c>
      <c r="D6117" s="7">
        <v>168</v>
      </c>
      <c r="E6117" s="7">
        <v>25</v>
      </c>
      <c r="F6117" s="7">
        <f t="shared" si="95"/>
        <v>6</v>
      </c>
      <c r="G6117" s="7" t="str">
        <f>LOOKUP(H6117,[1]startdates!$A$2:$A$10,[1]startdates!$B$2:$B$10)</f>
        <v>SMr</v>
      </c>
      <c r="H6117">
        <v>2</v>
      </c>
      <c r="I6117" s="7">
        <v>505.7</v>
      </c>
      <c r="K6117" s="7">
        <v>476</v>
      </c>
      <c r="L6117" s="7">
        <v>422.4</v>
      </c>
      <c r="M6117" s="7">
        <v>388.8</v>
      </c>
      <c r="N6117" s="7">
        <v>274.89999999999998</v>
      </c>
      <c r="O6117" s="7">
        <v>168.9</v>
      </c>
      <c r="P6117" s="7">
        <v>412.9</v>
      </c>
      <c r="Q6117" s="7">
        <v>326.10000000000002</v>
      </c>
    </row>
    <row r="6118" spans="1:19" x14ac:dyDescent="0.2">
      <c r="A6118">
        <v>6117</v>
      </c>
      <c r="B6118" s="1">
        <v>40907</v>
      </c>
      <c r="C6118" t="s">
        <v>28</v>
      </c>
      <c r="D6118" s="7">
        <v>168</v>
      </c>
      <c r="E6118" s="7">
        <v>25</v>
      </c>
      <c r="F6118" s="7">
        <f t="shared" si="95"/>
        <v>6</v>
      </c>
      <c r="G6118" s="7" t="str">
        <f>LOOKUP(H6118,[1]startdates!$A$2:$A$10,[1]startdates!$B$2:$B$10)</f>
        <v>SMr</v>
      </c>
      <c r="H6118">
        <v>2</v>
      </c>
      <c r="I6118" s="7">
        <v>608.1</v>
      </c>
      <c r="K6118" s="7">
        <v>466.3</v>
      </c>
      <c r="L6118" s="7">
        <v>419.7</v>
      </c>
      <c r="M6118" s="7">
        <v>340</v>
      </c>
      <c r="N6118" s="7">
        <v>203.7</v>
      </c>
      <c r="O6118" s="7">
        <v>153.80000000000001</v>
      </c>
      <c r="Q6118" s="7">
        <v>314.7</v>
      </c>
    </row>
    <row r="6119" spans="1:19" x14ac:dyDescent="0.2">
      <c r="A6119">
        <v>6118</v>
      </c>
      <c r="B6119" s="1">
        <v>40907</v>
      </c>
      <c r="C6119" t="s">
        <v>28</v>
      </c>
      <c r="D6119" s="7">
        <v>168</v>
      </c>
      <c r="E6119" s="7">
        <v>25</v>
      </c>
      <c r="F6119" s="7">
        <f t="shared" si="95"/>
        <v>6</v>
      </c>
      <c r="G6119" s="7" t="str">
        <f>LOOKUP(H6119,[1]startdates!$A$2:$A$10,[1]startdates!$B$2:$B$10)</f>
        <v>SMr</v>
      </c>
      <c r="H6119">
        <v>2</v>
      </c>
      <c r="I6119" s="7">
        <v>545.6</v>
      </c>
      <c r="L6119" s="7">
        <v>394.4</v>
      </c>
      <c r="M6119" s="7">
        <v>377.9</v>
      </c>
      <c r="N6119" s="7">
        <v>281.8</v>
      </c>
      <c r="O6119" s="7">
        <v>151.1</v>
      </c>
    </row>
    <row r="6120" spans="1:19" x14ac:dyDescent="0.2">
      <c r="A6120">
        <v>6119</v>
      </c>
      <c r="B6120" s="1">
        <v>40907</v>
      </c>
      <c r="C6120" t="s">
        <v>28</v>
      </c>
      <c r="D6120" s="7">
        <v>168</v>
      </c>
      <c r="E6120" s="7">
        <v>25</v>
      </c>
      <c r="F6120" s="7">
        <f t="shared" si="95"/>
        <v>6</v>
      </c>
      <c r="G6120" s="7" t="str">
        <f>LOOKUP(H6120,[1]startdates!$A$2:$A$10,[1]startdates!$B$2:$B$10)</f>
        <v>SMr</v>
      </c>
      <c r="H6120">
        <v>2</v>
      </c>
      <c r="I6120" s="7">
        <v>593.9</v>
      </c>
      <c r="L6120" s="7">
        <v>407.7</v>
      </c>
      <c r="M6120" s="7">
        <v>372.4</v>
      </c>
      <c r="N6120" s="7">
        <v>201.8</v>
      </c>
      <c r="O6120" s="7">
        <v>149.9</v>
      </c>
    </row>
    <row r="6121" spans="1:19" x14ac:dyDescent="0.2">
      <c r="A6121">
        <v>6120</v>
      </c>
      <c r="B6121" s="1">
        <v>40907</v>
      </c>
      <c r="C6121" t="s">
        <v>28</v>
      </c>
      <c r="D6121" s="7">
        <v>168</v>
      </c>
      <c r="E6121" s="7">
        <v>25</v>
      </c>
      <c r="F6121" s="7">
        <f t="shared" ref="F6121:F6184" si="96">WEEKDAY(B6121)</f>
        <v>6</v>
      </c>
      <c r="G6121" s="7" t="str">
        <f>LOOKUP(H6121,[1]startdates!$A$2:$A$10,[1]startdates!$B$2:$B$10)</f>
        <v>SMr</v>
      </c>
      <c r="H6121">
        <v>2</v>
      </c>
      <c r="I6121" s="7">
        <v>592.4</v>
      </c>
      <c r="M6121" s="7">
        <v>338.4</v>
      </c>
      <c r="N6121" s="7">
        <v>191.3</v>
      </c>
      <c r="O6121" s="7">
        <v>142.30000000000001</v>
      </c>
    </row>
    <row r="6122" spans="1:19" x14ac:dyDescent="0.2">
      <c r="A6122">
        <v>6121</v>
      </c>
      <c r="B6122" s="1">
        <v>40907</v>
      </c>
      <c r="C6122" t="s">
        <v>28</v>
      </c>
      <c r="D6122" s="7">
        <v>168</v>
      </c>
      <c r="E6122" s="7">
        <v>25</v>
      </c>
      <c r="F6122" s="7">
        <f t="shared" si="96"/>
        <v>6</v>
      </c>
      <c r="G6122" s="7" t="str">
        <f>LOOKUP(H6122,[1]startdates!$A$2:$A$10,[1]startdates!$B$2:$B$10)</f>
        <v>SMr</v>
      </c>
      <c r="H6122">
        <v>2</v>
      </c>
      <c r="I6122" s="7">
        <v>541.29999999999995</v>
      </c>
      <c r="M6122" s="7">
        <v>310.3</v>
      </c>
      <c r="N6122" s="7">
        <v>212.4</v>
      </c>
      <c r="O6122" s="7">
        <v>148.9</v>
      </c>
    </row>
    <row r="6123" spans="1:19" x14ac:dyDescent="0.2">
      <c r="A6123">
        <v>6122</v>
      </c>
      <c r="B6123" s="1">
        <v>40907</v>
      </c>
      <c r="C6123" t="s">
        <v>28</v>
      </c>
      <c r="D6123" s="7">
        <v>168</v>
      </c>
      <c r="E6123" s="7">
        <v>25</v>
      </c>
      <c r="F6123" s="7">
        <f t="shared" si="96"/>
        <v>6</v>
      </c>
      <c r="G6123" s="7" t="str">
        <f>LOOKUP(H6123,[1]startdates!$A$2:$A$10,[1]startdates!$B$2:$B$10)</f>
        <v>SMr</v>
      </c>
      <c r="H6123">
        <v>2</v>
      </c>
      <c r="I6123" s="7">
        <v>548.6</v>
      </c>
      <c r="M6123" s="7">
        <v>344.6</v>
      </c>
      <c r="N6123" s="7">
        <v>254.2</v>
      </c>
      <c r="O6123" s="7">
        <v>151.4</v>
      </c>
    </row>
    <row r="6124" spans="1:19" x14ac:dyDescent="0.2">
      <c r="A6124">
        <v>6123</v>
      </c>
      <c r="B6124" s="1">
        <v>40907</v>
      </c>
      <c r="C6124" t="s">
        <v>28</v>
      </c>
      <c r="D6124" s="7">
        <v>168</v>
      </c>
      <c r="E6124" s="7">
        <v>25</v>
      </c>
      <c r="F6124" s="7">
        <f t="shared" si="96"/>
        <v>6</v>
      </c>
      <c r="G6124" s="7" t="str">
        <f>LOOKUP(H6124,[1]startdates!$A$2:$A$10,[1]startdates!$B$2:$B$10)</f>
        <v>SMr</v>
      </c>
      <c r="H6124">
        <v>2</v>
      </c>
      <c r="I6124" s="7">
        <v>617.29999999999995</v>
      </c>
      <c r="M6124" s="7">
        <v>331.4</v>
      </c>
      <c r="N6124" s="7">
        <v>232.4</v>
      </c>
      <c r="O6124" s="7">
        <v>156.5</v>
      </c>
    </row>
    <row r="6125" spans="1:19" x14ac:dyDescent="0.2">
      <c r="A6125">
        <v>6124</v>
      </c>
      <c r="B6125" s="1">
        <v>40907</v>
      </c>
      <c r="C6125" t="s">
        <v>28</v>
      </c>
      <c r="D6125" s="7">
        <v>168</v>
      </c>
      <c r="E6125" s="7">
        <v>25</v>
      </c>
      <c r="F6125" s="7">
        <f t="shared" si="96"/>
        <v>6</v>
      </c>
      <c r="G6125" s="7" t="str">
        <f>LOOKUP(H6125,[1]startdates!$A$2:$A$10,[1]startdates!$B$2:$B$10)</f>
        <v>SMr</v>
      </c>
      <c r="H6125">
        <v>2</v>
      </c>
      <c r="I6125" s="7">
        <v>562.6</v>
      </c>
      <c r="M6125" s="7">
        <v>333</v>
      </c>
      <c r="N6125" s="7">
        <v>254.8</v>
      </c>
      <c r="O6125" s="7">
        <v>182.5</v>
      </c>
    </row>
    <row r="6126" spans="1:19" x14ac:dyDescent="0.2">
      <c r="A6126">
        <v>6125</v>
      </c>
      <c r="B6126" s="1">
        <v>40907</v>
      </c>
      <c r="C6126" t="s">
        <v>28</v>
      </c>
      <c r="D6126" s="7">
        <v>168</v>
      </c>
      <c r="E6126" s="7">
        <v>25</v>
      </c>
      <c r="F6126" s="7">
        <f t="shared" si="96"/>
        <v>6</v>
      </c>
      <c r="G6126" s="7" t="str">
        <f>LOOKUP(H6126,[1]startdates!$A$2:$A$10,[1]startdates!$B$2:$B$10)</f>
        <v>SMr</v>
      </c>
      <c r="H6126">
        <v>2</v>
      </c>
      <c r="I6126" s="7">
        <v>519.70000000000005</v>
      </c>
      <c r="M6126" s="7">
        <v>309.8</v>
      </c>
    </row>
    <row r="6127" spans="1:19" x14ac:dyDescent="0.2">
      <c r="A6127">
        <v>6126</v>
      </c>
      <c r="B6127" s="1">
        <v>40907</v>
      </c>
      <c r="C6127" t="s">
        <v>28</v>
      </c>
      <c r="D6127" s="7">
        <v>168</v>
      </c>
      <c r="E6127" s="7">
        <v>25</v>
      </c>
      <c r="F6127" s="7">
        <f t="shared" si="96"/>
        <v>6</v>
      </c>
      <c r="G6127" s="7" t="str">
        <f>LOOKUP(H6127,[1]startdates!$A$2:$A$10,[1]startdates!$B$2:$B$10)</f>
        <v>C</v>
      </c>
      <c r="H6127">
        <v>3</v>
      </c>
      <c r="I6127" s="7">
        <v>560.5</v>
      </c>
      <c r="K6127" s="7">
        <v>461.8</v>
      </c>
      <c r="L6127" s="7">
        <v>457.1</v>
      </c>
      <c r="M6127" s="7">
        <v>345.9</v>
      </c>
      <c r="N6127" s="7">
        <v>199.3</v>
      </c>
      <c r="O6127" s="7">
        <v>149.1</v>
      </c>
      <c r="P6127" s="7">
        <v>482.4</v>
      </c>
      <c r="Q6127" s="7">
        <v>377.7</v>
      </c>
      <c r="S6127" s="7">
        <v>277.2</v>
      </c>
    </row>
    <row r="6128" spans="1:19" x14ac:dyDescent="0.2">
      <c r="A6128">
        <v>6127</v>
      </c>
      <c r="B6128" s="1">
        <v>40907</v>
      </c>
      <c r="C6128" t="s">
        <v>28</v>
      </c>
      <c r="D6128" s="7">
        <v>168</v>
      </c>
      <c r="E6128" s="7">
        <v>25</v>
      </c>
      <c r="F6128" s="7">
        <f t="shared" si="96"/>
        <v>6</v>
      </c>
      <c r="G6128" s="7" t="str">
        <f>LOOKUP(H6128,[1]startdates!$A$2:$A$10,[1]startdates!$B$2:$B$10)</f>
        <v>C</v>
      </c>
      <c r="H6128">
        <v>3</v>
      </c>
      <c r="I6128" s="7">
        <v>475</v>
      </c>
      <c r="K6128" s="7">
        <v>482.4</v>
      </c>
      <c r="L6128" s="7">
        <v>410.5</v>
      </c>
      <c r="M6128" s="7">
        <v>322.8</v>
      </c>
      <c r="N6128" s="7">
        <v>231.8</v>
      </c>
      <c r="O6128" s="7">
        <v>176.8</v>
      </c>
      <c r="P6128" s="7">
        <v>462.4</v>
      </c>
      <c r="Q6128" s="7">
        <v>331.5</v>
      </c>
    </row>
    <row r="6129" spans="1:18" x14ac:dyDescent="0.2">
      <c r="A6129">
        <v>6128</v>
      </c>
      <c r="B6129" s="1">
        <v>40907</v>
      </c>
      <c r="C6129" t="s">
        <v>28</v>
      </c>
      <c r="D6129" s="7">
        <v>168</v>
      </c>
      <c r="E6129" s="7">
        <v>25</v>
      </c>
      <c r="F6129" s="7">
        <f t="shared" si="96"/>
        <v>6</v>
      </c>
      <c r="G6129" s="7" t="str">
        <f>LOOKUP(H6129,[1]startdates!$A$2:$A$10,[1]startdates!$B$2:$B$10)</f>
        <v>C</v>
      </c>
      <c r="H6129">
        <v>3</v>
      </c>
      <c r="I6129" s="7">
        <v>536.5</v>
      </c>
      <c r="K6129" s="7">
        <v>574.4</v>
      </c>
      <c r="L6129" s="7">
        <v>409.5</v>
      </c>
      <c r="M6129" s="7">
        <v>368.1</v>
      </c>
      <c r="N6129" s="7">
        <v>172.1</v>
      </c>
      <c r="O6129" s="7">
        <v>172.9</v>
      </c>
      <c r="P6129" s="7">
        <v>472.6</v>
      </c>
      <c r="Q6129" s="7">
        <v>333.6</v>
      </c>
    </row>
    <row r="6130" spans="1:18" x14ac:dyDescent="0.2">
      <c r="A6130">
        <v>6129</v>
      </c>
      <c r="B6130" s="1">
        <v>40907</v>
      </c>
      <c r="C6130" t="s">
        <v>28</v>
      </c>
      <c r="D6130" s="7">
        <v>168</v>
      </c>
      <c r="E6130" s="7">
        <v>25</v>
      </c>
      <c r="F6130" s="7">
        <f t="shared" si="96"/>
        <v>6</v>
      </c>
      <c r="G6130" s="7" t="str">
        <f>LOOKUP(H6130,[1]startdates!$A$2:$A$10,[1]startdates!$B$2:$B$10)</f>
        <v>C</v>
      </c>
      <c r="H6130">
        <v>3</v>
      </c>
      <c r="I6130" s="7">
        <v>535.1</v>
      </c>
      <c r="K6130" s="7">
        <v>471.8</v>
      </c>
      <c r="L6130" s="7">
        <v>394.4</v>
      </c>
      <c r="M6130" s="7">
        <v>302.39999999999998</v>
      </c>
      <c r="N6130" s="7">
        <v>164.7</v>
      </c>
      <c r="O6130" s="7">
        <v>160.4</v>
      </c>
      <c r="Q6130" s="7">
        <v>357.4</v>
      </c>
    </row>
    <row r="6131" spans="1:18" x14ac:dyDescent="0.2">
      <c r="A6131">
        <v>6130</v>
      </c>
      <c r="B6131" s="1">
        <v>40907</v>
      </c>
      <c r="C6131" t="s">
        <v>28</v>
      </c>
      <c r="D6131" s="7">
        <v>168</v>
      </c>
      <c r="E6131" s="7">
        <v>25</v>
      </c>
      <c r="F6131" s="7">
        <f t="shared" si="96"/>
        <v>6</v>
      </c>
      <c r="G6131" s="7" t="str">
        <f>LOOKUP(H6131,[1]startdates!$A$2:$A$10,[1]startdates!$B$2:$B$10)</f>
        <v>C</v>
      </c>
      <c r="H6131">
        <v>3</v>
      </c>
      <c r="I6131" s="7">
        <v>578.4</v>
      </c>
      <c r="K6131" s="7">
        <v>560.70000000000005</v>
      </c>
      <c r="L6131" s="7">
        <v>419.2</v>
      </c>
      <c r="M6131" s="7">
        <v>360.5</v>
      </c>
      <c r="N6131" s="7">
        <v>183.2</v>
      </c>
      <c r="O6131" s="7">
        <v>176</v>
      </c>
      <c r="Q6131" s="7">
        <v>328.4</v>
      </c>
    </row>
    <row r="6132" spans="1:18" x14ac:dyDescent="0.2">
      <c r="A6132">
        <v>6131</v>
      </c>
      <c r="B6132" s="1">
        <v>40907</v>
      </c>
      <c r="C6132" t="s">
        <v>28</v>
      </c>
      <c r="D6132" s="7">
        <v>168</v>
      </c>
      <c r="E6132" s="7">
        <v>25</v>
      </c>
      <c r="F6132" s="7">
        <f t="shared" si="96"/>
        <v>6</v>
      </c>
      <c r="G6132" s="7" t="str">
        <f>LOOKUP(H6132,[1]startdates!$A$2:$A$10,[1]startdates!$B$2:$B$10)</f>
        <v>C</v>
      </c>
      <c r="H6132">
        <v>3</v>
      </c>
      <c r="I6132" s="7">
        <v>561.29999999999995</v>
      </c>
      <c r="N6132" s="7">
        <v>195.1</v>
      </c>
      <c r="O6132" s="7">
        <v>166.4</v>
      </c>
      <c r="Q6132" s="7">
        <v>380.1</v>
      </c>
    </row>
    <row r="6133" spans="1:18" x14ac:dyDescent="0.2">
      <c r="A6133">
        <v>6132</v>
      </c>
      <c r="B6133" s="1">
        <v>40907</v>
      </c>
      <c r="C6133" t="s">
        <v>28</v>
      </c>
      <c r="D6133" s="7">
        <v>168</v>
      </c>
      <c r="E6133" s="7">
        <v>25</v>
      </c>
      <c r="F6133" s="7">
        <f t="shared" si="96"/>
        <v>6</v>
      </c>
      <c r="G6133" s="7" t="str">
        <f>LOOKUP(H6133,[1]startdates!$A$2:$A$10,[1]startdates!$B$2:$B$10)</f>
        <v>C</v>
      </c>
      <c r="H6133">
        <v>3</v>
      </c>
      <c r="I6133" s="7">
        <v>611.9</v>
      </c>
      <c r="N6133" s="7">
        <v>240</v>
      </c>
      <c r="O6133" s="7">
        <v>158.5</v>
      </c>
      <c r="Q6133" s="7">
        <v>383.6</v>
      </c>
    </row>
    <row r="6134" spans="1:18" x14ac:dyDescent="0.2">
      <c r="A6134">
        <v>6133</v>
      </c>
      <c r="B6134" s="1">
        <v>40907</v>
      </c>
      <c r="C6134" t="s">
        <v>28</v>
      </c>
      <c r="D6134" s="7">
        <v>168</v>
      </c>
      <c r="E6134" s="7">
        <v>25</v>
      </c>
      <c r="F6134" s="7">
        <f t="shared" si="96"/>
        <v>6</v>
      </c>
      <c r="G6134" s="7" t="str">
        <f>LOOKUP(H6134,[1]startdates!$A$2:$A$10,[1]startdates!$B$2:$B$10)</f>
        <v>C</v>
      </c>
      <c r="H6134">
        <v>3</v>
      </c>
      <c r="I6134" s="7">
        <v>468.8</v>
      </c>
      <c r="N6134" s="7">
        <v>235.7</v>
      </c>
      <c r="O6134" s="7">
        <v>167</v>
      </c>
    </row>
    <row r="6135" spans="1:18" x14ac:dyDescent="0.2">
      <c r="A6135">
        <v>6134</v>
      </c>
      <c r="B6135" s="1">
        <v>40907</v>
      </c>
      <c r="C6135" t="s">
        <v>28</v>
      </c>
      <c r="D6135" s="7">
        <v>168</v>
      </c>
      <c r="E6135" s="7">
        <v>25</v>
      </c>
      <c r="F6135" s="7">
        <f t="shared" si="96"/>
        <v>6</v>
      </c>
      <c r="G6135" s="7" t="str">
        <f>LOOKUP(H6135,[1]startdates!$A$2:$A$10,[1]startdates!$B$2:$B$10)</f>
        <v>C</v>
      </c>
      <c r="H6135">
        <v>3</v>
      </c>
      <c r="I6135" s="7">
        <v>633.1</v>
      </c>
      <c r="N6135" s="7">
        <v>191.8</v>
      </c>
      <c r="O6135" s="7">
        <v>195.3</v>
      </c>
    </row>
    <row r="6136" spans="1:18" x14ac:dyDescent="0.2">
      <c r="A6136">
        <v>6135</v>
      </c>
      <c r="B6136" s="1">
        <v>40907</v>
      </c>
      <c r="C6136" t="s">
        <v>28</v>
      </c>
      <c r="D6136" s="7">
        <v>168</v>
      </c>
      <c r="E6136" s="7">
        <v>25</v>
      </c>
      <c r="F6136" s="7">
        <f t="shared" si="96"/>
        <v>6</v>
      </c>
      <c r="G6136" s="7" t="str">
        <f>LOOKUP(H6136,[1]startdates!$A$2:$A$10,[1]startdates!$B$2:$B$10)</f>
        <v>C</v>
      </c>
      <c r="H6136">
        <v>3</v>
      </c>
      <c r="I6136" s="7">
        <v>597.4</v>
      </c>
      <c r="N6136" s="7">
        <v>269.2</v>
      </c>
      <c r="O6136" s="7">
        <v>163.5</v>
      </c>
    </row>
    <row r="6137" spans="1:18" x14ac:dyDescent="0.2">
      <c r="A6137">
        <v>6136</v>
      </c>
      <c r="B6137" s="1">
        <v>40907</v>
      </c>
      <c r="C6137" t="s">
        <v>28</v>
      </c>
      <c r="D6137" s="7">
        <v>168</v>
      </c>
      <c r="E6137" s="7">
        <v>25</v>
      </c>
      <c r="F6137" s="7">
        <f t="shared" si="96"/>
        <v>6</v>
      </c>
      <c r="G6137" s="7" t="str">
        <f>LOOKUP(H6137,[1]startdates!$A$2:$A$10,[1]startdates!$B$2:$B$10)</f>
        <v>C</v>
      </c>
      <c r="H6137">
        <v>3</v>
      </c>
      <c r="I6137" s="7">
        <v>618.5</v>
      </c>
      <c r="O6137" s="7">
        <v>157</v>
      </c>
    </row>
    <row r="6138" spans="1:18" x14ac:dyDescent="0.2">
      <c r="A6138">
        <v>6137</v>
      </c>
      <c r="B6138" s="1">
        <v>40907</v>
      </c>
      <c r="C6138" t="s">
        <v>28</v>
      </c>
      <c r="D6138" s="7">
        <v>168</v>
      </c>
      <c r="E6138" s="7">
        <v>25</v>
      </c>
      <c r="F6138" s="7">
        <f t="shared" si="96"/>
        <v>6</v>
      </c>
      <c r="G6138" s="7" t="str">
        <f>LOOKUP(H6138,[1]startdates!$A$2:$A$10,[1]startdates!$B$2:$B$10)</f>
        <v>SMr</v>
      </c>
      <c r="H6138">
        <v>4</v>
      </c>
      <c r="I6138" s="7">
        <v>614.70000000000005</v>
      </c>
      <c r="J6138" s="7">
        <v>493.5</v>
      </c>
      <c r="K6138" s="7">
        <v>489.9</v>
      </c>
      <c r="L6138" s="7">
        <v>417.6</v>
      </c>
      <c r="M6138" s="7">
        <v>324</v>
      </c>
      <c r="N6138" s="7">
        <v>214.3</v>
      </c>
      <c r="O6138" s="7">
        <v>156.19999999999999</v>
      </c>
      <c r="P6138" s="7">
        <v>486.2</v>
      </c>
      <c r="R6138" s="7">
        <v>257.3</v>
      </c>
    </row>
    <row r="6139" spans="1:18" x14ac:dyDescent="0.2">
      <c r="A6139">
        <v>6138</v>
      </c>
      <c r="B6139" s="1">
        <v>40907</v>
      </c>
      <c r="C6139" t="s">
        <v>28</v>
      </c>
      <c r="D6139" s="7">
        <v>168</v>
      </c>
      <c r="E6139" s="7">
        <v>25</v>
      </c>
      <c r="F6139" s="7">
        <f t="shared" si="96"/>
        <v>6</v>
      </c>
      <c r="G6139" s="7" t="str">
        <f>LOOKUP(H6139,[1]startdates!$A$2:$A$10,[1]startdates!$B$2:$B$10)</f>
        <v>SMr</v>
      </c>
      <c r="H6139">
        <v>4</v>
      </c>
      <c r="I6139" s="7">
        <v>622.20000000000005</v>
      </c>
      <c r="K6139" s="7">
        <v>497</v>
      </c>
      <c r="L6139" s="7">
        <v>411</v>
      </c>
      <c r="M6139" s="7">
        <v>307.89999999999998</v>
      </c>
      <c r="N6139" s="7">
        <v>210.1</v>
      </c>
      <c r="O6139" s="7">
        <v>154.19999999999999</v>
      </c>
    </row>
    <row r="6140" spans="1:18" x14ac:dyDescent="0.2">
      <c r="A6140">
        <v>6139</v>
      </c>
      <c r="B6140" s="1">
        <v>40907</v>
      </c>
      <c r="C6140" t="s">
        <v>28</v>
      </c>
      <c r="D6140" s="7">
        <v>168</v>
      </c>
      <c r="E6140" s="7">
        <v>25</v>
      </c>
      <c r="F6140" s="7">
        <f t="shared" si="96"/>
        <v>6</v>
      </c>
      <c r="G6140" s="7" t="str">
        <f>LOOKUP(H6140,[1]startdates!$A$2:$A$10,[1]startdates!$B$2:$B$10)</f>
        <v>SMr</v>
      </c>
      <c r="H6140">
        <v>4</v>
      </c>
      <c r="I6140" s="7">
        <v>587.79999999999995</v>
      </c>
      <c r="K6140" s="7">
        <v>596.20000000000005</v>
      </c>
      <c r="L6140" s="7">
        <v>415.9</v>
      </c>
      <c r="M6140" s="7">
        <v>299.7</v>
      </c>
      <c r="N6140" s="7">
        <v>194.4</v>
      </c>
      <c r="O6140" s="7">
        <v>139.9</v>
      </c>
    </row>
    <row r="6141" spans="1:18" x14ac:dyDescent="0.2">
      <c r="A6141">
        <v>6140</v>
      </c>
      <c r="B6141" s="1">
        <v>40907</v>
      </c>
      <c r="C6141" t="s">
        <v>28</v>
      </c>
      <c r="D6141" s="7">
        <v>168</v>
      </c>
      <c r="E6141" s="7">
        <v>25</v>
      </c>
      <c r="F6141" s="7">
        <f t="shared" si="96"/>
        <v>6</v>
      </c>
      <c r="G6141" s="7" t="str">
        <f>LOOKUP(H6141,[1]startdates!$A$2:$A$10,[1]startdates!$B$2:$B$10)</f>
        <v>SMr</v>
      </c>
      <c r="H6141">
        <v>4</v>
      </c>
      <c r="I6141" s="7">
        <v>560.4</v>
      </c>
      <c r="L6141" s="7">
        <v>439.6</v>
      </c>
      <c r="M6141" s="7">
        <v>368.2</v>
      </c>
      <c r="N6141" s="7">
        <v>200.5</v>
      </c>
      <c r="O6141" s="7">
        <v>170.8</v>
      </c>
    </row>
    <row r="6142" spans="1:18" x14ac:dyDescent="0.2">
      <c r="A6142">
        <v>6141</v>
      </c>
      <c r="B6142" s="1">
        <v>40907</v>
      </c>
      <c r="C6142" t="s">
        <v>28</v>
      </c>
      <c r="D6142" s="7">
        <v>168</v>
      </c>
      <c r="E6142" s="7">
        <v>25</v>
      </c>
      <c r="F6142" s="7">
        <f t="shared" si="96"/>
        <v>6</v>
      </c>
      <c r="G6142" s="7" t="str">
        <f>LOOKUP(H6142,[1]startdates!$A$2:$A$10,[1]startdates!$B$2:$B$10)</f>
        <v>SMr</v>
      </c>
      <c r="H6142">
        <v>4</v>
      </c>
      <c r="I6142" s="7">
        <v>479</v>
      </c>
      <c r="M6142" s="7">
        <v>334.3</v>
      </c>
      <c r="N6142" s="7">
        <v>229.3</v>
      </c>
      <c r="O6142" s="7">
        <v>161.5</v>
      </c>
    </row>
    <row r="6143" spans="1:18" x14ac:dyDescent="0.2">
      <c r="A6143">
        <v>6142</v>
      </c>
      <c r="B6143" s="1">
        <v>40907</v>
      </c>
      <c r="C6143" t="s">
        <v>28</v>
      </c>
      <c r="D6143" s="7">
        <v>168</v>
      </c>
      <c r="E6143" s="7">
        <v>25</v>
      </c>
      <c r="F6143" s="7">
        <f t="shared" si="96"/>
        <v>6</v>
      </c>
      <c r="G6143" s="7" t="str">
        <f>LOOKUP(H6143,[1]startdates!$A$2:$A$10,[1]startdates!$B$2:$B$10)</f>
        <v>SMr</v>
      </c>
      <c r="H6143">
        <v>4</v>
      </c>
      <c r="I6143" s="7">
        <v>480.8</v>
      </c>
      <c r="M6143" s="7">
        <v>302.2</v>
      </c>
      <c r="N6143" s="7">
        <v>249.2</v>
      </c>
      <c r="O6143" s="7">
        <v>142.30000000000001</v>
      </c>
    </row>
    <row r="6144" spans="1:18" x14ac:dyDescent="0.2">
      <c r="A6144">
        <v>6143</v>
      </c>
      <c r="B6144" s="1">
        <v>40907</v>
      </c>
      <c r="C6144" t="s">
        <v>28</v>
      </c>
      <c r="D6144" s="7">
        <v>168</v>
      </c>
      <c r="E6144" s="7">
        <v>25</v>
      </c>
      <c r="F6144" s="7">
        <f t="shared" si="96"/>
        <v>6</v>
      </c>
      <c r="G6144" s="7" t="str">
        <f>LOOKUP(H6144,[1]startdates!$A$2:$A$10,[1]startdates!$B$2:$B$10)</f>
        <v>SMr</v>
      </c>
      <c r="H6144">
        <v>4</v>
      </c>
      <c r="I6144" s="7">
        <v>492</v>
      </c>
      <c r="M6144" s="7">
        <v>361.7</v>
      </c>
      <c r="N6144" s="7">
        <v>190.1</v>
      </c>
      <c r="O6144" s="7">
        <v>151.4</v>
      </c>
    </row>
    <row r="6145" spans="1:18" x14ac:dyDescent="0.2">
      <c r="A6145">
        <v>6144</v>
      </c>
      <c r="B6145" s="1">
        <v>40907</v>
      </c>
      <c r="C6145" t="s">
        <v>28</v>
      </c>
      <c r="D6145" s="7">
        <v>168</v>
      </c>
      <c r="E6145" s="7">
        <v>25</v>
      </c>
      <c r="F6145" s="7">
        <f t="shared" si="96"/>
        <v>6</v>
      </c>
      <c r="G6145" s="7" t="str">
        <f>LOOKUP(H6145,[1]startdates!$A$2:$A$10,[1]startdates!$B$2:$B$10)</f>
        <v>SMr</v>
      </c>
      <c r="H6145">
        <v>4</v>
      </c>
      <c r="I6145" s="7">
        <v>566.5</v>
      </c>
      <c r="M6145" s="7">
        <v>327</v>
      </c>
      <c r="N6145" s="7">
        <v>209</v>
      </c>
      <c r="O6145" s="7">
        <v>158.1</v>
      </c>
    </row>
    <row r="6146" spans="1:18" x14ac:dyDescent="0.2">
      <c r="A6146">
        <v>6145</v>
      </c>
      <c r="B6146" s="1">
        <v>40907</v>
      </c>
      <c r="C6146" t="s">
        <v>28</v>
      </c>
      <c r="D6146" s="7">
        <v>168</v>
      </c>
      <c r="E6146" s="7">
        <v>25</v>
      </c>
      <c r="F6146" s="7">
        <f t="shared" si="96"/>
        <v>6</v>
      </c>
      <c r="G6146" s="7" t="str">
        <f>LOOKUP(H6146,[1]startdates!$A$2:$A$10,[1]startdates!$B$2:$B$10)</f>
        <v>SMr</v>
      </c>
      <c r="H6146">
        <v>4</v>
      </c>
      <c r="I6146" s="7">
        <v>499.7</v>
      </c>
      <c r="M6146" s="7">
        <v>358.7</v>
      </c>
      <c r="N6146" s="7">
        <v>220.2</v>
      </c>
      <c r="O6146" s="7">
        <v>152.69999999999999</v>
      </c>
    </row>
    <row r="6147" spans="1:18" x14ac:dyDescent="0.2">
      <c r="A6147">
        <v>6146</v>
      </c>
      <c r="B6147" s="1">
        <v>40907</v>
      </c>
      <c r="C6147" t="s">
        <v>28</v>
      </c>
      <c r="D6147" s="7">
        <v>168</v>
      </c>
      <c r="E6147" s="7">
        <v>25</v>
      </c>
      <c r="F6147" s="7">
        <f t="shared" si="96"/>
        <v>6</v>
      </c>
      <c r="G6147" s="7" t="str">
        <f>LOOKUP(H6147,[1]startdates!$A$2:$A$10,[1]startdates!$B$2:$B$10)</f>
        <v>SMr</v>
      </c>
      <c r="H6147">
        <v>4</v>
      </c>
      <c r="I6147" s="7">
        <v>468.9</v>
      </c>
      <c r="M6147" s="7">
        <v>310.3</v>
      </c>
      <c r="N6147" s="7">
        <v>194.4</v>
      </c>
      <c r="O6147" s="7">
        <v>167.5</v>
      </c>
    </row>
    <row r="6148" spans="1:18" x14ac:dyDescent="0.2">
      <c r="A6148">
        <v>6147</v>
      </c>
      <c r="B6148" s="1">
        <v>40907</v>
      </c>
      <c r="C6148" t="s">
        <v>28</v>
      </c>
      <c r="D6148" s="7">
        <v>168</v>
      </c>
      <c r="E6148" s="7">
        <v>25</v>
      </c>
      <c r="F6148" s="7">
        <f t="shared" si="96"/>
        <v>6</v>
      </c>
      <c r="G6148" s="7" t="str">
        <f>LOOKUP(H6148,[1]startdates!$A$2:$A$10,[1]startdates!$B$2:$B$10)</f>
        <v>SMr</v>
      </c>
      <c r="H6148">
        <v>4</v>
      </c>
      <c r="I6148" s="7">
        <v>520.20000000000005</v>
      </c>
      <c r="N6148" s="7">
        <v>210</v>
      </c>
    </row>
    <row r="6149" spans="1:18" x14ac:dyDescent="0.2">
      <c r="A6149">
        <v>6148</v>
      </c>
      <c r="B6149" s="1">
        <v>40907</v>
      </c>
      <c r="C6149" t="s">
        <v>28</v>
      </c>
      <c r="D6149" s="7">
        <v>168</v>
      </c>
      <c r="E6149" s="7">
        <v>25</v>
      </c>
      <c r="F6149" s="7">
        <f t="shared" si="96"/>
        <v>6</v>
      </c>
      <c r="G6149" s="7" t="str">
        <f>LOOKUP(H6149,[1]startdates!$A$2:$A$10,[1]startdates!$B$2:$B$10)</f>
        <v>SMr</v>
      </c>
      <c r="H6149">
        <v>4</v>
      </c>
      <c r="I6149" s="7">
        <v>531.9</v>
      </c>
    </row>
    <row r="6150" spans="1:18" x14ac:dyDescent="0.2">
      <c r="A6150">
        <v>6149</v>
      </c>
      <c r="B6150" s="1">
        <v>40907</v>
      </c>
      <c r="C6150" t="s">
        <v>28</v>
      </c>
      <c r="D6150" s="7">
        <v>168</v>
      </c>
      <c r="E6150" s="7">
        <v>25</v>
      </c>
      <c r="F6150" s="7">
        <f t="shared" si="96"/>
        <v>6</v>
      </c>
      <c r="G6150" s="7" t="str">
        <f>LOOKUP(H6150,[1]startdates!$A$2:$A$10,[1]startdates!$B$2:$B$10)</f>
        <v>C</v>
      </c>
      <c r="H6150">
        <v>5</v>
      </c>
      <c r="I6150" s="7">
        <v>590.4</v>
      </c>
      <c r="J6150" s="7">
        <v>531.70000000000005</v>
      </c>
      <c r="K6150" s="7">
        <v>539.20000000000005</v>
      </c>
      <c r="L6150" s="7">
        <v>408.8</v>
      </c>
      <c r="M6150" s="7">
        <v>333</v>
      </c>
      <c r="N6150" s="7">
        <v>206.3</v>
      </c>
      <c r="O6150" s="7">
        <v>140</v>
      </c>
      <c r="Q6150" s="7">
        <v>321.5</v>
      </c>
      <c r="R6150" s="7">
        <v>280</v>
      </c>
    </row>
    <row r="6151" spans="1:18" x14ac:dyDescent="0.2">
      <c r="A6151">
        <v>6150</v>
      </c>
      <c r="B6151" s="1">
        <v>40907</v>
      </c>
      <c r="C6151" t="s">
        <v>28</v>
      </c>
      <c r="D6151" s="7">
        <v>168</v>
      </c>
      <c r="E6151" s="7">
        <v>25</v>
      </c>
      <c r="F6151" s="7">
        <f t="shared" si="96"/>
        <v>6</v>
      </c>
      <c r="G6151" s="7" t="str">
        <f>LOOKUP(H6151,[1]startdates!$A$2:$A$10,[1]startdates!$B$2:$B$10)</f>
        <v>C</v>
      </c>
      <c r="H6151">
        <v>5</v>
      </c>
      <c r="I6151" s="7">
        <v>575.20000000000005</v>
      </c>
      <c r="J6151" s="7">
        <v>555.9</v>
      </c>
      <c r="K6151" s="7">
        <v>458.3</v>
      </c>
      <c r="M6151" s="7">
        <v>342.5</v>
      </c>
      <c r="N6151" s="7">
        <v>240.7</v>
      </c>
      <c r="O6151" s="7">
        <v>168.6</v>
      </c>
      <c r="R6151" s="7">
        <v>279.8</v>
      </c>
    </row>
    <row r="6152" spans="1:18" x14ac:dyDescent="0.2">
      <c r="A6152">
        <v>6151</v>
      </c>
      <c r="B6152" s="1">
        <v>40907</v>
      </c>
      <c r="C6152" t="s">
        <v>28</v>
      </c>
      <c r="D6152" s="7">
        <v>168</v>
      </c>
      <c r="E6152" s="7">
        <v>25</v>
      </c>
      <c r="F6152" s="7">
        <f t="shared" si="96"/>
        <v>6</v>
      </c>
      <c r="G6152" s="7" t="str">
        <f>LOOKUP(H6152,[1]startdates!$A$2:$A$10,[1]startdates!$B$2:$B$10)</f>
        <v>C</v>
      </c>
      <c r="H6152">
        <v>5</v>
      </c>
      <c r="I6152" s="7">
        <v>628.29999999999995</v>
      </c>
      <c r="J6152" s="7">
        <v>534.20000000000005</v>
      </c>
      <c r="K6152" s="7">
        <v>540.6</v>
      </c>
      <c r="M6152" s="7">
        <v>379.7</v>
      </c>
      <c r="N6152" s="7">
        <v>274.2</v>
      </c>
      <c r="O6152" s="7">
        <v>167.7</v>
      </c>
      <c r="R6152" s="7">
        <v>284.5</v>
      </c>
    </row>
    <row r="6153" spans="1:18" x14ac:dyDescent="0.2">
      <c r="A6153">
        <v>6152</v>
      </c>
      <c r="B6153" s="1">
        <v>40907</v>
      </c>
      <c r="C6153" t="s">
        <v>28</v>
      </c>
      <c r="D6153" s="7">
        <v>168</v>
      </c>
      <c r="E6153" s="7">
        <v>25</v>
      </c>
      <c r="F6153" s="7">
        <f t="shared" si="96"/>
        <v>6</v>
      </c>
      <c r="G6153" s="7" t="str">
        <f>LOOKUP(H6153,[1]startdates!$A$2:$A$10,[1]startdates!$B$2:$B$10)</f>
        <v>C</v>
      </c>
      <c r="H6153">
        <v>5</v>
      </c>
      <c r="I6153" s="7">
        <v>630.4</v>
      </c>
      <c r="K6153" s="7">
        <v>507.6</v>
      </c>
      <c r="M6153" s="7">
        <v>324.5</v>
      </c>
      <c r="N6153" s="7">
        <v>284.5</v>
      </c>
      <c r="O6153" s="7">
        <v>162.69999999999999</v>
      </c>
      <c r="R6153" s="7">
        <v>288.3</v>
      </c>
    </row>
    <row r="6154" spans="1:18" x14ac:dyDescent="0.2">
      <c r="A6154">
        <v>6153</v>
      </c>
      <c r="B6154" s="1">
        <v>40907</v>
      </c>
      <c r="C6154" t="s">
        <v>28</v>
      </c>
      <c r="D6154" s="7">
        <v>168</v>
      </c>
      <c r="E6154" s="7">
        <v>25</v>
      </c>
      <c r="F6154" s="7">
        <f t="shared" si="96"/>
        <v>6</v>
      </c>
      <c r="G6154" s="7" t="str">
        <f>LOOKUP(H6154,[1]startdates!$A$2:$A$10,[1]startdates!$B$2:$B$10)</f>
        <v>C</v>
      </c>
      <c r="H6154">
        <v>5</v>
      </c>
      <c r="I6154" s="7">
        <v>674.4</v>
      </c>
      <c r="K6154" s="7">
        <v>525.1</v>
      </c>
      <c r="M6154" s="7">
        <v>339.7</v>
      </c>
      <c r="N6154" s="7">
        <v>229.7</v>
      </c>
      <c r="O6154" s="7">
        <v>163.5</v>
      </c>
      <c r="R6154" s="7">
        <v>244.9</v>
      </c>
    </row>
    <row r="6155" spans="1:18" x14ac:dyDescent="0.2">
      <c r="A6155">
        <v>6154</v>
      </c>
      <c r="B6155" s="1">
        <v>40907</v>
      </c>
      <c r="C6155" t="s">
        <v>28</v>
      </c>
      <c r="D6155" s="7">
        <v>168</v>
      </c>
      <c r="E6155" s="7">
        <v>25</v>
      </c>
      <c r="F6155" s="7">
        <f t="shared" si="96"/>
        <v>6</v>
      </c>
      <c r="G6155" s="7" t="str">
        <f>LOOKUP(H6155,[1]startdates!$A$2:$A$10,[1]startdates!$B$2:$B$10)</f>
        <v>C</v>
      </c>
      <c r="H6155">
        <v>5</v>
      </c>
      <c r="I6155" s="7">
        <v>512</v>
      </c>
      <c r="M6155" s="7">
        <v>314.39999999999998</v>
      </c>
      <c r="N6155" s="7">
        <v>177.7</v>
      </c>
      <c r="O6155" s="7">
        <v>158.4</v>
      </c>
    </row>
    <row r="6156" spans="1:18" x14ac:dyDescent="0.2">
      <c r="A6156">
        <v>6155</v>
      </c>
      <c r="B6156" s="1">
        <v>40907</v>
      </c>
      <c r="C6156" t="s">
        <v>28</v>
      </c>
      <c r="D6156" s="7">
        <v>168</v>
      </c>
      <c r="E6156" s="7">
        <v>25</v>
      </c>
      <c r="F6156" s="7">
        <f t="shared" si="96"/>
        <v>6</v>
      </c>
      <c r="G6156" s="7" t="str">
        <f>LOOKUP(H6156,[1]startdates!$A$2:$A$10,[1]startdates!$B$2:$B$10)</f>
        <v>C</v>
      </c>
      <c r="H6156">
        <v>5</v>
      </c>
      <c r="I6156" s="7">
        <v>699.8</v>
      </c>
      <c r="M6156" s="7">
        <v>298.2</v>
      </c>
      <c r="N6156" s="7">
        <v>221.5</v>
      </c>
      <c r="O6156" s="7">
        <v>165.4</v>
      </c>
    </row>
    <row r="6157" spans="1:18" x14ac:dyDescent="0.2">
      <c r="A6157">
        <v>6156</v>
      </c>
      <c r="B6157" s="1">
        <v>40907</v>
      </c>
      <c r="C6157" t="s">
        <v>28</v>
      </c>
      <c r="D6157" s="7">
        <v>168</v>
      </c>
      <c r="E6157" s="7">
        <v>25</v>
      </c>
      <c r="F6157" s="7">
        <f t="shared" si="96"/>
        <v>6</v>
      </c>
      <c r="G6157" s="7" t="str">
        <f>LOOKUP(H6157,[1]startdates!$A$2:$A$10,[1]startdates!$B$2:$B$10)</f>
        <v>C</v>
      </c>
      <c r="H6157">
        <v>5</v>
      </c>
      <c r="I6157" s="7">
        <v>596.4</v>
      </c>
      <c r="M6157" s="7">
        <v>315.5</v>
      </c>
      <c r="N6157" s="7">
        <v>196.1</v>
      </c>
      <c r="O6157" s="7">
        <v>154.6</v>
      </c>
    </row>
    <row r="6158" spans="1:18" x14ac:dyDescent="0.2">
      <c r="A6158">
        <v>6157</v>
      </c>
      <c r="B6158" s="1">
        <v>40907</v>
      </c>
      <c r="C6158" t="s">
        <v>28</v>
      </c>
      <c r="D6158" s="7">
        <v>168</v>
      </c>
      <c r="E6158" s="7">
        <v>25</v>
      </c>
      <c r="F6158" s="7">
        <f t="shared" si="96"/>
        <v>6</v>
      </c>
      <c r="G6158" s="7" t="str">
        <f>LOOKUP(H6158,[1]startdates!$A$2:$A$10,[1]startdates!$B$2:$B$10)</f>
        <v>C</v>
      </c>
      <c r="H6158">
        <v>5</v>
      </c>
      <c r="I6158" s="7">
        <v>635.9</v>
      </c>
      <c r="M6158" s="7">
        <v>331.9</v>
      </c>
      <c r="N6158" s="7">
        <v>270.2</v>
      </c>
      <c r="O6158" s="7">
        <v>153.1</v>
      </c>
    </row>
    <row r="6159" spans="1:18" x14ac:dyDescent="0.2">
      <c r="A6159">
        <v>6158</v>
      </c>
      <c r="B6159" s="1">
        <v>40907</v>
      </c>
      <c r="C6159" t="s">
        <v>28</v>
      </c>
      <c r="D6159" s="7">
        <v>168</v>
      </c>
      <c r="E6159" s="7">
        <v>25</v>
      </c>
      <c r="F6159" s="7">
        <f t="shared" si="96"/>
        <v>6</v>
      </c>
      <c r="G6159" s="7" t="str">
        <f>LOOKUP(H6159,[1]startdates!$A$2:$A$10,[1]startdates!$B$2:$B$10)</f>
        <v>C</v>
      </c>
      <c r="H6159">
        <v>5</v>
      </c>
      <c r="I6159" s="7">
        <v>700.5</v>
      </c>
      <c r="N6159" s="7">
        <v>233.1</v>
      </c>
    </row>
    <row r="6160" spans="1:18" x14ac:dyDescent="0.2">
      <c r="A6160">
        <v>6159</v>
      </c>
      <c r="B6160" s="1">
        <v>40907</v>
      </c>
      <c r="C6160" t="s">
        <v>28</v>
      </c>
      <c r="D6160" s="7">
        <v>168</v>
      </c>
      <c r="E6160" s="7">
        <v>25</v>
      </c>
      <c r="F6160" s="7">
        <f t="shared" si="96"/>
        <v>6</v>
      </c>
      <c r="G6160" s="7" t="str">
        <f>LOOKUP(H6160,[1]startdates!$A$2:$A$10,[1]startdates!$B$2:$B$10)</f>
        <v>FMr</v>
      </c>
      <c r="H6160">
        <v>6</v>
      </c>
      <c r="I6160" s="7">
        <v>527.9</v>
      </c>
      <c r="K6160" s="7">
        <v>559.29999999999995</v>
      </c>
      <c r="L6160" s="7">
        <v>454.4</v>
      </c>
      <c r="M6160" s="7">
        <v>361.1</v>
      </c>
      <c r="N6160" s="7">
        <v>217.4</v>
      </c>
      <c r="O6160" s="7">
        <v>147.5</v>
      </c>
      <c r="P6160" s="7">
        <v>418</v>
      </c>
    </row>
    <row r="6161" spans="1:19" x14ac:dyDescent="0.2">
      <c r="A6161">
        <v>6160</v>
      </c>
      <c r="B6161" s="1">
        <v>40907</v>
      </c>
      <c r="C6161" t="s">
        <v>28</v>
      </c>
      <c r="D6161" s="7">
        <v>168</v>
      </c>
      <c r="E6161" s="7">
        <v>25</v>
      </c>
      <c r="F6161" s="7">
        <f t="shared" si="96"/>
        <v>6</v>
      </c>
      <c r="G6161" s="7" t="str">
        <f>LOOKUP(H6161,[1]startdates!$A$2:$A$10,[1]startdates!$B$2:$B$10)</f>
        <v>FMr</v>
      </c>
      <c r="H6161">
        <v>6</v>
      </c>
      <c r="I6161" s="7">
        <v>675.3</v>
      </c>
      <c r="K6161" s="7">
        <v>505.3</v>
      </c>
      <c r="L6161" s="7">
        <v>435.3</v>
      </c>
      <c r="M6161" s="7">
        <v>317</v>
      </c>
      <c r="N6161" s="7">
        <v>162.4</v>
      </c>
      <c r="O6161" s="7">
        <v>144</v>
      </c>
      <c r="P6161" s="7">
        <v>459.4</v>
      </c>
    </row>
    <row r="6162" spans="1:19" x14ac:dyDescent="0.2">
      <c r="A6162">
        <v>6161</v>
      </c>
      <c r="B6162" s="1">
        <v>40907</v>
      </c>
      <c r="C6162" t="s">
        <v>28</v>
      </c>
      <c r="D6162" s="7">
        <v>168</v>
      </c>
      <c r="E6162" s="7">
        <v>25</v>
      </c>
      <c r="F6162" s="7">
        <f t="shared" si="96"/>
        <v>6</v>
      </c>
      <c r="G6162" s="7" t="str">
        <f>LOOKUP(H6162,[1]startdates!$A$2:$A$10,[1]startdates!$B$2:$B$10)</f>
        <v>FMr</v>
      </c>
      <c r="H6162">
        <v>6</v>
      </c>
      <c r="I6162" s="7">
        <v>577.70000000000005</v>
      </c>
      <c r="K6162" s="7">
        <v>502.6</v>
      </c>
      <c r="L6162" s="7">
        <v>427.4</v>
      </c>
      <c r="M6162" s="7">
        <v>294.5</v>
      </c>
      <c r="N6162" s="7">
        <v>234.3</v>
      </c>
      <c r="O6162" s="7">
        <v>143.6</v>
      </c>
      <c r="P6162" s="7">
        <v>411.9</v>
      </c>
    </row>
    <row r="6163" spans="1:19" x14ac:dyDescent="0.2">
      <c r="A6163">
        <v>6162</v>
      </c>
      <c r="B6163" s="1">
        <v>40907</v>
      </c>
      <c r="C6163" t="s">
        <v>28</v>
      </c>
      <c r="D6163" s="7">
        <v>168</v>
      </c>
      <c r="E6163" s="7">
        <v>25</v>
      </c>
      <c r="F6163" s="7">
        <f t="shared" si="96"/>
        <v>6</v>
      </c>
      <c r="G6163" s="7" t="str">
        <f>LOOKUP(H6163,[1]startdates!$A$2:$A$10,[1]startdates!$B$2:$B$10)</f>
        <v>FMr</v>
      </c>
      <c r="H6163">
        <v>6</v>
      </c>
      <c r="I6163" s="7">
        <v>469</v>
      </c>
      <c r="K6163" s="7">
        <v>515.6</v>
      </c>
      <c r="L6163" s="7">
        <v>444.8</v>
      </c>
      <c r="M6163" s="7">
        <v>359.9</v>
      </c>
      <c r="N6163" s="7">
        <v>213.7</v>
      </c>
      <c r="O6163" s="7">
        <v>166</v>
      </c>
    </row>
    <row r="6164" spans="1:19" x14ac:dyDescent="0.2">
      <c r="A6164">
        <v>6163</v>
      </c>
      <c r="B6164" s="1">
        <v>40907</v>
      </c>
      <c r="C6164" t="s">
        <v>28</v>
      </c>
      <c r="D6164" s="7">
        <v>168</v>
      </c>
      <c r="E6164" s="7">
        <v>25</v>
      </c>
      <c r="F6164" s="7">
        <f t="shared" si="96"/>
        <v>6</v>
      </c>
      <c r="G6164" s="7" t="str">
        <f>LOOKUP(H6164,[1]startdates!$A$2:$A$10,[1]startdates!$B$2:$B$10)</f>
        <v>FMr</v>
      </c>
      <c r="H6164">
        <v>6</v>
      </c>
      <c r="I6164" s="7">
        <v>628.29999999999995</v>
      </c>
      <c r="K6164" s="7">
        <v>481.3</v>
      </c>
      <c r="L6164" s="7">
        <v>411.1</v>
      </c>
      <c r="M6164" s="7">
        <v>334.6</v>
      </c>
      <c r="N6164" s="7">
        <v>227.9</v>
      </c>
      <c r="O6164" s="7">
        <v>149</v>
      </c>
    </row>
    <row r="6165" spans="1:19" x14ac:dyDescent="0.2">
      <c r="A6165">
        <v>6164</v>
      </c>
      <c r="B6165" s="1">
        <v>40907</v>
      </c>
      <c r="C6165" t="s">
        <v>28</v>
      </c>
      <c r="D6165" s="7">
        <v>168</v>
      </c>
      <c r="E6165" s="7">
        <v>25</v>
      </c>
      <c r="F6165" s="7">
        <f t="shared" si="96"/>
        <v>6</v>
      </c>
      <c r="G6165" s="7" t="str">
        <f>LOOKUP(H6165,[1]startdates!$A$2:$A$10,[1]startdates!$B$2:$B$10)</f>
        <v>FMr</v>
      </c>
      <c r="H6165">
        <v>6</v>
      </c>
      <c r="I6165" s="7">
        <v>494.7</v>
      </c>
      <c r="K6165" s="7">
        <v>441.1</v>
      </c>
      <c r="M6165" s="7">
        <v>355</v>
      </c>
      <c r="N6165" s="7">
        <v>204.5</v>
      </c>
      <c r="O6165" s="7">
        <v>171.6</v>
      </c>
    </row>
    <row r="6166" spans="1:19" x14ac:dyDescent="0.2">
      <c r="A6166">
        <v>6165</v>
      </c>
      <c r="B6166" s="1">
        <v>40907</v>
      </c>
      <c r="C6166" t="s">
        <v>28</v>
      </c>
      <c r="D6166" s="7">
        <v>168</v>
      </c>
      <c r="E6166" s="7">
        <v>25</v>
      </c>
      <c r="F6166" s="7">
        <f t="shared" si="96"/>
        <v>6</v>
      </c>
      <c r="G6166" s="7" t="str">
        <f>LOOKUP(H6166,[1]startdates!$A$2:$A$10,[1]startdates!$B$2:$B$10)</f>
        <v>FMr</v>
      </c>
      <c r="H6166">
        <v>6</v>
      </c>
      <c r="I6166" s="7">
        <v>575.4</v>
      </c>
      <c r="M6166" s="7">
        <v>357.8</v>
      </c>
      <c r="N6166" s="7">
        <v>186.6</v>
      </c>
      <c r="O6166" s="7">
        <v>157</v>
      </c>
    </row>
    <row r="6167" spans="1:19" x14ac:dyDescent="0.2">
      <c r="A6167">
        <v>6166</v>
      </c>
      <c r="B6167" s="1">
        <v>40907</v>
      </c>
      <c r="C6167" t="s">
        <v>28</v>
      </c>
      <c r="D6167" s="7">
        <v>168</v>
      </c>
      <c r="E6167" s="7">
        <v>25</v>
      </c>
      <c r="F6167" s="7">
        <f t="shared" si="96"/>
        <v>6</v>
      </c>
      <c r="G6167" s="7" t="str">
        <f>LOOKUP(H6167,[1]startdates!$A$2:$A$10,[1]startdates!$B$2:$B$10)</f>
        <v>FMr</v>
      </c>
      <c r="H6167">
        <v>6</v>
      </c>
      <c r="I6167" s="7">
        <v>468.8</v>
      </c>
      <c r="N6167" s="7">
        <v>184.9</v>
      </c>
      <c r="O6167" s="7">
        <v>167</v>
      </c>
    </row>
    <row r="6168" spans="1:19" x14ac:dyDescent="0.2">
      <c r="A6168">
        <v>6167</v>
      </c>
      <c r="B6168" s="1">
        <v>40907</v>
      </c>
      <c r="C6168" t="s">
        <v>28</v>
      </c>
      <c r="D6168" s="7">
        <v>168</v>
      </c>
      <c r="E6168" s="7">
        <v>25</v>
      </c>
      <c r="F6168" s="7">
        <f t="shared" si="96"/>
        <v>6</v>
      </c>
      <c r="G6168" s="7" t="str">
        <f>LOOKUP(H6168,[1]startdates!$A$2:$A$10,[1]startdates!$B$2:$B$10)</f>
        <v>FMr</v>
      </c>
      <c r="H6168">
        <v>6</v>
      </c>
      <c r="I6168" s="7">
        <v>582.20000000000005</v>
      </c>
      <c r="N6168" s="7">
        <v>196.8</v>
      </c>
      <c r="O6168" s="7">
        <v>155</v>
      </c>
    </row>
    <row r="6169" spans="1:19" x14ac:dyDescent="0.2">
      <c r="A6169">
        <v>6168</v>
      </c>
      <c r="B6169" s="1">
        <v>40907</v>
      </c>
      <c r="C6169" t="s">
        <v>28</v>
      </c>
      <c r="D6169" s="7">
        <v>168</v>
      </c>
      <c r="E6169" s="7">
        <v>25</v>
      </c>
      <c r="F6169" s="7">
        <f t="shared" si="96"/>
        <v>6</v>
      </c>
      <c r="G6169" s="7" t="str">
        <f>LOOKUP(H6169,[1]startdates!$A$2:$A$10,[1]startdates!$B$2:$B$10)</f>
        <v>FMr</v>
      </c>
      <c r="H6169">
        <v>6</v>
      </c>
      <c r="I6169" s="7">
        <v>545.1</v>
      </c>
      <c r="N6169" s="7">
        <v>251</v>
      </c>
      <c r="O6169" s="7">
        <v>145.80000000000001</v>
      </c>
    </row>
    <row r="6170" spans="1:19" x14ac:dyDescent="0.2">
      <c r="A6170">
        <v>6169</v>
      </c>
      <c r="B6170" s="1">
        <v>40907</v>
      </c>
      <c r="C6170" t="s">
        <v>28</v>
      </c>
      <c r="D6170" s="7">
        <v>168</v>
      </c>
      <c r="E6170" s="7">
        <v>25</v>
      </c>
      <c r="F6170" s="7">
        <f t="shared" si="96"/>
        <v>6</v>
      </c>
      <c r="G6170" s="7" t="str">
        <f>LOOKUP(H6170,[1]startdates!$A$2:$A$10,[1]startdates!$B$2:$B$10)</f>
        <v>FMr</v>
      </c>
      <c r="H6170">
        <v>7</v>
      </c>
      <c r="I6170" s="7">
        <v>583.5</v>
      </c>
      <c r="J6170" s="7">
        <v>514.29999999999995</v>
      </c>
      <c r="K6170" s="7">
        <v>466.3</v>
      </c>
      <c r="L6170" s="7">
        <v>415.3</v>
      </c>
      <c r="M6170" s="7">
        <v>302.60000000000002</v>
      </c>
      <c r="N6170" s="7">
        <v>228.7</v>
      </c>
      <c r="O6170" s="7">
        <v>160.5</v>
      </c>
      <c r="Q6170" s="7">
        <v>312.39999999999998</v>
      </c>
      <c r="R6170" s="7">
        <v>276.7</v>
      </c>
      <c r="S6170" s="7">
        <v>247.1</v>
      </c>
    </row>
    <row r="6171" spans="1:19" x14ac:dyDescent="0.2">
      <c r="A6171">
        <v>6170</v>
      </c>
      <c r="B6171" s="1">
        <v>40907</v>
      </c>
      <c r="C6171" t="s">
        <v>28</v>
      </c>
      <c r="D6171" s="7">
        <v>168</v>
      </c>
      <c r="E6171" s="7">
        <v>25</v>
      </c>
      <c r="F6171" s="7">
        <f t="shared" si="96"/>
        <v>6</v>
      </c>
      <c r="G6171" s="7" t="str">
        <f>LOOKUP(H6171,[1]startdates!$A$2:$A$10,[1]startdates!$B$2:$B$10)</f>
        <v>FMr</v>
      </c>
      <c r="H6171">
        <v>7</v>
      </c>
      <c r="I6171" s="7">
        <v>560</v>
      </c>
      <c r="K6171" s="7">
        <v>507.4</v>
      </c>
      <c r="L6171" s="7">
        <v>449.2</v>
      </c>
      <c r="M6171" s="7">
        <v>333.6</v>
      </c>
      <c r="N6171" s="7">
        <v>210.9</v>
      </c>
      <c r="O6171" s="7">
        <v>158.1</v>
      </c>
      <c r="Q6171" s="7">
        <v>336.7</v>
      </c>
      <c r="R6171" s="7">
        <v>266.7</v>
      </c>
    </row>
    <row r="6172" spans="1:19" x14ac:dyDescent="0.2">
      <c r="A6172">
        <v>6171</v>
      </c>
      <c r="B6172" s="1">
        <v>40907</v>
      </c>
      <c r="C6172" t="s">
        <v>28</v>
      </c>
      <c r="D6172" s="7">
        <v>168</v>
      </c>
      <c r="E6172" s="7">
        <v>25</v>
      </c>
      <c r="F6172" s="7">
        <f t="shared" si="96"/>
        <v>6</v>
      </c>
      <c r="G6172" s="7" t="str">
        <f>LOOKUP(H6172,[1]startdates!$A$2:$A$10,[1]startdates!$B$2:$B$10)</f>
        <v>FMr</v>
      </c>
      <c r="H6172">
        <v>7</v>
      </c>
      <c r="I6172" s="7">
        <v>594.5</v>
      </c>
      <c r="K6172" s="7">
        <v>540.5</v>
      </c>
      <c r="L6172" s="7">
        <v>457.2</v>
      </c>
      <c r="M6172" s="7">
        <v>310.3</v>
      </c>
      <c r="N6172" s="7">
        <v>201.8</v>
      </c>
      <c r="O6172" s="7">
        <v>171.3</v>
      </c>
      <c r="Q6172" s="7">
        <v>372.5</v>
      </c>
      <c r="R6172" s="7">
        <v>250.8</v>
      </c>
    </row>
    <row r="6173" spans="1:19" x14ac:dyDescent="0.2">
      <c r="A6173">
        <v>6172</v>
      </c>
      <c r="B6173" s="1">
        <v>40907</v>
      </c>
      <c r="C6173" t="s">
        <v>28</v>
      </c>
      <c r="D6173" s="7">
        <v>168</v>
      </c>
      <c r="E6173" s="7">
        <v>25</v>
      </c>
      <c r="F6173" s="7">
        <f t="shared" si="96"/>
        <v>6</v>
      </c>
      <c r="G6173" s="7" t="str">
        <f>LOOKUP(H6173,[1]startdates!$A$2:$A$10,[1]startdates!$B$2:$B$10)</f>
        <v>FMr</v>
      </c>
      <c r="H6173">
        <v>7</v>
      </c>
      <c r="I6173" s="7">
        <v>660.3</v>
      </c>
      <c r="K6173" s="7">
        <v>553.9</v>
      </c>
      <c r="L6173" s="7">
        <v>391.7</v>
      </c>
      <c r="M6173" s="7">
        <v>333.9</v>
      </c>
      <c r="N6173" s="7">
        <v>214</v>
      </c>
      <c r="O6173" s="7">
        <v>161.4</v>
      </c>
      <c r="Q6173" s="7">
        <v>306.3</v>
      </c>
    </row>
    <row r="6174" spans="1:19" x14ac:dyDescent="0.2">
      <c r="A6174">
        <v>6173</v>
      </c>
      <c r="B6174" s="1">
        <v>40907</v>
      </c>
      <c r="C6174" t="s">
        <v>28</v>
      </c>
      <c r="D6174" s="7">
        <v>168</v>
      </c>
      <c r="E6174" s="7">
        <v>25</v>
      </c>
      <c r="F6174" s="7">
        <f t="shared" si="96"/>
        <v>6</v>
      </c>
      <c r="G6174" s="7" t="str">
        <f>LOOKUP(H6174,[1]startdates!$A$2:$A$10,[1]startdates!$B$2:$B$10)</f>
        <v>FMr</v>
      </c>
      <c r="H6174">
        <v>7</v>
      </c>
      <c r="I6174" s="7">
        <v>513</v>
      </c>
      <c r="K6174" s="7">
        <v>496</v>
      </c>
      <c r="L6174" s="7">
        <v>438.9</v>
      </c>
      <c r="M6174" s="7">
        <v>362.3</v>
      </c>
      <c r="N6174" s="7">
        <v>265.10000000000002</v>
      </c>
      <c r="O6174" s="7">
        <v>154.80000000000001</v>
      </c>
    </row>
    <row r="6175" spans="1:19" x14ac:dyDescent="0.2">
      <c r="A6175">
        <v>6174</v>
      </c>
      <c r="B6175" s="1">
        <v>40907</v>
      </c>
      <c r="C6175" t="s">
        <v>28</v>
      </c>
      <c r="D6175" s="7">
        <v>168</v>
      </c>
      <c r="E6175" s="7">
        <v>25</v>
      </c>
      <c r="F6175" s="7">
        <f t="shared" si="96"/>
        <v>6</v>
      </c>
      <c r="G6175" s="7" t="str">
        <f>LOOKUP(H6175,[1]startdates!$A$2:$A$10,[1]startdates!$B$2:$B$10)</f>
        <v>FMr</v>
      </c>
      <c r="H6175">
        <v>7</v>
      </c>
      <c r="I6175" s="7">
        <v>633.4</v>
      </c>
      <c r="K6175" s="7">
        <v>575.29999999999995</v>
      </c>
      <c r="M6175" s="7">
        <v>327.5</v>
      </c>
      <c r="N6175" s="7">
        <v>213.4</v>
      </c>
      <c r="O6175" s="7">
        <v>170</v>
      </c>
    </row>
    <row r="6176" spans="1:19" x14ac:dyDescent="0.2">
      <c r="A6176">
        <v>6175</v>
      </c>
      <c r="B6176" s="1">
        <v>40907</v>
      </c>
      <c r="C6176" t="s">
        <v>28</v>
      </c>
      <c r="D6176" s="7">
        <v>168</v>
      </c>
      <c r="E6176" s="7">
        <v>25</v>
      </c>
      <c r="F6176" s="7">
        <f t="shared" si="96"/>
        <v>6</v>
      </c>
      <c r="G6176" s="7" t="str">
        <f>LOOKUP(H6176,[1]startdates!$A$2:$A$10,[1]startdates!$B$2:$B$10)</f>
        <v>FMr</v>
      </c>
      <c r="H6176">
        <v>7</v>
      </c>
      <c r="I6176" s="7">
        <v>647.4</v>
      </c>
      <c r="M6176" s="7">
        <v>360.8</v>
      </c>
      <c r="N6176" s="7">
        <v>245.2</v>
      </c>
      <c r="O6176" s="7">
        <v>140</v>
      </c>
    </row>
    <row r="6177" spans="1:17" x14ac:dyDescent="0.2">
      <c r="A6177">
        <v>6176</v>
      </c>
      <c r="B6177" s="1">
        <v>40907</v>
      </c>
      <c r="C6177" t="s">
        <v>28</v>
      </c>
      <c r="D6177" s="7">
        <v>168</v>
      </c>
      <c r="E6177" s="7">
        <v>25</v>
      </c>
      <c r="F6177" s="7">
        <f t="shared" si="96"/>
        <v>6</v>
      </c>
      <c r="G6177" s="7" t="str">
        <f>LOOKUP(H6177,[1]startdates!$A$2:$A$10,[1]startdates!$B$2:$B$10)</f>
        <v>FMr</v>
      </c>
      <c r="H6177">
        <v>7</v>
      </c>
      <c r="I6177" s="7">
        <v>606.6</v>
      </c>
      <c r="M6177" s="7">
        <v>334.7</v>
      </c>
      <c r="N6177" s="7">
        <v>202.5</v>
      </c>
      <c r="O6177" s="7">
        <v>159.80000000000001</v>
      </c>
    </row>
    <row r="6178" spans="1:17" x14ac:dyDescent="0.2">
      <c r="A6178">
        <v>6177</v>
      </c>
      <c r="B6178" s="1">
        <v>40907</v>
      </c>
      <c r="C6178" t="s">
        <v>28</v>
      </c>
      <c r="D6178" s="7">
        <v>168</v>
      </c>
      <c r="E6178" s="7">
        <v>25</v>
      </c>
      <c r="F6178" s="7">
        <f t="shared" si="96"/>
        <v>6</v>
      </c>
      <c r="G6178" s="7" t="str">
        <f>LOOKUP(H6178,[1]startdates!$A$2:$A$10,[1]startdates!$B$2:$B$10)</f>
        <v>FMr</v>
      </c>
      <c r="H6178">
        <v>7</v>
      </c>
      <c r="I6178" s="7">
        <v>665.1</v>
      </c>
      <c r="M6178" s="7">
        <v>304.7</v>
      </c>
      <c r="N6178" s="7">
        <v>234</v>
      </c>
      <c r="O6178" s="7">
        <v>174.6</v>
      </c>
    </row>
    <row r="6179" spans="1:17" x14ac:dyDescent="0.2">
      <c r="A6179">
        <v>6178</v>
      </c>
      <c r="B6179" s="1">
        <v>40907</v>
      </c>
      <c r="C6179" t="s">
        <v>28</v>
      </c>
      <c r="D6179" s="7">
        <v>168</v>
      </c>
      <c r="E6179" s="7">
        <v>25</v>
      </c>
      <c r="F6179" s="7">
        <f t="shared" si="96"/>
        <v>6</v>
      </c>
      <c r="G6179" s="7" t="str">
        <f>LOOKUP(H6179,[1]startdates!$A$2:$A$10,[1]startdates!$B$2:$B$10)</f>
        <v>FMr</v>
      </c>
      <c r="H6179">
        <v>7</v>
      </c>
      <c r="I6179" s="7">
        <v>602</v>
      </c>
      <c r="N6179" s="7">
        <v>244.9</v>
      </c>
      <c r="O6179" s="7">
        <v>181.3</v>
      </c>
    </row>
    <row r="6180" spans="1:17" x14ac:dyDescent="0.2">
      <c r="A6180">
        <v>6179</v>
      </c>
      <c r="B6180" s="1">
        <v>40907</v>
      </c>
      <c r="C6180" t="s">
        <v>28</v>
      </c>
      <c r="D6180" s="7">
        <v>168</v>
      </c>
      <c r="E6180" s="7">
        <v>25</v>
      </c>
      <c r="F6180" s="7">
        <f t="shared" si="96"/>
        <v>6</v>
      </c>
      <c r="G6180" s="7" t="str">
        <f>LOOKUP(H6180,[1]startdates!$A$2:$A$10,[1]startdates!$B$2:$B$10)</f>
        <v>FMr</v>
      </c>
      <c r="H6180">
        <v>7</v>
      </c>
      <c r="I6180" s="7">
        <v>651</v>
      </c>
    </row>
    <row r="6181" spans="1:17" x14ac:dyDescent="0.2">
      <c r="A6181">
        <v>6180</v>
      </c>
      <c r="B6181" s="1">
        <v>40907</v>
      </c>
      <c r="C6181" t="s">
        <v>28</v>
      </c>
      <c r="D6181" s="7">
        <v>168</v>
      </c>
      <c r="E6181" s="7">
        <v>25</v>
      </c>
      <c r="F6181" s="7">
        <f t="shared" si="96"/>
        <v>6</v>
      </c>
      <c r="G6181" s="7" t="str">
        <f>LOOKUP(H6181,[1]startdates!$A$2:$A$10,[1]startdates!$B$2:$B$10)</f>
        <v>C</v>
      </c>
      <c r="H6181">
        <v>8</v>
      </c>
      <c r="I6181" s="7">
        <v>611.6</v>
      </c>
      <c r="J6181" s="7">
        <v>545.70000000000005</v>
      </c>
      <c r="K6181" s="7">
        <v>527.1</v>
      </c>
      <c r="L6181" s="7">
        <v>427.3</v>
      </c>
      <c r="M6181" s="7">
        <v>309.89999999999998</v>
      </c>
      <c r="N6181" s="7">
        <v>266.3</v>
      </c>
      <c r="O6181" s="7">
        <v>153.30000000000001</v>
      </c>
      <c r="P6181" s="7">
        <v>466.9</v>
      </c>
      <c r="Q6181" s="7">
        <v>353.1</v>
      </c>
    </row>
    <row r="6182" spans="1:17" x14ac:dyDescent="0.2">
      <c r="A6182">
        <v>6181</v>
      </c>
      <c r="B6182" s="1">
        <v>40907</v>
      </c>
      <c r="C6182" t="s">
        <v>28</v>
      </c>
      <c r="D6182" s="7">
        <v>168</v>
      </c>
      <c r="E6182" s="7">
        <v>25</v>
      </c>
      <c r="F6182" s="7">
        <f t="shared" si="96"/>
        <v>6</v>
      </c>
      <c r="G6182" s="7" t="str">
        <f>LOOKUP(H6182,[1]startdates!$A$2:$A$10,[1]startdates!$B$2:$B$10)</f>
        <v>C</v>
      </c>
      <c r="H6182">
        <v>8</v>
      </c>
      <c r="I6182" s="7">
        <v>615.4</v>
      </c>
      <c r="J6182" s="7">
        <v>505.6</v>
      </c>
      <c r="K6182" s="7">
        <v>507</v>
      </c>
      <c r="L6182" s="7">
        <v>455.8</v>
      </c>
      <c r="M6182" s="7">
        <v>320.8</v>
      </c>
      <c r="N6182" s="7">
        <v>203.3</v>
      </c>
      <c r="O6182" s="7">
        <v>187.8</v>
      </c>
    </row>
    <row r="6183" spans="1:17" x14ac:dyDescent="0.2">
      <c r="A6183">
        <v>6182</v>
      </c>
      <c r="B6183" s="1">
        <v>40907</v>
      </c>
      <c r="C6183" t="s">
        <v>28</v>
      </c>
      <c r="D6183" s="7">
        <v>168</v>
      </c>
      <c r="E6183" s="7">
        <v>25</v>
      </c>
      <c r="F6183" s="7">
        <f t="shared" si="96"/>
        <v>6</v>
      </c>
      <c r="G6183" s="7" t="str">
        <f>LOOKUP(H6183,[1]startdates!$A$2:$A$10,[1]startdates!$B$2:$B$10)</f>
        <v>C</v>
      </c>
      <c r="H6183">
        <v>8</v>
      </c>
      <c r="I6183" s="7">
        <v>587.70000000000005</v>
      </c>
      <c r="J6183" s="7">
        <v>505.4</v>
      </c>
      <c r="K6183" s="7">
        <v>525.70000000000005</v>
      </c>
      <c r="L6183" s="7">
        <v>462.7</v>
      </c>
      <c r="M6183" s="7">
        <v>292.7</v>
      </c>
      <c r="N6183" s="7">
        <v>205.3</v>
      </c>
      <c r="O6183" s="7">
        <v>154.69999999999999</v>
      </c>
    </row>
    <row r="6184" spans="1:17" x14ac:dyDescent="0.2">
      <c r="A6184">
        <v>6183</v>
      </c>
      <c r="B6184" s="1">
        <v>40907</v>
      </c>
      <c r="C6184" t="s">
        <v>28</v>
      </c>
      <c r="D6184" s="7">
        <v>168</v>
      </c>
      <c r="E6184" s="7">
        <v>25</v>
      </c>
      <c r="F6184" s="7">
        <f t="shared" si="96"/>
        <v>6</v>
      </c>
      <c r="G6184" s="7" t="str">
        <f>LOOKUP(H6184,[1]startdates!$A$2:$A$10,[1]startdates!$B$2:$B$10)</f>
        <v>C</v>
      </c>
      <c r="H6184">
        <v>8</v>
      </c>
      <c r="I6184" s="7">
        <v>583.20000000000005</v>
      </c>
      <c r="J6184" s="7">
        <v>471.3</v>
      </c>
      <c r="K6184" s="7">
        <v>488.1</v>
      </c>
      <c r="L6184" s="7">
        <v>410.7</v>
      </c>
      <c r="M6184" s="7">
        <v>326.10000000000002</v>
      </c>
      <c r="N6184" s="7">
        <v>204.5</v>
      </c>
      <c r="O6184" s="7">
        <v>164.9</v>
      </c>
    </row>
    <row r="6185" spans="1:17" x14ac:dyDescent="0.2">
      <c r="A6185">
        <v>6184</v>
      </c>
      <c r="B6185" s="1">
        <v>40907</v>
      </c>
      <c r="C6185" t="s">
        <v>28</v>
      </c>
      <c r="D6185" s="7">
        <v>168</v>
      </c>
      <c r="E6185" s="7">
        <v>25</v>
      </c>
      <c r="F6185" s="7">
        <f t="shared" ref="F6185:F6248" si="97">WEEKDAY(B6185)</f>
        <v>6</v>
      </c>
      <c r="G6185" s="7" t="str">
        <f>LOOKUP(H6185,[1]startdates!$A$2:$A$10,[1]startdates!$B$2:$B$10)</f>
        <v>C</v>
      </c>
      <c r="H6185">
        <v>8</v>
      </c>
      <c r="I6185" s="7">
        <v>567.1</v>
      </c>
      <c r="K6185" s="7">
        <v>484.7</v>
      </c>
      <c r="M6185" s="7">
        <v>322.89999999999998</v>
      </c>
      <c r="N6185" s="7">
        <v>284.2</v>
      </c>
      <c r="O6185" s="7">
        <v>184.1</v>
      </c>
    </row>
    <row r="6186" spans="1:17" x14ac:dyDescent="0.2">
      <c r="A6186">
        <v>6185</v>
      </c>
      <c r="B6186" s="1">
        <v>40907</v>
      </c>
      <c r="C6186" t="s">
        <v>28</v>
      </c>
      <c r="D6186" s="7">
        <v>168</v>
      </c>
      <c r="E6186" s="7">
        <v>25</v>
      </c>
      <c r="F6186" s="7">
        <f t="shared" si="97"/>
        <v>6</v>
      </c>
      <c r="G6186" s="7" t="str">
        <f>LOOKUP(H6186,[1]startdates!$A$2:$A$10,[1]startdates!$B$2:$B$10)</f>
        <v>C</v>
      </c>
      <c r="H6186">
        <v>8</v>
      </c>
      <c r="I6186" s="7">
        <v>574.1</v>
      </c>
      <c r="M6186" s="7">
        <v>316.60000000000002</v>
      </c>
      <c r="N6186" s="7">
        <v>243.9</v>
      </c>
      <c r="O6186" s="7">
        <v>153.80000000000001</v>
      </c>
    </row>
    <row r="6187" spans="1:17" x14ac:dyDescent="0.2">
      <c r="A6187">
        <v>6186</v>
      </c>
      <c r="B6187" s="1">
        <v>40907</v>
      </c>
      <c r="C6187" t="s">
        <v>28</v>
      </c>
      <c r="D6187" s="7">
        <v>168</v>
      </c>
      <c r="E6187" s="7">
        <v>25</v>
      </c>
      <c r="F6187" s="7">
        <f t="shared" si="97"/>
        <v>6</v>
      </c>
      <c r="G6187" s="7" t="str">
        <f>LOOKUP(H6187,[1]startdates!$A$2:$A$10,[1]startdates!$B$2:$B$10)</f>
        <v>C</v>
      </c>
      <c r="H6187">
        <v>8</v>
      </c>
      <c r="I6187" s="7">
        <v>586</v>
      </c>
      <c r="M6187" s="7">
        <v>304.39999999999998</v>
      </c>
      <c r="N6187" s="7">
        <v>195.2</v>
      </c>
      <c r="O6187" s="7">
        <v>171.3</v>
      </c>
    </row>
    <row r="6188" spans="1:17" x14ac:dyDescent="0.2">
      <c r="A6188">
        <v>6187</v>
      </c>
      <c r="B6188" s="1">
        <v>40907</v>
      </c>
      <c r="C6188" t="s">
        <v>28</v>
      </c>
      <c r="D6188" s="7">
        <v>168</v>
      </c>
      <c r="E6188" s="7">
        <v>25</v>
      </c>
      <c r="F6188" s="7">
        <f t="shared" si="97"/>
        <v>6</v>
      </c>
      <c r="G6188" s="7" t="str">
        <f>LOOKUP(H6188,[1]startdates!$A$2:$A$10,[1]startdates!$B$2:$B$10)</f>
        <v>C</v>
      </c>
      <c r="H6188">
        <v>8</v>
      </c>
      <c r="I6188" s="7">
        <v>615</v>
      </c>
      <c r="N6188" s="7">
        <v>233.1</v>
      </c>
      <c r="O6188" s="7">
        <v>174.6</v>
      </c>
    </row>
    <row r="6189" spans="1:17" x14ac:dyDescent="0.2">
      <c r="A6189">
        <v>6188</v>
      </c>
      <c r="B6189" s="1">
        <v>40907</v>
      </c>
      <c r="C6189" t="s">
        <v>28</v>
      </c>
      <c r="D6189" s="7">
        <v>168</v>
      </c>
      <c r="E6189" s="7">
        <v>25</v>
      </c>
      <c r="F6189" s="7">
        <f t="shared" si="97"/>
        <v>6</v>
      </c>
      <c r="G6189" s="7" t="str">
        <f>LOOKUP(H6189,[1]startdates!$A$2:$A$10,[1]startdates!$B$2:$B$10)</f>
        <v>C</v>
      </c>
      <c r="H6189">
        <v>8</v>
      </c>
      <c r="I6189" s="7">
        <v>662.9</v>
      </c>
      <c r="N6189" s="7">
        <v>189.1</v>
      </c>
      <c r="O6189" s="7">
        <v>159.69999999999999</v>
      </c>
    </row>
    <row r="6190" spans="1:17" x14ac:dyDescent="0.2">
      <c r="A6190">
        <v>6189</v>
      </c>
      <c r="B6190" s="1">
        <v>40907</v>
      </c>
      <c r="C6190" t="s">
        <v>28</v>
      </c>
      <c r="D6190" s="7">
        <v>168</v>
      </c>
      <c r="E6190" s="7">
        <v>25</v>
      </c>
      <c r="F6190" s="7">
        <f t="shared" si="97"/>
        <v>6</v>
      </c>
      <c r="G6190" s="7" t="str">
        <f>LOOKUP(H6190,[1]startdates!$A$2:$A$10,[1]startdates!$B$2:$B$10)</f>
        <v>C</v>
      </c>
      <c r="H6190">
        <v>8</v>
      </c>
      <c r="I6190" s="7">
        <v>632.70000000000005</v>
      </c>
      <c r="N6190" s="7">
        <v>180.6</v>
      </c>
    </row>
    <row r="6191" spans="1:17" x14ac:dyDescent="0.2">
      <c r="A6191">
        <v>6190</v>
      </c>
      <c r="B6191" s="1">
        <v>40907</v>
      </c>
      <c r="C6191" t="s">
        <v>28</v>
      </c>
      <c r="D6191" s="7">
        <v>168</v>
      </c>
      <c r="E6191" s="7">
        <v>25</v>
      </c>
      <c r="F6191" s="7">
        <f t="shared" si="97"/>
        <v>6</v>
      </c>
      <c r="G6191" s="7" t="str">
        <f>LOOKUP(H6191,[1]startdates!$A$2:$A$10,[1]startdates!$B$2:$B$10)</f>
        <v>C</v>
      </c>
      <c r="H6191">
        <v>8</v>
      </c>
      <c r="N6191" s="7">
        <v>201.7</v>
      </c>
    </row>
    <row r="6192" spans="1:17" x14ac:dyDescent="0.2">
      <c r="A6192">
        <v>6191</v>
      </c>
      <c r="B6192" s="1">
        <v>40907</v>
      </c>
      <c r="C6192" t="s">
        <v>28</v>
      </c>
      <c r="D6192" s="7">
        <v>168</v>
      </c>
      <c r="E6192" s="7">
        <v>25</v>
      </c>
      <c r="F6192" s="7">
        <f t="shared" si="97"/>
        <v>6</v>
      </c>
      <c r="G6192" s="7" t="str">
        <f>LOOKUP(H6192,[1]startdates!$A$2:$A$10,[1]startdates!$B$2:$B$10)</f>
        <v>FMr</v>
      </c>
      <c r="H6192">
        <v>9</v>
      </c>
      <c r="I6192" s="7">
        <v>659</v>
      </c>
      <c r="J6192" s="7">
        <v>516.4</v>
      </c>
      <c r="K6192" s="7">
        <v>530.79999999999995</v>
      </c>
      <c r="L6192" s="7">
        <v>423.3</v>
      </c>
      <c r="M6192" s="7">
        <v>345.4</v>
      </c>
      <c r="N6192" s="7">
        <v>251.3</v>
      </c>
      <c r="O6192" s="7">
        <v>167.9</v>
      </c>
      <c r="P6192" s="7">
        <v>513.70000000000005</v>
      </c>
      <c r="Q6192" s="7">
        <v>357.3</v>
      </c>
    </row>
    <row r="6193" spans="1:21" x14ac:dyDescent="0.2">
      <c r="A6193">
        <v>6192</v>
      </c>
      <c r="B6193" s="1">
        <v>40907</v>
      </c>
      <c r="C6193" t="s">
        <v>28</v>
      </c>
      <c r="D6193" s="7">
        <v>168</v>
      </c>
      <c r="E6193" s="7">
        <v>25</v>
      </c>
      <c r="F6193" s="7">
        <f t="shared" si="97"/>
        <v>6</v>
      </c>
      <c r="G6193" s="7" t="str">
        <f>LOOKUP(H6193,[1]startdates!$A$2:$A$10,[1]startdates!$B$2:$B$10)</f>
        <v>FMr</v>
      </c>
      <c r="H6193">
        <v>9</v>
      </c>
      <c r="I6193" s="7">
        <v>573.29999999999995</v>
      </c>
      <c r="K6193" s="7">
        <v>464.8</v>
      </c>
      <c r="L6193" s="7">
        <v>391.5</v>
      </c>
      <c r="M6193" s="7">
        <v>366.6</v>
      </c>
      <c r="N6193" s="7">
        <v>260.89999999999998</v>
      </c>
      <c r="O6193" s="7">
        <v>166</v>
      </c>
      <c r="P6193" s="7">
        <v>444.9</v>
      </c>
      <c r="Q6193" s="7">
        <v>387</v>
      </c>
    </row>
    <row r="6194" spans="1:21" x14ac:dyDescent="0.2">
      <c r="A6194">
        <v>6193</v>
      </c>
      <c r="B6194" s="1">
        <v>40907</v>
      </c>
      <c r="C6194" t="s">
        <v>28</v>
      </c>
      <c r="D6194" s="7">
        <v>168</v>
      </c>
      <c r="E6194" s="7">
        <v>25</v>
      </c>
      <c r="F6194" s="7">
        <f t="shared" si="97"/>
        <v>6</v>
      </c>
      <c r="G6194" s="7" t="str">
        <f>LOOKUP(H6194,[1]startdates!$A$2:$A$10,[1]startdates!$B$2:$B$10)</f>
        <v>FMr</v>
      </c>
      <c r="H6194">
        <v>9</v>
      </c>
      <c r="I6194" s="7">
        <v>590.70000000000005</v>
      </c>
      <c r="K6194" s="7">
        <v>578</v>
      </c>
      <c r="L6194" s="7">
        <v>443.4</v>
      </c>
      <c r="M6194" s="7">
        <v>314</v>
      </c>
      <c r="N6194" s="7">
        <v>192.2</v>
      </c>
      <c r="O6194" s="7">
        <v>178.6</v>
      </c>
      <c r="P6194" s="7">
        <v>416.1</v>
      </c>
      <c r="Q6194" s="7">
        <v>368.1</v>
      </c>
    </row>
    <row r="6195" spans="1:21" x14ac:dyDescent="0.2">
      <c r="A6195">
        <v>6194</v>
      </c>
      <c r="B6195" s="1">
        <v>40907</v>
      </c>
      <c r="C6195" t="s">
        <v>28</v>
      </c>
      <c r="D6195" s="7">
        <v>168</v>
      </c>
      <c r="E6195" s="7">
        <v>25</v>
      </c>
      <c r="F6195" s="7">
        <f t="shared" si="97"/>
        <v>6</v>
      </c>
      <c r="G6195" s="7" t="str">
        <f>LOOKUP(H6195,[1]startdates!$A$2:$A$10,[1]startdates!$B$2:$B$10)</f>
        <v>FMr</v>
      </c>
      <c r="H6195">
        <v>9</v>
      </c>
      <c r="I6195" s="7">
        <v>606</v>
      </c>
      <c r="K6195" s="7">
        <v>519.4</v>
      </c>
      <c r="L6195" s="7">
        <v>424.3</v>
      </c>
      <c r="M6195" s="7">
        <v>324</v>
      </c>
      <c r="N6195" s="7">
        <v>271.8</v>
      </c>
      <c r="O6195" s="7">
        <v>164.9</v>
      </c>
      <c r="P6195" s="7">
        <v>413.7</v>
      </c>
      <c r="Q6195" s="7">
        <v>327.2</v>
      </c>
    </row>
    <row r="6196" spans="1:21" x14ac:dyDescent="0.2">
      <c r="A6196">
        <v>6195</v>
      </c>
      <c r="B6196" s="1">
        <v>40907</v>
      </c>
      <c r="C6196" t="s">
        <v>28</v>
      </c>
      <c r="D6196" s="7">
        <v>168</v>
      </c>
      <c r="E6196" s="7">
        <v>25</v>
      </c>
      <c r="F6196" s="7">
        <f t="shared" si="97"/>
        <v>6</v>
      </c>
      <c r="G6196" s="7" t="str">
        <f>LOOKUP(H6196,[1]startdates!$A$2:$A$10,[1]startdates!$B$2:$B$10)</f>
        <v>FMr</v>
      </c>
      <c r="H6196">
        <v>9</v>
      </c>
      <c r="I6196" s="7">
        <v>564.9</v>
      </c>
      <c r="K6196" s="7">
        <v>502.8</v>
      </c>
      <c r="L6196" s="7">
        <v>412.4</v>
      </c>
      <c r="M6196" s="7">
        <v>386.7</v>
      </c>
      <c r="N6196" s="7">
        <v>186.4</v>
      </c>
      <c r="O6196" s="7">
        <v>177.8</v>
      </c>
      <c r="P6196" s="7">
        <v>498.8</v>
      </c>
      <c r="Q6196" s="7">
        <v>330.9</v>
      </c>
    </row>
    <row r="6197" spans="1:21" x14ac:dyDescent="0.2">
      <c r="A6197">
        <v>6196</v>
      </c>
      <c r="B6197" s="1">
        <v>40907</v>
      </c>
      <c r="C6197" t="s">
        <v>28</v>
      </c>
      <c r="D6197" s="7">
        <v>168</v>
      </c>
      <c r="E6197" s="7">
        <v>25</v>
      </c>
      <c r="F6197" s="7">
        <f t="shared" si="97"/>
        <v>6</v>
      </c>
      <c r="G6197" s="7" t="str">
        <f>LOOKUP(H6197,[1]startdates!$A$2:$A$10,[1]startdates!$B$2:$B$10)</f>
        <v>FMr</v>
      </c>
      <c r="H6197">
        <v>9</v>
      </c>
      <c r="I6197" s="7">
        <v>553.5</v>
      </c>
      <c r="K6197" s="7">
        <v>457.7</v>
      </c>
      <c r="L6197" s="7">
        <v>422.4</v>
      </c>
      <c r="M6197" s="7">
        <v>300.3</v>
      </c>
      <c r="N6197" s="7">
        <v>267.8</v>
      </c>
      <c r="O6197" s="7">
        <v>182.3</v>
      </c>
      <c r="P6197" s="7">
        <v>410.3</v>
      </c>
    </row>
    <row r="6198" spans="1:21" x14ac:dyDescent="0.2">
      <c r="A6198">
        <v>6197</v>
      </c>
      <c r="B6198" s="1">
        <v>40907</v>
      </c>
      <c r="C6198" t="s">
        <v>28</v>
      </c>
      <c r="D6198" s="7">
        <v>168</v>
      </c>
      <c r="E6198" s="7">
        <v>25</v>
      </c>
      <c r="F6198" s="7">
        <f t="shared" si="97"/>
        <v>6</v>
      </c>
      <c r="G6198" s="7" t="str">
        <f>LOOKUP(H6198,[1]startdates!$A$2:$A$10,[1]startdates!$B$2:$B$10)</f>
        <v>FMr</v>
      </c>
      <c r="H6198">
        <v>9</v>
      </c>
      <c r="I6198" s="7">
        <v>560.6</v>
      </c>
      <c r="M6198" s="7">
        <v>367.9</v>
      </c>
      <c r="N6198" s="7">
        <v>205.2</v>
      </c>
      <c r="O6198" s="7">
        <v>164.7</v>
      </c>
    </row>
    <row r="6199" spans="1:21" x14ac:dyDescent="0.2">
      <c r="A6199">
        <v>6198</v>
      </c>
      <c r="B6199" s="1">
        <v>40907</v>
      </c>
      <c r="C6199" t="s">
        <v>28</v>
      </c>
      <c r="D6199" s="7">
        <v>168</v>
      </c>
      <c r="E6199" s="7">
        <v>25</v>
      </c>
      <c r="F6199" s="7">
        <f t="shared" si="97"/>
        <v>6</v>
      </c>
      <c r="G6199" s="7" t="str">
        <f>LOOKUP(H6199,[1]startdates!$A$2:$A$10,[1]startdates!$B$2:$B$10)</f>
        <v>FMr</v>
      </c>
      <c r="H6199">
        <v>9</v>
      </c>
      <c r="I6199" s="7">
        <v>619.29999999999995</v>
      </c>
      <c r="N6199" s="7">
        <v>175.4</v>
      </c>
      <c r="O6199" s="7">
        <v>168.6</v>
      </c>
    </row>
    <row r="6200" spans="1:21" x14ac:dyDescent="0.2">
      <c r="A6200">
        <v>6199</v>
      </c>
      <c r="B6200" s="1">
        <v>40907</v>
      </c>
      <c r="C6200" t="s">
        <v>28</v>
      </c>
      <c r="D6200" s="7">
        <v>168</v>
      </c>
      <c r="E6200" s="7">
        <v>25</v>
      </c>
      <c r="F6200" s="7">
        <f t="shared" si="97"/>
        <v>6</v>
      </c>
      <c r="G6200" s="7" t="str">
        <f>LOOKUP(H6200,[1]startdates!$A$2:$A$10,[1]startdates!$B$2:$B$10)</f>
        <v>FMr</v>
      </c>
      <c r="H6200">
        <v>9</v>
      </c>
      <c r="I6200" s="7">
        <v>612.6</v>
      </c>
      <c r="N6200" s="7">
        <v>203.3</v>
      </c>
      <c r="O6200" s="7">
        <v>182.8</v>
      </c>
    </row>
    <row r="6201" spans="1:21" x14ac:dyDescent="0.2">
      <c r="A6201">
        <v>6200</v>
      </c>
      <c r="B6201" s="1">
        <v>40907</v>
      </c>
      <c r="C6201" t="s">
        <v>28</v>
      </c>
      <c r="D6201" s="7">
        <v>168</v>
      </c>
      <c r="E6201" s="7">
        <v>25</v>
      </c>
      <c r="F6201" s="7">
        <f t="shared" si="97"/>
        <v>6</v>
      </c>
      <c r="G6201" s="7" t="str">
        <f>LOOKUP(H6201,[1]startdates!$A$2:$A$10,[1]startdates!$B$2:$B$10)</f>
        <v>FMr</v>
      </c>
      <c r="H6201">
        <v>9</v>
      </c>
      <c r="I6201" s="7">
        <v>647.1</v>
      </c>
      <c r="N6201" s="7">
        <v>194.9</v>
      </c>
      <c r="O6201" s="7">
        <v>173.8</v>
      </c>
    </row>
    <row r="6202" spans="1:21" x14ac:dyDescent="0.2">
      <c r="A6202">
        <v>6201</v>
      </c>
      <c r="B6202" s="1">
        <v>40907</v>
      </c>
      <c r="C6202" t="s">
        <v>28</v>
      </c>
      <c r="D6202" s="7">
        <v>168</v>
      </c>
      <c r="E6202" s="7">
        <v>25</v>
      </c>
      <c r="F6202" s="7">
        <f t="shared" si="97"/>
        <v>6</v>
      </c>
      <c r="G6202" s="7" t="str">
        <f>LOOKUP(H6202,[1]startdates!$A$2:$A$10,[1]startdates!$B$2:$B$10)</f>
        <v>FMr</v>
      </c>
      <c r="H6202">
        <v>9</v>
      </c>
      <c r="I6202" s="7">
        <v>530</v>
      </c>
    </row>
    <row r="6203" spans="1:21" x14ac:dyDescent="0.2">
      <c r="A6203">
        <v>6202</v>
      </c>
      <c r="B6203" s="1">
        <v>40911</v>
      </c>
      <c r="C6203" t="s">
        <v>24</v>
      </c>
      <c r="D6203" s="7">
        <v>171</v>
      </c>
      <c r="E6203" s="7">
        <v>26</v>
      </c>
      <c r="F6203" s="7">
        <f t="shared" si="97"/>
        <v>3</v>
      </c>
      <c r="G6203" s="7" t="str">
        <f>LOOKUP(H6203,[1]startdates!$A$2:$A$10,[1]startdates!$B$2:$B$10)</f>
        <v>SMr</v>
      </c>
      <c r="H6203">
        <v>1</v>
      </c>
      <c r="I6203" s="7">
        <v>600.20000000000005</v>
      </c>
      <c r="J6203" s="7">
        <v>486.7</v>
      </c>
      <c r="K6203" s="7">
        <v>432.5</v>
      </c>
      <c r="L6203" s="7">
        <v>411.7</v>
      </c>
      <c r="M6203" s="7">
        <v>369.1</v>
      </c>
      <c r="N6203" s="7">
        <v>274.8</v>
      </c>
      <c r="O6203" s="7">
        <v>160.4</v>
      </c>
      <c r="P6203" s="7">
        <v>488.3</v>
      </c>
      <c r="Q6203" s="7">
        <v>318.60000000000002</v>
      </c>
      <c r="R6203" s="7">
        <v>272.2</v>
      </c>
      <c r="U6203" s="7">
        <v>526.9</v>
      </c>
    </row>
    <row r="6204" spans="1:21" x14ac:dyDescent="0.2">
      <c r="A6204">
        <v>6203</v>
      </c>
      <c r="B6204" s="1">
        <v>40911</v>
      </c>
      <c r="C6204" t="s">
        <v>24</v>
      </c>
      <c r="D6204" s="7">
        <v>171</v>
      </c>
      <c r="E6204" s="7">
        <v>26</v>
      </c>
      <c r="F6204" s="7">
        <f t="shared" si="97"/>
        <v>3</v>
      </c>
      <c r="G6204" s="7" t="str">
        <f>LOOKUP(H6204,[1]startdates!$A$2:$A$10,[1]startdates!$B$2:$B$10)</f>
        <v>SMr</v>
      </c>
      <c r="H6204">
        <v>1</v>
      </c>
      <c r="I6204" s="7">
        <v>575.29999999999995</v>
      </c>
      <c r="J6204" s="7">
        <v>505.8</v>
      </c>
      <c r="K6204" s="7">
        <v>430.5</v>
      </c>
      <c r="L6204" s="7">
        <v>431.4</v>
      </c>
      <c r="M6204" s="7">
        <v>368.2</v>
      </c>
      <c r="N6204" s="7">
        <v>237.4</v>
      </c>
      <c r="O6204" s="7">
        <v>170.2</v>
      </c>
      <c r="P6204" s="7">
        <v>491.2</v>
      </c>
      <c r="Q6204" s="7">
        <v>375.4</v>
      </c>
      <c r="R6204" s="7">
        <v>259</v>
      </c>
      <c r="U6204" s="7">
        <v>476.4</v>
      </c>
    </row>
    <row r="6205" spans="1:21" x14ac:dyDescent="0.2">
      <c r="A6205">
        <v>6204</v>
      </c>
      <c r="B6205" s="1">
        <v>40911</v>
      </c>
      <c r="C6205" t="s">
        <v>24</v>
      </c>
      <c r="D6205" s="7">
        <v>171</v>
      </c>
      <c r="E6205" s="7">
        <v>26</v>
      </c>
      <c r="F6205" s="7">
        <f t="shared" si="97"/>
        <v>3</v>
      </c>
      <c r="G6205" s="7" t="str">
        <f>LOOKUP(H6205,[1]startdates!$A$2:$A$10,[1]startdates!$B$2:$B$10)</f>
        <v>SMr</v>
      </c>
      <c r="H6205">
        <v>1</v>
      </c>
      <c r="I6205" s="7">
        <v>613.4</v>
      </c>
      <c r="J6205" s="7">
        <v>468.1</v>
      </c>
      <c r="K6205" s="7">
        <v>421.5</v>
      </c>
      <c r="L6205" s="7">
        <v>416.4</v>
      </c>
      <c r="M6205" s="7">
        <v>374.2</v>
      </c>
      <c r="N6205" s="7">
        <v>253.2</v>
      </c>
      <c r="O6205" s="7">
        <v>175.4</v>
      </c>
      <c r="Q6205" s="7">
        <v>376.8</v>
      </c>
      <c r="U6205" s="7">
        <v>437.6</v>
      </c>
    </row>
    <row r="6206" spans="1:21" x14ac:dyDescent="0.2">
      <c r="A6206">
        <v>6205</v>
      </c>
      <c r="B6206" s="1">
        <v>40911</v>
      </c>
      <c r="C6206" t="s">
        <v>24</v>
      </c>
      <c r="D6206" s="7">
        <v>171</v>
      </c>
      <c r="E6206" s="7">
        <v>26</v>
      </c>
      <c r="F6206" s="7">
        <f t="shared" si="97"/>
        <v>3</v>
      </c>
      <c r="G6206" s="7" t="str">
        <f>LOOKUP(H6206,[1]startdates!$A$2:$A$10,[1]startdates!$B$2:$B$10)</f>
        <v>SMr</v>
      </c>
      <c r="H6206">
        <v>1</v>
      </c>
      <c r="I6206" s="7">
        <v>576.29999999999995</v>
      </c>
      <c r="M6206" s="7">
        <v>355.4</v>
      </c>
      <c r="N6206" s="7">
        <v>206.1</v>
      </c>
      <c r="O6206" s="7">
        <v>171.8</v>
      </c>
      <c r="Q6206" s="7">
        <v>327.8</v>
      </c>
    </row>
    <row r="6207" spans="1:21" x14ac:dyDescent="0.2">
      <c r="A6207">
        <v>6206</v>
      </c>
      <c r="B6207" s="1">
        <v>40911</v>
      </c>
      <c r="C6207" t="s">
        <v>24</v>
      </c>
      <c r="D6207" s="7">
        <v>171</v>
      </c>
      <c r="E6207" s="7">
        <v>26</v>
      </c>
      <c r="F6207" s="7">
        <f t="shared" si="97"/>
        <v>3</v>
      </c>
      <c r="G6207" s="7" t="str">
        <f>LOOKUP(H6207,[1]startdates!$A$2:$A$10,[1]startdates!$B$2:$B$10)</f>
        <v>SMr</v>
      </c>
      <c r="H6207">
        <v>1</v>
      </c>
      <c r="I6207" s="7">
        <v>623.9</v>
      </c>
      <c r="M6207" s="7">
        <v>320.7</v>
      </c>
      <c r="N6207" s="7">
        <v>199.1</v>
      </c>
      <c r="O6207" s="7">
        <v>143.4</v>
      </c>
    </row>
    <row r="6208" spans="1:21" x14ac:dyDescent="0.2">
      <c r="A6208">
        <v>6207</v>
      </c>
      <c r="B6208" s="1">
        <v>40911</v>
      </c>
      <c r="C6208" t="s">
        <v>24</v>
      </c>
      <c r="D6208" s="7">
        <v>171</v>
      </c>
      <c r="E6208" s="7">
        <v>26</v>
      </c>
      <c r="F6208" s="7">
        <f t="shared" si="97"/>
        <v>3</v>
      </c>
      <c r="G6208" s="7" t="str">
        <f>LOOKUP(H6208,[1]startdates!$A$2:$A$10,[1]startdates!$B$2:$B$10)</f>
        <v>SMr</v>
      </c>
      <c r="H6208">
        <v>1</v>
      </c>
      <c r="I6208" s="7">
        <v>608.20000000000005</v>
      </c>
      <c r="M6208" s="7">
        <v>384.4</v>
      </c>
      <c r="N6208" s="7">
        <v>246.3</v>
      </c>
      <c r="O6208" s="7">
        <v>196.1</v>
      </c>
    </row>
    <row r="6209" spans="1:21" x14ac:dyDescent="0.2">
      <c r="A6209">
        <v>6208</v>
      </c>
      <c r="B6209" s="1">
        <v>40911</v>
      </c>
      <c r="C6209" t="s">
        <v>24</v>
      </c>
      <c r="D6209" s="7">
        <v>171</v>
      </c>
      <c r="E6209" s="7">
        <v>26</v>
      </c>
      <c r="F6209" s="7">
        <f t="shared" si="97"/>
        <v>3</v>
      </c>
      <c r="G6209" s="7" t="str">
        <f>LOOKUP(H6209,[1]startdates!$A$2:$A$10,[1]startdates!$B$2:$B$10)</f>
        <v>SMr</v>
      </c>
      <c r="H6209">
        <v>1</v>
      </c>
      <c r="I6209" s="7">
        <v>628</v>
      </c>
      <c r="M6209" s="7">
        <v>371.8</v>
      </c>
      <c r="N6209" s="7">
        <v>225.1</v>
      </c>
    </row>
    <row r="6210" spans="1:21" x14ac:dyDescent="0.2">
      <c r="A6210">
        <v>6209</v>
      </c>
      <c r="B6210" s="1">
        <v>40911</v>
      </c>
      <c r="C6210" t="s">
        <v>24</v>
      </c>
      <c r="D6210" s="7">
        <v>171</v>
      </c>
      <c r="E6210" s="7">
        <v>26</v>
      </c>
      <c r="F6210" s="7">
        <f t="shared" si="97"/>
        <v>3</v>
      </c>
      <c r="G6210" s="7" t="str">
        <f>LOOKUP(H6210,[1]startdates!$A$2:$A$10,[1]startdates!$B$2:$B$10)</f>
        <v>SMr</v>
      </c>
      <c r="H6210">
        <v>1</v>
      </c>
      <c r="I6210" s="7">
        <v>538.1</v>
      </c>
      <c r="N6210" s="7">
        <v>224.1</v>
      </c>
    </row>
    <row r="6211" spans="1:21" x14ac:dyDescent="0.2">
      <c r="A6211">
        <v>6210</v>
      </c>
      <c r="B6211" s="1">
        <v>40911</v>
      </c>
      <c r="C6211" t="s">
        <v>24</v>
      </c>
      <c r="D6211" s="7">
        <v>171</v>
      </c>
      <c r="E6211" s="7">
        <v>26</v>
      </c>
      <c r="F6211" s="7">
        <f t="shared" si="97"/>
        <v>3</v>
      </c>
      <c r="G6211" s="7" t="str">
        <f>LOOKUP(H6211,[1]startdates!$A$2:$A$10,[1]startdates!$B$2:$B$10)</f>
        <v>SMr</v>
      </c>
      <c r="H6211">
        <v>1</v>
      </c>
      <c r="I6211" s="7">
        <v>614</v>
      </c>
      <c r="N6211" s="7">
        <v>215.7</v>
      </c>
    </row>
    <row r="6212" spans="1:21" x14ac:dyDescent="0.2">
      <c r="A6212">
        <v>6211</v>
      </c>
      <c r="B6212" s="1">
        <v>40911</v>
      </c>
      <c r="C6212" t="s">
        <v>24</v>
      </c>
      <c r="D6212" s="7">
        <v>171</v>
      </c>
      <c r="E6212" s="7">
        <v>26</v>
      </c>
      <c r="F6212" s="7">
        <f t="shared" si="97"/>
        <v>3</v>
      </c>
      <c r="G6212" s="7" t="str">
        <f>LOOKUP(H6212,[1]startdates!$A$2:$A$10,[1]startdates!$B$2:$B$10)</f>
        <v>SMr</v>
      </c>
      <c r="H6212">
        <v>1</v>
      </c>
      <c r="I6212" s="7">
        <v>582.29999999999995</v>
      </c>
    </row>
    <row r="6213" spans="1:21" x14ac:dyDescent="0.2">
      <c r="A6213">
        <v>6212</v>
      </c>
      <c r="B6213" s="1">
        <v>40911</v>
      </c>
      <c r="C6213" t="s">
        <v>24</v>
      </c>
      <c r="D6213" s="7">
        <v>171</v>
      </c>
      <c r="E6213" s="7">
        <v>26</v>
      </c>
      <c r="F6213" s="7">
        <f t="shared" si="97"/>
        <v>3</v>
      </c>
      <c r="G6213" s="7" t="str">
        <f>LOOKUP(H6213,[1]startdates!$A$2:$A$10,[1]startdates!$B$2:$B$10)</f>
        <v>SMr</v>
      </c>
      <c r="H6213">
        <v>1</v>
      </c>
      <c r="I6213" s="7">
        <v>517.6</v>
      </c>
    </row>
    <row r="6214" spans="1:21" x14ac:dyDescent="0.2">
      <c r="A6214">
        <v>6213</v>
      </c>
      <c r="B6214" s="1">
        <v>40911</v>
      </c>
      <c r="C6214" t="s">
        <v>24</v>
      </c>
      <c r="D6214" s="7">
        <v>171</v>
      </c>
      <c r="E6214" s="7">
        <v>26</v>
      </c>
      <c r="F6214" s="7">
        <f t="shared" si="97"/>
        <v>3</v>
      </c>
      <c r="G6214" s="7" t="str">
        <f>LOOKUP(H6214,[1]startdates!$A$2:$A$10,[1]startdates!$B$2:$B$10)</f>
        <v>SMr</v>
      </c>
      <c r="H6214">
        <v>1</v>
      </c>
      <c r="I6214" s="7">
        <v>616.4</v>
      </c>
    </row>
    <row r="6215" spans="1:21" x14ac:dyDescent="0.2">
      <c r="A6215">
        <v>6214</v>
      </c>
      <c r="B6215" s="1">
        <v>40911</v>
      </c>
      <c r="C6215" t="s">
        <v>28</v>
      </c>
      <c r="D6215" s="7">
        <v>171</v>
      </c>
      <c r="E6215" s="7">
        <v>26</v>
      </c>
      <c r="F6215" s="7">
        <f t="shared" si="97"/>
        <v>3</v>
      </c>
      <c r="G6215" s="7" t="str">
        <f>LOOKUP(H6215,[1]startdates!$A$2:$A$10,[1]startdates!$B$2:$B$10)</f>
        <v>SMr</v>
      </c>
      <c r="H6215">
        <v>2</v>
      </c>
      <c r="I6215" s="7">
        <v>558.6</v>
      </c>
      <c r="K6215" s="7">
        <v>541.6</v>
      </c>
      <c r="L6215" s="7">
        <v>432</v>
      </c>
      <c r="M6215" s="7">
        <v>359.9</v>
      </c>
      <c r="N6215" s="7">
        <v>194</v>
      </c>
      <c r="O6215" s="7">
        <v>144</v>
      </c>
      <c r="P6215" s="7">
        <v>399.5</v>
      </c>
      <c r="Q6215" s="7">
        <v>354.2</v>
      </c>
      <c r="U6215" s="7">
        <v>469.2</v>
      </c>
    </row>
    <row r="6216" spans="1:21" x14ac:dyDescent="0.2">
      <c r="A6216">
        <v>6215</v>
      </c>
      <c r="B6216" s="1">
        <v>40911</v>
      </c>
      <c r="C6216" t="s">
        <v>28</v>
      </c>
      <c r="D6216" s="7">
        <v>171</v>
      </c>
      <c r="E6216" s="7">
        <v>26</v>
      </c>
      <c r="F6216" s="7">
        <f t="shared" si="97"/>
        <v>3</v>
      </c>
      <c r="G6216" s="7" t="str">
        <f>LOOKUP(H6216,[1]startdates!$A$2:$A$10,[1]startdates!$B$2:$B$10)</f>
        <v>SMr</v>
      </c>
      <c r="H6216">
        <v>2</v>
      </c>
      <c r="I6216" s="7">
        <v>456.7</v>
      </c>
      <c r="K6216" s="7">
        <v>433.8</v>
      </c>
      <c r="L6216" s="7">
        <v>394.8</v>
      </c>
      <c r="M6216" s="7">
        <v>375.5</v>
      </c>
      <c r="N6216" s="7">
        <v>184.9</v>
      </c>
      <c r="O6216" s="7">
        <v>145</v>
      </c>
      <c r="P6216" s="7">
        <v>418.7</v>
      </c>
      <c r="Q6216" s="7">
        <v>377.6</v>
      </c>
      <c r="U6216" s="7">
        <v>462.9</v>
      </c>
    </row>
    <row r="6217" spans="1:21" x14ac:dyDescent="0.2">
      <c r="A6217">
        <v>6216</v>
      </c>
      <c r="B6217" s="1">
        <v>40911</v>
      </c>
      <c r="C6217" t="s">
        <v>28</v>
      </c>
      <c r="D6217" s="7">
        <v>171</v>
      </c>
      <c r="E6217" s="7">
        <v>26</v>
      </c>
      <c r="F6217" s="7">
        <f t="shared" si="97"/>
        <v>3</v>
      </c>
      <c r="G6217" s="7" t="str">
        <f>LOOKUP(H6217,[1]startdates!$A$2:$A$10,[1]startdates!$B$2:$B$10)</f>
        <v>SMr</v>
      </c>
      <c r="H6217">
        <v>2</v>
      </c>
      <c r="I6217" s="7">
        <v>526.1</v>
      </c>
      <c r="K6217" s="7">
        <v>485.1</v>
      </c>
      <c r="L6217" s="7">
        <v>419.3</v>
      </c>
      <c r="M6217" s="7">
        <v>358.1</v>
      </c>
      <c r="N6217" s="7">
        <v>209.9</v>
      </c>
      <c r="O6217" s="7">
        <v>153.1</v>
      </c>
      <c r="P6217" s="7">
        <v>430.8</v>
      </c>
      <c r="Q6217" s="7">
        <v>310.10000000000002</v>
      </c>
      <c r="U6217" s="7">
        <v>437.6</v>
      </c>
    </row>
    <row r="6218" spans="1:21" x14ac:dyDescent="0.2">
      <c r="A6218">
        <v>6217</v>
      </c>
      <c r="B6218" s="1">
        <v>40911</v>
      </c>
      <c r="C6218" t="s">
        <v>28</v>
      </c>
      <c r="D6218" s="7">
        <v>171</v>
      </c>
      <c r="E6218" s="7">
        <v>26</v>
      </c>
      <c r="F6218" s="7">
        <f t="shared" si="97"/>
        <v>3</v>
      </c>
      <c r="G6218" s="7" t="str">
        <f>LOOKUP(H6218,[1]startdates!$A$2:$A$10,[1]startdates!$B$2:$B$10)</f>
        <v>SMr</v>
      </c>
      <c r="H6218">
        <v>2</v>
      </c>
      <c r="I6218" s="7">
        <v>616.4</v>
      </c>
      <c r="K6218" s="7">
        <v>436.1</v>
      </c>
      <c r="L6218" s="7">
        <v>427.3</v>
      </c>
      <c r="M6218" s="7">
        <v>369.7</v>
      </c>
      <c r="N6218" s="7">
        <v>176.2</v>
      </c>
      <c r="O6218" s="7">
        <v>166</v>
      </c>
    </row>
    <row r="6219" spans="1:21" x14ac:dyDescent="0.2">
      <c r="A6219">
        <v>6218</v>
      </c>
      <c r="B6219" s="1">
        <v>40911</v>
      </c>
      <c r="C6219" t="s">
        <v>28</v>
      </c>
      <c r="D6219" s="7">
        <v>171</v>
      </c>
      <c r="E6219" s="7">
        <v>26</v>
      </c>
      <c r="F6219" s="7">
        <f t="shared" si="97"/>
        <v>3</v>
      </c>
      <c r="G6219" s="7" t="str">
        <f>LOOKUP(H6219,[1]startdates!$A$2:$A$10,[1]startdates!$B$2:$B$10)</f>
        <v>SMr</v>
      </c>
      <c r="H6219">
        <v>2</v>
      </c>
      <c r="I6219" s="7">
        <v>543.5</v>
      </c>
      <c r="M6219" s="7">
        <v>352.1</v>
      </c>
      <c r="N6219" s="7">
        <v>208.5</v>
      </c>
      <c r="O6219" s="7">
        <v>141.1</v>
      </c>
    </row>
    <row r="6220" spans="1:21" x14ac:dyDescent="0.2">
      <c r="A6220">
        <v>6219</v>
      </c>
      <c r="B6220" s="1">
        <v>40911</v>
      </c>
      <c r="C6220" t="s">
        <v>28</v>
      </c>
      <c r="D6220" s="7">
        <v>171</v>
      </c>
      <c r="E6220" s="7">
        <v>26</v>
      </c>
      <c r="F6220" s="7">
        <f t="shared" si="97"/>
        <v>3</v>
      </c>
      <c r="G6220" s="7" t="str">
        <f>LOOKUP(H6220,[1]startdates!$A$2:$A$10,[1]startdates!$B$2:$B$10)</f>
        <v>SMr</v>
      </c>
      <c r="H6220">
        <v>2</v>
      </c>
      <c r="I6220" s="7">
        <v>494.7</v>
      </c>
      <c r="M6220" s="7">
        <v>344.6</v>
      </c>
      <c r="N6220" s="7">
        <v>247.7</v>
      </c>
      <c r="O6220" s="7">
        <v>162</v>
      </c>
    </row>
    <row r="6221" spans="1:21" x14ac:dyDescent="0.2">
      <c r="A6221">
        <v>6220</v>
      </c>
      <c r="B6221" s="1">
        <v>40911</v>
      </c>
      <c r="C6221" t="s">
        <v>28</v>
      </c>
      <c r="D6221" s="7">
        <v>171</v>
      </c>
      <c r="E6221" s="7">
        <v>26</v>
      </c>
      <c r="F6221" s="7">
        <f t="shared" si="97"/>
        <v>3</v>
      </c>
      <c r="G6221" s="7" t="str">
        <f>LOOKUP(H6221,[1]startdates!$A$2:$A$10,[1]startdates!$B$2:$B$10)</f>
        <v>SMr</v>
      </c>
      <c r="H6221">
        <v>2</v>
      </c>
      <c r="I6221" s="7">
        <v>648.4</v>
      </c>
      <c r="M6221" s="7">
        <v>349.1</v>
      </c>
      <c r="N6221" s="7">
        <v>279.2</v>
      </c>
      <c r="O6221" s="7">
        <v>148.4</v>
      </c>
    </row>
    <row r="6222" spans="1:21" x14ac:dyDescent="0.2">
      <c r="A6222">
        <v>6221</v>
      </c>
      <c r="B6222" s="1">
        <v>40911</v>
      </c>
      <c r="C6222" t="s">
        <v>28</v>
      </c>
      <c r="D6222" s="7">
        <v>171</v>
      </c>
      <c r="E6222" s="7">
        <v>26</v>
      </c>
      <c r="F6222" s="7">
        <f t="shared" si="97"/>
        <v>3</v>
      </c>
      <c r="G6222" s="7" t="str">
        <f>LOOKUP(H6222,[1]startdates!$A$2:$A$10,[1]startdates!$B$2:$B$10)</f>
        <v>SMr</v>
      </c>
      <c r="H6222">
        <v>2</v>
      </c>
      <c r="I6222" s="7">
        <v>568.4</v>
      </c>
      <c r="M6222" s="7">
        <v>339.1</v>
      </c>
      <c r="N6222" s="7">
        <v>173.5</v>
      </c>
      <c r="O6222" s="7">
        <v>163.1</v>
      </c>
    </row>
    <row r="6223" spans="1:21" x14ac:dyDescent="0.2">
      <c r="A6223">
        <v>6222</v>
      </c>
      <c r="B6223" s="1">
        <v>40911</v>
      </c>
      <c r="C6223" t="s">
        <v>28</v>
      </c>
      <c r="D6223" s="7">
        <v>171</v>
      </c>
      <c r="E6223" s="7">
        <v>26</v>
      </c>
      <c r="F6223" s="7">
        <f t="shared" si="97"/>
        <v>3</v>
      </c>
      <c r="G6223" s="7" t="str">
        <f>LOOKUP(H6223,[1]startdates!$A$2:$A$10,[1]startdates!$B$2:$B$10)</f>
        <v>SMr</v>
      </c>
      <c r="H6223">
        <v>2</v>
      </c>
      <c r="I6223" s="7">
        <v>512.9</v>
      </c>
      <c r="M6223" s="7">
        <v>300.2</v>
      </c>
      <c r="N6223" s="7">
        <v>226.6</v>
      </c>
      <c r="O6223" s="7">
        <v>171.6</v>
      </c>
    </row>
    <row r="6224" spans="1:21" x14ac:dyDescent="0.2">
      <c r="A6224">
        <v>6223</v>
      </c>
      <c r="B6224" s="1">
        <v>40911</v>
      </c>
      <c r="C6224" t="s">
        <v>28</v>
      </c>
      <c r="D6224" s="7">
        <v>171</v>
      </c>
      <c r="E6224" s="7">
        <v>26</v>
      </c>
      <c r="F6224" s="7">
        <f t="shared" si="97"/>
        <v>3</v>
      </c>
      <c r="G6224" s="7" t="str">
        <f>LOOKUP(H6224,[1]startdates!$A$2:$A$10,[1]startdates!$B$2:$B$10)</f>
        <v>SMr</v>
      </c>
      <c r="H6224">
        <v>2</v>
      </c>
      <c r="I6224" s="7">
        <v>609</v>
      </c>
      <c r="M6224" s="7">
        <v>303.7</v>
      </c>
      <c r="N6224" s="7">
        <v>178.9</v>
      </c>
      <c r="O6224" s="7">
        <v>166.4</v>
      </c>
    </row>
    <row r="6225" spans="1:21" x14ac:dyDescent="0.2">
      <c r="A6225">
        <v>6224</v>
      </c>
      <c r="B6225" s="1">
        <v>40911</v>
      </c>
      <c r="C6225" t="s">
        <v>28</v>
      </c>
      <c r="D6225" s="7">
        <v>171</v>
      </c>
      <c r="E6225" s="7">
        <v>26</v>
      </c>
      <c r="F6225" s="7">
        <f t="shared" si="97"/>
        <v>3</v>
      </c>
      <c r="G6225" s="7" t="str">
        <f>LOOKUP(H6225,[1]startdates!$A$2:$A$10,[1]startdates!$B$2:$B$10)</f>
        <v>SMr</v>
      </c>
      <c r="H6225">
        <v>2</v>
      </c>
      <c r="I6225" s="7">
        <v>606.70000000000005</v>
      </c>
    </row>
    <row r="6226" spans="1:21" x14ac:dyDescent="0.2">
      <c r="A6226">
        <v>6225</v>
      </c>
      <c r="B6226" s="1">
        <v>40911</v>
      </c>
      <c r="C6226" t="s">
        <v>24</v>
      </c>
      <c r="D6226" s="7">
        <v>171</v>
      </c>
      <c r="E6226" s="7">
        <v>26</v>
      </c>
      <c r="F6226" s="7">
        <f t="shared" si="97"/>
        <v>3</v>
      </c>
      <c r="G6226" s="7" t="str">
        <f>LOOKUP(H6226,[1]startdates!$A$2:$A$10,[1]startdates!$B$2:$B$10)</f>
        <v>C</v>
      </c>
      <c r="H6226">
        <v>3</v>
      </c>
      <c r="I6226" s="7">
        <v>556.9</v>
      </c>
      <c r="K6226" s="7">
        <v>536.79999999999995</v>
      </c>
      <c r="L6226" s="7">
        <v>424.9</v>
      </c>
      <c r="M6226" s="7">
        <v>314</v>
      </c>
      <c r="N6226" s="7">
        <v>252.5</v>
      </c>
      <c r="O6226" s="7">
        <v>158.4</v>
      </c>
      <c r="P6226" s="7">
        <v>492.3</v>
      </c>
      <c r="Q6226" s="7">
        <v>340</v>
      </c>
      <c r="R6226" s="7">
        <v>256.10000000000002</v>
      </c>
    </row>
    <row r="6227" spans="1:21" x14ac:dyDescent="0.2">
      <c r="A6227">
        <v>6226</v>
      </c>
      <c r="B6227" s="1">
        <v>40911</v>
      </c>
      <c r="C6227" t="s">
        <v>24</v>
      </c>
      <c r="D6227" s="7">
        <v>171</v>
      </c>
      <c r="E6227" s="7">
        <v>26</v>
      </c>
      <c r="F6227" s="7">
        <f t="shared" si="97"/>
        <v>3</v>
      </c>
      <c r="G6227" s="7" t="str">
        <f>LOOKUP(H6227,[1]startdates!$A$2:$A$10,[1]startdates!$B$2:$B$10)</f>
        <v>C</v>
      </c>
      <c r="H6227">
        <v>3</v>
      </c>
      <c r="I6227" s="7">
        <v>599.6</v>
      </c>
      <c r="K6227" s="7">
        <v>574.70000000000005</v>
      </c>
      <c r="L6227" s="7">
        <v>421.2</v>
      </c>
      <c r="M6227" s="7">
        <v>366.2</v>
      </c>
      <c r="N6227" s="7">
        <v>228.3</v>
      </c>
      <c r="O6227" s="7">
        <v>169.6</v>
      </c>
      <c r="Q6227" s="7">
        <v>389.1</v>
      </c>
      <c r="R6227" s="7">
        <v>256</v>
      </c>
    </row>
    <row r="6228" spans="1:21" x14ac:dyDescent="0.2">
      <c r="A6228">
        <v>6227</v>
      </c>
      <c r="B6228" s="1">
        <v>40911</v>
      </c>
      <c r="C6228" t="s">
        <v>24</v>
      </c>
      <c r="D6228" s="7">
        <v>171</v>
      </c>
      <c r="E6228" s="7">
        <v>26</v>
      </c>
      <c r="F6228" s="7">
        <f t="shared" si="97"/>
        <v>3</v>
      </c>
      <c r="G6228" s="7" t="str">
        <f>LOOKUP(H6228,[1]startdates!$A$2:$A$10,[1]startdates!$B$2:$B$10)</f>
        <v>C</v>
      </c>
      <c r="H6228">
        <v>3</v>
      </c>
      <c r="I6228" s="7">
        <v>601.79999999999995</v>
      </c>
      <c r="K6228" s="7">
        <v>442.9</v>
      </c>
      <c r="M6228" s="7">
        <v>287.2</v>
      </c>
      <c r="N6228" s="7">
        <v>246.9</v>
      </c>
      <c r="O6228" s="7">
        <v>186.9</v>
      </c>
      <c r="Q6228" s="7">
        <v>377.7</v>
      </c>
    </row>
    <row r="6229" spans="1:21" x14ac:dyDescent="0.2">
      <c r="A6229">
        <v>6228</v>
      </c>
      <c r="B6229" s="1">
        <v>40911</v>
      </c>
      <c r="C6229" t="s">
        <v>24</v>
      </c>
      <c r="D6229" s="7">
        <v>171</v>
      </c>
      <c r="E6229" s="7">
        <v>26</v>
      </c>
      <c r="F6229" s="7">
        <f t="shared" si="97"/>
        <v>3</v>
      </c>
      <c r="G6229" s="7" t="str">
        <f>LOOKUP(H6229,[1]startdates!$A$2:$A$10,[1]startdates!$B$2:$B$10)</f>
        <v>C</v>
      </c>
      <c r="H6229">
        <v>3</v>
      </c>
      <c r="I6229" s="7">
        <v>607.79999999999995</v>
      </c>
      <c r="K6229" s="7">
        <v>389.5</v>
      </c>
      <c r="M6229" s="7">
        <v>333</v>
      </c>
      <c r="N6229" s="7">
        <v>250</v>
      </c>
      <c r="O6229" s="7">
        <v>158.1</v>
      </c>
      <c r="Q6229" s="7">
        <v>370.3</v>
      </c>
    </row>
    <row r="6230" spans="1:21" x14ac:dyDescent="0.2">
      <c r="A6230">
        <v>6229</v>
      </c>
      <c r="B6230" s="1">
        <v>40911</v>
      </c>
      <c r="C6230" t="s">
        <v>24</v>
      </c>
      <c r="D6230" s="7">
        <v>171</v>
      </c>
      <c r="E6230" s="7">
        <v>26</v>
      </c>
      <c r="F6230" s="7">
        <f t="shared" si="97"/>
        <v>3</v>
      </c>
      <c r="G6230" s="7" t="str">
        <f>LOOKUP(H6230,[1]startdates!$A$2:$A$10,[1]startdates!$B$2:$B$10)</f>
        <v>C</v>
      </c>
      <c r="H6230">
        <v>3</v>
      </c>
      <c r="I6230" s="7">
        <v>585.9</v>
      </c>
      <c r="K6230" s="7">
        <v>425.3</v>
      </c>
      <c r="M6230" s="7">
        <v>324.5</v>
      </c>
      <c r="N6230" s="7">
        <v>239.7</v>
      </c>
      <c r="O6230" s="7">
        <v>169.5</v>
      </c>
      <c r="Q6230" s="7">
        <v>310.5</v>
      </c>
    </row>
    <row r="6231" spans="1:21" x14ac:dyDescent="0.2">
      <c r="A6231">
        <v>6230</v>
      </c>
      <c r="B6231" s="1">
        <v>40911</v>
      </c>
      <c r="C6231" t="s">
        <v>24</v>
      </c>
      <c r="D6231" s="7">
        <v>171</v>
      </c>
      <c r="E6231" s="7">
        <v>26</v>
      </c>
      <c r="F6231" s="7">
        <f t="shared" si="97"/>
        <v>3</v>
      </c>
      <c r="G6231" s="7" t="str">
        <f>LOOKUP(H6231,[1]startdates!$A$2:$A$10,[1]startdates!$B$2:$B$10)</f>
        <v>C</v>
      </c>
      <c r="H6231">
        <v>3</v>
      </c>
      <c r="I6231" s="7">
        <v>571.4</v>
      </c>
      <c r="K6231" s="7">
        <v>642.29999999999995</v>
      </c>
      <c r="M6231" s="7">
        <v>339.9</v>
      </c>
      <c r="N6231" s="7">
        <v>238.7</v>
      </c>
      <c r="O6231" s="7">
        <v>163.4</v>
      </c>
      <c r="Q6231" s="7">
        <v>364.6</v>
      </c>
    </row>
    <row r="6232" spans="1:21" x14ac:dyDescent="0.2">
      <c r="A6232">
        <v>6231</v>
      </c>
      <c r="B6232" s="1">
        <v>40911</v>
      </c>
      <c r="C6232" t="s">
        <v>24</v>
      </c>
      <c r="D6232" s="7">
        <v>171</v>
      </c>
      <c r="E6232" s="7">
        <v>26</v>
      </c>
      <c r="F6232" s="7">
        <f t="shared" si="97"/>
        <v>3</v>
      </c>
      <c r="G6232" s="7" t="str">
        <f>LOOKUP(H6232,[1]startdates!$A$2:$A$10,[1]startdates!$B$2:$B$10)</f>
        <v>C</v>
      </c>
      <c r="H6232">
        <v>3</v>
      </c>
      <c r="I6232" s="7">
        <v>553.29999999999995</v>
      </c>
      <c r="K6232" s="7">
        <v>409.9</v>
      </c>
      <c r="N6232" s="7">
        <v>199.3</v>
      </c>
      <c r="O6232" s="7">
        <v>186.1</v>
      </c>
    </row>
    <row r="6233" spans="1:21" x14ac:dyDescent="0.2">
      <c r="A6233">
        <v>6232</v>
      </c>
      <c r="B6233" s="1">
        <v>40911</v>
      </c>
      <c r="C6233" t="s">
        <v>24</v>
      </c>
      <c r="D6233" s="7">
        <v>171</v>
      </c>
      <c r="E6233" s="7">
        <v>26</v>
      </c>
      <c r="F6233" s="7">
        <f t="shared" si="97"/>
        <v>3</v>
      </c>
      <c r="G6233" s="7" t="str">
        <f>LOOKUP(H6233,[1]startdates!$A$2:$A$10,[1]startdates!$B$2:$B$10)</f>
        <v>C</v>
      </c>
      <c r="H6233">
        <v>3</v>
      </c>
      <c r="I6233" s="7">
        <v>576.70000000000005</v>
      </c>
      <c r="N6233" s="7">
        <v>258.89999999999998</v>
      </c>
      <c r="O6233" s="7">
        <v>188.5</v>
      </c>
    </row>
    <row r="6234" spans="1:21" x14ac:dyDescent="0.2">
      <c r="A6234">
        <v>6233</v>
      </c>
      <c r="B6234" s="1">
        <v>40911</v>
      </c>
      <c r="C6234" t="s">
        <v>24</v>
      </c>
      <c r="D6234" s="7">
        <v>171</v>
      </c>
      <c r="E6234" s="7">
        <v>26</v>
      </c>
      <c r="F6234" s="7">
        <f t="shared" si="97"/>
        <v>3</v>
      </c>
      <c r="G6234" s="7" t="str">
        <f>LOOKUP(H6234,[1]startdates!$A$2:$A$10,[1]startdates!$B$2:$B$10)</f>
        <v>C</v>
      </c>
      <c r="H6234">
        <v>3</v>
      </c>
      <c r="I6234" s="7">
        <v>632.29999999999995</v>
      </c>
      <c r="N6234" s="7">
        <v>254.3</v>
      </c>
      <c r="O6234" s="7">
        <v>162.19999999999999</v>
      </c>
    </row>
    <row r="6235" spans="1:21" x14ac:dyDescent="0.2">
      <c r="A6235">
        <v>6234</v>
      </c>
      <c r="B6235" s="1">
        <v>40911</v>
      </c>
      <c r="C6235" t="s">
        <v>24</v>
      </c>
      <c r="D6235" s="7">
        <v>171</v>
      </c>
      <c r="E6235" s="7">
        <v>26</v>
      </c>
      <c r="F6235" s="7">
        <f t="shared" si="97"/>
        <v>3</v>
      </c>
      <c r="G6235" s="7" t="str">
        <f>LOOKUP(H6235,[1]startdates!$A$2:$A$10,[1]startdates!$B$2:$B$10)</f>
        <v>C</v>
      </c>
      <c r="H6235">
        <v>3</v>
      </c>
      <c r="N6235" s="7">
        <v>219.7</v>
      </c>
      <c r="O6235" s="7">
        <v>195.7</v>
      </c>
    </row>
    <row r="6236" spans="1:21" x14ac:dyDescent="0.2">
      <c r="A6236">
        <v>6235</v>
      </c>
      <c r="B6236" s="1">
        <v>40911</v>
      </c>
      <c r="C6236" t="s">
        <v>24</v>
      </c>
      <c r="D6236" s="7">
        <v>171</v>
      </c>
      <c r="E6236" s="7">
        <v>26</v>
      </c>
      <c r="F6236" s="7">
        <f t="shared" si="97"/>
        <v>3</v>
      </c>
      <c r="G6236" s="7" t="str">
        <f>LOOKUP(H6236,[1]startdates!$A$2:$A$10,[1]startdates!$B$2:$B$10)</f>
        <v>C</v>
      </c>
      <c r="H6236">
        <v>3</v>
      </c>
      <c r="O6236" s="7">
        <v>154.19999999999999</v>
      </c>
    </row>
    <row r="6237" spans="1:21" x14ac:dyDescent="0.2">
      <c r="A6237">
        <v>6236</v>
      </c>
      <c r="B6237" s="1">
        <v>40911</v>
      </c>
      <c r="C6237" t="s">
        <v>24</v>
      </c>
      <c r="D6237" s="7">
        <v>171</v>
      </c>
      <c r="E6237" s="7">
        <v>26</v>
      </c>
      <c r="F6237" s="7">
        <f t="shared" si="97"/>
        <v>3</v>
      </c>
      <c r="G6237" s="7" t="str">
        <f>LOOKUP(H6237,[1]startdates!$A$2:$A$10,[1]startdates!$B$2:$B$10)</f>
        <v>SMr</v>
      </c>
      <c r="H6237">
        <v>4</v>
      </c>
      <c r="I6237" s="7">
        <v>551.1</v>
      </c>
      <c r="J6237" s="7">
        <v>474.3</v>
      </c>
      <c r="K6237" s="7">
        <v>422.8</v>
      </c>
      <c r="L6237" s="7">
        <v>408.7</v>
      </c>
      <c r="M6237" s="7">
        <v>356.3</v>
      </c>
      <c r="N6237" s="7">
        <v>257.7</v>
      </c>
      <c r="O6237" s="7">
        <v>153.30000000000001</v>
      </c>
      <c r="P6237" s="7">
        <v>435.4</v>
      </c>
      <c r="Q6237" s="7">
        <v>366.6</v>
      </c>
      <c r="R6237" s="7">
        <v>305.7</v>
      </c>
      <c r="U6237" s="7">
        <v>539.5</v>
      </c>
    </row>
    <row r="6238" spans="1:21" x14ac:dyDescent="0.2">
      <c r="A6238">
        <v>6237</v>
      </c>
      <c r="B6238" s="1">
        <v>40911</v>
      </c>
      <c r="C6238" t="s">
        <v>24</v>
      </c>
      <c r="D6238" s="7">
        <v>171</v>
      </c>
      <c r="E6238" s="7">
        <v>26</v>
      </c>
      <c r="F6238" s="7">
        <f t="shared" si="97"/>
        <v>3</v>
      </c>
      <c r="G6238" s="7" t="str">
        <f>LOOKUP(H6238,[1]startdates!$A$2:$A$10,[1]startdates!$B$2:$B$10)</f>
        <v>SMr</v>
      </c>
      <c r="H6238">
        <v>4</v>
      </c>
      <c r="I6238" s="7">
        <v>598.9</v>
      </c>
      <c r="K6238" s="7">
        <v>485</v>
      </c>
      <c r="L6238" s="7">
        <v>390.9</v>
      </c>
      <c r="M6238" s="7">
        <v>324.39999999999998</v>
      </c>
      <c r="N6238" s="7">
        <v>198.3</v>
      </c>
      <c r="O6238" s="7">
        <v>171.9</v>
      </c>
      <c r="P6238" s="7">
        <v>490.8</v>
      </c>
      <c r="Q6238" s="7">
        <v>377.2</v>
      </c>
      <c r="U6238" s="7">
        <v>468.1</v>
      </c>
    </row>
    <row r="6239" spans="1:21" x14ac:dyDescent="0.2">
      <c r="A6239">
        <v>6238</v>
      </c>
      <c r="B6239" s="1">
        <v>40911</v>
      </c>
      <c r="C6239" t="s">
        <v>24</v>
      </c>
      <c r="D6239" s="7">
        <v>171</v>
      </c>
      <c r="E6239" s="7">
        <v>26</v>
      </c>
      <c r="F6239" s="7">
        <f t="shared" si="97"/>
        <v>3</v>
      </c>
      <c r="G6239" s="7" t="str">
        <f>LOOKUP(H6239,[1]startdates!$A$2:$A$10,[1]startdates!$B$2:$B$10)</f>
        <v>SMr</v>
      </c>
      <c r="H6239">
        <v>4</v>
      </c>
      <c r="I6239" s="7">
        <v>576</v>
      </c>
      <c r="K6239" s="7">
        <v>490.4</v>
      </c>
      <c r="L6239" s="7">
        <v>423.8</v>
      </c>
      <c r="M6239" s="7">
        <v>367.1</v>
      </c>
      <c r="N6239" s="7">
        <v>204.5</v>
      </c>
      <c r="O6239" s="7">
        <v>169.5</v>
      </c>
      <c r="P6239" s="7">
        <v>418.8</v>
      </c>
    </row>
    <row r="6240" spans="1:21" x14ac:dyDescent="0.2">
      <c r="A6240">
        <v>6239</v>
      </c>
      <c r="B6240" s="1">
        <v>40911</v>
      </c>
      <c r="C6240" t="s">
        <v>24</v>
      </c>
      <c r="D6240" s="7">
        <v>171</v>
      </c>
      <c r="E6240" s="7">
        <v>26</v>
      </c>
      <c r="F6240" s="7">
        <f t="shared" si="97"/>
        <v>3</v>
      </c>
      <c r="G6240" s="7" t="str">
        <f>LOOKUP(H6240,[1]startdates!$A$2:$A$10,[1]startdates!$B$2:$B$10)</f>
        <v>SMr</v>
      </c>
      <c r="H6240">
        <v>4</v>
      </c>
      <c r="I6240" s="7">
        <v>474.8</v>
      </c>
      <c r="N6240" s="7">
        <v>233</v>
      </c>
      <c r="O6240" s="7">
        <v>171.9</v>
      </c>
      <c r="P6240" s="7">
        <v>448.2</v>
      </c>
    </row>
    <row r="6241" spans="1:18" x14ac:dyDescent="0.2">
      <c r="A6241">
        <v>6240</v>
      </c>
      <c r="B6241" s="1">
        <v>40911</v>
      </c>
      <c r="C6241" t="s">
        <v>24</v>
      </c>
      <c r="D6241" s="7">
        <v>171</v>
      </c>
      <c r="E6241" s="7">
        <v>26</v>
      </c>
      <c r="F6241" s="7">
        <f t="shared" si="97"/>
        <v>3</v>
      </c>
      <c r="G6241" s="7" t="str">
        <f>LOOKUP(H6241,[1]startdates!$A$2:$A$10,[1]startdates!$B$2:$B$10)</f>
        <v>SMr</v>
      </c>
      <c r="H6241">
        <v>4</v>
      </c>
      <c r="I6241" s="7">
        <v>493.4</v>
      </c>
      <c r="N6241" s="7">
        <v>214.7</v>
      </c>
      <c r="O6241" s="7">
        <v>161.69999999999999</v>
      </c>
      <c r="P6241" s="7">
        <v>486.8</v>
      </c>
    </row>
    <row r="6242" spans="1:18" x14ac:dyDescent="0.2">
      <c r="A6242">
        <v>6241</v>
      </c>
      <c r="B6242" s="1">
        <v>40911</v>
      </c>
      <c r="C6242" t="s">
        <v>24</v>
      </c>
      <c r="D6242" s="7">
        <v>171</v>
      </c>
      <c r="E6242" s="7">
        <v>26</v>
      </c>
      <c r="F6242" s="7">
        <f t="shared" si="97"/>
        <v>3</v>
      </c>
      <c r="G6242" s="7" t="str">
        <f>LOOKUP(H6242,[1]startdates!$A$2:$A$10,[1]startdates!$B$2:$B$10)</f>
        <v>SMr</v>
      </c>
      <c r="H6242">
        <v>4</v>
      </c>
      <c r="I6242" s="7">
        <v>623.1</v>
      </c>
      <c r="N6242" s="7">
        <v>252</v>
      </c>
      <c r="O6242" s="7">
        <v>156.6</v>
      </c>
      <c r="P6242" s="7">
        <v>426.3</v>
      </c>
    </row>
    <row r="6243" spans="1:18" x14ac:dyDescent="0.2">
      <c r="A6243">
        <v>6242</v>
      </c>
      <c r="B6243" s="1">
        <v>40911</v>
      </c>
      <c r="C6243" t="s">
        <v>24</v>
      </c>
      <c r="D6243" s="7">
        <v>171</v>
      </c>
      <c r="E6243" s="7">
        <v>26</v>
      </c>
      <c r="F6243" s="7">
        <f t="shared" si="97"/>
        <v>3</v>
      </c>
      <c r="G6243" s="7" t="str">
        <f>LOOKUP(H6243,[1]startdates!$A$2:$A$10,[1]startdates!$B$2:$B$10)</f>
        <v>SMr</v>
      </c>
      <c r="H6243">
        <v>4</v>
      </c>
      <c r="I6243" s="7">
        <v>577.5</v>
      </c>
      <c r="N6243" s="7">
        <v>241</v>
      </c>
      <c r="O6243" s="7">
        <v>182.2</v>
      </c>
    </row>
    <row r="6244" spans="1:18" x14ac:dyDescent="0.2">
      <c r="A6244">
        <v>6243</v>
      </c>
      <c r="B6244" s="1">
        <v>40911</v>
      </c>
      <c r="C6244" t="s">
        <v>24</v>
      </c>
      <c r="D6244" s="7">
        <v>171</v>
      </c>
      <c r="E6244" s="7">
        <v>26</v>
      </c>
      <c r="F6244" s="7">
        <f t="shared" si="97"/>
        <v>3</v>
      </c>
      <c r="G6244" s="7" t="str">
        <f>LOOKUP(H6244,[1]startdates!$A$2:$A$10,[1]startdates!$B$2:$B$10)</f>
        <v>SMr</v>
      </c>
      <c r="H6244">
        <v>4</v>
      </c>
      <c r="I6244" s="7">
        <v>589.20000000000005</v>
      </c>
      <c r="N6244" s="7">
        <v>259</v>
      </c>
      <c r="O6244" s="7">
        <v>190.9</v>
      </c>
    </row>
    <row r="6245" spans="1:18" x14ac:dyDescent="0.2">
      <c r="A6245">
        <v>6244</v>
      </c>
      <c r="B6245" s="1">
        <v>40911</v>
      </c>
      <c r="C6245" t="s">
        <v>24</v>
      </c>
      <c r="D6245" s="7">
        <v>171</v>
      </c>
      <c r="E6245" s="7">
        <v>26</v>
      </c>
      <c r="F6245" s="7">
        <f t="shared" si="97"/>
        <v>3</v>
      </c>
      <c r="G6245" s="7" t="str">
        <f>LOOKUP(H6245,[1]startdates!$A$2:$A$10,[1]startdates!$B$2:$B$10)</f>
        <v>SMr</v>
      </c>
      <c r="H6245">
        <v>4</v>
      </c>
      <c r="I6245" s="7">
        <v>545.4</v>
      </c>
      <c r="N6245" s="7">
        <v>216.8</v>
      </c>
      <c r="O6245" s="7">
        <v>170.6</v>
      </c>
    </row>
    <row r="6246" spans="1:18" x14ac:dyDescent="0.2">
      <c r="A6246">
        <v>6245</v>
      </c>
      <c r="B6246" s="1">
        <v>40911</v>
      </c>
      <c r="C6246" t="s">
        <v>24</v>
      </c>
      <c r="D6246" s="7">
        <v>171</v>
      </c>
      <c r="E6246" s="7">
        <v>26</v>
      </c>
      <c r="F6246" s="7">
        <f t="shared" si="97"/>
        <v>3</v>
      </c>
      <c r="G6246" s="7" t="str">
        <f>LOOKUP(H6246,[1]startdates!$A$2:$A$10,[1]startdates!$B$2:$B$10)</f>
        <v>SMr</v>
      </c>
      <c r="H6246">
        <v>4</v>
      </c>
      <c r="I6246" s="7">
        <v>471.3</v>
      </c>
      <c r="N6246" s="7">
        <v>222.4</v>
      </c>
      <c r="O6246" s="7">
        <v>155.4</v>
      </c>
    </row>
    <row r="6247" spans="1:18" x14ac:dyDescent="0.2">
      <c r="A6247">
        <v>6246</v>
      </c>
      <c r="B6247" s="1">
        <v>40911</v>
      </c>
      <c r="C6247" t="s">
        <v>28</v>
      </c>
      <c r="D6247" s="7">
        <v>171</v>
      </c>
      <c r="E6247" s="7">
        <v>26</v>
      </c>
      <c r="F6247" s="7">
        <f t="shared" si="97"/>
        <v>3</v>
      </c>
      <c r="G6247" s="7" t="str">
        <f>LOOKUP(H6247,[1]startdates!$A$2:$A$10,[1]startdates!$B$2:$B$10)</f>
        <v>C</v>
      </c>
      <c r="H6247">
        <v>5</v>
      </c>
      <c r="I6247" s="7">
        <v>536.5</v>
      </c>
      <c r="J6247" s="7">
        <v>532.5</v>
      </c>
      <c r="K6247" s="7">
        <v>551.1</v>
      </c>
      <c r="L6247" s="7">
        <v>468.1</v>
      </c>
      <c r="M6247" s="7">
        <v>376.1</v>
      </c>
      <c r="N6247" s="7">
        <v>226.1</v>
      </c>
      <c r="O6247" s="7">
        <v>173.2</v>
      </c>
      <c r="P6247" s="7">
        <v>475.5</v>
      </c>
      <c r="Q6247" s="7">
        <v>320.60000000000002</v>
      </c>
      <c r="R6247" s="7">
        <v>226.1</v>
      </c>
    </row>
    <row r="6248" spans="1:18" x14ac:dyDescent="0.2">
      <c r="A6248">
        <v>6247</v>
      </c>
      <c r="B6248" s="1">
        <v>40911</v>
      </c>
      <c r="C6248" t="s">
        <v>28</v>
      </c>
      <c r="D6248" s="7">
        <v>171</v>
      </c>
      <c r="E6248" s="7">
        <v>26</v>
      </c>
      <c r="F6248" s="7">
        <f t="shared" si="97"/>
        <v>3</v>
      </c>
      <c r="G6248" s="7" t="str">
        <f>LOOKUP(H6248,[1]startdates!$A$2:$A$10,[1]startdates!$B$2:$B$10)</f>
        <v>C</v>
      </c>
      <c r="H6248">
        <v>5</v>
      </c>
      <c r="I6248" s="7">
        <v>711.2</v>
      </c>
      <c r="J6248" s="7">
        <v>503.1</v>
      </c>
      <c r="K6248" s="7">
        <v>559.9</v>
      </c>
      <c r="L6248" s="7">
        <v>415.8</v>
      </c>
      <c r="M6248" s="7">
        <v>297.5</v>
      </c>
      <c r="N6248" s="7">
        <v>211</v>
      </c>
      <c r="O6248" s="7">
        <v>151</v>
      </c>
      <c r="P6248" s="7">
        <v>451.5</v>
      </c>
      <c r="R6248" s="7">
        <v>267.7</v>
      </c>
    </row>
    <row r="6249" spans="1:18" x14ac:dyDescent="0.2">
      <c r="A6249">
        <v>6248</v>
      </c>
      <c r="B6249" s="1">
        <v>40911</v>
      </c>
      <c r="C6249" t="s">
        <v>28</v>
      </c>
      <c r="D6249" s="7">
        <v>171</v>
      </c>
      <c r="E6249" s="7">
        <v>26</v>
      </c>
      <c r="F6249" s="7">
        <f t="shared" ref="F6249:F6312" si="98">WEEKDAY(B6249)</f>
        <v>3</v>
      </c>
      <c r="G6249" s="7" t="str">
        <f>LOOKUP(H6249,[1]startdates!$A$2:$A$10,[1]startdates!$B$2:$B$10)</f>
        <v>C</v>
      </c>
      <c r="H6249">
        <v>5</v>
      </c>
      <c r="I6249" s="7">
        <v>659.9</v>
      </c>
      <c r="K6249" s="7">
        <v>508.8</v>
      </c>
      <c r="L6249" s="7">
        <v>415.3</v>
      </c>
      <c r="M6249" s="7">
        <v>296.39999999999998</v>
      </c>
      <c r="N6249" s="7">
        <v>250.1</v>
      </c>
      <c r="O6249" s="7">
        <v>158.4</v>
      </c>
    </row>
    <row r="6250" spans="1:18" x14ac:dyDescent="0.2">
      <c r="A6250">
        <v>6249</v>
      </c>
      <c r="B6250" s="1">
        <v>40911</v>
      </c>
      <c r="C6250" t="s">
        <v>28</v>
      </c>
      <c r="D6250" s="7">
        <v>171</v>
      </c>
      <c r="E6250" s="7">
        <v>26</v>
      </c>
      <c r="F6250" s="7">
        <f t="shared" si="98"/>
        <v>3</v>
      </c>
      <c r="G6250" s="7" t="str">
        <f>LOOKUP(H6250,[1]startdates!$A$2:$A$10,[1]startdates!$B$2:$B$10)</f>
        <v>C</v>
      </c>
      <c r="H6250">
        <v>5</v>
      </c>
      <c r="I6250" s="7">
        <v>555.79999999999995</v>
      </c>
      <c r="K6250" s="7">
        <v>515.1</v>
      </c>
      <c r="M6250" s="7">
        <v>357.6</v>
      </c>
      <c r="N6250" s="7">
        <v>281.8</v>
      </c>
      <c r="O6250" s="7">
        <v>161.9</v>
      </c>
    </row>
    <row r="6251" spans="1:18" x14ac:dyDescent="0.2">
      <c r="A6251">
        <v>6250</v>
      </c>
      <c r="B6251" s="1">
        <v>40911</v>
      </c>
      <c r="C6251" t="s">
        <v>28</v>
      </c>
      <c r="D6251" s="7">
        <v>171</v>
      </c>
      <c r="E6251" s="7">
        <v>26</v>
      </c>
      <c r="F6251" s="7">
        <f t="shared" si="98"/>
        <v>3</v>
      </c>
      <c r="G6251" s="7" t="str">
        <f>LOOKUP(H6251,[1]startdates!$A$2:$A$10,[1]startdates!$B$2:$B$10)</f>
        <v>C</v>
      </c>
      <c r="H6251">
        <v>5</v>
      </c>
      <c r="I6251" s="7">
        <v>674.4</v>
      </c>
      <c r="K6251" s="7">
        <v>594.20000000000005</v>
      </c>
      <c r="M6251" s="7">
        <v>328.3</v>
      </c>
      <c r="N6251" s="7">
        <v>289.5</v>
      </c>
      <c r="O6251" s="7">
        <v>168.2</v>
      </c>
    </row>
    <row r="6252" spans="1:18" x14ac:dyDescent="0.2">
      <c r="A6252">
        <v>6251</v>
      </c>
      <c r="B6252" s="1">
        <v>40911</v>
      </c>
      <c r="C6252" t="s">
        <v>28</v>
      </c>
      <c r="D6252" s="7">
        <v>171</v>
      </c>
      <c r="E6252" s="7">
        <v>26</v>
      </c>
      <c r="F6252" s="7">
        <f t="shared" si="98"/>
        <v>3</v>
      </c>
      <c r="G6252" s="7" t="str">
        <f>LOOKUP(H6252,[1]startdates!$A$2:$A$10,[1]startdates!$B$2:$B$10)</f>
        <v>C</v>
      </c>
      <c r="H6252">
        <v>5</v>
      </c>
      <c r="I6252" s="7">
        <v>649.20000000000005</v>
      </c>
      <c r="M6252" s="7">
        <v>324</v>
      </c>
      <c r="N6252" s="7">
        <v>211.7</v>
      </c>
      <c r="O6252" s="7">
        <v>164</v>
      </c>
    </row>
    <row r="6253" spans="1:18" x14ac:dyDescent="0.2">
      <c r="A6253">
        <v>6252</v>
      </c>
      <c r="B6253" s="1">
        <v>40911</v>
      </c>
      <c r="C6253" t="s">
        <v>28</v>
      </c>
      <c r="D6253" s="7">
        <v>171</v>
      </c>
      <c r="E6253" s="7">
        <v>26</v>
      </c>
      <c r="F6253" s="7">
        <f t="shared" si="98"/>
        <v>3</v>
      </c>
      <c r="G6253" s="7" t="str">
        <f>LOOKUP(H6253,[1]startdates!$A$2:$A$10,[1]startdates!$B$2:$B$10)</f>
        <v>C</v>
      </c>
      <c r="H6253">
        <v>5</v>
      </c>
      <c r="I6253" s="7">
        <v>602.6</v>
      </c>
      <c r="M6253" s="7">
        <v>371.3</v>
      </c>
      <c r="N6253" s="7">
        <v>196.3</v>
      </c>
      <c r="O6253" s="7">
        <v>156.19999999999999</v>
      </c>
    </row>
    <row r="6254" spans="1:18" x14ac:dyDescent="0.2">
      <c r="A6254">
        <v>6253</v>
      </c>
      <c r="B6254" s="1">
        <v>40911</v>
      </c>
      <c r="C6254" t="s">
        <v>28</v>
      </c>
      <c r="D6254" s="7">
        <v>171</v>
      </c>
      <c r="E6254" s="7">
        <v>26</v>
      </c>
      <c r="F6254" s="7">
        <f t="shared" si="98"/>
        <v>3</v>
      </c>
      <c r="G6254" s="7" t="str">
        <f>LOOKUP(H6254,[1]startdates!$A$2:$A$10,[1]startdates!$B$2:$B$10)</f>
        <v>C</v>
      </c>
      <c r="H6254">
        <v>5</v>
      </c>
      <c r="I6254" s="7">
        <v>503.3</v>
      </c>
      <c r="M6254" s="7">
        <v>299.7</v>
      </c>
      <c r="N6254" s="7">
        <v>256.39999999999998</v>
      </c>
      <c r="O6254" s="7">
        <v>151.1</v>
      </c>
    </row>
    <row r="6255" spans="1:18" x14ac:dyDescent="0.2">
      <c r="A6255">
        <v>6254</v>
      </c>
      <c r="B6255" s="1">
        <v>40911</v>
      </c>
      <c r="C6255" t="s">
        <v>28</v>
      </c>
      <c r="D6255" s="7">
        <v>171</v>
      </c>
      <c r="E6255" s="7">
        <v>26</v>
      </c>
      <c r="F6255" s="7">
        <f t="shared" si="98"/>
        <v>3</v>
      </c>
      <c r="G6255" s="7" t="str">
        <f>LOOKUP(H6255,[1]startdates!$A$2:$A$10,[1]startdates!$B$2:$B$10)</f>
        <v>C</v>
      </c>
      <c r="H6255">
        <v>5</v>
      </c>
      <c r="I6255" s="7">
        <v>663.5</v>
      </c>
      <c r="M6255" s="7">
        <v>379.8</v>
      </c>
      <c r="N6255" s="7">
        <v>269.39999999999998</v>
      </c>
      <c r="O6255" s="7">
        <v>167.5</v>
      </c>
    </row>
    <row r="6256" spans="1:18" x14ac:dyDescent="0.2">
      <c r="A6256">
        <v>6255</v>
      </c>
      <c r="B6256" s="1">
        <v>40911</v>
      </c>
      <c r="C6256" t="s">
        <v>28</v>
      </c>
      <c r="D6256" s="7">
        <v>171</v>
      </c>
      <c r="E6256" s="7">
        <v>26</v>
      </c>
      <c r="F6256" s="7">
        <f t="shared" si="98"/>
        <v>3</v>
      </c>
      <c r="G6256" s="7" t="str">
        <f>LOOKUP(H6256,[1]startdates!$A$2:$A$10,[1]startdates!$B$2:$B$10)</f>
        <v>C</v>
      </c>
      <c r="H6256">
        <v>5</v>
      </c>
      <c r="I6256" s="7">
        <v>645.20000000000005</v>
      </c>
      <c r="M6256" s="7">
        <v>368.6</v>
      </c>
      <c r="N6256" s="7">
        <v>216.7</v>
      </c>
      <c r="O6256" s="7">
        <v>165.5</v>
      </c>
    </row>
    <row r="6257" spans="1:18" x14ac:dyDescent="0.2">
      <c r="A6257">
        <v>6256</v>
      </c>
      <c r="B6257" s="1">
        <v>40911</v>
      </c>
      <c r="C6257" t="s">
        <v>28</v>
      </c>
      <c r="D6257" s="7">
        <v>171</v>
      </c>
      <c r="E6257" s="7">
        <v>26</v>
      </c>
      <c r="F6257" s="7">
        <f t="shared" si="98"/>
        <v>3</v>
      </c>
      <c r="G6257" s="7" t="str">
        <f>LOOKUP(H6257,[1]startdates!$A$2:$A$10,[1]startdates!$B$2:$B$10)</f>
        <v>C</v>
      </c>
      <c r="H6257">
        <v>5</v>
      </c>
      <c r="M6257" s="7">
        <v>320.3</v>
      </c>
    </row>
    <row r="6258" spans="1:18" x14ac:dyDescent="0.2">
      <c r="A6258">
        <v>6257</v>
      </c>
      <c r="B6258" s="1">
        <v>40911</v>
      </c>
      <c r="C6258" t="s">
        <v>28</v>
      </c>
      <c r="D6258" s="7">
        <v>171</v>
      </c>
      <c r="E6258" s="7">
        <v>26</v>
      </c>
      <c r="F6258" s="7">
        <f t="shared" si="98"/>
        <v>3</v>
      </c>
      <c r="G6258" s="7" t="str">
        <f>LOOKUP(H6258,[1]startdates!$A$2:$A$10,[1]startdates!$B$2:$B$10)</f>
        <v>C</v>
      </c>
      <c r="H6258">
        <v>5</v>
      </c>
      <c r="M6258" s="7">
        <v>358.1</v>
      </c>
    </row>
    <row r="6259" spans="1:18" x14ac:dyDescent="0.2">
      <c r="A6259">
        <v>6258</v>
      </c>
      <c r="B6259" s="1">
        <v>40911</v>
      </c>
      <c r="C6259" t="s">
        <v>28</v>
      </c>
      <c r="D6259" s="7">
        <v>171</v>
      </c>
      <c r="E6259" s="7">
        <v>26</v>
      </c>
      <c r="F6259" s="7">
        <f t="shared" si="98"/>
        <v>3</v>
      </c>
      <c r="G6259" s="7" t="str">
        <f>LOOKUP(H6259,[1]startdates!$A$2:$A$10,[1]startdates!$B$2:$B$10)</f>
        <v>FMr</v>
      </c>
      <c r="H6259">
        <v>6</v>
      </c>
      <c r="I6259" s="7">
        <v>522.20000000000005</v>
      </c>
      <c r="K6259" s="7">
        <v>549.20000000000005</v>
      </c>
      <c r="L6259" s="7">
        <v>409.5</v>
      </c>
      <c r="M6259" s="7">
        <v>293.7</v>
      </c>
      <c r="N6259" s="7">
        <v>276.10000000000002</v>
      </c>
      <c r="O6259" s="7">
        <v>169.7</v>
      </c>
      <c r="P6259" s="7">
        <v>440.4</v>
      </c>
      <c r="Q6259" s="7">
        <v>335.9</v>
      </c>
      <c r="R6259" s="7">
        <v>233</v>
      </c>
    </row>
    <row r="6260" spans="1:18" x14ac:dyDescent="0.2">
      <c r="A6260">
        <v>6259</v>
      </c>
      <c r="B6260" s="1">
        <v>40911</v>
      </c>
      <c r="C6260" t="s">
        <v>28</v>
      </c>
      <c r="D6260" s="7">
        <v>171</v>
      </c>
      <c r="E6260" s="7">
        <v>26</v>
      </c>
      <c r="F6260" s="7">
        <f t="shared" si="98"/>
        <v>3</v>
      </c>
      <c r="G6260" s="7" t="str">
        <f>LOOKUP(H6260,[1]startdates!$A$2:$A$10,[1]startdates!$B$2:$B$10)</f>
        <v>FMr</v>
      </c>
      <c r="H6260">
        <v>6</v>
      </c>
      <c r="I6260" s="7">
        <v>546.4</v>
      </c>
      <c r="K6260" s="7">
        <v>495.3</v>
      </c>
      <c r="L6260" s="7">
        <v>458.3</v>
      </c>
      <c r="M6260" s="7">
        <v>318.10000000000002</v>
      </c>
      <c r="N6260" s="7">
        <v>282.39999999999998</v>
      </c>
      <c r="O6260" s="7">
        <v>162</v>
      </c>
      <c r="P6260" s="7">
        <v>403.5</v>
      </c>
      <c r="Q6260" s="7">
        <v>311.89999999999998</v>
      </c>
      <c r="R6260" s="7">
        <v>273.39999999999998</v>
      </c>
    </row>
    <row r="6261" spans="1:18" x14ac:dyDescent="0.2">
      <c r="A6261">
        <v>6260</v>
      </c>
      <c r="B6261" s="1">
        <v>40911</v>
      </c>
      <c r="C6261" t="s">
        <v>28</v>
      </c>
      <c r="D6261" s="7">
        <v>171</v>
      </c>
      <c r="E6261" s="7">
        <v>26</v>
      </c>
      <c r="F6261" s="7">
        <f t="shared" si="98"/>
        <v>3</v>
      </c>
      <c r="G6261" s="7" t="str">
        <f>LOOKUP(H6261,[1]startdates!$A$2:$A$10,[1]startdates!$B$2:$B$10)</f>
        <v>FMr</v>
      </c>
      <c r="H6261">
        <v>6</v>
      </c>
      <c r="I6261" s="7">
        <v>599.20000000000005</v>
      </c>
      <c r="K6261" s="7">
        <v>502.5</v>
      </c>
      <c r="L6261" s="7">
        <v>421.2</v>
      </c>
      <c r="M6261" s="7">
        <v>355.8</v>
      </c>
      <c r="N6261" s="7">
        <v>228.3</v>
      </c>
      <c r="O6261" s="7">
        <v>151.4</v>
      </c>
      <c r="R6261" s="7">
        <v>225.3</v>
      </c>
    </row>
    <row r="6262" spans="1:18" x14ac:dyDescent="0.2">
      <c r="A6262">
        <v>6261</v>
      </c>
      <c r="B6262" s="1">
        <v>40911</v>
      </c>
      <c r="C6262" t="s">
        <v>28</v>
      </c>
      <c r="D6262" s="7">
        <v>171</v>
      </c>
      <c r="E6262" s="7">
        <v>26</v>
      </c>
      <c r="F6262" s="7">
        <f t="shared" si="98"/>
        <v>3</v>
      </c>
      <c r="G6262" s="7" t="str">
        <f>LOOKUP(H6262,[1]startdates!$A$2:$A$10,[1]startdates!$B$2:$B$10)</f>
        <v>FMr</v>
      </c>
      <c r="H6262">
        <v>6</v>
      </c>
      <c r="I6262" s="7">
        <v>566.79999999999995</v>
      </c>
      <c r="K6262" s="7">
        <v>533.29999999999995</v>
      </c>
      <c r="L6262" s="7">
        <v>392.3</v>
      </c>
      <c r="M6262" s="7">
        <v>317.8</v>
      </c>
      <c r="N6262" s="7">
        <v>244.1</v>
      </c>
      <c r="O6262" s="7">
        <v>157.6</v>
      </c>
      <c r="R6262" s="7">
        <v>259.8</v>
      </c>
    </row>
    <row r="6263" spans="1:18" x14ac:dyDescent="0.2">
      <c r="A6263">
        <v>6262</v>
      </c>
      <c r="B6263" s="1">
        <v>40911</v>
      </c>
      <c r="C6263" t="s">
        <v>28</v>
      </c>
      <c r="D6263" s="7">
        <v>171</v>
      </c>
      <c r="E6263" s="7">
        <v>26</v>
      </c>
      <c r="F6263" s="7">
        <f t="shared" si="98"/>
        <v>3</v>
      </c>
      <c r="G6263" s="7" t="str">
        <f>LOOKUP(H6263,[1]startdates!$A$2:$A$10,[1]startdates!$B$2:$B$10)</f>
        <v>FMr</v>
      </c>
      <c r="H6263">
        <v>6</v>
      </c>
      <c r="I6263" s="7">
        <v>619</v>
      </c>
      <c r="K6263" s="7">
        <v>444.9</v>
      </c>
      <c r="L6263" s="7">
        <v>410.1</v>
      </c>
      <c r="N6263" s="7">
        <v>205.8</v>
      </c>
      <c r="O6263" s="7">
        <v>149.9</v>
      </c>
    </row>
    <row r="6264" spans="1:18" x14ac:dyDescent="0.2">
      <c r="A6264">
        <v>6263</v>
      </c>
      <c r="B6264" s="1">
        <v>40911</v>
      </c>
      <c r="C6264" t="s">
        <v>28</v>
      </c>
      <c r="D6264" s="7">
        <v>171</v>
      </c>
      <c r="E6264" s="7">
        <v>26</v>
      </c>
      <c r="F6264" s="7">
        <f t="shared" si="98"/>
        <v>3</v>
      </c>
      <c r="G6264" s="7" t="str">
        <f>LOOKUP(H6264,[1]startdates!$A$2:$A$10,[1]startdates!$B$2:$B$10)</f>
        <v>FMr</v>
      </c>
      <c r="H6264">
        <v>6</v>
      </c>
      <c r="I6264" s="7">
        <v>519.29999999999995</v>
      </c>
      <c r="K6264" s="7">
        <v>475.5</v>
      </c>
      <c r="L6264" s="7">
        <v>399</v>
      </c>
      <c r="N6264" s="7">
        <v>191.5</v>
      </c>
      <c r="O6264" s="7">
        <v>151.4</v>
      </c>
    </row>
    <row r="6265" spans="1:18" x14ac:dyDescent="0.2">
      <c r="A6265">
        <v>6264</v>
      </c>
      <c r="B6265" s="1">
        <v>40911</v>
      </c>
      <c r="C6265" t="s">
        <v>28</v>
      </c>
      <c r="D6265" s="7">
        <v>171</v>
      </c>
      <c r="E6265" s="7">
        <v>26</v>
      </c>
      <c r="F6265" s="7">
        <f t="shared" si="98"/>
        <v>3</v>
      </c>
      <c r="G6265" s="7" t="str">
        <f>LOOKUP(H6265,[1]startdates!$A$2:$A$10,[1]startdates!$B$2:$B$10)</f>
        <v>FMr</v>
      </c>
      <c r="H6265">
        <v>6</v>
      </c>
      <c r="I6265" s="7">
        <v>639.70000000000005</v>
      </c>
      <c r="N6265" s="7">
        <v>247.1</v>
      </c>
      <c r="O6265" s="7">
        <v>177.8</v>
      </c>
    </row>
    <row r="6266" spans="1:18" x14ac:dyDescent="0.2">
      <c r="A6266">
        <v>6265</v>
      </c>
      <c r="B6266" s="1">
        <v>40911</v>
      </c>
      <c r="C6266" t="s">
        <v>28</v>
      </c>
      <c r="D6266" s="7">
        <v>171</v>
      </c>
      <c r="E6266" s="7">
        <v>26</v>
      </c>
      <c r="F6266" s="7">
        <f t="shared" si="98"/>
        <v>3</v>
      </c>
      <c r="G6266" s="7" t="str">
        <f>LOOKUP(H6266,[1]startdates!$A$2:$A$10,[1]startdates!$B$2:$B$10)</f>
        <v>FMr</v>
      </c>
      <c r="H6266">
        <v>6</v>
      </c>
      <c r="I6266" s="7">
        <v>500.5</v>
      </c>
      <c r="N6266" s="7">
        <v>213.7</v>
      </c>
      <c r="O6266" s="7">
        <v>159.69999999999999</v>
      </c>
    </row>
    <row r="6267" spans="1:18" x14ac:dyDescent="0.2">
      <c r="A6267">
        <v>6266</v>
      </c>
      <c r="B6267" s="1">
        <v>40911</v>
      </c>
      <c r="C6267" t="s">
        <v>28</v>
      </c>
      <c r="D6267" s="7">
        <v>171</v>
      </c>
      <c r="E6267" s="7">
        <v>26</v>
      </c>
      <c r="F6267" s="7">
        <f t="shared" si="98"/>
        <v>3</v>
      </c>
      <c r="G6267" s="7" t="str">
        <f>LOOKUP(H6267,[1]startdates!$A$2:$A$10,[1]startdates!$B$2:$B$10)</f>
        <v>FMr</v>
      </c>
      <c r="H6267">
        <v>6</v>
      </c>
      <c r="I6267" s="7">
        <v>458.8</v>
      </c>
      <c r="N6267" s="7">
        <v>242.3</v>
      </c>
      <c r="O6267" s="7">
        <v>158.1</v>
      </c>
    </row>
    <row r="6268" spans="1:18" x14ac:dyDescent="0.2">
      <c r="A6268">
        <v>6267</v>
      </c>
      <c r="B6268" s="1">
        <v>40911</v>
      </c>
      <c r="C6268" t="s">
        <v>28</v>
      </c>
      <c r="D6268" s="7">
        <v>171</v>
      </c>
      <c r="E6268" s="7">
        <v>26</v>
      </c>
      <c r="F6268" s="7">
        <f t="shared" si="98"/>
        <v>3</v>
      </c>
      <c r="G6268" s="7" t="str">
        <f>LOOKUP(H6268,[1]startdates!$A$2:$A$10,[1]startdates!$B$2:$B$10)</f>
        <v>FMr</v>
      </c>
      <c r="H6268">
        <v>6</v>
      </c>
      <c r="I6268" s="7">
        <v>526.5</v>
      </c>
      <c r="N6268" s="7">
        <v>195.7</v>
      </c>
      <c r="O6268" s="7">
        <v>154.6</v>
      </c>
    </row>
    <row r="6269" spans="1:18" x14ac:dyDescent="0.2">
      <c r="A6269">
        <v>6268</v>
      </c>
      <c r="B6269" s="1">
        <v>40911</v>
      </c>
      <c r="C6269" t="s">
        <v>28</v>
      </c>
      <c r="D6269" s="7">
        <v>171</v>
      </c>
      <c r="E6269" s="7">
        <v>26</v>
      </c>
      <c r="F6269" s="7">
        <f t="shared" si="98"/>
        <v>3</v>
      </c>
      <c r="G6269" s="7" t="str">
        <f>LOOKUP(H6269,[1]startdates!$A$2:$A$10,[1]startdates!$B$2:$B$10)</f>
        <v>FMr</v>
      </c>
      <c r="H6269">
        <v>6</v>
      </c>
      <c r="O6269" s="7">
        <v>170.2</v>
      </c>
    </row>
    <row r="6270" spans="1:18" x14ac:dyDescent="0.2">
      <c r="A6270">
        <v>6269</v>
      </c>
      <c r="B6270" s="1">
        <v>40911</v>
      </c>
      <c r="C6270" t="s">
        <v>28</v>
      </c>
      <c r="D6270" s="7">
        <v>171</v>
      </c>
      <c r="E6270" s="7">
        <v>26</v>
      </c>
      <c r="F6270" s="7">
        <f t="shared" si="98"/>
        <v>3</v>
      </c>
      <c r="G6270" s="7" t="str">
        <f>LOOKUP(H6270,[1]startdates!$A$2:$A$10,[1]startdates!$B$2:$B$10)</f>
        <v>FMr</v>
      </c>
      <c r="H6270">
        <v>7</v>
      </c>
      <c r="I6270" s="7">
        <v>583.20000000000005</v>
      </c>
      <c r="J6270" s="7">
        <v>600.20000000000005</v>
      </c>
      <c r="K6270" s="7">
        <v>502.1</v>
      </c>
      <c r="L6270" s="7">
        <v>447.8</v>
      </c>
      <c r="M6270" s="7">
        <v>367.2</v>
      </c>
      <c r="N6270" s="7">
        <v>211.9</v>
      </c>
      <c r="O6270" s="7">
        <v>155.19999999999999</v>
      </c>
      <c r="P6270" s="7">
        <v>451.2</v>
      </c>
      <c r="Q6270" s="7">
        <v>353.6</v>
      </c>
      <c r="R6270" s="7">
        <v>240</v>
      </c>
    </row>
    <row r="6271" spans="1:18" x14ac:dyDescent="0.2">
      <c r="A6271">
        <v>6270</v>
      </c>
      <c r="B6271" s="1">
        <v>40911</v>
      </c>
      <c r="C6271" t="s">
        <v>28</v>
      </c>
      <c r="D6271" s="7">
        <v>171</v>
      </c>
      <c r="E6271" s="7">
        <v>26</v>
      </c>
      <c r="F6271" s="7">
        <f t="shared" si="98"/>
        <v>3</v>
      </c>
      <c r="G6271" s="7" t="str">
        <f>LOOKUP(H6271,[1]startdates!$A$2:$A$10,[1]startdates!$B$2:$B$10)</f>
        <v>FMr</v>
      </c>
      <c r="H6271">
        <v>7</v>
      </c>
      <c r="I6271" s="7">
        <v>613.29999999999995</v>
      </c>
      <c r="K6271" s="7">
        <v>434.5</v>
      </c>
      <c r="L6271" s="7">
        <v>433.2</v>
      </c>
      <c r="M6271" s="7">
        <v>320.5</v>
      </c>
      <c r="N6271" s="7">
        <v>226.5</v>
      </c>
      <c r="O6271" s="7">
        <v>170.2</v>
      </c>
      <c r="P6271" s="7">
        <v>443.8</v>
      </c>
      <c r="Q6271" s="7">
        <v>295</v>
      </c>
      <c r="R6271" s="7">
        <v>260.60000000000002</v>
      </c>
    </row>
    <row r="6272" spans="1:18" x14ac:dyDescent="0.2">
      <c r="A6272">
        <v>6271</v>
      </c>
      <c r="B6272" s="1">
        <v>40911</v>
      </c>
      <c r="C6272" t="s">
        <v>28</v>
      </c>
      <c r="D6272" s="7">
        <v>171</v>
      </c>
      <c r="E6272" s="7">
        <v>26</v>
      </c>
      <c r="F6272" s="7">
        <f t="shared" si="98"/>
        <v>3</v>
      </c>
      <c r="G6272" s="7" t="str">
        <f>LOOKUP(H6272,[1]startdates!$A$2:$A$10,[1]startdates!$B$2:$B$10)</f>
        <v>FMr</v>
      </c>
      <c r="H6272">
        <v>7</v>
      </c>
      <c r="I6272" s="7">
        <v>543.79999999999995</v>
      </c>
      <c r="K6272" s="7">
        <v>519.79999999999995</v>
      </c>
      <c r="L6272" s="7">
        <v>475.4</v>
      </c>
      <c r="M6272" s="7">
        <v>299.7</v>
      </c>
      <c r="N6272" s="7">
        <v>248.4</v>
      </c>
      <c r="O6272" s="7">
        <v>163.5</v>
      </c>
      <c r="Q6272" s="7">
        <v>330.7</v>
      </c>
      <c r="R6272" s="7">
        <v>267.60000000000002</v>
      </c>
    </row>
    <row r="6273" spans="1:19" x14ac:dyDescent="0.2">
      <c r="A6273">
        <v>6272</v>
      </c>
      <c r="B6273" s="1">
        <v>40911</v>
      </c>
      <c r="C6273" t="s">
        <v>28</v>
      </c>
      <c r="D6273" s="7">
        <v>171</v>
      </c>
      <c r="E6273" s="7">
        <v>26</v>
      </c>
      <c r="F6273" s="7">
        <f t="shared" si="98"/>
        <v>3</v>
      </c>
      <c r="G6273" s="7" t="str">
        <f>LOOKUP(H6273,[1]startdates!$A$2:$A$10,[1]startdates!$B$2:$B$10)</f>
        <v>FMr</v>
      </c>
      <c r="H6273">
        <v>7</v>
      </c>
      <c r="I6273" s="7">
        <v>546.4</v>
      </c>
      <c r="K6273" s="7">
        <v>518.4</v>
      </c>
      <c r="M6273" s="7">
        <v>320.2</v>
      </c>
      <c r="N6273" s="7">
        <v>219.2</v>
      </c>
      <c r="O6273" s="7">
        <v>161.9</v>
      </c>
      <c r="R6273" s="7">
        <v>247.7</v>
      </c>
    </row>
    <row r="6274" spans="1:19" x14ac:dyDescent="0.2">
      <c r="A6274">
        <v>6273</v>
      </c>
      <c r="B6274" s="1">
        <v>40911</v>
      </c>
      <c r="C6274" t="s">
        <v>28</v>
      </c>
      <c r="D6274" s="7">
        <v>171</v>
      </c>
      <c r="E6274" s="7">
        <v>26</v>
      </c>
      <c r="F6274" s="7">
        <f t="shared" si="98"/>
        <v>3</v>
      </c>
      <c r="G6274" s="7" t="str">
        <f>LOOKUP(H6274,[1]startdates!$A$2:$A$10,[1]startdates!$B$2:$B$10)</f>
        <v>FMr</v>
      </c>
      <c r="H6274">
        <v>7</v>
      </c>
      <c r="I6274" s="7">
        <v>593.70000000000005</v>
      </c>
      <c r="K6274" s="7">
        <v>549</v>
      </c>
      <c r="M6274" s="7">
        <v>315.89999999999998</v>
      </c>
      <c r="N6274" s="7">
        <v>222.4</v>
      </c>
      <c r="O6274" s="7">
        <v>156.19999999999999</v>
      </c>
    </row>
    <row r="6275" spans="1:19" x14ac:dyDescent="0.2">
      <c r="A6275">
        <v>6274</v>
      </c>
      <c r="B6275" s="1">
        <v>40911</v>
      </c>
      <c r="C6275" t="s">
        <v>28</v>
      </c>
      <c r="D6275" s="7">
        <v>171</v>
      </c>
      <c r="E6275" s="7">
        <v>26</v>
      </c>
      <c r="F6275" s="7">
        <f t="shared" si="98"/>
        <v>3</v>
      </c>
      <c r="G6275" s="7" t="str">
        <f>LOOKUP(H6275,[1]startdates!$A$2:$A$10,[1]startdates!$B$2:$B$10)</f>
        <v>FMr</v>
      </c>
      <c r="H6275">
        <v>7</v>
      </c>
      <c r="I6275" s="7">
        <v>627.6</v>
      </c>
      <c r="K6275" s="7">
        <v>479</v>
      </c>
      <c r="M6275" s="7">
        <v>366</v>
      </c>
      <c r="N6275" s="7">
        <v>207.5</v>
      </c>
      <c r="O6275" s="7">
        <v>169</v>
      </c>
    </row>
    <row r="6276" spans="1:19" x14ac:dyDescent="0.2">
      <c r="A6276">
        <v>6275</v>
      </c>
      <c r="B6276" s="1">
        <v>40911</v>
      </c>
      <c r="C6276" t="s">
        <v>28</v>
      </c>
      <c r="D6276" s="7">
        <v>171</v>
      </c>
      <c r="E6276" s="7">
        <v>26</v>
      </c>
      <c r="F6276" s="7">
        <f t="shared" si="98"/>
        <v>3</v>
      </c>
      <c r="G6276" s="7" t="str">
        <f>LOOKUP(H6276,[1]startdates!$A$2:$A$10,[1]startdates!$B$2:$B$10)</f>
        <v>FMr</v>
      </c>
      <c r="H6276">
        <v>7</v>
      </c>
      <c r="I6276" s="7">
        <v>578</v>
      </c>
      <c r="K6276" s="7">
        <v>444.9</v>
      </c>
      <c r="M6276" s="7">
        <v>342.7</v>
      </c>
      <c r="N6276" s="7">
        <v>213.5</v>
      </c>
      <c r="O6276" s="7">
        <v>188.2</v>
      </c>
    </row>
    <row r="6277" spans="1:19" x14ac:dyDescent="0.2">
      <c r="A6277">
        <v>6276</v>
      </c>
      <c r="B6277" s="1">
        <v>40911</v>
      </c>
      <c r="C6277" t="s">
        <v>28</v>
      </c>
      <c r="D6277" s="7">
        <v>171</v>
      </c>
      <c r="E6277" s="7">
        <v>26</v>
      </c>
      <c r="F6277" s="7">
        <f t="shared" si="98"/>
        <v>3</v>
      </c>
      <c r="G6277" s="7" t="str">
        <f>LOOKUP(H6277,[1]startdates!$A$2:$A$10,[1]startdates!$B$2:$B$10)</f>
        <v>FMr</v>
      </c>
      <c r="H6277">
        <v>7</v>
      </c>
      <c r="I6277" s="7">
        <v>584.29999999999995</v>
      </c>
      <c r="M6277" s="7">
        <v>334.3</v>
      </c>
      <c r="N6277" s="7">
        <v>237.9</v>
      </c>
      <c r="O6277" s="7">
        <v>159</v>
      </c>
    </row>
    <row r="6278" spans="1:19" x14ac:dyDescent="0.2">
      <c r="A6278">
        <v>6277</v>
      </c>
      <c r="B6278" s="1">
        <v>40911</v>
      </c>
      <c r="C6278" t="s">
        <v>28</v>
      </c>
      <c r="D6278" s="7">
        <v>171</v>
      </c>
      <c r="E6278" s="7">
        <v>26</v>
      </c>
      <c r="F6278" s="7">
        <f t="shared" si="98"/>
        <v>3</v>
      </c>
      <c r="G6278" s="7" t="str">
        <f>LOOKUP(H6278,[1]startdates!$A$2:$A$10,[1]startdates!$B$2:$B$10)</f>
        <v>FMr</v>
      </c>
      <c r="H6278">
        <v>7</v>
      </c>
      <c r="I6278" s="7">
        <v>611.9</v>
      </c>
      <c r="M6278" s="7">
        <v>359.6</v>
      </c>
      <c r="N6278" s="7">
        <v>251.2</v>
      </c>
      <c r="O6278" s="7">
        <v>163.5</v>
      </c>
    </row>
    <row r="6279" spans="1:19" x14ac:dyDescent="0.2">
      <c r="A6279">
        <v>6278</v>
      </c>
      <c r="B6279" s="1">
        <v>40911</v>
      </c>
      <c r="C6279" t="s">
        <v>28</v>
      </c>
      <c r="D6279" s="7">
        <v>171</v>
      </c>
      <c r="E6279" s="7">
        <v>26</v>
      </c>
      <c r="F6279" s="7">
        <f t="shared" si="98"/>
        <v>3</v>
      </c>
      <c r="G6279" s="7" t="str">
        <f>LOOKUP(H6279,[1]startdates!$A$2:$A$10,[1]startdates!$B$2:$B$10)</f>
        <v>FMr</v>
      </c>
      <c r="H6279">
        <v>7</v>
      </c>
      <c r="I6279" s="7">
        <v>563.4</v>
      </c>
      <c r="M6279" s="7">
        <v>354.4</v>
      </c>
      <c r="N6279" s="7">
        <v>222.4</v>
      </c>
      <c r="O6279" s="7">
        <v>159.69999999999999</v>
      </c>
    </row>
    <row r="6280" spans="1:19" x14ac:dyDescent="0.2">
      <c r="A6280">
        <v>6279</v>
      </c>
      <c r="B6280" s="1">
        <v>40911</v>
      </c>
      <c r="C6280" t="s">
        <v>28</v>
      </c>
      <c r="D6280" s="7">
        <v>171</v>
      </c>
      <c r="E6280" s="7">
        <v>26</v>
      </c>
      <c r="F6280" s="7">
        <f t="shared" si="98"/>
        <v>3</v>
      </c>
      <c r="G6280" s="7" t="str">
        <f>LOOKUP(H6280,[1]startdates!$A$2:$A$10,[1]startdates!$B$2:$B$10)</f>
        <v>FMr</v>
      </c>
      <c r="H6280">
        <v>7</v>
      </c>
      <c r="M6280" s="7">
        <v>340.4</v>
      </c>
    </row>
    <row r="6281" spans="1:19" x14ac:dyDescent="0.2">
      <c r="A6281">
        <v>6280</v>
      </c>
      <c r="B6281" s="1">
        <v>40911</v>
      </c>
      <c r="C6281" t="s">
        <v>24</v>
      </c>
      <c r="D6281" s="7">
        <v>171</v>
      </c>
      <c r="E6281" s="7">
        <v>26</v>
      </c>
      <c r="F6281" s="7">
        <f t="shared" si="98"/>
        <v>3</v>
      </c>
      <c r="G6281" s="7" t="str">
        <f>LOOKUP(H6281,[1]startdates!$A$2:$A$10,[1]startdates!$B$2:$B$10)</f>
        <v>C</v>
      </c>
      <c r="H6281">
        <v>8</v>
      </c>
      <c r="I6281" s="7">
        <v>610</v>
      </c>
      <c r="J6281" s="7">
        <v>507.7</v>
      </c>
      <c r="K6281" s="7">
        <v>655.8</v>
      </c>
      <c r="L6281" s="7">
        <v>486</v>
      </c>
      <c r="M6281" s="7">
        <v>382.9</v>
      </c>
      <c r="N6281" s="7">
        <v>224.4</v>
      </c>
      <c r="O6281" s="7">
        <v>180.6</v>
      </c>
      <c r="R6281" s="7">
        <v>282.89999999999998</v>
      </c>
      <c r="S6281" s="7">
        <v>263.10000000000002</v>
      </c>
    </row>
    <row r="6282" spans="1:19" x14ac:dyDescent="0.2">
      <c r="A6282">
        <v>6281</v>
      </c>
      <c r="B6282" s="1">
        <v>40911</v>
      </c>
      <c r="C6282" t="s">
        <v>24</v>
      </c>
      <c r="D6282" s="7">
        <v>171</v>
      </c>
      <c r="E6282" s="7">
        <v>26</v>
      </c>
      <c r="F6282" s="7">
        <f t="shared" si="98"/>
        <v>3</v>
      </c>
      <c r="G6282" s="7" t="str">
        <f>LOOKUP(H6282,[1]startdates!$A$2:$A$10,[1]startdates!$B$2:$B$10)</f>
        <v>C</v>
      </c>
      <c r="H6282">
        <v>8</v>
      </c>
      <c r="I6282" s="7">
        <v>628.1</v>
      </c>
      <c r="J6282" s="7">
        <v>490.6</v>
      </c>
      <c r="K6282" s="7">
        <v>511.5</v>
      </c>
      <c r="L6282" s="7">
        <v>422.7</v>
      </c>
      <c r="M6282" s="7">
        <v>367.2</v>
      </c>
      <c r="N6282" s="7">
        <v>206.7</v>
      </c>
      <c r="O6282" s="7">
        <v>177.7</v>
      </c>
      <c r="R6282" s="7">
        <v>263.3</v>
      </c>
    </row>
    <row r="6283" spans="1:19" x14ac:dyDescent="0.2">
      <c r="A6283">
        <v>6282</v>
      </c>
      <c r="B6283" s="1">
        <v>40911</v>
      </c>
      <c r="C6283" t="s">
        <v>24</v>
      </c>
      <c r="D6283" s="7">
        <v>171</v>
      </c>
      <c r="E6283" s="7">
        <v>26</v>
      </c>
      <c r="F6283" s="7">
        <f t="shared" si="98"/>
        <v>3</v>
      </c>
      <c r="G6283" s="7" t="str">
        <f>LOOKUP(H6283,[1]startdates!$A$2:$A$10,[1]startdates!$B$2:$B$10)</f>
        <v>C</v>
      </c>
      <c r="H6283">
        <v>8</v>
      </c>
      <c r="I6283" s="7">
        <v>552.29999999999995</v>
      </c>
      <c r="J6283" s="7">
        <v>459.2</v>
      </c>
      <c r="K6283" s="7">
        <v>465</v>
      </c>
      <c r="L6283" s="7">
        <v>408.3</v>
      </c>
      <c r="M6283" s="7">
        <v>335.1</v>
      </c>
      <c r="N6283" s="7">
        <v>205.8</v>
      </c>
      <c r="O6283" s="7">
        <v>181.6</v>
      </c>
    </row>
    <row r="6284" spans="1:19" x14ac:dyDescent="0.2">
      <c r="A6284">
        <v>6283</v>
      </c>
      <c r="B6284" s="1">
        <v>40911</v>
      </c>
      <c r="C6284" t="s">
        <v>24</v>
      </c>
      <c r="D6284" s="7">
        <v>171</v>
      </c>
      <c r="E6284" s="7">
        <v>26</v>
      </c>
      <c r="F6284" s="7">
        <f t="shared" si="98"/>
        <v>3</v>
      </c>
      <c r="G6284" s="7" t="str">
        <f>LOOKUP(H6284,[1]startdates!$A$2:$A$10,[1]startdates!$B$2:$B$10)</f>
        <v>C</v>
      </c>
      <c r="H6284">
        <v>8</v>
      </c>
      <c r="I6284" s="7">
        <v>562.9</v>
      </c>
      <c r="J6284" s="7">
        <v>475.1</v>
      </c>
      <c r="K6284" s="7">
        <v>634.1</v>
      </c>
      <c r="L6284" s="7">
        <v>428.5</v>
      </c>
      <c r="M6284" s="7">
        <v>352.1</v>
      </c>
      <c r="N6284" s="7">
        <v>208.4</v>
      </c>
      <c r="O6284" s="7">
        <v>201.2</v>
      </c>
    </row>
    <row r="6285" spans="1:19" x14ac:dyDescent="0.2">
      <c r="A6285">
        <v>6284</v>
      </c>
      <c r="B6285" s="1">
        <v>40911</v>
      </c>
      <c r="C6285" t="s">
        <v>24</v>
      </c>
      <c r="D6285" s="7">
        <v>171</v>
      </c>
      <c r="E6285" s="7">
        <v>26</v>
      </c>
      <c r="F6285" s="7">
        <f t="shared" si="98"/>
        <v>3</v>
      </c>
      <c r="G6285" s="7" t="str">
        <f>LOOKUP(H6285,[1]startdates!$A$2:$A$10,[1]startdates!$B$2:$B$10)</f>
        <v>C</v>
      </c>
      <c r="H6285">
        <v>8</v>
      </c>
      <c r="I6285" s="7">
        <v>582.6</v>
      </c>
      <c r="L6285" s="7">
        <v>471.8</v>
      </c>
      <c r="M6285" s="7">
        <v>317.2</v>
      </c>
      <c r="N6285" s="7">
        <v>232.7</v>
      </c>
      <c r="O6285" s="7">
        <v>176.7</v>
      </c>
    </row>
    <row r="6286" spans="1:19" x14ac:dyDescent="0.2">
      <c r="A6286">
        <v>6285</v>
      </c>
      <c r="B6286" s="1">
        <v>40911</v>
      </c>
      <c r="C6286" t="s">
        <v>24</v>
      </c>
      <c r="D6286" s="7">
        <v>171</v>
      </c>
      <c r="E6286" s="7">
        <v>26</v>
      </c>
      <c r="F6286" s="7">
        <f t="shared" si="98"/>
        <v>3</v>
      </c>
      <c r="G6286" s="7" t="str">
        <f>LOOKUP(H6286,[1]startdates!$A$2:$A$10,[1]startdates!$B$2:$B$10)</f>
        <v>C</v>
      </c>
      <c r="H6286">
        <v>8</v>
      </c>
      <c r="I6286" s="7">
        <v>637.79999999999995</v>
      </c>
      <c r="L6286" s="7">
        <v>370.8</v>
      </c>
      <c r="M6286" s="7">
        <v>301</v>
      </c>
      <c r="N6286" s="7">
        <v>191.4</v>
      </c>
      <c r="O6286" s="7">
        <v>178.7</v>
      </c>
    </row>
    <row r="6287" spans="1:19" x14ac:dyDescent="0.2">
      <c r="A6287">
        <v>6286</v>
      </c>
      <c r="B6287" s="1">
        <v>40911</v>
      </c>
      <c r="C6287" t="s">
        <v>24</v>
      </c>
      <c r="D6287" s="7">
        <v>171</v>
      </c>
      <c r="E6287" s="7">
        <v>26</v>
      </c>
      <c r="F6287" s="7">
        <f t="shared" si="98"/>
        <v>3</v>
      </c>
      <c r="G6287" s="7" t="str">
        <f>LOOKUP(H6287,[1]startdates!$A$2:$A$10,[1]startdates!$B$2:$B$10)</f>
        <v>C</v>
      </c>
      <c r="H6287">
        <v>8</v>
      </c>
      <c r="M6287" s="7">
        <v>320.7</v>
      </c>
      <c r="N6287" s="7">
        <v>206.3</v>
      </c>
      <c r="O6287" s="7">
        <v>153.80000000000001</v>
      </c>
    </row>
    <row r="6288" spans="1:19" x14ac:dyDescent="0.2">
      <c r="A6288">
        <v>6287</v>
      </c>
      <c r="B6288" s="1">
        <v>40911</v>
      </c>
      <c r="C6288" t="s">
        <v>24</v>
      </c>
      <c r="D6288" s="7">
        <v>171</v>
      </c>
      <c r="E6288" s="7">
        <v>26</v>
      </c>
      <c r="F6288" s="7">
        <f t="shared" si="98"/>
        <v>3</v>
      </c>
      <c r="G6288" s="7" t="str">
        <f>LOOKUP(H6288,[1]startdates!$A$2:$A$10,[1]startdates!$B$2:$B$10)</f>
        <v>C</v>
      </c>
      <c r="H6288">
        <v>8</v>
      </c>
      <c r="M6288" s="7">
        <v>380.7</v>
      </c>
      <c r="N6288" s="7">
        <v>226.8</v>
      </c>
      <c r="O6288" s="7">
        <v>171.3</v>
      </c>
    </row>
    <row r="6289" spans="1:22" x14ac:dyDescent="0.2">
      <c r="A6289">
        <v>6288</v>
      </c>
      <c r="B6289" s="1">
        <v>40911</v>
      </c>
      <c r="C6289" t="s">
        <v>24</v>
      </c>
      <c r="D6289" s="7">
        <v>171</v>
      </c>
      <c r="E6289" s="7">
        <v>26</v>
      </c>
      <c r="F6289" s="7">
        <f t="shared" si="98"/>
        <v>3</v>
      </c>
      <c r="G6289" s="7" t="str">
        <f>LOOKUP(H6289,[1]startdates!$A$2:$A$10,[1]startdates!$B$2:$B$10)</f>
        <v>C</v>
      </c>
      <c r="H6289">
        <v>8</v>
      </c>
      <c r="M6289" s="7">
        <v>281.8</v>
      </c>
      <c r="N6289" s="7">
        <v>230.6</v>
      </c>
      <c r="O6289" s="7">
        <v>189.5</v>
      </c>
    </row>
    <row r="6290" spans="1:22" x14ac:dyDescent="0.2">
      <c r="A6290">
        <v>6289</v>
      </c>
      <c r="B6290" s="1">
        <v>40911</v>
      </c>
      <c r="C6290" t="s">
        <v>24</v>
      </c>
      <c r="D6290" s="7">
        <v>171</v>
      </c>
      <c r="E6290" s="7">
        <v>26</v>
      </c>
      <c r="F6290" s="7">
        <f t="shared" si="98"/>
        <v>3</v>
      </c>
      <c r="G6290" s="7" t="str">
        <f>LOOKUP(H6290,[1]startdates!$A$2:$A$10,[1]startdates!$B$2:$B$10)</f>
        <v>C</v>
      </c>
      <c r="H6290">
        <v>8</v>
      </c>
      <c r="O6290" s="7">
        <v>149.9</v>
      </c>
    </row>
    <row r="6291" spans="1:22" x14ac:dyDescent="0.2">
      <c r="A6291">
        <v>6290</v>
      </c>
      <c r="B6291" s="1">
        <v>40911</v>
      </c>
      <c r="C6291" t="s">
        <v>24</v>
      </c>
      <c r="D6291" s="7">
        <v>171</v>
      </c>
      <c r="E6291" s="7">
        <v>26</v>
      </c>
      <c r="F6291" s="7">
        <f t="shared" si="98"/>
        <v>3</v>
      </c>
      <c r="G6291" s="7" t="str">
        <f>LOOKUP(H6291,[1]startdates!$A$2:$A$10,[1]startdates!$B$2:$B$10)</f>
        <v>FMr</v>
      </c>
      <c r="H6291">
        <v>9</v>
      </c>
      <c r="I6291" s="7">
        <v>601</v>
      </c>
      <c r="J6291" s="7">
        <v>457.7</v>
      </c>
      <c r="K6291" s="7">
        <v>580.20000000000005</v>
      </c>
      <c r="L6291" s="7">
        <v>455.4</v>
      </c>
      <c r="M6291" s="7">
        <v>359.3</v>
      </c>
      <c r="N6291" s="7">
        <v>212.5</v>
      </c>
      <c r="O6291" s="7">
        <v>183.8</v>
      </c>
      <c r="P6291" s="7">
        <v>492.8</v>
      </c>
      <c r="R6291" s="7">
        <v>240.4</v>
      </c>
      <c r="S6291" s="7">
        <v>262.5</v>
      </c>
      <c r="V6291" s="7">
        <v>441</v>
      </c>
    </row>
    <row r="6292" spans="1:22" x14ac:dyDescent="0.2">
      <c r="A6292">
        <v>6291</v>
      </c>
      <c r="B6292" s="1">
        <v>40911</v>
      </c>
      <c r="C6292" t="s">
        <v>24</v>
      </c>
      <c r="D6292" s="7">
        <v>171</v>
      </c>
      <c r="E6292" s="7">
        <v>26</v>
      </c>
      <c r="F6292" s="7">
        <f t="shared" si="98"/>
        <v>3</v>
      </c>
      <c r="G6292" s="7" t="str">
        <f>LOOKUP(H6292,[1]startdates!$A$2:$A$10,[1]startdates!$B$2:$B$10)</f>
        <v>FMr</v>
      </c>
      <c r="H6292">
        <v>9</v>
      </c>
      <c r="I6292" s="7">
        <v>534.1</v>
      </c>
      <c r="K6292" s="7">
        <v>568.4</v>
      </c>
      <c r="L6292" s="7">
        <v>420.5</v>
      </c>
      <c r="M6292" s="7">
        <v>394.7</v>
      </c>
      <c r="N6292" s="7">
        <v>209</v>
      </c>
      <c r="O6292" s="7">
        <v>165.7</v>
      </c>
      <c r="P6292" s="7">
        <v>477.8</v>
      </c>
    </row>
    <row r="6293" spans="1:22" x14ac:dyDescent="0.2">
      <c r="A6293">
        <v>6292</v>
      </c>
      <c r="B6293" s="1">
        <v>40911</v>
      </c>
      <c r="C6293" t="s">
        <v>24</v>
      </c>
      <c r="D6293" s="7">
        <v>171</v>
      </c>
      <c r="E6293" s="7">
        <v>26</v>
      </c>
      <c r="F6293" s="7">
        <f t="shared" si="98"/>
        <v>3</v>
      </c>
      <c r="G6293" s="7" t="str">
        <f>LOOKUP(H6293,[1]startdates!$A$2:$A$10,[1]startdates!$B$2:$B$10)</f>
        <v>FMr</v>
      </c>
      <c r="H6293">
        <v>9</v>
      </c>
      <c r="I6293" s="7">
        <v>601.5</v>
      </c>
      <c r="K6293" s="7">
        <v>468.1</v>
      </c>
      <c r="L6293" s="7">
        <v>419.5</v>
      </c>
      <c r="M6293" s="7">
        <v>342.3</v>
      </c>
      <c r="N6293" s="7">
        <v>184.5</v>
      </c>
      <c r="O6293" s="7">
        <v>161.69999999999999</v>
      </c>
      <c r="P6293" s="7">
        <v>453.6</v>
      </c>
    </row>
    <row r="6294" spans="1:22" x14ac:dyDescent="0.2">
      <c r="A6294">
        <v>6293</v>
      </c>
      <c r="B6294" s="1">
        <v>40911</v>
      </c>
      <c r="C6294" t="s">
        <v>24</v>
      </c>
      <c r="D6294" s="7">
        <v>171</v>
      </c>
      <c r="E6294" s="7">
        <v>26</v>
      </c>
      <c r="F6294" s="7">
        <f t="shared" si="98"/>
        <v>3</v>
      </c>
      <c r="G6294" s="7" t="str">
        <f>LOOKUP(H6294,[1]startdates!$A$2:$A$10,[1]startdates!$B$2:$B$10)</f>
        <v>FMr</v>
      </c>
      <c r="H6294">
        <v>9</v>
      </c>
      <c r="I6294" s="7">
        <v>549.20000000000005</v>
      </c>
      <c r="K6294" s="7">
        <v>424.8</v>
      </c>
      <c r="L6294" s="7">
        <v>431</v>
      </c>
      <c r="M6294" s="7">
        <v>324.8</v>
      </c>
      <c r="N6294" s="7">
        <v>214.2</v>
      </c>
      <c r="O6294" s="7">
        <v>178.7</v>
      </c>
    </row>
    <row r="6295" spans="1:22" x14ac:dyDescent="0.2">
      <c r="A6295">
        <v>6294</v>
      </c>
      <c r="B6295" s="1">
        <v>40911</v>
      </c>
      <c r="C6295" t="s">
        <v>24</v>
      </c>
      <c r="D6295" s="7">
        <v>171</v>
      </c>
      <c r="E6295" s="7">
        <v>26</v>
      </c>
      <c r="F6295" s="7">
        <f t="shared" si="98"/>
        <v>3</v>
      </c>
      <c r="G6295" s="7" t="str">
        <f>LOOKUP(H6295,[1]startdates!$A$2:$A$10,[1]startdates!$B$2:$B$10)</f>
        <v>FMr</v>
      </c>
      <c r="H6295">
        <v>9</v>
      </c>
      <c r="I6295" s="7">
        <v>544.4</v>
      </c>
      <c r="K6295" s="7">
        <v>487</v>
      </c>
      <c r="N6295" s="7">
        <v>224.7</v>
      </c>
      <c r="O6295" s="7">
        <v>158.1</v>
      </c>
    </row>
    <row r="6296" spans="1:22" x14ac:dyDescent="0.2">
      <c r="A6296">
        <v>6295</v>
      </c>
      <c r="B6296" s="1">
        <v>40911</v>
      </c>
      <c r="C6296" t="s">
        <v>24</v>
      </c>
      <c r="D6296" s="7">
        <v>171</v>
      </c>
      <c r="E6296" s="7">
        <v>26</v>
      </c>
      <c r="F6296" s="7">
        <f t="shared" si="98"/>
        <v>3</v>
      </c>
      <c r="G6296" s="7" t="str">
        <f>LOOKUP(H6296,[1]startdates!$A$2:$A$10,[1]startdates!$B$2:$B$10)</f>
        <v>FMr</v>
      </c>
      <c r="H6296">
        <v>9</v>
      </c>
      <c r="I6296" s="7">
        <v>540.4</v>
      </c>
      <c r="N6296" s="7">
        <v>213.5</v>
      </c>
      <c r="O6296" s="7">
        <v>202.2</v>
      </c>
    </row>
    <row r="6297" spans="1:22" x14ac:dyDescent="0.2">
      <c r="A6297">
        <v>6296</v>
      </c>
      <c r="B6297" s="1">
        <v>40911</v>
      </c>
      <c r="C6297" t="s">
        <v>24</v>
      </c>
      <c r="D6297" s="7">
        <v>171</v>
      </c>
      <c r="E6297" s="7">
        <v>26</v>
      </c>
      <c r="F6297" s="7">
        <f t="shared" si="98"/>
        <v>3</v>
      </c>
      <c r="G6297" s="7" t="str">
        <f>LOOKUP(H6297,[1]startdates!$A$2:$A$10,[1]startdates!$B$2:$B$10)</f>
        <v>FMr</v>
      </c>
      <c r="H6297">
        <v>9</v>
      </c>
      <c r="N6297" s="7">
        <v>198.1</v>
      </c>
      <c r="O6297" s="7">
        <v>165.7</v>
      </c>
    </row>
    <row r="6298" spans="1:22" x14ac:dyDescent="0.2">
      <c r="A6298">
        <v>6297</v>
      </c>
      <c r="B6298" s="1">
        <v>40911</v>
      </c>
      <c r="C6298" t="s">
        <v>24</v>
      </c>
      <c r="D6298" s="7">
        <v>171</v>
      </c>
      <c r="E6298" s="7">
        <v>26</v>
      </c>
      <c r="F6298" s="7">
        <f t="shared" si="98"/>
        <v>3</v>
      </c>
      <c r="G6298" s="7" t="str">
        <f>LOOKUP(H6298,[1]startdates!$A$2:$A$10,[1]startdates!$B$2:$B$10)</f>
        <v>FMr</v>
      </c>
      <c r="H6298">
        <v>9</v>
      </c>
      <c r="N6298" s="7">
        <v>217.3</v>
      </c>
      <c r="O6298" s="7">
        <v>165.3</v>
      </c>
    </row>
    <row r="6299" spans="1:22" x14ac:dyDescent="0.2">
      <c r="A6299">
        <v>6298</v>
      </c>
      <c r="B6299" s="1">
        <v>40911</v>
      </c>
      <c r="C6299" t="s">
        <v>24</v>
      </c>
      <c r="D6299" s="7">
        <v>171</v>
      </c>
      <c r="E6299" s="7">
        <v>26</v>
      </c>
      <c r="F6299" s="7">
        <f t="shared" si="98"/>
        <v>3</v>
      </c>
      <c r="G6299" s="7" t="str">
        <f>LOOKUP(H6299,[1]startdates!$A$2:$A$10,[1]startdates!$B$2:$B$10)</f>
        <v>FMr</v>
      </c>
      <c r="H6299">
        <v>9</v>
      </c>
      <c r="N6299" s="7">
        <v>173.1</v>
      </c>
      <c r="O6299" s="7">
        <v>156.30000000000001</v>
      </c>
    </row>
    <row r="6300" spans="1:22" x14ac:dyDescent="0.2">
      <c r="A6300">
        <v>6299</v>
      </c>
      <c r="B6300" s="1">
        <v>40911</v>
      </c>
      <c r="C6300" t="s">
        <v>24</v>
      </c>
      <c r="D6300" s="7">
        <v>171</v>
      </c>
      <c r="E6300" s="7">
        <v>26</v>
      </c>
      <c r="F6300" s="7">
        <f t="shared" si="98"/>
        <v>3</v>
      </c>
      <c r="G6300" s="7" t="str">
        <f>LOOKUP(H6300,[1]startdates!$A$2:$A$10,[1]startdates!$B$2:$B$10)</f>
        <v>FMr</v>
      </c>
      <c r="H6300">
        <v>9</v>
      </c>
      <c r="N6300" s="7">
        <v>221</v>
      </c>
      <c r="O6300" s="7">
        <v>161.4</v>
      </c>
    </row>
    <row r="6301" spans="1:22" x14ac:dyDescent="0.2">
      <c r="A6301">
        <v>6300</v>
      </c>
      <c r="B6301" s="1">
        <v>40914</v>
      </c>
      <c r="C6301" t="s">
        <v>28</v>
      </c>
      <c r="D6301" s="7">
        <v>174</v>
      </c>
      <c r="E6301" s="7">
        <v>26</v>
      </c>
      <c r="F6301" s="7">
        <f t="shared" si="98"/>
        <v>6</v>
      </c>
      <c r="G6301" s="7" t="str">
        <f>LOOKUP(H6301,[1]startdates!$A$2:$A$10,[1]startdates!$B$2:$B$10)</f>
        <v>SMr</v>
      </c>
      <c r="H6301">
        <v>1</v>
      </c>
      <c r="I6301" s="7">
        <v>546.70000000000005</v>
      </c>
      <c r="J6301" s="7">
        <v>487.5</v>
      </c>
      <c r="K6301" s="7">
        <v>499.5</v>
      </c>
      <c r="L6301" s="7">
        <v>436.9</v>
      </c>
      <c r="M6301" s="7">
        <v>385.7</v>
      </c>
      <c r="N6301" s="7">
        <v>265.2</v>
      </c>
      <c r="O6301" s="7">
        <v>182.2</v>
      </c>
      <c r="P6301" s="7">
        <v>401.8</v>
      </c>
      <c r="Q6301" s="7">
        <v>317.89999999999998</v>
      </c>
      <c r="R6301" s="7">
        <v>243.2</v>
      </c>
    </row>
    <row r="6302" spans="1:22" x14ac:dyDescent="0.2">
      <c r="A6302">
        <v>6301</v>
      </c>
      <c r="B6302" s="1">
        <v>40914</v>
      </c>
      <c r="C6302" t="s">
        <v>28</v>
      </c>
      <c r="D6302" s="7">
        <v>174</v>
      </c>
      <c r="E6302" s="7">
        <v>26</v>
      </c>
      <c r="F6302" s="7">
        <f t="shared" si="98"/>
        <v>6</v>
      </c>
      <c r="G6302" s="7" t="str">
        <f>LOOKUP(H6302,[1]startdates!$A$2:$A$10,[1]startdates!$B$2:$B$10)</f>
        <v>SMr</v>
      </c>
      <c r="H6302">
        <v>1</v>
      </c>
      <c r="I6302" s="7">
        <v>646.4</v>
      </c>
      <c r="J6302" s="7">
        <v>450.6</v>
      </c>
      <c r="K6302" s="7">
        <v>471.1</v>
      </c>
      <c r="L6302" s="7">
        <v>442.6</v>
      </c>
      <c r="M6302" s="7">
        <v>385.4</v>
      </c>
      <c r="N6302" s="7">
        <v>272.39999999999998</v>
      </c>
      <c r="O6302" s="7">
        <v>174.4</v>
      </c>
      <c r="P6302" s="7">
        <v>421.9</v>
      </c>
      <c r="Q6302" s="7">
        <v>343.2</v>
      </c>
      <c r="R6302" s="7">
        <v>249.4</v>
      </c>
    </row>
    <row r="6303" spans="1:22" x14ac:dyDescent="0.2">
      <c r="A6303">
        <v>6302</v>
      </c>
      <c r="B6303" s="1">
        <v>40914</v>
      </c>
      <c r="C6303" t="s">
        <v>28</v>
      </c>
      <c r="D6303" s="7">
        <v>174</v>
      </c>
      <c r="E6303" s="7">
        <v>26</v>
      </c>
      <c r="F6303" s="7">
        <f t="shared" si="98"/>
        <v>6</v>
      </c>
      <c r="G6303" s="7" t="str">
        <f>LOOKUP(H6303,[1]startdates!$A$2:$A$10,[1]startdates!$B$2:$B$10)</f>
        <v>SMr</v>
      </c>
      <c r="H6303">
        <v>1</v>
      </c>
      <c r="I6303" s="7">
        <v>613.29999999999995</v>
      </c>
      <c r="K6303" s="7">
        <v>514.9</v>
      </c>
      <c r="L6303" s="7">
        <v>414.3</v>
      </c>
      <c r="M6303" s="7">
        <v>380.7</v>
      </c>
      <c r="N6303" s="7">
        <v>188.3</v>
      </c>
      <c r="O6303" s="7">
        <v>162.4</v>
      </c>
    </row>
    <row r="6304" spans="1:22" x14ac:dyDescent="0.2">
      <c r="A6304">
        <v>6303</v>
      </c>
      <c r="B6304" s="1">
        <v>40914</v>
      </c>
      <c r="C6304" t="s">
        <v>28</v>
      </c>
      <c r="D6304" s="7">
        <v>174</v>
      </c>
      <c r="E6304" s="7">
        <v>26</v>
      </c>
      <c r="F6304" s="7">
        <f t="shared" si="98"/>
        <v>6</v>
      </c>
      <c r="G6304" s="7" t="str">
        <f>LOOKUP(H6304,[1]startdates!$A$2:$A$10,[1]startdates!$B$2:$B$10)</f>
        <v>SMr</v>
      </c>
      <c r="H6304">
        <v>1</v>
      </c>
      <c r="I6304" s="7">
        <v>483.7</v>
      </c>
      <c r="K6304" s="7">
        <v>509.4</v>
      </c>
      <c r="L6304" s="7">
        <v>450.4</v>
      </c>
      <c r="M6304" s="7">
        <v>362.3</v>
      </c>
      <c r="N6304" s="7">
        <v>226.1</v>
      </c>
      <c r="O6304" s="7">
        <v>162.5</v>
      </c>
    </row>
    <row r="6305" spans="1:18" x14ac:dyDescent="0.2">
      <c r="A6305">
        <v>6304</v>
      </c>
      <c r="B6305" s="1">
        <v>40914</v>
      </c>
      <c r="C6305" t="s">
        <v>28</v>
      </c>
      <c r="D6305" s="7">
        <v>174</v>
      </c>
      <c r="E6305" s="7">
        <v>26</v>
      </c>
      <c r="F6305" s="7">
        <f t="shared" si="98"/>
        <v>6</v>
      </c>
      <c r="G6305" s="7" t="str">
        <f>LOOKUP(H6305,[1]startdates!$A$2:$A$10,[1]startdates!$B$2:$B$10)</f>
        <v>SMr</v>
      </c>
      <c r="H6305">
        <v>1</v>
      </c>
      <c r="I6305" s="7">
        <v>559.5</v>
      </c>
      <c r="L6305" s="7">
        <v>458.2</v>
      </c>
      <c r="M6305" s="7">
        <v>325.2</v>
      </c>
      <c r="N6305" s="7">
        <v>191.4</v>
      </c>
      <c r="O6305" s="7">
        <v>153.80000000000001</v>
      </c>
    </row>
    <row r="6306" spans="1:18" x14ac:dyDescent="0.2">
      <c r="A6306">
        <v>6305</v>
      </c>
      <c r="B6306" s="1">
        <v>40914</v>
      </c>
      <c r="C6306" t="s">
        <v>28</v>
      </c>
      <c r="D6306" s="7">
        <v>174</v>
      </c>
      <c r="E6306" s="7">
        <v>26</v>
      </c>
      <c r="F6306" s="7">
        <f t="shared" si="98"/>
        <v>6</v>
      </c>
      <c r="G6306" s="7" t="str">
        <f>LOOKUP(H6306,[1]startdates!$A$2:$A$10,[1]startdates!$B$2:$B$10)</f>
        <v>SMr</v>
      </c>
      <c r="H6306">
        <v>1</v>
      </c>
      <c r="I6306" s="7">
        <v>525.1</v>
      </c>
      <c r="M6306" s="7">
        <v>322.7</v>
      </c>
      <c r="N6306" s="7">
        <v>284.39999999999998</v>
      </c>
      <c r="O6306" s="7">
        <v>166.7</v>
      </c>
    </row>
    <row r="6307" spans="1:18" x14ac:dyDescent="0.2">
      <c r="A6307">
        <v>6306</v>
      </c>
      <c r="B6307" s="1">
        <v>40914</v>
      </c>
      <c r="C6307" t="s">
        <v>28</v>
      </c>
      <c r="D6307" s="7">
        <v>174</v>
      </c>
      <c r="E6307" s="7">
        <v>26</v>
      </c>
      <c r="F6307" s="7">
        <f t="shared" si="98"/>
        <v>6</v>
      </c>
      <c r="G6307" s="7" t="str">
        <f>LOOKUP(H6307,[1]startdates!$A$2:$A$10,[1]startdates!$B$2:$B$10)</f>
        <v>SMr</v>
      </c>
      <c r="H6307">
        <v>1</v>
      </c>
      <c r="I6307" s="7">
        <v>475.9</v>
      </c>
      <c r="M6307" s="7">
        <v>298.10000000000002</v>
      </c>
      <c r="N6307" s="7">
        <v>228.9</v>
      </c>
      <c r="O6307" s="7">
        <v>164.4</v>
      </c>
    </row>
    <row r="6308" spans="1:18" x14ac:dyDescent="0.2">
      <c r="A6308">
        <v>6307</v>
      </c>
      <c r="B6308" s="1">
        <v>40914</v>
      </c>
      <c r="C6308" t="s">
        <v>28</v>
      </c>
      <c r="D6308" s="7">
        <v>174</v>
      </c>
      <c r="E6308" s="7">
        <v>26</v>
      </c>
      <c r="F6308" s="7">
        <f t="shared" si="98"/>
        <v>6</v>
      </c>
      <c r="G6308" s="7" t="str">
        <f>LOOKUP(H6308,[1]startdates!$A$2:$A$10,[1]startdates!$B$2:$B$10)</f>
        <v>SMr</v>
      </c>
      <c r="H6308">
        <v>1</v>
      </c>
      <c r="I6308" s="7">
        <v>615.4</v>
      </c>
      <c r="M6308" s="7">
        <v>322.8</v>
      </c>
      <c r="N6308" s="7">
        <v>201.3</v>
      </c>
      <c r="O6308" s="7">
        <v>138</v>
      </c>
    </row>
    <row r="6309" spans="1:18" x14ac:dyDescent="0.2">
      <c r="A6309">
        <v>6308</v>
      </c>
      <c r="B6309" s="1">
        <v>40914</v>
      </c>
      <c r="C6309" t="s">
        <v>28</v>
      </c>
      <c r="D6309" s="7">
        <v>174</v>
      </c>
      <c r="E6309" s="7">
        <v>26</v>
      </c>
      <c r="F6309" s="7">
        <f t="shared" si="98"/>
        <v>6</v>
      </c>
      <c r="G6309" s="7" t="str">
        <f>LOOKUP(H6309,[1]startdates!$A$2:$A$10,[1]startdates!$B$2:$B$10)</f>
        <v>SMr</v>
      </c>
      <c r="H6309">
        <v>1</v>
      </c>
      <c r="I6309" s="7">
        <v>576</v>
      </c>
      <c r="M6309" s="7">
        <v>349</v>
      </c>
      <c r="N6309" s="7">
        <v>283.2</v>
      </c>
      <c r="O6309" s="7">
        <v>173.8</v>
      </c>
    </row>
    <row r="6310" spans="1:18" x14ac:dyDescent="0.2">
      <c r="A6310">
        <v>6309</v>
      </c>
      <c r="B6310" s="1">
        <v>40914</v>
      </c>
      <c r="C6310" t="s">
        <v>28</v>
      </c>
      <c r="D6310" s="7">
        <v>174</v>
      </c>
      <c r="E6310" s="7">
        <v>26</v>
      </c>
      <c r="F6310" s="7">
        <f t="shared" si="98"/>
        <v>6</v>
      </c>
      <c r="G6310" s="7" t="str">
        <f>LOOKUP(H6310,[1]startdates!$A$2:$A$10,[1]startdates!$B$2:$B$10)</f>
        <v>SMr</v>
      </c>
      <c r="H6310">
        <v>1</v>
      </c>
      <c r="I6310" s="7">
        <v>487.2</v>
      </c>
      <c r="M6310" s="7">
        <v>317.10000000000002</v>
      </c>
      <c r="N6310" s="7">
        <v>217.3</v>
      </c>
      <c r="O6310" s="7">
        <v>166.6</v>
      </c>
    </row>
    <row r="6311" spans="1:18" x14ac:dyDescent="0.2">
      <c r="A6311">
        <v>6310</v>
      </c>
      <c r="B6311" s="1">
        <v>40914</v>
      </c>
      <c r="C6311" t="s">
        <v>28</v>
      </c>
      <c r="D6311" s="7">
        <v>174</v>
      </c>
      <c r="E6311" s="7">
        <v>26</v>
      </c>
      <c r="F6311" s="7">
        <f t="shared" si="98"/>
        <v>6</v>
      </c>
      <c r="G6311" s="7" t="str">
        <f>LOOKUP(H6311,[1]startdates!$A$2:$A$10,[1]startdates!$B$2:$B$10)</f>
        <v>SMr</v>
      </c>
      <c r="H6311">
        <v>1</v>
      </c>
      <c r="M6311" s="7">
        <v>310.8</v>
      </c>
    </row>
    <row r="6312" spans="1:18" x14ac:dyDescent="0.2">
      <c r="A6312">
        <v>6311</v>
      </c>
      <c r="B6312" s="1">
        <v>40914</v>
      </c>
      <c r="C6312" t="s">
        <v>28</v>
      </c>
      <c r="D6312" s="7">
        <v>174</v>
      </c>
      <c r="E6312" s="7">
        <v>26</v>
      </c>
      <c r="F6312" s="7">
        <f t="shared" si="98"/>
        <v>6</v>
      </c>
      <c r="G6312" s="7" t="str">
        <f>LOOKUP(H6312,[1]startdates!$A$2:$A$10,[1]startdates!$B$2:$B$10)</f>
        <v>SMr</v>
      </c>
      <c r="H6312">
        <v>1</v>
      </c>
      <c r="M6312" s="7">
        <v>376.7</v>
      </c>
    </row>
    <row r="6313" spans="1:18" x14ac:dyDescent="0.2">
      <c r="A6313">
        <v>6312</v>
      </c>
      <c r="B6313" s="1">
        <v>40914</v>
      </c>
      <c r="C6313" t="s">
        <v>24</v>
      </c>
      <c r="D6313" s="7">
        <v>174</v>
      </c>
      <c r="E6313" s="7">
        <v>26</v>
      </c>
      <c r="F6313" s="7">
        <f t="shared" ref="F6313:F6376" si="99">WEEKDAY(B6313)</f>
        <v>6</v>
      </c>
      <c r="G6313" s="7" t="str">
        <f>LOOKUP(H6313,[1]startdates!$A$2:$A$10,[1]startdates!$B$2:$B$10)</f>
        <v>SMr</v>
      </c>
      <c r="H6313">
        <v>2</v>
      </c>
      <c r="I6313" s="7">
        <v>500.8</v>
      </c>
      <c r="K6313" s="7">
        <v>505.6</v>
      </c>
      <c r="L6313" s="7">
        <v>415.3</v>
      </c>
      <c r="M6313" s="7">
        <v>379.1</v>
      </c>
      <c r="N6313" s="7">
        <v>207.8</v>
      </c>
      <c r="O6313" s="7">
        <v>185.7</v>
      </c>
      <c r="Q6313" s="7">
        <v>349.3</v>
      </c>
      <c r="R6313" s="7">
        <v>263.60000000000002</v>
      </c>
    </row>
    <row r="6314" spans="1:18" x14ac:dyDescent="0.2">
      <c r="A6314">
        <v>6313</v>
      </c>
      <c r="B6314" s="1">
        <v>40914</v>
      </c>
      <c r="C6314" t="s">
        <v>24</v>
      </c>
      <c r="D6314" s="7">
        <v>174</v>
      </c>
      <c r="E6314" s="7">
        <v>26</v>
      </c>
      <c r="F6314" s="7">
        <f t="shared" si="99"/>
        <v>6</v>
      </c>
      <c r="G6314" s="7" t="str">
        <f>LOOKUP(H6314,[1]startdates!$A$2:$A$10,[1]startdates!$B$2:$B$10)</f>
        <v>SMr</v>
      </c>
      <c r="H6314">
        <v>2</v>
      </c>
      <c r="I6314" s="7">
        <v>538.4</v>
      </c>
      <c r="K6314" s="7">
        <v>370.5</v>
      </c>
      <c r="L6314" s="7">
        <v>458</v>
      </c>
      <c r="M6314" s="7">
        <v>332.1</v>
      </c>
      <c r="N6314" s="7">
        <v>195.2</v>
      </c>
      <c r="O6314" s="7">
        <v>186.3</v>
      </c>
      <c r="Q6314" s="7">
        <v>321.7</v>
      </c>
    </row>
    <row r="6315" spans="1:18" x14ac:dyDescent="0.2">
      <c r="A6315">
        <v>6314</v>
      </c>
      <c r="B6315" s="1">
        <v>40914</v>
      </c>
      <c r="C6315" t="s">
        <v>24</v>
      </c>
      <c r="D6315" s="7">
        <v>174</v>
      </c>
      <c r="E6315" s="7">
        <v>26</v>
      </c>
      <c r="F6315" s="7">
        <f t="shared" si="99"/>
        <v>6</v>
      </c>
      <c r="G6315" s="7" t="str">
        <f>LOOKUP(H6315,[1]startdates!$A$2:$A$10,[1]startdates!$B$2:$B$10)</f>
        <v>SMr</v>
      </c>
      <c r="H6315">
        <v>2</v>
      </c>
      <c r="I6315" s="7">
        <v>527.1</v>
      </c>
      <c r="K6315" s="7">
        <v>527.29999999999995</v>
      </c>
      <c r="L6315" s="7">
        <v>489.1</v>
      </c>
      <c r="M6315" s="7">
        <v>326.5</v>
      </c>
      <c r="N6315" s="7">
        <v>234.5</v>
      </c>
      <c r="O6315" s="7">
        <v>159</v>
      </c>
      <c r="Q6315" s="7">
        <v>345.1</v>
      </c>
    </row>
    <row r="6316" spans="1:18" x14ac:dyDescent="0.2">
      <c r="A6316">
        <v>6315</v>
      </c>
      <c r="B6316" s="1">
        <v>40914</v>
      </c>
      <c r="C6316" t="s">
        <v>24</v>
      </c>
      <c r="D6316" s="7">
        <v>174</v>
      </c>
      <c r="E6316" s="7">
        <v>26</v>
      </c>
      <c r="F6316" s="7">
        <f t="shared" si="99"/>
        <v>6</v>
      </c>
      <c r="G6316" s="7" t="str">
        <f>LOOKUP(H6316,[1]startdates!$A$2:$A$10,[1]startdates!$B$2:$B$10)</f>
        <v>SMr</v>
      </c>
      <c r="H6316">
        <v>2</v>
      </c>
      <c r="I6316" s="7">
        <v>573.6</v>
      </c>
      <c r="K6316" s="7">
        <v>481.5</v>
      </c>
      <c r="L6316" s="7">
        <v>425.3</v>
      </c>
      <c r="M6316" s="7">
        <v>406.4</v>
      </c>
      <c r="N6316" s="7">
        <v>221.4</v>
      </c>
      <c r="O6316" s="7">
        <v>174.6</v>
      </c>
    </row>
    <row r="6317" spans="1:18" x14ac:dyDescent="0.2">
      <c r="A6317">
        <v>6316</v>
      </c>
      <c r="B6317" s="1">
        <v>40914</v>
      </c>
      <c r="C6317" t="s">
        <v>24</v>
      </c>
      <c r="D6317" s="7">
        <v>174</v>
      </c>
      <c r="E6317" s="7">
        <v>26</v>
      </c>
      <c r="F6317" s="7">
        <f t="shared" si="99"/>
        <v>6</v>
      </c>
      <c r="G6317" s="7" t="str">
        <f>LOOKUP(H6317,[1]startdates!$A$2:$A$10,[1]startdates!$B$2:$B$10)</f>
        <v>SMr</v>
      </c>
      <c r="H6317">
        <v>2</v>
      </c>
      <c r="I6317" s="7">
        <v>617.5</v>
      </c>
      <c r="K6317" s="7">
        <v>454.6</v>
      </c>
      <c r="M6317" s="7">
        <v>375.6</v>
      </c>
      <c r="N6317" s="7">
        <v>225.7</v>
      </c>
      <c r="O6317" s="7">
        <v>182.8</v>
      </c>
    </row>
    <row r="6318" spans="1:18" x14ac:dyDescent="0.2">
      <c r="A6318">
        <v>6317</v>
      </c>
      <c r="B6318" s="1">
        <v>40914</v>
      </c>
      <c r="C6318" t="s">
        <v>24</v>
      </c>
      <c r="D6318" s="7">
        <v>174</v>
      </c>
      <c r="E6318" s="7">
        <v>26</v>
      </c>
      <c r="F6318" s="7">
        <f t="shared" si="99"/>
        <v>6</v>
      </c>
      <c r="G6318" s="7" t="str">
        <f>LOOKUP(H6318,[1]startdates!$A$2:$A$10,[1]startdates!$B$2:$B$10)</f>
        <v>SMr</v>
      </c>
      <c r="H6318">
        <v>2</v>
      </c>
      <c r="I6318" s="7">
        <v>516.29999999999995</v>
      </c>
      <c r="K6318" s="7">
        <v>537.9</v>
      </c>
      <c r="M6318" s="7">
        <v>387.7</v>
      </c>
      <c r="N6318" s="7">
        <v>210.7</v>
      </c>
      <c r="O6318" s="7">
        <v>162.69999999999999</v>
      </c>
    </row>
    <row r="6319" spans="1:18" x14ac:dyDescent="0.2">
      <c r="A6319">
        <v>6318</v>
      </c>
      <c r="B6319" s="1">
        <v>40914</v>
      </c>
      <c r="C6319" t="s">
        <v>24</v>
      </c>
      <c r="D6319" s="7">
        <v>174</v>
      </c>
      <c r="E6319" s="7">
        <v>26</v>
      </c>
      <c r="F6319" s="7">
        <f t="shared" si="99"/>
        <v>6</v>
      </c>
      <c r="G6319" s="7" t="str">
        <f>LOOKUP(H6319,[1]startdates!$A$2:$A$10,[1]startdates!$B$2:$B$10)</f>
        <v>SMr</v>
      </c>
      <c r="H6319">
        <v>2</v>
      </c>
      <c r="I6319" s="7">
        <v>473.7</v>
      </c>
      <c r="N6319" s="7">
        <v>184</v>
      </c>
      <c r="O6319" s="7">
        <v>180.7</v>
      </c>
    </row>
    <row r="6320" spans="1:18" x14ac:dyDescent="0.2">
      <c r="A6320">
        <v>6319</v>
      </c>
      <c r="B6320" s="1">
        <v>40914</v>
      </c>
      <c r="C6320" t="s">
        <v>24</v>
      </c>
      <c r="D6320" s="7">
        <v>174</v>
      </c>
      <c r="E6320" s="7">
        <v>26</v>
      </c>
      <c r="F6320" s="7">
        <f t="shared" si="99"/>
        <v>6</v>
      </c>
      <c r="G6320" s="7" t="str">
        <f>LOOKUP(H6320,[1]startdates!$A$2:$A$10,[1]startdates!$B$2:$B$10)</f>
        <v>SMr</v>
      </c>
      <c r="H6320">
        <v>2</v>
      </c>
      <c r="I6320" s="7">
        <v>545.9</v>
      </c>
      <c r="N6320" s="7">
        <v>219.5</v>
      </c>
      <c r="O6320" s="7">
        <v>177</v>
      </c>
    </row>
    <row r="6321" spans="1:19" x14ac:dyDescent="0.2">
      <c r="A6321">
        <v>6320</v>
      </c>
      <c r="B6321" s="1">
        <v>40914</v>
      </c>
      <c r="C6321" t="s">
        <v>24</v>
      </c>
      <c r="D6321" s="7">
        <v>174</v>
      </c>
      <c r="E6321" s="7">
        <v>26</v>
      </c>
      <c r="F6321" s="7">
        <f t="shared" si="99"/>
        <v>6</v>
      </c>
      <c r="G6321" s="7" t="str">
        <f>LOOKUP(H6321,[1]startdates!$A$2:$A$10,[1]startdates!$B$2:$B$10)</f>
        <v>SMr</v>
      </c>
      <c r="H6321">
        <v>2</v>
      </c>
      <c r="I6321" s="7">
        <v>508.8</v>
      </c>
      <c r="N6321" s="7">
        <v>209.9</v>
      </c>
      <c r="O6321" s="7">
        <v>171.8</v>
      </c>
    </row>
    <row r="6322" spans="1:19" x14ac:dyDescent="0.2">
      <c r="A6322">
        <v>6321</v>
      </c>
      <c r="B6322" s="1">
        <v>40914</v>
      </c>
      <c r="C6322" t="s">
        <v>24</v>
      </c>
      <c r="D6322" s="7">
        <v>174</v>
      </c>
      <c r="E6322" s="7">
        <v>26</v>
      </c>
      <c r="F6322" s="7">
        <f t="shared" si="99"/>
        <v>6</v>
      </c>
      <c r="G6322" s="7" t="str">
        <f>LOOKUP(H6322,[1]startdates!$A$2:$A$10,[1]startdates!$B$2:$B$10)</f>
        <v>SMr</v>
      </c>
      <c r="H6322">
        <v>2</v>
      </c>
      <c r="I6322" s="7">
        <v>603.79999999999995</v>
      </c>
    </row>
    <row r="6323" spans="1:19" x14ac:dyDescent="0.2">
      <c r="A6323">
        <v>6322</v>
      </c>
      <c r="B6323" s="1">
        <v>40914</v>
      </c>
      <c r="C6323" t="s">
        <v>24</v>
      </c>
      <c r="D6323" s="7">
        <v>174</v>
      </c>
      <c r="E6323" s="7">
        <v>26</v>
      </c>
      <c r="F6323" s="7">
        <f t="shared" si="99"/>
        <v>6</v>
      </c>
      <c r="G6323" s="7" t="str">
        <f>LOOKUP(H6323,[1]startdates!$A$2:$A$10,[1]startdates!$B$2:$B$10)</f>
        <v>SMr</v>
      </c>
      <c r="H6323">
        <v>2</v>
      </c>
      <c r="I6323" s="7">
        <v>537.20000000000005</v>
      </c>
    </row>
    <row r="6324" spans="1:19" x14ac:dyDescent="0.2">
      <c r="A6324">
        <v>6323</v>
      </c>
      <c r="B6324" s="1">
        <v>40914</v>
      </c>
      <c r="C6324" t="s">
        <v>24</v>
      </c>
      <c r="D6324" s="7">
        <v>174</v>
      </c>
      <c r="E6324" s="7">
        <v>26</v>
      </c>
      <c r="F6324" s="7">
        <f t="shared" si="99"/>
        <v>6</v>
      </c>
      <c r="G6324" s="7" t="str">
        <f>LOOKUP(H6324,[1]startdates!$A$2:$A$10,[1]startdates!$B$2:$B$10)</f>
        <v>C</v>
      </c>
      <c r="H6324">
        <v>3</v>
      </c>
      <c r="I6324" s="7">
        <v>520.29999999999995</v>
      </c>
      <c r="K6324" s="7">
        <v>535.5</v>
      </c>
      <c r="L6324" s="7">
        <v>435.1</v>
      </c>
      <c r="M6324" s="7">
        <v>363.9</v>
      </c>
      <c r="N6324" s="7">
        <v>222.4</v>
      </c>
      <c r="O6324" s="7">
        <v>181.9</v>
      </c>
      <c r="P6324" s="7">
        <v>432</v>
      </c>
      <c r="Q6324" s="7">
        <v>323.89999999999998</v>
      </c>
      <c r="R6324" s="7">
        <v>304.60000000000002</v>
      </c>
      <c r="S6324" s="7">
        <v>268.7</v>
      </c>
    </row>
    <row r="6325" spans="1:19" x14ac:dyDescent="0.2">
      <c r="A6325">
        <v>6324</v>
      </c>
      <c r="B6325" s="1">
        <v>40914</v>
      </c>
      <c r="C6325" t="s">
        <v>24</v>
      </c>
      <c r="D6325" s="7">
        <v>174</v>
      </c>
      <c r="E6325" s="7">
        <v>26</v>
      </c>
      <c r="F6325" s="7">
        <f t="shared" si="99"/>
        <v>6</v>
      </c>
      <c r="G6325" s="7" t="str">
        <f>LOOKUP(H6325,[1]startdates!$A$2:$A$10,[1]startdates!$B$2:$B$10)</f>
        <v>C</v>
      </c>
      <c r="H6325">
        <v>3</v>
      </c>
      <c r="I6325" s="7">
        <v>530.6</v>
      </c>
      <c r="K6325" s="7">
        <v>408.3</v>
      </c>
      <c r="L6325" s="7">
        <v>452.1</v>
      </c>
      <c r="M6325" s="7">
        <v>355.5</v>
      </c>
      <c r="N6325" s="7">
        <v>221.4</v>
      </c>
      <c r="O6325" s="7">
        <v>178.7</v>
      </c>
      <c r="P6325" s="7">
        <v>426.3</v>
      </c>
      <c r="S6325" s="7">
        <v>243.1</v>
      </c>
    </row>
    <row r="6326" spans="1:19" x14ac:dyDescent="0.2">
      <c r="A6326">
        <v>6325</v>
      </c>
      <c r="B6326" s="1">
        <v>40914</v>
      </c>
      <c r="C6326" t="s">
        <v>24</v>
      </c>
      <c r="D6326" s="7">
        <v>174</v>
      </c>
      <c r="E6326" s="7">
        <v>26</v>
      </c>
      <c r="F6326" s="7">
        <f t="shared" si="99"/>
        <v>6</v>
      </c>
      <c r="G6326" s="7" t="str">
        <f>LOOKUP(H6326,[1]startdates!$A$2:$A$10,[1]startdates!$B$2:$B$10)</f>
        <v>C</v>
      </c>
      <c r="H6326">
        <v>3</v>
      </c>
      <c r="I6326" s="7">
        <v>601.5</v>
      </c>
      <c r="K6326" s="7">
        <v>419.2</v>
      </c>
      <c r="L6326" s="7">
        <v>449.2</v>
      </c>
      <c r="M6326" s="7">
        <v>356.2</v>
      </c>
      <c r="N6326" s="7">
        <v>273</v>
      </c>
      <c r="O6326" s="7">
        <v>192</v>
      </c>
    </row>
    <row r="6327" spans="1:19" x14ac:dyDescent="0.2">
      <c r="A6327">
        <v>6326</v>
      </c>
      <c r="B6327" s="1">
        <v>40914</v>
      </c>
      <c r="C6327" t="s">
        <v>24</v>
      </c>
      <c r="D6327" s="7">
        <v>174</v>
      </c>
      <c r="E6327" s="7">
        <v>26</v>
      </c>
      <c r="F6327" s="7">
        <f t="shared" si="99"/>
        <v>6</v>
      </c>
      <c r="G6327" s="7" t="str">
        <f>LOOKUP(H6327,[1]startdates!$A$2:$A$10,[1]startdates!$B$2:$B$10)</f>
        <v>C</v>
      </c>
      <c r="H6327">
        <v>3</v>
      </c>
      <c r="I6327" s="7">
        <v>499.5</v>
      </c>
      <c r="K6327" s="7">
        <v>541.20000000000005</v>
      </c>
      <c r="M6327" s="7">
        <v>300</v>
      </c>
      <c r="N6327" s="7">
        <v>225.1</v>
      </c>
      <c r="O6327" s="7">
        <v>167</v>
      </c>
    </row>
    <row r="6328" spans="1:19" x14ac:dyDescent="0.2">
      <c r="A6328">
        <v>6327</v>
      </c>
      <c r="B6328" s="1">
        <v>40914</v>
      </c>
      <c r="C6328" t="s">
        <v>24</v>
      </c>
      <c r="D6328" s="7">
        <v>174</v>
      </c>
      <c r="E6328" s="7">
        <v>26</v>
      </c>
      <c r="F6328" s="7">
        <f t="shared" si="99"/>
        <v>6</v>
      </c>
      <c r="G6328" s="7" t="str">
        <f>LOOKUP(H6328,[1]startdates!$A$2:$A$10,[1]startdates!$B$2:$B$10)</f>
        <v>C</v>
      </c>
      <c r="H6328">
        <v>3</v>
      </c>
      <c r="I6328" s="7">
        <v>593.20000000000005</v>
      </c>
      <c r="K6328" s="7">
        <v>514.79999999999995</v>
      </c>
      <c r="M6328" s="7">
        <v>330.2</v>
      </c>
      <c r="N6328" s="7">
        <v>217.4</v>
      </c>
      <c r="O6328" s="7">
        <v>151.4</v>
      </c>
    </row>
    <row r="6329" spans="1:19" x14ac:dyDescent="0.2">
      <c r="A6329">
        <v>6328</v>
      </c>
      <c r="B6329" s="1">
        <v>40914</v>
      </c>
      <c r="C6329" t="s">
        <v>24</v>
      </c>
      <c r="D6329" s="7">
        <v>174</v>
      </c>
      <c r="E6329" s="7">
        <v>26</v>
      </c>
      <c r="F6329" s="7">
        <f t="shared" si="99"/>
        <v>6</v>
      </c>
      <c r="G6329" s="7" t="str">
        <f>LOOKUP(H6329,[1]startdates!$A$2:$A$10,[1]startdates!$B$2:$B$10)</f>
        <v>C</v>
      </c>
      <c r="H6329">
        <v>3</v>
      </c>
      <c r="I6329" s="7">
        <v>550.4</v>
      </c>
      <c r="K6329" s="7">
        <v>475.9</v>
      </c>
      <c r="M6329" s="7">
        <v>311.60000000000002</v>
      </c>
      <c r="N6329" s="7">
        <v>194.3</v>
      </c>
      <c r="O6329" s="7">
        <v>190.5</v>
      </c>
    </row>
    <row r="6330" spans="1:19" x14ac:dyDescent="0.2">
      <c r="A6330">
        <v>6329</v>
      </c>
      <c r="B6330" s="1">
        <v>40914</v>
      </c>
      <c r="C6330" t="s">
        <v>24</v>
      </c>
      <c r="D6330" s="7">
        <v>174</v>
      </c>
      <c r="E6330" s="7">
        <v>26</v>
      </c>
      <c r="F6330" s="7">
        <f t="shared" si="99"/>
        <v>6</v>
      </c>
      <c r="G6330" s="7" t="str">
        <f>LOOKUP(H6330,[1]startdates!$A$2:$A$10,[1]startdates!$B$2:$B$10)</f>
        <v>C</v>
      </c>
      <c r="H6330">
        <v>3</v>
      </c>
      <c r="I6330" s="7">
        <v>578.20000000000005</v>
      </c>
      <c r="N6330" s="7">
        <v>262.89999999999998</v>
      </c>
      <c r="O6330" s="7">
        <v>175.6</v>
      </c>
    </row>
    <row r="6331" spans="1:19" x14ac:dyDescent="0.2">
      <c r="A6331">
        <v>6330</v>
      </c>
      <c r="B6331" s="1">
        <v>40914</v>
      </c>
      <c r="C6331" t="s">
        <v>24</v>
      </c>
      <c r="D6331" s="7">
        <v>174</v>
      </c>
      <c r="E6331" s="7">
        <v>26</v>
      </c>
      <c r="F6331" s="7">
        <f t="shared" si="99"/>
        <v>6</v>
      </c>
      <c r="G6331" s="7" t="str">
        <f>LOOKUP(H6331,[1]startdates!$A$2:$A$10,[1]startdates!$B$2:$B$10)</f>
        <v>C</v>
      </c>
      <c r="H6331">
        <v>3</v>
      </c>
      <c r="I6331" s="7">
        <v>614.9</v>
      </c>
      <c r="N6331" s="7">
        <v>222.5</v>
      </c>
      <c r="O6331" s="7">
        <v>209.1</v>
      </c>
    </row>
    <row r="6332" spans="1:19" x14ac:dyDescent="0.2">
      <c r="A6332">
        <v>6331</v>
      </c>
      <c r="B6332" s="1">
        <v>40914</v>
      </c>
      <c r="C6332" t="s">
        <v>24</v>
      </c>
      <c r="D6332" s="7">
        <v>174</v>
      </c>
      <c r="E6332" s="7">
        <v>26</v>
      </c>
      <c r="F6332" s="7">
        <f t="shared" si="99"/>
        <v>6</v>
      </c>
      <c r="G6332" s="7" t="str">
        <f>LOOKUP(H6332,[1]startdates!$A$2:$A$10,[1]startdates!$B$2:$B$10)</f>
        <v>C</v>
      </c>
      <c r="H6332">
        <v>3</v>
      </c>
      <c r="I6332" s="7">
        <v>578.20000000000005</v>
      </c>
      <c r="N6332" s="7">
        <v>212.5</v>
      </c>
      <c r="O6332" s="7">
        <v>186.2</v>
      </c>
    </row>
    <row r="6333" spans="1:19" x14ac:dyDescent="0.2">
      <c r="A6333">
        <v>6332</v>
      </c>
      <c r="B6333" s="1">
        <v>40914</v>
      </c>
      <c r="C6333" t="s">
        <v>24</v>
      </c>
      <c r="D6333" s="7">
        <v>174</v>
      </c>
      <c r="E6333" s="7">
        <v>26</v>
      </c>
      <c r="F6333" s="7">
        <f t="shared" si="99"/>
        <v>6</v>
      </c>
      <c r="G6333" s="7" t="str">
        <f>LOOKUP(H6333,[1]startdates!$A$2:$A$10,[1]startdates!$B$2:$B$10)</f>
        <v>C</v>
      </c>
      <c r="H6333">
        <v>3</v>
      </c>
      <c r="I6333" s="7">
        <v>614.9</v>
      </c>
      <c r="N6333" s="7">
        <v>195.1</v>
      </c>
      <c r="O6333" s="7">
        <v>176.2</v>
      </c>
    </row>
    <row r="6334" spans="1:19" x14ac:dyDescent="0.2">
      <c r="A6334">
        <v>6333</v>
      </c>
      <c r="B6334" s="1">
        <v>40914</v>
      </c>
      <c r="C6334" t="s">
        <v>28</v>
      </c>
      <c r="D6334" s="7">
        <v>174</v>
      </c>
      <c r="E6334" s="7">
        <v>26</v>
      </c>
      <c r="F6334" s="7">
        <f t="shared" si="99"/>
        <v>6</v>
      </c>
      <c r="G6334" s="7" t="str">
        <f>LOOKUP(H6334,[1]startdates!$A$2:$A$10,[1]startdates!$B$2:$B$10)</f>
        <v>SMr</v>
      </c>
      <c r="H6334">
        <v>4</v>
      </c>
      <c r="I6334" s="7">
        <v>474.8</v>
      </c>
      <c r="J6334" s="7">
        <v>526.9</v>
      </c>
      <c r="K6334" s="7">
        <v>489.7</v>
      </c>
      <c r="L6334" s="7">
        <v>431.6</v>
      </c>
      <c r="M6334" s="7">
        <v>358</v>
      </c>
      <c r="N6334" s="7">
        <v>210.4</v>
      </c>
      <c r="O6334" s="7">
        <v>138.19999999999999</v>
      </c>
      <c r="Q6334" s="7">
        <v>316.3</v>
      </c>
    </row>
    <row r="6335" spans="1:19" x14ac:dyDescent="0.2">
      <c r="A6335">
        <v>6334</v>
      </c>
      <c r="B6335" s="1">
        <v>40914</v>
      </c>
      <c r="C6335" t="s">
        <v>28</v>
      </c>
      <c r="D6335" s="7">
        <v>174</v>
      </c>
      <c r="E6335" s="7">
        <v>26</v>
      </c>
      <c r="F6335" s="7">
        <f t="shared" si="99"/>
        <v>6</v>
      </c>
      <c r="G6335" s="7" t="str">
        <f>LOOKUP(H6335,[1]startdates!$A$2:$A$10,[1]startdates!$B$2:$B$10)</f>
        <v>SMr</v>
      </c>
      <c r="H6335">
        <v>4</v>
      </c>
      <c r="I6335" s="7">
        <v>544.4</v>
      </c>
      <c r="K6335" s="7">
        <v>472.1</v>
      </c>
      <c r="L6335" s="7">
        <v>399.3</v>
      </c>
      <c r="M6335" s="7">
        <v>348.2</v>
      </c>
      <c r="N6335" s="7">
        <v>261.8</v>
      </c>
      <c r="O6335" s="7">
        <v>144.69999999999999</v>
      </c>
      <c r="Q6335" s="7">
        <v>324.89999999999998</v>
      </c>
    </row>
    <row r="6336" spans="1:19" x14ac:dyDescent="0.2">
      <c r="A6336">
        <v>6335</v>
      </c>
      <c r="B6336" s="1">
        <v>40914</v>
      </c>
      <c r="C6336" t="s">
        <v>28</v>
      </c>
      <c r="D6336" s="7">
        <v>174</v>
      </c>
      <c r="E6336" s="7">
        <v>26</v>
      </c>
      <c r="F6336" s="7">
        <f t="shared" si="99"/>
        <v>6</v>
      </c>
      <c r="G6336" s="7" t="str">
        <f>LOOKUP(H6336,[1]startdates!$A$2:$A$10,[1]startdates!$B$2:$B$10)</f>
        <v>SMr</v>
      </c>
      <c r="H6336">
        <v>4</v>
      </c>
      <c r="I6336" s="7">
        <v>583.1</v>
      </c>
      <c r="K6336" s="7">
        <v>503</v>
      </c>
      <c r="L6336" s="7">
        <v>400.5</v>
      </c>
      <c r="M6336" s="7">
        <v>364.6</v>
      </c>
      <c r="N6336" s="7">
        <v>219.2</v>
      </c>
      <c r="O6336" s="7">
        <v>161.5</v>
      </c>
    </row>
    <row r="6337" spans="1:18" x14ac:dyDescent="0.2">
      <c r="A6337">
        <v>6336</v>
      </c>
      <c r="B6337" s="1">
        <v>40914</v>
      </c>
      <c r="C6337" t="s">
        <v>28</v>
      </c>
      <c r="D6337" s="7">
        <v>174</v>
      </c>
      <c r="E6337" s="7">
        <v>26</v>
      </c>
      <c r="F6337" s="7">
        <f t="shared" si="99"/>
        <v>6</v>
      </c>
      <c r="G6337" s="7" t="str">
        <f>LOOKUP(H6337,[1]startdates!$A$2:$A$10,[1]startdates!$B$2:$B$10)</f>
        <v>SMr</v>
      </c>
      <c r="H6337">
        <v>4</v>
      </c>
      <c r="I6337" s="7">
        <v>573.79999999999995</v>
      </c>
      <c r="L6337" s="7">
        <v>405.1</v>
      </c>
      <c r="M6337" s="7">
        <v>324.89999999999998</v>
      </c>
      <c r="N6337" s="7">
        <v>234.3</v>
      </c>
      <c r="O6337" s="7">
        <v>143.6</v>
      </c>
    </row>
    <row r="6338" spans="1:18" x14ac:dyDescent="0.2">
      <c r="A6338">
        <v>6337</v>
      </c>
      <c r="B6338" s="1">
        <v>40914</v>
      </c>
      <c r="C6338" t="s">
        <v>28</v>
      </c>
      <c r="D6338" s="7">
        <v>174</v>
      </c>
      <c r="E6338" s="7">
        <v>26</v>
      </c>
      <c r="F6338" s="7">
        <f t="shared" si="99"/>
        <v>6</v>
      </c>
      <c r="G6338" s="7" t="str">
        <f>LOOKUP(H6338,[1]startdates!$A$2:$A$10,[1]startdates!$B$2:$B$10)</f>
        <v>SMr</v>
      </c>
      <c r="H6338">
        <v>4</v>
      </c>
      <c r="I6338" s="7">
        <v>475.6</v>
      </c>
      <c r="L6338" s="7">
        <v>411.7</v>
      </c>
      <c r="M6338" s="7">
        <v>355</v>
      </c>
      <c r="N6338" s="7">
        <v>222.5</v>
      </c>
      <c r="O6338" s="7">
        <v>140.69999999999999</v>
      </c>
    </row>
    <row r="6339" spans="1:18" x14ac:dyDescent="0.2">
      <c r="A6339">
        <v>6338</v>
      </c>
      <c r="B6339" s="1">
        <v>40914</v>
      </c>
      <c r="C6339" t="s">
        <v>28</v>
      </c>
      <c r="D6339" s="7">
        <v>174</v>
      </c>
      <c r="E6339" s="7">
        <v>26</v>
      </c>
      <c r="F6339" s="7">
        <f t="shared" si="99"/>
        <v>6</v>
      </c>
      <c r="G6339" s="7" t="str">
        <f>LOOKUP(H6339,[1]startdates!$A$2:$A$10,[1]startdates!$B$2:$B$10)</f>
        <v>SMr</v>
      </c>
      <c r="H6339">
        <v>4</v>
      </c>
      <c r="I6339" s="7">
        <v>576.1</v>
      </c>
      <c r="M6339" s="7">
        <v>313.3</v>
      </c>
      <c r="N6339" s="7">
        <v>180.7</v>
      </c>
      <c r="O6339" s="7">
        <v>156.19999999999999</v>
      </c>
    </row>
    <row r="6340" spans="1:18" x14ac:dyDescent="0.2">
      <c r="A6340">
        <v>6339</v>
      </c>
      <c r="B6340" s="1">
        <v>40914</v>
      </c>
      <c r="C6340" t="s">
        <v>28</v>
      </c>
      <c r="D6340" s="7">
        <v>174</v>
      </c>
      <c r="E6340" s="7">
        <v>26</v>
      </c>
      <c r="F6340" s="7">
        <f t="shared" si="99"/>
        <v>6</v>
      </c>
      <c r="G6340" s="7" t="str">
        <f>LOOKUP(H6340,[1]startdates!$A$2:$A$10,[1]startdates!$B$2:$B$10)</f>
        <v>SMr</v>
      </c>
      <c r="H6340">
        <v>4</v>
      </c>
      <c r="I6340" s="7">
        <v>553.1</v>
      </c>
      <c r="M6340" s="7">
        <v>331.6</v>
      </c>
      <c r="N6340" s="7">
        <v>226</v>
      </c>
      <c r="O6340" s="7">
        <v>158.4</v>
      </c>
    </row>
    <row r="6341" spans="1:18" x14ac:dyDescent="0.2">
      <c r="A6341">
        <v>6340</v>
      </c>
      <c r="B6341" s="1">
        <v>40914</v>
      </c>
      <c r="C6341" t="s">
        <v>28</v>
      </c>
      <c r="D6341" s="7">
        <v>174</v>
      </c>
      <c r="E6341" s="7">
        <v>26</v>
      </c>
      <c r="F6341" s="7">
        <f t="shared" si="99"/>
        <v>6</v>
      </c>
      <c r="G6341" s="7" t="str">
        <f>LOOKUP(H6341,[1]startdates!$A$2:$A$10,[1]startdates!$B$2:$B$10)</f>
        <v>SMr</v>
      </c>
      <c r="H6341">
        <v>4</v>
      </c>
      <c r="I6341" s="7">
        <v>498.6</v>
      </c>
      <c r="M6341" s="7">
        <v>375.4</v>
      </c>
      <c r="N6341" s="7">
        <v>228.9</v>
      </c>
      <c r="O6341" s="7">
        <v>156.80000000000001</v>
      </c>
    </row>
    <row r="6342" spans="1:18" x14ac:dyDescent="0.2">
      <c r="A6342">
        <v>6341</v>
      </c>
      <c r="B6342" s="1">
        <v>40914</v>
      </c>
      <c r="C6342" t="s">
        <v>28</v>
      </c>
      <c r="D6342" s="7">
        <v>174</v>
      </c>
      <c r="E6342" s="7">
        <v>26</v>
      </c>
      <c r="F6342" s="7">
        <f t="shared" si="99"/>
        <v>6</v>
      </c>
      <c r="G6342" s="7" t="str">
        <f>LOOKUP(H6342,[1]startdates!$A$2:$A$10,[1]startdates!$B$2:$B$10)</f>
        <v>SMr</v>
      </c>
      <c r="H6342">
        <v>4</v>
      </c>
      <c r="I6342" s="7">
        <v>509</v>
      </c>
      <c r="M6342" s="7">
        <v>337.8</v>
      </c>
      <c r="N6342" s="7">
        <v>226.1</v>
      </c>
      <c r="O6342" s="7">
        <v>157.4</v>
      </c>
    </row>
    <row r="6343" spans="1:18" x14ac:dyDescent="0.2">
      <c r="A6343">
        <v>6342</v>
      </c>
      <c r="B6343" s="1">
        <v>40914</v>
      </c>
      <c r="C6343" t="s">
        <v>28</v>
      </c>
      <c r="D6343" s="7">
        <v>174</v>
      </c>
      <c r="E6343" s="7">
        <v>26</v>
      </c>
      <c r="F6343" s="7">
        <f t="shared" si="99"/>
        <v>6</v>
      </c>
      <c r="G6343" s="7" t="str">
        <f>LOOKUP(H6343,[1]startdates!$A$2:$A$10,[1]startdates!$B$2:$B$10)</f>
        <v>SMr</v>
      </c>
      <c r="H6343">
        <v>4</v>
      </c>
      <c r="I6343" s="7">
        <v>577.70000000000005</v>
      </c>
      <c r="M6343" s="7">
        <v>344.6</v>
      </c>
      <c r="N6343" s="7">
        <v>191.5</v>
      </c>
      <c r="O6343" s="7">
        <v>175</v>
      </c>
    </row>
    <row r="6344" spans="1:18" x14ac:dyDescent="0.2">
      <c r="A6344">
        <v>6343</v>
      </c>
      <c r="B6344" s="1">
        <v>40914</v>
      </c>
      <c r="C6344" t="s">
        <v>28</v>
      </c>
      <c r="D6344" s="7">
        <v>174</v>
      </c>
      <c r="E6344" s="7">
        <v>26</v>
      </c>
      <c r="F6344" s="7">
        <f t="shared" si="99"/>
        <v>6</v>
      </c>
      <c r="G6344" s="7" t="str">
        <f>LOOKUP(H6344,[1]startdates!$A$2:$A$10,[1]startdates!$B$2:$B$10)</f>
        <v>SMr</v>
      </c>
      <c r="H6344">
        <v>4</v>
      </c>
      <c r="I6344" s="7">
        <v>496.9</v>
      </c>
      <c r="N6344" s="7">
        <v>243.1</v>
      </c>
    </row>
    <row r="6345" spans="1:18" x14ac:dyDescent="0.2">
      <c r="A6345">
        <v>6344</v>
      </c>
      <c r="B6345" s="1">
        <v>40914</v>
      </c>
      <c r="C6345" t="s">
        <v>24</v>
      </c>
      <c r="D6345" s="7">
        <v>174</v>
      </c>
      <c r="E6345" s="7">
        <v>26</v>
      </c>
      <c r="F6345" s="7">
        <f t="shared" si="99"/>
        <v>6</v>
      </c>
      <c r="G6345" s="7" t="str">
        <f>LOOKUP(H6345,[1]startdates!$A$2:$A$10,[1]startdates!$B$2:$B$10)</f>
        <v>C</v>
      </c>
      <c r="H6345">
        <v>5</v>
      </c>
      <c r="I6345" s="7">
        <v>698.8</v>
      </c>
      <c r="J6345" s="7">
        <v>440</v>
      </c>
      <c r="K6345" s="7">
        <v>649.79999999999995</v>
      </c>
      <c r="L6345" s="7">
        <v>402.7</v>
      </c>
      <c r="M6345" s="7">
        <v>369.8</v>
      </c>
      <c r="N6345" s="7">
        <v>199.3</v>
      </c>
      <c r="O6345" s="7">
        <v>166.9</v>
      </c>
      <c r="P6345" s="7">
        <v>440.5</v>
      </c>
      <c r="R6345" s="7">
        <v>318.3</v>
      </c>
    </row>
    <row r="6346" spans="1:18" x14ac:dyDescent="0.2">
      <c r="A6346">
        <v>6345</v>
      </c>
      <c r="B6346" s="1">
        <v>40914</v>
      </c>
      <c r="C6346" t="s">
        <v>24</v>
      </c>
      <c r="D6346" s="7">
        <v>174</v>
      </c>
      <c r="E6346" s="7">
        <v>26</v>
      </c>
      <c r="F6346" s="7">
        <f t="shared" si="99"/>
        <v>6</v>
      </c>
      <c r="G6346" s="7" t="str">
        <f>LOOKUP(H6346,[1]startdates!$A$2:$A$10,[1]startdates!$B$2:$B$10)</f>
        <v>C</v>
      </c>
      <c r="H6346">
        <v>5</v>
      </c>
      <c r="I6346" s="7">
        <v>598.6</v>
      </c>
      <c r="J6346" s="7">
        <v>416.6</v>
      </c>
      <c r="K6346" s="7">
        <v>536.29999999999995</v>
      </c>
      <c r="L6346" s="7">
        <v>387.4</v>
      </c>
      <c r="M6346" s="7">
        <v>385.5</v>
      </c>
      <c r="N6346" s="7">
        <v>262.2</v>
      </c>
      <c r="O6346" s="7">
        <v>175.4</v>
      </c>
      <c r="P6346" s="7">
        <v>446.3</v>
      </c>
    </row>
    <row r="6347" spans="1:18" x14ac:dyDescent="0.2">
      <c r="A6347">
        <v>6346</v>
      </c>
      <c r="B6347" s="1">
        <v>40914</v>
      </c>
      <c r="C6347" t="s">
        <v>24</v>
      </c>
      <c r="D6347" s="7">
        <v>174</v>
      </c>
      <c r="E6347" s="7">
        <v>26</v>
      </c>
      <c r="F6347" s="7">
        <f t="shared" si="99"/>
        <v>6</v>
      </c>
      <c r="G6347" s="7" t="str">
        <f>LOOKUP(H6347,[1]startdates!$A$2:$A$10,[1]startdates!$B$2:$B$10)</f>
        <v>C</v>
      </c>
      <c r="H6347">
        <v>5</v>
      </c>
      <c r="I6347" s="7">
        <v>616.4</v>
      </c>
      <c r="J6347" s="7">
        <v>519.6</v>
      </c>
      <c r="K6347" s="7">
        <v>448.9</v>
      </c>
      <c r="L6347" s="7">
        <v>413.6</v>
      </c>
      <c r="M6347" s="7">
        <v>291.60000000000002</v>
      </c>
      <c r="N6347" s="7">
        <v>232</v>
      </c>
      <c r="O6347" s="7">
        <v>163.5</v>
      </c>
      <c r="P6347" s="7">
        <v>441.3</v>
      </c>
    </row>
    <row r="6348" spans="1:18" x14ac:dyDescent="0.2">
      <c r="A6348">
        <v>6347</v>
      </c>
      <c r="B6348" s="1">
        <v>40914</v>
      </c>
      <c r="C6348" t="s">
        <v>24</v>
      </c>
      <c r="D6348" s="7">
        <v>174</v>
      </c>
      <c r="E6348" s="7">
        <v>26</v>
      </c>
      <c r="F6348" s="7">
        <f t="shared" si="99"/>
        <v>6</v>
      </c>
      <c r="G6348" s="7" t="str">
        <f>LOOKUP(H6348,[1]startdates!$A$2:$A$10,[1]startdates!$B$2:$B$10)</f>
        <v>C</v>
      </c>
      <c r="H6348">
        <v>5</v>
      </c>
      <c r="I6348" s="7">
        <v>629.1</v>
      </c>
      <c r="K6348" s="7">
        <v>525.5</v>
      </c>
      <c r="M6348" s="7">
        <v>303</v>
      </c>
      <c r="N6348" s="7">
        <v>220.9</v>
      </c>
      <c r="O6348" s="7">
        <v>171.3</v>
      </c>
      <c r="P6348" s="7">
        <v>450.8</v>
      </c>
    </row>
    <row r="6349" spans="1:18" x14ac:dyDescent="0.2">
      <c r="A6349">
        <v>6348</v>
      </c>
      <c r="B6349" s="1">
        <v>40914</v>
      </c>
      <c r="C6349" t="s">
        <v>24</v>
      </c>
      <c r="D6349" s="7">
        <v>174</v>
      </c>
      <c r="E6349" s="7">
        <v>26</v>
      </c>
      <c r="F6349" s="7">
        <f t="shared" si="99"/>
        <v>6</v>
      </c>
      <c r="G6349" s="7" t="str">
        <f>LOOKUP(H6349,[1]startdates!$A$2:$A$10,[1]startdates!$B$2:$B$10)</f>
        <v>C</v>
      </c>
      <c r="H6349">
        <v>5</v>
      </c>
      <c r="I6349" s="7">
        <v>676</v>
      </c>
      <c r="K6349" s="7">
        <v>617.20000000000005</v>
      </c>
      <c r="M6349" s="7">
        <v>297.5</v>
      </c>
      <c r="N6349" s="7">
        <v>217.7</v>
      </c>
      <c r="O6349" s="7">
        <v>169.5</v>
      </c>
    </row>
    <row r="6350" spans="1:18" x14ac:dyDescent="0.2">
      <c r="A6350">
        <v>6349</v>
      </c>
      <c r="B6350" s="1">
        <v>40914</v>
      </c>
      <c r="C6350" t="s">
        <v>24</v>
      </c>
      <c r="D6350" s="7">
        <v>174</v>
      </c>
      <c r="E6350" s="7">
        <v>26</v>
      </c>
      <c r="F6350" s="7">
        <f t="shared" si="99"/>
        <v>6</v>
      </c>
      <c r="G6350" s="7" t="str">
        <f>LOOKUP(H6350,[1]startdates!$A$2:$A$10,[1]startdates!$B$2:$B$10)</f>
        <v>C</v>
      </c>
      <c r="H6350">
        <v>5</v>
      </c>
      <c r="I6350" s="7">
        <v>648.4</v>
      </c>
      <c r="K6350" s="7">
        <v>516.29999999999995</v>
      </c>
      <c r="M6350" s="7">
        <v>328.2</v>
      </c>
      <c r="N6350" s="7">
        <v>250</v>
      </c>
      <c r="O6350" s="7">
        <v>161</v>
      </c>
    </row>
    <row r="6351" spans="1:18" x14ac:dyDescent="0.2">
      <c r="A6351">
        <v>6350</v>
      </c>
      <c r="B6351" s="1">
        <v>40914</v>
      </c>
      <c r="C6351" t="s">
        <v>24</v>
      </c>
      <c r="D6351" s="7">
        <v>174</v>
      </c>
      <c r="E6351" s="7">
        <v>26</v>
      </c>
      <c r="F6351" s="7">
        <f t="shared" si="99"/>
        <v>6</v>
      </c>
      <c r="G6351" s="7" t="str">
        <f>LOOKUP(H6351,[1]startdates!$A$2:$A$10,[1]startdates!$B$2:$B$10)</f>
        <v>C</v>
      </c>
      <c r="H6351">
        <v>5</v>
      </c>
      <c r="I6351" s="7">
        <v>632.4</v>
      </c>
      <c r="N6351" s="7">
        <v>170</v>
      </c>
      <c r="O6351" s="7">
        <v>169</v>
      </c>
    </row>
    <row r="6352" spans="1:18" x14ac:dyDescent="0.2">
      <c r="A6352">
        <v>6351</v>
      </c>
      <c r="B6352" s="1">
        <v>40914</v>
      </c>
      <c r="C6352" t="s">
        <v>24</v>
      </c>
      <c r="D6352" s="7">
        <v>174</v>
      </c>
      <c r="E6352" s="7">
        <v>26</v>
      </c>
      <c r="F6352" s="7">
        <f t="shared" si="99"/>
        <v>6</v>
      </c>
      <c r="G6352" s="7" t="str">
        <f>LOOKUP(H6352,[1]startdates!$A$2:$A$10,[1]startdates!$B$2:$B$10)</f>
        <v>C</v>
      </c>
      <c r="H6352">
        <v>5</v>
      </c>
      <c r="I6352" s="7">
        <v>630.6</v>
      </c>
      <c r="N6352" s="7">
        <v>244.8</v>
      </c>
      <c r="O6352" s="7">
        <v>173.4</v>
      </c>
    </row>
    <row r="6353" spans="1:18" x14ac:dyDescent="0.2">
      <c r="A6353">
        <v>6352</v>
      </c>
      <c r="B6353" s="1">
        <v>40914</v>
      </c>
      <c r="C6353" t="s">
        <v>24</v>
      </c>
      <c r="D6353" s="7">
        <v>174</v>
      </c>
      <c r="E6353" s="7">
        <v>26</v>
      </c>
      <c r="F6353" s="7">
        <f t="shared" si="99"/>
        <v>6</v>
      </c>
      <c r="G6353" s="7" t="str">
        <f>LOOKUP(H6353,[1]startdates!$A$2:$A$10,[1]startdates!$B$2:$B$10)</f>
        <v>C</v>
      </c>
      <c r="H6353">
        <v>5</v>
      </c>
      <c r="I6353" s="7">
        <v>649.5</v>
      </c>
      <c r="N6353" s="7">
        <v>223.3</v>
      </c>
      <c r="O6353" s="7">
        <v>173.1</v>
      </c>
    </row>
    <row r="6354" spans="1:18" x14ac:dyDescent="0.2">
      <c r="A6354">
        <v>6353</v>
      </c>
      <c r="B6354" s="1">
        <v>40914</v>
      </c>
      <c r="C6354" t="s">
        <v>24</v>
      </c>
      <c r="D6354" s="7">
        <v>174</v>
      </c>
      <c r="E6354" s="7">
        <v>26</v>
      </c>
      <c r="F6354" s="7">
        <f t="shared" si="99"/>
        <v>6</v>
      </c>
      <c r="G6354" s="7" t="str">
        <f>LOOKUP(H6354,[1]startdates!$A$2:$A$10,[1]startdates!$B$2:$B$10)</f>
        <v>C</v>
      </c>
      <c r="H6354">
        <v>5</v>
      </c>
      <c r="N6354" s="7">
        <v>272.5</v>
      </c>
      <c r="O6354" s="7">
        <v>186.6</v>
      </c>
    </row>
    <row r="6355" spans="1:18" x14ac:dyDescent="0.2">
      <c r="A6355">
        <v>6354</v>
      </c>
      <c r="B6355" s="1">
        <v>40914</v>
      </c>
      <c r="C6355" t="s">
        <v>24</v>
      </c>
      <c r="D6355" s="7">
        <v>174</v>
      </c>
      <c r="E6355" s="7">
        <v>26</v>
      </c>
      <c r="F6355" s="7">
        <f t="shared" si="99"/>
        <v>6</v>
      </c>
      <c r="G6355" s="7" t="str">
        <f>LOOKUP(H6355,[1]startdates!$A$2:$A$10,[1]startdates!$B$2:$B$10)</f>
        <v>FMr</v>
      </c>
      <c r="H6355">
        <v>6</v>
      </c>
      <c r="I6355" s="7">
        <v>604.4</v>
      </c>
      <c r="K6355" s="7">
        <v>412.6</v>
      </c>
      <c r="L6355" s="7">
        <v>438.1</v>
      </c>
      <c r="M6355" s="7">
        <v>396.3</v>
      </c>
      <c r="N6355" s="7">
        <v>235.7</v>
      </c>
      <c r="O6355" s="7">
        <v>146.19999999999999</v>
      </c>
      <c r="P6355" s="7">
        <v>426</v>
      </c>
      <c r="Q6355" s="7">
        <v>344.8</v>
      </c>
      <c r="R6355" s="7">
        <v>305.7</v>
      </c>
    </row>
    <row r="6356" spans="1:18" x14ac:dyDescent="0.2">
      <c r="A6356">
        <v>6355</v>
      </c>
      <c r="B6356" s="1">
        <v>40914</v>
      </c>
      <c r="C6356" t="s">
        <v>24</v>
      </c>
      <c r="D6356" s="7">
        <v>174</v>
      </c>
      <c r="E6356" s="7">
        <v>26</v>
      </c>
      <c r="F6356" s="7">
        <f t="shared" si="99"/>
        <v>6</v>
      </c>
      <c r="G6356" s="7" t="str">
        <f>LOOKUP(H6356,[1]startdates!$A$2:$A$10,[1]startdates!$B$2:$B$10)</f>
        <v>FMr</v>
      </c>
      <c r="H6356">
        <v>6</v>
      </c>
      <c r="I6356" s="7">
        <v>509.2</v>
      </c>
      <c r="K6356" s="7">
        <v>522.9</v>
      </c>
      <c r="M6356" s="7">
        <v>355.7</v>
      </c>
      <c r="N6356" s="7">
        <v>234.4</v>
      </c>
      <c r="O6356" s="7">
        <v>151.4</v>
      </c>
      <c r="P6356" s="7">
        <v>447.2</v>
      </c>
      <c r="Q6356" s="7">
        <v>355</v>
      </c>
      <c r="R6356" s="7">
        <v>262.39999999999998</v>
      </c>
    </row>
    <row r="6357" spans="1:18" x14ac:dyDescent="0.2">
      <c r="A6357">
        <v>6356</v>
      </c>
      <c r="B6357" s="1">
        <v>40914</v>
      </c>
      <c r="C6357" t="s">
        <v>24</v>
      </c>
      <c r="D6357" s="7">
        <v>174</v>
      </c>
      <c r="E6357" s="7">
        <v>26</v>
      </c>
      <c r="F6357" s="7">
        <f t="shared" si="99"/>
        <v>6</v>
      </c>
      <c r="G6357" s="7" t="str">
        <f>LOOKUP(H6357,[1]startdates!$A$2:$A$10,[1]startdates!$B$2:$B$10)</f>
        <v>FMr</v>
      </c>
      <c r="H6357">
        <v>6</v>
      </c>
      <c r="I6357" s="7">
        <v>560.6</v>
      </c>
      <c r="K6357" s="7">
        <v>480</v>
      </c>
      <c r="M6357" s="7">
        <v>355.9</v>
      </c>
      <c r="N6357" s="7">
        <v>205.7</v>
      </c>
      <c r="O6357" s="7">
        <v>166.3</v>
      </c>
    </row>
    <row r="6358" spans="1:18" x14ac:dyDescent="0.2">
      <c r="A6358">
        <v>6357</v>
      </c>
      <c r="B6358" s="1">
        <v>40914</v>
      </c>
      <c r="C6358" t="s">
        <v>24</v>
      </c>
      <c r="D6358" s="7">
        <v>174</v>
      </c>
      <c r="E6358" s="7">
        <v>26</v>
      </c>
      <c r="F6358" s="7">
        <f t="shared" si="99"/>
        <v>6</v>
      </c>
      <c r="G6358" s="7" t="str">
        <f>LOOKUP(H6358,[1]startdates!$A$2:$A$10,[1]startdates!$B$2:$B$10)</f>
        <v>FMr</v>
      </c>
      <c r="H6358">
        <v>6</v>
      </c>
      <c r="I6358" s="7">
        <v>568.6</v>
      </c>
      <c r="K6358" s="7">
        <v>405.6</v>
      </c>
      <c r="M6358" s="7">
        <v>339.7</v>
      </c>
      <c r="N6358" s="7">
        <v>211.4</v>
      </c>
      <c r="O6358" s="7">
        <v>182.8</v>
      </c>
    </row>
    <row r="6359" spans="1:18" x14ac:dyDescent="0.2">
      <c r="A6359">
        <v>6358</v>
      </c>
      <c r="B6359" s="1">
        <v>40914</v>
      </c>
      <c r="C6359" t="s">
        <v>24</v>
      </c>
      <c r="D6359" s="7">
        <v>174</v>
      </c>
      <c r="E6359" s="7">
        <v>26</v>
      </c>
      <c r="F6359" s="7">
        <f t="shared" si="99"/>
        <v>6</v>
      </c>
      <c r="G6359" s="7" t="str">
        <f>LOOKUP(H6359,[1]startdates!$A$2:$A$10,[1]startdates!$B$2:$B$10)</f>
        <v>FMr</v>
      </c>
      <c r="H6359">
        <v>6</v>
      </c>
      <c r="I6359" s="7">
        <v>596.9</v>
      </c>
      <c r="K6359" s="7">
        <v>497.1</v>
      </c>
      <c r="M6359" s="7">
        <v>378.9</v>
      </c>
      <c r="N6359" s="7">
        <v>196.5</v>
      </c>
      <c r="O6359" s="7">
        <v>156.6</v>
      </c>
    </row>
    <row r="6360" spans="1:18" x14ac:dyDescent="0.2">
      <c r="A6360">
        <v>6359</v>
      </c>
      <c r="B6360" s="1">
        <v>40914</v>
      </c>
      <c r="C6360" t="s">
        <v>24</v>
      </c>
      <c r="D6360" s="7">
        <v>174</v>
      </c>
      <c r="E6360" s="7">
        <v>26</v>
      </c>
      <c r="F6360" s="7">
        <f t="shared" si="99"/>
        <v>6</v>
      </c>
      <c r="G6360" s="7" t="str">
        <f>LOOKUP(H6360,[1]startdates!$A$2:$A$10,[1]startdates!$B$2:$B$10)</f>
        <v>FMr</v>
      </c>
      <c r="H6360">
        <v>6</v>
      </c>
      <c r="I6360" s="7">
        <v>643.4</v>
      </c>
      <c r="K6360" s="7">
        <v>518.1</v>
      </c>
      <c r="M6360" s="7">
        <v>368.6</v>
      </c>
      <c r="N6360" s="7">
        <v>265.5</v>
      </c>
      <c r="O6360" s="7">
        <v>169.7</v>
      </c>
    </row>
    <row r="6361" spans="1:18" x14ac:dyDescent="0.2">
      <c r="A6361">
        <v>6360</v>
      </c>
      <c r="B6361" s="1">
        <v>40914</v>
      </c>
      <c r="C6361" t="s">
        <v>24</v>
      </c>
      <c r="D6361" s="7">
        <v>174</v>
      </c>
      <c r="E6361" s="7">
        <v>26</v>
      </c>
      <c r="F6361" s="7">
        <f t="shared" si="99"/>
        <v>6</v>
      </c>
      <c r="G6361" s="7" t="str">
        <f>LOOKUP(H6361,[1]startdates!$A$2:$A$10,[1]startdates!$B$2:$B$10)</f>
        <v>FMr</v>
      </c>
      <c r="H6361">
        <v>6</v>
      </c>
      <c r="I6361" s="7">
        <v>545.70000000000005</v>
      </c>
      <c r="K6361" s="7">
        <v>507.3</v>
      </c>
      <c r="N6361" s="7">
        <v>202.6</v>
      </c>
      <c r="O6361" s="7">
        <v>140.30000000000001</v>
      </c>
    </row>
    <row r="6362" spans="1:18" x14ac:dyDescent="0.2">
      <c r="A6362">
        <v>6361</v>
      </c>
      <c r="B6362" s="1">
        <v>40914</v>
      </c>
      <c r="C6362" t="s">
        <v>24</v>
      </c>
      <c r="D6362" s="7">
        <v>174</v>
      </c>
      <c r="E6362" s="7">
        <v>26</v>
      </c>
      <c r="F6362" s="7">
        <f t="shared" si="99"/>
        <v>6</v>
      </c>
      <c r="G6362" s="7" t="str">
        <f>LOOKUP(H6362,[1]startdates!$A$2:$A$10,[1]startdates!$B$2:$B$10)</f>
        <v>FMr</v>
      </c>
      <c r="H6362">
        <v>6</v>
      </c>
      <c r="I6362" s="7">
        <v>483.8</v>
      </c>
      <c r="N6362" s="7">
        <v>245.7</v>
      </c>
      <c r="O6362" s="7">
        <v>148.19999999999999</v>
      </c>
    </row>
    <row r="6363" spans="1:18" x14ac:dyDescent="0.2">
      <c r="A6363">
        <v>6362</v>
      </c>
      <c r="B6363" s="1">
        <v>40914</v>
      </c>
      <c r="C6363" t="s">
        <v>24</v>
      </c>
      <c r="D6363" s="7">
        <v>174</v>
      </c>
      <c r="E6363" s="7">
        <v>26</v>
      </c>
      <c r="F6363" s="7">
        <f t="shared" si="99"/>
        <v>6</v>
      </c>
      <c r="G6363" s="7" t="str">
        <f>LOOKUP(H6363,[1]startdates!$A$2:$A$10,[1]startdates!$B$2:$B$10)</f>
        <v>FMr</v>
      </c>
      <c r="H6363">
        <v>6</v>
      </c>
      <c r="I6363" s="7">
        <v>497.5</v>
      </c>
      <c r="N6363" s="7">
        <v>227.1</v>
      </c>
      <c r="O6363" s="7">
        <v>153.80000000000001</v>
      </c>
    </row>
    <row r="6364" spans="1:18" x14ac:dyDescent="0.2">
      <c r="A6364">
        <v>6363</v>
      </c>
      <c r="B6364" s="1">
        <v>40914</v>
      </c>
      <c r="C6364" t="s">
        <v>24</v>
      </c>
      <c r="D6364" s="7">
        <v>174</v>
      </c>
      <c r="E6364" s="7">
        <v>26</v>
      </c>
      <c r="F6364" s="7">
        <f t="shared" si="99"/>
        <v>6</v>
      </c>
      <c r="G6364" s="7" t="str">
        <f>LOOKUP(H6364,[1]startdates!$A$2:$A$10,[1]startdates!$B$2:$B$10)</f>
        <v>FMr</v>
      </c>
      <c r="H6364">
        <v>6</v>
      </c>
      <c r="I6364" s="7">
        <v>617.1</v>
      </c>
      <c r="N6364" s="7">
        <v>219.2</v>
      </c>
      <c r="O6364" s="7">
        <v>168.3</v>
      </c>
    </row>
    <row r="6365" spans="1:18" x14ac:dyDescent="0.2">
      <c r="A6365">
        <v>6364</v>
      </c>
      <c r="B6365" s="1">
        <v>40914</v>
      </c>
      <c r="C6365" t="s">
        <v>24</v>
      </c>
      <c r="D6365" s="7">
        <v>174</v>
      </c>
      <c r="E6365" s="7">
        <v>26</v>
      </c>
      <c r="F6365" s="7">
        <f t="shared" si="99"/>
        <v>6</v>
      </c>
      <c r="G6365" s="7" t="str">
        <f>LOOKUP(H6365,[1]startdates!$A$2:$A$10,[1]startdates!$B$2:$B$10)</f>
        <v>FMr</v>
      </c>
      <c r="H6365">
        <v>6</v>
      </c>
      <c r="I6365" s="7">
        <v>597.79999999999995</v>
      </c>
    </row>
    <row r="6366" spans="1:18" x14ac:dyDescent="0.2">
      <c r="A6366">
        <v>6365</v>
      </c>
      <c r="B6366" s="1">
        <v>40914</v>
      </c>
      <c r="C6366" t="s">
        <v>24</v>
      </c>
      <c r="D6366" s="7">
        <v>174</v>
      </c>
      <c r="E6366" s="7">
        <v>26</v>
      </c>
      <c r="F6366" s="7">
        <f t="shared" si="99"/>
        <v>6</v>
      </c>
      <c r="G6366" s="7" t="str">
        <f>LOOKUP(H6366,[1]startdates!$A$2:$A$10,[1]startdates!$B$2:$B$10)</f>
        <v>FMr</v>
      </c>
      <c r="H6366">
        <v>6</v>
      </c>
      <c r="I6366" s="7">
        <v>682.3</v>
      </c>
    </row>
    <row r="6367" spans="1:18" x14ac:dyDescent="0.2">
      <c r="A6367">
        <v>6366</v>
      </c>
      <c r="B6367" s="1">
        <v>40914</v>
      </c>
      <c r="C6367" t="s">
        <v>24</v>
      </c>
      <c r="D6367" s="7">
        <v>174</v>
      </c>
      <c r="E6367" s="7">
        <v>26</v>
      </c>
      <c r="F6367" s="7">
        <f t="shared" si="99"/>
        <v>6</v>
      </c>
      <c r="G6367" s="7" t="str">
        <f>LOOKUP(H6367,[1]startdates!$A$2:$A$10,[1]startdates!$B$2:$B$10)</f>
        <v>FMr</v>
      </c>
      <c r="H6367">
        <v>6</v>
      </c>
      <c r="I6367" s="7">
        <v>535.20000000000005</v>
      </c>
    </row>
    <row r="6368" spans="1:18" x14ac:dyDescent="0.2">
      <c r="A6368">
        <v>6367</v>
      </c>
      <c r="B6368" s="1">
        <v>40914</v>
      </c>
      <c r="C6368" t="s">
        <v>24</v>
      </c>
      <c r="D6368" s="7">
        <v>174</v>
      </c>
      <c r="E6368" s="7">
        <v>26</v>
      </c>
      <c r="F6368" s="7">
        <f t="shared" si="99"/>
        <v>6</v>
      </c>
      <c r="G6368" s="7" t="str">
        <f>LOOKUP(H6368,[1]startdates!$A$2:$A$10,[1]startdates!$B$2:$B$10)</f>
        <v>FMr</v>
      </c>
      <c r="H6368">
        <v>6</v>
      </c>
      <c r="I6368" s="7">
        <v>539.1</v>
      </c>
    </row>
    <row r="6369" spans="1:18" x14ac:dyDescent="0.2">
      <c r="A6369">
        <v>6368</v>
      </c>
      <c r="B6369" s="1">
        <v>40914</v>
      </c>
      <c r="C6369" t="s">
        <v>24</v>
      </c>
      <c r="D6369" s="7">
        <v>174</v>
      </c>
      <c r="E6369" s="7">
        <v>26</v>
      </c>
      <c r="F6369" s="7">
        <f t="shared" si="99"/>
        <v>6</v>
      </c>
      <c r="G6369" s="7" t="str">
        <f>LOOKUP(H6369,[1]startdates!$A$2:$A$10,[1]startdates!$B$2:$B$10)</f>
        <v>FMr</v>
      </c>
      <c r="H6369">
        <v>6</v>
      </c>
      <c r="I6369" s="7">
        <v>545.4</v>
      </c>
    </row>
    <row r="6370" spans="1:18" x14ac:dyDescent="0.2">
      <c r="A6370">
        <v>6369</v>
      </c>
      <c r="B6370" s="1">
        <v>40914</v>
      </c>
      <c r="C6370" t="s">
        <v>28</v>
      </c>
      <c r="D6370" s="7">
        <v>174</v>
      </c>
      <c r="E6370" s="7">
        <v>26</v>
      </c>
      <c r="F6370" s="7">
        <f t="shared" si="99"/>
        <v>6</v>
      </c>
      <c r="G6370" s="7" t="str">
        <f>LOOKUP(H6370,[1]startdates!$A$2:$A$10,[1]startdates!$B$2:$B$10)</f>
        <v>FMr</v>
      </c>
      <c r="H6370">
        <v>7</v>
      </c>
      <c r="I6370" s="7">
        <v>523.6</v>
      </c>
      <c r="J6370" s="7">
        <v>511.5</v>
      </c>
      <c r="K6370" s="7">
        <v>553.70000000000005</v>
      </c>
      <c r="L6370" s="7">
        <v>397.8</v>
      </c>
      <c r="M6370" s="7">
        <v>320.2</v>
      </c>
      <c r="N6370" s="7">
        <v>207.4</v>
      </c>
      <c r="O6370" s="7">
        <v>171.7</v>
      </c>
      <c r="P6370" s="7">
        <v>441.3</v>
      </c>
      <c r="Q6370" s="7">
        <v>342</v>
      </c>
      <c r="R6370" s="7">
        <v>261.5</v>
      </c>
    </row>
    <row r="6371" spans="1:18" x14ac:dyDescent="0.2">
      <c r="A6371">
        <v>6370</v>
      </c>
      <c r="B6371" s="1">
        <v>40914</v>
      </c>
      <c r="C6371" t="s">
        <v>28</v>
      </c>
      <c r="D6371" s="7">
        <v>174</v>
      </c>
      <c r="E6371" s="7">
        <v>26</v>
      </c>
      <c r="F6371" s="7">
        <f t="shared" si="99"/>
        <v>6</v>
      </c>
      <c r="G6371" s="7" t="str">
        <f>LOOKUP(H6371,[1]startdates!$A$2:$A$10,[1]startdates!$B$2:$B$10)</f>
        <v>FMr</v>
      </c>
      <c r="H6371">
        <v>7</v>
      </c>
      <c r="I6371" s="7">
        <v>625.4</v>
      </c>
      <c r="J6371" s="7">
        <v>546.70000000000005</v>
      </c>
      <c r="K6371" s="7">
        <v>536.70000000000005</v>
      </c>
      <c r="L6371" s="7">
        <v>466</v>
      </c>
      <c r="M6371" s="7">
        <v>313.7</v>
      </c>
      <c r="N6371" s="7">
        <v>221.5</v>
      </c>
      <c r="O6371" s="7">
        <v>158.6</v>
      </c>
      <c r="P6371" s="7">
        <v>419.7</v>
      </c>
      <c r="Q6371" s="7">
        <v>343</v>
      </c>
      <c r="R6371" s="7">
        <v>241</v>
      </c>
    </row>
    <row r="6372" spans="1:18" x14ac:dyDescent="0.2">
      <c r="A6372">
        <v>6371</v>
      </c>
      <c r="B6372" s="1">
        <v>40914</v>
      </c>
      <c r="C6372" t="s">
        <v>28</v>
      </c>
      <c r="D6372" s="7">
        <v>174</v>
      </c>
      <c r="E6372" s="7">
        <v>26</v>
      </c>
      <c r="F6372" s="7">
        <f t="shared" si="99"/>
        <v>6</v>
      </c>
      <c r="G6372" s="7" t="str">
        <f>LOOKUP(H6372,[1]startdates!$A$2:$A$10,[1]startdates!$B$2:$B$10)</f>
        <v>FMr</v>
      </c>
      <c r="H6372">
        <v>7</v>
      </c>
      <c r="I6372" s="7">
        <v>656.5</v>
      </c>
      <c r="K6372" s="7">
        <v>529.29999999999995</v>
      </c>
      <c r="L6372" s="7">
        <v>418.8</v>
      </c>
      <c r="M6372" s="7">
        <v>325.2</v>
      </c>
      <c r="N6372" s="7">
        <v>237.1</v>
      </c>
      <c r="O6372" s="7">
        <v>144</v>
      </c>
      <c r="Q6372" s="7">
        <v>319.2</v>
      </c>
    </row>
    <row r="6373" spans="1:18" x14ac:dyDescent="0.2">
      <c r="A6373">
        <v>6372</v>
      </c>
      <c r="B6373" s="1">
        <v>40914</v>
      </c>
      <c r="C6373" t="s">
        <v>28</v>
      </c>
      <c r="D6373" s="7">
        <v>174</v>
      </c>
      <c r="E6373" s="7">
        <v>26</v>
      </c>
      <c r="F6373" s="7">
        <f t="shared" si="99"/>
        <v>6</v>
      </c>
      <c r="G6373" s="7" t="str">
        <f>LOOKUP(H6373,[1]startdates!$A$2:$A$10,[1]startdates!$B$2:$B$10)</f>
        <v>FMr</v>
      </c>
      <c r="H6373">
        <v>7</v>
      </c>
      <c r="I6373" s="7">
        <v>549</v>
      </c>
      <c r="K6373" s="7">
        <v>518.4</v>
      </c>
      <c r="L6373" s="7">
        <v>414.6</v>
      </c>
      <c r="M6373" s="7">
        <v>305.3</v>
      </c>
      <c r="N6373" s="7">
        <v>171.3</v>
      </c>
      <c r="O6373" s="7">
        <v>156.80000000000001</v>
      </c>
    </row>
    <row r="6374" spans="1:18" x14ac:dyDescent="0.2">
      <c r="A6374">
        <v>6373</v>
      </c>
      <c r="B6374" s="1">
        <v>40914</v>
      </c>
      <c r="C6374" t="s">
        <v>28</v>
      </c>
      <c r="D6374" s="7">
        <v>174</v>
      </c>
      <c r="E6374" s="7">
        <v>26</v>
      </c>
      <c r="F6374" s="7">
        <f t="shared" si="99"/>
        <v>6</v>
      </c>
      <c r="G6374" s="7" t="str">
        <f>LOOKUP(H6374,[1]startdates!$A$2:$A$10,[1]startdates!$B$2:$B$10)</f>
        <v>FMr</v>
      </c>
      <c r="H6374">
        <v>7</v>
      </c>
      <c r="I6374" s="7">
        <v>471.3</v>
      </c>
      <c r="K6374" s="7">
        <v>519.20000000000005</v>
      </c>
      <c r="M6374" s="7">
        <v>325.5</v>
      </c>
      <c r="N6374" s="7">
        <v>232.1</v>
      </c>
      <c r="O6374" s="7">
        <v>179.8</v>
      </c>
    </row>
    <row r="6375" spans="1:18" x14ac:dyDescent="0.2">
      <c r="A6375">
        <v>6374</v>
      </c>
      <c r="B6375" s="1">
        <v>40914</v>
      </c>
      <c r="C6375" t="s">
        <v>28</v>
      </c>
      <c r="D6375" s="7">
        <v>174</v>
      </c>
      <c r="E6375" s="7">
        <v>26</v>
      </c>
      <c r="F6375" s="7">
        <f t="shared" si="99"/>
        <v>6</v>
      </c>
      <c r="G6375" s="7" t="str">
        <f>LOOKUP(H6375,[1]startdates!$A$2:$A$10,[1]startdates!$B$2:$B$10)</f>
        <v>FMr</v>
      </c>
      <c r="H6375">
        <v>7</v>
      </c>
      <c r="I6375" s="7">
        <v>541.6</v>
      </c>
      <c r="K6375" s="7">
        <v>511.6</v>
      </c>
      <c r="M6375" s="7">
        <v>349.2</v>
      </c>
      <c r="N6375" s="7">
        <v>204.5</v>
      </c>
      <c r="O6375" s="7">
        <v>153.80000000000001</v>
      </c>
    </row>
    <row r="6376" spans="1:18" x14ac:dyDescent="0.2">
      <c r="A6376">
        <v>6375</v>
      </c>
      <c r="B6376" s="1">
        <v>40914</v>
      </c>
      <c r="C6376" t="s">
        <v>28</v>
      </c>
      <c r="D6376" s="7">
        <v>174</v>
      </c>
      <c r="E6376" s="7">
        <v>26</v>
      </c>
      <c r="F6376" s="7">
        <f t="shared" si="99"/>
        <v>6</v>
      </c>
      <c r="G6376" s="7" t="str">
        <f>LOOKUP(H6376,[1]startdates!$A$2:$A$10,[1]startdates!$B$2:$B$10)</f>
        <v>FMr</v>
      </c>
      <c r="H6376">
        <v>7</v>
      </c>
      <c r="I6376" s="7">
        <v>619.79999999999995</v>
      </c>
      <c r="K6376" s="7">
        <v>526.9</v>
      </c>
      <c r="M6376" s="7">
        <v>348.9</v>
      </c>
      <c r="N6376" s="7">
        <v>232.4</v>
      </c>
      <c r="O6376" s="7">
        <v>163.5</v>
      </c>
    </row>
    <row r="6377" spans="1:18" x14ac:dyDescent="0.2">
      <c r="A6377">
        <v>6376</v>
      </c>
      <c r="B6377" s="1">
        <v>40914</v>
      </c>
      <c r="C6377" t="s">
        <v>28</v>
      </c>
      <c r="D6377" s="7">
        <v>174</v>
      </c>
      <c r="E6377" s="7">
        <v>26</v>
      </c>
      <c r="F6377" s="7">
        <f t="shared" ref="F6377:F6440" si="100">WEEKDAY(B6377)</f>
        <v>6</v>
      </c>
      <c r="G6377" s="7" t="str">
        <f>LOOKUP(H6377,[1]startdates!$A$2:$A$10,[1]startdates!$B$2:$B$10)</f>
        <v>FMr</v>
      </c>
      <c r="H6377">
        <v>7</v>
      </c>
      <c r="I6377" s="7">
        <v>588.20000000000005</v>
      </c>
      <c r="M6377" s="7">
        <v>345.6</v>
      </c>
      <c r="N6377" s="7">
        <v>197.1</v>
      </c>
      <c r="O6377" s="7">
        <v>163</v>
      </c>
    </row>
    <row r="6378" spans="1:18" x14ac:dyDescent="0.2">
      <c r="A6378">
        <v>6377</v>
      </c>
      <c r="B6378" s="1">
        <v>40914</v>
      </c>
      <c r="C6378" t="s">
        <v>28</v>
      </c>
      <c r="D6378" s="7">
        <v>174</v>
      </c>
      <c r="E6378" s="7">
        <v>26</v>
      </c>
      <c r="F6378" s="7">
        <f t="shared" si="100"/>
        <v>6</v>
      </c>
      <c r="G6378" s="7" t="str">
        <f>LOOKUP(H6378,[1]startdates!$A$2:$A$10,[1]startdates!$B$2:$B$10)</f>
        <v>FMr</v>
      </c>
      <c r="H6378">
        <v>7</v>
      </c>
      <c r="I6378" s="7">
        <v>568.1</v>
      </c>
      <c r="M6378" s="7">
        <v>305.10000000000002</v>
      </c>
      <c r="N6378" s="7">
        <v>234</v>
      </c>
      <c r="O6378" s="7">
        <v>135</v>
      </c>
    </row>
    <row r="6379" spans="1:18" x14ac:dyDescent="0.2">
      <c r="A6379">
        <v>6378</v>
      </c>
      <c r="B6379" s="1">
        <v>40914</v>
      </c>
      <c r="C6379" t="s">
        <v>28</v>
      </c>
      <c r="D6379" s="7">
        <v>174</v>
      </c>
      <c r="E6379" s="7">
        <v>26</v>
      </c>
      <c r="F6379" s="7">
        <f t="shared" si="100"/>
        <v>6</v>
      </c>
      <c r="G6379" s="7" t="str">
        <f>LOOKUP(H6379,[1]startdates!$A$2:$A$10,[1]startdates!$B$2:$B$10)</f>
        <v>FMr</v>
      </c>
      <c r="H6379">
        <v>7</v>
      </c>
      <c r="I6379" s="7">
        <v>651.20000000000005</v>
      </c>
      <c r="M6379" s="7">
        <v>350.1</v>
      </c>
      <c r="N6379" s="7">
        <v>181.3</v>
      </c>
      <c r="O6379" s="7">
        <v>152.6</v>
      </c>
    </row>
    <row r="6380" spans="1:18" x14ac:dyDescent="0.2">
      <c r="A6380">
        <v>6379</v>
      </c>
      <c r="B6380" s="1">
        <v>40914</v>
      </c>
      <c r="C6380" t="s">
        <v>28</v>
      </c>
      <c r="D6380" s="7">
        <v>174</v>
      </c>
      <c r="E6380" s="7">
        <v>26</v>
      </c>
      <c r="F6380" s="7">
        <f t="shared" si="100"/>
        <v>6</v>
      </c>
      <c r="G6380" s="7" t="str">
        <f>LOOKUP(H6380,[1]startdates!$A$2:$A$10,[1]startdates!$B$2:$B$10)</f>
        <v>FMr</v>
      </c>
      <c r="H6380">
        <v>7</v>
      </c>
      <c r="I6380" s="7">
        <v>590.29999999999995</v>
      </c>
    </row>
    <row r="6381" spans="1:18" x14ac:dyDescent="0.2">
      <c r="A6381">
        <v>6380</v>
      </c>
      <c r="B6381" s="1">
        <v>40914</v>
      </c>
      <c r="C6381" t="s">
        <v>28</v>
      </c>
      <c r="D6381" s="7">
        <v>174</v>
      </c>
      <c r="E6381" s="7">
        <v>26</v>
      </c>
      <c r="F6381" s="7">
        <f t="shared" si="100"/>
        <v>6</v>
      </c>
      <c r="G6381" s="7" t="str">
        <f>LOOKUP(H6381,[1]startdates!$A$2:$A$10,[1]startdates!$B$2:$B$10)</f>
        <v>C</v>
      </c>
      <c r="H6381">
        <v>8</v>
      </c>
      <c r="I6381" s="7">
        <v>646.9</v>
      </c>
      <c r="J6381" s="7">
        <v>500.4</v>
      </c>
      <c r="K6381" s="7">
        <v>500.6</v>
      </c>
      <c r="L6381" s="7">
        <v>396</v>
      </c>
      <c r="M6381" s="7">
        <v>360.8</v>
      </c>
      <c r="N6381" s="7">
        <v>210.4</v>
      </c>
      <c r="O6381" s="7">
        <v>169.7</v>
      </c>
      <c r="Q6381" s="7">
        <v>323.89999999999998</v>
      </c>
    </row>
    <row r="6382" spans="1:18" x14ac:dyDescent="0.2">
      <c r="A6382">
        <v>6381</v>
      </c>
      <c r="B6382" s="1">
        <v>40914</v>
      </c>
      <c r="C6382" t="s">
        <v>28</v>
      </c>
      <c r="D6382" s="7">
        <v>174</v>
      </c>
      <c r="E6382" s="7">
        <v>26</v>
      </c>
      <c r="F6382" s="7">
        <f t="shared" si="100"/>
        <v>6</v>
      </c>
      <c r="G6382" s="7" t="str">
        <f>LOOKUP(H6382,[1]startdates!$A$2:$A$10,[1]startdates!$B$2:$B$10)</f>
        <v>C</v>
      </c>
      <c r="H6382">
        <v>8</v>
      </c>
      <c r="I6382" s="7">
        <v>561.29999999999995</v>
      </c>
      <c r="J6382" s="7">
        <v>505.1</v>
      </c>
      <c r="K6382" s="7">
        <v>562.70000000000005</v>
      </c>
      <c r="M6382" s="7">
        <v>365.2</v>
      </c>
      <c r="N6382" s="7">
        <v>218.9</v>
      </c>
      <c r="O6382" s="7">
        <v>159</v>
      </c>
      <c r="Q6382" s="7">
        <v>345.4</v>
      </c>
    </row>
    <row r="6383" spans="1:18" x14ac:dyDescent="0.2">
      <c r="A6383">
        <v>6382</v>
      </c>
      <c r="B6383" s="1">
        <v>40914</v>
      </c>
      <c r="C6383" t="s">
        <v>28</v>
      </c>
      <c r="D6383" s="7">
        <v>174</v>
      </c>
      <c r="E6383" s="7">
        <v>26</v>
      </c>
      <c r="F6383" s="7">
        <f t="shared" si="100"/>
        <v>6</v>
      </c>
      <c r="G6383" s="7" t="str">
        <f>LOOKUP(H6383,[1]startdates!$A$2:$A$10,[1]startdates!$B$2:$B$10)</f>
        <v>C</v>
      </c>
      <c r="H6383">
        <v>8</v>
      </c>
      <c r="I6383" s="7">
        <v>574.6</v>
      </c>
      <c r="J6383" s="7">
        <v>536.70000000000005</v>
      </c>
      <c r="K6383" s="7">
        <v>556.70000000000005</v>
      </c>
      <c r="M6383" s="7">
        <v>372.9</v>
      </c>
      <c r="N6383" s="7">
        <v>216.1</v>
      </c>
      <c r="O6383" s="7">
        <v>154.80000000000001</v>
      </c>
      <c r="Q6383" s="7">
        <v>339.1</v>
      </c>
    </row>
    <row r="6384" spans="1:18" x14ac:dyDescent="0.2">
      <c r="A6384">
        <v>6383</v>
      </c>
      <c r="B6384" s="1">
        <v>40914</v>
      </c>
      <c r="C6384" t="s">
        <v>28</v>
      </c>
      <c r="D6384" s="7">
        <v>174</v>
      </c>
      <c r="E6384" s="7">
        <v>26</v>
      </c>
      <c r="F6384" s="7">
        <f t="shared" si="100"/>
        <v>6</v>
      </c>
      <c r="G6384" s="7" t="str">
        <f>LOOKUP(H6384,[1]startdates!$A$2:$A$10,[1]startdates!$B$2:$B$10)</f>
        <v>C</v>
      </c>
      <c r="H6384">
        <v>8</v>
      </c>
      <c r="I6384" s="7">
        <v>622.6</v>
      </c>
      <c r="J6384" s="7">
        <v>500.4</v>
      </c>
      <c r="K6384" s="7">
        <v>546.4</v>
      </c>
      <c r="M6384" s="7">
        <v>333.9</v>
      </c>
      <c r="N6384" s="7">
        <v>245.4</v>
      </c>
      <c r="O6384" s="7">
        <v>158.1</v>
      </c>
    </row>
    <row r="6385" spans="1:19" x14ac:dyDescent="0.2">
      <c r="A6385">
        <v>6384</v>
      </c>
      <c r="B6385" s="1">
        <v>40914</v>
      </c>
      <c r="C6385" t="s">
        <v>28</v>
      </c>
      <c r="D6385" s="7">
        <v>174</v>
      </c>
      <c r="E6385" s="7">
        <v>26</v>
      </c>
      <c r="F6385" s="7">
        <f t="shared" si="100"/>
        <v>6</v>
      </c>
      <c r="G6385" s="7" t="str">
        <f>LOOKUP(H6385,[1]startdates!$A$2:$A$10,[1]startdates!$B$2:$B$10)</f>
        <v>C</v>
      </c>
      <c r="H6385">
        <v>8</v>
      </c>
      <c r="I6385" s="7">
        <v>618.20000000000005</v>
      </c>
      <c r="J6385" s="7">
        <v>478.6</v>
      </c>
      <c r="M6385" s="7">
        <v>377.2</v>
      </c>
      <c r="N6385" s="7">
        <v>250.9</v>
      </c>
      <c r="O6385" s="7">
        <v>156</v>
      </c>
    </row>
    <row r="6386" spans="1:19" x14ac:dyDescent="0.2">
      <c r="A6386">
        <v>6385</v>
      </c>
      <c r="B6386" s="1">
        <v>40914</v>
      </c>
      <c r="C6386" t="s">
        <v>28</v>
      </c>
      <c r="D6386" s="7">
        <v>174</v>
      </c>
      <c r="E6386" s="7">
        <v>26</v>
      </c>
      <c r="F6386" s="7">
        <f t="shared" si="100"/>
        <v>6</v>
      </c>
      <c r="G6386" s="7" t="str">
        <f>LOOKUP(H6386,[1]startdates!$A$2:$A$10,[1]startdates!$B$2:$B$10)</f>
        <v>C</v>
      </c>
      <c r="H6386">
        <v>8</v>
      </c>
      <c r="I6386" s="7">
        <v>569.70000000000005</v>
      </c>
      <c r="M6386" s="7">
        <v>338.7</v>
      </c>
      <c r="N6386" s="7">
        <v>250.3</v>
      </c>
      <c r="O6386" s="7">
        <v>163.1</v>
      </c>
    </row>
    <row r="6387" spans="1:19" x14ac:dyDescent="0.2">
      <c r="A6387">
        <v>6386</v>
      </c>
      <c r="B6387" s="1">
        <v>40914</v>
      </c>
      <c r="C6387" t="s">
        <v>28</v>
      </c>
      <c r="D6387" s="7">
        <v>174</v>
      </c>
      <c r="E6387" s="7">
        <v>26</v>
      </c>
      <c r="F6387" s="7">
        <f t="shared" si="100"/>
        <v>6</v>
      </c>
      <c r="G6387" s="7" t="str">
        <f>LOOKUP(H6387,[1]startdates!$A$2:$A$10,[1]startdates!$B$2:$B$10)</f>
        <v>C</v>
      </c>
      <c r="H6387">
        <v>8</v>
      </c>
      <c r="I6387" s="7">
        <v>514.79999999999995</v>
      </c>
      <c r="M6387" s="7">
        <v>310.7</v>
      </c>
      <c r="N6387" s="7">
        <v>229.6</v>
      </c>
      <c r="O6387" s="7">
        <v>169.5</v>
      </c>
    </row>
    <row r="6388" spans="1:19" x14ac:dyDescent="0.2">
      <c r="A6388">
        <v>6387</v>
      </c>
      <c r="B6388" s="1">
        <v>40914</v>
      </c>
      <c r="C6388" t="s">
        <v>28</v>
      </c>
      <c r="D6388" s="7">
        <v>174</v>
      </c>
      <c r="E6388" s="7">
        <v>26</v>
      </c>
      <c r="F6388" s="7">
        <f t="shared" si="100"/>
        <v>6</v>
      </c>
      <c r="G6388" s="7" t="str">
        <f>LOOKUP(H6388,[1]startdates!$A$2:$A$10,[1]startdates!$B$2:$B$10)</f>
        <v>C</v>
      </c>
      <c r="H6388">
        <v>8</v>
      </c>
      <c r="I6388" s="7">
        <v>567.1</v>
      </c>
      <c r="M6388" s="7">
        <v>325.7</v>
      </c>
      <c r="N6388" s="7">
        <v>215.7</v>
      </c>
      <c r="O6388" s="7">
        <v>159.69999999999999</v>
      </c>
    </row>
    <row r="6389" spans="1:19" x14ac:dyDescent="0.2">
      <c r="A6389">
        <v>6388</v>
      </c>
      <c r="B6389" s="1">
        <v>40914</v>
      </c>
      <c r="C6389" t="s">
        <v>28</v>
      </c>
      <c r="D6389" s="7">
        <v>174</v>
      </c>
      <c r="E6389" s="7">
        <v>26</v>
      </c>
      <c r="F6389" s="7">
        <f t="shared" si="100"/>
        <v>6</v>
      </c>
      <c r="G6389" s="7" t="str">
        <f>LOOKUP(H6389,[1]startdates!$A$2:$A$10,[1]startdates!$B$2:$B$10)</f>
        <v>C</v>
      </c>
      <c r="H6389">
        <v>8</v>
      </c>
      <c r="I6389" s="7">
        <v>632.1</v>
      </c>
      <c r="M6389" s="7">
        <v>333</v>
      </c>
      <c r="N6389" s="7">
        <v>197.3</v>
      </c>
      <c r="O6389" s="7">
        <v>151.80000000000001</v>
      </c>
    </row>
    <row r="6390" spans="1:19" x14ac:dyDescent="0.2">
      <c r="A6390">
        <v>6389</v>
      </c>
      <c r="B6390" s="1">
        <v>40914</v>
      </c>
      <c r="C6390" t="s">
        <v>28</v>
      </c>
      <c r="D6390" s="7">
        <v>174</v>
      </c>
      <c r="E6390" s="7">
        <v>26</v>
      </c>
      <c r="F6390" s="7">
        <f t="shared" si="100"/>
        <v>6</v>
      </c>
      <c r="G6390" s="7" t="str">
        <f>LOOKUP(H6390,[1]startdates!$A$2:$A$10,[1]startdates!$B$2:$B$10)</f>
        <v>C</v>
      </c>
      <c r="H6390">
        <v>8</v>
      </c>
      <c r="I6390" s="7">
        <v>597.79999999999995</v>
      </c>
      <c r="M6390" s="7">
        <v>323.5</v>
      </c>
      <c r="N6390" s="7">
        <v>238.1</v>
      </c>
      <c r="O6390" s="7">
        <v>158.1</v>
      </c>
    </row>
    <row r="6391" spans="1:19" x14ac:dyDescent="0.2">
      <c r="A6391">
        <v>6390</v>
      </c>
      <c r="B6391" s="1">
        <v>40914</v>
      </c>
      <c r="C6391" t="s">
        <v>28</v>
      </c>
      <c r="D6391" s="7">
        <v>174</v>
      </c>
      <c r="E6391" s="7">
        <v>26</v>
      </c>
      <c r="F6391" s="7">
        <f t="shared" si="100"/>
        <v>6</v>
      </c>
      <c r="G6391" s="7" t="str">
        <f>LOOKUP(H6391,[1]startdates!$A$2:$A$10,[1]startdates!$B$2:$B$10)</f>
        <v>C</v>
      </c>
      <c r="H6391">
        <v>8</v>
      </c>
      <c r="I6391" s="7">
        <v>648.4</v>
      </c>
      <c r="N6391" s="7">
        <v>270</v>
      </c>
    </row>
    <row r="6392" spans="1:19" x14ac:dyDescent="0.2">
      <c r="A6392">
        <v>6391</v>
      </c>
      <c r="B6392" s="1">
        <v>40914</v>
      </c>
      <c r="C6392" t="s">
        <v>28</v>
      </c>
      <c r="D6392" s="7">
        <v>174</v>
      </c>
      <c r="E6392" s="7">
        <v>26</v>
      </c>
      <c r="F6392" s="7">
        <f t="shared" si="100"/>
        <v>6</v>
      </c>
      <c r="G6392" s="7" t="str">
        <f>LOOKUP(H6392,[1]startdates!$A$2:$A$10,[1]startdates!$B$2:$B$10)</f>
        <v>C</v>
      </c>
      <c r="H6392">
        <v>8</v>
      </c>
      <c r="I6392" s="7">
        <v>605.5</v>
      </c>
    </row>
    <row r="6393" spans="1:19" x14ac:dyDescent="0.2">
      <c r="A6393">
        <v>6392</v>
      </c>
      <c r="B6393" s="1">
        <v>40914</v>
      </c>
      <c r="C6393" t="s">
        <v>24</v>
      </c>
      <c r="D6393" s="7">
        <v>174</v>
      </c>
      <c r="E6393" s="7">
        <v>26</v>
      </c>
      <c r="F6393" s="7">
        <f t="shared" si="100"/>
        <v>6</v>
      </c>
      <c r="G6393" s="7" t="str">
        <f>LOOKUP(H6393,[1]startdates!$A$2:$A$10,[1]startdates!$B$2:$B$10)</f>
        <v>FMr</v>
      </c>
      <c r="H6393">
        <v>9</v>
      </c>
      <c r="I6393" s="7">
        <v>533.79999999999995</v>
      </c>
      <c r="K6393" s="7">
        <v>462.9</v>
      </c>
      <c r="L6393" s="7">
        <v>418.4</v>
      </c>
      <c r="M6393" s="7">
        <v>327.3</v>
      </c>
      <c r="N6393" s="7">
        <v>191.4</v>
      </c>
      <c r="O6393" s="7">
        <v>208.4</v>
      </c>
      <c r="P6393" s="7">
        <v>456.7</v>
      </c>
      <c r="Q6393" s="7">
        <v>328.2</v>
      </c>
      <c r="R6393" s="7">
        <v>273.3</v>
      </c>
      <c r="S6393" s="7">
        <v>275.10000000000002</v>
      </c>
    </row>
    <row r="6394" spans="1:19" x14ac:dyDescent="0.2">
      <c r="A6394">
        <v>6393</v>
      </c>
      <c r="B6394" s="1">
        <v>40914</v>
      </c>
      <c r="C6394" t="s">
        <v>24</v>
      </c>
      <c r="D6394" s="7">
        <v>174</v>
      </c>
      <c r="E6394" s="7">
        <v>26</v>
      </c>
      <c r="F6394" s="7">
        <f t="shared" si="100"/>
        <v>6</v>
      </c>
      <c r="G6394" s="7" t="str">
        <f>LOOKUP(H6394,[1]startdates!$A$2:$A$10,[1]startdates!$B$2:$B$10)</f>
        <v>FMr</v>
      </c>
      <c r="H6394">
        <v>9</v>
      </c>
      <c r="I6394" s="7">
        <v>621.9</v>
      </c>
      <c r="K6394" s="7">
        <v>346.8</v>
      </c>
      <c r="L6394" s="7">
        <v>402.4</v>
      </c>
      <c r="M6394" s="7">
        <v>324.5</v>
      </c>
      <c r="N6394" s="7">
        <v>217.7</v>
      </c>
      <c r="O6394" s="7">
        <v>200.2</v>
      </c>
      <c r="P6394" s="7">
        <v>405.2</v>
      </c>
      <c r="R6394" s="7">
        <v>249.6</v>
      </c>
    </row>
    <row r="6395" spans="1:19" x14ac:dyDescent="0.2">
      <c r="A6395">
        <v>6394</v>
      </c>
      <c r="B6395" s="1">
        <v>40914</v>
      </c>
      <c r="C6395" t="s">
        <v>24</v>
      </c>
      <c r="D6395" s="7">
        <v>174</v>
      </c>
      <c r="E6395" s="7">
        <v>26</v>
      </c>
      <c r="F6395" s="7">
        <f t="shared" si="100"/>
        <v>6</v>
      </c>
      <c r="G6395" s="7" t="str">
        <f>LOOKUP(H6395,[1]startdates!$A$2:$A$10,[1]startdates!$B$2:$B$10)</f>
        <v>FMr</v>
      </c>
      <c r="H6395">
        <v>9</v>
      </c>
      <c r="I6395" s="7">
        <v>536.4</v>
      </c>
      <c r="K6395" s="7">
        <v>469.1</v>
      </c>
      <c r="L6395" s="7">
        <v>401.6</v>
      </c>
      <c r="M6395" s="7">
        <v>347.4</v>
      </c>
      <c r="N6395" s="7">
        <v>192.9</v>
      </c>
      <c r="O6395" s="7">
        <v>175.4</v>
      </c>
    </row>
    <row r="6396" spans="1:19" x14ac:dyDescent="0.2">
      <c r="A6396">
        <v>6395</v>
      </c>
      <c r="B6396" s="1">
        <v>40914</v>
      </c>
      <c r="C6396" t="s">
        <v>24</v>
      </c>
      <c r="D6396" s="7">
        <v>174</v>
      </c>
      <c r="E6396" s="7">
        <v>26</v>
      </c>
      <c r="F6396" s="7">
        <f t="shared" si="100"/>
        <v>6</v>
      </c>
      <c r="G6396" s="7" t="str">
        <f>LOOKUP(H6396,[1]startdates!$A$2:$A$10,[1]startdates!$B$2:$B$10)</f>
        <v>FMr</v>
      </c>
      <c r="H6396">
        <v>9</v>
      </c>
      <c r="I6396" s="7">
        <v>544.29999999999995</v>
      </c>
      <c r="K6396" s="7">
        <v>542.20000000000005</v>
      </c>
      <c r="M6396" s="7">
        <v>335.1</v>
      </c>
      <c r="N6396" s="7">
        <v>219.7</v>
      </c>
      <c r="O6396" s="7">
        <v>177.7</v>
      </c>
    </row>
    <row r="6397" spans="1:19" x14ac:dyDescent="0.2">
      <c r="A6397">
        <v>6396</v>
      </c>
      <c r="B6397" s="1">
        <v>40914</v>
      </c>
      <c r="C6397" t="s">
        <v>24</v>
      </c>
      <c r="D6397" s="7">
        <v>174</v>
      </c>
      <c r="E6397" s="7">
        <v>26</v>
      </c>
      <c r="F6397" s="7">
        <f t="shared" si="100"/>
        <v>6</v>
      </c>
      <c r="G6397" s="7" t="str">
        <f>LOOKUP(H6397,[1]startdates!$A$2:$A$10,[1]startdates!$B$2:$B$10)</f>
        <v>FMr</v>
      </c>
      <c r="H6397">
        <v>9</v>
      </c>
      <c r="I6397" s="7">
        <v>548.70000000000005</v>
      </c>
      <c r="K6397" s="7">
        <v>380.9</v>
      </c>
      <c r="M6397" s="7">
        <v>348.5</v>
      </c>
      <c r="N6397" s="7">
        <v>224.7</v>
      </c>
      <c r="O6397" s="7">
        <v>166.4</v>
      </c>
    </row>
    <row r="6398" spans="1:19" x14ac:dyDescent="0.2">
      <c r="A6398">
        <v>6397</v>
      </c>
      <c r="B6398" s="1">
        <v>40914</v>
      </c>
      <c r="C6398" t="s">
        <v>24</v>
      </c>
      <c r="D6398" s="7">
        <v>174</v>
      </c>
      <c r="E6398" s="7">
        <v>26</v>
      </c>
      <c r="F6398" s="7">
        <f t="shared" si="100"/>
        <v>6</v>
      </c>
      <c r="G6398" s="7" t="str">
        <f>LOOKUP(H6398,[1]startdates!$A$2:$A$10,[1]startdates!$B$2:$B$10)</f>
        <v>FMr</v>
      </c>
      <c r="H6398">
        <v>9</v>
      </c>
      <c r="I6398" s="7">
        <v>518.1</v>
      </c>
      <c r="K6398" s="7">
        <v>622.9</v>
      </c>
      <c r="N6398" s="7">
        <v>202.5</v>
      </c>
      <c r="O6398" s="7">
        <v>192.1</v>
      </c>
    </row>
    <row r="6399" spans="1:19" x14ac:dyDescent="0.2">
      <c r="A6399">
        <v>6398</v>
      </c>
      <c r="B6399" s="1">
        <v>40914</v>
      </c>
      <c r="C6399" t="s">
        <v>24</v>
      </c>
      <c r="D6399" s="7">
        <v>174</v>
      </c>
      <c r="E6399" s="7">
        <v>26</v>
      </c>
      <c r="F6399" s="7">
        <f t="shared" si="100"/>
        <v>6</v>
      </c>
      <c r="G6399" s="7" t="str">
        <f>LOOKUP(H6399,[1]startdates!$A$2:$A$10,[1]startdates!$B$2:$B$10)</f>
        <v>FMr</v>
      </c>
      <c r="H6399">
        <v>9</v>
      </c>
      <c r="I6399" s="7">
        <v>573.6</v>
      </c>
      <c r="K6399" s="7">
        <v>508.7</v>
      </c>
      <c r="N6399" s="7">
        <v>226.3</v>
      </c>
      <c r="O6399" s="7">
        <v>164.2</v>
      </c>
    </row>
    <row r="6400" spans="1:19" x14ac:dyDescent="0.2">
      <c r="A6400">
        <v>6399</v>
      </c>
      <c r="B6400" s="1">
        <v>40914</v>
      </c>
      <c r="C6400" t="s">
        <v>24</v>
      </c>
      <c r="D6400" s="7">
        <v>174</v>
      </c>
      <c r="E6400" s="7">
        <v>26</v>
      </c>
      <c r="F6400" s="7">
        <f t="shared" si="100"/>
        <v>6</v>
      </c>
      <c r="G6400" s="7" t="str">
        <f>LOOKUP(H6400,[1]startdates!$A$2:$A$10,[1]startdates!$B$2:$B$10)</f>
        <v>FMr</v>
      </c>
      <c r="H6400">
        <v>9</v>
      </c>
      <c r="I6400" s="7">
        <v>546.1</v>
      </c>
      <c r="K6400" s="7">
        <v>487</v>
      </c>
      <c r="N6400" s="7">
        <v>197.8</v>
      </c>
      <c r="O6400" s="7">
        <v>184.1</v>
      </c>
    </row>
    <row r="6401" spans="1:21" x14ac:dyDescent="0.2">
      <c r="A6401">
        <v>6400</v>
      </c>
      <c r="B6401" s="1">
        <v>40914</v>
      </c>
      <c r="C6401" t="s">
        <v>24</v>
      </c>
      <c r="D6401" s="7">
        <v>174</v>
      </c>
      <c r="E6401" s="7">
        <v>26</v>
      </c>
      <c r="F6401" s="7">
        <f t="shared" si="100"/>
        <v>6</v>
      </c>
      <c r="G6401" s="7" t="str">
        <f>LOOKUP(H6401,[1]startdates!$A$2:$A$10,[1]startdates!$B$2:$B$10)</f>
        <v>FMr</v>
      </c>
      <c r="H6401">
        <v>9</v>
      </c>
      <c r="K6401" s="7">
        <v>508.3</v>
      </c>
      <c r="N6401" s="7">
        <v>228.3</v>
      </c>
      <c r="O6401" s="7">
        <v>184.1</v>
      </c>
    </row>
    <row r="6402" spans="1:21" x14ac:dyDescent="0.2">
      <c r="A6402">
        <v>6401</v>
      </c>
      <c r="B6402" s="1">
        <v>40914</v>
      </c>
      <c r="C6402" t="s">
        <v>24</v>
      </c>
      <c r="D6402" s="7">
        <v>174</v>
      </c>
      <c r="E6402" s="7">
        <v>26</v>
      </c>
      <c r="F6402" s="7">
        <f t="shared" si="100"/>
        <v>6</v>
      </c>
      <c r="G6402" s="7" t="str">
        <f>LOOKUP(H6402,[1]startdates!$A$2:$A$10,[1]startdates!$B$2:$B$10)</f>
        <v>FMr</v>
      </c>
      <c r="H6402">
        <v>9</v>
      </c>
      <c r="K6402" s="7">
        <v>458.1</v>
      </c>
      <c r="N6402" s="7">
        <v>217.3</v>
      </c>
      <c r="O6402" s="7">
        <v>188.2</v>
      </c>
    </row>
    <row r="6403" spans="1:21" x14ac:dyDescent="0.2">
      <c r="A6403">
        <v>6402</v>
      </c>
      <c r="B6403" s="1">
        <v>40918</v>
      </c>
      <c r="C6403" t="s">
        <v>28</v>
      </c>
      <c r="D6403" s="7">
        <v>178</v>
      </c>
      <c r="E6403" s="7">
        <v>27</v>
      </c>
      <c r="F6403" s="7">
        <f t="shared" si="100"/>
        <v>3</v>
      </c>
      <c r="G6403" s="7" t="str">
        <f>LOOKUP(H6403,[1]startdates!$A$2:$A$10,[1]startdates!$B$2:$B$10)</f>
        <v>SMr</v>
      </c>
      <c r="H6403">
        <v>1</v>
      </c>
      <c r="I6403" s="7">
        <v>515.79999999999995</v>
      </c>
      <c r="J6403" s="7">
        <v>508.3</v>
      </c>
      <c r="K6403" s="7">
        <v>487.4</v>
      </c>
      <c r="L6403" s="7">
        <v>433.1</v>
      </c>
      <c r="M6403" s="7">
        <v>368.2</v>
      </c>
      <c r="N6403" s="7">
        <v>201.4</v>
      </c>
      <c r="O6403" s="7">
        <v>166.4</v>
      </c>
      <c r="P6403" s="7">
        <v>420.2</v>
      </c>
      <c r="Q6403" s="7">
        <v>335.1</v>
      </c>
      <c r="R6403" s="7">
        <v>238.5</v>
      </c>
      <c r="U6403" s="7">
        <v>460.2</v>
      </c>
    </row>
    <row r="6404" spans="1:21" x14ac:dyDescent="0.2">
      <c r="A6404">
        <v>6403</v>
      </c>
      <c r="B6404" s="1">
        <v>40918</v>
      </c>
      <c r="C6404" t="s">
        <v>28</v>
      </c>
      <c r="D6404" s="7">
        <v>178</v>
      </c>
      <c r="E6404" s="7">
        <v>27</v>
      </c>
      <c r="F6404" s="7">
        <f t="shared" si="100"/>
        <v>3</v>
      </c>
      <c r="G6404" s="7" t="str">
        <f>LOOKUP(H6404,[1]startdates!$A$2:$A$10,[1]startdates!$B$2:$B$10)</f>
        <v>SMr</v>
      </c>
      <c r="H6404">
        <v>1</v>
      </c>
      <c r="I6404" s="7">
        <v>561.9</v>
      </c>
      <c r="J6404" s="7">
        <v>489.1</v>
      </c>
      <c r="K6404" s="7">
        <v>460.3</v>
      </c>
      <c r="L6404" s="7">
        <v>408.2</v>
      </c>
      <c r="M6404" s="7">
        <v>294.7</v>
      </c>
      <c r="N6404" s="7">
        <v>207.9</v>
      </c>
      <c r="O6404" s="7">
        <v>175.5</v>
      </c>
      <c r="P6404" s="7">
        <v>473.5</v>
      </c>
      <c r="Q6404" s="7">
        <v>331.1</v>
      </c>
      <c r="R6404" s="7">
        <v>244.8</v>
      </c>
      <c r="U6404" s="7">
        <v>510.8</v>
      </c>
    </row>
    <row r="6405" spans="1:21" x14ac:dyDescent="0.2">
      <c r="A6405">
        <v>6404</v>
      </c>
      <c r="B6405" s="1">
        <v>40918</v>
      </c>
      <c r="C6405" t="s">
        <v>28</v>
      </c>
      <c r="D6405" s="7">
        <v>178</v>
      </c>
      <c r="E6405" s="7">
        <v>27</v>
      </c>
      <c r="F6405" s="7">
        <f t="shared" si="100"/>
        <v>3</v>
      </c>
      <c r="G6405" s="7" t="str">
        <f>LOOKUP(H6405,[1]startdates!$A$2:$A$10,[1]startdates!$B$2:$B$10)</f>
        <v>SMr</v>
      </c>
      <c r="H6405">
        <v>1</v>
      </c>
      <c r="I6405" s="7">
        <v>484.4</v>
      </c>
      <c r="J6405" s="7">
        <v>434.2</v>
      </c>
      <c r="K6405" s="7">
        <v>526.6</v>
      </c>
      <c r="L6405" s="7">
        <v>445.4</v>
      </c>
      <c r="M6405" s="7">
        <v>308.3</v>
      </c>
      <c r="N6405" s="7">
        <v>237.6</v>
      </c>
      <c r="O6405" s="7">
        <v>171.6</v>
      </c>
      <c r="P6405" s="7">
        <v>406.3</v>
      </c>
      <c r="Q6405" s="7">
        <v>330.6</v>
      </c>
      <c r="U6405" s="7">
        <v>430.2</v>
      </c>
    </row>
    <row r="6406" spans="1:21" x14ac:dyDescent="0.2">
      <c r="A6406">
        <v>6405</v>
      </c>
      <c r="B6406" s="1">
        <v>40918</v>
      </c>
      <c r="C6406" t="s">
        <v>28</v>
      </c>
      <c r="D6406" s="7">
        <v>178</v>
      </c>
      <c r="E6406" s="7">
        <v>27</v>
      </c>
      <c r="F6406" s="7">
        <f t="shared" si="100"/>
        <v>3</v>
      </c>
      <c r="G6406" s="7" t="str">
        <f>LOOKUP(H6406,[1]startdates!$A$2:$A$10,[1]startdates!$B$2:$B$10)</f>
        <v>SMr</v>
      </c>
      <c r="H6406">
        <v>1</v>
      </c>
      <c r="I6406" s="7">
        <v>520.4</v>
      </c>
      <c r="L6406" s="7">
        <v>412.4</v>
      </c>
      <c r="M6406" s="7">
        <v>294.3</v>
      </c>
      <c r="N6406" s="7">
        <v>259.8</v>
      </c>
      <c r="O6406" s="7">
        <v>154.80000000000001</v>
      </c>
      <c r="P6406" s="7">
        <v>407.1</v>
      </c>
    </row>
    <row r="6407" spans="1:21" x14ac:dyDescent="0.2">
      <c r="A6407">
        <v>6406</v>
      </c>
      <c r="B6407" s="1">
        <v>40918</v>
      </c>
      <c r="C6407" t="s">
        <v>28</v>
      </c>
      <c r="D6407" s="7">
        <v>178</v>
      </c>
      <c r="E6407" s="7">
        <v>27</v>
      </c>
      <c r="F6407" s="7">
        <f t="shared" si="100"/>
        <v>3</v>
      </c>
      <c r="G6407" s="7" t="str">
        <f>LOOKUP(H6407,[1]startdates!$A$2:$A$10,[1]startdates!$B$2:$B$10)</f>
        <v>SMr</v>
      </c>
      <c r="H6407">
        <v>1</v>
      </c>
      <c r="I6407" s="7">
        <v>584.9</v>
      </c>
      <c r="L6407" s="7">
        <v>404.9</v>
      </c>
      <c r="M6407" s="7">
        <v>343.2</v>
      </c>
      <c r="N6407" s="7">
        <v>261.60000000000002</v>
      </c>
      <c r="O6407" s="7">
        <v>151.4</v>
      </c>
      <c r="P6407" s="7">
        <v>405.1</v>
      </c>
    </row>
    <row r="6408" spans="1:21" x14ac:dyDescent="0.2">
      <c r="A6408">
        <v>6407</v>
      </c>
      <c r="B6408" s="1">
        <v>40918</v>
      </c>
      <c r="C6408" t="s">
        <v>28</v>
      </c>
      <c r="D6408" s="7">
        <v>178</v>
      </c>
      <c r="E6408" s="7">
        <v>27</v>
      </c>
      <c r="F6408" s="7">
        <f t="shared" si="100"/>
        <v>3</v>
      </c>
      <c r="G6408" s="7" t="str">
        <f>LOOKUP(H6408,[1]startdates!$A$2:$A$10,[1]startdates!$B$2:$B$10)</f>
        <v>SMr</v>
      </c>
      <c r="H6408">
        <v>1</v>
      </c>
      <c r="I6408" s="7">
        <v>554.79999999999995</v>
      </c>
      <c r="M6408" s="7">
        <v>338.4</v>
      </c>
      <c r="N6408" s="7">
        <v>210.1</v>
      </c>
      <c r="O6408" s="7">
        <v>147.30000000000001</v>
      </c>
      <c r="P6408" s="7">
        <v>416.6</v>
      </c>
    </row>
    <row r="6409" spans="1:21" x14ac:dyDescent="0.2">
      <c r="A6409">
        <v>6408</v>
      </c>
      <c r="B6409" s="1">
        <v>40918</v>
      </c>
      <c r="C6409" t="s">
        <v>28</v>
      </c>
      <c r="D6409" s="7">
        <v>178</v>
      </c>
      <c r="E6409" s="7">
        <v>27</v>
      </c>
      <c r="F6409" s="7">
        <f t="shared" si="100"/>
        <v>3</v>
      </c>
      <c r="G6409" s="7" t="str">
        <f>LOOKUP(H6409,[1]startdates!$A$2:$A$10,[1]startdates!$B$2:$B$10)</f>
        <v>SMr</v>
      </c>
      <c r="H6409">
        <v>1</v>
      </c>
      <c r="I6409" s="7">
        <v>626.6</v>
      </c>
      <c r="M6409" s="7">
        <v>351.2</v>
      </c>
      <c r="N6409" s="7">
        <v>255.3</v>
      </c>
      <c r="O6409" s="7">
        <v>145.9</v>
      </c>
    </row>
    <row r="6410" spans="1:21" x14ac:dyDescent="0.2">
      <c r="A6410">
        <v>6409</v>
      </c>
      <c r="B6410" s="1">
        <v>40918</v>
      </c>
      <c r="C6410" t="s">
        <v>28</v>
      </c>
      <c r="D6410" s="7">
        <v>178</v>
      </c>
      <c r="E6410" s="7">
        <v>27</v>
      </c>
      <c r="F6410" s="7">
        <f t="shared" si="100"/>
        <v>3</v>
      </c>
      <c r="G6410" s="7" t="str">
        <f>LOOKUP(H6410,[1]startdates!$A$2:$A$10,[1]startdates!$B$2:$B$10)</f>
        <v>SMr</v>
      </c>
      <c r="H6410">
        <v>1</v>
      </c>
      <c r="I6410" s="7">
        <v>534.79999999999995</v>
      </c>
      <c r="M6410" s="7">
        <v>302</v>
      </c>
      <c r="N6410" s="7">
        <v>185.3</v>
      </c>
      <c r="O6410" s="7">
        <v>158.5</v>
      </c>
    </row>
    <row r="6411" spans="1:21" x14ac:dyDescent="0.2">
      <c r="A6411">
        <v>6410</v>
      </c>
      <c r="B6411" s="1">
        <v>40918</v>
      </c>
      <c r="C6411" t="s">
        <v>28</v>
      </c>
      <c r="D6411" s="7">
        <v>178</v>
      </c>
      <c r="E6411" s="7">
        <v>27</v>
      </c>
      <c r="F6411" s="7">
        <f t="shared" si="100"/>
        <v>3</v>
      </c>
      <c r="G6411" s="7" t="str">
        <f>LOOKUP(H6411,[1]startdates!$A$2:$A$10,[1]startdates!$B$2:$B$10)</f>
        <v>SMr</v>
      </c>
      <c r="H6411">
        <v>1</v>
      </c>
      <c r="I6411" s="7">
        <v>521.9</v>
      </c>
      <c r="M6411" s="7">
        <v>293.2</v>
      </c>
      <c r="N6411" s="7">
        <v>277.2</v>
      </c>
      <c r="O6411" s="7">
        <v>169.7</v>
      </c>
    </row>
    <row r="6412" spans="1:21" x14ac:dyDescent="0.2">
      <c r="A6412">
        <v>6411</v>
      </c>
      <c r="B6412" s="1">
        <v>40918</v>
      </c>
      <c r="C6412" t="s">
        <v>28</v>
      </c>
      <c r="D6412" s="7">
        <v>178</v>
      </c>
      <c r="E6412" s="7">
        <v>27</v>
      </c>
      <c r="F6412" s="7">
        <f t="shared" si="100"/>
        <v>3</v>
      </c>
      <c r="G6412" s="7" t="str">
        <f>LOOKUP(H6412,[1]startdates!$A$2:$A$10,[1]startdates!$B$2:$B$10)</f>
        <v>SMr</v>
      </c>
      <c r="H6412">
        <v>1</v>
      </c>
      <c r="I6412" s="7">
        <v>563.5</v>
      </c>
      <c r="M6412" s="7">
        <v>345.1</v>
      </c>
      <c r="N6412" s="7">
        <v>233.8</v>
      </c>
      <c r="O6412" s="7">
        <v>165.5</v>
      </c>
    </row>
    <row r="6413" spans="1:21" x14ac:dyDescent="0.2">
      <c r="A6413">
        <v>6412</v>
      </c>
      <c r="B6413" s="1">
        <v>40918</v>
      </c>
      <c r="C6413" t="s">
        <v>28</v>
      </c>
      <c r="D6413" s="7">
        <v>178</v>
      </c>
      <c r="E6413" s="7">
        <v>27</v>
      </c>
      <c r="F6413" s="7">
        <f t="shared" si="100"/>
        <v>3</v>
      </c>
      <c r="G6413" s="7" t="str">
        <f>LOOKUP(H6413,[1]startdates!$A$2:$A$10,[1]startdates!$B$2:$B$10)</f>
        <v>SMr</v>
      </c>
      <c r="H6413">
        <v>1</v>
      </c>
      <c r="M6413" s="7">
        <v>298.3</v>
      </c>
      <c r="O6413" s="7">
        <v>174.4</v>
      </c>
    </row>
    <row r="6414" spans="1:21" x14ac:dyDescent="0.2">
      <c r="A6414">
        <v>6413</v>
      </c>
      <c r="B6414" s="1">
        <v>40918</v>
      </c>
      <c r="C6414" t="s">
        <v>28</v>
      </c>
      <c r="D6414" s="7">
        <v>178</v>
      </c>
      <c r="E6414" s="7">
        <v>27</v>
      </c>
      <c r="F6414" s="7">
        <f t="shared" si="100"/>
        <v>3</v>
      </c>
      <c r="G6414" s="7" t="str">
        <f>LOOKUP(H6414,[1]startdates!$A$2:$A$10,[1]startdates!$B$2:$B$10)</f>
        <v>SMr</v>
      </c>
      <c r="H6414">
        <v>1</v>
      </c>
      <c r="M6414" s="7">
        <v>376.8</v>
      </c>
    </row>
    <row r="6415" spans="1:21" x14ac:dyDescent="0.2">
      <c r="A6415">
        <v>6414</v>
      </c>
      <c r="B6415" s="1">
        <v>40918</v>
      </c>
      <c r="C6415" t="s">
        <v>28</v>
      </c>
      <c r="D6415" s="7">
        <v>178</v>
      </c>
      <c r="E6415" s="7">
        <v>27</v>
      </c>
      <c r="F6415" s="7">
        <f t="shared" si="100"/>
        <v>3</v>
      </c>
      <c r="G6415" s="7" t="str">
        <f>LOOKUP(H6415,[1]startdates!$A$2:$A$10,[1]startdates!$B$2:$B$10)</f>
        <v>SMr</v>
      </c>
      <c r="H6415">
        <v>2</v>
      </c>
      <c r="I6415" s="7">
        <v>574.29999999999995</v>
      </c>
      <c r="K6415" s="7">
        <v>551.79999999999995</v>
      </c>
      <c r="L6415" s="7">
        <v>404.1</v>
      </c>
      <c r="M6415" s="7">
        <v>386.6</v>
      </c>
      <c r="N6415" s="7">
        <v>213.5</v>
      </c>
      <c r="O6415" s="7">
        <v>159.4</v>
      </c>
      <c r="P6415" s="7">
        <v>434.9</v>
      </c>
      <c r="U6415" s="7">
        <v>450.7</v>
      </c>
    </row>
    <row r="6416" spans="1:21" x14ac:dyDescent="0.2">
      <c r="A6416">
        <v>6415</v>
      </c>
      <c r="B6416" s="1">
        <v>40918</v>
      </c>
      <c r="C6416" t="s">
        <v>28</v>
      </c>
      <c r="D6416" s="7">
        <v>178</v>
      </c>
      <c r="E6416" s="7">
        <v>27</v>
      </c>
      <c r="F6416" s="7">
        <f t="shared" si="100"/>
        <v>3</v>
      </c>
      <c r="G6416" s="7" t="str">
        <f>LOOKUP(H6416,[1]startdates!$A$2:$A$10,[1]startdates!$B$2:$B$10)</f>
        <v>SMr</v>
      </c>
      <c r="H6416">
        <v>2</v>
      </c>
      <c r="I6416" s="7">
        <v>530.20000000000005</v>
      </c>
      <c r="K6416" s="7">
        <v>479.3</v>
      </c>
      <c r="L6416" s="7">
        <v>437.9</v>
      </c>
      <c r="M6416" s="7">
        <v>354.2</v>
      </c>
      <c r="N6416" s="7">
        <v>209.9</v>
      </c>
      <c r="O6416" s="7">
        <v>178.6</v>
      </c>
      <c r="P6416" s="7">
        <v>401.2</v>
      </c>
      <c r="U6416" s="7">
        <v>522.1</v>
      </c>
    </row>
    <row r="6417" spans="1:21" x14ac:dyDescent="0.2">
      <c r="A6417">
        <v>6416</v>
      </c>
      <c r="B6417" s="1">
        <v>40918</v>
      </c>
      <c r="C6417" t="s">
        <v>28</v>
      </c>
      <c r="D6417" s="7">
        <v>178</v>
      </c>
      <c r="E6417" s="7">
        <v>27</v>
      </c>
      <c r="F6417" s="7">
        <f t="shared" si="100"/>
        <v>3</v>
      </c>
      <c r="G6417" s="7" t="str">
        <f>LOOKUP(H6417,[1]startdates!$A$2:$A$10,[1]startdates!$B$2:$B$10)</f>
        <v>SMr</v>
      </c>
      <c r="H6417">
        <v>2</v>
      </c>
      <c r="I6417" s="7">
        <v>622.9</v>
      </c>
      <c r="K6417" s="7">
        <v>493.6</v>
      </c>
      <c r="L6417" s="7">
        <v>403.5</v>
      </c>
      <c r="M6417" s="7">
        <v>314.60000000000002</v>
      </c>
      <c r="N6417" s="7">
        <v>194.7</v>
      </c>
      <c r="O6417" s="7">
        <v>159.80000000000001</v>
      </c>
      <c r="U6417" s="7">
        <v>426.5</v>
      </c>
    </row>
    <row r="6418" spans="1:21" x14ac:dyDescent="0.2">
      <c r="A6418">
        <v>6417</v>
      </c>
      <c r="B6418" s="1">
        <v>40918</v>
      </c>
      <c r="C6418" t="s">
        <v>28</v>
      </c>
      <c r="D6418" s="7">
        <v>178</v>
      </c>
      <c r="E6418" s="7">
        <v>27</v>
      </c>
      <c r="F6418" s="7">
        <f t="shared" si="100"/>
        <v>3</v>
      </c>
      <c r="G6418" s="7" t="str">
        <f>LOOKUP(H6418,[1]startdates!$A$2:$A$10,[1]startdates!$B$2:$B$10)</f>
        <v>SMr</v>
      </c>
      <c r="H6418">
        <v>2</v>
      </c>
      <c r="I6418" s="7">
        <v>484</v>
      </c>
      <c r="K6418" s="7">
        <v>447.3</v>
      </c>
      <c r="L6418" s="7">
        <v>401.4</v>
      </c>
      <c r="M6418" s="7">
        <v>364.5</v>
      </c>
      <c r="N6418" s="7">
        <v>267.39999999999998</v>
      </c>
      <c r="O6418" s="7">
        <v>153.30000000000001</v>
      </c>
      <c r="U6418" s="7">
        <v>546</v>
      </c>
    </row>
    <row r="6419" spans="1:21" x14ac:dyDescent="0.2">
      <c r="A6419">
        <v>6418</v>
      </c>
      <c r="B6419" s="1">
        <v>40918</v>
      </c>
      <c r="C6419" t="s">
        <v>28</v>
      </c>
      <c r="D6419" s="7">
        <v>178</v>
      </c>
      <c r="E6419" s="7">
        <v>27</v>
      </c>
      <c r="F6419" s="7">
        <f t="shared" si="100"/>
        <v>3</v>
      </c>
      <c r="G6419" s="7" t="str">
        <f>LOOKUP(H6419,[1]startdates!$A$2:$A$10,[1]startdates!$B$2:$B$10)</f>
        <v>SMr</v>
      </c>
      <c r="H6419">
        <v>2</v>
      </c>
      <c r="I6419" s="7">
        <v>591.4</v>
      </c>
      <c r="L6419" s="7">
        <v>402</v>
      </c>
      <c r="M6419" s="7">
        <v>310.39999999999998</v>
      </c>
      <c r="N6419" s="7">
        <v>239.3</v>
      </c>
      <c r="O6419" s="7">
        <v>165.7</v>
      </c>
    </row>
    <row r="6420" spans="1:21" x14ac:dyDescent="0.2">
      <c r="A6420">
        <v>6419</v>
      </c>
      <c r="B6420" s="1">
        <v>40918</v>
      </c>
      <c r="C6420" t="s">
        <v>28</v>
      </c>
      <c r="D6420" s="7">
        <v>178</v>
      </c>
      <c r="E6420" s="7">
        <v>27</v>
      </c>
      <c r="F6420" s="7">
        <f t="shared" si="100"/>
        <v>3</v>
      </c>
      <c r="G6420" s="7" t="str">
        <f>LOOKUP(H6420,[1]startdates!$A$2:$A$10,[1]startdates!$B$2:$B$10)</f>
        <v>SMr</v>
      </c>
      <c r="H6420">
        <v>2</v>
      </c>
      <c r="I6420" s="7">
        <v>591.5</v>
      </c>
      <c r="L6420" s="7">
        <v>430.4</v>
      </c>
      <c r="M6420" s="7">
        <v>333.3</v>
      </c>
      <c r="N6420" s="7">
        <v>231.2</v>
      </c>
      <c r="O6420" s="7">
        <v>155.30000000000001</v>
      </c>
    </row>
    <row r="6421" spans="1:21" x14ac:dyDescent="0.2">
      <c r="A6421">
        <v>6420</v>
      </c>
      <c r="B6421" s="1">
        <v>40918</v>
      </c>
      <c r="C6421" t="s">
        <v>28</v>
      </c>
      <c r="D6421" s="7">
        <v>178</v>
      </c>
      <c r="E6421" s="7">
        <v>27</v>
      </c>
      <c r="F6421" s="7">
        <f t="shared" si="100"/>
        <v>3</v>
      </c>
      <c r="G6421" s="7" t="str">
        <f>LOOKUP(H6421,[1]startdates!$A$2:$A$10,[1]startdates!$B$2:$B$10)</f>
        <v>SMr</v>
      </c>
      <c r="H6421">
        <v>2</v>
      </c>
      <c r="I6421" s="7">
        <v>594.5</v>
      </c>
      <c r="L6421" s="7">
        <v>405</v>
      </c>
      <c r="M6421" s="7">
        <v>318.39999999999998</v>
      </c>
      <c r="N6421" s="7">
        <v>180.6</v>
      </c>
      <c r="O6421" s="7">
        <v>177.3</v>
      </c>
    </row>
    <row r="6422" spans="1:21" x14ac:dyDescent="0.2">
      <c r="A6422">
        <v>6421</v>
      </c>
      <c r="B6422" s="1">
        <v>40918</v>
      </c>
      <c r="C6422" t="s">
        <v>28</v>
      </c>
      <c r="D6422" s="7">
        <v>178</v>
      </c>
      <c r="E6422" s="7">
        <v>27</v>
      </c>
      <c r="F6422" s="7">
        <f t="shared" si="100"/>
        <v>3</v>
      </c>
      <c r="G6422" s="7" t="str">
        <f>LOOKUP(H6422,[1]startdates!$A$2:$A$10,[1]startdates!$B$2:$B$10)</f>
        <v>SMr</v>
      </c>
      <c r="H6422">
        <v>2</v>
      </c>
      <c r="I6422" s="7">
        <v>653.1</v>
      </c>
      <c r="M6422" s="7">
        <v>378.6</v>
      </c>
      <c r="N6422" s="7">
        <v>206.5</v>
      </c>
      <c r="O6422" s="7">
        <v>165</v>
      </c>
    </row>
    <row r="6423" spans="1:21" x14ac:dyDescent="0.2">
      <c r="A6423">
        <v>6422</v>
      </c>
      <c r="B6423" s="1">
        <v>40918</v>
      </c>
      <c r="C6423" t="s">
        <v>28</v>
      </c>
      <c r="D6423" s="7">
        <v>178</v>
      </c>
      <c r="E6423" s="7">
        <v>27</v>
      </c>
      <c r="F6423" s="7">
        <f t="shared" si="100"/>
        <v>3</v>
      </c>
      <c r="G6423" s="7" t="str">
        <f>LOOKUP(H6423,[1]startdates!$A$2:$A$10,[1]startdates!$B$2:$B$10)</f>
        <v>SMr</v>
      </c>
      <c r="H6423">
        <v>2</v>
      </c>
      <c r="I6423" s="7">
        <v>539.1</v>
      </c>
      <c r="M6423" s="7">
        <v>354.4</v>
      </c>
      <c r="N6423" s="7">
        <v>231.2</v>
      </c>
      <c r="O6423" s="7">
        <v>156.30000000000001</v>
      </c>
    </row>
    <row r="6424" spans="1:21" x14ac:dyDescent="0.2">
      <c r="A6424">
        <v>6423</v>
      </c>
      <c r="B6424" s="1">
        <v>40918</v>
      </c>
      <c r="C6424" t="s">
        <v>28</v>
      </c>
      <c r="D6424" s="7">
        <v>178</v>
      </c>
      <c r="E6424" s="7">
        <v>27</v>
      </c>
      <c r="F6424" s="7">
        <f t="shared" si="100"/>
        <v>3</v>
      </c>
      <c r="G6424" s="7" t="str">
        <f>LOOKUP(H6424,[1]startdates!$A$2:$A$10,[1]startdates!$B$2:$B$10)</f>
        <v>SMr</v>
      </c>
      <c r="H6424">
        <v>2</v>
      </c>
      <c r="N6424" s="7">
        <v>229.3</v>
      </c>
      <c r="O6424" s="7">
        <v>149.5</v>
      </c>
    </row>
    <row r="6425" spans="1:21" x14ac:dyDescent="0.2">
      <c r="A6425">
        <v>6424</v>
      </c>
      <c r="B6425" s="1">
        <v>40918</v>
      </c>
      <c r="C6425" t="s">
        <v>28</v>
      </c>
      <c r="D6425" s="7">
        <v>178</v>
      </c>
      <c r="E6425" s="7">
        <v>27</v>
      </c>
      <c r="F6425" s="7">
        <f t="shared" si="100"/>
        <v>3</v>
      </c>
      <c r="G6425" s="7" t="str">
        <f>LOOKUP(H6425,[1]startdates!$A$2:$A$10,[1]startdates!$B$2:$B$10)</f>
        <v>C</v>
      </c>
      <c r="H6425">
        <v>3</v>
      </c>
      <c r="I6425" s="7">
        <v>552.1</v>
      </c>
      <c r="K6425" s="7">
        <v>540.29999999999995</v>
      </c>
      <c r="L6425" s="7">
        <v>418.2</v>
      </c>
      <c r="M6425" s="7">
        <v>372.6</v>
      </c>
      <c r="N6425" s="7">
        <v>207.7</v>
      </c>
      <c r="O6425" s="7">
        <v>163.5</v>
      </c>
      <c r="P6425" s="7">
        <v>507.5</v>
      </c>
      <c r="Q6425" s="7">
        <v>327.9</v>
      </c>
      <c r="R6425" s="7">
        <v>221.4</v>
      </c>
    </row>
    <row r="6426" spans="1:21" x14ac:dyDescent="0.2">
      <c r="A6426">
        <v>6425</v>
      </c>
      <c r="B6426" s="1">
        <v>40918</v>
      </c>
      <c r="C6426" t="s">
        <v>28</v>
      </c>
      <c r="D6426" s="7">
        <v>178</v>
      </c>
      <c r="E6426" s="7">
        <v>27</v>
      </c>
      <c r="F6426" s="7">
        <f t="shared" si="100"/>
        <v>3</v>
      </c>
      <c r="G6426" s="7" t="str">
        <f>LOOKUP(H6426,[1]startdates!$A$2:$A$10,[1]startdates!$B$2:$B$10)</f>
        <v>C</v>
      </c>
      <c r="H6426">
        <v>3</v>
      </c>
      <c r="I6426" s="7">
        <v>651.20000000000005</v>
      </c>
      <c r="K6426" s="7">
        <v>515.79999999999995</v>
      </c>
      <c r="L6426" s="7">
        <v>443.4</v>
      </c>
      <c r="M6426" s="7">
        <v>332.6</v>
      </c>
      <c r="N6426" s="7">
        <v>185.7</v>
      </c>
      <c r="O6426" s="7">
        <v>162.5</v>
      </c>
      <c r="P6426" s="7">
        <v>449.3</v>
      </c>
      <c r="R6426" s="7">
        <v>233.9</v>
      </c>
    </row>
    <row r="6427" spans="1:21" x14ac:dyDescent="0.2">
      <c r="A6427">
        <v>6426</v>
      </c>
      <c r="B6427" s="1">
        <v>40918</v>
      </c>
      <c r="C6427" t="s">
        <v>28</v>
      </c>
      <c r="D6427" s="7">
        <v>178</v>
      </c>
      <c r="E6427" s="7">
        <v>27</v>
      </c>
      <c r="F6427" s="7">
        <f t="shared" si="100"/>
        <v>3</v>
      </c>
      <c r="G6427" s="7" t="str">
        <f>LOOKUP(H6427,[1]startdates!$A$2:$A$10,[1]startdates!$B$2:$B$10)</f>
        <v>C</v>
      </c>
      <c r="H6427">
        <v>3</v>
      </c>
      <c r="I6427" s="7">
        <v>586.79999999999995</v>
      </c>
      <c r="K6427" s="7">
        <v>522.79999999999995</v>
      </c>
      <c r="L6427" s="7">
        <v>414.6</v>
      </c>
      <c r="M6427" s="7">
        <v>358.7</v>
      </c>
      <c r="N6427" s="7">
        <v>280.60000000000002</v>
      </c>
      <c r="O6427" s="7">
        <v>166.3</v>
      </c>
      <c r="P6427" s="7">
        <v>436</v>
      </c>
    </row>
    <row r="6428" spans="1:21" x14ac:dyDescent="0.2">
      <c r="A6428">
        <v>6427</v>
      </c>
      <c r="B6428" s="1">
        <v>40918</v>
      </c>
      <c r="C6428" t="s">
        <v>28</v>
      </c>
      <c r="D6428" s="7">
        <v>178</v>
      </c>
      <c r="E6428" s="7">
        <v>27</v>
      </c>
      <c r="F6428" s="7">
        <f t="shared" si="100"/>
        <v>3</v>
      </c>
      <c r="G6428" s="7" t="str">
        <f>LOOKUP(H6428,[1]startdates!$A$2:$A$10,[1]startdates!$B$2:$B$10)</f>
        <v>C</v>
      </c>
      <c r="H6428">
        <v>3</v>
      </c>
      <c r="I6428" s="7">
        <v>572.79999999999995</v>
      </c>
      <c r="K6428" s="7">
        <v>553.6</v>
      </c>
      <c r="L6428" s="7">
        <v>453</v>
      </c>
      <c r="M6428" s="7">
        <v>373.3</v>
      </c>
      <c r="N6428" s="7">
        <v>236.2</v>
      </c>
      <c r="O6428" s="7">
        <v>145.1</v>
      </c>
      <c r="P6428" s="7">
        <v>399.1</v>
      </c>
    </row>
    <row r="6429" spans="1:21" x14ac:dyDescent="0.2">
      <c r="A6429">
        <v>6428</v>
      </c>
      <c r="B6429" s="1">
        <v>40918</v>
      </c>
      <c r="C6429" t="s">
        <v>28</v>
      </c>
      <c r="D6429" s="7">
        <v>178</v>
      </c>
      <c r="E6429" s="7">
        <v>27</v>
      </c>
      <c r="F6429" s="7">
        <f t="shared" si="100"/>
        <v>3</v>
      </c>
      <c r="G6429" s="7" t="str">
        <f>LOOKUP(H6429,[1]startdates!$A$2:$A$10,[1]startdates!$B$2:$B$10)</f>
        <v>C</v>
      </c>
      <c r="H6429">
        <v>3</v>
      </c>
      <c r="I6429" s="7">
        <v>517.6</v>
      </c>
      <c r="K6429" s="7">
        <v>465.6</v>
      </c>
      <c r="L6429" s="7">
        <v>416.5</v>
      </c>
      <c r="M6429" s="7">
        <v>341.1</v>
      </c>
      <c r="N6429" s="7">
        <v>254.3</v>
      </c>
      <c r="O6429" s="7">
        <v>153.80000000000001</v>
      </c>
      <c r="P6429" s="7">
        <v>442.2</v>
      </c>
    </row>
    <row r="6430" spans="1:21" x14ac:dyDescent="0.2">
      <c r="A6430">
        <v>6429</v>
      </c>
      <c r="B6430" s="1">
        <v>40918</v>
      </c>
      <c r="C6430" t="s">
        <v>28</v>
      </c>
      <c r="D6430" s="7">
        <v>178</v>
      </c>
      <c r="E6430" s="7">
        <v>27</v>
      </c>
      <c r="F6430" s="7">
        <f t="shared" si="100"/>
        <v>3</v>
      </c>
      <c r="G6430" s="7" t="str">
        <f>LOOKUP(H6430,[1]startdates!$A$2:$A$10,[1]startdates!$B$2:$B$10)</f>
        <v>C</v>
      </c>
      <c r="H6430">
        <v>3</v>
      </c>
      <c r="I6430" s="7">
        <v>484.8</v>
      </c>
      <c r="L6430" s="7">
        <v>449.4</v>
      </c>
      <c r="M6430" s="7">
        <v>334.1</v>
      </c>
      <c r="N6430" s="7">
        <v>198.9</v>
      </c>
      <c r="O6430" s="7">
        <v>176.8</v>
      </c>
    </row>
    <row r="6431" spans="1:21" x14ac:dyDescent="0.2">
      <c r="A6431">
        <v>6430</v>
      </c>
      <c r="B6431" s="1">
        <v>40918</v>
      </c>
      <c r="C6431" t="s">
        <v>28</v>
      </c>
      <c r="D6431" s="7">
        <v>178</v>
      </c>
      <c r="E6431" s="7">
        <v>27</v>
      </c>
      <c r="F6431" s="7">
        <f t="shared" si="100"/>
        <v>3</v>
      </c>
      <c r="G6431" s="7" t="str">
        <f>LOOKUP(H6431,[1]startdates!$A$2:$A$10,[1]startdates!$B$2:$B$10)</f>
        <v>C</v>
      </c>
      <c r="H6431">
        <v>3</v>
      </c>
      <c r="I6431" s="7">
        <v>607.29999999999995</v>
      </c>
      <c r="L6431" s="7">
        <v>405.4</v>
      </c>
      <c r="M6431" s="7">
        <v>331.7</v>
      </c>
      <c r="N6431" s="7">
        <v>188.7</v>
      </c>
      <c r="O6431" s="7">
        <v>162.19999999999999</v>
      </c>
    </row>
    <row r="6432" spans="1:21" x14ac:dyDescent="0.2">
      <c r="A6432">
        <v>6431</v>
      </c>
      <c r="B6432" s="1">
        <v>40918</v>
      </c>
      <c r="C6432" t="s">
        <v>28</v>
      </c>
      <c r="D6432" s="7">
        <v>178</v>
      </c>
      <c r="E6432" s="7">
        <v>27</v>
      </c>
      <c r="F6432" s="7">
        <f t="shared" si="100"/>
        <v>3</v>
      </c>
      <c r="G6432" s="7" t="str">
        <f>LOOKUP(H6432,[1]startdates!$A$2:$A$10,[1]startdates!$B$2:$B$10)</f>
        <v>C</v>
      </c>
      <c r="H6432">
        <v>3</v>
      </c>
      <c r="I6432" s="7">
        <v>545.29999999999995</v>
      </c>
      <c r="L6432" s="7">
        <v>412.6</v>
      </c>
      <c r="M6432" s="7">
        <v>380.7</v>
      </c>
      <c r="N6432" s="7">
        <v>232</v>
      </c>
      <c r="O6432" s="7">
        <v>135.19999999999999</v>
      </c>
    </row>
    <row r="6433" spans="1:21" x14ac:dyDescent="0.2">
      <c r="A6433">
        <v>6432</v>
      </c>
      <c r="B6433" s="1">
        <v>40918</v>
      </c>
      <c r="C6433" t="s">
        <v>28</v>
      </c>
      <c r="D6433" s="7">
        <v>178</v>
      </c>
      <c r="E6433" s="7">
        <v>27</v>
      </c>
      <c r="F6433" s="7">
        <f t="shared" si="100"/>
        <v>3</v>
      </c>
      <c r="G6433" s="7" t="str">
        <f>LOOKUP(H6433,[1]startdates!$A$2:$A$10,[1]startdates!$B$2:$B$10)</f>
        <v>C</v>
      </c>
      <c r="H6433">
        <v>3</v>
      </c>
      <c r="I6433" s="7">
        <v>573.1</v>
      </c>
      <c r="M6433" s="7">
        <v>345.8</v>
      </c>
      <c r="N6433" s="7">
        <v>257.3</v>
      </c>
      <c r="O6433" s="7">
        <v>157.6</v>
      </c>
    </row>
    <row r="6434" spans="1:21" x14ac:dyDescent="0.2">
      <c r="A6434">
        <v>6433</v>
      </c>
      <c r="B6434" s="1">
        <v>40918</v>
      </c>
      <c r="C6434" t="s">
        <v>28</v>
      </c>
      <c r="D6434" s="7">
        <v>178</v>
      </c>
      <c r="E6434" s="7">
        <v>27</v>
      </c>
      <c r="F6434" s="7">
        <f t="shared" si="100"/>
        <v>3</v>
      </c>
      <c r="G6434" s="7" t="str">
        <f>LOOKUP(H6434,[1]startdates!$A$2:$A$10,[1]startdates!$B$2:$B$10)</f>
        <v>C</v>
      </c>
      <c r="H6434">
        <v>3</v>
      </c>
      <c r="I6434" s="7">
        <v>565</v>
      </c>
      <c r="M6434" s="7">
        <v>303.10000000000002</v>
      </c>
      <c r="N6434" s="7">
        <v>275.39999999999998</v>
      </c>
      <c r="O6434" s="7">
        <v>176.8</v>
      </c>
    </row>
    <row r="6435" spans="1:21" x14ac:dyDescent="0.2">
      <c r="A6435">
        <v>6434</v>
      </c>
      <c r="B6435" s="1">
        <v>40918</v>
      </c>
      <c r="C6435" t="s">
        <v>28</v>
      </c>
      <c r="D6435" s="7">
        <v>178</v>
      </c>
      <c r="E6435" s="7">
        <v>27</v>
      </c>
      <c r="F6435" s="7">
        <f t="shared" si="100"/>
        <v>3</v>
      </c>
      <c r="G6435" s="7" t="str">
        <f>LOOKUP(H6435,[1]startdates!$A$2:$A$10,[1]startdates!$B$2:$B$10)</f>
        <v>C</v>
      </c>
      <c r="H6435">
        <v>3</v>
      </c>
      <c r="I6435" s="7">
        <v>510.6</v>
      </c>
      <c r="N6435" s="7">
        <v>184.7</v>
      </c>
    </row>
    <row r="6436" spans="1:21" x14ac:dyDescent="0.2">
      <c r="A6436">
        <v>6435</v>
      </c>
      <c r="B6436" s="1">
        <v>40918</v>
      </c>
      <c r="C6436" t="s">
        <v>28</v>
      </c>
      <c r="D6436" s="7">
        <v>178</v>
      </c>
      <c r="E6436" s="7">
        <v>27</v>
      </c>
      <c r="F6436" s="7">
        <f t="shared" si="100"/>
        <v>3</v>
      </c>
      <c r="G6436" s="7" t="str">
        <f>LOOKUP(H6436,[1]startdates!$A$2:$A$10,[1]startdates!$B$2:$B$10)</f>
        <v>SMr</v>
      </c>
      <c r="H6436">
        <v>4</v>
      </c>
      <c r="I6436" s="7">
        <v>566</v>
      </c>
      <c r="J6436" s="7">
        <v>499.4</v>
      </c>
      <c r="K6436" s="7">
        <v>506.4</v>
      </c>
      <c r="L6436" s="7">
        <v>426.5</v>
      </c>
      <c r="M6436" s="7">
        <v>312.60000000000002</v>
      </c>
      <c r="N6436" s="7">
        <v>260.3</v>
      </c>
      <c r="O6436" s="7">
        <v>163.4</v>
      </c>
      <c r="P6436" s="7">
        <v>427.7</v>
      </c>
      <c r="Q6436" s="7">
        <v>313.5</v>
      </c>
      <c r="T6436" s="7">
        <v>261.5</v>
      </c>
      <c r="U6436" s="7">
        <v>465.7</v>
      </c>
    </row>
    <row r="6437" spans="1:21" x14ac:dyDescent="0.2">
      <c r="A6437">
        <v>6436</v>
      </c>
      <c r="B6437" s="1">
        <v>40918</v>
      </c>
      <c r="C6437" t="s">
        <v>28</v>
      </c>
      <c r="D6437" s="7">
        <v>178</v>
      </c>
      <c r="E6437" s="7">
        <v>27</v>
      </c>
      <c r="F6437" s="7">
        <f t="shared" si="100"/>
        <v>3</v>
      </c>
      <c r="G6437" s="7" t="str">
        <f>LOOKUP(H6437,[1]startdates!$A$2:$A$10,[1]startdates!$B$2:$B$10)</f>
        <v>SMr</v>
      </c>
      <c r="H6437">
        <v>4</v>
      </c>
      <c r="I6437" s="7">
        <v>585.6</v>
      </c>
      <c r="K6437" s="7">
        <v>441.3</v>
      </c>
      <c r="L6437" s="7">
        <v>410.3</v>
      </c>
      <c r="M6437" s="7">
        <v>297.8</v>
      </c>
      <c r="N6437" s="7">
        <v>225.3</v>
      </c>
      <c r="O6437" s="7">
        <v>148.4</v>
      </c>
      <c r="P6437" s="7">
        <v>396.3</v>
      </c>
      <c r="Q6437" s="7">
        <v>352.4</v>
      </c>
      <c r="U6437" s="7">
        <v>417.4</v>
      </c>
    </row>
    <row r="6438" spans="1:21" x14ac:dyDescent="0.2">
      <c r="A6438">
        <v>6437</v>
      </c>
      <c r="B6438" s="1">
        <v>40918</v>
      </c>
      <c r="C6438" t="s">
        <v>28</v>
      </c>
      <c r="D6438" s="7">
        <v>178</v>
      </c>
      <c r="E6438" s="7">
        <v>27</v>
      </c>
      <c r="F6438" s="7">
        <f t="shared" si="100"/>
        <v>3</v>
      </c>
      <c r="G6438" s="7" t="str">
        <f>LOOKUP(H6438,[1]startdates!$A$2:$A$10,[1]startdates!$B$2:$B$10)</f>
        <v>SMr</v>
      </c>
      <c r="H6438">
        <v>4</v>
      </c>
      <c r="I6438" s="7">
        <v>498.9</v>
      </c>
      <c r="K6438" s="7">
        <v>508.8</v>
      </c>
      <c r="L6438" s="7">
        <v>401.8</v>
      </c>
      <c r="M6438" s="7">
        <v>317.7</v>
      </c>
      <c r="N6438" s="7">
        <v>227.2</v>
      </c>
      <c r="O6438" s="7">
        <v>161.5</v>
      </c>
      <c r="P6438" s="7">
        <v>426.6</v>
      </c>
      <c r="Q6438" s="7">
        <v>329</v>
      </c>
      <c r="U6438" s="7">
        <v>459.6</v>
      </c>
    </row>
    <row r="6439" spans="1:21" x14ac:dyDescent="0.2">
      <c r="A6439">
        <v>6438</v>
      </c>
      <c r="B6439" s="1">
        <v>40918</v>
      </c>
      <c r="C6439" t="s">
        <v>28</v>
      </c>
      <c r="D6439" s="7">
        <v>178</v>
      </c>
      <c r="E6439" s="7">
        <v>27</v>
      </c>
      <c r="F6439" s="7">
        <f t="shared" si="100"/>
        <v>3</v>
      </c>
      <c r="G6439" s="7" t="str">
        <f>LOOKUP(H6439,[1]startdates!$A$2:$A$10,[1]startdates!$B$2:$B$10)</f>
        <v>SMr</v>
      </c>
      <c r="H6439">
        <v>4</v>
      </c>
      <c r="I6439" s="7">
        <v>522.9</v>
      </c>
      <c r="K6439" s="7">
        <v>505.4</v>
      </c>
      <c r="L6439" s="7">
        <v>409.4</v>
      </c>
      <c r="M6439" s="7">
        <v>308.60000000000002</v>
      </c>
      <c r="N6439" s="7">
        <v>237.5</v>
      </c>
      <c r="O6439" s="7">
        <v>159.4</v>
      </c>
      <c r="Q6439" s="7">
        <v>317</v>
      </c>
      <c r="U6439" s="7">
        <v>420.7</v>
      </c>
    </row>
    <row r="6440" spans="1:21" x14ac:dyDescent="0.2">
      <c r="A6440">
        <v>6439</v>
      </c>
      <c r="B6440" s="1">
        <v>40918</v>
      </c>
      <c r="C6440" t="s">
        <v>28</v>
      </c>
      <c r="D6440" s="7">
        <v>178</v>
      </c>
      <c r="E6440" s="7">
        <v>27</v>
      </c>
      <c r="F6440" s="7">
        <f t="shared" si="100"/>
        <v>3</v>
      </c>
      <c r="G6440" s="7" t="str">
        <f>LOOKUP(H6440,[1]startdates!$A$2:$A$10,[1]startdates!$B$2:$B$10)</f>
        <v>SMr</v>
      </c>
      <c r="H6440">
        <v>4</v>
      </c>
      <c r="I6440" s="7">
        <v>595.5</v>
      </c>
      <c r="K6440" s="7">
        <v>412.7</v>
      </c>
      <c r="L6440" s="7">
        <v>408.2</v>
      </c>
      <c r="M6440" s="7">
        <v>294.10000000000002</v>
      </c>
      <c r="N6440" s="7">
        <v>215.5</v>
      </c>
      <c r="O6440" s="7">
        <v>159.80000000000001</v>
      </c>
      <c r="Q6440" s="7">
        <v>337</v>
      </c>
    </row>
    <row r="6441" spans="1:21" x14ac:dyDescent="0.2">
      <c r="A6441">
        <v>6440</v>
      </c>
      <c r="B6441" s="1">
        <v>40918</v>
      </c>
      <c r="C6441" t="s">
        <v>28</v>
      </c>
      <c r="D6441" s="7">
        <v>178</v>
      </c>
      <c r="E6441" s="7">
        <v>27</v>
      </c>
      <c r="F6441" s="7">
        <f t="shared" ref="F6441:F6504" si="101">WEEKDAY(B6441)</f>
        <v>3</v>
      </c>
      <c r="G6441" s="7" t="str">
        <f>LOOKUP(H6441,[1]startdates!$A$2:$A$10,[1]startdates!$B$2:$B$10)</f>
        <v>SMr</v>
      </c>
      <c r="H6441">
        <v>4</v>
      </c>
      <c r="I6441" s="7">
        <v>498.8</v>
      </c>
      <c r="M6441" s="7">
        <v>291.8</v>
      </c>
      <c r="N6441" s="7">
        <v>252.6</v>
      </c>
      <c r="O6441" s="7">
        <v>153.80000000000001</v>
      </c>
    </row>
    <row r="6442" spans="1:21" x14ac:dyDescent="0.2">
      <c r="A6442">
        <v>6441</v>
      </c>
      <c r="B6442" s="1">
        <v>40918</v>
      </c>
      <c r="C6442" t="s">
        <v>28</v>
      </c>
      <c r="D6442" s="7">
        <v>178</v>
      </c>
      <c r="E6442" s="7">
        <v>27</v>
      </c>
      <c r="F6442" s="7">
        <f t="shared" si="101"/>
        <v>3</v>
      </c>
      <c r="G6442" s="7" t="str">
        <f>LOOKUP(H6442,[1]startdates!$A$2:$A$10,[1]startdates!$B$2:$B$10)</f>
        <v>SMr</v>
      </c>
      <c r="H6442">
        <v>4</v>
      </c>
      <c r="I6442" s="7">
        <v>556.79999999999995</v>
      </c>
      <c r="M6442" s="7">
        <v>304</v>
      </c>
      <c r="N6442" s="7">
        <v>231.7</v>
      </c>
      <c r="O6442" s="7">
        <v>178.7</v>
      </c>
    </row>
    <row r="6443" spans="1:21" x14ac:dyDescent="0.2">
      <c r="A6443">
        <v>6442</v>
      </c>
      <c r="B6443" s="1">
        <v>40918</v>
      </c>
      <c r="C6443" t="s">
        <v>28</v>
      </c>
      <c r="D6443" s="7">
        <v>178</v>
      </c>
      <c r="E6443" s="7">
        <v>27</v>
      </c>
      <c r="F6443" s="7">
        <f t="shared" si="101"/>
        <v>3</v>
      </c>
      <c r="G6443" s="7" t="str">
        <f>LOOKUP(H6443,[1]startdates!$A$2:$A$10,[1]startdates!$B$2:$B$10)</f>
        <v>SMr</v>
      </c>
      <c r="H6443">
        <v>4</v>
      </c>
      <c r="I6443" s="7">
        <v>518.79999999999995</v>
      </c>
      <c r="M6443" s="7">
        <v>293.5</v>
      </c>
      <c r="N6443" s="7">
        <v>209.9</v>
      </c>
      <c r="O6443" s="7">
        <v>156</v>
      </c>
    </row>
    <row r="6444" spans="1:21" x14ac:dyDescent="0.2">
      <c r="A6444">
        <v>6443</v>
      </c>
      <c r="B6444" s="1">
        <v>40918</v>
      </c>
      <c r="C6444" t="s">
        <v>28</v>
      </c>
      <c r="D6444" s="7">
        <v>178</v>
      </c>
      <c r="E6444" s="7">
        <v>27</v>
      </c>
      <c r="F6444" s="7">
        <f t="shared" si="101"/>
        <v>3</v>
      </c>
      <c r="G6444" s="7" t="str">
        <f>LOOKUP(H6444,[1]startdates!$A$2:$A$10,[1]startdates!$B$2:$B$10)</f>
        <v>SMr</v>
      </c>
      <c r="H6444">
        <v>4</v>
      </c>
      <c r="I6444" s="7">
        <v>495.7</v>
      </c>
      <c r="M6444" s="7">
        <v>303</v>
      </c>
      <c r="N6444" s="7">
        <v>202.5</v>
      </c>
      <c r="O6444" s="7">
        <v>159.5</v>
      </c>
    </row>
    <row r="6445" spans="1:21" x14ac:dyDescent="0.2">
      <c r="A6445">
        <v>6444</v>
      </c>
      <c r="B6445" s="1">
        <v>40918</v>
      </c>
      <c r="C6445" t="s">
        <v>28</v>
      </c>
      <c r="D6445" s="7">
        <v>178</v>
      </c>
      <c r="E6445" s="7">
        <v>27</v>
      </c>
      <c r="F6445" s="7">
        <f t="shared" si="101"/>
        <v>3</v>
      </c>
      <c r="G6445" s="7" t="str">
        <f>LOOKUP(H6445,[1]startdates!$A$2:$A$10,[1]startdates!$B$2:$B$10)</f>
        <v>SMr</v>
      </c>
      <c r="H6445">
        <v>4</v>
      </c>
      <c r="I6445" s="7">
        <v>568.5</v>
      </c>
      <c r="M6445" s="7">
        <v>320.3</v>
      </c>
      <c r="N6445" s="7">
        <v>194.3</v>
      </c>
      <c r="O6445" s="7">
        <v>156.6</v>
      </c>
    </row>
    <row r="6446" spans="1:21" x14ac:dyDescent="0.2">
      <c r="A6446">
        <v>6445</v>
      </c>
      <c r="B6446" s="1">
        <v>40918</v>
      </c>
      <c r="C6446" t="s">
        <v>28</v>
      </c>
      <c r="D6446" s="7">
        <v>178</v>
      </c>
      <c r="E6446" s="7">
        <v>27</v>
      </c>
      <c r="F6446" s="7">
        <f t="shared" si="101"/>
        <v>3</v>
      </c>
      <c r="G6446" s="7" t="str">
        <f>LOOKUP(H6446,[1]startdates!$A$2:$A$10,[1]startdates!$B$2:$B$10)</f>
        <v>SMr</v>
      </c>
      <c r="H6446">
        <v>4</v>
      </c>
      <c r="M6446" s="7">
        <v>367.2</v>
      </c>
    </row>
    <row r="6447" spans="1:21" x14ac:dyDescent="0.2">
      <c r="A6447">
        <v>6446</v>
      </c>
      <c r="B6447" s="1">
        <v>40918</v>
      </c>
      <c r="C6447" t="s">
        <v>28</v>
      </c>
      <c r="D6447" s="7">
        <v>178</v>
      </c>
      <c r="E6447" s="7">
        <v>27</v>
      </c>
      <c r="F6447" s="7">
        <f t="shared" si="101"/>
        <v>3</v>
      </c>
      <c r="G6447" s="7" t="str">
        <f>LOOKUP(H6447,[1]startdates!$A$2:$A$10,[1]startdates!$B$2:$B$10)</f>
        <v>SMr</v>
      </c>
      <c r="H6447">
        <v>4</v>
      </c>
      <c r="M6447" s="7">
        <v>313.3</v>
      </c>
    </row>
    <row r="6448" spans="1:21" x14ac:dyDescent="0.2">
      <c r="A6448">
        <v>6447</v>
      </c>
      <c r="B6448" s="1">
        <v>40918</v>
      </c>
      <c r="C6448" t="s">
        <v>28</v>
      </c>
      <c r="D6448" s="7">
        <v>178</v>
      </c>
      <c r="E6448" s="7">
        <v>27</v>
      </c>
      <c r="F6448" s="7">
        <f t="shared" si="101"/>
        <v>3</v>
      </c>
      <c r="G6448" s="7" t="str">
        <f>LOOKUP(H6448,[1]startdates!$A$2:$A$10,[1]startdates!$B$2:$B$10)</f>
        <v>C</v>
      </c>
      <c r="H6448">
        <v>5</v>
      </c>
      <c r="I6448" s="7">
        <v>526.5</v>
      </c>
      <c r="J6448" s="7">
        <v>511.8</v>
      </c>
      <c r="K6448" s="7">
        <v>554.5</v>
      </c>
      <c r="L6448" s="7">
        <v>403.7</v>
      </c>
      <c r="M6448" s="7">
        <v>377.2</v>
      </c>
      <c r="N6448" s="7">
        <v>221.7</v>
      </c>
      <c r="O6448" s="7">
        <v>159.5</v>
      </c>
      <c r="P6448" s="7">
        <v>437.5</v>
      </c>
      <c r="Q6448" s="7">
        <v>342.9</v>
      </c>
      <c r="R6448" s="7">
        <v>258.8</v>
      </c>
    </row>
    <row r="6449" spans="1:18" x14ac:dyDescent="0.2">
      <c r="A6449">
        <v>6448</v>
      </c>
      <c r="B6449" s="1">
        <v>40918</v>
      </c>
      <c r="C6449" t="s">
        <v>28</v>
      </c>
      <c r="D6449" s="7">
        <v>178</v>
      </c>
      <c r="E6449" s="7">
        <v>27</v>
      </c>
      <c r="F6449" s="7">
        <f t="shared" si="101"/>
        <v>3</v>
      </c>
      <c r="G6449" s="7" t="str">
        <f>LOOKUP(H6449,[1]startdates!$A$2:$A$10,[1]startdates!$B$2:$B$10)</f>
        <v>C</v>
      </c>
      <c r="H6449">
        <v>5</v>
      </c>
      <c r="I6449" s="7">
        <v>532.70000000000005</v>
      </c>
      <c r="J6449" s="7">
        <v>511.5</v>
      </c>
      <c r="K6449" s="7">
        <v>530.20000000000005</v>
      </c>
      <c r="L6449" s="7">
        <v>416.4</v>
      </c>
      <c r="M6449" s="7">
        <v>307.5</v>
      </c>
      <c r="N6449" s="7">
        <v>214.7</v>
      </c>
      <c r="O6449" s="7">
        <v>146.6</v>
      </c>
      <c r="Q6449" s="7">
        <v>356.2</v>
      </c>
      <c r="R6449" s="7">
        <v>253.6</v>
      </c>
    </row>
    <row r="6450" spans="1:18" x14ac:dyDescent="0.2">
      <c r="A6450">
        <v>6449</v>
      </c>
      <c r="B6450" s="1">
        <v>40918</v>
      </c>
      <c r="C6450" t="s">
        <v>28</v>
      </c>
      <c r="D6450" s="7">
        <v>178</v>
      </c>
      <c r="E6450" s="7">
        <v>27</v>
      </c>
      <c r="F6450" s="7">
        <f t="shared" si="101"/>
        <v>3</v>
      </c>
      <c r="G6450" s="7" t="str">
        <f>LOOKUP(H6450,[1]startdates!$A$2:$A$10,[1]startdates!$B$2:$B$10)</f>
        <v>C</v>
      </c>
      <c r="H6450">
        <v>5</v>
      </c>
      <c r="I6450" s="7">
        <v>595.79999999999995</v>
      </c>
      <c r="J6450" s="7">
        <v>463</v>
      </c>
      <c r="K6450" s="7">
        <v>534.4</v>
      </c>
      <c r="L6450" s="7">
        <v>414</v>
      </c>
      <c r="M6450" s="7">
        <v>290.89999999999998</v>
      </c>
      <c r="N6450" s="7">
        <v>212.2</v>
      </c>
      <c r="O6450" s="7">
        <v>154.69999999999999</v>
      </c>
      <c r="Q6450" s="7">
        <v>316.7</v>
      </c>
      <c r="R6450" s="7">
        <v>250.8</v>
      </c>
    </row>
    <row r="6451" spans="1:18" x14ac:dyDescent="0.2">
      <c r="A6451">
        <v>6450</v>
      </c>
      <c r="B6451" s="1">
        <v>40918</v>
      </c>
      <c r="C6451" t="s">
        <v>28</v>
      </c>
      <c r="D6451" s="7">
        <v>178</v>
      </c>
      <c r="E6451" s="7">
        <v>27</v>
      </c>
      <c r="F6451" s="7">
        <f t="shared" si="101"/>
        <v>3</v>
      </c>
      <c r="G6451" s="7" t="str">
        <f>LOOKUP(H6451,[1]startdates!$A$2:$A$10,[1]startdates!$B$2:$B$10)</f>
        <v>C</v>
      </c>
      <c r="H6451">
        <v>5</v>
      </c>
      <c r="I6451" s="7">
        <v>535.70000000000005</v>
      </c>
      <c r="K6451" s="7">
        <v>512</v>
      </c>
      <c r="L6451" s="7">
        <v>397.3</v>
      </c>
      <c r="M6451" s="7">
        <v>358.6</v>
      </c>
      <c r="N6451" s="7">
        <v>254.3</v>
      </c>
      <c r="O6451" s="7">
        <v>176.8</v>
      </c>
      <c r="Q6451" s="7">
        <v>311.2</v>
      </c>
      <c r="R6451" s="7">
        <v>247.1</v>
      </c>
    </row>
    <row r="6452" spans="1:18" x14ac:dyDescent="0.2">
      <c r="A6452">
        <v>6451</v>
      </c>
      <c r="B6452" s="1">
        <v>40918</v>
      </c>
      <c r="C6452" t="s">
        <v>28</v>
      </c>
      <c r="D6452" s="7">
        <v>178</v>
      </c>
      <c r="E6452" s="7">
        <v>27</v>
      </c>
      <c r="F6452" s="7">
        <f t="shared" si="101"/>
        <v>3</v>
      </c>
      <c r="G6452" s="7" t="str">
        <f>LOOKUP(H6452,[1]startdates!$A$2:$A$10,[1]startdates!$B$2:$B$10)</f>
        <v>C</v>
      </c>
      <c r="H6452">
        <v>5</v>
      </c>
      <c r="I6452" s="7">
        <v>652.1</v>
      </c>
      <c r="K6452" s="7">
        <v>443.3</v>
      </c>
      <c r="M6452" s="7">
        <v>293.8</v>
      </c>
      <c r="N6452" s="7">
        <v>180.6</v>
      </c>
      <c r="O6452" s="7">
        <v>162.19999999999999</v>
      </c>
      <c r="Q6452" s="7">
        <v>332.3</v>
      </c>
      <c r="R6452" s="7">
        <v>247.4</v>
      </c>
    </row>
    <row r="6453" spans="1:18" x14ac:dyDescent="0.2">
      <c r="A6453">
        <v>6452</v>
      </c>
      <c r="B6453" s="1">
        <v>40918</v>
      </c>
      <c r="C6453" t="s">
        <v>28</v>
      </c>
      <c r="D6453" s="7">
        <v>178</v>
      </c>
      <c r="E6453" s="7">
        <v>27</v>
      </c>
      <c r="F6453" s="7">
        <f t="shared" si="101"/>
        <v>3</v>
      </c>
      <c r="G6453" s="7" t="str">
        <f>LOOKUP(H6453,[1]startdates!$A$2:$A$10,[1]startdates!$B$2:$B$10)</f>
        <v>C</v>
      </c>
      <c r="H6453">
        <v>5</v>
      </c>
      <c r="I6453" s="7">
        <v>669.8</v>
      </c>
      <c r="K6453" s="7">
        <v>494.5</v>
      </c>
      <c r="M6453" s="7">
        <v>357.7</v>
      </c>
      <c r="N6453" s="7">
        <v>202.5</v>
      </c>
      <c r="O6453" s="7">
        <v>174.9</v>
      </c>
    </row>
    <row r="6454" spans="1:18" x14ac:dyDescent="0.2">
      <c r="A6454">
        <v>6453</v>
      </c>
      <c r="B6454" s="1">
        <v>40918</v>
      </c>
      <c r="C6454" t="s">
        <v>28</v>
      </c>
      <c r="D6454" s="7">
        <v>178</v>
      </c>
      <c r="E6454" s="7">
        <v>27</v>
      </c>
      <c r="F6454" s="7">
        <f t="shared" si="101"/>
        <v>3</v>
      </c>
      <c r="G6454" s="7" t="str">
        <f>LOOKUP(H6454,[1]startdates!$A$2:$A$10,[1]startdates!$B$2:$B$10)</f>
        <v>C</v>
      </c>
      <c r="H6454">
        <v>5</v>
      </c>
      <c r="I6454" s="7">
        <v>543.6</v>
      </c>
      <c r="M6454" s="7">
        <v>305.5</v>
      </c>
      <c r="N6454" s="7">
        <v>239.3</v>
      </c>
      <c r="O6454" s="7">
        <v>166.8</v>
      </c>
    </row>
    <row r="6455" spans="1:18" x14ac:dyDescent="0.2">
      <c r="A6455">
        <v>6454</v>
      </c>
      <c r="B6455" s="1">
        <v>40918</v>
      </c>
      <c r="C6455" t="s">
        <v>28</v>
      </c>
      <c r="D6455" s="7">
        <v>178</v>
      </c>
      <c r="E6455" s="7">
        <v>27</v>
      </c>
      <c r="F6455" s="7">
        <f t="shared" si="101"/>
        <v>3</v>
      </c>
      <c r="G6455" s="7" t="str">
        <f>LOOKUP(H6455,[1]startdates!$A$2:$A$10,[1]startdates!$B$2:$B$10)</f>
        <v>C</v>
      </c>
      <c r="H6455">
        <v>5</v>
      </c>
      <c r="I6455" s="7">
        <v>651.1</v>
      </c>
      <c r="M6455" s="7">
        <v>315.5</v>
      </c>
      <c r="N6455" s="7">
        <v>269</v>
      </c>
      <c r="O6455" s="7">
        <v>158.1</v>
      </c>
    </row>
    <row r="6456" spans="1:18" x14ac:dyDescent="0.2">
      <c r="A6456">
        <v>6455</v>
      </c>
      <c r="B6456" s="1">
        <v>40918</v>
      </c>
      <c r="C6456" t="s">
        <v>28</v>
      </c>
      <c r="D6456" s="7">
        <v>178</v>
      </c>
      <c r="E6456" s="7">
        <v>27</v>
      </c>
      <c r="F6456" s="7">
        <f t="shared" si="101"/>
        <v>3</v>
      </c>
      <c r="G6456" s="7" t="str">
        <f>LOOKUP(H6456,[1]startdates!$A$2:$A$10,[1]startdates!$B$2:$B$10)</f>
        <v>C</v>
      </c>
      <c r="H6456">
        <v>5</v>
      </c>
      <c r="I6456" s="7">
        <v>606.1</v>
      </c>
      <c r="M6456" s="7">
        <v>321.2</v>
      </c>
      <c r="N6456" s="7">
        <v>184.1</v>
      </c>
      <c r="O6456" s="7">
        <v>193.2</v>
      </c>
    </row>
    <row r="6457" spans="1:18" x14ac:dyDescent="0.2">
      <c r="A6457">
        <v>6456</v>
      </c>
      <c r="B6457" s="1">
        <v>40918</v>
      </c>
      <c r="C6457" t="s">
        <v>28</v>
      </c>
      <c r="D6457" s="7">
        <v>178</v>
      </c>
      <c r="E6457" s="7">
        <v>27</v>
      </c>
      <c r="F6457" s="7">
        <f t="shared" si="101"/>
        <v>3</v>
      </c>
      <c r="G6457" s="7" t="str">
        <f>LOOKUP(H6457,[1]startdates!$A$2:$A$10,[1]startdates!$B$2:$B$10)</f>
        <v>C</v>
      </c>
      <c r="H6457">
        <v>5</v>
      </c>
      <c r="I6457" s="7">
        <v>567.1</v>
      </c>
      <c r="M6457" s="7">
        <v>327.7</v>
      </c>
      <c r="N6457" s="7">
        <v>208.1</v>
      </c>
      <c r="O6457" s="7">
        <v>170.6</v>
      </c>
    </row>
    <row r="6458" spans="1:18" x14ac:dyDescent="0.2">
      <c r="A6458">
        <v>6457</v>
      </c>
      <c r="B6458" s="1">
        <v>40918</v>
      </c>
      <c r="C6458" t="s">
        <v>28</v>
      </c>
      <c r="D6458" s="7">
        <v>178</v>
      </c>
      <c r="E6458" s="7">
        <v>27</v>
      </c>
      <c r="F6458" s="7">
        <f t="shared" si="101"/>
        <v>3</v>
      </c>
      <c r="G6458" s="7" t="str">
        <f>LOOKUP(H6458,[1]startdates!$A$2:$A$10,[1]startdates!$B$2:$B$10)</f>
        <v>FMr</v>
      </c>
      <c r="H6458">
        <v>6</v>
      </c>
      <c r="I6458" s="7">
        <v>627</v>
      </c>
      <c r="K6458" s="7">
        <v>471.6</v>
      </c>
      <c r="L6458" s="7">
        <v>411</v>
      </c>
      <c r="M6458" s="7">
        <v>363.4</v>
      </c>
      <c r="N6458" s="7">
        <v>199.6</v>
      </c>
      <c r="O6458" s="7">
        <v>158.30000000000001</v>
      </c>
      <c r="P6458" s="7">
        <v>467.3</v>
      </c>
      <c r="Q6458" s="7">
        <v>306.10000000000002</v>
      </c>
      <c r="R6458" s="7">
        <v>234</v>
      </c>
    </row>
    <row r="6459" spans="1:18" x14ac:dyDescent="0.2">
      <c r="A6459">
        <v>6458</v>
      </c>
      <c r="B6459" s="1">
        <v>40918</v>
      </c>
      <c r="C6459" t="s">
        <v>28</v>
      </c>
      <c r="D6459" s="7">
        <v>178</v>
      </c>
      <c r="E6459" s="7">
        <v>27</v>
      </c>
      <c r="F6459" s="7">
        <f t="shared" si="101"/>
        <v>3</v>
      </c>
      <c r="G6459" s="7" t="str">
        <f>LOOKUP(H6459,[1]startdates!$A$2:$A$10,[1]startdates!$B$2:$B$10)</f>
        <v>FMr</v>
      </c>
      <c r="H6459">
        <v>6</v>
      </c>
      <c r="I6459" s="7">
        <v>547.70000000000005</v>
      </c>
      <c r="K6459" s="7">
        <v>521.70000000000005</v>
      </c>
      <c r="L6459" s="7">
        <v>451.3</v>
      </c>
      <c r="M6459" s="7">
        <v>337.1</v>
      </c>
      <c r="N6459" s="7">
        <v>262.10000000000002</v>
      </c>
      <c r="O6459" s="7">
        <v>174.6</v>
      </c>
      <c r="P6459" s="7">
        <v>400</v>
      </c>
    </row>
    <row r="6460" spans="1:18" x14ac:dyDescent="0.2">
      <c r="A6460">
        <v>6459</v>
      </c>
      <c r="B6460" s="1">
        <v>40918</v>
      </c>
      <c r="C6460" t="s">
        <v>28</v>
      </c>
      <c r="D6460" s="7">
        <v>178</v>
      </c>
      <c r="E6460" s="7">
        <v>27</v>
      </c>
      <c r="F6460" s="7">
        <f t="shared" si="101"/>
        <v>3</v>
      </c>
      <c r="G6460" s="7" t="str">
        <f>LOOKUP(H6460,[1]startdates!$A$2:$A$10,[1]startdates!$B$2:$B$10)</f>
        <v>FMr</v>
      </c>
      <c r="H6460">
        <v>6</v>
      </c>
      <c r="I6460" s="7">
        <v>660.3</v>
      </c>
      <c r="K6460" s="7">
        <v>495.6</v>
      </c>
      <c r="L6460" s="7">
        <v>404.4</v>
      </c>
      <c r="M6460" s="7">
        <v>383</v>
      </c>
      <c r="N6460" s="7">
        <v>222.9</v>
      </c>
      <c r="O6460" s="7">
        <v>151.1</v>
      </c>
    </row>
    <row r="6461" spans="1:18" x14ac:dyDescent="0.2">
      <c r="A6461">
        <v>6460</v>
      </c>
      <c r="B6461" s="1">
        <v>40918</v>
      </c>
      <c r="C6461" t="s">
        <v>28</v>
      </c>
      <c r="D6461" s="7">
        <v>178</v>
      </c>
      <c r="E6461" s="7">
        <v>27</v>
      </c>
      <c r="F6461" s="7">
        <f t="shared" si="101"/>
        <v>3</v>
      </c>
      <c r="G6461" s="7" t="str">
        <f>LOOKUP(H6461,[1]startdates!$A$2:$A$10,[1]startdates!$B$2:$B$10)</f>
        <v>FMr</v>
      </c>
      <c r="H6461">
        <v>6</v>
      </c>
      <c r="I6461" s="7">
        <v>610.9</v>
      </c>
      <c r="K6461" s="7">
        <v>473</v>
      </c>
      <c r="M6461" s="7">
        <v>349.4</v>
      </c>
      <c r="N6461" s="7">
        <v>260.2</v>
      </c>
      <c r="O6461" s="7">
        <v>149.9</v>
      </c>
    </row>
    <row r="6462" spans="1:18" x14ac:dyDescent="0.2">
      <c r="A6462">
        <v>6461</v>
      </c>
      <c r="B6462" s="1">
        <v>40918</v>
      </c>
      <c r="C6462" t="s">
        <v>28</v>
      </c>
      <c r="D6462" s="7">
        <v>178</v>
      </c>
      <c r="E6462" s="7">
        <v>27</v>
      </c>
      <c r="F6462" s="7">
        <f t="shared" si="101"/>
        <v>3</v>
      </c>
      <c r="G6462" s="7" t="str">
        <f>LOOKUP(H6462,[1]startdates!$A$2:$A$10,[1]startdates!$B$2:$B$10)</f>
        <v>FMr</v>
      </c>
      <c r="H6462">
        <v>6</v>
      </c>
      <c r="I6462" s="7">
        <v>557.5</v>
      </c>
      <c r="K6462" s="7">
        <v>500.8</v>
      </c>
      <c r="M6462" s="7">
        <v>373.2</v>
      </c>
      <c r="N6462" s="7">
        <v>268.2</v>
      </c>
      <c r="O6462" s="7">
        <v>160.80000000000001</v>
      </c>
    </row>
    <row r="6463" spans="1:18" x14ac:dyDescent="0.2">
      <c r="A6463">
        <v>6462</v>
      </c>
      <c r="B6463" s="1">
        <v>40918</v>
      </c>
      <c r="C6463" t="s">
        <v>28</v>
      </c>
      <c r="D6463" s="7">
        <v>178</v>
      </c>
      <c r="E6463" s="7">
        <v>27</v>
      </c>
      <c r="F6463" s="7">
        <f t="shared" si="101"/>
        <v>3</v>
      </c>
      <c r="G6463" s="7" t="str">
        <f>LOOKUP(H6463,[1]startdates!$A$2:$A$10,[1]startdates!$B$2:$B$10)</f>
        <v>FMr</v>
      </c>
      <c r="H6463">
        <v>6</v>
      </c>
      <c r="I6463" s="7">
        <v>641.1</v>
      </c>
      <c r="K6463" s="7">
        <v>520.4</v>
      </c>
      <c r="M6463" s="7">
        <v>337.9</v>
      </c>
      <c r="N6463" s="7">
        <v>215.1</v>
      </c>
      <c r="O6463" s="7">
        <v>153.1</v>
      </c>
    </row>
    <row r="6464" spans="1:18" x14ac:dyDescent="0.2">
      <c r="A6464">
        <v>6463</v>
      </c>
      <c r="B6464" s="1">
        <v>40918</v>
      </c>
      <c r="C6464" t="s">
        <v>28</v>
      </c>
      <c r="D6464" s="7">
        <v>178</v>
      </c>
      <c r="E6464" s="7">
        <v>27</v>
      </c>
      <c r="F6464" s="7">
        <f t="shared" si="101"/>
        <v>3</v>
      </c>
      <c r="G6464" s="7" t="str">
        <f>LOOKUP(H6464,[1]startdates!$A$2:$A$10,[1]startdates!$B$2:$B$10)</f>
        <v>FMr</v>
      </c>
      <c r="H6464">
        <v>6</v>
      </c>
      <c r="I6464" s="7">
        <v>592.6</v>
      </c>
      <c r="M6464" s="7">
        <v>312.39999999999998</v>
      </c>
      <c r="N6464" s="7">
        <v>267.60000000000002</v>
      </c>
      <c r="O6464" s="7">
        <v>165</v>
      </c>
    </row>
    <row r="6465" spans="1:22" x14ac:dyDescent="0.2">
      <c r="A6465">
        <v>6464</v>
      </c>
      <c r="B6465" s="1">
        <v>40918</v>
      </c>
      <c r="C6465" t="s">
        <v>28</v>
      </c>
      <c r="D6465" s="7">
        <v>178</v>
      </c>
      <c r="E6465" s="7">
        <v>27</v>
      </c>
      <c r="F6465" s="7">
        <f t="shared" si="101"/>
        <v>3</v>
      </c>
      <c r="G6465" s="7" t="str">
        <f>LOOKUP(H6465,[1]startdates!$A$2:$A$10,[1]startdates!$B$2:$B$10)</f>
        <v>FMr</v>
      </c>
      <c r="H6465">
        <v>6</v>
      </c>
      <c r="I6465" s="7">
        <v>459.7</v>
      </c>
      <c r="M6465" s="7">
        <v>339.2</v>
      </c>
      <c r="N6465" s="7">
        <v>232.4</v>
      </c>
      <c r="O6465" s="7">
        <v>164.2</v>
      </c>
    </row>
    <row r="6466" spans="1:22" x14ac:dyDescent="0.2">
      <c r="A6466">
        <v>6465</v>
      </c>
      <c r="B6466" s="1">
        <v>40918</v>
      </c>
      <c r="C6466" t="s">
        <v>28</v>
      </c>
      <c r="D6466" s="7">
        <v>178</v>
      </c>
      <c r="E6466" s="7">
        <v>27</v>
      </c>
      <c r="F6466" s="7">
        <f t="shared" si="101"/>
        <v>3</v>
      </c>
      <c r="G6466" s="7" t="str">
        <f>LOOKUP(H6466,[1]startdates!$A$2:$A$10,[1]startdates!$B$2:$B$10)</f>
        <v>FMr</v>
      </c>
      <c r="H6466">
        <v>6</v>
      </c>
      <c r="I6466" s="7">
        <v>577.70000000000005</v>
      </c>
      <c r="M6466" s="7">
        <v>376.2</v>
      </c>
      <c r="N6466" s="7">
        <v>208.4</v>
      </c>
      <c r="O6466" s="7">
        <v>156.19999999999999</v>
      </c>
    </row>
    <row r="6467" spans="1:22" x14ac:dyDescent="0.2">
      <c r="A6467">
        <v>6466</v>
      </c>
      <c r="B6467" s="1">
        <v>40918</v>
      </c>
      <c r="C6467" t="s">
        <v>28</v>
      </c>
      <c r="D6467" s="7">
        <v>178</v>
      </c>
      <c r="E6467" s="7">
        <v>27</v>
      </c>
      <c r="F6467" s="7">
        <f t="shared" si="101"/>
        <v>3</v>
      </c>
      <c r="G6467" s="7" t="str">
        <f>LOOKUP(H6467,[1]startdates!$A$2:$A$10,[1]startdates!$B$2:$B$10)</f>
        <v>FMr</v>
      </c>
      <c r="H6467">
        <v>6</v>
      </c>
      <c r="I6467" s="7">
        <v>497.5</v>
      </c>
      <c r="M6467" s="7">
        <v>292.39999999999998</v>
      </c>
      <c r="N6467" s="7">
        <v>224.9</v>
      </c>
      <c r="O6467" s="7">
        <v>140.9</v>
      </c>
    </row>
    <row r="6468" spans="1:22" x14ac:dyDescent="0.2">
      <c r="A6468">
        <v>6467</v>
      </c>
      <c r="B6468" s="1">
        <v>40918</v>
      </c>
      <c r="C6468" t="s">
        <v>28</v>
      </c>
      <c r="D6468" s="7">
        <v>178</v>
      </c>
      <c r="E6468" s="7">
        <v>27</v>
      </c>
      <c r="F6468" s="7">
        <f t="shared" si="101"/>
        <v>3</v>
      </c>
      <c r="G6468" s="7" t="str">
        <f>LOOKUP(H6468,[1]startdates!$A$2:$A$10,[1]startdates!$B$2:$B$10)</f>
        <v>FMr</v>
      </c>
      <c r="H6468">
        <v>7</v>
      </c>
      <c r="I6468" s="7">
        <v>527.9</v>
      </c>
      <c r="J6468" s="7">
        <v>541.70000000000005</v>
      </c>
      <c r="K6468" s="7">
        <v>529.79999999999995</v>
      </c>
      <c r="L6468" s="7">
        <v>424.8</v>
      </c>
      <c r="M6468" s="7">
        <v>292</v>
      </c>
      <c r="N6468" s="7">
        <v>242.9</v>
      </c>
      <c r="O6468" s="7">
        <v>178.4</v>
      </c>
      <c r="P6468" s="7">
        <v>441.3</v>
      </c>
      <c r="Q6468" s="7">
        <v>379.5</v>
      </c>
      <c r="R6468" s="7">
        <v>230.2</v>
      </c>
      <c r="S6468" s="7">
        <v>263.5</v>
      </c>
      <c r="V6468" s="7">
        <v>500.6</v>
      </c>
    </row>
    <row r="6469" spans="1:22" x14ac:dyDescent="0.2">
      <c r="A6469">
        <v>6468</v>
      </c>
      <c r="B6469" s="1">
        <v>40918</v>
      </c>
      <c r="C6469" t="s">
        <v>28</v>
      </c>
      <c r="D6469" s="7">
        <v>178</v>
      </c>
      <c r="E6469" s="7">
        <v>27</v>
      </c>
      <c r="F6469" s="7">
        <f t="shared" si="101"/>
        <v>3</v>
      </c>
      <c r="G6469" s="7" t="str">
        <f>LOOKUP(H6469,[1]startdates!$A$2:$A$10,[1]startdates!$B$2:$B$10)</f>
        <v>FMr</v>
      </c>
      <c r="H6469">
        <v>7</v>
      </c>
      <c r="I6469" s="7">
        <v>545.70000000000005</v>
      </c>
      <c r="K6469" s="7">
        <v>573</v>
      </c>
      <c r="L6469" s="7">
        <v>409.5</v>
      </c>
      <c r="M6469" s="7">
        <v>333</v>
      </c>
      <c r="N6469" s="7">
        <v>202.5</v>
      </c>
      <c r="O6469" s="7">
        <v>160</v>
      </c>
      <c r="Q6469" s="7">
        <v>387</v>
      </c>
      <c r="R6469" s="7">
        <v>258.39999999999998</v>
      </c>
    </row>
    <row r="6470" spans="1:22" x14ac:dyDescent="0.2">
      <c r="A6470">
        <v>6469</v>
      </c>
      <c r="B6470" s="1">
        <v>40918</v>
      </c>
      <c r="C6470" t="s">
        <v>28</v>
      </c>
      <c r="D6470" s="7">
        <v>178</v>
      </c>
      <c r="E6470" s="7">
        <v>27</v>
      </c>
      <c r="F6470" s="7">
        <f t="shared" si="101"/>
        <v>3</v>
      </c>
      <c r="G6470" s="7" t="str">
        <f>LOOKUP(H6470,[1]startdates!$A$2:$A$10,[1]startdates!$B$2:$B$10)</f>
        <v>FMr</v>
      </c>
      <c r="H6470">
        <v>7</v>
      </c>
      <c r="I6470" s="7">
        <v>669.7</v>
      </c>
      <c r="K6470" s="7">
        <v>492.5</v>
      </c>
      <c r="L6470" s="7">
        <v>422.8</v>
      </c>
      <c r="M6470" s="7">
        <v>338.4</v>
      </c>
      <c r="N6470" s="7">
        <v>276.8</v>
      </c>
      <c r="O6470" s="7">
        <v>148</v>
      </c>
      <c r="Q6470" s="7">
        <v>332.9</v>
      </c>
    </row>
    <row r="6471" spans="1:22" x14ac:dyDescent="0.2">
      <c r="A6471">
        <v>6470</v>
      </c>
      <c r="B6471" s="1">
        <v>40918</v>
      </c>
      <c r="C6471" t="s">
        <v>28</v>
      </c>
      <c r="D6471" s="7">
        <v>178</v>
      </c>
      <c r="E6471" s="7">
        <v>27</v>
      </c>
      <c r="F6471" s="7">
        <f t="shared" si="101"/>
        <v>3</v>
      </c>
      <c r="G6471" s="7" t="str">
        <f>LOOKUP(H6471,[1]startdates!$A$2:$A$10,[1]startdates!$B$2:$B$10)</f>
        <v>FMr</v>
      </c>
      <c r="H6471">
        <v>7</v>
      </c>
      <c r="I6471" s="7">
        <v>646.4</v>
      </c>
      <c r="K6471" s="7">
        <v>583.5</v>
      </c>
      <c r="L6471" s="7">
        <v>443.4</v>
      </c>
      <c r="M6471" s="7">
        <v>321.60000000000002</v>
      </c>
      <c r="N6471" s="7">
        <v>236.1</v>
      </c>
      <c r="O6471" s="7">
        <v>152.6</v>
      </c>
    </row>
    <row r="6472" spans="1:22" x14ac:dyDescent="0.2">
      <c r="A6472">
        <v>6471</v>
      </c>
      <c r="B6472" s="1">
        <v>40918</v>
      </c>
      <c r="C6472" t="s">
        <v>28</v>
      </c>
      <c r="D6472" s="7">
        <v>178</v>
      </c>
      <c r="E6472" s="7">
        <v>27</v>
      </c>
      <c r="F6472" s="7">
        <f t="shared" si="101"/>
        <v>3</v>
      </c>
      <c r="G6472" s="7" t="str">
        <f>LOOKUP(H6472,[1]startdates!$A$2:$A$10,[1]startdates!$B$2:$B$10)</f>
        <v>FMr</v>
      </c>
      <c r="H6472">
        <v>7</v>
      </c>
      <c r="I6472" s="7">
        <v>557</v>
      </c>
      <c r="K6472" s="7">
        <v>517.9</v>
      </c>
      <c r="M6472" s="7">
        <v>373.4</v>
      </c>
      <c r="N6472" s="7">
        <v>274</v>
      </c>
      <c r="O6472" s="7">
        <v>151.6</v>
      </c>
    </row>
    <row r="6473" spans="1:22" x14ac:dyDescent="0.2">
      <c r="A6473">
        <v>6472</v>
      </c>
      <c r="B6473" s="1">
        <v>40918</v>
      </c>
      <c r="C6473" t="s">
        <v>28</v>
      </c>
      <c r="D6473" s="7">
        <v>178</v>
      </c>
      <c r="E6473" s="7">
        <v>27</v>
      </c>
      <c r="F6473" s="7">
        <f t="shared" si="101"/>
        <v>3</v>
      </c>
      <c r="G6473" s="7" t="str">
        <f>LOOKUP(H6473,[1]startdates!$A$2:$A$10,[1]startdates!$B$2:$B$10)</f>
        <v>FMr</v>
      </c>
      <c r="H6473">
        <v>7</v>
      </c>
      <c r="I6473" s="7">
        <v>604.1</v>
      </c>
      <c r="M6473" s="7">
        <v>336</v>
      </c>
      <c r="N6473" s="7">
        <v>207.3</v>
      </c>
      <c r="O6473" s="7">
        <v>159.5</v>
      </c>
    </row>
    <row r="6474" spans="1:22" x14ac:dyDescent="0.2">
      <c r="A6474">
        <v>6473</v>
      </c>
      <c r="B6474" s="1">
        <v>40918</v>
      </c>
      <c r="C6474" t="s">
        <v>28</v>
      </c>
      <c r="D6474" s="7">
        <v>178</v>
      </c>
      <c r="E6474" s="7">
        <v>27</v>
      </c>
      <c r="F6474" s="7">
        <f t="shared" si="101"/>
        <v>3</v>
      </c>
      <c r="G6474" s="7" t="str">
        <f>LOOKUP(H6474,[1]startdates!$A$2:$A$10,[1]startdates!$B$2:$B$10)</f>
        <v>FMr</v>
      </c>
      <c r="H6474">
        <v>7</v>
      </c>
      <c r="I6474" s="7">
        <v>574.1</v>
      </c>
      <c r="M6474" s="7">
        <v>363.3</v>
      </c>
      <c r="N6474" s="7">
        <v>245.4</v>
      </c>
      <c r="O6474" s="7">
        <v>154.9</v>
      </c>
    </row>
    <row r="6475" spans="1:22" x14ac:dyDescent="0.2">
      <c r="A6475">
        <v>6474</v>
      </c>
      <c r="B6475" s="1">
        <v>40918</v>
      </c>
      <c r="C6475" t="s">
        <v>28</v>
      </c>
      <c r="D6475" s="7">
        <v>178</v>
      </c>
      <c r="E6475" s="7">
        <v>27</v>
      </c>
      <c r="F6475" s="7">
        <f t="shared" si="101"/>
        <v>3</v>
      </c>
      <c r="G6475" s="7" t="str">
        <f>LOOKUP(H6475,[1]startdates!$A$2:$A$10,[1]startdates!$B$2:$B$10)</f>
        <v>FMr</v>
      </c>
      <c r="H6475">
        <v>7</v>
      </c>
      <c r="I6475" s="7">
        <v>547.29999999999995</v>
      </c>
      <c r="M6475" s="7">
        <v>339.1</v>
      </c>
      <c r="N6475" s="7">
        <v>216.1</v>
      </c>
      <c r="O6475" s="7">
        <v>148.4</v>
      </c>
    </row>
    <row r="6476" spans="1:22" x14ac:dyDescent="0.2">
      <c r="A6476">
        <v>6475</v>
      </c>
      <c r="B6476" s="1">
        <v>40918</v>
      </c>
      <c r="C6476" t="s">
        <v>28</v>
      </c>
      <c r="D6476" s="7">
        <v>178</v>
      </c>
      <c r="E6476" s="7">
        <v>27</v>
      </c>
      <c r="F6476" s="7">
        <f t="shared" si="101"/>
        <v>3</v>
      </c>
      <c r="G6476" s="7" t="str">
        <f>LOOKUP(H6476,[1]startdates!$A$2:$A$10,[1]startdates!$B$2:$B$10)</f>
        <v>FMr</v>
      </c>
      <c r="H6476">
        <v>7</v>
      </c>
      <c r="I6476" s="7">
        <v>581.29999999999995</v>
      </c>
      <c r="M6476" s="7">
        <v>342.5</v>
      </c>
      <c r="N6476" s="7">
        <v>249.4</v>
      </c>
      <c r="O6476" s="7">
        <v>151.69999999999999</v>
      </c>
    </row>
    <row r="6477" spans="1:22" x14ac:dyDescent="0.2">
      <c r="A6477">
        <v>6476</v>
      </c>
      <c r="B6477" s="1">
        <v>40918</v>
      </c>
      <c r="C6477" t="s">
        <v>28</v>
      </c>
      <c r="D6477" s="7">
        <v>178</v>
      </c>
      <c r="E6477" s="7">
        <v>27</v>
      </c>
      <c r="F6477" s="7">
        <f t="shared" si="101"/>
        <v>3</v>
      </c>
      <c r="G6477" s="7" t="str">
        <f>LOOKUP(H6477,[1]startdates!$A$2:$A$10,[1]startdates!$B$2:$B$10)</f>
        <v>FMr</v>
      </c>
      <c r="H6477">
        <v>7</v>
      </c>
      <c r="I6477" s="7">
        <v>697.9</v>
      </c>
      <c r="M6477" s="7">
        <v>299</v>
      </c>
      <c r="N6477" s="7">
        <v>229</v>
      </c>
      <c r="O6477" s="7">
        <v>162</v>
      </c>
    </row>
    <row r="6478" spans="1:22" x14ac:dyDescent="0.2">
      <c r="A6478">
        <v>6477</v>
      </c>
      <c r="B6478" s="1">
        <v>40918</v>
      </c>
      <c r="C6478" t="s">
        <v>28</v>
      </c>
      <c r="D6478" s="7">
        <v>178</v>
      </c>
      <c r="E6478" s="7">
        <v>27</v>
      </c>
      <c r="F6478" s="7">
        <f t="shared" si="101"/>
        <v>3</v>
      </c>
      <c r="G6478" s="7" t="str">
        <f>LOOKUP(H6478,[1]startdates!$A$2:$A$10,[1]startdates!$B$2:$B$10)</f>
        <v>FMr</v>
      </c>
      <c r="H6478">
        <v>7</v>
      </c>
      <c r="I6478" s="7">
        <v>549.20000000000005</v>
      </c>
      <c r="O6478" s="7">
        <v>153.80000000000001</v>
      </c>
    </row>
    <row r="6479" spans="1:22" x14ac:dyDescent="0.2">
      <c r="A6479">
        <v>6478</v>
      </c>
      <c r="B6479" s="1">
        <v>40918</v>
      </c>
      <c r="C6479" t="s">
        <v>28</v>
      </c>
      <c r="D6479" s="7">
        <v>178</v>
      </c>
      <c r="E6479" s="7">
        <v>27</v>
      </c>
      <c r="F6479" s="7">
        <f t="shared" si="101"/>
        <v>3</v>
      </c>
      <c r="G6479" s="7" t="str">
        <f>LOOKUP(H6479,[1]startdates!$A$2:$A$10,[1]startdates!$B$2:$B$10)</f>
        <v>C</v>
      </c>
      <c r="H6479">
        <v>8</v>
      </c>
      <c r="I6479" s="7">
        <v>591</v>
      </c>
      <c r="J6479" s="7">
        <v>513.79999999999995</v>
      </c>
      <c r="K6479" s="7">
        <v>553.6</v>
      </c>
      <c r="L6479" s="7">
        <v>407.5</v>
      </c>
      <c r="M6479" s="7">
        <v>343.5</v>
      </c>
      <c r="N6479" s="7">
        <v>257.89999999999998</v>
      </c>
      <c r="O6479" s="7">
        <v>163.4</v>
      </c>
      <c r="P6479" s="7">
        <v>463.5</v>
      </c>
      <c r="Q6479" s="7">
        <v>320.8</v>
      </c>
      <c r="R6479" s="7">
        <v>246.9</v>
      </c>
      <c r="S6479" s="7">
        <v>238.6</v>
      </c>
    </row>
    <row r="6480" spans="1:22" x14ac:dyDescent="0.2">
      <c r="A6480">
        <v>6479</v>
      </c>
      <c r="B6480" s="1">
        <v>40918</v>
      </c>
      <c r="C6480" t="s">
        <v>28</v>
      </c>
      <c r="D6480" s="7">
        <v>178</v>
      </c>
      <c r="E6480" s="7">
        <v>27</v>
      </c>
      <c r="F6480" s="7">
        <f t="shared" si="101"/>
        <v>3</v>
      </c>
      <c r="G6480" s="7" t="str">
        <f>LOOKUP(H6480,[1]startdates!$A$2:$A$10,[1]startdates!$B$2:$B$10)</f>
        <v>C</v>
      </c>
      <c r="H6480">
        <v>8</v>
      </c>
      <c r="I6480" s="7">
        <v>573</v>
      </c>
      <c r="J6480" s="7">
        <v>513.5</v>
      </c>
      <c r="K6480" s="7">
        <v>504.6</v>
      </c>
      <c r="L6480" s="7">
        <v>419.8</v>
      </c>
      <c r="M6480" s="7">
        <v>312.39999999999998</v>
      </c>
      <c r="N6480" s="7">
        <v>177.7</v>
      </c>
      <c r="O6480" s="7">
        <v>157</v>
      </c>
      <c r="P6480" s="7">
        <v>469.3</v>
      </c>
      <c r="R6480" s="7">
        <v>254.3</v>
      </c>
    </row>
    <row r="6481" spans="1:19" x14ac:dyDescent="0.2">
      <c r="A6481">
        <v>6480</v>
      </c>
      <c r="B6481" s="1">
        <v>40918</v>
      </c>
      <c r="C6481" t="s">
        <v>28</v>
      </c>
      <c r="D6481" s="7">
        <v>178</v>
      </c>
      <c r="E6481" s="7">
        <v>27</v>
      </c>
      <c r="F6481" s="7">
        <f t="shared" si="101"/>
        <v>3</v>
      </c>
      <c r="G6481" s="7" t="str">
        <f>LOOKUP(H6481,[1]startdates!$A$2:$A$10,[1]startdates!$B$2:$B$10)</f>
        <v>C</v>
      </c>
      <c r="H6481">
        <v>8</v>
      </c>
      <c r="I6481" s="7">
        <v>591.5</v>
      </c>
      <c r="J6481" s="7">
        <v>565.4</v>
      </c>
      <c r="K6481" s="7">
        <v>575</v>
      </c>
      <c r="L6481" s="7">
        <v>437.6</v>
      </c>
      <c r="M6481" s="7">
        <v>337.6</v>
      </c>
      <c r="N6481" s="7">
        <v>272.2</v>
      </c>
      <c r="O6481" s="7">
        <v>163.1</v>
      </c>
      <c r="P6481" s="7">
        <v>460.6</v>
      </c>
      <c r="R6481" s="7">
        <v>233</v>
      </c>
    </row>
    <row r="6482" spans="1:19" x14ac:dyDescent="0.2">
      <c r="A6482">
        <v>6481</v>
      </c>
      <c r="B6482" s="1">
        <v>40918</v>
      </c>
      <c r="C6482" t="s">
        <v>28</v>
      </c>
      <c r="D6482" s="7">
        <v>178</v>
      </c>
      <c r="E6482" s="7">
        <v>27</v>
      </c>
      <c r="F6482" s="7">
        <f t="shared" si="101"/>
        <v>3</v>
      </c>
      <c r="G6482" s="7" t="str">
        <f>LOOKUP(H6482,[1]startdates!$A$2:$A$10,[1]startdates!$B$2:$B$10)</f>
        <v>C</v>
      </c>
      <c r="H6482">
        <v>8</v>
      </c>
      <c r="I6482" s="7">
        <v>591.4</v>
      </c>
      <c r="J6482" s="7">
        <v>556.5</v>
      </c>
      <c r="K6482" s="7">
        <v>553</v>
      </c>
      <c r="L6482" s="7">
        <v>399.3</v>
      </c>
      <c r="M6482" s="7">
        <v>360.9</v>
      </c>
      <c r="N6482" s="7">
        <v>221.5</v>
      </c>
      <c r="O6482" s="7">
        <v>167.9</v>
      </c>
      <c r="R6482" s="7">
        <v>250</v>
      </c>
    </row>
    <row r="6483" spans="1:19" x14ac:dyDescent="0.2">
      <c r="A6483">
        <v>6482</v>
      </c>
      <c r="B6483" s="1">
        <v>40918</v>
      </c>
      <c r="C6483" t="s">
        <v>28</v>
      </c>
      <c r="D6483" s="7">
        <v>178</v>
      </c>
      <c r="E6483" s="7">
        <v>27</v>
      </c>
      <c r="F6483" s="7">
        <f t="shared" si="101"/>
        <v>3</v>
      </c>
      <c r="G6483" s="7" t="str">
        <f>LOOKUP(H6483,[1]startdates!$A$2:$A$10,[1]startdates!$B$2:$B$10)</f>
        <v>C</v>
      </c>
      <c r="H6483">
        <v>8</v>
      </c>
      <c r="I6483" s="7">
        <v>671.7</v>
      </c>
      <c r="J6483" s="7">
        <v>529.5</v>
      </c>
      <c r="M6483" s="7">
        <v>303.3</v>
      </c>
      <c r="N6483" s="7">
        <v>192.9</v>
      </c>
      <c r="O6483" s="7">
        <v>164</v>
      </c>
    </row>
    <row r="6484" spans="1:19" x14ac:dyDescent="0.2">
      <c r="A6484">
        <v>6483</v>
      </c>
      <c r="B6484" s="1">
        <v>40918</v>
      </c>
      <c r="C6484" t="s">
        <v>28</v>
      </c>
      <c r="D6484" s="7">
        <v>178</v>
      </c>
      <c r="E6484" s="7">
        <v>27</v>
      </c>
      <c r="F6484" s="7">
        <f t="shared" si="101"/>
        <v>3</v>
      </c>
      <c r="G6484" s="7" t="str">
        <f>LOOKUP(H6484,[1]startdates!$A$2:$A$10,[1]startdates!$B$2:$B$10)</f>
        <v>C</v>
      </c>
      <c r="H6484">
        <v>8</v>
      </c>
      <c r="I6484" s="7">
        <v>579.20000000000005</v>
      </c>
      <c r="J6484" s="7">
        <v>496.9</v>
      </c>
      <c r="M6484" s="7">
        <v>295.10000000000002</v>
      </c>
      <c r="N6484" s="7">
        <v>218.1</v>
      </c>
      <c r="O6484" s="7">
        <v>173.1</v>
      </c>
    </row>
    <row r="6485" spans="1:19" x14ac:dyDescent="0.2">
      <c r="A6485">
        <v>6484</v>
      </c>
      <c r="B6485" s="1">
        <v>40918</v>
      </c>
      <c r="C6485" t="s">
        <v>28</v>
      </c>
      <c r="D6485" s="7">
        <v>178</v>
      </c>
      <c r="E6485" s="7">
        <v>27</v>
      </c>
      <c r="F6485" s="7">
        <f t="shared" si="101"/>
        <v>3</v>
      </c>
      <c r="G6485" s="7" t="str">
        <f>LOOKUP(H6485,[1]startdates!$A$2:$A$10,[1]startdates!$B$2:$B$10)</f>
        <v>C</v>
      </c>
      <c r="H6485">
        <v>8</v>
      </c>
      <c r="I6485" s="7">
        <v>635.4</v>
      </c>
      <c r="M6485" s="7">
        <v>330.2</v>
      </c>
      <c r="N6485" s="7">
        <v>202.2</v>
      </c>
      <c r="O6485" s="7">
        <v>164.2</v>
      </c>
    </row>
    <row r="6486" spans="1:19" x14ac:dyDescent="0.2">
      <c r="A6486">
        <v>6485</v>
      </c>
      <c r="B6486" s="1">
        <v>40918</v>
      </c>
      <c r="C6486" t="s">
        <v>28</v>
      </c>
      <c r="D6486" s="7">
        <v>178</v>
      </c>
      <c r="E6486" s="7">
        <v>27</v>
      </c>
      <c r="F6486" s="7">
        <f t="shared" si="101"/>
        <v>3</v>
      </c>
      <c r="G6486" s="7" t="str">
        <f>LOOKUP(H6486,[1]startdates!$A$2:$A$10,[1]startdates!$B$2:$B$10)</f>
        <v>C</v>
      </c>
      <c r="H6486">
        <v>8</v>
      </c>
      <c r="I6486" s="7">
        <v>592.20000000000005</v>
      </c>
      <c r="M6486" s="7">
        <v>379.6</v>
      </c>
      <c r="N6486" s="7">
        <v>238.1</v>
      </c>
      <c r="O6486" s="7">
        <v>140.1</v>
      </c>
    </row>
    <row r="6487" spans="1:19" x14ac:dyDescent="0.2">
      <c r="A6487">
        <v>6486</v>
      </c>
      <c r="B6487" s="1">
        <v>40918</v>
      </c>
      <c r="C6487" t="s">
        <v>28</v>
      </c>
      <c r="D6487" s="7">
        <v>178</v>
      </c>
      <c r="E6487" s="7">
        <v>27</v>
      </c>
      <c r="F6487" s="7">
        <f t="shared" si="101"/>
        <v>3</v>
      </c>
      <c r="G6487" s="7" t="str">
        <f>LOOKUP(H6487,[1]startdates!$A$2:$A$10,[1]startdates!$B$2:$B$10)</f>
        <v>C</v>
      </c>
      <c r="H6487">
        <v>8</v>
      </c>
      <c r="I6487" s="7">
        <v>670.9</v>
      </c>
      <c r="M6487" s="7">
        <v>346.6</v>
      </c>
      <c r="N6487" s="7">
        <v>262.7</v>
      </c>
      <c r="O6487" s="7">
        <v>153.80000000000001</v>
      </c>
    </row>
    <row r="6488" spans="1:19" x14ac:dyDescent="0.2">
      <c r="A6488">
        <v>6487</v>
      </c>
      <c r="B6488" s="1">
        <v>40918</v>
      </c>
      <c r="C6488" t="s">
        <v>28</v>
      </c>
      <c r="D6488" s="7">
        <v>178</v>
      </c>
      <c r="E6488" s="7">
        <v>27</v>
      </c>
      <c r="F6488" s="7">
        <f t="shared" si="101"/>
        <v>3</v>
      </c>
      <c r="G6488" s="7" t="str">
        <f>LOOKUP(H6488,[1]startdates!$A$2:$A$10,[1]startdates!$B$2:$B$10)</f>
        <v>C</v>
      </c>
      <c r="H6488">
        <v>8</v>
      </c>
      <c r="I6488" s="7">
        <v>616.20000000000005</v>
      </c>
      <c r="M6488" s="7">
        <v>333</v>
      </c>
      <c r="N6488" s="7">
        <v>240.4</v>
      </c>
      <c r="O6488" s="7">
        <v>156.5</v>
      </c>
    </row>
    <row r="6489" spans="1:19" x14ac:dyDescent="0.2">
      <c r="A6489">
        <v>6488</v>
      </c>
      <c r="B6489" s="1">
        <v>40918</v>
      </c>
      <c r="C6489" t="s">
        <v>28</v>
      </c>
      <c r="D6489" s="7">
        <v>178</v>
      </c>
      <c r="E6489" s="7">
        <v>27</v>
      </c>
      <c r="F6489" s="7">
        <f t="shared" si="101"/>
        <v>3</v>
      </c>
      <c r="G6489" s="7" t="str">
        <f>LOOKUP(H6489,[1]startdates!$A$2:$A$10,[1]startdates!$B$2:$B$10)</f>
        <v>C</v>
      </c>
      <c r="H6489">
        <v>8</v>
      </c>
      <c r="O6489" s="7">
        <v>158.1</v>
      </c>
    </row>
    <row r="6490" spans="1:19" x14ac:dyDescent="0.2">
      <c r="A6490">
        <v>6489</v>
      </c>
      <c r="B6490" s="1">
        <v>40918</v>
      </c>
      <c r="C6490" t="s">
        <v>28</v>
      </c>
      <c r="D6490" s="7">
        <v>178</v>
      </c>
      <c r="E6490" s="7">
        <v>27</v>
      </c>
      <c r="F6490" s="7">
        <f t="shared" si="101"/>
        <v>3</v>
      </c>
      <c r="G6490" s="7" t="str">
        <f>LOOKUP(H6490,[1]startdates!$A$2:$A$10,[1]startdates!$B$2:$B$10)</f>
        <v>FMr</v>
      </c>
      <c r="H6490">
        <v>9</v>
      </c>
      <c r="I6490" s="7">
        <v>539.1</v>
      </c>
      <c r="J6490" s="7">
        <v>445.5</v>
      </c>
      <c r="K6490" s="7">
        <v>546.70000000000005</v>
      </c>
      <c r="L6490" s="7">
        <v>413.4</v>
      </c>
      <c r="M6490" s="7">
        <v>349.8</v>
      </c>
      <c r="N6490" s="7">
        <v>220.7</v>
      </c>
      <c r="O6490" s="7">
        <v>144.9</v>
      </c>
      <c r="Q6490" s="7">
        <v>389.7</v>
      </c>
      <c r="R6490" s="7">
        <v>275</v>
      </c>
      <c r="S6490" s="7">
        <v>230.6</v>
      </c>
    </row>
    <row r="6491" spans="1:19" x14ac:dyDescent="0.2">
      <c r="A6491">
        <v>6490</v>
      </c>
      <c r="B6491" s="1">
        <v>40918</v>
      </c>
      <c r="C6491" t="s">
        <v>28</v>
      </c>
      <c r="D6491" s="7">
        <v>178</v>
      </c>
      <c r="E6491" s="7">
        <v>27</v>
      </c>
      <c r="F6491" s="7">
        <f t="shared" si="101"/>
        <v>3</v>
      </c>
      <c r="G6491" s="7" t="str">
        <f>LOOKUP(H6491,[1]startdates!$A$2:$A$10,[1]startdates!$B$2:$B$10)</f>
        <v>FMr</v>
      </c>
      <c r="H6491">
        <v>9</v>
      </c>
      <c r="I6491" s="7">
        <v>488.3</v>
      </c>
      <c r="K6491" s="7">
        <v>528.5</v>
      </c>
      <c r="L6491" s="7">
        <v>409.7</v>
      </c>
      <c r="M6491" s="7">
        <v>354.6</v>
      </c>
      <c r="N6491" s="7">
        <v>265.2</v>
      </c>
      <c r="O6491" s="7">
        <v>156.30000000000001</v>
      </c>
    </row>
    <row r="6492" spans="1:19" x14ac:dyDescent="0.2">
      <c r="A6492">
        <v>6491</v>
      </c>
      <c r="B6492" s="1">
        <v>40918</v>
      </c>
      <c r="C6492" t="s">
        <v>28</v>
      </c>
      <c r="D6492" s="7">
        <v>178</v>
      </c>
      <c r="E6492" s="7">
        <v>27</v>
      </c>
      <c r="F6492" s="7">
        <f t="shared" si="101"/>
        <v>3</v>
      </c>
      <c r="G6492" s="7" t="str">
        <f>LOOKUP(H6492,[1]startdates!$A$2:$A$10,[1]startdates!$B$2:$B$10)</f>
        <v>FMr</v>
      </c>
      <c r="H6492">
        <v>9</v>
      </c>
      <c r="I6492" s="7">
        <v>568</v>
      </c>
      <c r="K6492" s="7">
        <v>481.1</v>
      </c>
      <c r="L6492" s="7">
        <v>423.8</v>
      </c>
      <c r="M6492" s="7">
        <v>296.8</v>
      </c>
      <c r="N6492" s="7">
        <v>238.9</v>
      </c>
      <c r="O6492" s="7">
        <v>151.4</v>
      </c>
    </row>
    <row r="6493" spans="1:19" x14ac:dyDescent="0.2">
      <c r="A6493">
        <v>6492</v>
      </c>
      <c r="B6493" s="1">
        <v>40918</v>
      </c>
      <c r="C6493" t="s">
        <v>28</v>
      </c>
      <c r="D6493" s="7">
        <v>178</v>
      </c>
      <c r="E6493" s="7">
        <v>27</v>
      </c>
      <c r="F6493" s="7">
        <f t="shared" si="101"/>
        <v>3</v>
      </c>
      <c r="G6493" s="7" t="str">
        <f>LOOKUP(H6493,[1]startdates!$A$2:$A$10,[1]startdates!$B$2:$B$10)</f>
        <v>FMr</v>
      </c>
      <c r="H6493">
        <v>9</v>
      </c>
      <c r="I6493" s="7">
        <v>532.29999999999995</v>
      </c>
      <c r="K6493" s="7">
        <v>515.79999999999995</v>
      </c>
      <c r="L6493" s="7">
        <v>394</v>
      </c>
      <c r="M6493" s="7">
        <v>291.60000000000002</v>
      </c>
      <c r="N6493" s="7">
        <v>227.3</v>
      </c>
      <c r="O6493" s="7">
        <v>161.4</v>
      </c>
    </row>
    <row r="6494" spans="1:19" x14ac:dyDescent="0.2">
      <c r="A6494">
        <v>6493</v>
      </c>
      <c r="B6494" s="1">
        <v>40918</v>
      </c>
      <c r="C6494" t="s">
        <v>28</v>
      </c>
      <c r="D6494" s="7">
        <v>178</v>
      </c>
      <c r="E6494" s="7">
        <v>27</v>
      </c>
      <c r="F6494" s="7">
        <f t="shared" si="101"/>
        <v>3</v>
      </c>
      <c r="G6494" s="7" t="str">
        <f>LOOKUP(H6494,[1]startdates!$A$2:$A$10,[1]startdates!$B$2:$B$10)</f>
        <v>FMr</v>
      </c>
      <c r="H6494">
        <v>9</v>
      </c>
      <c r="I6494" s="7">
        <v>622.4</v>
      </c>
      <c r="K6494" s="7">
        <v>466.1</v>
      </c>
      <c r="L6494" s="7">
        <v>429.1</v>
      </c>
      <c r="M6494" s="7">
        <v>300.2</v>
      </c>
      <c r="N6494" s="7">
        <v>191.5</v>
      </c>
      <c r="O6494" s="7">
        <v>137.5</v>
      </c>
    </row>
    <row r="6495" spans="1:19" x14ac:dyDescent="0.2">
      <c r="A6495">
        <v>6494</v>
      </c>
      <c r="B6495" s="1">
        <v>40918</v>
      </c>
      <c r="C6495" t="s">
        <v>28</v>
      </c>
      <c r="D6495" s="7">
        <v>178</v>
      </c>
      <c r="E6495" s="7">
        <v>27</v>
      </c>
      <c r="F6495" s="7">
        <f t="shared" si="101"/>
        <v>3</v>
      </c>
      <c r="G6495" s="7" t="str">
        <f>LOOKUP(H6495,[1]startdates!$A$2:$A$10,[1]startdates!$B$2:$B$10)</f>
        <v>FMr</v>
      </c>
      <c r="H6495">
        <v>9</v>
      </c>
      <c r="I6495" s="7">
        <v>565.4</v>
      </c>
      <c r="K6495" s="7">
        <v>470.4</v>
      </c>
      <c r="M6495" s="7">
        <v>299</v>
      </c>
      <c r="N6495" s="7">
        <v>236.9</v>
      </c>
      <c r="O6495" s="7">
        <v>171.2</v>
      </c>
    </row>
    <row r="6496" spans="1:19" x14ac:dyDescent="0.2">
      <c r="A6496">
        <v>6495</v>
      </c>
      <c r="B6496" s="1">
        <v>40918</v>
      </c>
      <c r="C6496" t="s">
        <v>28</v>
      </c>
      <c r="D6496" s="7">
        <v>178</v>
      </c>
      <c r="E6496" s="7">
        <v>27</v>
      </c>
      <c r="F6496" s="7">
        <f t="shared" si="101"/>
        <v>3</v>
      </c>
      <c r="G6496" s="7" t="str">
        <f>LOOKUP(H6496,[1]startdates!$A$2:$A$10,[1]startdates!$B$2:$B$10)</f>
        <v>FMr</v>
      </c>
      <c r="H6496">
        <v>9</v>
      </c>
      <c r="I6496" s="7">
        <v>596.6</v>
      </c>
      <c r="K6496" s="7">
        <v>475.3</v>
      </c>
      <c r="M6496" s="7">
        <v>343.8</v>
      </c>
      <c r="N6496" s="7">
        <v>212.4</v>
      </c>
      <c r="O6496" s="7">
        <v>153.1</v>
      </c>
    </row>
    <row r="6497" spans="1:19" x14ac:dyDescent="0.2">
      <c r="A6497">
        <v>6496</v>
      </c>
      <c r="B6497" s="1">
        <v>40918</v>
      </c>
      <c r="C6497" t="s">
        <v>28</v>
      </c>
      <c r="D6497" s="7">
        <v>178</v>
      </c>
      <c r="E6497" s="7">
        <v>27</v>
      </c>
      <c r="F6497" s="7">
        <f t="shared" si="101"/>
        <v>3</v>
      </c>
      <c r="G6497" s="7" t="str">
        <f>LOOKUP(H6497,[1]startdates!$A$2:$A$10,[1]startdates!$B$2:$B$10)</f>
        <v>FMr</v>
      </c>
      <c r="H6497">
        <v>9</v>
      </c>
      <c r="I6497" s="7">
        <v>632.1</v>
      </c>
      <c r="K6497" s="7">
        <v>474.4</v>
      </c>
      <c r="M6497" s="7">
        <v>313.10000000000002</v>
      </c>
      <c r="N6497" s="7">
        <v>266.60000000000002</v>
      </c>
      <c r="O6497" s="7">
        <v>150.19999999999999</v>
      </c>
    </row>
    <row r="6498" spans="1:19" x14ac:dyDescent="0.2">
      <c r="A6498">
        <v>6497</v>
      </c>
      <c r="B6498" s="1">
        <v>40918</v>
      </c>
      <c r="C6498" t="s">
        <v>28</v>
      </c>
      <c r="D6498" s="7">
        <v>178</v>
      </c>
      <c r="E6498" s="7">
        <v>27</v>
      </c>
      <c r="F6498" s="7">
        <f t="shared" si="101"/>
        <v>3</v>
      </c>
      <c r="G6498" s="7" t="str">
        <f>LOOKUP(H6498,[1]startdates!$A$2:$A$10,[1]startdates!$B$2:$B$10)</f>
        <v>FMr</v>
      </c>
      <c r="H6498">
        <v>9</v>
      </c>
      <c r="I6498" s="7">
        <v>552.6</v>
      </c>
      <c r="K6498" s="7">
        <v>545.1</v>
      </c>
      <c r="M6498" s="7">
        <v>343.2</v>
      </c>
      <c r="N6498" s="7">
        <v>224.7</v>
      </c>
      <c r="O6498" s="7">
        <v>155.30000000000001</v>
      </c>
    </row>
    <row r="6499" spans="1:19" x14ac:dyDescent="0.2">
      <c r="A6499">
        <v>6498</v>
      </c>
      <c r="B6499" s="1">
        <v>40918</v>
      </c>
      <c r="C6499" t="s">
        <v>28</v>
      </c>
      <c r="D6499" s="7">
        <v>178</v>
      </c>
      <c r="E6499" s="7">
        <v>27</v>
      </c>
      <c r="F6499" s="7">
        <f t="shared" si="101"/>
        <v>3</v>
      </c>
      <c r="G6499" s="7" t="str">
        <f>LOOKUP(H6499,[1]startdates!$A$2:$A$10,[1]startdates!$B$2:$B$10)</f>
        <v>FMr</v>
      </c>
      <c r="H6499">
        <v>9</v>
      </c>
      <c r="I6499" s="7">
        <v>622.20000000000005</v>
      </c>
      <c r="K6499" s="7">
        <v>466.7</v>
      </c>
      <c r="M6499" s="7">
        <v>329.2</v>
      </c>
      <c r="N6499" s="7">
        <v>232.5</v>
      </c>
      <c r="O6499" s="7">
        <v>154.69999999999999</v>
      </c>
    </row>
    <row r="6500" spans="1:19" x14ac:dyDescent="0.2">
      <c r="A6500">
        <v>6499</v>
      </c>
      <c r="B6500" s="1">
        <v>40918</v>
      </c>
      <c r="C6500" t="s">
        <v>28</v>
      </c>
      <c r="D6500" s="7">
        <v>178</v>
      </c>
      <c r="E6500" s="7">
        <v>27</v>
      </c>
      <c r="F6500" s="7">
        <f t="shared" si="101"/>
        <v>3</v>
      </c>
      <c r="G6500" s="7" t="str">
        <f>LOOKUP(H6500,[1]startdates!$A$2:$A$10,[1]startdates!$B$2:$B$10)</f>
        <v>FMr</v>
      </c>
      <c r="H6500">
        <v>9</v>
      </c>
      <c r="I6500" s="7">
        <v>609.29999999999995</v>
      </c>
      <c r="O6500" s="7">
        <v>179.8</v>
      </c>
    </row>
    <row r="6501" spans="1:19" x14ac:dyDescent="0.2">
      <c r="A6501">
        <v>6500</v>
      </c>
      <c r="B6501" s="1">
        <v>40918</v>
      </c>
      <c r="C6501" t="s">
        <v>28</v>
      </c>
      <c r="D6501" s="7">
        <v>178</v>
      </c>
      <c r="E6501" s="7">
        <v>27</v>
      </c>
      <c r="F6501" s="7">
        <f t="shared" si="101"/>
        <v>3</v>
      </c>
      <c r="G6501" s="7" t="str">
        <f>LOOKUP(H6501,[1]startdates!$A$2:$A$10,[1]startdates!$B$2:$B$10)</f>
        <v>FMr</v>
      </c>
      <c r="H6501">
        <v>9</v>
      </c>
      <c r="O6501" s="7">
        <v>164.9</v>
      </c>
    </row>
    <row r="6502" spans="1:19" x14ac:dyDescent="0.2">
      <c r="A6502">
        <v>6501</v>
      </c>
      <c r="B6502" s="1">
        <v>40921</v>
      </c>
      <c r="C6502" t="s">
        <v>28</v>
      </c>
      <c r="D6502" s="7">
        <v>181</v>
      </c>
      <c r="E6502" s="7">
        <v>27</v>
      </c>
      <c r="F6502" s="7">
        <f t="shared" si="101"/>
        <v>6</v>
      </c>
      <c r="G6502" s="7" t="str">
        <f>LOOKUP(H6502,[1]startdates!$A$2:$A$10,[1]startdates!$B$2:$B$10)</f>
        <v>SMr</v>
      </c>
      <c r="H6502">
        <v>1</v>
      </c>
      <c r="I6502" s="7">
        <v>512.1</v>
      </c>
      <c r="J6502" s="7">
        <v>496.9</v>
      </c>
      <c r="K6502" s="7">
        <v>574.4</v>
      </c>
      <c r="L6502" s="7">
        <v>412.6</v>
      </c>
      <c r="M6502" s="7">
        <v>341.3</v>
      </c>
      <c r="N6502" s="7">
        <v>217.5</v>
      </c>
      <c r="O6502" s="7">
        <v>140.19999999999999</v>
      </c>
      <c r="P6502" s="7">
        <v>413.4</v>
      </c>
      <c r="Q6502" s="7">
        <v>299.7</v>
      </c>
      <c r="R6502" s="7">
        <v>234.3</v>
      </c>
      <c r="S6502" s="7">
        <v>249.4</v>
      </c>
    </row>
    <row r="6503" spans="1:19" x14ac:dyDescent="0.2">
      <c r="A6503">
        <v>6502</v>
      </c>
      <c r="B6503" s="1">
        <v>40921</v>
      </c>
      <c r="C6503" t="s">
        <v>28</v>
      </c>
      <c r="D6503" s="7">
        <v>181</v>
      </c>
      <c r="E6503" s="7">
        <v>27</v>
      </c>
      <c r="F6503" s="7">
        <f t="shared" si="101"/>
        <v>6</v>
      </c>
      <c r="G6503" s="7" t="str">
        <f>LOOKUP(H6503,[1]startdates!$A$2:$A$10,[1]startdates!$B$2:$B$10)</f>
        <v>SMr</v>
      </c>
      <c r="H6503">
        <v>1</v>
      </c>
      <c r="I6503" s="7">
        <v>654.5</v>
      </c>
      <c r="J6503" s="7">
        <v>489.1</v>
      </c>
      <c r="K6503" s="7">
        <v>470.3</v>
      </c>
      <c r="L6503" s="7">
        <v>438.3</v>
      </c>
      <c r="M6503" s="7">
        <v>342.9</v>
      </c>
      <c r="N6503" s="7">
        <v>246.9</v>
      </c>
      <c r="O6503" s="7">
        <v>171.3</v>
      </c>
      <c r="P6503" s="7">
        <v>395</v>
      </c>
      <c r="Q6503" s="7">
        <v>324.8</v>
      </c>
      <c r="R6503" s="7">
        <v>262.10000000000002</v>
      </c>
    </row>
    <row r="6504" spans="1:19" x14ac:dyDescent="0.2">
      <c r="A6504">
        <v>6503</v>
      </c>
      <c r="B6504" s="1">
        <v>40921</v>
      </c>
      <c r="C6504" t="s">
        <v>28</v>
      </c>
      <c r="D6504" s="7">
        <v>181</v>
      </c>
      <c r="E6504" s="7">
        <v>27</v>
      </c>
      <c r="F6504" s="7">
        <f t="shared" si="101"/>
        <v>6</v>
      </c>
      <c r="G6504" s="7" t="str">
        <f>LOOKUP(H6504,[1]startdates!$A$2:$A$10,[1]startdates!$B$2:$B$10)</f>
        <v>SMr</v>
      </c>
      <c r="H6504">
        <v>1</v>
      </c>
      <c r="I6504" s="7">
        <v>571.4</v>
      </c>
      <c r="J6504" s="7">
        <v>444.6</v>
      </c>
      <c r="K6504" s="7">
        <v>523.5</v>
      </c>
      <c r="L6504" s="7">
        <v>400.5</v>
      </c>
      <c r="M6504" s="7">
        <v>298.8</v>
      </c>
      <c r="N6504" s="7">
        <v>246.1</v>
      </c>
      <c r="O6504" s="7">
        <v>166.9</v>
      </c>
      <c r="Q6504" s="7">
        <v>331</v>
      </c>
    </row>
    <row r="6505" spans="1:19" x14ac:dyDescent="0.2">
      <c r="A6505">
        <v>6504</v>
      </c>
      <c r="B6505" s="1">
        <v>40921</v>
      </c>
      <c r="C6505" t="s">
        <v>28</v>
      </c>
      <c r="D6505" s="7">
        <v>181</v>
      </c>
      <c r="E6505" s="7">
        <v>27</v>
      </c>
      <c r="F6505" s="7">
        <f t="shared" ref="F6505:F6568" si="102">WEEKDAY(B6505)</f>
        <v>6</v>
      </c>
      <c r="G6505" s="7" t="str">
        <f>LOOKUP(H6505,[1]startdates!$A$2:$A$10,[1]startdates!$B$2:$B$10)</f>
        <v>SMr</v>
      </c>
      <c r="H6505">
        <v>1</v>
      </c>
      <c r="I6505" s="7">
        <v>596.20000000000005</v>
      </c>
      <c r="L6505" s="7">
        <v>401</v>
      </c>
      <c r="M6505" s="7">
        <v>312.89999999999998</v>
      </c>
      <c r="N6505" s="7">
        <v>191.5</v>
      </c>
      <c r="O6505" s="7">
        <v>157</v>
      </c>
    </row>
    <row r="6506" spans="1:19" x14ac:dyDescent="0.2">
      <c r="A6506">
        <v>6505</v>
      </c>
      <c r="B6506" s="1">
        <v>40921</v>
      </c>
      <c r="C6506" t="s">
        <v>28</v>
      </c>
      <c r="D6506" s="7">
        <v>181</v>
      </c>
      <c r="E6506" s="7">
        <v>27</v>
      </c>
      <c r="F6506" s="7">
        <f t="shared" si="102"/>
        <v>6</v>
      </c>
      <c r="G6506" s="7" t="str">
        <f>LOOKUP(H6506,[1]startdates!$A$2:$A$10,[1]startdates!$B$2:$B$10)</f>
        <v>SMr</v>
      </c>
      <c r="H6506">
        <v>1</v>
      </c>
      <c r="I6506" s="7">
        <v>637.29999999999995</v>
      </c>
      <c r="L6506" s="7">
        <v>422</v>
      </c>
      <c r="M6506" s="7">
        <v>323.7</v>
      </c>
      <c r="N6506" s="7">
        <v>258.39999999999998</v>
      </c>
      <c r="O6506" s="7">
        <v>169.9</v>
      </c>
    </row>
    <row r="6507" spans="1:19" x14ac:dyDescent="0.2">
      <c r="A6507">
        <v>6506</v>
      </c>
      <c r="B6507" s="1">
        <v>40921</v>
      </c>
      <c r="C6507" t="s">
        <v>28</v>
      </c>
      <c r="D6507" s="7">
        <v>181</v>
      </c>
      <c r="E6507" s="7">
        <v>27</v>
      </c>
      <c r="F6507" s="7">
        <f t="shared" si="102"/>
        <v>6</v>
      </c>
      <c r="G6507" s="7" t="str">
        <f>LOOKUP(H6507,[1]startdates!$A$2:$A$10,[1]startdates!$B$2:$B$10)</f>
        <v>SMr</v>
      </c>
      <c r="H6507">
        <v>1</v>
      </c>
      <c r="I6507" s="7">
        <v>565.1</v>
      </c>
      <c r="L6507" s="7">
        <v>393.8</v>
      </c>
      <c r="M6507" s="7">
        <v>339.4</v>
      </c>
      <c r="N6507" s="7">
        <v>283.10000000000002</v>
      </c>
      <c r="O6507" s="7">
        <v>169.2</v>
      </c>
    </row>
    <row r="6508" spans="1:19" x14ac:dyDescent="0.2">
      <c r="A6508">
        <v>6507</v>
      </c>
      <c r="B6508" s="1">
        <v>40921</v>
      </c>
      <c r="C6508" t="s">
        <v>28</v>
      </c>
      <c r="D6508" s="7">
        <v>181</v>
      </c>
      <c r="E6508" s="7">
        <v>27</v>
      </c>
      <c r="F6508" s="7">
        <f t="shared" si="102"/>
        <v>6</v>
      </c>
      <c r="G6508" s="7" t="str">
        <f>LOOKUP(H6508,[1]startdates!$A$2:$A$10,[1]startdates!$B$2:$B$10)</f>
        <v>SMr</v>
      </c>
      <c r="H6508">
        <v>1</v>
      </c>
      <c r="I6508" s="7">
        <v>594.5</v>
      </c>
      <c r="L6508" s="7">
        <v>409.5</v>
      </c>
      <c r="M6508" s="7">
        <v>376.2</v>
      </c>
      <c r="N6508" s="7">
        <v>248.9</v>
      </c>
      <c r="O6508" s="7">
        <v>162.19999999999999</v>
      </c>
    </row>
    <row r="6509" spans="1:19" x14ac:dyDescent="0.2">
      <c r="A6509">
        <v>6508</v>
      </c>
      <c r="B6509" s="1">
        <v>40921</v>
      </c>
      <c r="C6509" t="s">
        <v>28</v>
      </c>
      <c r="D6509" s="7">
        <v>181</v>
      </c>
      <c r="E6509" s="7">
        <v>27</v>
      </c>
      <c r="F6509" s="7">
        <f t="shared" si="102"/>
        <v>6</v>
      </c>
      <c r="G6509" s="7" t="str">
        <f>LOOKUP(H6509,[1]startdates!$A$2:$A$10,[1]startdates!$B$2:$B$10)</f>
        <v>SMr</v>
      </c>
      <c r="H6509">
        <v>1</v>
      </c>
      <c r="I6509" s="7">
        <v>557.1</v>
      </c>
      <c r="M6509" s="7">
        <v>291.10000000000002</v>
      </c>
      <c r="N6509" s="7">
        <v>182.2</v>
      </c>
      <c r="O6509" s="7">
        <v>161.69999999999999</v>
      </c>
    </row>
    <row r="6510" spans="1:19" x14ac:dyDescent="0.2">
      <c r="A6510">
        <v>6509</v>
      </c>
      <c r="B6510" s="1">
        <v>40921</v>
      </c>
      <c r="C6510" t="s">
        <v>28</v>
      </c>
      <c r="D6510" s="7">
        <v>181</v>
      </c>
      <c r="E6510" s="7">
        <v>27</v>
      </c>
      <c r="F6510" s="7">
        <f t="shared" si="102"/>
        <v>6</v>
      </c>
      <c r="G6510" s="7" t="str">
        <f>LOOKUP(H6510,[1]startdates!$A$2:$A$10,[1]startdates!$B$2:$B$10)</f>
        <v>SMr</v>
      </c>
      <c r="H6510">
        <v>1</v>
      </c>
      <c r="I6510" s="7">
        <v>573.1</v>
      </c>
      <c r="M6510" s="7">
        <v>309.89999999999998</v>
      </c>
      <c r="N6510" s="7">
        <v>167.7</v>
      </c>
      <c r="O6510" s="7">
        <v>157.30000000000001</v>
      </c>
    </row>
    <row r="6511" spans="1:19" x14ac:dyDescent="0.2">
      <c r="A6511">
        <v>6510</v>
      </c>
      <c r="B6511" s="1">
        <v>40921</v>
      </c>
      <c r="C6511" t="s">
        <v>28</v>
      </c>
      <c r="D6511" s="7">
        <v>181</v>
      </c>
      <c r="E6511" s="7">
        <v>27</v>
      </c>
      <c r="F6511" s="7">
        <f t="shared" si="102"/>
        <v>6</v>
      </c>
      <c r="G6511" s="7" t="str">
        <f>LOOKUP(H6511,[1]startdates!$A$2:$A$10,[1]startdates!$B$2:$B$10)</f>
        <v>SMr</v>
      </c>
      <c r="H6511">
        <v>1</v>
      </c>
      <c r="I6511" s="7">
        <v>644.70000000000005</v>
      </c>
      <c r="M6511" s="7">
        <v>334.2</v>
      </c>
      <c r="N6511" s="7">
        <v>220.9</v>
      </c>
      <c r="O6511" s="7">
        <v>153.80000000000001</v>
      </c>
    </row>
    <row r="6512" spans="1:19" x14ac:dyDescent="0.2">
      <c r="A6512">
        <v>6511</v>
      </c>
      <c r="B6512" s="1">
        <v>40921</v>
      </c>
      <c r="C6512" t="s">
        <v>28</v>
      </c>
      <c r="D6512" s="7">
        <v>181</v>
      </c>
      <c r="E6512" s="7">
        <v>27</v>
      </c>
      <c r="F6512" s="7">
        <f t="shared" si="102"/>
        <v>6</v>
      </c>
      <c r="G6512" s="7" t="str">
        <f>LOOKUP(H6512,[1]startdates!$A$2:$A$10,[1]startdates!$B$2:$B$10)</f>
        <v>SMr</v>
      </c>
      <c r="H6512">
        <v>2</v>
      </c>
      <c r="I6512" s="7">
        <v>573.9</v>
      </c>
      <c r="K6512" s="7">
        <v>553.9</v>
      </c>
      <c r="L6512" s="7">
        <v>405.5</v>
      </c>
      <c r="M6512" s="7">
        <v>372.7</v>
      </c>
      <c r="N6512" s="7">
        <v>191.5</v>
      </c>
      <c r="O6512" s="7">
        <v>152.6</v>
      </c>
      <c r="P6512" s="7">
        <v>404.7</v>
      </c>
      <c r="Q6512" s="7">
        <v>376.3</v>
      </c>
      <c r="R6512" s="7">
        <v>241.2</v>
      </c>
    </row>
    <row r="6513" spans="1:18" x14ac:dyDescent="0.2">
      <c r="A6513">
        <v>6512</v>
      </c>
      <c r="B6513" s="1">
        <v>40921</v>
      </c>
      <c r="C6513" t="s">
        <v>28</v>
      </c>
      <c r="D6513" s="7">
        <v>181</v>
      </c>
      <c r="E6513" s="7">
        <v>27</v>
      </c>
      <c r="F6513" s="7">
        <f t="shared" si="102"/>
        <v>6</v>
      </c>
      <c r="G6513" s="7" t="str">
        <f>LOOKUP(H6513,[1]startdates!$A$2:$A$10,[1]startdates!$B$2:$B$10)</f>
        <v>SMr</v>
      </c>
      <c r="H6513">
        <v>2</v>
      </c>
      <c r="I6513" s="7">
        <v>494.1</v>
      </c>
      <c r="K6513" s="7">
        <v>481.1</v>
      </c>
      <c r="L6513" s="7">
        <v>413.4</v>
      </c>
      <c r="M6513" s="7">
        <v>313.7</v>
      </c>
      <c r="N6513" s="7">
        <v>197.9</v>
      </c>
      <c r="O6513" s="7">
        <v>164.2</v>
      </c>
      <c r="P6513" s="7">
        <v>416.6</v>
      </c>
      <c r="Q6513" s="7">
        <v>322.8</v>
      </c>
      <c r="R6513" s="7">
        <v>252.9</v>
      </c>
    </row>
    <row r="6514" spans="1:18" x14ac:dyDescent="0.2">
      <c r="A6514">
        <v>6513</v>
      </c>
      <c r="B6514" s="1">
        <v>40921</v>
      </c>
      <c r="C6514" t="s">
        <v>28</v>
      </c>
      <c r="D6514" s="7">
        <v>181</v>
      </c>
      <c r="E6514" s="7">
        <v>27</v>
      </c>
      <c r="F6514" s="7">
        <f t="shared" si="102"/>
        <v>6</v>
      </c>
      <c r="G6514" s="7" t="str">
        <f>LOOKUP(H6514,[1]startdates!$A$2:$A$10,[1]startdates!$B$2:$B$10)</f>
        <v>SMr</v>
      </c>
      <c r="H6514">
        <v>2</v>
      </c>
      <c r="I6514" s="7">
        <v>479.2</v>
      </c>
      <c r="L6514" s="7">
        <v>425.3</v>
      </c>
      <c r="M6514" s="7">
        <v>344.3</v>
      </c>
      <c r="N6514" s="7">
        <v>275</v>
      </c>
      <c r="O6514" s="7">
        <v>160.5</v>
      </c>
      <c r="P6514" s="7">
        <v>390.3</v>
      </c>
      <c r="Q6514" s="7">
        <v>305.7</v>
      </c>
      <c r="R6514" s="7">
        <v>251.2</v>
      </c>
    </row>
    <row r="6515" spans="1:18" x14ac:dyDescent="0.2">
      <c r="A6515">
        <v>6514</v>
      </c>
      <c r="B6515" s="1">
        <v>40921</v>
      </c>
      <c r="C6515" t="s">
        <v>28</v>
      </c>
      <c r="D6515" s="7">
        <v>181</v>
      </c>
      <c r="E6515" s="7">
        <v>27</v>
      </c>
      <c r="F6515" s="7">
        <f t="shared" si="102"/>
        <v>6</v>
      </c>
      <c r="G6515" s="7" t="str">
        <f>LOOKUP(H6515,[1]startdates!$A$2:$A$10,[1]startdates!$B$2:$B$10)</f>
        <v>SMr</v>
      </c>
      <c r="H6515">
        <v>2</v>
      </c>
      <c r="I6515" s="7">
        <v>563.29999999999995</v>
      </c>
      <c r="L6515" s="7">
        <v>408.7</v>
      </c>
      <c r="M6515" s="7">
        <v>365.8</v>
      </c>
      <c r="N6515" s="7">
        <v>213.6</v>
      </c>
      <c r="O6515" s="7">
        <v>174.4</v>
      </c>
      <c r="P6515" s="7">
        <v>432.8</v>
      </c>
    </row>
    <row r="6516" spans="1:18" x14ac:dyDescent="0.2">
      <c r="A6516">
        <v>6515</v>
      </c>
      <c r="B6516" s="1">
        <v>40921</v>
      </c>
      <c r="C6516" t="s">
        <v>28</v>
      </c>
      <c r="D6516" s="7">
        <v>181</v>
      </c>
      <c r="E6516" s="7">
        <v>27</v>
      </c>
      <c r="F6516" s="7">
        <f t="shared" si="102"/>
        <v>6</v>
      </c>
      <c r="G6516" s="7" t="str">
        <f>LOOKUP(H6516,[1]startdates!$A$2:$A$10,[1]startdates!$B$2:$B$10)</f>
        <v>SMr</v>
      </c>
      <c r="H6516">
        <v>2</v>
      </c>
      <c r="I6516" s="7">
        <v>624.20000000000005</v>
      </c>
      <c r="L6516" s="7">
        <v>417.1</v>
      </c>
      <c r="M6516" s="7">
        <v>344.4</v>
      </c>
      <c r="N6516" s="7">
        <v>173.7</v>
      </c>
      <c r="O6516" s="7">
        <v>141.1</v>
      </c>
    </row>
    <row r="6517" spans="1:18" x14ac:dyDescent="0.2">
      <c r="A6517">
        <v>6516</v>
      </c>
      <c r="B6517" s="1">
        <v>40921</v>
      </c>
      <c r="C6517" t="s">
        <v>28</v>
      </c>
      <c r="D6517" s="7">
        <v>181</v>
      </c>
      <c r="E6517" s="7">
        <v>27</v>
      </c>
      <c r="F6517" s="7">
        <f t="shared" si="102"/>
        <v>6</v>
      </c>
      <c r="G6517" s="7" t="str">
        <f>LOOKUP(H6517,[1]startdates!$A$2:$A$10,[1]startdates!$B$2:$B$10)</f>
        <v>SMr</v>
      </c>
      <c r="H6517">
        <v>2</v>
      </c>
      <c r="I6517" s="7">
        <v>499.5</v>
      </c>
      <c r="M6517" s="7">
        <v>372.1</v>
      </c>
      <c r="N6517" s="7">
        <v>186.3</v>
      </c>
      <c r="O6517" s="7">
        <v>162.5</v>
      </c>
    </row>
    <row r="6518" spans="1:18" x14ac:dyDescent="0.2">
      <c r="A6518">
        <v>6517</v>
      </c>
      <c r="B6518" s="1">
        <v>40921</v>
      </c>
      <c r="C6518" t="s">
        <v>28</v>
      </c>
      <c r="D6518" s="7">
        <v>181</v>
      </c>
      <c r="E6518" s="7">
        <v>27</v>
      </c>
      <c r="F6518" s="7">
        <f t="shared" si="102"/>
        <v>6</v>
      </c>
      <c r="G6518" s="7" t="str">
        <f>LOOKUP(H6518,[1]startdates!$A$2:$A$10,[1]startdates!$B$2:$B$10)</f>
        <v>SMr</v>
      </c>
      <c r="H6518">
        <v>2</v>
      </c>
      <c r="I6518" s="7">
        <v>523.79999999999995</v>
      </c>
      <c r="M6518" s="7">
        <v>331.5</v>
      </c>
      <c r="N6518" s="7">
        <v>173.4</v>
      </c>
      <c r="O6518" s="7">
        <v>147.4</v>
      </c>
    </row>
    <row r="6519" spans="1:18" x14ac:dyDescent="0.2">
      <c r="A6519">
        <v>6518</v>
      </c>
      <c r="B6519" s="1">
        <v>40921</v>
      </c>
      <c r="C6519" t="s">
        <v>28</v>
      </c>
      <c r="D6519" s="7">
        <v>181</v>
      </c>
      <c r="E6519" s="7">
        <v>27</v>
      </c>
      <c r="F6519" s="7">
        <f t="shared" si="102"/>
        <v>6</v>
      </c>
      <c r="G6519" s="7" t="str">
        <f>LOOKUP(H6519,[1]startdates!$A$2:$A$10,[1]startdates!$B$2:$B$10)</f>
        <v>SMr</v>
      </c>
      <c r="H6519">
        <v>2</v>
      </c>
      <c r="I6519" s="7">
        <v>598.5</v>
      </c>
      <c r="M6519" s="7">
        <v>314.8</v>
      </c>
      <c r="N6519" s="7">
        <v>281.8</v>
      </c>
      <c r="O6519" s="7">
        <v>173.1</v>
      </c>
    </row>
    <row r="6520" spans="1:18" x14ac:dyDescent="0.2">
      <c r="A6520">
        <v>6519</v>
      </c>
      <c r="B6520" s="1">
        <v>40921</v>
      </c>
      <c r="C6520" t="s">
        <v>28</v>
      </c>
      <c r="D6520" s="7">
        <v>181</v>
      </c>
      <c r="E6520" s="7">
        <v>27</v>
      </c>
      <c r="F6520" s="7">
        <f t="shared" si="102"/>
        <v>6</v>
      </c>
      <c r="G6520" s="7" t="str">
        <f>LOOKUP(H6520,[1]startdates!$A$2:$A$10,[1]startdates!$B$2:$B$10)</f>
        <v>SMr</v>
      </c>
      <c r="H6520">
        <v>2</v>
      </c>
      <c r="I6520" s="7">
        <v>580.29999999999995</v>
      </c>
      <c r="M6520" s="7">
        <v>372.7</v>
      </c>
      <c r="N6520" s="7">
        <v>254.7</v>
      </c>
      <c r="O6520" s="7">
        <v>151.4</v>
      </c>
    </row>
    <row r="6521" spans="1:18" x14ac:dyDescent="0.2">
      <c r="A6521">
        <v>6520</v>
      </c>
      <c r="B6521" s="1">
        <v>40921</v>
      </c>
      <c r="C6521" t="s">
        <v>28</v>
      </c>
      <c r="D6521" s="7">
        <v>181</v>
      </c>
      <c r="E6521" s="7">
        <v>27</v>
      </c>
      <c r="F6521" s="7">
        <f t="shared" si="102"/>
        <v>6</v>
      </c>
      <c r="G6521" s="7" t="str">
        <f>LOOKUP(H6521,[1]startdates!$A$2:$A$10,[1]startdates!$B$2:$B$10)</f>
        <v>SMr</v>
      </c>
      <c r="H6521">
        <v>2</v>
      </c>
      <c r="I6521" s="7">
        <v>506.3</v>
      </c>
      <c r="N6521" s="7">
        <v>184</v>
      </c>
      <c r="O6521" s="7">
        <v>146.6</v>
      </c>
    </row>
    <row r="6522" spans="1:18" x14ac:dyDescent="0.2">
      <c r="A6522">
        <v>6521</v>
      </c>
      <c r="B6522" s="1">
        <v>40921</v>
      </c>
      <c r="C6522" t="s">
        <v>28</v>
      </c>
      <c r="D6522" s="7">
        <v>181</v>
      </c>
      <c r="E6522" s="7">
        <v>27</v>
      </c>
      <c r="F6522" s="7">
        <f t="shared" si="102"/>
        <v>6</v>
      </c>
      <c r="G6522" s="7" t="str">
        <f>LOOKUP(H6522,[1]startdates!$A$2:$A$10,[1]startdates!$B$2:$B$10)</f>
        <v>C</v>
      </c>
      <c r="H6522">
        <v>3</v>
      </c>
      <c r="I6522" s="7">
        <v>629.5</v>
      </c>
      <c r="K6522" s="7">
        <v>502.8</v>
      </c>
      <c r="L6522" s="7">
        <v>390.6</v>
      </c>
      <c r="M6522" s="7">
        <v>332.9</v>
      </c>
      <c r="N6522" s="7">
        <v>189.5</v>
      </c>
      <c r="O6522" s="7">
        <v>174.9</v>
      </c>
      <c r="P6522" s="7">
        <v>416.6</v>
      </c>
      <c r="Q6522" s="7">
        <v>296.8</v>
      </c>
      <c r="R6522" s="7">
        <v>250.5</v>
      </c>
    </row>
    <row r="6523" spans="1:18" x14ac:dyDescent="0.2">
      <c r="A6523">
        <v>6522</v>
      </c>
      <c r="B6523" s="1">
        <v>40921</v>
      </c>
      <c r="C6523" t="s">
        <v>28</v>
      </c>
      <c r="D6523" s="7">
        <v>181</v>
      </c>
      <c r="E6523" s="7">
        <v>27</v>
      </c>
      <c r="F6523" s="7">
        <f t="shared" si="102"/>
        <v>6</v>
      </c>
      <c r="G6523" s="7" t="str">
        <f>LOOKUP(H6523,[1]startdates!$A$2:$A$10,[1]startdates!$B$2:$B$10)</f>
        <v>C</v>
      </c>
      <c r="H6523">
        <v>3</v>
      </c>
      <c r="I6523" s="7">
        <v>559.79999999999995</v>
      </c>
      <c r="K6523" s="7">
        <v>575.6</v>
      </c>
      <c r="L6523" s="7">
        <v>465.7</v>
      </c>
      <c r="M6523" s="7">
        <v>325.2</v>
      </c>
      <c r="N6523" s="7">
        <v>169.7</v>
      </c>
      <c r="O6523" s="7">
        <v>162.4</v>
      </c>
      <c r="P6523" s="7">
        <v>417</v>
      </c>
      <c r="R6523" s="7">
        <v>244.8</v>
      </c>
    </row>
    <row r="6524" spans="1:18" x14ac:dyDescent="0.2">
      <c r="A6524">
        <v>6523</v>
      </c>
      <c r="B6524" s="1">
        <v>40921</v>
      </c>
      <c r="C6524" t="s">
        <v>28</v>
      </c>
      <c r="D6524" s="7">
        <v>181</v>
      </c>
      <c r="E6524" s="7">
        <v>27</v>
      </c>
      <c r="F6524" s="7">
        <f t="shared" si="102"/>
        <v>6</v>
      </c>
      <c r="G6524" s="7" t="str">
        <f>LOOKUP(H6524,[1]startdates!$A$2:$A$10,[1]startdates!$B$2:$B$10)</f>
        <v>C</v>
      </c>
      <c r="H6524">
        <v>3</v>
      </c>
      <c r="I6524" s="7">
        <v>652.20000000000005</v>
      </c>
      <c r="K6524" s="7">
        <v>466</v>
      </c>
      <c r="L6524" s="7">
        <v>434.5</v>
      </c>
      <c r="M6524" s="7">
        <v>350.8</v>
      </c>
      <c r="N6524" s="7">
        <v>259</v>
      </c>
      <c r="O6524" s="7">
        <v>173.5</v>
      </c>
      <c r="R6524" s="7">
        <v>235.7</v>
      </c>
    </row>
    <row r="6525" spans="1:18" x14ac:dyDescent="0.2">
      <c r="A6525">
        <v>6524</v>
      </c>
      <c r="B6525" s="1">
        <v>40921</v>
      </c>
      <c r="C6525" t="s">
        <v>28</v>
      </c>
      <c r="D6525" s="7">
        <v>181</v>
      </c>
      <c r="E6525" s="7">
        <v>27</v>
      </c>
      <c r="F6525" s="7">
        <f t="shared" si="102"/>
        <v>6</v>
      </c>
      <c r="G6525" s="7" t="str">
        <f>LOOKUP(H6525,[1]startdates!$A$2:$A$10,[1]startdates!$B$2:$B$10)</f>
        <v>C</v>
      </c>
      <c r="H6525">
        <v>3</v>
      </c>
      <c r="I6525" s="7">
        <v>620.79999999999995</v>
      </c>
      <c r="K6525" s="7">
        <v>572</v>
      </c>
      <c r="M6525" s="7">
        <v>302</v>
      </c>
      <c r="N6525" s="7">
        <v>181.6</v>
      </c>
      <c r="O6525" s="7">
        <v>151</v>
      </c>
    </row>
    <row r="6526" spans="1:18" x14ac:dyDescent="0.2">
      <c r="A6526">
        <v>6525</v>
      </c>
      <c r="B6526" s="1">
        <v>40921</v>
      </c>
      <c r="C6526" t="s">
        <v>28</v>
      </c>
      <c r="D6526" s="7">
        <v>181</v>
      </c>
      <c r="E6526" s="7">
        <v>27</v>
      </c>
      <c r="F6526" s="7">
        <f t="shared" si="102"/>
        <v>6</v>
      </c>
      <c r="G6526" s="7" t="str">
        <f>LOOKUP(H6526,[1]startdates!$A$2:$A$10,[1]startdates!$B$2:$B$10)</f>
        <v>C</v>
      </c>
      <c r="H6526">
        <v>3</v>
      </c>
      <c r="I6526" s="7">
        <v>577</v>
      </c>
      <c r="K6526" s="7">
        <v>487.4</v>
      </c>
      <c r="M6526" s="7">
        <v>327.7</v>
      </c>
      <c r="N6526" s="7">
        <v>221.4</v>
      </c>
      <c r="O6526" s="7">
        <v>155</v>
      </c>
    </row>
    <row r="6527" spans="1:18" x14ac:dyDescent="0.2">
      <c r="A6527">
        <v>6526</v>
      </c>
      <c r="B6527" s="1">
        <v>40921</v>
      </c>
      <c r="C6527" t="s">
        <v>28</v>
      </c>
      <c r="D6527" s="7">
        <v>181</v>
      </c>
      <c r="E6527" s="7">
        <v>27</v>
      </c>
      <c r="F6527" s="7">
        <f t="shared" si="102"/>
        <v>6</v>
      </c>
      <c r="G6527" s="7" t="str">
        <f>LOOKUP(H6527,[1]startdates!$A$2:$A$10,[1]startdates!$B$2:$B$10)</f>
        <v>C</v>
      </c>
      <c r="H6527">
        <v>3</v>
      </c>
      <c r="I6527" s="7">
        <v>509.2</v>
      </c>
      <c r="K6527" s="7">
        <v>477.3</v>
      </c>
      <c r="M6527" s="7">
        <v>366.8</v>
      </c>
      <c r="N6527" s="7">
        <v>281.8</v>
      </c>
      <c r="O6527" s="7">
        <v>155.30000000000001</v>
      </c>
    </row>
    <row r="6528" spans="1:18" x14ac:dyDescent="0.2">
      <c r="A6528">
        <v>6527</v>
      </c>
      <c r="B6528" s="1">
        <v>40921</v>
      </c>
      <c r="C6528" t="s">
        <v>28</v>
      </c>
      <c r="D6528" s="7">
        <v>181</v>
      </c>
      <c r="E6528" s="7">
        <v>27</v>
      </c>
      <c r="F6528" s="7">
        <f t="shared" si="102"/>
        <v>6</v>
      </c>
      <c r="G6528" s="7" t="str">
        <f>LOOKUP(H6528,[1]startdates!$A$2:$A$10,[1]startdates!$B$2:$B$10)</f>
        <v>C</v>
      </c>
      <c r="H6528">
        <v>3</v>
      </c>
      <c r="I6528" s="7">
        <v>482.7</v>
      </c>
      <c r="K6528" s="7">
        <v>469.9</v>
      </c>
      <c r="M6528" s="7">
        <v>339.2</v>
      </c>
      <c r="N6528" s="7">
        <v>195.3</v>
      </c>
      <c r="O6528" s="7">
        <v>151.69999999999999</v>
      </c>
    </row>
    <row r="6529" spans="1:19" x14ac:dyDescent="0.2">
      <c r="A6529">
        <v>6528</v>
      </c>
      <c r="B6529" s="1">
        <v>40921</v>
      </c>
      <c r="C6529" t="s">
        <v>28</v>
      </c>
      <c r="D6529" s="7">
        <v>181</v>
      </c>
      <c r="E6529" s="7">
        <v>27</v>
      </c>
      <c r="F6529" s="7">
        <f t="shared" si="102"/>
        <v>6</v>
      </c>
      <c r="G6529" s="7" t="str">
        <f>LOOKUP(H6529,[1]startdates!$A$2:$A$10,[1]startdates!$B$2:$B$10)</f>
        <v>C</v>
      </c>
      <c r="H6529">
        <v>3</v>
      </c>
      <c r="I6529" s="7">
        <v>564.5</v>
      </c>
      <c r="M6529" s="7">
        <v>337.9</v>
      </c>
      <c r="N6529" s="7">
        <v>250</v>
      </c>
      <c r="O6529" s="7">
        <v>153.1</v>
      </c>
    </row>
    <row r="6530" spans="1:19" x14ac:dyDescent="0.2">
      <c r="A6530">
        <v>6529</v>
      </c>
      <c r="B6530" s="1">
        <v>40921</v>
      </c>
      <c r="C6530" t="s">
        <v>28</v>
      </c>
      <c r="D6530" s="7">
        <v>181</v>
      </c>
      <c r="E6530" s="7">
        <v>27</v>
      </c>
      <c r="F6530" s="7">
        <f t="shared" si="102"/>
        <v>6</v>
      </c>
      <c r="G6530" s="7" t="str">
        <f>LOOKUP(H6530,[1]startdates!$A$2:$A$10,[1]startdates!$B$2:$B$10)</f>
        <v>C</v>
      </c>
      <c r="H6530">
        <v>3</v>
      </c>
      <c r="I6530" s="7">
        <v>576.79999999999995</v>
      </c>
      <c r="M6530" s="7">
        <v>361</v>
      </c>
      <c r="N6530" s="7">
        <v>207</v>
      </c>
      <c r="O6530" s="7">
        <v>150.30000000000001</v>
      </c>
    </row>
    <row r="6531" spans="1:19" x14ac:dyDescent="0.2">
      <c r="A6531">
        <v>6530</v>
      </c>
      <c r="B6531" s="1">
        <v>40921</v>
      </c>
      <c r="C6531" t="s">
        <v>28</v>
      </c>
      <c r="D6531" s="7">
        <v>181</v>
      </c>
      <c r="E6531" s="7">
        <v>27</v>
      </c>
      <c r="F6531" s="7">
        <f t="shared" si="102"/>
        <v>6</v>
      </c>
      <c r="G6531" s="7" t="str">
        <f>LOOKUP(H6531,[1]startdates!$A$2:$A$10,[1]startdates!$B$2:$B$10)</f>
        <v>C</v>
      </c>
      <c r="H6531">
        <v>3</v>
      </c>
      <c r="I6531" s="7">
        <v>562.70000000000005</v>
      </c>
      <c r="M6531" s="7">
        <v>342.4</v>
      </c>
      <c r="N6531" s="7">
        <v>218.7</v>
      </c>
      <c r="O6531" s="7">
        <v>173.2</v>
      </c>
    </row>
    <row r="6532" spans="1:19" x14ac:dyDescent="0.2">
      <c r="A6532">
        <v>6531</v>
      </c>
      <c r="B6532" s="1">
        <v>40921</v>
      </c>
      <c r="C6532" t="s">
        <v>28</v>
      </c>
      <c r="D6532" s="7">
        <v>181</v>
      </c>
      <c r="E6532" s="7">
        <v>27</v>
      </c>
      <c r="F6532" s="7">
        <f t="shared" si="102"/>
        <v>6</v>
      </c>
      <c r="G6532" s="7" t="str">
        <f>LOOKUP(H6532,[1]startdates!$A$2:$A$10,[1]startdates!$B$2:$B$10)</f>
        <v>SMr</v>
      </c>
      <c r="H6532">
        <v>4</v>
      </c>
      <c r="I6532" s="7">
        <v>546.70000000000005</v>
      </c>
      <c r="K6532" s="7">
        <v>494.5</v>
      </c>
      <c r="L6532" s="7">
        <v>396.2</v>
      </c>
      <c r="M6532" s="7">
        <v>361</v>
      </c>
      <c r="N6532" s="7">
        <v>217.7</v>
      </c>
      <c r="O6532" s="7">
        <v>167.7</v>
      </c>
      <c r="P6532" s="7">
        <v>431.4</v>
      </c>
      <c r="Q6532" s="7">
        <v>306.3</v>
      </c>
      <c r="R6532" s="7">
        <v>282.89999999999998</v>
      </c>
      <c r="S6532" s="7">
        <v>250.3</v>
      </c>
    </row>
    <row r="6533" spans="1:19" x14ac:dyDescent="0.2">
      <c r="A6533">
        <v>6532</v>
      </c>
      <c r="B6533" s="1">
        <v>40921</v>
      </c>
      <c r="C6533" t="s">
        <v>28</v>
      </c>
      <c r="D6533" s="7">
        <v>181</v>
      </c>
      <c r="E6533" s="7">
        <v>27</v>
      </c>
      <c r="F6533" s="7">
        <f t="shared" si="102"/>
        <v>6</v>
      </c>
      <c r="G6533" s="7" t="str">
        <f>LOOKUP(H6533,[1]startdates!$A$2:$A$10,[1]startdates!$B$2:$B$10)</f>
        <v>SMr</v>
      </c>
      <c r="H6533">
        <v>4</v>
      </c>
      <c r="I6533" s="7">
        <v>519.1</v>
      </c>
      <c r="K6533" s="7">
        <v>496.5</v>
      </c>
      <c r="L6533" s="7">
        <v>407.5</v>
      </c>
      <c r="M6533" s="7">
        <v>328.7</v>
      </c>
      <c r="N6533" s="7">
        <v>230.5</v>
      </c>
      <c r="O6533" s="7">
        <v>156</v>
      </c>
      <c r="P6533" s="7">
        <v>397.4</v>
      </c>
      <c r="Q6533" s="7">
        <v>351.5</v>
      </c>
      <c r="R6533" s="7">
        <v>266</v>
      </c>
    </row>
    <row r="6534" spans="1:19" x14ac:dyDescent="0.2">
      <c r="A6534">
        <v>6533</v>
      </c>
      <c r="B6534" s="1">
        <v>40921</v>
      </c>
      <c r="C6534" t="s">
        <v>28</v>
      </c>
      <c r="D6534" s="7">
        <v>181</v>
      </c>
      <c r="E6534" s="7">
        <v>27</v>
      </c>
      <c r="F6534" s="7">
        <f t="shared" si="102"/>
        <v>6</v>
      </c>
      <c r="G6534" s="7" t="str">
        <f>LOOKUP(H6534,[1]startdates!$A$2:$A$10,[1]startdates!$B$2:$B$10)</f>
        <v>SMr</v>
      </c>
      <c r="H6534">
        <v>4</v>
      </c>
      <c r="I6534" s="7">
        <v>538.6</v>
      </c>
      <c r="K6534" s="7">
        <v>488.4</v>
      </c>
      <c r="L6534" s="7">
        <v>398.3</v>
      </c>
      <c r="M6534" s="7">
        <v>308.10000000000002</v>
      </c>
      <c r="N6534" s="7">
        <v>206.5</v>
      </c>
      <c r="O6534" s="7">
        <v>164.4</v>
      </c>
      <c r="P6534" s="7">
        <v>457.7</v>
      </c>
    </row>
    <row r="6535" spans="1:19" x14ac:dyDescent="0.2">
      <c r="A6535">
        <v>6534</v>
      </c>
      <c r="B6535" s="1">
        <v>40921</v>
      </c>
      <c r="C6535" t="s">
        <v>28</v>
      </c>
      <c r="D6535" s="7">
        <v>181</v>
      </c>
      <c r="E6535" s="7">
        <v>27</v>
      </c>
      <c r="F6535" s="7">
        <f t="shared" si="102"/>
        <v>6</v>
      </c>
      <c r="G6535" s="7" t="str">
        <f>LOOKUP(H6535,[1]startdates!$A$2:$A$10,[1]startdates!$B$2:$B$10)</f>
        <v>SMr</v>
      </c>
      <c r="H6535">
        <v>4</v>
      </c>
      <c r="I6535" s="7">
        <v>499.2</v>
      </c>
      <c r="K6535" s="7">
        <v>504.3</v>
      </c>
      <c r="L6535" s="7">
        <v>436.1</v>
      </c>
      <c r="M6535" s="7">
        <v>304.89999999999998</v>
      </c>
      <c r="N6535" s="7">
        <v>289</v>
      </c>
      <c r="O6535" s="7">
        <v>146.6</v>
      </c>
      <c r="P6535" s="7">
        <v>426.1</v>
      </c>
    </row>
    <row r="6536" spans="1:19" x14ac:dyDescent="0.2">
      <c r="A6536">
        <v>6535</v>
      </c>
      <c r="B6536" s="1">
        <v>40921</v>
      </c>
      <c r="C6536" t="s">
        <v>28</v>
      </c>
      <c r="D6536" s="7">
        <v>181</v>
      </c>
      <c r="E6536" s="7">
        <v>27</v>
      </c>
      <c r="F6536" s="7">
        <f t="shared" si="102"/>
        <v>6</v>
      </c>
      <c r="G6536" s="7" t="str">
        <f>LOOKUP(H6536,[1]startdates!$A$2:$A$10,[1]startdates!$B$2:$B$10)</f>
        <v>SMr</v>
      </c>
      <c r="H6536">
        <v>4</v>
      </c>
      <c r="I6536" s="7">
        <v>524.4</v>
      </c>
      <c r="K6536" s="7">
        <v>494.5</v>
      </c>
      <c r="L6536" s="7">
        <v>414.3</v>
      </c>
      <c r="M6536" s="7">
        <v>350.5</v>
      </c>
      <c r="N6536" s="7">
        <v>169.5</v>
      </c>
      <c r="O6536" s="7">
        <v>169.7</v>
      </c>
    </row>
    <row r="6537" spans="1:19" x14ac:dyDescent="0.2">
      <c r="A6537">
        <v>6536</v>
      </c>
      <c r="B6537" s="1">
        <v>40921</v>
      </c>
      <c r="C6537" t="s">
        <v>28</v>
      </c>
      <c r="D6537" s="7">
        <v>181</v>
      </c>
      <c r="E6537" s="7">
        <v>27</v>
      </c>
      <c r="F6537" s="7">
        <f t="shared" si="102"/>
        <v>6</v>
      </c>
      <c r="G6537" s="7" t="str">
        <f>LOOKUP(H6537,[1]startdates!$A$2:$A$10,[1]startdates!$B$2:$B$10)</f>
        <v>SMr</v>
      </c>
      <c r="H6537">
        <v>4</v>
      </c>
      <c r="I6537" s="7">
        <v>534.79999999999995</v>
      </c>
      <c r="K6537" s="7">
        <v>473.7</v>
      </c>
      <c r="N6537" s="7">
        <v>187.5</v>
      </c>
      <c r="O6537" s="7">
        <v>164</v>
      </c>
    </row>
    <row r="6538" spans="1:19" x14ac:dyDescent="0.2">
      <c r="A6538">
        <v>6537</v>
      </c>
      <c r="B6538" s="1">
        <v>40921</v>
      </c>
      <c r="C6538" t="s">
        <v>28</v>
      </c>
      <c r="D6538" s="7">
        <v>181</v>
      </c>
      <c r="E6538" s="7">
        <v>27</v>
      </c>
      <c r="F6538" s="7">
        <f t="shared" si="102"/>
        <v>6</v>
      </c>
      <c r="G6538" s="7" t="str">
        <f>LOOKUP(H6538,[1]startdates!$A$2:$A$10,[1]startdates!$B$2:$B$10)</f>
        <v>SMr</v>
      </c>
      <c r="H6538">
        <v>4</v>
      </c>
      <c r="I6538" s="7">
        <v>540</v>
      </c>
      <c r="N6538" s="7">
        <v>210</v>
      </c>
      <c r="O6538" s="7">
        <v>139.9</v>
      </c>
    </row>
    <row r="6539" spans="1:19" x14ac:dyDescent="0.2">
      <c r="A6539">
        <v>6538</v>
      </c>
      <c r="B6539" s="1">
        <v>40921</v>
      </c>
      <c r="C6539" t="s">
        <v>28</v>
      </c>
      <c r="D6539" s="7">
        <v>181</v>
      </c>
      <c r="E6539" s="7">
        <v>27</v>
      </c>
      <c r="F6539" s="7">
        <f t="shared" si="102"/>
        <v>6</v>
      </c>
      <c r="G6539" s="7" t="str">
        <f>LOOKUP(H6539,[1]startdates!$A$2:$A$10,[1]startdates!$B$2:$B$10)</f>
        <v>SMr</v>
      </c>
      <c r="H6539">
        <v>4</v>
      </c>
      <c r="I6539" s="7">
        <v>528.79999999999995</v>
      </c>
      <c r="N6539" s="7">
        <v>183.1</v>
      </c>
      <c r="O6539" s="7">
        <v>162.19999999999999</v>
      </c>
    </row>
    <row r="6540" spans="1:19" x14ac:dyDescent="0.2">
      <c r="A6540">
        <v>6539</v>
      </c>
      <c r="B6540" s="1">
        <v>40921</v>
      </c>
      <c r="C6540" t="s">
        <v>28</v>
      </c>
      <c r="D6540" s="7">
        <v>181</v>
      </c>
      <c r="E6540" s="7">
        <v>27</v>
      </c>
      <c r="F6540" s="7">
        <f t="shared" si="102"/>
        <v>6</v>
      </c>
      <c r="G6540" s="7" t="str">
        <f>LOOKUP(H6540,[1]startdates!$A$2:$A$10,[1]startdates!$B$2:$B$10)</f>
        <v>SMr</v>
      </c>
      <c r="H6540">
        <v>4</v>
      </c>
      <c r="I6540" s="7">
        <v>517.1</v>
      </c>
      <c r="N6540" s="7">
        <v>184.9</v>
      </c>
      <c r="O6540" s="7">
        <v>151.69999999999999</v>
      </c>
    </row>
    <row r="6541" spans="1:19" x14ac:dyDescent="0.2">
      <c r="A6541">
        <v>6540</v>
      </c>
      <c r="B6541" s="1">
        <v>40921</v>
      </c>
      <c r="C6541" t="s">
        <v>28</v>
      </c>
      <c r="D6541" s="7">
        <v>181</v>
      </c>
      <c r="E6541" s="7">
        <v>27</v>
      </c>
      <c r="F6541" s="7">
        <f t="shared" si="102"/>
        <v>6</v>
      </c>
      <c r="G6541" s="7" t="str">
        <f>LOOKUP(H6541,[1]startdates!$A$2:$A$10,[1]startdates!$B$2:$B$10)</f>
        <v>SMr</v>
      </c>
      <c r="H6541">
        <v>4</v>
      </c>
      <c r="I6541" s="7">
        <v>477.6</v>
      </c>
      <c r="N6541" s="7">
        <v>232</v>
      </c>
      <c r="O6541" s="7">
        <v>156.30000000000001</v>
      </c>
    </row>
    <row r="6542" spans="1:19" x14ac:dyDescent="0.2">
      <c r="A6542">
        <v>6541</v>
      </c>
      <c r="B6542" s="1">
        <v>40921</v>
      </c>
      <c r="C6542" t="s">
        <v>28</v>
      </c>
      <c r="D6542" s="7">
        <v>181</v>
      </c>
      <c r="E6542" s="7">
        <v>27</v>
      </c>
      <c r="F6542" s="7">
        <f t="shared" si="102"/>
        <v>6</v>
      </c>
      <c r="G6542" s="7" t="str">
        <f>LOOKUP(H6542,[1]startdates!$A$2:$A$10,[1]startdates!$B$2:$B$10)</f>
        <v>C</v>
      </c>
      <c r="H6542">
        <v>5</v>
      </c>
      <c r="I6542" s="7">
        <v>551.1</v>
      </c>
      <c r="J6542" s="7">
        <v>517.6</v>
      </c>
      <c r="K6542" s="7">
        <v>447.8</v>
      </c>
      <c r="L6542" s="7">
        <v>443.4</v>
      </c>
      <c r="M6542" s="7">
        <v>383.6</v>
      </c>
      <c r="N6542" s="7">
        <v>201</v>
      </c>
      <c r="O6542" s="7">
        <v>178.1</v>
      </c>
      <c r="P6542" s="7">
        <v>449.3</v>
      </c>
      <c r="R6542" s="7">
        <v>237</v>
      </c>
    </row>
    <row r="6543" spans="1:19" x14ac:dyDescent="0.2">
      <c r="A6543">
        <v>6542</v>
      </c>
      <c r="B6543" s="1">
        <v>40921</v>
      </c>
      <c r="C6543" t="s">
        <v>28</v>
      </c>
      <c r="D6543" s="7">
        <v>181</v>
      </c>
      <c r="E6543" s="7">
        <v>27</v>
      </c>
      <c r="F6543" s="7">
        <f t="shared" si="102"/>
        <v>6</v>
      </c>
      <c r="G6543" s="7" t="str">
        <f>LOOKUP(H6543,[1]startdates!$A$2:$A$10,[1]startdates!$B$2:$B$10)</f>
        <v>C</v>
      </c>
      <c r="H6543">
        <v>5</v>
      </c>
      <c r="I6543" s="7">
        <v>492.7</v>
      </c>
      <c r="J6543" s="7">
        <v>502.5</v>
      </c>
      <c r="K6543" s="7">
        <v>536.1</v>
      </c>
      <c r="L6543" s="7">
        <v>419.5</v>
      </c>
      <c r="M6543" s="7">
        <v>333.6</v>
      </c>
      <c r="N6543" s="7">
        <v>176.7</v>
      </c>
      <c r="O6543" s="7">
        <v>154.19999999999999</v>
      </c>
      <c r="R6543" s="7">
        <v>242</v>
      </c>
    </row>
    <row r="6544" spans="1:19" x14ac:dyDescent="0.2">
      <c r="A6544">
        <v>6543</v>
      </c>
      <c r="B6544" s="1">
        <v>40921</v>
      </c>
      <c r="C6544" t="s">
        <v>28</v>
      </c>
      <c r="D6544" s="7">
        <v>181</v>
      </c>
      <c r="E6544" s="7">
        <v>27</v>
      </c>
      <c r="F6544" s="7">
        <f t="shared" si="102"/>
        <v>6</v>
      </c>
      <c r="G6544" s="7" t="str">
        <f>LOOKUP(H6544,[1]startdates!$A$2:$A$10,[1]startdates!$B$2:$B$10)</f>
        <v>C</v>
      </c>
      <c r="H6544">
        <v>5</v>
      </c>
      <c r="I6544" s="7">
        <v>553.1</v>
      </c>
      <c r="J6544" s="7">
        <v>508.1</v>
      </c>
      <c r="K6544" s="7">
        <v>568.5</v>
      </c>
      <c r="L6544" s="7">
        <v>390.3</v>
      </c>
      <c r="M6544" s="7">
        <v>382.9</v>
      </c>
      <c r="N6544" s="7">
        <v>222.9</v>
      </c>
      <c r="O6544" s="7">
        <v>153.1</v>
      </c>
    </row>
    <row r="6545" spans="1:18" x14ac:dyDescent="0.2">
      <c r="A6545">
        <v>6544</v>
      </c>
      <c r="B6545" s="1">
        <v>40921</v>
      </c>
      <c r="C6545" t="s">
        <v>28</v>
      </c>
      <c r="D6545" s="7">
        <v>181</v>
      </c>
      <c r="E6545" s="7">
        <v>27</v>
      </c>
      <c r="F6545" s="7">
        <f t="shared" si="102"/>
        <v>6</v>
      </c>
      <c r="G6545" s="7" t="str">
        <f>LOOKUP(H6545,[1]startdates!$A$2:$A$10,[1]startdates!$B$2:$B$10)</f>
        <v>C</v>
      </c>
      <c r="H6545">
        <v>5</v>
      </c>
      <c r="I6545" s="7">
        <v>545.1</v>
      </c>
      <c r="J6545" s="7">
        <v>442.9</v>
      </c>
      <c r="K6545" s="7">
        <v>501.2</v>
      </c>
      <c r="L6545" s="7">
        <v>425.7</v>
      </c>
      <c r="M6545" s="7">
        <v>339.2</v>
      </c>
      <c r="N6545" s="7">
        <v>259.3</v>
      </c>
      <c r="O6545" s="7">
        <v>144.30000000000001</v>
      </c>
    </row>
    <row r="6546" spans="1:18" x14ac:dyDescent="0.2">
      <c r="A6546">
        <v>6545</v>
      </c>
      <c r="B6546" s="1">
        <v>40921</v>
      </c>
      <c r="C6546" t="s">
        <v>28</v>
      </c>
      <c r="D6546" s="7">
        <v>181</v>
      </c>
      <c r="E6546" s="7">
        <v>27</v>
      </c>
      <c r="F6546" s="7">
        <f t="shared" si="102"/>
        <v>6</v>
      </c>
      <c r="G6546" s="7" t="str">
        <f>LOOKUP(H6546,[1]startdates!$A$2:$A$10,[1]startdates!$B$2:$B$10)</f>
        <v>C</v>
      </c>
      <c r="H6546">
        <v>5</v>
      </c>
      <c r="I6546" s="7">
        <v>611.29999999999995</v>
      </c>
      <c r="K6546" s="7">
        <v>485.1</v>
      </c>
      <c r="L6546" s="7">
        <v>462.7</v>
      </c>
      <c r="M6546" s="7">
        <v>325.5</v>
      </c>
      <c r="N6546" s="7">
        <v>264</v>
      </c>
      <c r="O6546" s="7">
        <v>159.4</v>
      </c>
    </row>
    <row r="6547" spans="1:18" x14ac:dyDescent="0.2">
      <c r="A6547">
        <v>6546</v>
      </c>
      <c r="B6547" s="1">
        <v>40921</v>
      </c>
      <c r="C6547" t="s">
        <v>28</v>
      </c>
      <c r="D6547" s="7">
        <v>181</v>
      </c>
      <c r="E6547" s="7">
        <v>27</v>
      </c>
      <c r="F6547" s="7">
        <f t="shared" si="102"/>
        <v>6</v>
      </c>
      <c r="G6547" s="7" t="str">
        <f>LOOKUP(H6547,[1]startdates!$A$2:$A$10,[1]startdates!$B$2:$B$10)</f>
        <v>C</v>
      </c>
      <c r="H6547">
        <v>5</v>
      </c>
      <c r="I6547" s="7">
        <v>565.4</v>
      </c>
      <c r="K6547" s="7">
        <v>481.6</v>
      </c>
      <c r="M6547" s="7">
        <v>316.3</v>
      </c>
      <c r="N6547" s="7">
        <v>173.3</v>
      </c>
      <c r="O6547" s="7">
        <v>164.4</v>
      </c>
    </row>
    <row r="6548" spans="1:18" x14ac:dyDescent="0.2">
      <c r="A6548">
        <v>6547</v>
      </c>
      <c r="B6548" s="1">
        <v>40921</v>
      </c>
      <c r="C6548" t="s">
        <v>28</v>
      </c>
      <c r="D6548" s="7">
        <v>181</v>
      </c>
      <c r="E6548" s="7">
        <v>27</v>
      </c>
      <c r="F6548" s="7">
        <f t="shared" si="102"/>
        <v>6</v>
      </c>
      <c r="G6548" s="7" t="str">
        <f>LOOKUP(H6548,[1]startdates!$A$2:$A$10,[1]startdates!$B$2:$B$10)</f>
        <v>C</v>
      </c>
      <c r="H6548">
        <v>5</v>
      </c>
      <c r="I6548" s="7">
        <v>478.6</v>
      </c>
      <c r="M6548" s="7">
        <v>316.60000000000002</v>
      </c>
      <c r="N6548" s="7">
        <v>191.2</v>
      </c>
      <c r="O6548" s="7">
        <v>184.4</v>
      </c>
    </row>
    <row r="6549" spans="1:18" x14ac:dyDescent="0.2">
      <c r="A6549">
        <v>6548</v>
      </c>
      <c r="B6549" s="1">
        <v>40921</v>
      </c>
      <c r="C6549" t="s">
        <v>28</v>
      </c>
      <c r="D6549" s="7">
        <v>181</v>
      </c>
      <c r="E6549" s="7">
        <v>27</v>
      </c>
      <c r="F6549" s="7">
        <f t="shared" si="102"/>
        <v>6</v>
      </c>
      <c r="G6549" s="7" t="str">
        <f>LOOKUP(H6549,[1]startdates!$A$2:$A$10,[1]startdates!$B$2:$B$10)</f>
        <v>C</v>
      </c>
      <c r="H6549">
        <v>5</v>
      </c>
      <c r="I6549" s="7">
        <v>534.29999999999995</v>
      </c>
      <c r="M6549" s="7">
        <v>299.2</v>
      </c>
      <c r="N6549" s="7">
        <v>205.4</v>
      </c>
      <c r="O6549" s="7">
        <v>172.1</v>
      </c>
    </row>
    <row r="6550" spans="1:18" x14ac:dyDescent="0.2">
      <c r="A6550">
        <v>6549</v>
      </c>
      <c r="B6550" s="1">
        <v>40921</v>
      </c>
      <c r="C6550" t="s">
        <v>28</v>
      </c>
      <c r="D6550" s="7">
        <v>181</v>
      </c>
      <c r="E6550" s="7">
        <v>27</v>
      </c>
      <c r="F6550" s="7">
        <f t="shared" si="102"/>
        <v>6</v>
      </c>
      <c r="G6550" s="7" t="str">
        <f>LOOKUP(H6550,[1]startdates!$A$2:$A$10,[1]startdates!$B$2:$B$10)</f>
        <v>C</v>
      </c>
      <c r="H6550">
        <v>5</v>
      </c>
      <c r="I6550" s="7">
        <v>568.1</v>
      </c>
      <c r="N6550" s="7">
        <v>198.3</v>
      </c>
      <c r="O6550" s="7">
        <v>142.30000000000001</v>
      </c>
    </row>
    <row r="6551" spans="1:18" x14ac:dyDescent="0.2">
      <c r="A6551">
        <v>6550</v>
      </c>
      <c r="B6551" s="1">
        <v>40921</v>
      </c>
      <c r="C6551" t="s">
        <v>28</v>
      </c>
      <c r="D6551" s="7">
        <v>181</v>
      </c>
      <c r="E6551" s="7">
        <v>27</v>
      </c>
      <c r="F6551" s="7">
        <f t="shared" si="102"/>
        <v>6</v>
      </c>
      <c r="G6551" s="7" t="str">
        <f>LOOKUP(H6551,[1]startdates!$A$2:$A$10,[1]startdates!$B$2:$B$10)</f>
        <v>C</v>
      </c>
      <c r="H6551">
        <v>5</v>
      </c>
      <c r="I6551" s="7">
        <v>611.9</v>
      </c>
      <c r="N6551" s="7">
        <v>232.4</v>
      </c>
      <c r="O6551" s="7">
        <v>155.4</v>
      </c>
    </row>
    <row r="6552" spans="1:18" x14ac:dyDescent="0.2">
      <c r="A6552">
        <v>6551</v>
      </c>
      <c r="B6552" s="1">
        <v>40921</v>
      </c>
      <c r="C6552" t="s">
        <v>28</v>
      </c>
      <c r="D6552" s="7">
        <v>181</v>
      </c>
      <c r="E6552" s="7">
        <v>27</v>
      </c>
      <c r="F6552" s="7">
        <f t="shared" si="102"/>
        <v>6</v>
      </c>
      <c r="G6552" s="7" t="str">
        <f>LOOKUP(H6552,[1]startdates!$A$2:$A$10,[1]startdates!$B$2:$B$10)</f>
        <v>C</v>
      </c>
      <c r="H6552">
        <v>5</v>
      </c>
      <c r="N6552" s="7">
        <v>255.3</v>
      </c>
    </row>
    <row r="6553" spans="1:18" x14ac:dyDescent="0.2">
      <c r="A6553">
        <v>6552</v>
      </c>
      <c r="B6553" s="1">
        <v>40921</v>
      </c>
      <c r="C6553" t="s">
        <v>28</v>
      </c>
      <c r="D6553" s="7">
        <v>181</v>
      </c>
      <c r="E6553" s="7">
        <v>27</v>
      </c>
      <c r="F6553" s="7">
        <f t="shared" si="102"/>
        <v>6</v>
      </c>
      <c r="G6553" s="7" t="str">
        <f>LOOKUP(H6553,[1]startdates!$A$2:$A$10,[1]startdates!$B$2:$B$10)</f>
        <v>FMr</v>
      </c>
      <c r="H6553">
        <v>6</v>
      </c>
      <c r="I6553" s="7">
        <v>698.1</v>
      </c>
      <c r="K6553" s="7">
        <v>455.7</v>
      </c>
      <c r="L6553" s="7">
        <v>410</v>
      </c>
      <c r="M6553" s="7">
        <v>340</v>
      </c>
      <c r="N6553" s="7">
        <v>199.3</v>
      </c>
      <c r="O6553" s="7">
        <v>156.30000000000001</v>
      </c>
      <c r="P6553" s="7">
        <v>466.7</v>
      </c>
      <c r="Q6553" s="7">
        <v>338.4</v>
      </c>
      <c r="R6553" s="7">
        <v>230.8</v>
      </c>
    </row>
    <row r="6554" spans="1:18" x14ac:dyDescent="0.2">
      <c r="A6554">
        <v>6553</v>
      </c>
      <c r="B6554" s="1">
        <v>40921</v>
      </c>
      <c r="C6554" t="s">
        <v>28</v>
      </c>
      <c r="D6554" s="7">
        <v>181</v>
      </c>
      <c r="E6554" s="7">
        <v>27</v>
      </c>
      <c r="F6554" s="7">
        <f t="shared" si="102"/>
        <v>6</v>
      </c>
      <c r="G6554" s="7" t="str">
        <f>LOOKUP(H6554,[1]startdates!$A$2:$A$10,[1]startdates!$B$2:$B$10)</f>
        <v>FMr</v>
      </c>
      <c r="H6554">
        <v>6</v>
      </c>
      <c r="I6554" s="7">
        <v>533.20000000000005</v>
      </c>
      <c r="K6554" s="7">
        <v>435.8</v>
      </c>
      <c r="L6554" s="7">
        <v>401</v>
      </c>
      <c r="M6554" s="7">
        <v>314.10000000000002</v>
      </c>
      <c r="N6554" s="7">
        <v>210.4</v>
      </c>
      <c r="O6554" s="7">
        <v>144</v>
      </c>
      <c r="P6554" s="7">
        <v>418.9</v>
      </c>
    </row>
    <row r="6555" spans="1:18" x14ac:dyDescent="0.2">
      <c r="A6555">
        <v>6554</v>
      </c>
      <c r="B6555" s="1">
        <v>40921</v>
      </c>
      <c r="C6555" t="s">
        <v>28</v>
      </c>
      <c r="D6555" s="7">
        <v>181</v>
      </c>
      <c r="E6555" s="7">
        <v>27</v>
      </c>
      <c r="F6555" s="7">
        <f t="shared" si="102"/>
        <v>6</v>
      </c>
      <c r="G6555" s="7" t="str">
        <f>LOOKUP(H6555,[1]startdates!$A$2:$A$10,[1]startdates!$B$2:$B$10)</f>
        <v>FMr</v>
      </c>
      <c r="H6555">
        <v>6</v>
      </c>
      <c r="I6555" s="7">
        <v>518.4</v>
      </c>
      <c r="K6555" s="7">
        <v>456.2</v>
      </c>
      <c r="L6555" s="7">
        <v>424</v>
      </c>
      <c r="M6555" s="7">
        <v>308.10000000000002</v>
      </c>
      <c r="N6555" s="7">
        <v>258.89999999999998</v>
      </c>
      <c r="O6555" s="7">
        <v>156.80000000000001</v>
      </c>
      <c r="P6555" s="7">
        <v>399.7</v>
      </c>
    </row>
    <row r="6556" spans="1:18" x14ac:dyDescent="0.2">
      <c r="A6556">
        <v>6555</v>
      </c>
      <c r="B6556" s="1">
        <v>40921</v>
      </c>
      <c r="C6556" t="s">
        <v>28</v>
      </c>
      <c r="D6556" s="7">
        <v>181</v>
      </c>
      <c r="E6556" s="7">
        <v>27</v>
      </c>
      <c r="F6556" s="7">
        <f t="shared" si="102"/>
        <v>6</v>
      </c>
      <c r="G6556" s="7" t="str">
        <f>LOOKUP(H6556,[1]startdates!$A$2:$A$10,[1]startdates!$B$2:$B$10)</f>
        <v>FMr</v>
      </c>
      <c r="H6556">
        <v>6</v>
      </c>
      <c r="I6556" s="7">
        <v>520.9</v>
      </c>
      <c r="K6556" s="7">
        <v>500.9</v>
      </c>
      <c r="M6556" s="7">
        <v>344.4</v>
      </c>
      <c r="N6556" s="7">
        <v>171.6</v>
      </c>
      <c r="O6556" s="7">
        <v>166.1</v>
      </c>
      <c r="P6556" s="7">
        <v>433.5</v>
      </c>
    </row>
    <row r="6557" spans="1:18" x14ac:dyDescent="0.2">
      <c r="A6557">
        <v>6556</v>
      </c>
      <c r="B6557" s="1">
        <v>40921</v>
      </c>
      <c r="C6557" t="s">
        <v>28</v>
      </c>
      <c r="D6557" s="7">
        <v>181</v>
      </c>
      <c r="E6557" s="7">
        <v>27</v>
      </c>
      <c r="F6557" s="7">
        <f t="shared" si="102"/>
        <v>6</v>
      </c>
      <c r="G6557" s="7" t="str">
        <f>LOOKUP(H6557,[1]startdates!$A$2:$A$10,[1]startdates!$B$2:$B$10)</f>
        <v>FMr</v>
      </c>
      <c r="H6557">
        <v>6</v>
      </c>
      <c r="I6557" s="7">
        <v>489.1</v>
      </c>
      <c r="K6557" s="7">
        <v>537.70000000000005</v>
      </c>
      <c r="M6557" s="7">
        <v>363.1</v>
      </c>
      <c r="N6557" s="7">
        <v>187.9</v>
      </c>
      <c r="O6557" s="7">
        <v>158.5</v>
      </c>
    </row>
    <row r="6558" spans="1:18" x14ac:dyDescent="0.2">
      <c r="A6558">
        <v>6557</v>
      </c>
      <c r="B6558" s="1">
        <v>40921</v>
      </c>
      <c r="C6558" t="s">
        <v>28</v>
      </c>
      <c r="D6558" s="7">
        <v>181</v>
      </c>
      <c r="E6558" s="7">
        <v>27</v>
      </c>
      <c r="F6558" s="7">
        <f t="shared" si="102"/>
        <v>6</v>
      </c>
      <c r="G6558" s="7" t="str">
        <f>LOOKUP(H6558,[1]startdates!$A$2:$A$10,[1]startdates!$B$2:$B$10)</f>
        <v>FMr</v>
      </c>
      <c r="H6558">
        <v>6</v>
      </c>
      <c r="I6558" s="7">
        <v>504.7</v>
      </c>
      <c r="K6558" s="7">
        <v>461.7</v>
      </c>
      <c r="M6558" s="7">
        <v>335.8</v>
      </c>
      <c r="N6558" s="7">
        <v>219.2</v>
      </c>
      <c r="O6558" s="7">
        <v>155.4</v>
      </c>
    </row>
    <row r="6559" spans="1:18" x14ac:dyDescent="0.2">
      <c r="A6559">
        <v>6558</v>
      </c>
      <c r="B6559" s="1">
        <v>40921</v>
      </c>
      <c r="C6559" t="s">
        <v>28</v>
      </c>
      <c r="D6559" s="7">
        <v>181</v>
      </c>
      <c r="E6559" s="7">
        <v>27</v>
      </c>
      <c r="F6559" s="7">
        <f t="shared" si="102"/>
        <v>6</v>
      </c>
      <c r="G6559" s="7" t="str">
        <f>LOOKUP(H6559,[1]startdates!$A$2:$A$10,[1]startdates!$B$2:$B$10)</f>
        <v>FMr</v>
      </c>
      <c r="H6559">
        <v>6</v>
      </c>
      <c r="I6559" s="7">
        <v>599.6</v>
      </c>
      <c r="M6559" s="7">
        <v>336.5</v>
      </c>
      <c r="N6559" s="7">
        <v>261.60000000000002</v>
      </c>
      <c r="O6559" s="7">
        <v>145.30000000000001</v>
      </c>
    </row>
    <row r="6560" spans="1:18" x14ac:dyDescent="0.2">
      <c r="A6560">
        <v>6559</v>
      </c>
      <c r="B6560" s="1">
        <v>40921</v>
      </c>
      <c r="C6560" t="s">
        <v>28</v>
      </c>
      <c r="D6560" s="7">
        <v>181</v>
      </c>
      <c r="E6560" s="7">
        <v>27</v>
      </c>
      <c r="F6560" s="7">
        <f t="shared" si="102"/>
        <v>6</v>
      </c>
      <c r="G6560" s="7" t="str">
        <f>LOOKUP(H6560,[1]startdates!$A$2:$A$10,[1]startdates!$B$2:$B$10)</f>
        <v>FMr</v>
      </c>
      <c r="H6560">
        <v>6</v>
      </c>
      <c r="I6560" s="7">
        <v>641.70000000000005</v>
      </c>
      <c r="M6560" s="7">
        <v>359</v>
      </c>
      <c r="N6560" s="7">
        <v>224.6</v>
      </c>
      <c r="O6560" s="7">
        <v>153.1</v>
      </c>
    </row>
    <row r="6561" spans="1:19" x14ac:dyDescent="0.2">
      <c r="A6561">
        <v>6560</v>
      </c>
      <c r="B6561" s="1">
        <v>40921</v>
      </c>
      <c r="C6561" t="s">
        <v>28</v>
      </c>
      <c r="D6561" s="7">
        <v>181</v>
      </c>
      <c r="E6561" s="7">
        <v>27</v>
      </c>
      <c r="F6561" s="7">
        <f t="shared" si="102"/>
        <v>6</v>
      </c>
      <c r="G6561" s="7" t="str">
        <f>LOOKUP(H6561,[1]startdates!$A$2:$A$10,[1]startdates!$B$2:$B$10)</f>
        <v>FMr</v>
      </c>
      <c r="H6561">
        <v>6</v>
      </c>
      <c r="I6561" s="7">
        <v>593.9</v>
      </c>
      <c r="N6561" s="7">
        <v>232.7</v>
      </c>
      <c r="O6561" s="7">
        <v>151.1</v>
      </c>
    </row>
    <row r="6562" spans="1:19" x14ac:dyDescent="0.2">
      <c r="A6562">
        <v>6561</v>
      </c>
      <c r="B6562" s="1">
        <v>40921</v>
      </c>
      <c r="C6562" t="s">
        <v>28</v>
      </c>
      <c r="D6562" s="7">
        <v>181</v>
      </c>
      <c r="E6562" s="7">
        <v>27</v>
      </c>
      <c r="F6562" s="7">
        <f t="shared" si="102"/>
        <v>6</v>
      </c>
      <c r="G6562" s="7" t="str">
        <f>LOOKUP(H6562,[1]startdates!$A$2:$A$10,[1]startdates!$B$2:$B$10)</f>
        <v>FMr</v>
      </c>
      <c r="H6562">
        <v>6</v>
      </c>
      <c r="I6562" s="7">
        <v>551.6</v>
      </c>
      <c r="N6562" s="7">
        <v>230.8</v>
      </c>
      <c r="O6562" s="7">
        <v>142.30000000000001</v>
      </c>
    </row>
    <row r="6563" spans="1:19" x14ac:dyDescent="0.2">
      <c r="A6563">
        <v>6562</v>
      </c>
      <c r="B6563" s="1">
        <v>40921</v>
      </c>
      <c r="C6563" t="s">
        <v>28</v>
      </c>
      <c r="D6563" s="7">
        <v>181</v>
      </c>
      <c r="E6563" s="7">
        <v>27</v>
      </c>
      <c r="F6563" s="7">
        <f t="shared" si="102"/>
        <v>6</v>
      </c>
      <c r="G6563" s="7" t="str">
        <f>LOOKUP(H6563,[1]startdates!$A$2:$A$10,[1]startdates!$B$2:$B$10)</f>
        <v>FMr</v>
      </c>
      <c r="H6563">
        <v>6</v>
      </c>
      <c r="O6563" s="7">
        <v>156.19999999999999</v>
      </c>
    </row>
    <row r="6564" spans="1:19" x14ac:dyDescent="0.2">
      <c r="A6564">
        <v>6563</v>
      </c>
      <c r="B6564" s="1">
        <v>40921</v>
      </c>
      <c r="C6564" t="s">
        <v>28</v>
      </c>
      <c r="D6564" s="7">
        <v>181</v>
      </c>
      <c r="E6564" s="7">
        <v>27</v>
      </c>
      <c r="F6564" s="7">
        <f t="shared" si="102"/>
        <v>6</v>
      </c>
      <c r="G6564" s="7" t="str">
        <f>LOOKUP(H6564,[1]startdates!$A$2:$A$10,[1]startdates!$B$2:$B$10)</f>
        <v>FMr</v>
      </c>
      <c r="H6564">
        <v>7</v>
      </c>
      <c r="I6564" s="7">
        <v>553.79999999999995</v>
      </c>
      <c r="J6564" s="7">
        <v>518</v>
      </c>
      <c r="K6564" s="7">
        <v>589.20000000000005</v>
      </c>
      <c r="L6564" s="7">
        <v>390.6</v>
      </c>
      <c r="M6564" s="7">
        <v>315.5</v>
      </c>
      <c r="N6564" s="7">
        <v>240.2</v>
      </c>
      <c r="O6564" s="7">
        <v>154.6</v>
      </c>
      <c r="P6564" s="7">
        <v>477.5</v>
      </c>
      <c r="Q6564" s="7">
        <v>372.3</v>
      </c>
      <c r="R6564" s="7">
        <v>261.10000000000002</v>
      </c>
      <c r="S6564" s="7">
        <v>246.1</v>
      </c>
    </row>
    <row r="6565" spans="1:19" x14ac:dyDescent="0.2">
      <c r="A6565">
        <v>6564</v>
      </c>
      <c r="B6565" s="1">
        <v>40921</v>
      </c>
      <c r="C6565" t="s">
        <v>28</v>
      </c>
      <c r="D6565" s="7">
        <v>181</v>
      </c>
      <c r="E6565" s="7">
        <v>27</v>
      </c>
      <c r="F6565" s="7">
        <f t="shared" si="102"/>
        <v>6</v>
      </c>
      <c r="G6565" s="7" t="str">
        <f>LOOKUP(H6565,[1]startdates!$A$2:$A$10,[1]startdates!$B$2:$B$10)</f>
        <v>FMr</v>
      </c>
      <c r="H6565">
        <v>7</v>
      </c>
      <c r="I6565" s="7">
        <v>549.5</v>
      </c>
      <c r="K6565" s="7">
        <v>572.4</v>
      </c>
      <c r="L6565" s="7">
        <v>393.9</v>
      </c>
      <c r="M6565" s="7">
        <v>331.5</v>
      </c>
      <c r="N6565" s="7">
        <v>279.7</v>
      </c>
      <c r="O6565" s="7">
        <v>164.7</v>
      </c>
      <c r="P6565" s="7">
        <v>429.9</v>
      </c>
      <c r="Q6565" s="7">
        <v>388</v>
      </c>
      <c r="R6565" s="7">
        <v>264</v>
      </c>
    </row>
    <row r="6566" spans="1:19" x14ac:dyDescent="0.2">
      <c r="A6566">
        <v>6565</v>
      </c>
      <c r="B6566" s="1">
        <v>40921</v>
      </c>
      <c r="C6566" t="s">
        <v>28</v>
      </c>
      <c r="D6566" s="7">
        <v>181</v>
      </c>
      <c r="E6566" s="7">
        <v>27</v>
      </c>
      <c r="F6566" s="7">
        <f t="shared" si="102"/>
        <v>6</v>
      </c>
      <c r="G6566" s="7" t="str">
        <f>LOOKUP(H6566,[1]startdates!$A$2:$A$10,[1]startdates!$B$2:$B$10)</f>
        <v>FMr</v>
      </c>
      <c r="H6566">
        <v>7</v>
      </c>
      <c r="I6566" s="7">
        <v>574.9</v>
      </c>
      <c r="K6566" s="7">
        <v>526.1</v>
      </c>
      <c r="L6566" s="7">
        <v>399.5</v>
      </c>
      <c r="M6566" s="7">
        <v>311.89999999999998</v>
      </c>
      <c r="N6566" s="7">
        <v>205.2</v>
      </c>
      <c r="O6566" s="7">
        <v>140.69999999999999</v>
      </c>
      <c r="R6566" s="7">
        <v>284.10000000000002</v>
      </c>
    </row>
    <row r="6567" spans="1:19" x14ac:dyDescent="0.2">
      <c r="A6567">
        <v>6566</v>
      </c>
      <c r="B6567" s="1">
        <v>40921</v>
      </c>
      <c r="C6567" t="s">
        <v>28</v>
      </c>
      <c r="D6567" s="7">
        <v>181</v>
      </c>
      <c r="E6567" s="7">
        <v>27</v>
      </c>
      <c r="F6567" s="7">
        <f t="shared" si="102"/>
        <v>6</v>
      </c>
      <c r="G6567" s="7" t="str">
        <f>LOOKUP(H6567,[1]startdates!$A$2:$A$10,[1]startdates!$B$2:$B$10)</f>
        <v>FMr</v>
      </c>
      <c r="H6567">
        <v>7</v>
      </c>
      <c r="I6567" s="7">
        <v>572.1</v>
      </c>
      <c r="K6567" s="7">
        <v>538.5</v>
      </c>
      <c r="M6567" s="7">
        <v>336.5</v>
      </c>
      <c r="N6567" s="7">
        <v>230.6</v>
      </c>
      <c r="O6567" s="7">
        <v>156.4</v>
      </c>
    </row>
    <row r="6568" spans="1:19" x14ac:dyDescent="0.2">
      <c r="A6568">
        <v>6567</v>
      </c>
      <c r="B6568" s="1">
        <v>40921</v>
      </c>
      <c r="C6568" t="s">
        <v>28</v>
      </c>
      <c r="D6568" s="7">
        <v>181</v>
      </c>
      <c r="E6568" s="7">
        <v>27</v>
      </c>
      <c r="F6568" s="7">
        <f t="shared" si="102"/>
        <v>6</v>
      </c>
      <c r="G6568" s="7" t="str">
        <f>LOOKUP(H6568,[1]startdates!$A$2:$A$10,[1]startdates!$B$2:$B$10)</f>
        <v>FMr</v>
      </c>
      <c r="H6568">
        <v>7</v>
      </c>
      <c r="I6568" s="7">
        <v>593.9</v>
      </c>
      <c r="M6568" s="7">
        <v>340.2</v>
      </c>
      <c r="N6568" s="7">
        <v>224.9</v>
      </c>
      <c r="O6568" s="7">
        <v>158.80000000000001</v>
      </c>
    </row>
    <row r="6569" spans="1:19" x14ac:dyDescent="0.2">
      <c r="A6569">
        <v>6568</v>
      </c>
      <c r="B6569" s="1">
        <v>40921</v>
      </c>
      <c r="C6569" t="s">
        <v>28</v>
      </c>
      <c r="D6569" s="7">
        <v>181</v>
      </c>
      <c r="E6569" s="7">
        <v>27</v>
      </c>
      <c r="F6569" s="7">
        <f t="shared" ref="F6569:F6632" si="103">WEEKDAY(B6569)</f>
        <v>6</v>
      </c>
      <c r="G6569" s="7" t="str">
        <f>LOOKUP(H6569,[1]startdates!$A$2:$A$10,[1]startdates!$B$2:$B$10)</f>
        <v>FMr</v>
      </c>
      <c r="H6569">
        <v>7</v>
      </c>
      <c r="I6569" s="7">
        <v>588.29999999999995</v>
      </c>
      <c r="M6569" s="7">
        <v>329.7</v>
      </c>
      <c r="N6569" s="7">
        <v>193.2</v>
      </c>
      <c r="O6569" s="7">
        <v>165.7</v>
      </c>
    </row>
    <row r="6570" spans="1:19" x14ac:dyDescent="0.2">
      <c r="A6570">
        <v>6569</v>
      </c>
      <c r="B6570" s="1">
        <v>40921</v>
      </c>
      <c r="C6570" t="s">
        <v>28</v>
      </c>
      <c r="D6570" s="7">
        <v>181</v>
      </c>
      <c r="E6570" s="7">
        <v>27</v>
      </c>
      <c r="F6570" s="7">
        <f t="shared" si="103"/>
        <v>6</v>
      </c>
      <c r="G6570" s="7" t="str">
        <f>LOOKUP(H6570,[1]startdates!$A$2:$A$10,[1]startdates!$B$2:$B$10)</f>
        <v>FMr</v>
      </c>
      <c r="H6570">
        <v>7</v>
      </c>
      <c r="I6570" s="7">
        <v>556.5</v>
      </c>
      <c r="M6570" s="7">
        <v>345.1</v>
      </c>
      <c r="N6570" s="7">
        <v>194.7</v>
      </c>
      <c r="O6570" s="7">
        <v>181.8</v>
      </c>
    </row>
    <row r="6571" spans="1:19" x14ac:dyDescent="0.2">
      <c r="A6571">
        <v>6570</v>
      </c>
      <c r="B6571" s="1">
        <v>40921</v>
      </c>
      <c r="C6571" t="s">
        <v>28</v>
      </c>
      <c r="D6571" s="7">
        <v>181</v>
      </c>
      <c r="E6571" s="7">
        <v>27</v>
      </c>
      <c r="F6571" s="7">
        <f t="shared" si="103"/>
        <v>6</v>
      </c>
      <c r="G6571" s="7" t="str">
        <f>LOOKUP(H6571,[1]startdates!$A$2:$A$10,[1]startdates!$B$2:$B$10)</f>
        <v>FMr</v>
      </c>
      <c r="H6571">
        <v>7</v>
      </c>
      <c r="I6571" s="7">
        <v>652.70000000000005</v>
      </c>
      <c r="M6571" s="7">
        <v>326.39999999999998</v>
      </c>
      <c r="N6571" s="7">
        <v>202.9</v>
      </c>
      <c r="O6571" s="7">
        <v>161.4</v>
      </c>
    </row>
    <row r="6572" spans="1:19" x14ac:dyDescent="0.2">
      <c r="A6572">
        <v>6571</v>
      </c>
      <c r="B6572" s="1">
        <v>40921</v>
      </c>
      <c r="C6572" t="s">
        <v>28</v>
      </c>
      <c r="D6572" s="7">
        <v>181</v>
      </c>
      <c r="E6572" s="7">
        <v>27</v>
      </c>
      <c r="F6572" s="7">
        <f t="shared" si="103"/>
        <v>6</v>
      </c>
      <c r="G6572" s="7" t="str">
        <f>LOOKUP(H6572,[1]startdates!$A$2:$A$10,[1]startdates!$B$2:$B$10)</f>
        <v>FMr</v>
      </c>
      <c r="H6572">
        <v>7</v>
      </c>
      <c r="I6572" s="7">
        <v>619.9</v>
      </c>
      <c r="M6572" s="7">
        <v>373.2</v>
      </c>
      <c r="N6572" s="7">
        <v>216.5</v>
      </c>
      <c r="O6572" s="7">
        <v>178.2</v>
      </c>
    </row>
    <row r="6573" spans="1:19" x14ac:dyDescent="0.2">
      <c r="A6573">
        <v>6572</v>
      </c>
      <c r="B6573" s="1">
        <v>40921</v>
      </c>
      <c r="C6573" t="s">
        <v>28</v>
      </c>
      <c r="D6573" s="7">
        <v>181</v>
      </c>
      <c r="E6573" s="7">
        <v>27</v>
      </c>
      <c r="F6573" s="7">
        <f t="shared" si="103"/>
        <v>6</v>
      </c>
      <c r="G6573" s="7" t="str">
        <f>LOOKUP(H6573,[1]startdates!$A$2:$A$10,[1]startdates!$B$2:$B$10)</f>
        <v>FMr</v>
      </c>
      <c r="H6573">
        <v>7</v>
      </c>
      <c r="I6573" s="7">
        <v>519.9</v>
      </c>
      <c r="M6573" s="7">
        <v>344.4</v>
      </c>
      <c r="N6573" s="7">
        <v>238.7</v>
      </c>
      <c r="O6573" s="7">
        <v>173.7</v>
      </c>
    </row>
    <row r="6574" spans="1:19" x14ac:dyDescent="0.2">
      <c r="A6574">
        <v>6573</v>
      </c>
      <c r="B6574" s="1">
        <v>40921</v>
      </c>
      <c r="C6574" t="s">
        <v>28</v>
      </c>
      <c r="D6574" s="7">
        <v>181</v>
      </c>
      <c r="E6574" s="7">
        <v>27</v>
      </c>
      <c r="F6574" s="7">
        <f t="shared" si="103"/>
        <v>6</v>
      </c>
      <c r="G6574" s="7" t="str">
        <f>LOOKUP(H6574,[1]startdates!$A$2:$A$10,[1]startdates!$B$2:$B$10)</f>
        <v>FMr</v>
      </c>
      <c r="H6574">
        <v>7</v>
      </c>
      <c r="M6574" s="7">
        <v>324.10000000000002</v>
      </c>
      <c r="O6574" s="7">
        <v>174.4</v>
      </c>
    </row>
    <row r="6575" spans="1:19" x14ac:dyDescent="0.2">
      <c r="A6575">
        <v>6574</v>
      </c>
      <c r="B6575" s="1">
        <v>40921</v>
      </c>
      <c r="C6575" t="s">
        <v>28</v>
      </c>
      <c r="D6575" s="7">
        <v>181</v>
      </c>
      <c r="E6575" s="7">
        <v>27</v>
      </c>
      <c r="F6575" s="7">
        <f t="shared" si="103"/>
        <v>6</v>
      </c>
      <c r="G6575" s="7" t="str">
        <f>LOOKUP(H6575,[1]startdates!$A$2:$A$10,[1]startdates!$B$2:$B$10)</f>
        <v>FMr</v>
      </c>
      <c r="H6575">
        <v>7</v>
      </c>
      <c r="M6575" s="7">
        <v>326.5</v>
      </c>
    </row>
    <row r="6576" spans="1:19" x14ac:dyDescent="0.2">
      <c r="A6576">
        <v>6575</v>
      </c>
      <c r="B6576" s="1">
        <v>40921</v>
      </c>
      <c r="C6576" t="s">
        <v>28</v>
      </c>
      <c r="D6576" s="7">
        <v>181</v>
      </c>
      <c r="E6576" s="7">
        <v>27</v>
      </c>
      <c r="F6576" s="7">
        <f t="shared" si="103"/>
        <v>6</v>
      </c>
      <c r="G6576" s="7" t="str">
        <f>LOOKUP(H6576,[1]startdates!$A$2:$A$10,[1]startdates!$B$2:$B$10)</f>
        <v>C</v>
      </c>
      <c r="H6576">
        <v>8</v>
      </c>
      <c r="I6576" s="7">
        <v>625.4</v>
      </c>
      <c r="J6576" s="7">
        <v>546.70000000000005</v>
      </c>
      <c r="K6576" s="7">
        <v>477.6</v>
      </c>
      <c r="L6576" s="7">
        <v>464.8</v>
      </c>
      <c r="M6576" s="7">
        <v>343.1</v>
      </c>
      <c r="N6576" s="7">
        <v>264.5</v>
      </c>
      <c r="O6576" s="7">
        <v>168.9</v>
      </c>
      <c r="P6576" s="7">
        <v>449.9</v>
      </c>
      <c r="Q6576" s="7">
        <v>312.60000000000002</v>
      </c>
      <c r="S6576" s="7">
        <v>216</v>
      </c>
    </row>
    <row r="6577" spans="1:19" x14ac:dyDescent="0.2">
      <c r="A6577">
        <v>6576</v>
      </c>
      <c r="B6577" s="1">
        <v>40921</v>
      </c>
      <c r="C6577" t="s">
        <v>28</v>
      </c>
      <c r="D6577" s="7">
        <v>181</v>
      </c>
      <c r="E6577" s="7">
        <v>27</v>
      </c>
      <c r="F6577" s="7">
        <f t="shared" si="103"/>
        <v>6</v>
      </c>
      <c r="G6577" s="7" t="str">
        <f>LOOKUP(H6577,[1]startdates!$A$2:$A$10,[1]startdates!$B$2:$B$10)</f>
        <v>C</v>
      </c>
      <c r="H6577">
        <v>8</v>
      </c>
      <c r="I6577" s="7">
        <v>659.5</v>
      </c>
      <c r="J6577" s="7">
        <v>497.6</v>
      </c>
      <c r="K6577" s="7">
        <v>451.7</v>
      </c>
      <c r="L6577" s="7">
        <v>404.7</v>
      </c>
      <c r="M6577" s="7">
        <v>297.89999999999998</v>
      </c>
      <c r="N6577" s="7">
        <v>218.7</v>
      </c>
      <c r="O6577" s="7">
        <v>154.9</v>
      </c>
    </row>
    <row r="6578" spans="1:19" x14ac:dyDescent="0.2">
      <c r="A6578">
        <v>6577</v>
      </c>
      <c r="B6578" s="1">
        <v>40921</v>
      </c>
      <c r="C6578" t="s">
        <v>28</v>
      </c>
      <c r="D6578" s="7">
        <v>181</v>
      </c>
      <c r="E6578" s="7">
        <v>27</v>
      </c>
      <c r="F6578" s="7">
        <f t="shared" si="103"/>
        <v>6</v>
      </c>
      <c r="G6578" s="7" t="str">
        <f>LOOKUP(H6578,[1]startdates!$A$2:$A$10,[1]startdates!$B$2:$B$10)</f>
        <v>C</v>
      </c>
      <c r="H6578">
        <v>8</v>
      </c>
      <c r="I6578" s="7">
        <v>662</v>
      </c>
      <c r="J6578" s="7">
        <v>475.9</v>
      </c>
      <c r="K6578" s="7">
        <v>484.3</v>
      </c>
      <c r="L6578" s="7">
        <v>424</v>
      </c>
      <c r="M6578" s="7">
        <v>309.3</v>
      </c>
      <c r="N6578" s="7">
        <v>206.5</v>
      </c>
      <c r="O6578" s="7">
        <v>165.7</v>
      </c>
    </row>
    <row r="6579" spans="1:19" x14ac:dyDescent="0.2">
      <c r="A6579">
        <v>6578</v>
      </c>
      <c r="B6579" s="1">
        <v>40921</v>
      </c>
      <c r="C6579" t="s">
        <v>28</v>
      </c>
      <c r="D6579" s="7">
        <v>181</v>
      </c>
      <c r="E6579" s="7">
        <v>27</v>
      </c>
      <c r="F6579" s="7">
        <f t="shared" si="103"/>
        <v>6</v>
      </c>
      <c r="G6579" s="7" t="str">
        <f>LOOKUP(H6579,[1]startdates!$A$2:$A$10,[1]startdates!$B$2:$B$10)</f>
        <v>C</v>
      </c>
      <c r="H6579">
        <v>8</v>
      </c>
      <c r="I6579" s="7">
        <v>583.5</v>
      </c>
      <c r="J6579" s="7">
        <v>517.4</v>
      </c>
      <c r="K6579" s="7">
        <v>510.7</v>
      </c>
      <c r="M6579" s="7">
        <v>315.3</v>
      </c>
      <c r="N6579" s="7">
        <v>287.10000000000002</v>
      </c>
      <c r="O6579" s="7">
        <v>142.1</v>
      </c>
    </row>
    <row r="6580" spans="1:19" x14ac:dyDescent="0.2">
      <c r="A6580">
        <v>6579</v>
      </c>
      <c r="B6580" s="1">
        <v>40921</v>
      </c>
      <c r="C6580" t="s">
        <v>28</v>
      </c>
      <c r="D6580" s="7">
        <v>181</v>
      </c>
      <c r="E6580" s="7">
        <v>27</v>
      </c>
      <c r="F6580" s="7">
        <f t="shared" si="103"/>
        <v>6</v>
      </c>
      <c r="G6580" s="7" t="str">
        <f>LOOKUP(H6580,[1]startdates!$A$2:$A$10,[1]startdates!$B$2:$B$10)</f>
        <v>C</v>
      </c>
      <c r="H6580">
        <v>8</v>
      </c>
      <c r="I6580" s="7">
        <v>589.6</v>
      </c>
      <c r="J6580" s="7">
        <v>479</v>
      </c>
      <c r="K6580" s="7">
        <v>437.6</v>
      </c>
      <c r="M6580" s="7">
        <v>306.5</v>
      </c>
      <c r="N6580" s="7">
        <v>206.3</v>
      </c>
      <c r="O6580" s="7">
        <v>175</v>
      </c>
    </row>
    <row r="6581" spans="1:19" x14ac:dyDescent="0.2">
      <c r="A6581">
        <v>6580</v>
      </c>
      <c r="B6581" s="1">
        <v>40921</v>
      </c>
      <c r="C6581" t="s">
        <v>28</v>
      </c>
      <c r="D6581" s="7">
        <v>181</v>
      </c>
      <c r="E6581" s="7">
        <v>27</v>
      </c>
      <c r="F6581" s="7">
        <f t="shared" si="103"/>
        <v>6</v>
      </c>
      <c r="G6581" s="7" t="str">
        <f>LOOKUP(H6581,[1]startdates!$A$2:$A$10,[1]startdates!$B$2:$B$10)</f>
        <v>C</v>
      </c>
      <c r="H6581">
        <v>8</v>
      </c>
      <c r="I6581" s="7">
        <v>601.79999999999995</v>
      </c>
      <c r="J6581" s="7">
        <v>523.4</v>
      </c>
      <c r="K6581" s="7">
        <v>635.79999999999995</v>
      </c>
      <c r="M6581" s="7">
        <v>384.4</v>
      </c>
      <c r="N6581" s="7">
        <v>192.2</v>
      </c>
      <c r="O6581" s="7">
        <v>142.30000000000001</v>
      </c>
    </row>
    <row r="6582" spans="1:19" x14ac:dyDescent="0.2">
      <c r="A6582">
        <v>6581</v>
      </c>
      <c r="B6582" s="1">
        <v>40921</v>
      </c>
      <c r="C6582" t="s">
        <v>28</v>
      </c>
      <c r="D6582" s="7">
        <v>181</v>
      </c>
      <c r="E6582" s="7">
        <v>27</v>
      </c>
      <c r="F6582" s="7">
        <f t="shared" si="103"/>
        <v>6</v>
      </c>
      <c r="G6582" s="7" t="str">
        <f>LOOKUP(H6582,[1]startdates!$A$2:$A$10,[1]startdates!$B$2:$B$10)</f>
        <v>C</v>
      </c>
      <c r="H6582">
        <v>8</v>
      </c>
      <c r="I6582" s="7">
        <v>633.5</v>
      </c>
      <c r="J6582" s="7">
        <v>540.5</v>
      </c>
      <c r="M6582" s="7">
        <v>319.7</v>
      </c>
      <c r="N6582" s="7">
        <v>283.60000000000002</v>
      </c>
      <c r="O6582" s="7">
        <v>156.30000000000001</v>
      </c>
    </row>
    <row r="6583" spans="1:19" x14ac:dyDescent="0.2">
      <c r="A6583">
        <v>6582</v>
      </c>
      <c r="B6583" s="1">
        <v>40921</v>
      </c>
      <c r="C6583" t="s">
        <v>28</v>
      </c>
      <c r="D6583" s="7">
        <v>181</v>
      </c>
      <c r="E6583" s="7">
        <v>27</v>
      </c>
      <c r="F6583" s="7">
        <f t="shared" si="103"/>
        <v>6</v>
      </c>
      <c r="G6583" s="7" t="str">
        <f>LOOKUP(H6583,[1]startdates!$A$2:$A$10,[1]startdates!$B$2:$B$10)</f>
        <v>C</v>
      </c>
      <c r="H6583">
        <v>8</v>
      </c>
      <c r="I6583" s="7">
        <v>567.1</v>
      </c>
      <c r="J6583" s="7">
        <v>522.79999999999995</v>
      </c>
      <c r="M6583" s="7">
        <v>363.7</v>
      </c>
      <c r="N6583" s="7">
        <v>249.4</v>
      </c>
      <c r="O6583" s="7">
        <v>151.4</v>
      </c>
    </row>
    <row r="6584" spans="1:19" x14ac:dyDescent="0.2">
      <c r="A6584">
        <v>6583</v>
      </c>
      <c r="B6584" s="1">
        <v>40921</v>
      </c>
      <c r="C6584" t="s">
        <v>28</v>
      </c>
      <c r="D6584" s="7">
        <v>181</v>
      </c>
      <c r="E6584" s="7">
        <v>27</v>
      </c>
      <c r="F6584" s="7">
        <f t="shared" si="103"/>
        <v>6</v>
      </c>
      <c r="G6584" s="7" t="str">
        <f>LOOKUP(H6584,[1]startdates!$A$2:$A$10,[1]startdates!$B$2:$B$10)</f>
        <v>C</v>
      </c>
      <c r="H6584">
        <v>8</v>
      </c>
      <c r="I6584" s="7">
        <v>601.5</v>
      </c>
      <c r="M6584" s="7">
        <v>374.8</v>
      </c>
      <c r="N6584" s="7">
        <v>209.4</v>
      </c>
      <c r="O6584" s="7">
        <v>118</v>
      </c>
    </row>
    <row r="6585" spans="1:19" x14ac:dyDescent="0.2">
      <c r="A6585">
        <v>6584</v>
      </c>
      <c r="B6585" s="1">
        <v>40921</v>
      </c>
      <c r="C6585" t="s">
        <v>28</v>
      </c>
      <c r="D6585" s="7">
        <v>181</v>
      </c>
      <c r="E6585" s="7">
        <v>27</v>
      </c>
      <c r="F6585" s="7">
        <f t="shared" si="103"/>
        <v>6</v>
      </c>
      <c r="G6585" s="7" t="str">
        <f>LOOKUP(H6585,[1]startdates!$A$2:$A$10,[1]startdates!$B$2:$B$10)</f>
        <v>C</v>
      </c>
      <c r="H6585">
        <v>8</v>
      </c>
      <c r="I6585" s="7">
        <v>546.4</v>
      </c>
      <c r="M6585" s="7">
        <v>349.5</v>
      </c>
      <c r="N6585" s="7">
        <v>220.3</v>
      </c>
      <c r="O6585" s="7">
        <v>154.69999999999999</v>
      </c>
    </row>
    <row r="6586" spans="1:19" x14ac:dyDescent="0.2">
      <c r="A6586">
        <v>6585</v>
      </c>
      <c r="B6586" s="1">
        <v>40921</v>
      </c>
      <c r="C6586" t="s">
        <v>28</v>
      </c>
      <c r="D6586" s="7">
        <v>181</v>
      </c>
      <c r="E6586" s="7">
        <v>27</v>
      </c>
      <c r="F6586" s="7">
        <f t="shared" si="103"/>
        <v>6</v>
      </c>
      <c r="G6586" s="7" t="str">
        <f>LOOKUP(H6586,[1]startdates!$A$2:$A$10,[1]startdates!$B$2:$B$10)</f>
        <v>C</v>
      </c>
      <c r="H6586">
        <v>8</v>
      </c>
      <c r="N6586" s="7">
        <v>270</v>
      </c>
    </row>
    <row r="6587" spans="1:19" x14ac:dyDescent="0.2">
      <c r="A6587">
        <v>6586</v>
      </c>
      <c r="B6587" s="1">
        <v>40921</v>
      </c>
      <c r="C6587" t="s">
        <v>28</v>
      </c>
      <c r="D6587" s="7">
        <v>181</v>
      </c>
      <c r="E6587" s="7">
        <v>27</v>
      </c>
      <c r="F6587" s="7">
        <f t="shared" si="103"/>
        <v>6</v>
      </c>
      <c r="G6587" s="7" t="str">
        <f>LOOKUP(H6587,[1]startdates!$A$2:$A$10,[1]startdates!$B$2:$B$10)</f>
        <v>FMr</v>
      </c>
      <c r="H6587">
        <v>9</v>
      </c>
      <c r="I6587" s="7">
        <v>593.70000000000005</v>
      </c>
      <c r="J6587" s="7">
        <v>459.6</v>
      </c>
      <c r="K6587" s="7">
        <v>497.9</v>
      </c>
      <c r="L6587" s="7">
        <v>435.4</v>
      </c>
      <c r="M6587" s="7">
        <v>365</v>
      </c>
      <c r="N6587" s="7">
        <v>187.8</v>
      </c>
      <c r="O6587" s="7">
        <v>159.80000000000001</v>
      </c>
      <c r="P6587" s="7">
        <v>418.8</v>
      </c>
      <c r="Q6587" s="7">
        <v>356.7</v>
      </c>
      <c r="R6587" s="7">
        <v>243.1</v>
      </c>
      <c r="S6587" s="7">
        <v>246.8</v>
      </c>
    </row>
    <row r="6588" spans="1:19" x14ac:dyDescent="0.2">
      <c r="A6588">
        <v>6587</v>
      </c>
      <c r="B6588" s="1">
        <v>40921</v>
      </c>
      <c r="C6588" t="s">
        <v>28</v>
      </c>
      <c r="D6588" s="7">
        <v>181</v>
      </c>
      <c r="E6588" s="7">
        <v>27</v>
      </c>
      <c r="F6588" s="7">
        <f t="shared" si="103"/>
        <v>6</v>
      </c>
      <c r="G6588" s="7" t="str">
        <f>LOOKUP(H6588,[1]startdates!$A$2:$A$10,[1]startdates!$B$2:$B$10)</f>
        <v>FMr</v>
      </c>
      <c r="H6588">
        <v>9</v>
      </c>
      <c r="I6588" s="7">
        <v>606.4</v>
      </c>
      <c r="K6588" s="7">
        <v>490.8</v>
      </c>
      <c r="L6588" s="7">
        <v>412.4</v>
      </c>
      <c r="M6588" s="7">
        <v>353.5</v>
      </c>
      <c r="N6588" s="7">
        <v>283.10000000000002</v>
      </c>
      <c r="O6588" s="7">
        <v>194.7</v>
      </c>
      <c r="Q6588" s="7">
        <v>318.10000000000002</v>
      </c>
      <c r="R6588" s="7">
        <v>263.10000000000002</v>
      </c>
    </row>
    <row r="6589" spans="1:19" x14ac:dyDescent="0.2">
      <c r="A6589">
        <v>6588</v>
      </c>
      <c r="B6589" s="1">
        <v>40921</v>
      </c>
      <c r="C6589" t="s">
        <v>28</v>
      </c>
      <c r="D6589" s="7">
        <v>181</v>
      </c>
      <c r="E6589" s="7">
        <v>27</v>
      </c>
      <c r="F6589" s="7">
        <f t="shared" si="103"/>
        <v>6</v>
      </c>
      <c r="G6589" s="7" t="str">
        <f>LOOKUP(H6589,[1]startdates!$A$2:$A$10,[1]startdates!$B$2:$B$10)</f>
        <v>FMr</v>
      </c>
      <c r="H6589">
        <v>9</v>
      </c>
      <c r="I6589" s="7">
        <v>548.70000000000005</v>
      </c>
      <c r="K6589" s="7">
        <v>493.2</v>
      </c>
      <c r="L6589" s="7">
        <v>444.4</v>
      </c>
      <c r="M6589" s="7">
        <v>297.89999999999998</v>
      </c>
      <c r="N6589" s="7">
        <v>265.3</v>
      </c>
      <c r="O6589" s="7">
        <v>169.5</v>
      </c>
    </row>
    <row r="6590" spans="1:19" x14ac:dyDescent="0.2">
      <c r="A6590">
        <v>6589</v>
      </c>
      <c r="B6590" s="1">
        <v>40921</v>
      </c>
      <c r="C6590" t="s">
        <v>28</v>
      </c>
      <c r="D6590" s="7">
        <v>181</v>
      </c>
      <c r="E6590" s="7">
        <v>27</v>
      </c>
      <c r="F6590" s="7">
        <f t="shared" si="103"/>
        <v>6</v>
      </c>
      <c r="G6590" s="7" t="str">
        <f>LOOKUP(H6590,[1]startdates!$A$2:$A$10,[1]startdates!$B$2:$B$10)</f>
        <v>FMr</v>
      </c>
      <c r="H6590">
        <v>9</v>
      </c>
      <c r="I6590" s="7">
        <v>590</v>
      </c>
      <c r="K6590" s="7">
        <v>522.1</v>
      </c>
      <c r="L6590" s="7">
        <v>443.8</v>
      </c>
      <c r="M6590" s="7">
        <v>347.6</v>
      </c>
      <c r="N6590" s="7">
        <v>217.5</v>
      </c>
      <c r="O6590" s="7">
        <v>149.1</v>
      </c>
    </row>
    <row r="6591" spans="1:19" x14ac:dyDescent="0.2">
      <c r="A6591">
        <v>6590</v>
      </c>
      <c r="B6591" s="1">
        <v>40921</v>
      </c>
      <c r="C6591" t="s">
        <v>28</v>
      </c>
      <c r="D6591" s="7">
        <v>181</v>
      </c>
      <c r="E6591" s="7">
        <v>27</v>
      </c>
      <c r="F6591" s="7">
        <f t="shared" si="103"/>
        <v>6</v>
      </c>
      <c r="G6591" s="7" t="str">
        <f>LOOKUP(H6591,[1]startdates!$A$2:$A$10,[1]startdates!$B$2:$B$10)</f>
        <v>FMr</v>
      </c>
      <c r="H6591">
        <v>9</v>
      </c>
      <c r="I6591" s="7">
        <v>533.79999999999995</v>
      </c>
      <c r="K6591" s="7">
        <v>538.5</v>
      </c>
      <c r="M6591" s="7">
        <v>377.2</v>
      </c>
      <c r="N6591" s="7">
        <v>232.9</v>
      </c>
      <c r="O6591" s="7">
        <v>177.7</v>
      </c>
    </row>
    <row r="6592" spans="1:19" x14ac:dyDescent="0.2">
      <c r="A6592">
        <v>6591</v>
      </c>
      <c r="B6592" s="1">
        <v>40921</v>
      </c>
      <c r="C6592" t="s">
        <v>28</v>
      </c>
      <c r="D6592" s="7">
        <v>181</v>
      </c>
      <c r="E6592" s="7">
        <v>27</v>
      </c>
      <c r="F6592" s="7">
        <f t="shared" si="103"/>
        <v>6</v>
      </c>
      <c r="G6592" s="7" t="str">
        <f>LOOKUP(H6592,[1]startdates!$A$2:$A$10,[1]startdates!$B$2:$B$10)</f>
        <v>FMr</v>
      </c>
      <c r="H6592">
        <v>9</v>
      </c>
      <c r="I6592" s="7">
        <v>615.70000000000005</v>
      </c>
      <c r="K6592" s="7">
        <v>500.1</v>
      </c>
      <c r="M6592" s="7">
        <v>353.6</v>
      </c>
      <c r="N6592" s="7">
        <v>235</v>
      </c>
      <c r="O6592" s="7">
        <v>147.30000000000001</v>
      </c>
    </row>
    <row r="6593" spans="1:21" x14ac:dyDescent="0.2">
      <c r="A6593">
        <v>6592</v>
      </c>
      <c r="B6593" s="1">
        <v>40921</v>
      </c>
      <c r="C6593" t="s">
        <v>28</v>
      </c>
      <c r="D6593" s="7">
        <v>181</v>
      </c>
      <c r="E6593" s="7">
        <v>27</v>
      </c>
      <c r="F6593" s="7">
        <f t="shared" si="103"/>
        <v>6</v>
      </c>
      <c r="G6593" s="7" t="str">
        <f>LOOKUP(H6593,[1]startdates!$A$2:$A$10,[1]startdates!$B$2:$B$10)</f>
        <v>FMr</v>
      </c>
      <c r="H6593">
        <v>9</v>
      </c>
      <c r="I6593" s="7">
        <v>520.5</v>
      </c>
      <c r="K6593" s="7">
        <v>498.9</v>
      </c>
      <c r="M6593" s="7">
        <v>345.7</v>
      </c>
      <c r="N6593" s="7">
        <v>221</v>
      </c>
      <c r="O6593" s="7">
        <v>163.5</v>
      </c>
    </row>
    <row r="6594" spans="1:21" x14ac:dyDescent="0.2">
      <c r="A6594">
        <v>6593</v>
      </c>
      <c r="B6594" s="1">
        <v>40921</v>
      </c>
      <c r="C6594" t="s">
        <v>28</v>
      </c>
      <c r="D6594" s="7">
        <v>181</v>
      </c>
      <c r="E6594" s="7">
        <v>27</v>
      </c>
      <c r="F6594" s="7">
        <f t="shared" si="103"/>
        <v>6</v>
      </c>
      <c r="G6594" s="7" t="str">
        <f>LOOKUP(H6594,[1]startdates!$A$2:$A$10,[1]startdates!$B$2:$B$10)</f>
        <v>FMr</v>
      </c>
      <c r="H6594">
        <v>9</v>
      </c>
      <c r="I6594" s="7">
        <v>533.4</v>
      </c>
      <c r="K6594" s="7">
        <v>471.7</v>
      </c>
      <c r="M6594" s="7">
        <v>343</v>
      </c>
      <c r="N6594" s="7">
        <v>208.5</v>
      </c>
      <c r="O6594" s="7">
        <v>166.9</v>
      </c>
    </row>
    <row r="6595" spans="1:21" x14ac:dyDescent="0.2">
      <c r="A6595">
        <v>6594</v>
      </c>
      <c r="B6595" s="1">
        <v>40921</v>
      </c>
      <c r="C6595" t="s">
        <v>28</v>
      </c>
      <c r="D6595" s="7">
        <v>181</v>
      </c>
      <c r="E6595" s="7">
        <v>27</v>
      </c>
      <c r="F6595" s="7">
        <f t="shared" si="103"/>
        <v>6</v>
      </c>
      <c r="G6595" s="7" t="str">
        <f>LOOKUP(H6595,[1]startdates!$A$2:$A$10,[1]startdates!$B$2:$B$10)</f>
        <v>FMr</v>
      </c>
      <c r="H6595">
        <v>9</v>
      </c>
      <c r="I6595" s="7">
        <v>574</v>
      </c>
      <c r="M6595" s="7">
        <v>314.8</v>
      </c>
      <c r="N6595" s="7">
        <v>227.4</v>
      </c>
      <c r="O6595" s="7">
        <v>169.6</v>
      </c>
    </row>
    <row r="6596" spans="1:21" x14ac:dyDescent="0.2">
      <c r="A6596">
        <v>6595</v>
      </c>
      <c r="B6596" s="1">
        <v>40921</v>
      </c>
      <c r="C6596" t="s">
        <v>28</v>
      </c>
      <c r="D6596" s="7">
        <v>181</v>
      </c>
      <c r="E6596" s="7">
        <v>27</v>
      </c>
      <c r="F6596" s="7">
        <f t="shared" si="103"/>
        <v>6</v>
      </c>
      <c r="G6596" s="7" t="str">
        <f>LOOKUP(H6596,[1]startdates!$A$2:$A$10,[1]startdates!$B$2:$B$10)</f>
        <v>FMr</v>
      </c>
      <c r="H6596">
        <v>9</v>
      </c>
      <c r="I6596" s="7">
        <v>596.20000000000005</v>
      </c>
      <c r="M6596" s="7">
        <v>384.5</v>
      </c>
      <c r="N6596" s="7">
        <v>237.1</v>
      </c>
      <c r="O6596" s="7">
        <v>154.9</v>
      </c>
    </row>
    <row r="6597" spans="1:21" x14ac:dyDescent="0.2">
      <c r="A6597">
        <v>6596</v>
      </c>
      <c r="B6597" s="1">
        <v>40925</v>
      </c>
      <c r="C6597" t="s">
        <v>28</v>
      </c>
      <c r="D6597" s="7">
        <v>185</v>
      </c>
      <c r="E6597" s="7">
        <v>28</v>
      </c>
      <c r="F6597" s="7">
        <f t="shared" si="103"/>
        <v>3</v>
      </c>
      <c r="G6597" s="7" t="str">
        <f>LOOKUP(H6597,[1]startdates!$A$2:$A$10,[1]startdates!$B$2:$B$10)</f>
        <v>SMr</v>
      </c>
      <c r="H6597">
        <v>1</v>
      </c>
      <c r="I6597" s="7">
        <v>523.29999999999995</v>
      </c>
      <c r="J6597" s="7">
        <v>504.8</v>
      </c>
      <c r="K6597" s="7">
        <v>423.9</v>
      </c>
      <c r="L6597" s="7">
        <v>442.1</v>
      </c>
      <c r="M6597" s="7">
        <v>324.39999999999998</v>
      </c>
      <c r="N6597" s="7">
        <v>182.2</v>
      </c>
      <c r="O6597" s="7">
        <v>161.5</v>
      </c>
      <c r="P6597" s="7">
        <v>429.1</v>
      </c>
      <c r="Q6597" s="7">
        <v>303.39999999999998</v>
      </c>
      <c r="R6597" s="7">
        <v>253.2</v>
      </c>
      <c r="U6597" s="7">
        <v>509.7</v>
      </c>
    </row>
    <row r="6598" spans="1:21" x14ac:dyDescent="0.2">
      <c r="A6598">
        <v>6597</v>
      </c>
      <c r="B6598" s="1">
        <v>40925</v>
      </c>
      <c r="C6598" t="s">
        <v>28</v>
      </c>
      <c r="D6598" s="7">
        <v>185</v>
      </c>
      <c r="E6598" s="7">
        <v>28</v>
      </c>
      <c r="F6598" s="7">
        <f t="shared" si="103"/>
        <v>3</v>
      </c>
      <c r="G6598" s="7" t="str">
        <f>LOOKUP(H6598,[1]startdates!$A$2:$A$10,[1]startdates!$B$2:$B$10)</f>
        <v>SMr</v>
      </c>
      <c r="H6598">
        <v>1</v>
      </c>
      <c r="I6598" s="7">
        <v>628.79999999999995</v>
      </c>
      <c r="J6598" s="7">
        <v>492.3</v>
      </c>
      <c r="K6598" s="7">
        <v>475.1</v>
      </c>
      <c r="L6598" s="7">
        <v>411.5</v>
      </c>
      <c r="M6598" s="7">
        <v>344.4</v>
      </c>
      <c r="N6598" s="7">
        <v>235.9</v>
      </c>
      <c r="O6598" s="7">
        <v>175.4</v>
      </c>
      <c r="P6598" s="7">
        <v>442.6</v>
      </c>
      <c r="Q6598" s="7">
        <v>339.1</v>
      </c>
      <c r="R6598" s="7">
        <v>240.7</v>
      </c>
      <c r="U6598" s="7">
        <v>482.5</v>
      </c>
    </row>
    <row r="6599" spans="1:21" x14ac:dyDescent="0.2">
      <c r="A6599">
        <v>6598</v>
      </c>
      <c r="B6599" s="1">
        <v>40925</v>
      </c>
      <c r="C6599" t="s">
        <v>28</v>
      </c>
      <c r="D6599" s="7">
        <v>185</v>
      </c>
      <c r="E6599" s="7">
        <v>28</v>
      </c>
      <c r="F6599" s="7">
        <f t="shared" si="103"/>
        <v>3</v>
      </c>
      <c r="G6599" s="7" t="str">
        <f>LOOKUP(H6599,[1]startdates!$A$2:$A$10,[1]startdates!$B$2:$B$10)</f>
        <v>SMr</v>
      </c>
      <c r="H6599">
        <v>1</v>
      </c>
      <c r="I6599" s="7">
        <v>591.5</v>
      </c>
      <c r="K6599" s="7">
        <v>443</v>
      </c>
      <c r="M6599" s="7">
        <v>374.1</v>
      </c>
      <c r="N6599" s="7">
        <v>262.89999999999998</v>
      </c>
      <c r="O6599" s="7">
        <v>156.19999999999999</v>
      </c>
      <c r="P6599" s="7">
        <v>407.8</v>
      </c>
      <c r="R6599" s="7">
        <v>236.8</v>
      </c>
    </row>
    <row r="6600" spans="1:21" x14ac:dyDescent="0.2">
      <c r="A6600">
        <v>6599</v>
      </c>
      <c r="B6600" s="1">
        <v>40925</v>
      </c>
      <c r="C6600" t="s">
        <v>28</v>
      </c>
      <c r="D6600" s="7">
        <v>185</v>
      </c>
      <c r="E6600" s="7">
        <v>28</v>
      </c>
      <c r="F6600" s="7">
        <f t="shared" si="103"/>
        <v>3</v>
      </c>
      <c r="G6600" s="7" t="str">
        <f>LOOKUP(H6600,[1]startdates!$A$2:$A$10,[1]startdates!$B$2:$B$10)</f>
        <v>SMr</v>
      </c>
      <c r="H6600">
        <v>1</v>
      </c>
      <c r="I6600" s="7">
        <v>575.4</v>
      </c>
      <c r="M6600" s="7">
        <v>299.8</v>
      </c>
      <c r="N6600" s="7">
        <v>227.7</v>
      </c>
      <c r="O6600" s="7">
        <v>166.5</v>
      </c>
    </row>
    <row r="6601" spans="1:21" x14ac:dyDescent="0.2">
      <c r="A6601">
        <v>6600</v>
      </c>
      <c r="B6601" s="1">
        <v>40925</v>
      </c>
      <c r="C6601" t="s">
        <v>28</v>
      </c>
      <c r="D6601" s="7">
        <v>185</v>
      </c>
      <c r="E6601" s="7">
        <v>28</v>
      </c>
      <c r="F6601" s="7">
        <f t="shared" si="103"/>
        <v>3</v>
      </c>
      <c r="G6601" s="7" t="str">
        <f>LOOKUP(H6601,[1]startdates!$A$2:$A$10,[1]startdates!$B$2:$B$10)</f>
        <v>SMr</v>
      </c>
      <c r="H6601">
        <v>1</v>
      </c>
      <c r="I6601" s="7">
        <v>553.79999999999995</v>
      </c>
      <c r="M6601" s="7">
        <v>376.2</v>
      </c>
      <c r="N6601" s="7">
        <v>268</v>
      </c>
      <c r="O6601" s="7">
        <v>154.69999999999999</v>
      </c>
    </row>
    <row r="6602" spans="1:21" x14ac:dyDescent="0.2">
      <c r="A6602">
        <v>6601</v>
      </c>
      <c r="B6602" s="1">
        <v>40925</v>
      </c>
      <c r="C6602" t="s">
        <v>28</v>
      </c>
      <c r="D6602" s="7">
        <v>185</v>
      </c>
      <c r="E6602" s="7">
        <v>28</v>
      </c>
      <c r="F6602" s="7">
        <f t="shared" si="103"/>
        <v>3</v>
      </c>
      <c r="G6602" s="7" t="str">
        <f>LOOKUP(H6602,[1]startdates!$A$2:$A$10,[1]startdates!$B$2:$B$10)</f>
        <v>SMr</v>
      </c>
      <c r="H6602">
        <v>1</v>
      </c>
      <c r="I6602" s="7">
        <v>492.8</v>
      </c>
      <c r="M6602" s="7">
        <v>329.5</v>
      </c>
      <c r="N6602" s="7">
        <v>246.1</v>
      </c>
      <c r="O6602" s="7">
        <v>156.5</v>
      </c>
    </row>
    <row r="6603" spans="1:21" x14ac:dyDescent="0.2">
      <c r="A6603">
        <v>6602</v>
      </c>
      <c r="B6603" s="1">
        <v>40925</v>
      </c>
      <c r="C6603" t="s">
        <v>28</v>
      </c>
      <c r="D6603" s="7">
        <v>185</v>
      </c>
      <c r="E6603" s="7">
        <v>28</v>
      </c>
      <c r="F6603" s="7">
        <f t="shared" si="103"/>
        <v>3</v>
      </c>
      <c r="G6603" s="7" t="str">
        <f>LOOKUP(H6603,[1]startdates!$A$2:$A$10,[1]startdates!$B$2:$B$10)</f>
        <v>SMr</v>
      </c>
      <c r="H6603">
        <v>1</v>
      </c>
      <c r="I6603" s="7">
        <v>562.4</v>
      </c>
      <c r="M6603" s="7">
        <v>317.60000000000002</v>
      </c>
      <c r="N6603" s="7">
        <v>244.1</v>
      </c>
      <c r="O6603" s="7">
        <v>159.30000000000001</v>
      </c>
    </row>
    <row r="6604" spans="1:21" x14ac:dyDescent="0.2">
      <c r="A6604">
        <v>6603</v>
      </c>
      <c r="B6604" s="1">
        <v>40925</v>
      </c>
      <c r="C6604" t="s">
        <v>28</v>
      </c>
      <c r="D6604" s="7">
        <v>185</v>
      </c>
      <c r="E6604" s="7">
        <v>28</v>
      </c>
      <c r="F6604" s="7">
        <f t="shared" si="103"/>
        <v>3</v>
      </c>
      <c r="G6604" s="7" t="str">
        <f>LOOKUP(H6604,[1]startdates!$A$2:$A$10,[1]startdates!$B$2:$B$10)</f>
        <v>SMr</v>
      </c>
      <c r="H6604">
        <v>1</v>
      </c>
      <c r="I6604" s="7">
        <v>584.1</v>
      </c>
      <c r="M6604" s="7">
        <v>296.10000000000002</v>
      </c>
      <c r="N6604" s="7">
        <v>228.7</v>
      </c>
      <c r="O6604" s="7">
        <v>168.8</v>
      </c>
    </row>
    <row r="6605" spans="1:21" x14ac:dyDescent="0.2">
      <c r="A6605">
        <v>6604</v>
      </c>
      <c r="B6605" s="1">
        <v>40925</v>
      </c>
      <c r="C6605" t="s">
        <v>28</v>
      </c>
      <c r="D6605" s="7">
        <v>185</v>
      </c>
      <c r="E6605" s="7">
        <v>28</v>
      </c>
      <c r="F6605" s="7">
        <f t="shared" si="103"/>
        <v>3</v>
      </c>
      <c r="G6605" s="7" t="str">
        <f>LOOKUP(H6605,[1]startdates!$A$2:$A$10,[1]startdates!$B$2:$B$10)</f>
        <v>SMr</v>
      </c>
      <c r="H6605">
        <v>1</v>
      </c>
      <c r="I6605" s="7">
        <v>513.5</v>
      </c>
      <c r="M6605" s="7">
        <v>324.39999999999998</v>
      </c>
      <c r="N6605" s="7">
        <v>195</v>
      </c>
    </row>
    <row r="6606" spans="1:21" x14ac:dyDescent="0.2">
      <c r="A6606">
        <v>6605</v>
      </c>
      <c r="B6606" s="1">
        <v>40925</v>
      </c>
      <c r="C6606" t="s">
        <v>28</v>
      </c>
      <c r="D6606" s="7">
        <v>185</v>
      </c>
      <c r="E6606" s="7">
        <v>28</v>
      </c>
      <c r="F6606" s="7">
        <f t="shared" si="103"/>
        <v>3</v>
      </c>
      <c r="G6606" s="7" t="str">
        <f>LOOKUP(H6606,[1]startdates!$A$2:$A$10,[1]startdates!$B$2:$B$10)</f>
        <v>SMr</v>
      </c>
      <c r="H6606">
        <v>1</v>
      </c>
      <c r="I6606" s="7">
        <v>550.4</v>
      </c>
      <c r="M6606" s="7">
        <v>331.2</v>
      </c>
      <c r="N6606" s="7">
        <v>218.7</v>
      </c>
    </row>
    <row r="6607" spans="1:21" x14ac:dyDescent="0.2">
      <c r="A6607">
        <v>6606</v>
      </c>
      <c r="B6607" s="1">
        <v>40925</v>
      </c>
      <c r="C6607" t="s">
        <v>28</v>
      </c>
      <c r="D6607" s="7">
        <v>185</v>
      </c>
      <c r="E6607" s="7">
        <v>28</v>
      </c>
      <c r="F6607" s="7">
        <f t="shared" si="103"/>
        <v>3</v>
      </c>
      <c r="G6607" s="7" t="str">
        <f>LOOKUP(H6607,[1]startdates!$A$2:$A$10,[1]startdates!$B$2:$B$10)</f>
        <v>SMr</v>
      </c>
      <c r="H6607">
        <v>2</v>
      </c>
      <c r="I6607" s="7">
        <v>637.1</v>
      </c>
      <c r="K6607" s="7">
        <v>536.70000000000005</v>
      </c>
      <c r="L6607" s="7">
        <v>412.6</v>
      </c>
      <c r="M6607" s="7">
        <v>358.3</v>
      </c>
      <c r="N6607" s="7">
        <v>231.3</v>
      </c>
      <c r="O6607" s="7">
        <v>155</v>
      </c>
      <c r="P6607" s="7">
        <v>447.3</v>
      </c>
      <c r="Q6607" s="7">
        <v>383.3</v>
      </c>
      <c r="U6607" s="7">
        <v>475.8</v>
      </c>
    </row>
    <row r="6608" spans="1:21" x14ac:dyDescent="0.2">
      <c r="A6608">
        <v>6607</v>
      </c>
      <c r="B6608" s="1">
        <v>40925</v>
      </c>
      <c r="C6608" t="s">
        <v>28</v>
      </c>
      <c r="D6608" s="7">
        <v>185</v>
      </c>
      <c r="E6608" s="7">
        <v>28</v>
      </c>
      <c r="F6608" s="7">
        <f t="shared" si="103"/>
        <v>3</v>
      </c>
      <c r="G6608" s="7" t="str">
        <f>LOOKUP(H6608,[1]startdates!$A$2:$A$10,[1]startdates!$B$2:$B$10)</f>
        <v>SMr</v>
      </c>
      <c r="H6608">
        <v>2</v>
      </c>
      <c r="I6608" s="7">
        <v>629</v>
      </c>
      <c r="K6608" s="7">
        <v>405.6</v>
      </c>
      <c r="M6608" s="7">
        <v>329.4</v>
      </c>
      <c r="N6608" s="7">
        <v>185.2</v>
      </c>
      <c r="O6608" s="7">
        <v>149.5</v>
      </c>
      <c r="P6608" s="7">
        <v>434.5</v>
      </c>
      <c r="Q6608" s="7">
        <v>381.4</v>
      </c>
      <c r="U6608" s="7">
        <v>414</v>
      </c>
    </row>
    <row r="6609" spans="1:21" x14ac:dyDescent="0.2">
      <c r="A6609">
        <v>6608</v>
      </c>
      <c r="B6609" s="1">
        <v>40925</v>
      </c>
      <c r="C6609" t="s">
        <v>28</v>
      </c>
      <c r="D6609" s="7">
        <v>185</v>
      </c>
      <c r="E6609" s="7">
        <v>28</v>
      </c>
      <c r="F6609" s="7">
        <f t="shared" si="103"/>
        <v>3</v>
      </c>
      <c r="G6609" s="7" t="str">
        <f>LOOKUP(H6609,[1]startdates!$A$2:$A$10,[1]startdates!$B$2:$B$10)</f>
        <v>SMr</v>
      </c>
      <c r="H6609">
        <v>2</v>
      </c>
      <c r="I6609" s="7">
        <v>641.29999999999995</v>
      </c>
      <c r="K6609" s="7">
        <v>475</v>
      </c>
      <c r="M6609" s="7">
        <v>381.5</v>
      </c>
      <c r="N6609" s="7">
        <v>218.9</v>
      </c>
      <c r="O6609" s="7">
        <v>147.4</v>
      </c>
      <c r="P6609" s="7">
        <v>429.9</v>
      </c>
      <c r="U6609" s="7">
        <v>478</v>
      </c>
    </row>
    <row r="6610" spans="1:21" x14ac:dyDescent="0.2">
      <c r="A6610">
        <v>6609</v>
      </c>
      <c r="B6610" s="1">
        <v>40925</v>
      </c>
      <c r="C6610" t="s">
        <v>28</v>
      </c>
      <c r="D6610" s="7">
        <v>185</v>
      </c>
      <c r="E6610" s="7">
        <v>28</v>
      </c>
      <c r="F6610" s="7">
        <f t="shared" si="103"/>
        <v>3</v>
      </c>
      <c r="G6610" s="7" t="str">
        <f>LOOKUP(H6610,[1]startdates!$A$2:$A$10,[1]startdates!$B$2:$B$10)</f>
        <v>SMr</v>
      </c>
      <c r="H6610">
        <v>2</v>
      </c>
      <c r="I6610" s="7">
        <v>581.6</v>
      </c>
      <c r="M6610" s="7">
        <v>385.8</v>
      </c>
      <c r="N6610" s="7">
        <v>220.7</v>
      </c>
      <c r="O6610" s="7">
        <v>181.3</v>
      </c>
    </row>
    <row r="6611" spans="1:21" x14ac:dyDescent="0.2">
      <c r="A6611">
        <v>6610</v>
      </c>
      <c r="B6611" s="1">
        <v>40925</v>
      </c>
      <c r="C6611" t="s">
        <v>28</v>
      </c>
      <c r="D6611" s="7">
        <v>185</v>
      </c>
      <c r="E6611" s="7">
        <v>28</v>
      </c>
      <c r="F6611" s="7">
        <f t="shared" si="103"/>
        <v>3</v>
      </c>
      <c r="G6611" s="7" t="str">
        <f>LOOKUP(H6611,[1]startdates!$A$2:$A$10,[1]startdates!$B$2:$B$10)</f>
        <v>SMr</v>
      </c>
      <c r="H6611">
        <v>2</v>
      </c>
      <c r="I6611" s="7">
        <v>546.4</v>
      </c>
      <c r="M6611" s="7">
        <v>357.1</v>
      </c>
      <c r="N6611" s="7">
        <v>193.8</v>
      </c>
      <c r="O6611" s="7">
        <v>166.5</v>
      </c>
    </row>
    <row r="6612" spans="1:21" x14ac:dyDescent="0.2">
      <c r="A6612">
        <v>6611</v>
      </c>
      <c r="B6612" s="1">
        <v>40925</v>
      </c>
      <c r="C6612" t="s">
        <v>28</v>
      </c>
      <c r="D6612" s="7">
        <v>185</v>
      </c>
      <c r="E6612" s="7">
        <v>28</v>
      </c>
      <c r="F6612" s="7">
        <f t="shared" si="103"/>
        <v>3</v>
      </c>
      <c r="G6612" s="7" t="str">
        <f>LOOKUP(H6612,[1]startdates!$A$2:$A$10,[1]startdates!$B$2:$B$10)</f>
        <v>SMr</v>
      </c>
      <c r="H6612">
        <v>2</v>
      </c>
      <c r="I6612" s="7">
        <v>627</v>
      </c>
      <c r="M6612" s="7">
        <v>292</v>
      </c>
      <c r="N6612" s="7">
        <v>226.1</v>
      </c>
      <c r="O6612" s="7">
        <v>172.9</v>
      </c>
    </row>
    <row r="6613" spans="1:21" x14ac:dyDescent="0.2">
      <c r="A6613">
        <v>6612</v>
      </c>
      <c r="B6613" s="1">
        <v>40925</v>
      </c>
      <c r="C6613" t="s">
        <v>28</v>
      </c>
      <c r="D6613" s="7">
        <v>185</v>
      </c>
      <c r="E6613" s="7">
        <v>28</v>
      </c>
      <c r="F6613" s="7">
        <f t="shared" si="103"/>
        <v>3</v>
      </c>
      <c r="G6613" s="7" t="str">
        <f>LOOKUP(H6613,[1]startdates!$A$2:$A$10,[1]startdates!$B$2:$B$10)</f>
        <v>SMr</v>
      </c>
      <c r="H6613">
        <v>2</v>
      </c>
      <c r="I6613" s="7">
        <v>603.70000000000005</v>
      </c>
      <c r="M6613" s="7">
        <v>338.7</v>
      </c>
      <c r="N6613" s="7">
        <v>260.3</v>
      </c>
      <c r="O6613" s="7">
        <v>154.5</v>
      </c>
    </row>
    <row r="6614" spans="1:21" x14ac:dyDescent="0.2">
      <c r="A6614">
        <v>6613</v>
      </c>
      <c r="B6614" s="1">
        <v>40925</v>
      </c>
      <c r="C6614" t="s">
        <v>28</v>
      </c>
      <c r="D6614" s="7">
        <v>185</v>
      </c>
      <c r="E6614" s="7">
        <v>28</v>
      </c>
      <c r="F6614" s="7">
        <f t="shared" si="103"/>
        <v>3</v>
      </c>
      <c r="G6614" s="7" t="str">
        <f>LOOKUP(H6614,[1]startdates!$A$2:$A$10,[1]startdates!$B$2:$B$10)</f>
        <v>SMr</v>
      </c>
      <c r="H6614">
        <v>2</v>
      </c>
      <c r="I6614" s="7">
        <v>650.70000000000005</v>
      </c>
      <c r="M6614" s="7">
        <v>336.1</v>
      </c>
      <c r="N6614" s="7">
        <v>207.8</v>
      </c>
      <c r="O6614" s="7">
        <v>144.69999999999999</v>
      </c>
    </row>
    <row r="6615" spans="1:21" x14ac:dyDescent="0.2">
      <c r="A6615">
        <v>6614</v>
      </c>
      <c r="B6615" s="1">
        <v>40925</v>
      </c>
      <c r="C6615" t="s">
        <v>28</v>
      </c>
      <c r="D6615" s="7">
        <v>185</v>
      </c>
      <c r="E6615" s="7">
        <v>28</v>
      </c>
      <c r="F6615" s="7">
        <f t="shared" si="103"/>
        <v>3</v>
      </c>
      <c r="G6615" s="7" t="str">
        <f>LOOKUP(H6615,[1]startdates!$A$2:$A$10,[1]startdates!$B$2:$B$10)</f>
        <v>SMr</v>
      </c>
      <c r="H6615">
        <v>2</v>
      </c>
      <c r="I6615" s="7">
        <v>620.20000000000005</v>
      </c>
      <c r="N6615" s="7">
        <v>225.1</v>
      </c>
      <c r="O6615" s="7">
        <v>149.9</v>
      </c>
    </row>
    <row r="6616" spans="1:21" x14ac:dyDescent="0.2">
      <c r="A6616">
        <v>6615</v>
      </c>
      <c r="B6616" s="1">
        <v>40925</v>
      </c>
      <c r="C6616" t="s">
        <v>28</v>
      </c>
      <c r="D6616" s="7">
        <v>185</v>
      </c>
      <c r="E6616" s="7">
        <v>28</v>
      </c>
      <c r="F6616" s="7">
        <f t="shared" si="103"/>
        <v>3</v>
      </c>
      <c r="G6616" s="7" t="str">
        <f>LOOKUP(H6616,[1]startdates!$A$2:$A$10,[1]startdates!$B$2:$B$10)</f>
        <v>SMr</v>
      </c>
      <c r="H6616">
        <v>2</v>
      </c>
      <c r="I6616" s="7">
        <v>571</v>
      </c>
      <c r="N6616" s="7">
        <v>257.60000000000002</v>
      </c>
      <c r="O6616" s="7">
        <v>153.4</v>
      </c>
    </row>
    <row r="6617" spans="1:21" x14ac:dyDescent="0.2">
      <c r="A6617">
        <v>6616</v>
      </c>
      <c r="B6617" s="1">
        <v>40925</v>
      </c>
      <c r="C6617" t="s">
        <v>28</v>
      </c>
      <c r="D6617" s="7">
        <v>185</v>
      </c>
      <c r="E6617" s="7">
        <v>28</v>
      </c>
      <c r="F6617" s="7">
        <f t="shared" si="103"/>
        <v>3</v>
      </c>
      <c r="G6617" s="7" t="str">
        <f>LOOKUP(H6617,[1]startdates!$A$2:$A$10,[1]startdates!$B$2:$B$10)</f>
        <v>C</v>
      </c>
      <c r="H6617">
        <v>3</v>
      </c>
      <c r="I6617" s="7">
        <v>640.5</v>
      </c>
      <c r="K6617" s="7">
        <v>478.7</v>
      </c>
      <c r="L6617" s="7">
        <v>408.7</v>
      </c>
      <c r="M6617" s="7">
        <v>349.5</v>
      </c>
      <c r="N6617" s="7">
        <v>238.6</v>
      </c>
      <c r="O6617" s="7">
        <v>176.9</v>
      </c>
      <c r="P6617" s="7">
        <v>428.7</v>
      </c>
      <c r="Q6617" s="7">
        <v>360.1</v>
      </c>
      <c r="R6617" s="7">
        <v>242</v>
      </c>
    </row>
    <row r="6618" spans="1:21" x14ac:dyDescent="0.2">
      <c r="A6618">
        <v>6617</v>
      </c>
      <c r="B6618" s="1">
        <v>40925</v>
      </c>
      <c r="C6618" t="s">
        <v>28</v>
      </c>
      <c r="D6618" s="7">
        <v>185</v>
      </c>
      <c r="E6618" s="7">
        <v>28</v>
      </c>
      <c r="F6618" s="7">
        <f t="shared" si="103"/>
        <v>3</v>
      </c>
      <c r="G6618" s="7" t="str">
        <f>LOOKUP(H6618,[1]startdates!$A$2:$A$10,[1]startdates!$B$2:$B$10)</f>
        <v>C</v>
      </c>
      <c r="H6618">
        <v>3</v>
      </c>
      <c r="I6618" s="7">
        <v>485.2</v>
      </c>
      <c r="K6618" s="7">
        <v>494.7</v>
      </c>
      <c r="L6618" s="7">
        <v>455.8</v>
      </c>
      <c r="M6618" s="7">
        <v>379.1</v>
      </c>
      <c r="N6618" s="7">
        <v>192.7</v>
      </c>
      <c r="O6618" s="7">
        <v>173.7</v>
      </c>
      <c r="P6618" s="7">
        <v>413.3</v>
      </c>
      <c r="Q6618" s="7">
        <v>307.89999999999998</v>
      </c>
      <c r="R6618" s="7">
        <v>248</v>
      </c>
    </row>
    <row r="6619" spans="1:21" x14ac:dyDescent="0.2">
      <c r="A6619">
        <v>6618</v>
      </c>
      <c r="B6619" s="1">
        <v>40925</v>
      </c>
      <c r="C6619" t="s">
        <v>28</v>
      </c>
      <c r="D6619" s="7">
        <v>185</v>
      </c>
      <c r="E6619" s="7">
        <v>28</v>
      </c>
      <c r="F6619" s="7">
        <f t="shared" si="103"/>
        <v>3</v>
      </c>
      <c r="G6619" s="7" t="str">
        <f>LOOKUP(H6619,[1]startdates!$A$2:$A$10,[1]startdates!$B$2:$B$10)</f>
        <v>C</v>
      </c>
      <c r="H6619">
        <v>3</v>
      </c>
      <c r="I6619" s="7">
        <v>624.5</v>
      </c>
      <c r="K6619" s="7">
        <v>639.4</v>
      </c>
      <c r="L6619" s="7">
        <v>450.1</v>
      </c>
      <c r="M6619" s="7">
        <v>339.2</v>
      </c>
      <c r="N6619" s="7">
        <v>213.5</v>
      </c>
      <c r="O6619" s="7">
        <v>159.80000000000001</v>
      </c>
      <c r="P6619" s="7">
        <v>407.3</v>
      </c>
      <c r="Q6619" s="7">
        <v>378.6</v>
      </c>
    </row>
    <row r="6620" spans="1:21" x14ac:dyDescent="0.2">
      <c r="A6620">
        <v>6619</v>
      </c>
      <c r="B6620" s="1">
        <v>40925</v>
      </c>
      <c r="C6620" t="s">
        <v>28</v>
      </c>
      <c r="D6620" s="7">
        <v>185</v>
      </c>
      <c r="E6620" s="7">
        <v>28</v>
      </c>
      <c r="F6620" s="7">
        <f t="shared" si="103"/>
        <v>3</v>
      </c>
      <c r="G6620" s="7" t="str">
        <f>LOOKUP(H6620,[1]startdates!$A$2:$A$10,[1]startdates!$B$2:$B$10)</f>
        <v>C</v>
      </c>
      <c r="H6620">
        <v>3</v>
      </c>
      <c r="I6620" s="7">
        <v>549.4</v>
      </c>
      <c r="K6620" s="7">
        <v>509</v>
      </c>
      <c r="L6620" s="7">
        <v>435.5</v>
      </c>
      <c r="M6620" s="7">
        <v>318.89999999999998</v>
      </c>
      <c r="N6620" s="7">
        <v>255.7</v>
      </c>
      <c r="O6620" s="7">
        <v>176.2</v>
      </c>
      <c r="Q6620" s="7">
        <v>335.5</v>
      </c>
    </row>
    <row r="6621" spans="1:21" x14ac:dyDescent="0.2">
      <c r="A6621">
        <v>6620</v>
      </c>
      <c r="B6621" s="1">
        <v>40925</v>
      </c>
      <c r="C6621" t="s">
        <v>28</v>
      </c>
      <c r="D6621" s="7">
        <v>185</v>
      </c>
      <c r="E6621" s="7">
        <v>28</v>
      </c>
      <c r="F6621" s="7">
        <f t="shared" si="103"/>
        <v>3</v>
      </c>
      <c r="G6621" s="7" t="str">
        <f>LOOKUP(H6621,[1]startdates!$A$2:$A$10,[1]startdates!$B$2:$B$10)</f>
        <v>C</v>
      </c>
      <c r="H6621">
        <v>3</v>
      </c>
      <c r="I6621" s="7">
        <v>556.9</v>
      </c>
      <c r="K6621" s="7">
        <v>444.8</v>
      </c>
      <c r="L6621" s="7">
        <v>455.8</v>
      </c>
      <c r="M6621" s="7">
        <v>386.6</v>
      </c>
      <c r="N6621" s="7">
        <v>288.7</v>
      </c>
      <c r="O6621" s="7">
        <v>163.4</v>
      </c>
    </row>
    <row r="6622" spans="1:21" x14ac:dyDescent="0.2">
      <c r="A6622">
        <v>6621</v>
      </c>
      <c r="B6622" s="1">
        <v>40925</v>
      </c>
      <c r="C6622" t="s">
        <v>28</v>
      </c>
      <c r="D6622" s="7">
        <v>185</v>
      </c>
      <c r="E6622" s="7">
        <v>28</v>
      </c>
      <c r="F6622" s="7">
        <f t="shared" si="103"/>
        <v>3</v>
      </c>
      <c r="G6622" s="7" t="str">
        <f>LOOKUP(H6622,[1]startdates!$A$2:$A$10,[1]startdates!$B$2:$B$10)</f>
        <v>C</v>
      </c>
      <c r="H6622">
        <v>3</v>
      </c>
      <c r="I6622" s="7">
        <v>614.20000000000005</v>
      </c>
      <c r="K6622" s="7">
        <v>511.5</v>
      </c>
      <c r="L6622" s="7">
        <v>473.3</v>
      </c>
      <c r="M6622" s="7">
        <v>375.4</v>
      </c>
      <c r="N6622" s="7">
        <v>245.6</v>
      </c>
      <c r="O6622" s="7">
        <v>159</v>
      </c>
    </row>
    <row r="6623" spans="1:21" x14ac:dyDescent="0.2">
      <c r="A6623">
        <v>6622</v>
      </c>
      <c r="B6623" s="1">
        <v>40925</v>
      </c>
      <c r="C6623" t="s">
        <v>28</v>
      </c>
      <c r="D6623" s="7">
        <v>185</v>
      </c>
      <c r="E6623" s="7">
        <v>28</v>
      </c>
      <c r="F6623" s="7">
        <f t="shared" si="103"/>
        <v>3</v>
      </c>
      <c r="G6623" s="7" t="str">
        <f>LOOKUP(H6623,[1]startdates!$A$2:$A$10,[1]startdates!$B$2:$B$10)</f>
        <v>C</v>
      </c>
      <c r="H6623">
        <v>3</v>
      </c>
      <c r="I6623" s="7">
        <v>555.20000000000005</v>
      </c>
      <c r="K6623" s="7">
        <v>526.4</v>
      </c>
      <c r="L6623" s="7">
        <v>420.3</v>
      </c>
      <c r="M6623" s="7">
        <v>339.1</v>
      </c>
      <c r="N6623" s="7">
        <v>252</v>
      </c>
      <c r="O6623" s="7">
        <v>177.7</v>
      </c>
    </row>
    <row r="6624" spans="1:21" x14ac:dyDescent="0.2">
      <c r="A6624">
        <v>6623</v>
      </c>
      <c r="B6624" s="1">
        <v>40925</v>
      </c>
      <c r="C6624" t="s">
        <v>28</v>
      </c>
      <c r="D6624" s="7">
        <v>185</v>
      </c>
      <c r="E6624" s="7">
        <v>28</v>
      </c>
      <c r="F6624" s="7">
        <f t="shared" si="103"/>
        <v>3</v>
      </c>
      <c r="G6624" s="7" t="str">
        <f>LOOKUP(H6624,[1]startdates!$A$2:$A$10,[1]startdates!$B$2:$B$10)</f>
        <v>C</v>
      </c>
      <c r="H6624">
        <v>3</v>
      </c>
      <c r="L6624" s="7">
        <v>403.4</v>
      </c>
      <c r="M6624" s="7">
        <v>354.1</v>
      </c>
      <c r="N6624" s="7">
        <v>214.5</v>
      </c>
      <c r="O6624" s="7">
        <v>164.2</v>
      </c>
    </row>
    <row r="6625" spans="1:21" x14ac:dyDescent="0.2">
      <c r="A6625">
        <v>6624</v>
      </c>
      <c r="B6625" s="1">
        <v>40925</v>
      </c>
      <c r="C6625" t="s">
        <v>28</v>
      </c>
      <c r="D6625" s="7">
        <v>185</v>
      </c>
      <c r="E6625" s="7">
        <v>28</v>
      </c>
      <c r="F6625" s="7">
        <f t="shared" si="103"/>
        <v>3</v>
      </c>
      <c r="G6625" s="7" t="str">
        <f>LOOKUP(H6625,[1]startdates!$A$2:$A$10,[1]startdates!$B$2:$B$10)</f>
        <v>C</v>
      </c>
      <c r="H6625">
        <v>3</v>
      </c>
      <c r="L6625" s="7">
        <v>414</v>
      </c>
      <c r="M6625" s="7">
        <v>345.6</v>
      </c>
      <c r="N6625" s="7">
        <v>268.89999999999998</v>
      </c>
      <c r="O6625" s="7">
        <v>182.9</v>
      </c>
    </row>
    <row r="6626" spans="1:21" x14ac:dyDescent="0.2">
      <c r="A6626">
        <v>6625</v>
      </c>
      <c r="B6626" s="1">
        <v>40925</v>
      </c>
      <c r="C6626" t="s">
        <v>28</v>
      </c>
      <c r="D6626" s="7">
        <v>185</v>
      </c>
      <c r="E6626" s="7">
        <v>28</v>
      </c>
      <c r="F6626" s="7">
        <f t="shared" si="103"/>
        <v>3</v>
      </c>
      <c r="G6626" s="7" t="str">
        <f>LOOKUP(H6626,[1]startdates!$A$2:$A$10,[1]startdates!$B$2:$B$10)</f>
        <v>C</v>
      </c>
      <c r="H6626">
        <v>3</v>
      </c>
      <c r="M6626" s="7">
        <v>309.89999999999998</v>
      </c>
      <c r="N6626" s="7">
        <v>206.1</v>
      </c>
      <c r="O6626" s="7">
        <v>149.9</v>
      </c>
    </row>
    <row r="6627" spans="1:21" x14ac:dyDescent="0.2">
      <c r="A6627">
        <v>6626</v>
      </c>
      <c r="B6627" s="1">
        <v>40925</v>
      </c>
      <c r="C6627" t="s">
        <v>28</v>
      </c>
      <c r="D6627" s="7">
        <v>185</v>
      </c>
      <c r="E6627" s="7">
        <v>28</v>
      </c>
      <c r="F6627" s="7">
        <f t="shared" si="103"/>
        <v>3</v>
      </c>
      <c r="G6627" s="7" t="str">
        <f>LOOKUP(H6627,[1]startdates!$A$2:$A$10,[1]startdates!$B$2:$B$10)</f>
        <v>SMr</v>
      </c>
      <c r="H6627">
        <v>4</v>
      </c>
      <c r="I6627" s="7">
        <v>523.29999999999995</v>
      </c>
      <c r="K6627" s="7">
        <v>431.3</v>
      </c>
      <c r="L6627" s="7">
        <v>406.3</v>
      </c>
      <c r="M6627" s="7">
        <v>322.7</v>
      </c>
      <c r="N6627" s="7">
        <v>241.1</v>
      </c>
      <c r="O6627" s="7">
        <v>146.69999999999999</v>
      </c>
      <c r="P6627" s="7">
        <v>444.5</v>
      </c>
      <c r="Q6627" s="7">
        <v>306.39999999999998</v>
      </c>
      <c r="R6627" s="7">
        <v>231.7</v>
      </c>
      <c r="U6627" s="7">
        <v>462.7</v>
      </c>
    </row>
    <row r="6628" spans="1:21" x14ac:dyDescent="0.2">
      <c r="A6628">
        <v>6627</v>
      </c>
      <c r="B6628" s="1">
        <v>40925</v>
      </c>
      <c r="C6628" t="s">
        <v>28</v>
      </c>
      <c r="D6628" s="7">
        <v>185</v>
      </c>
      <c r="E6628" s="7">
        <v>28</v>
      </c>
      <c r="F6628" s="7">
        <f t="shared" si="103"/>
        <v>3</v>
      </c>
      <c r="G6628" s="7" t="str">
        <f>LOOKUP(H6628,[1]startdates!$A$2:$A$10,[1]startdates!$B$2:$B$10)</f>
        <v>SMr</v>
      </c>
      <c r="H6628">
        <v>4</v>
      </c>
      <c r="I6628" s="7">
        <v>555</v>
      </c>
      <c r="K6628" s="7">
        <v>536.29999999999995</v>
      </c>
      <c r="L6628" s="7">
        <v>424.3</v>
      </c>
      <c r="M6628" s="7">
        <v>311.89999999999998</v>
      </c>
      <c r="N6628" s="7">
        <v>289.39999999999998</v>
      </c>
      <c r="O6628" s="7">
        <v>152.1</v>
      </c>
      <c r="P6628" s="7">
        <v>410.6</v>
      </c>
      <c r="Q6628" s="7">
        <v>312.8</v>
      </c>
      <c r="U6628" s="7">
        <v>526.79999999999995</v>
      </c>
    </row>
    <row r="6629" spans="1:21" x14ac:dyDescent="0.2">
      <c r="A6629">
        <v>6628</v>
      </c>
      <c r="B6629" s="1">
        <v>40925</v>
      </c>
      <c r="C6629" t="s">
        <v>28</v>
      </c>
      <c r="D6629" s="7">
        <v>185</v>
      </c>
      <c r="E6629" s="7">
        <v>28</v>
      </c>
      <c r="F6629" s="7">
        <f t="shared" si="103"/>
        <v>3</v>
      </c>
      <c r="G6629" s="7" t="str">
        <f>LOOKUP(H6629,[1]startdates!$A$2:$A$10,[1]startdates!$B$2:$B$10)</f>
        <v>SMr</v>
      </c>
      <c r="H6629">
        <v>4</v>
      </c>
      <c r="I6629" s="7">
        <v>572.1</v>
      </c>
      <c r="K6629" s="7">
        <v>433</v>
      </c>
      <c r="L6629" s="7">
        <v>408.2</v>
      </c>
      <c r="M6629" s="7">
        <v>373.8</v>
      </c>
      <c r="N6629" s="7">
        <v>178.4</v>
      </c>
      <c r="O6629" s="7">
        <v>154.80000000000001</v>
      </c>
      <c r="P6629" s="7">
        <v>448</v>
      </c>
      <c r="Q6629" s="7">
        <v>379.6</v>
      </c>
      <c r="U6629" s="7">
        <v>499.6</v>
      </c>
    </row>
    <row r="6630" spans="1:21" x14ac:dyDescent="0.2">
      <c r="A6630">
        <v>6629</v>
      </c>
      <c r="B6630" s="1">
        <v>40925</v>
      </c>
      <c r="C6630" t="s">
        <v>28</v>
      </c>
      <c r="D6630" s="7">
        <v>185</v>
      </c>
      <c r="E6630" s="7">
        <v>28</v>
      </c>
      <c r="F6630" s="7">
        <f t="shared" si="103"/>
        <v>3</v>
      </c>
      <c r="G6630" s="7" t="str">
        <f>LOOKUP(H6630,[1]startdates!$A$2:$A$10,[1]startdates!$B$2:$B$10)</f>
        <v>SMr</v>
      </c>
      <c r="H6630">
        <v>4</v>
      </c>
      <c r="I6630" s="7">
        <v>563.5</v>
      </c>
      <c r="K6630" s="7">
        <v>452.9</v>
      </c>
      <c r="L6630" s="7">
        <v>469.3</v>
      </c>
      <c r="M6630" s="7">
        <v>306.3</v>
      </c>
      <c r="N6630" s="7">
        <v>228.7</v>
      </c>
      <c r="O6630" s="7">
        <v>154.1</v>
      </c>
      <c r="P6630" s="7">
        <v>406.2</v>
      </c>
      <c r="Q6630" s="7">
        <v>375.8</v>
      </c>
    </row>
    <row r="6631" spans="1:21" x14ac:dyDescent="0.2">
      <c r="A6631">
        <v>6630</v>
      </c>
      <c r="B6631" s="1">
        <v>40925</v>
      </c>
      <c r="C6631" t="s">
        <v>28</v>
      </c>
      <c r="D6631" s="7">
        <v>185</v>
      </c>
      <c r="E6631" s="7">
        <v>28</v>
      </c>
      <c r="F6631" s="7">
        <f t="shared" si="103"/>
        <v>3</v>
      </c>
      <c r="G6631" s="7" t="str">
        <f>LOOKUP(H6631,[1]startdates!$A$2:$A$10,[1]startdates!$B$2:$B$10)</f>
        <v>SMr</v>
      </c>
      <c r="H6631">
        <v>4</v>
      </c>
      <c r="I6631" s="7">
        <v>495.7</v>
      </c>
      <c r="L6631" s="7">
        <v>412.5</v>
      </c>
      <c r="M6631" s="7">
        <v>332.4</v>
      </c>
      <c r="N6631" s="7">
        <v>170</v>
      </c>
      <c r="O6631" s="7">
        <v>154.80000000000001</v>
      </c>
      <c r="Q6631" s="7">
        <v>315.5</v>
      </c>
    </row>
    <row r="6632" spans="1:21" x14ac:dyDescent="0.2">
      <c r="A6632">
        <v>6631</v>
      </c>
      <c r="B6632" s="1">
        <v>40925</v>
      </c>
      <c r="C6632" t="s">
        <v>28</v>
      </c>
      <c r="D6632" s="7">
        <v>185</v>
      </c>
      <c r="E6632" s="7">
        <v>28</v>
      </c>
      <c r="F6632" s="7">
        <f t="shared" si="103"/>
        <v>3</v>
      </c>
      <c r="G6632" s="7" t="str">
        <f>LOOKUP(H6632,[1]startdates!$A$2:$A$10,[1]startdates!$B$2:$B$10)</f>
        <v>SMr</v>
      </c>
      <c r="H6632">
        <v>4</v>
      </c>
      <c r="I6632" s="7">
        <v>518.70000000000005</v>
      </c>
      <c r="L6632" s="7">
        <v>461.8</v>
      </c>
      <c r="M6632" s="7">
        <v>313.3</v>
      </c>
      <c r="N6632" s="7">
        <v>187.7</v>
      </c>
      <c r="O6632" s="7">
        <v>161.69999999999999</v>
      </c>
    </row>
    <row r="6633" spans="1:21" x14ac:dyDescent="0.2">
      <c r="A6633">
        <v>6632</v>
      </c>
      <c r="B6633" s="1">
        <v>40925</v>
      </c>
      <c r="C6633" t="s">
        <v>28</v>
      </c>
      <c r="D6633" s="7">
        <v>185</v>
      </c>
      <c r="E6633" s="7">
        <v>28</v>
      </c>
      <c r="F6633" s="7">
        <f t="shared" ref="F6633:F6696" si="104">WEEKDAY(B6633)</f>
        <v>3</v>
      </c>
      <c r="G6633" s="7" t="str">
        <f>LOOKUP(H6633,[1]startdates!$A$2:$A$10,[1]startdates!$B$2:$B$10)</f>
        <v>SMr</v>
      </c>
      <c r="H6633">
        <v>4</v>
      </c>
      <c r="I6633" s="7">
        <v>509.6</v>
      </c>
      <c r="L6633" s="7">
        <v>404.6</v>
      </c>
      <c r="M6633" s="7">
        <v>311.5</v>
      </c>
      <c r="N6633" s="7">
        <v>185.7</v>
      </c>
      <c r="O6633" s="7">
        <v>169.5</v>
      </c>
    </row>
    <row r="6634" spans="1:21" x14ac:dyDescent="0.2">
      <c r="A6634">
        <v>6633</v>
      </c>
      <c r="B6634" s="1">
        <v>40925</v>
      </c>
      <c r="C6634" t="s">
        <v>28</v>
      </c>
      <c r="D6634" s="7">
        <v>185</v>
      </c>
      <c r="E6634" s="7">
        <v>28</v>
      </c>
      <c r="F6634" s="7">
        <f t="shared" si="104"/>
        <v>3</v>
      </c>
      <c r="G6634" s="7" t="str">
        <f>LOOKUP(H6634,[1]startdates!$A$2:$A$10,[1]startdates!$B$2:$B$10)</f>
        <v>SMr</v>
      </c>
      <c r="H6634">
        <v>4</v>
      </c>
      <c r="I6634" s="7">
        <v>547.29999999999995</v>
      </c>
      <c r="L6634" s="7">
        <v>391.4</v>
      </c>
      <c r="M6634" s="7">
        <v>385</v>
      </c>
      <c r="N6634" s="7">
        <v>221</v>
      </c>
      <c r="O6634" s="7">
        <v>159.80000000000001</v>
      </c>
    </row>
    <row r="6635" spans="1:21" x14ac:dyDescent="0.2">
      <c r="A6635">
        <v>6634</v>
      </c>
      <c r="B6635" s="1">
        <v>40925</v>
      </c>
      <c r="C6635" t="s">
        <v>28</v>
      </c>
      <c r="D6635" s="7">
        <v>185</v>
      </c>
      <c r="E6635" s="7">
        <v>28</v>
      </c>
      <c r="F6635" s="7">
        <f t="shared" si="104"/>
        <v>3</v>
      </c>
      <c r="G6635" s="7" t="str">
        <f>LOOKUP(H6635,[1]startdates!$A$2:$A$10,[1]startdates!$B$2:$B$10)</f>
        <v>SMr</v>
      </c>
      <c r="H6635">
        <v>4</v>
      </c>
      <c r="I6635" s="7">
        <v>556.79999999999995</v>
      </c>
      <c r="L6635" s="7">
        <v>426.8</v>
      </c>
      <c r="M6635" s="7">
        <v>299.7</v>
      </c>
      <c r="N6635" s="7">
        <v>245.8</v>
      </c>
      <c r="O6635" s="7">
        <v>160.4</v>
      </c>
    </row>
    <row r="6636" spans="1:21" x14ac:dyDescent="0.2">
      <c r="A6636">
        <v>6635</v>
      </c>
      <c r="B6636" s="1">
        <v>40925</v>
      </c>
      <c r="C6636" t="s">
        <v>28</v>
      </c>
      <c r="D6636" s="7">
        <v>185</v>
      </c>
      <c r="E6636" s="7">
        <v>28</v>
      </c>
      <c r="F6636" s="7">
        <f t="shared" si="104"/>
        <v>3</v>
      </c>
      <c r="G6636" s="7" t="str">
        <f>LOOKUP(H6636,[1]startdates!$A$2:$A$10,[1]startdates!$B$2:$B$10)</f>
        <v>SMr</v>
      </c>
      <c r="H6636">
        <v>4</v>
      </c>
      <c r="I6636" s="7">
        <v>529.6</v>
      </c>
      <c r="M6636" s="7">
        <v>307.39999999999998</v>
      </c>
      <c r="N6636" s="7">
        <v>221.5</v>
      </c>
      <c r="O6636" s="7">
        <v>159.30000000000001</v>
      </c>
    </row>
    <row r="6637" spans="1:21" x14ac:dyDescent="0.2">
      <c r="A6637">
        <v>6636</v>
      </c>
      <c r="B6637" s="1">
        <v>40925</v>
      </c>
      <c r="C6637" t="s">
        <v>28</v>
      </c>
      <c r="D6637" s="7">
        <v>185</v>
      </c>
      <c r="E6637" s="7">
        <v>28</v>
      </c>
      <c r="F6637" s="7">
        <f t="shared" si="104"/>
        <v>3</v>
      </c>
      <c r="G6637" s="7" t="str">
        <f>LOOKUP(H6637,[1]startdates!$A$2:$A$10,[1]startdates!$B$2:$B$10)</f>
        <v>SMr</v>
      </c>
      <c r="H6637">
        <v>4</v>
      </c>
      <c r="M6637" s="7">
        <v>352.1</v>
      </c>
    </row>
    <row r="6638" spans="1:21" x14ac:dyDescent="0.2">
      <c r="A6638">
        <v>6637</v>
      </c>
      <c r="B6638" s="1">
        <v>40925</v>
      </c>
      <c r="C6638" t="s">
        <v>28</v>
      </c>
      <c r="D6638" s="7">
        <v>185</v>
      </c>
      <c r="E6638" s="7">
        <v>28</v>
      </c>
      <c r="F6638" s="7">
        <f t="shared" si="104"/>
        <v>3</v>
      </c>
      <c r="G6638" s="7" t="str">
        <f>LOOKUP(H6638,[1]startdates!$A$2:$A$10,[1]startdates!$B$2:$B$10)</f>
        <v>C</v>
      </c>
      <c r="H6638">
        <v>5</v>
      </c>
      <c r="I6638" s="7">
        <v>604.79999999999995</v>
      </c>
      <c r="J6638" s="7">
        <v>542.4</v>
      </c>
      <c r="K6638" s="7">
        <v>544.70000000000005</v>
      </c>
      <c r="L6638" s="7">
        <v>391.1</v>
      </c>
      <c r="M6638" s="7">
        <v>311.60000000000002</v>
      </c>
      <c r="N6638" s="7">
        <v>207.7</v>
      </c>
      <c r="O6638" s="7">
        <v>163.1</v>
      </c>
      <c r="P6638" s="7">
        <v>450.4</v>
      </c>
      <c r="Q6638" s="7">
        <v>337.9</v>
      </c>
      <c r="R6638" s="7">
        <v>229.3</v>
      </c>
    </row>
    <row r="6639" spans="1:21" x14ac:dyDescent="0.2">
      <c r="A6639">
        <v>6638</v>
      </c>
      <c r="B6639" s="1">
        <v>40925</v>
      </c>
      <c r="C6639" t="s">
        <v>28</v>
      </c>
      <c r="D6639" s="7">
        <v>185</v>
      </c>
      <c r="E6639" s="7">
        <v>28</v>
      </c>
      <c r="F6639" s="7">
        <f t="shared" si="104"/>
        <v>3</v>
      </c>
      <c r="G6639" s="7" t="str">
        <f>LOOKUP(H6639,[1]startdates!$A$2:$A$10,[1]startdates!$B$2:$B$10)</f>
        <v>C</v>
      </c>
      <c r="H6639">
        <v>5</v>
      </c>
      <c r="I6639" s="7">
        <v>612</v>
      </c>
      <c r="J6639" s="7">
        <v>523.79999999999995</v>
      </c>
      <c r="K6639" s="7">
        <v>530.20000000000005</v>
      </c>
      <c r="L6639" s="7">
        <v>413.1</v>
      </c>
      <c r="M6639" s="7">
        <v>369.7</v>
      </c>
      <c r="N6639" s="7">
        <v>231.9</v>
      </c>
      <c r="O6639" s="7">
        <v>153.1</v>
      </c>
      <c r="P6639" s="7">
        <v>398.5</v>
      </c>
      <c r="R6639" s="7">
        <v>265.2</v>
      </c>
    </row>
    <row r="6640" spans="1:21" x14ac:dyDescent="0.2">
      <c r="A6640">
        <v>6639</v>
      </c>
      <c r="B6640" s="1">
        <v>40925</v>
      </c>
      <c r="C6640" t="s">
        <v>28</v>
      </c>
      <c r="D6640" s="7">
        <v>185</v>
      </c>
      <c r="E6640" s="7">
        <v>28</v>
      </c>
      <c r="F6640" s="7">
        <f t="shared" si="104"/>
        <v>3</v>
      </c>
      <c r="G6640" s="7" t="str">
        <f>LOOKUP(H6640,[1]startdates!$A$2:$A$10,[1]startdates!$B$2:$B$10)</f>
        <v>C</v>
      </c>
      <c r="H6640">
        <v>5</v>
      </c>
      <c r="I6640" s="7">
        <v>553.20000000000005</v>
      </c>
      <c r="K6640" s="7">
        <v>568</v>
      </c>
      <c r="L6640" s="7">
        <v>390.5</v>
      </c>
      <c r="M6640" s="7">
        <v>310.7</v>
      </c>
      <c r="N6640" s="7">
        <v>207</v>
      </c>
      <c r="O6640" s="7">
        <v>176</v>
      </c>
      <c r="R6640" s="7">
        <v>244.8</v>
      </c>
    </row>
    <row r="6641" spans="1:18" x14ac:dyDescent="0.2">
      <c r="A6641">
        <v>6640</v>
      </c>
      <c r="B6641" s="1">
        <v>40925</v>
      </c>
      <c r="C6641" t="s">
        <v>28</v>
      </c>
      <c r="D6641" s="7">
        <v>185</v>
      </c>
      <c r="E6641" s="7">
        <v>28</v>
      </c>
      <c r="F6641" s="7">
        <f t="shared" si="104"/>
        <v>3</v>
      </c>
      <c r="G6641" s="7" t="str">
        <f>LOOKUP(H6641,[1]startdates!$A$2:$A$10,[1]startdates!$B$2:$B$10)</f>
        <v>C</v>
      </c>
      <c r="H6641">
        <v>5</v>
      </c>
      <c r="I6641" s="7">
        <v>630.6</v>
      </c>
      <c r="K6641" s="7">
        <v>492.7</v>
      </c>
      <c r="L6641" s="7">
        <v>447.7</v>
      </c>
      <c r="M6641" s="7">
        <v>327.8</v>
      </c>
      <c r="N6641" s="7">
        <v>263.10000000000002</v>
      </c>
      <c r="O6641" s="7">
        <v>141.1</v>
      </c>
    </row>
    <row r="6642" spans="1:18" x14ac:dyDescent="0.2">
      <c r="A6642">
        <v>6641</v>
      </c>
      <c r="B6642" s="1">
        <v>40925</v>
      </c>
      <c r="C6642" t="s">
        <v>28</v>
      </c>
      <c r="D6642" s="7">
        <v>185</v>
      </c>
      <c r="E6642" s="7">
        <v>28</v>
      </c>
      <c r="F6642" s="7">
        <f t="shared" si="104"/>
        <v>3</v>
      </c>
      <c r="G6642" s="7" t="str">
        <f>LOOKUP(H6642,[1]startdates!$A$2:$A$10,[1]startdates!$B$2:$B$10)</f>
        <v>C</v>
      </c>
      <c r="H6642">
        <v>5</v>
      </c>
      <c r="I6642" s="7">
        <v>649.20000000000005</v>
      </c>
      <c r="K6642" s="7">
        <v>531</v>
      </c>
      <c r="L6642" s="7">
        <v>420.5</v>
      </c>
      <c r="M6642" s="7">
        <v>328.4</v>
      </c>
      <c r="N6642" s="7">
        <v>208.1</v>
      </c>
      <c r="O6642" s="7">
        <v>147.30000000000001</v>
      </c>
    </row>
    <row r="6643" spans="1:18" x14ac:dyDescent="0.2">
      <c r="A6643">
        <v>6642</v>
      </c>
      <c r="B6643" s="1">
        <v>40925</v>
      </c>
      <c r="C6643" t="s">
        <v>28</v>
      </c>
      <c r="D6643" s="7">
        <v>185</v>
      </c>
      <c r="E6643" s="7">
        <v>28</v>
      </c>
      <c r="F6643" s="7">
        <f t="shared" si="104"/>
        <v>3</v>
      </c>
      <c r="G6643" s="7" t="str">
        <f>LOOKUP(H6643,[1]startdates!$A$2:$A$10,[1]startdates!$B$2:$B$10)</f>
        <v>C</v>
      </c>
      <c r="H6643">
        <v>5</v>
      </c>
      <c r="I6643" s="7">
        <v>504.2</v>
      </c>
      <c r="K6643" s="7">
        <v>599.70000000000005</v>
      </c>
      <c r="L6643" s="7">
        <v>396.5</v>
      </c>
      <c r="M6643" s="7">
        <v>369.8</v>
      </c>
      <c r="N6643" s="7">
        <v>260.2</v>
      </c>
      <c r="O6643" s="7">
        <v>158.5</v>
      </c>
    </row>
    <row r="6644" spans="1:18" x14ac:dyDescent="0.2">
      <c r="A6644">
        <v>6643</v>
      </c>
      <c r="B6644" s="1">
        <v>40925</v>
      </c>
      <c r="C6644" t="s">
        <v>28</v>
      </c>
      <c r="D6644" s="7">
        <v>185</v>
      </c>
      <c r="E6644" s="7">
        <v>28</v>
      </c>
      <c r="F6644" s="7">
        <f t="shared" si="104"/>
        <v>3</v>
      </c>
      <c r="G6644" s="7" t="str">
        <f>LOOKUP(H6644,[1]startdates!$A$2:$A$10,[1]startdates!$B$2:$B$10)</f>
        <v>C</v>
      </c>
      <c r="H6644">
        <v>5</v>
      </c>
      <c r="I6644" s="7">
        <v>563.1</v>
      </c>
      <c r="K6644" s="7">
        <v>490.9</v>
      </c>
      <c r="M6644" s="7">
        <v>355.7</v>
      </c>
      <c r="N6644" s="7">
        <v>184.4</v>
      </c>
      <c r="O6644" s="7">
        <v>153.6</v>
      </c>
    </row>
    <row r="6645" spans="1:18" x14ac:dyDescent="0.2">
      <c r="A6645">
        <v>6644</v>
      </c>
      <c r="B6645" s="1">
        <v>40925</v>
      </c>
      <c r="C6645" t="s">
        <v>28</v>
      </c>
      <c r="D6645" s="7">
        <v>185</v>
      </c>
      <c r="E6645" s="7">
        <v>28</v>
      </c>
      <c r="F6645" s="7">
        <f t="shared" si="104"/>
        <v>3</v>
      </c>
      <c r="G6645" s="7" t="str">
        <f>LOOKUP(H6645,[1]startdates!$A$2:$A$10,[1]startdates!$B$2:$B$10)</f>
        <v>C</v>
      </c>
      <c r="H6645">
        <v>5</v>
      </c>
      <c r="I6645" s="7">
        <v>605.9</v>
      </c>
      <c r="K6645" s="7">
        <v>569.70000000000005</v>
      </c>
      <c r="M6645" s="7">
        <v>325.39999999999998</v>
      </c>
      <c r="N6645" s="7">
        <v>251</v>
      </c>
      <c r="O6645" s="7">
        <v>143.80000000000001</v>
      </c>
    </row>
    <row r="6646" spans="1:18" x14ac:dyDescent="0.2">
      <c r="A6646">
        <v>6645</v>
      </c>
      <c r="B6646" s="1">
        <v>40925</v>
      </c>
      <c r="C6646" t="s">
        <v>28</v>
      </c>
      <c r="D6646" s="7">
        <v>185</v>
      </c>
      <c r="E6646" s="7">
        <v>28</v>
      </c>
      <c r="F6646" s="7">
        <f t="shared" si="104"/>
        <v>3</v>
      </c>
      <c r="G6646" s="7" t="str">
        <f>LOOKUP(H6646,[1]startdates!$A$2:$A$10,[1]startdates!$B$2:$B$10)</f>
        <v>C</v>
      </c>
      <c r="H6646">
        <v>5</v>
      </c>
      <c r="I6646" s="7">
        <v>656.2</v>
      </c>
      <c r="M6646" s="7">
        <v>338.4</v>
      </c>
      <c r="N6646" s="7">
        <v>288.60000000000002</v>
      </c>
      <c r="O6646" s="7">
        <v>159.80000000000001</v>
      </c>
    </row>
    <row r="6647" spans="1:18" x14ac:dyDescent="0.2">
      <c r="A6647">
        <v>6646</v>
      </c>
      <c r="B6647" s="1">
        <v>40925</v>
      </c>
      <c r="C6647" t="s">
        <v>28</v>
      </c>
      <c r="D6647" s="7">
        <v>185</v>
      </c>
      <c r="E6647" s="7">
        <v>28</v>
      </c>
      <c r="F6647" s="7">
        <f t="shared" si="104"/>
        <v>3</v>
      </c>
      <c r="G6647" s="7" t="str">
        <f>LOOKUP(H6647,[1]startdates!$A$2:$A$10,[1]startdates!$B$2:$B$10)</f>
        <v>C</v>
      </c>
      <c r="H6647">
        <v>5</v>
      </c>
      <c r="I6647" s="7">
        <v>597.5</v>
      </c>
      <c r="M6647" s="7">
        <v>337.5</v>
      </c>
      <c r="N6647" s="7">
        <v>286.8</v>
      </c>
      <c r="O6647" s="7">
        <v>152.1</v>
      </c>
    </row>
    <row r="6648" spans="1:18" x14ac:dyDescent="0.2">
      <c r="A6648">
        <v>6647</v>
      </c>
      <c r="B6648" s="1">
        <v>40925</v>
      </c>
      <c r="C6648" t="s">
        <v>28</v>
      </c>
      <c r="D6648" s="7">
        <v>185</v>
      </c>
      <c r="E6648" s="7">
        <v>28</v>
      </c>
      <c r="F6648" s="7">
        <f t="shared" si="104"/>
        <v>3</v>
      </c>
      <c r="G6648" s="7" t="str">
        <f>LOOKUP(H6648,[1]startdates!$A$2:$A$10,[1]startdates!$B$2:$B$10)</f>
        <v>FMr</v>
      </c>
      <c r="H6648">
        <v>6</v>
      </c>
      <c r="I6648" s="7">
        <v>544.20000000000005</v>
      </c>
      <c r="K6648" s="7">
        <v>475.6</v>
      </c>
      <c r="L6648" s="7">
        <v>442.2</v>
      </c>
      <c r="M6648" s="7">
        <v>381.4</v>
      </c>
      <c r="N6648" s="7">
        <v>207.7</v>
      </c>
      <c r="O6648" s="7">
        <v>191.5</v>
      </c>
      <c r="P6648" s="7">
        <v>403.1</v>
      </c>
      <c r="Q6648" s="7">
        <v>327.7</v>
      </c>
      <c r="R6648" s="7">
        <v>248.4</v>
      </c>
    </row>
    <row r="6649" spans="1:18" x14ac:dyDescent="0.2">
      <c r="A6649">
        <v>6648</v>
      </c>
      <c r="B6649" s="1">
        <v>40925</v>
      </c>
      <c r="C6649" t="s">
        <v>28</v>
      </c>
      <c r="D6649" s="7">
        <v>185</v>
      </c>
      <c r="E6649" s="7">
        <v>28</v>
      </c>
      <c r="F6649" s="7">
        <f t="shared" si="104"/>
        <v>3</v>
      </c>
      <c r="G6649" s="7" t="str">
        <f>LOOKUP(H6649,[1]startdates!$A$2:$A$10,[1]startdates!$B$2:$B$10)</f>
        <v>FMr</v>
      </c>
      <c r="H6649">
        <v>6</v>
      </c>
      <c r="I6649" s="7">
        <v>663.8</v>
      </c>
      <c r="K6649" s="7">
        <v>472.4</v>
      </c>
      <c r="L6649" s="7">
        <v>428.6</v>
      </c>
      <c r="M6649" s="7">
        <v>313.5</v>
      </c>
      <c r="N6649" s="7">
        <v>236.4</v>
      </c>
      <c r="O6649" s="7">
        <v>166.3</v>
      </c>
      <c r="P6649" s="7">
        <v>428.9</v>
      </c>
      <c r="R6649" s="7">
        <v>239.6</v>
      </c>
    </row>
    <row r="6650" spans="1:18" x14ac:dyDescent="0.2">
      <c r="A6650">
        <v>6649</v>
      </c>
      <c r="B6650" s="1">
        <v>40925</v>
      </c>
      <c r="C6650" t="s">
        <v>28</v>
      </c>
      <c r="D6650" s="7">
        <v>185</v>
      </c>
      <c r="E6650" s="7">
        <v>28</v>
      </c>
      <c r="F6650" s="7">
        <f t="shared" si="104"/>
        <v>3</v>
      </c>
      <c r="G6650" s="7" t="str">
        <f>LOOKUP(H6650,[1]startdates!$A$2:$A$10,[1]startdates!$B$2:$B$10)</f>
        <v>FMr</v>
      </c>
      <c r="H6650">
        <v>6</v>
      </c>
      <c r="I6650" s="7">
        <v>604.29999999999995</v>
      </c>
      <c r="K6650" s="7">
        <v>573.5</v>
      </c>
      <c r="L6650" s="7">
        <v>403.5</v>
      </c>
      <c r="M6650" s="7">
        <v>349</v>
      </c>
      <c r="N6650" s="7">
        <v>238.1</v>
      </c>
      <c r="O6650" s="7">
        <v>184.1</v>
      </c>
      <c r="P6650" s="7">
        <v>397.9</v>
      </c>
    </row>
    <row r="6651" spans="1:18" x14ac:dyDescent="0.2">
      <c r="A6651">
        <v>6650</v>
      </c>
      <c r="B6651" s="1">
        <v>40925</v>
      </c>
      <c r="C6651" t="s">
        <v>28</v>
      </c>
      <c r="D6651" s="7">
        <v>185</v>
      </c>
      <c r="E6651" s="7">
        <v>28</v>
      </c>
      <c r="F6651" s="7">
        <f t="shared" si="104"/>
        <v>3</v>
      </c>
      <c r="G6651" s="7" t="str">
        <f>LOOKUP(H6651,[1]startdates!$A$2:$A$10,[1]startdates!$B$2:$B$10)</f>
        <v>FMr</v>
      </c>
      <c r="H6651">
        <v>6</v>
      </c>
      <c r="I6651" s="7">
        <v>714.2</v>
      </c>
      <c r="K6651" s="7">
        <v>449.9</v>
      </c>
      <c r="M6651" s="7">
        <v>364.5</v>
      </c>
      <c r="N6651" s="7">
        <v>199.3</v>
      </c>
      <c r="O6651" s="7">
        <v>177.7</v>
      </c>
    </row>
    <row r="6652" spans="1:18" x14ac:dyDescent="0.2">
      <c r="A6652">
        <v>6651</v>
      </c>
      <c r="B6652" s="1">
        <v>40925</v>
      </c>
      <c r="C6652" t="s">
        <v>28</v>
      </c>
      <c r="D6652" s="7">
        <v>185</v>
      </c>
      <c r="E6652" s="7">
        <v>28</v>
      </c>
      <c r="F6652" s="7">
        <f t="shared" si="104"/>
        <v>3</v>
      </c>
      <c r="G6652" s="7" t="str">
        <f>LOOKUP(H6652,[1]startdates!$A$2:$A$10,[1]startdates!$B$2:$B$10)</f>
        <v>FMr</v>
      </c>
      <c r="H6652">
        <v>6</v>
      </c>
      <c r="I6652" s="7">
        <v>583.9</v>
      </c>
      <c r="K6652" s="7">
        <v>523.6</v>
      </c>
      <c r="M6652" s="7">
        <v>341.3</v>
      </c>
      <c r="N6652" s="7">
        <v>202.6</v>
      </c>
      <c r="O6652" s="7">
        <v>164.9</v>
      </c>
    </row>
    <row r="6653" spans="1:18" x14ac:dyDescent="0.2">
      <c r="A6653">
        <v>6652</v>
      </c>
      <c r="B6653" s="1">
        <v>40925</v>
      </c>
      <c r="C6653" t="s">
        <v>28</v>
      </c>
      <c r="D6653" s="7">
        <v>185</v>
      </c>
      <c r="E6653" s="7">
        <v>28</v>
      </c>
      <c r="F6653" s="7">
        <f t="shared" si="104"/>
        <v>3</v>
      </c>
      <c r="G6653" s="7" t="str">
        <f>LOOKUP(H6653,[1]startdates!$A$2:$A$10,[1]startdates!$B$2:$B$10)</f>
        <v>FMr</v>
      </c>
      <c r="H6653">
        <v>6</v>
      </c>
      <c r="I6653" s="7">
        <v>638.9</v>
      </c>
      <c r="M6653" s="7">
        <v>328.8</v>
      </c>
      <c r="N6653" s="7">
        <v>223.6</v>
      </c>
      <c r="O6653" s="7">
        <v>168</v>
      </c>
    </row>
    <row r="6654" spans="1:18" x14ac:dyDescent="0.2">
      <c r="A6654">
        <v>6653</v>
      </c>
      <c r="B6654" s="1">
        <v>40925</v>
      </c>
      <c r="C6654" t="s">
        <v>28</v>
      </c>
      <c r="D6654" s="7">
        <v>185</v>
      </c>
      <c r="E6654" s="7">
        <v>28</v>
      </c>
      <c r="F6654" s="7">
        <f t="shared" si="104"/>
        <v>3</v>
      </c>
      <c r="G6654" s="7" t="str">
        <f>LOOKUP(H6654,[1]startdates!$A$2:$A$10,[1]startdates!$B$2:$B$10)</f>
        <v>FMr</v>
      </c>
      <c r="H6654">
        <v>6</v>
      </c>
      <c r="I6654" s="7">
        <v>596.1</v>
      </c>
      <c r="M6654" s="7">
        <v>353.9</v>
      </c>
      <c r="N6654" s="7">
        <v>209.9</v>
      </c>
      <c r="O6654" s="7">
        <v>153.80000000000001</v>
      </c>
    </row>
    <row r="6655" spans="1:18" x14ac:dyDescent="0.2">
      <c r="A6655">
        <v>6654</v>
      </c>
      <c r="B6655" s="1">
        <v>40925</v>
      </c>
      <c r="C6655" t="s">
        <v>28</v>
      </c>
      <c r="D6655" s="7">
        <v>185</v>
      </c>
      <c r="E6655" s="7">
        <v>28</v>
      </c>
      <c r="F6655" s="7">
        <f t="shared" si="104"/>
        <v>3</v>
      </c>
      <c r="G6655" s="7" t="str">
        <f>LOOKUP(H6655,[1]startdates!$A$2:$A$10,[1]startdates!$B$2:$B$10)</f>
        <v>FMr</v>
      </c>
      <c r="H6655">
        <v>6</v>
      </c>
      <c r="I6655" s="7">
        <v>582</v>
      </c>
      <c r="M6655" s="7">
        <v>308.60000000000002</v>
      </c>
      <c r="N6655" s="7">
        <v>204.5</v>
      </c>
      <c r="O6655" s="7">
        <v>158.5</v>
      </c>
    </row>
    <row r="6656" spans="1:18" x14ac:dyDescent="0.2">
      <c r="A6656">
        <v>6655</v>
      </c>
      <c r="B6656" s="1">
        <v>40925</v>
      </c>
      <c r="C6656" t="s">
        <v>28</v>
      </c>
      <c r="D6656" s="7">
        <v>185</v>
      </c>
      <c r="E6656" s="7">
        <v>28</v>
      </c>
      <c r="F6656" s="7">
        <f t="shared" si="104"/>
        <v>3</v>
      </c>
      <c r="G6656" s="7" t="str">
        <f>LOOKUP(H6656,[1]startdates!$A$2:$A$10,[1]startdates!$B$2:$B$10)</f>
        <v>FMr</v>
      </c>
      <c r="H6656">
        <v>6</v>
      </c>
      <c r="I6656" s="7">
        <v>645.5</v>
      </c>
      <c r="M6656" s="7">
        <v>320.5</v>
      </c>
      <c r="N6656" s="7">
        <v>268.8</v>
      </c>
      <c r="O6656" s="7">
        <v>156.5</v>
      </c>
    </row>
    <row r="6657" spans="1:19" x14ac:dyDescent="0.2">
      <c r="A6657">
        <v>6656</v>
      </c>
      <c r="B6657" s="1">
        <v>40925</v>
      </c>
      <c r="C6657" t="s">
        <v>28</v>
      </c>
      <c r="D6657" s="7">
        <v>185</v>
      </c>
      <c r="E6657" s="7">
        <v>28</v>
      </c>
      <c r="F6657" s="7">
        <f t="shared" si="104"/>
        <v>3</v>
      </c>
      <c r="G6657" s="7" t="str">
        <f>LOOKUP(H6657,[1]startdates!$A$2:$A$10,[1]startdates!$B$2:$B$10)</f>
        <v>FMr</v>
      </c>
      <c r="H6657">
        <v>6</v>
      </c>
      <c r="I6657" s="7">
        <v>608</v>
      </c>
      <c r="N6657" s="7">
        <v>205.5</v>
      </c>
      <c r="O6657" s="7">
        <v>149.1</v>
      </c>
    </row>
    <row r="6658" spans="1:19" x14ac:dyDescent="0.2">
      <c r="A6658">
        <v>6657</v>
      </c>
      <c r="B6658" s="1">
        <v>40925</v>
      </c>
      <c r="C6658" t="s">
        <v>28</v>
      </c>
      <c r="D6658" s="7">
        <v>185</v>
      </c>
      <c r="E6658" s="7">
        <v>28</v>
      </c>
      <c r="F6658" s="7">
        <f t="shared" si="104"/>
        <v>3</v>
      </c>
      <c r="G6658" s="7" t="str">
        <f>LOOKUP(H6658,[1]startdates!$A$2:$A$10,[1]startdates!$B$2:$B$10)</f>
        <v>FMr</v>
      </c>
      <c r="H6658">
        <v>7</v>
      </c>
      <c r="I6658" s="7">
        <v>531.20000000000005</v>
      </c>
      <c r="J6658" s="7">
        <v>463.4</v>
      </c>
      <c r="K6658" s="7">
        <v>559.29999999999995</v>
      </c>
      <c r="L6658" s="7">
        <v>437.8</v>
      </c>
      <c r="M6658" s="7">
        <v>385</v>
      </c>
      <c r="N6658" s="7">
        <v>253.6</v>
      </c>
      <c r="O6658" s="7">
        <v>183.8</v>
      </c>
      <c r="P6658" s="7">
        <v>413.7</v>
      </c>
      <c r="Q6658" s="7">
        <v>365</v>
      </c>
      <c r="R6658" s="7">
        <v>253.2</v>
      </c>
      <c r="S6658" s="7">
        <v>232</v>
      </c>
    </row>
    <row r="6659" spans="1:19" x14ac:dyDescent="0.2">
      <c r="A6659">
        <v>6658</v>
      </c>
      <c r="B6659" s="1">
        <v>40925</v>
      </c>
      <c r="C6659" t="s">
        <v>28</v>
      </c>
      <c r="D6659" s="7">
        <v>185</v>
      </c>
      <c r="E6659" s="7">
        <v>28</v>
      </c>
      <c r="F6659" s="7">
        <f t="shared" si="104"/>
        <v>3</v>
      </c>
      <c r="G6659" s="7" t="str">
        <f>LOOKUP(H6659,[1]startdates!$A$2:$A$10,[1]startdates!$B$2:$B$10)</f>
        <v>FMr</v>
      </c>
      <c r="H6659">
        <v>7</v>
      </c>
      <c r="I6659" s="7">
        <v>528.79999999999995</v>
      </c>
      <c r="K6659" s="7">
        <v>428</v>
      </c>
      <c r="L6659" s="7">
        <v>398.9</v>
      </c>
      <c r="M6659" s="7">
        <v>312.10000000000002</v>
      </c>
      <c r="N6659" s="7">
        <v>249.2</v>
      </c>
      <c r="O6659" s="7">
        <v>138.80000000000001</v>
      </c>
      <c r="P6659" s="7">
        <v>425</v>
      </c>
      <c r="R6659" s="7">
        <v>283.8</v>
      </c>
    </row>
    <row r="6660" spans="1:19" x14ac:dyDescent="0.2">
      <c r="A6660">
        <v>6659</v>
      </c>
      <c r="B6660" s="1">
        <v>40925</v>
      </c>
      <c r="C6660" t="s">
        <v>28</v>
      </c>
      <c r="D6660" s="7">
        <v>185</v>
      </c>
      <c r="E6660" s="7">
        <v>28</v>
      </c>
      <c r="F6660" s="7">
        <f t="shared" si="104"/>
        <v>3</v>
      </c>
      <c r="G6660" s="7" t="str">
        <f>LOOKUP(H6660,[1]startdates!$A$2:$A$10,[1]startdates!$B$2:$B$10)</f>
        <v>FMr</v>
      </c>
      <c r="H6660">
        <v>7</v>
      </c>
      <c r="I6660" s="7">
        <v>527.5</v>
      </c>
      <c r="K6660" s="7">
        <v>483.4</v>
      </c>
      <c r="L6660" s="7">
        <v>395.7</v>
      </c>
      <c r="M6660" s="7">
        <v>342.5</v>
      </c>
      <c r="N6660" s="7">
        <v>229.9</v>
      </c>
      <c r="O6660" s="7">
        <v>145.19999999999999</v>
      </c>
      <c r="P6660" s="7">
        <v>437.4</v>
      </c>
    </row>
    <row r="6661" spans="1:19" x14ac:dyDescent="0.2">
      <c r="A6661">
        <v>6660</v>
      </c>
      <c r="B6661" s="1">
        <v>40925</v>
      </c>
      <c r="C6661" t="s">
        <v>28</v>
      </c>
      <c r="D6661" s="7">
        <v>185</v>
      </c>
      <c r="E6661" s="7">
        <v>28</v>
      </c>
      <c r="F6661" s="7">
        <f t="shared" si="104"/>
        <v>3</v>
      </c>
      <c r="G6661" s="7" t="str">
        <f>LOOKUP(H6661,[1]startdates!$A$2:$A$10,[1]startdates!$B$2:$B$10)</f>
        <v>FMr</v>
      </c>
      <c r="H6661">
        <v>7</v>
      </c>
      <c r="I6661" s="7">
        <v>609.70000000000005</v>
      </c>
      <c r="K6661" s="7">
        <v>564.79999999999995</v>
      </c>
      <c r="L6661" s="7">
        <v>426.9</v>
      </c>
      <c r="M6661" s="7">
        <v>386.9</v>
      </c>
      <c r="N6661" s="7">
        <v>248.6</v>
      </c>
      <c r="O6661" s="7">
        <v>163.5</v>
      </c>
      <c r="P6661" s="7">
        <v>403.1</v>
      </c>
    </row>
    <row r="6662" spans="1:19" x14ac:dyDescent="0.2">
      <c r="A6662">
        <v>6661</v>
      </c>
      <c r="B6662" s="1">
        <v>40925</v>
      </c>
      <c r="C6662" t="s">
        <v>28</v>
      </c>
      <c r="D6662" s="7">
        <v>185</v>
      </c>
      <c r="E6662" s="7">
        <v>28</v>
      </c>
      <c r="F6662" s="7">
        <f t="shared" si="104"/>
        <v>3</v>
      </c>
      <c r="G6662" s="7" t="str">
        <f>LOOKUP(H6662,[1]startdates!$A$2:$A$10,[1]startdates!$B$2:$B$10)</f>
        <v>FMr</v>
      </c>
      <c r="H6662">
        <v>7</v>
      </c>
      <c r="I6662" s="7">
        <v>559.1</v>
      </c>
      <c r="L6662" s="7">
        <v>400.9</v>
      </c>
      <c r="M6662" s="7">
        <v>383.2</v>
      </c>
      <c r="N6662" s="7">
        <v>194.5</v>
      </c>
      <c r="O6662" s="7">
        <v>152.6</v>
      </c>
    </row>
    <row r="6663" spans="1:19" x14ac:dyDescent="0.2">
      <c r="A6663">
        <v>6662</v>
      </c>
      <c r="B6663" s="1">
        <v>40925</v>
      </c>
      <c r="C6663" t="s">
        <v>28</v>
      </c>
      <c r="D6663" s="7">
        <v>185</v>
      </c>
      <c r="E6663" s="7">
        <v>28</v>
      </c>
      <c r="F6663" s="7">
        <f t="shared" si="104"/>
        <v>3</v>
      </c>
      <c r="G6663" s="7" t="str">
        <f>LOOKUP(H6663,[1]startdates!$A$2:$A$10,[1]startdates!$B$2:$B$10)</f>
        <v>FMr</v>
      </c>
      <c r="H6663">
        <v>7</v>
      </c>
      <c r="I6663" s="7">
        <v>562.6</v>
      </c>
      <c r="M6663" s="7">
        <v>346.2</v>
      </c>
      <c r="N6663" s="7">
        <v>264.5</v>
      </c>
      <c r="O6663" s="7">
        <v>176</v>
      </c>
    </row>
    <row r="6664" spans="1:19" x14ac:dyDescent="0.2">
      <c r="A6664">
        <v>6663</v>
      </c>
      <c r="B6664" s="1">
        <v>40925</v>
      </c>
      <c r="C6664" t="s">
        <v>28</v>
      </c>
      <c r="D6664" s="7">
        <v>185</v>
      </c>
      <c r="E6664" s="7">
        <v>28</v>
      </c>
      <c r="F6664" s="7">
        <f t="shared" si="104"/>
        <v>3</v>
      </c>
      <c r="G6664" s="7" t="str">
        <f>LOOKUP(H6664,[1]startdates!$A$2:$A$10,[1]startdates!$B$2:$B$10)</f>
        <v>FMr</v>
      </c>
      <c r="H6664">
        <v>7</v>
      </c>
      <c r="I6664" s="7">
        <v>663.5</v>
      </c>
      <c r="M6664" s="7">
        <v>317.8</v>
      </c>
      <c r="N6664" s="7">
        <v>211</v>
      </c>
      <c r="O6664" s="7">
        <v>153.6</v>
      </c>
    </row>
    <row r="6665" spans="1:19" x14ac:dyDescent="0.2">
      <c r="A6665">
        <v>6664</v>
      </c>
      <c r="B6665" s="1">
        <v>40925</v>
      </c>
      <c r="C6665" t="s">
        <v>28</v>
      </c>
      <c r="D6665" s="7">
        <v>185</v>
      </c>
      <c r="E6665" s="7">
        <v>28</v>
      </c>
      <c r="F6665" s="7">
        <f t="shared" si="104"/>
        <v>3</v>
      </c>
      <c r="G6665" s="7" t="str">
        <f>LOOKUP(H6665,[1]startdates!$A$2:$A$10,[1]startdates!$B$2:$B$10)</f>
        <v>FMr</v>
      </c>
      <c r="H6665">
        <v>7</v>
      </c>
      <c r="I6665" s="7">
        <v>567.29999999999995</v>
      </c>
      <c r="M6665" s="7">
        <v>377.3</v>
      </c>
      <c r="N6665" s="7">
        <v>208.5</v>
      </c>
      <c r="O6665" s="7">
        <v>178.6</v>
      </c>
    </row>
    <row r="6666" spans="1:19" x14ac:dyDescent="0.2">
      <c r="A6666">
        <v>6665</v>
      </c>
      <c r="B6666" s="1">
        <v>40925</v>
      </c>
      <c r="C6666" t="s">
        <v>28</v>
      </c>
      <c r="D6666" s="7">
        <v>185</v>
      </c>
      <c r="E6666" s="7">
        <v>28</v>
      </c>
      <c r="F6666" s="7">
        <f t="shared" si="104"/>
        <v>3</v>
      </c>
      <c r="G6666" s="7" t="str">
        <f>LOOKUP(H6666,[1]startdates!$A$2:$A$10,[1]startdates!$B$2:$B$10)</f>
        <v>FMr</v>
      </c>
      <c r="H6666">
        <v>7</v>
      </c>
      <c r="I6666" s="7">
        <v>598.70000000000005</v>
      </c>
      <c r="M6666" s="7">
        <v>301.10000000000002</v>
      </c>
      <c r="N6666" s="7">
        <v>215.7</v>
      </c>
      <c r="O6666" s="7">
        <v>181.1</v>
      </c>
    </row>
    <row r="6667" spans="1:19" x14ac:dyDescent="0.2">
      <c r="A6667">
        <v>6666</v>
      </c>
      <c r="B6667" s="1">
        <v>40925</v>
      </c>
      <c r="C6667" t="s">
        <v>28</v>
      </c>
      <c r="D6667" s="7">
        <v>185</v>
      </c>
      <c r="E6667" s="7">
        <v>28</v>
      </c>
      <c r="F6667" s="7">
        <f t="shared" si="104"/>
        <v>3</v>
      </c>
      <c r="G6667" s="7" t="str">
        <f>LOOKUP(H6667,[1]startdates!$A$2:$A$10,[1]startdates!$B$2:$B$10)</f>
        <v>FMr</v>
      </c>
      <c r="H6667">
        <v>7</v>
      </c>
      <c r="I6667" s="7">
        <v>524</v>
      </c>
      <c r="N6667" s="7">
        <v>245.2</v>
      </c>
      <c r="O6667" s="7">
        <v>174.9</v>
      </c>
    </row>
    <row r="6668" spans="1:19" x14ac:dyDescent="0.2">
      <c r="A6668">
        <v>6667</v>
      </c>
      <c r="B6668" s="1">
        <v>40925</v>
      </c>
      <c r="C6668" t="s">
        <v>28</v>
      </c>
      <c r="D6668" s="7">
        <v>185</v>
      </c>
      <c r="E6668" s="7">
        <v>28</v>
      </c>
      <c r="F6668" s="7">
        <f t="shared" si="104"/>
        <v>3</v>
      </c>
      <c r="G6668" s="7" t="str">
        <f>LOOKUP(H6668,[1]startdates!$A$2:$A$10,[1]startdates!$B$2:$B$10)</f>
        <v>FMr</v>
      </c>
      <c r="H6668">
        <v>7</v>
      </c>
      <c r="O6668" s="7">
        <v>169.5</v>
      </c>
    </row>
    <row r="6669" spans="1:19" x14ac:dyDescent="0.2">
      <c r="A6669">
        <v>6668</v>
      </c>
      <c r="B6669" s="1">
        <v>40925</v>
      </c>
      <c r="C6669" t="s">
        <v>28</v>
      </c>
      <c r="D6669" s="7">
        <v>185</v>
      </c>
      <c r="E6669" s="7">
        <v>28</v>
      </c>
      <c r="F6669" s="7">
        <f t="shared" si="104"/>
        <v>3</v>
      </c>
      <c r="G6669" s="7" t="str">
        <f>LOOKUP(H6669,[1]startdates!$A$2:$A$10,[1]startdates!$B$2:$B$10)</f>
        <v>C</v>
      </c>
      <c r="H6669">
        <v>8</v>
      </c>
      <c r="I6669" s="7">
        <v>550.70000000000005</v>
      </c>
      <c r="J6669" s="7">
        <v>485.8</v>
      </c>
      <c r="K6669" s="7">
        <v>542.20000000000005</v>
      </c>
      <c r="L6669" s="7">
        <v>410.5</v>
      </c>
      <c r="M6669" s="7">
        <v>350.5</v>
      </c>
      <c r="N6669" s="7">
        <v>289.39999999999998</v>
      </c>
      <c r="O6669" s="7">
        <v>163.5</v>
      </c>
      <c r="P6669" s="7">
        <v>439.5</v>
      </c>
      <c r="Q6669" s="7">
        <v>362.7</v>
      </c>
      <c r="R6669" s="7">
        <v>265.3</v>
      </c>
    </row>
    <row r="6670" spans="1:19" x14ac:dyDescent="0.2">
      <c r="A6670">
        <v>6669</v>
      </c>
      <c r="B6670" s="1">
        <v>40925</v>
      </c>
      <c r="C6670" t="s">
        <v>28</v>
      </c>
      <c r="D6670" s="7">
        <v>185</v>
      </c>
      <c r="E6670" s="7">
        <v>28</v>
      </c>
      <c r="F6670" s="7">
        <f t="shared" si="104"/>
        <v>3</v>
      </c>
      <c r="G6670" s="7" t="str">
        <f>LOOKUP(H6670,[1]startdates!$A$2:$A$10,[1]startdates!$B$2:$B$10)</f>
        <v>C</v>
      </c>
      <c r="H6670">
        <v>8</v>
      </c>
      <c r="I6670" s="7">
        <v>559.9</v>
      </c>
      <c r="J6670" s="7">
        <v>508.8</v>
      </c>
      <c r="K6670" s="7">
        <v>500.1</v>
      </c>
      <c r="L6670" s="7">
        <v>438.4</v>
      </c>
      <c r="M6670" s="7">
        <v>377.8</v>
      </c>
      <c r="N6670" s="7">
        <v>251.7</v>
      </c>
      <c r="O6670" s="7">
        <v>175.6</v>
      </c>
    </row>
    <row r="6671" spans="1:19" x14ac:dyDescent="0.2">
      <c r="A6671">
        <v>6670</v>
      </c>
      <c r="B6671" s="1">
        <v>40925</v>
      </c>
      <c r="C6671" t="s">
        <v>28</v>
      </c>
      <c r="D6671" s="7">
        <v>185</v>
      </c>
      <c r="E6671" s="7">
        <v>28</v>
      </c>
      <c r="F6671" s="7">
        <f t="shared" si="104"/>
        <v>3</v>
      </c>
      <c r="G6671" s="7" t="str">
        <f>LOOKUP(H6671,[1]startdates!$A$2:$A$10,[1]startdates!$B$2:$B$10)</f>
        <v>C</v>
      </c>
      <c r="H6671">
        <v>8</v>
      </c>
      <c r="I6671" s="7">
        <v>595.1</v>
      </c>
      <c r="J6671" s="7">
        <v>492.8</v>
      </c>
      <c r="K6671" s="7">
        <v>554.29999999999995</v>
      </c>
      <c r="M6671" s="7">
        <v>363.1</v>
      </c>
      <c r="N6671" s="7">
        <v>253</v>
      </c>
      <c r="O6671" s="7">
        <v>181.9</v>
      </c>
    </row>
    <row r="6672" spans="1:19" x14ac:dyDescent="0.2">
      <c r="A6672">
        <v>6671</v>
      </c>
      <c r="B6672" s="1">
        <v>40925</v>
      </c>
      <c r="C6672" t="s">
        <v>28</v>
      </c>
      <c r="D6672" s="7">
        <v>185</v>
      </c>
      <c r="E6672" s="7">
        <v>28</v>
      </c>
      <c r="F6672" s="7">
        <f t="shared" si="104"/>
        <v>3</v>
      </c>
      <c r="G6672" s="7" t="str">
        <f>LOOKUP(H6672,[1]startdates!$A$2:$A$10,[1]startdates!$B$2:$B$10)</f>
        <v>C</v>
      </c>
      <c r="H6672">
        <v>8</v>
      </c>
      <c r="I6672" s="7">
        <v>626.5</v>
      </c>
      <c r="J6672" s="7">
        <v>517.6</v>
      </c>
      <c r="K6672" s="7">
        <v>555.4</v>
      </c>
      <c r="M6672" s="7">
        <v>300.3</v>
      </c>
      <c r="N6672" s="7">
        <v>276.8</v>
      </c>
      <c r="O6672" s="7">
        <v>153.1</v>
      </c>
    </row>
    <row r="6673" spans="1:19" x14ac:dyDescent="0.2">
      <c r="A6673">
        <v>6672</v>
      </c>
      <c r="B6673" s="1">
        <v>40925</v>
      </c>
      <c r="C6673" t="s">
        <v>28</v>
      </c>
      <c r="D6673" s="7">
        <v>185</v>
      </c>
      <c r="E6673" s="7">
        <v>28</v>
      </c>
      <c r="F6673" s="7">
        <f t="shared" si="104"/>
        <v>3</v>
      </c>
      <c r="G6673" s="7" t="str">
        <f>LOOKUP(H6673,[1]startdates!$A$2:$A$10,[1]startdates!$B$2:$B$10)</f>
        <v>C</v>
      </c>
      <c r="H6673">
        <v>8</v>
      </c>
      <c r="I6673" s="7">
        <v>579</v>
      </c>
      <c r="J6673" s="7">
        <v>518.4</v>
      </c>
      <c r="K6673" s="7">
        <v>654.6</v>
      </c>
      <c r="M6673" s="7">
        <v>308.3</v>
      </c>
      <c r="N6673" s="7">
        <v>177.1</v>
      </c>
      <c r="O6673" s="7">
        <v>172.9</v>
      </c>
    </row>
    <row r="6674" spans="1:19" x14ac:dyDescent="0.2">
      <c r="A6674">
        <v>6673</v>
      </c>
      <c r="B6674" s="1">
        <v>40925</v>
      </c>
      <c r="C6674" t="s">
        <v>28</v>
      </c>
      <c r="D6674" s="7">
        <v>185</v>
      </c>
      <c r="E6674" s="7">
        <v>28</v>
      </c>
      <c r="F6674" s="7">
        <f t="shared" si="104"/>
        <v>3</v>
      </c>
      <c r="G6674" s="7" t="str">
        <f>LOOKUP(H6674,[1]startdates!$A$2:$A$10,[1]startdates!$B$2:$B$10)</f>
        <v>C</v>
      </c>
      <c r="H6674">
        <v>8</v>
      </c>
      <c r="I6674" s="7">
        <v>519.9</v>
      </c>
      <c r="J6674" s="7">
        <v>502.3</v>
      </c>
      <c r="M6674" s="7">
        <v>313.5</v>
      </c>
      <c r="N6674" s="7">
        <v>222.9</v>
      </c>
      <c r="O6674" s="7">
        <v>162.19999999999999</v>
      </c>
    </row>
    <row r="6675" spans="1:19" x14ac:dyDescent="0.2">
      <c r="A6675">
        <v>6674</v>
      </c>
      <c r="B6675" s="1">
        <v>40925</v>
      </c>
      <c r="C6675" t="s">
        <v>28</v>
      </c>
      <c r="D6675" s="7">
        <v>185</v>
      </c>
      <c r="E6675" s="7">
        <v>28</v>
      </c>
      <c r="F6675" s="7">
        <f t="shared" si="104"/>
        <v>3</v>
      </c>
      <c r="G6675" s="7" t="str">
        <f>LOOKUP(H6675,[1]startdates!$A$2:$A$10,[1]startdates!$B$2:$B$10)</f>
        <v>C</v>
      </c>
      <c r="H6675">
        <v>8</v>
      </c>
      <c r="I6675" s="7">
        <v>640.5</v>
      </c>
      <c r="J6675" s="7">
        <v>497.6</v>
      </c>
      <c r="M6675" s="7">
        <v>334.4</v>
      </c>
      <c r="N6675" s="7">
        <v>260.5</v>
      </c>
      <c r="O6675" s="7">
        <v>162.5</v>
      </c>
    </row>
    <row r="6676" spans="1:19" x14ac:dyDescent="0.2">
      <c r="A6676">
        <v>6675</v>
      </c>
      <c r="B6676" s="1">
        <v>40925</v>
      </c>
      <c r="C6676" t="s">
        <v>28</v>
      </c>
      <c r="D6676" s="7">
        <v>185</v>
      </c>
      <c r="E6676" s="7">
        <v>28</v>
      </c>
      <c r="F6676" s="7">
        <f t="shared" si="104"/>
        <v>3</v>
      </c>
      <c r="G6676" s="7" t="str">
        <f>LOOKUP(H6676,[1]startdates!$A$2:$A$10,[1]startdates!$B$2:$B$10)</f>
        <v>C</v>
      </c>
      <c r="H6676">
        <v>8</v>
      </c>
      <c r="I6676" s="7">
        <v>648.79999999999995</v>
      </c>
      <c r="M6676" s="7">
        <v>303.60000000000002</v>
      </c>
      <c r="N6676" s="7">
        <v>275.89999999999998</v>
      </c>
      <c r="O6676" s="7">
        <v>159</v>
      </c>
    </row>
    <row r="6677" spans="1:19" x14ac:dyDescent="0.2">
      <c r="A6677">
        <v>6676</v>
      </c>
      <c r="B6677" s="1">
        <v>40925</v>
      </c>
      <c r="C6677" t="s">
        <v>28</v>
      </c>
      <c r="D6677" s="7">
        <v>185</v>
      </c>
      <c r="E6677" s="7">
        <v>28</v>
      </c>
      <c r="F6677" s="7">
        <f t="shared" si="104"/>
        <v>3</v>
      </c>
      <c r="G6677" s="7" t="str">
        <f>LOOKUP(H6677,[1]startdates!$A$2:$A$10,[1]startdates!$B$2:$B$10)</f>
        <v>C</v>
      </c>
      <c r="H6677">
        <v>8</v>
      </c>
      <c r="I6677" s="7">
        <v>597</v>
      </c>
      <c r="M6677" s="7">
        <v>351.5</v>
      </c>
      <c r="N6677" s="7">
        <v>197.8</v>
      </c>
      <c r="O6677" s="7">
        <v>159</v>
      </c>
    </row>
    <row r="6678" spans="1:19" x14ac:dyDescent="0.2">
      <c r="A6678">
        <v>6677</v>
      </c>
      <c r="B6678" s="1">
        <v>40925</v>
      </c>
      <c r="C6678" t="s">
        <v>28</v>
      </c>
      <c r="D6678" s="7">
        <v>185</v>
      </c>
      <c r="E6678" s="7">
        <v>28</v>
      </c>
      <c r="F6678" s="7">
        <f t="shared" si="104"/>
        <v>3</v>
      </c>
      <c r="G6678" s="7" t="str">
        <f>LOOKUP(H6678,[1]startdates!$A$2:$A$10,[1]startdates!$B$2:$B$10)</f>
        <v>C</v>
      </c>
      <c r="H6678">
        <v>8</v>
      </c>
      <c r="I6678" s="7">
        <v>609.4</v>
      </c>
      <c r="N6678" s="7">
        <v>273.10000000000002</v>
      </c>
      <c r="O6678" s="7">
        <v>166.5</v>
      </c>
    </row>
    <row r="6679" spans="1:19" x14ac:dyDescent="0.2">
      <c r="A6679">
        <v>6678</v>
      </c>
      <c r="B6679" s="1">
        <v>40925</v>
      </c>
      <c r="C6679" t="s">
        <v>28</v>
      </c>
      <c r="D6679" s="7">
        <v>185</v>
      </c>
      <c r="E6679" s="7">
        <v>28</v>
      </c>
      <c r="F6679" s="7">
        <f t="shared" si="104"/>
        <v>3</v>
      </c>
      <c r="G6679" s="7" t="str">
        <f>LOOKUP(H6679,[1]startdates!$A$2:$A$10,[1]startdates!$B$2:$B$10)</f>
        <v>FMr</v>
      </c>
      <c r="H6679">
        <v>9</v>
      </c>
      <c r="I6679" s="7">
        <v>514.70000000000005</v>
      </c>
      <c r="J6679" s="7">
        <v>431.3</v>
      </c>
      <c r="K6679" s="7">
        <v>523.29999999999995</v>
      </c>
      <c r="L6679" s="7">
        <v>420.5</v>
      </c>
      <c r="M6679" s="7">
        <v>367.2</v>
      </c>
      <c r="N6679" s="7">
        <v>225.7</v>
      </c>
      <c r="O6679" s="7">
        <v>167.9</v>
      </c>
      <c r="P6679" s="7">
        <v>404.5</v>
      </c>
      <c r="Q6679" s="7">
        <v>333</v>
      </c>
      <c r="R6679" s="7">
        <v>255.4</v>
      </c>
      <c r="S6679" s="7">
        <v>253</v>
      </c>
    </row>
    <row r="6680" spans="1:19" x14ac:dyDescent="0.2">
      <c r="A6680">
        <v>6679</v>
      </c>
      <c r="B6680" s="1">
        <v>40925</v>
      </c>
      <c r="C6680" t="s">
        <v>28</v>
      </c>
      <c r="D6680" s="7">
        <v>185</v>
      </c>
      <c r="E6680" s="7">
        <v>28</v>
      </c>
      <c r="F6680" s="7">
        <f t="shared" si="104"/>
        <v>3</v>
      </c>
      <c r="G6680" s="7" t="str">
        <f>LOOKUP(H6680,[1]startdates!$A$2:$A$10,[1]startdates!$B$2:$B$10)</f>
        <v>FMr</v>
      </c>
      <c r="H6680">
        <v>9</v>
      </c>
      <c r="I6680" s="7">
        <v>510.3</v>
      </c>
      <c r="K6680" s="7">
        <v>515.20000000000005</v>
      </c>
      <c r="L6680" s="7">
        <v>398.7</v>
      </c>
      <c r="M6680" s="7">
        <v>319.7</v>
      </c>
      <c r="N6680" s="7">
        <v>232.9</v>
      </c>
      <c r="O6680" s="7">
        <v>177.7</v>
      </c>
      <c r="R6680" s="7">
        <v>198.3</v>
      </c>
    </row>
    <row r="6681" spans="1:19" x14ac:dyDescent="0.2">
      <c r="A6681">
        <v>6680</v>
      </c>
      <c r="B6681" s="1">
        <v>40925</v>
      </c>
      <c r="C6681" t="s">
        <v>28</v>
      </c>
      <c r="D6681" s="7">
        <v>185</v>
      </c>
      <c r="E6681" s="7">
        <v>28</v>
      </c>
      <c r="F6681" s="7">
        <f t="shared" si="104"/>
        <v>3</v>
      </c>
      <c r="G6681" s="7" t="str">
        <f>LOOKUP(H6681,[1]startdates!$A$2:$A$10,[1]startdates!$B$2:$B$10)</f>
        <v>FMr</v>
      </c>
      <c r="H6681">
        <v>9</v>
      </c>
      <c r="I6681" s="7">
        <v>631</v>
      </c>
      <c r="K6681" s="7">
        <v>577.9</v>
      </c>
      <c r="L6681" s="7">
        <v>393.3</v>
      </c>
      <c r="M6681" s="7">
        <v>326.8</v>
      </c>
      <c r="N6681" s="7">
        <v>230.7</v>
      </c>
      <c r="O6681" s="7">
        <v>171.3</v>
      </c>
    </row>
    <row r="6682" spans="1:19" x14ac:dyDescent="0.2">
      <c r="A6682">
        <v>6681</v>
      </c>
      <c r="B6682" s="1">
        <v>40925</v>
      </c>
      <c r="C6682" t="s">
        <v>28</v>
      </c>
      <c r="D6682" s="7">
        <v>185</v>
      </c>
      <c r="E6682" s="7">
        <v>28</v>
      </c>
      <c r="F6682" s="7">
        <f t="shared" si="104"/>
        <v>3</v>
      </c>
      <c r="G6682" s="7" t="str">
        <f>LOOKUP(H6682,[1]startdates!$A$2:$A$10,[1]startdates!$B$2:$B$10)</f>
        <v>FMr</v>
      </c>
      <c r="H6682">
        <v>9</v>
      </c>
      <c r="I6682" s="7">
        <v>526.9</v>
      </c>
      <c r="K6682" s="7">
        <v>453.7</v>
      </c>
      <c r="L6682" s="7">
        <v>421.7</v>
      </c>
      <c r="M6682" s="7">
        <v>328.7</v>
      </c>
      <c r="N6682" s="7">
        <v>234.3</v>
      </c>
      <c r="O6682" s="7">
        <v>161.5</v>
      </c>
    </row>
    <row r="6683" spans="1:19" x14ac:dyDescent="0.2">
      <c r="A6683">
        <v>6682</v>
      </c>
      <c r="B6683" s="1">
        <v>40925</v>
      </c>
      <c r="C6683" t="s">
        <v>28</v>
      </c>
      <c r="D6683" s="7">
        <v>185</v>
      </c>
      <c r="E6683" s="7">
        <v>28</v>
      </c>
      <c r="F6683" s="7">
        <f t="shared" si="104"/>
        <v>3</v>
      </c>
      <c r="G6683" s="7" t="str">
        <f>LOOKUP(H6683,[1]startdates!$A$2:$A$10,[1]startdates!$B$2:$B$10)</f>
        <v>FMr</v>
      </c>
      <c r="H6683">
        <v>9</v>
      </c>
      <c r="I6683" s="7">
        <v>659.3</v>
      </c>
      <c r="K6683" s="7">
        <v>470.1</v>
      </c>
      <c r="L6683" s="7">
        <v>458.5</v>
      </c>
      <c r="M6683" s="7">
        <v>374.9</v>
      </c>
      <c r="N6683" s="7">
        <v>200.3</v>
      </c>
      <c r="O6683" s="7">
        <v>164.9</v>
      </c>
    </row>
    <row r="6684" spans="1:19" x14ac:dyDescent="0.2">
      <c r="A6684">
        <v>6683</v>
      </c>
      <c r="B6684" s="1">
        <v>40925</v>
      </c>
      <c r="C6684" t="s">
        <v>28</v>
      </c>
      <c r="D6684" s="7">
        <v>185</v>
      </c>
      <c r="E6684" s="7">
        <v>28</v>
      </c>
      <c r="F6684" s="7">
        <f t="shared" si="104"/>
        <v>3</v>
      </c>
      <c r="G6684" s="7" t="str">
        <f>LOOKUP(H6684,[1]startdates!$A$2:$A$10,[1]startdates!$B$2:$B$10)</f>
        <v>FMr</v>
      </c>
      <c r="H6684">
        <v>9</v>
      </c>
      <c r="I6684" s="7">
        <v>519.9</v>
      </c>
      <c r="K6684" s="7">
        <v>510</v>
      </c>
      <c r="M6684" s="7">
        <v>332.7</v>
      </c>
      <c r="N6684" s="7">
        <v>257.10000000000002</v>
      </c>
      <c r="O6684" s="7">
        <v>178.2</v>
      </c>
    </row>
    <row r="6685" spans="1:19" x14ac:dyDescent="0.2">
      <c r="A6685">
        <v>6684</v>
      </c>
      <c r="B6685" s="1">
        <v>40925</v>
      </c>
      <c r="C6685" t="s">
        <v>28</v>
      </c>
      <c r="D6685" s="7">
        <v>185</v>
      </c>
      <c r="E6685" s="7">
        <v>28</v>
      </c>
      <c r="F6685" s="7">
        <f t="shared" si="104"/>
        <v>3</v>
      </c>
      <c r="G6685" s="7" t="str">
        <f>LOOKUP(H6685,[1]startdates!$A$2:$A$10,[1]startdates!$B$2:$B$10)</f>
        <v>FMr</v>
      </c>
      <c r="H6685">
        <v>9</v>
      </c>
      <c r="I6685" s="7">
        <v>565.20000000000005</v>
      </c>
      <c r="K6685" s="7">
        <v>451.5</v>
      </c>
      <c r="M6685" s="7">
        <v>338.1</v>
      </c>
      <c r="N6685" s="7">
        <v>197.8</v>
      </c>
      <c r="O6685" s="7">
        <v>151.1</v>
      </c>
    </row>
    <row r="6686" spans="1:19" x14ac:dyDescent="0.2">
      <c r="A6686">
        <v>6685</v>
      </c>
      <c r="B6686" s="1">
        <v>40925</v>
      </c>
      <c r="C6686" t="s">
        <v>28</v>
      </c>
      <c r="D6686" s="7">
        <v>185</v>
      </c>
      <c r="E6686" s="7">
        <v>28</v>
      </c>
      <c r="F6686" s="7">
        <f t="shared" si="104"/>
        <v>3</v>
      </c>
      <c r="G6686" s="7" t="str">
        <f>LOOKUP(H6686,[1]startdates!$A$2:$A$10,[1]startdates!$B$2:$B$10)</f>
        <v>FMr</v>
      </c>
      <c r="H6686">
        <v>9</v>
      </c>
      <c r="I6686" s="7">
        <v>495.6</v>
      </c>
      <c r="K6686" s="7">
        <v>451.7</v>
      </c>
      <c r="M6686" s="7">
        <v>313.3</v>
      </c>
      <c r="N6686" s="7">
        <v>195.3</v>
      </c>
      <c r="O6686" s="7">
        <v>171.2</v>
      </c>
    </row>
    <row r="6687" spans="1:19" x14ac:dyDescent="0.2">
      <c r="A6687">
        <v>6686</v>
      </c>
      <c r="B6687" s="1">
        <v>40925</v>
      </c>
      <c r="C6687" t="s">
        <v>28</v>
      </c>
      <c r="D6687" s="7">
        <v>185</v>
      </c>
      <c r="E6687" s="7">
        <v>28</v>
      </c>
      <c r="F6687" s="7">
        <f t="shared" si="104"/>
        <v>3</v>
      </c>
      <c r="G6687" s="7" t="str">
        <f>LOOKUP(H6687,[1]startdates!$A$2:$A$10,[1]startdates!$B$2:$B$10)</f>
        <v>FMr</v>
      </c>
      <c r="H6687">
        <v>9</v>
      </c>
      <c r="I6687" s="7">
        <v>667.5</v>
      </c>
      <c r="M6687" s="7">
        <v>328.3</v>
      </c>
      <c r="N6687" s="7">
        <v>288</v>
      </c>
      <c r="O6687" s="7">
        <v>164.4</v>
      </c>
    </row>
    <row r="6688" spans="1:19" x14ac:dyDescent="0.2">
      <c r="A6688">
        <v>6687</v>
      </c>
      <c r="B6688" s="1">
        <v>40925</v>
      </c>
      <c r="C6688" t="s">
        <v>28</v>
      </c>
      <c r="D6688" s="7">
        <v>185</v>
      </c>
      <c r="E6688" s="7">
        <v>28</v>
      </c>
      <c r="F6688" s="7">
        <f t="shared" si="104"/>
        <v>3</v>
      </c>
      <c r="G6688" s="7" t="str">
        <f>LOOKUP(H6688,[1]startdates!$A$2:$A$10,[1]startdates!$B$2:$B$10)</f>
        <v>FMr</v>
      </c>
      <c r="H6688">
        <v>9</v>
      </c>
      <c r="I6688" s="7">
        <v>525.70000000000005</v>
      </c>
      <c r="M6688" s="7">
        <v>363.2</v>
      </c>
      <c r="N6688" s="7">
        <v>243.1</v>
      </c>
      <c r="O6688" s="7">
        <v>184.9</v>
      </c>
    </row>
    <row r="6689" spans="1:18" x14ac:dyDescent="0.2">
      <c r="A6689">
        <v>6688</v>
      </c>
      <c r="B6689" s="1">
        <v>40925</v>
      </c>
      <c r="C6689" t="s">
        <v>28</v>
      </c>
      <c r="D6689" s="7">
        <v>185</v>
      </c>
      <c r="E6689" s="7">
        <v>28</v>
      </c>
      <c r="F6689" s="7">
        <f t="shared" si="104"/>
        <v>3</v>
      </c>
      <c r="G6689" s="7" t="str">
        <f>LOOKUP(H6689,[1]startdates!$A$2:$A$10,[1]startdates!$B$2:$B$10)</f>
        <v>FMr</v>
      </c>
      <c r="H6689">
        <v>9</v>
      </c>
      <c r="N6689" s="7">
        <v>201.7</v>
      </c>
    </row>
    <row r="6690" spans="1:18" x14ac:dyDescent="0.2">
      <c r="A6690">
        <v>6689</v>
      </c>
      <c r="B6690" s="1">
        <v>40928</v>
      </c>
      <c r="C6690" t="s">
        <v>28</v>
      </c>
      <c r="D6690" s="7">
        <v>188</v>
      </c>
      <c r="E6690" s="7">
        <v>28</v>
      </c>
      <c r="F6690" s="7">
        <f t="shared" si="104"/>
        <v>6</v>
      </c>
      <c r="G6690" s="7" t="str">
        <f>LOOKUP(H6690,[1]startdates!$A$2:$A$10,[1]startdates!$B$2:$B$10)</f>
        <v>SMr</v>
      </c>
      <c r="H6690">
        <v>1</v>
      </c>
      <c r="I6690" s="7">
        <v>541.5</v>
      </c>
      <c r="J6690" s="7">
        <v>453.5</v>
      </c>
      <c r="K6690" s="7">
        <v>492</v>
      </c>
      <c r="L6690" s="7">
        <v>398.5</v>
      </c>
      <c r="M6690" s="7">
        <v>306.5</v>
      </c>
      <c r="N6690" s="7">
        <v>266.89999999999998</v>
      </c>
      <c r="O6690" s="7">
        <v>190.2</v>
      </c>
      <c r="P6690" s="7">
        <v>464.8</v>
      </c>
      <c r="Q6690" s="7">
        <v>349.3</v>
      </c>
      <c r="R6690" s="7">
        <v>277</v>
      </c>
    </row>
    <row r="6691" spans="1:18" x14ac:dyDescent="0.2">
      <c r="A6691">
        <v>6690</v>
      </c>
      <c r="B6691" s="1">
        <v>40928</v>
      </c>
      <c r="C6691" t="s">
        <v>28</v>
      </c>
      <c r="D6691" s="7">
        <v>188</v>
      </c>
      <c r="E6691" s="7">
        <v>28</v>
      </c>
      <c r="F6691" s="7">
        <f t="shared" si="104"/>
        <v>6</v>
      </c>
      <c r="G6691" s="7" t="str">
        <f>LOOKUP(H6691,[1]startdates!$A$2:$A$10,[1]startdates!$B$2:$B$10)</f>
        <v>SMr</v>
      </c>
      <c r="H6691">
        <v>1</v>
      </c>
      <c r="I6691" s="7">
        <v>513</v>
      </c>
      <c r="K6691" s="7">
        <v>477.8</v>
      </c>
      <c r="L6691" s="7">
        <v>412.4</v>
      </c>
      <c r="M6691" s="7">
        <v>347.3</v>
      </c>
      <c r="N6691" s="7">
        <v>229.6</v>
      </c>
      <c r="O6691" s="7">
        <v>167.9</v>
      </c>
      <c r="P6691" s="7">
        <v>436</v>
      </c>
      <c r="Q6691" s="7">
        <v>324.2</v>
      </c>
    </row>
    <row r="6692" spans="1:18" x14ac:dyDescent="0.2">
      <c r="A6692">
        <v>6691</v>
      </c>
      <c r="B6692" s="1">
        <v>40928</v>
      </c>
      <c r="C6692" t="s">
        <v>28</v>
      </c>
      <c r="D6692" s="7">
        <v>188</v>
      </c>
      <c r="E6692" s="7">
        <v>28</v>
      </c>
      <c r="F6692" s="7">
        <f t="shared" si="104"/>
        <v>6</v>
      </c>
      <c r="G6692" s="7" t="str">
        <f>LOOKUP(H6692,[1]startdates!$A$2:$A$10,[1]startdates!$B$2:$B$10)</f>
        <v>SMr</v>
      </c>
      <c r="H6692">
        <v>1</v>
      </c>
      <c r="I6692" s="7">
        <v>584.5</v>
      </c>
      <c r="K6692" s="7">
        <v>456.3</v>
      </c>
      <c r="L6692" s="7">
        <v>451.5</v>
      </c>
      <c r="M6692" s="7">
        <v>316.8</v>
      </c>
      <c r="N6692" s="7">
        <v>278.3</v>
      </c>
      <c r="O6692" s="7">
        <v>159.69999999999999</v>
      </c>
      <c r="P6692" s="7">
        <v>461.8</v>
      </c>
      <c r="Q6692" s="7">
        <v>321.89999999999998</v>
      </c>
    </row>
    <row r="6693" spans="1:18" x14ac:dyDescent="0.2">
      <c r="A6693">
        <v>6692</v>
      </c>
      <c r="B6693" s="1">
        <v>40928</v>
      </c>
      <c r="C6693" t="s">
        <v>28</v>
      </c>
      <c r="D6693" s="7">
        <v>188</v>
      </c>
      <c r="E6693" s="7">
        <v>28</v>
      </c>
      <c r="F6693" s="7">
        <f t="shared" si="104"/>
        <v>6</v>
      </c>
      <c r="G6693" s="7" t="str">
        <f>LOOKUP(H6693,[1]startdates!$A$2:$A$10,[1]startdates!$B$2:$B$10)</f>
        <v>SMr</v>
      </c>
      <c r="H6693">
        <v>1</v>
      </c>
      <c r="I6693" s="7">
        <v>494.6</v>
      </c>
      <c r="K6693" s="7">
        <v>461.2</v>
      </c>
      <c r="L6693" s="7">
        <v>408.9</v>
      </c>
      <c r="M6693" s="7">
        <v>351.7</v>
      </c>
      <c r="N6693" s="7">
        <v>237.1</v>
      </c>
      <c r="O6693" s="7">
        <v>152.6</v>
      </c>
      <c r="P6693" s="7">
        <v>415.6</v>
      </c>
    </row>
    <row r="6694" spans="1:18" x14ac:dyDescent="0.2">
      <c r="A6694">
        <v>6693</v>
      </c>
      <c r="B6694" s="1">
        <v>40928</v>
      </c>
      <c r="C6694" t="s">
        <v>28</v>
      </c>
      <c r="D6694" s="7">
        <v>188</v>
      </c>
      <c r="E6694" s="7">
        <v>28</v>
      </c>
      <c r="F6694" s="7">
        <f t="shared" si="104"/>
        <v>6</v>
      </c>
      <c r="G6694" s="7" t="str">
        <f>LOOKUP(H6694,[1]startdates!$A$2:$A$10,[1]startdates!$B$2:$B$10)</f>
        <v>SMr</v>
      </c>
      <c r="H6694">
        <v>1</v>
      </c>
      <c r="I6694" s="7">
        <v>552.6</v>
      </c>
      <c r="K6694" s="7">
        <v>546.70000000000005</v>
      </c>
      <c r="L6694" s="7">
        <v>456.9</v>
      </c>
      <c r="M6694" s="7">
        <v>343.5</v>
      </c>
      <c r="N6694" s="7">
        <v>234.2</v>
      </c>
      <c r="O6694" s="7">
        <v>155.4</v>
      </c>
    </row>
    <row r="6695" spans="1:18" x14ac:dyDescent="0.2">
      <c r="A6695">
        <v>6694</v>
      </c>
      <c r="B6695" s="1">
        <v>40928</v>
      </c>
      <c r="C6695" t="s">
        <v>28</v>
      </c>
      <c r="D6695" s="7">
        <v>188</v>
      </c>
      <c r="E6695" s="7">
        <v>28</v>
      </c>
      <c r="F6695" s="7">
        <f t="shared" si="104"/>
        <v>6</v>
      </c>
      <c r="G6695" s="7" t="str">
        <f>LOOKUP(H6695,[1]startdates!$A$2:$A$10,[1]startdates!$B$2:$B$10)</f>
        <v>SMr</v>
      </c>
      <c r="H6695">
        <v>1</v>
      </c>
      <c r="I6695" s="7">
        <v>651.5</v>
      </c>
      <c r="M6695" s="7">
        <v>377.9</v>
      </c>
      <c r="N6695" s="7">
        <v>268.2</v>
      </c>
      <c r="O6695" s="7">
        <v>169.9</v>
      </c>
    </row>
    <row r="6696" spans="1:18" x14ac:dyDescent="0.2">
      <c r="A6696">
        <v>6695</v>
      </c>
      <c r="B6696" s="1">
        <v>40928</v>
      </c>
      <c r="C6696" t="s">
        <v>28</v>
      </c>
      <c r="D6696" s="7">
        <v>188</v>
      </c>
      <c r="E6696" s="7">
        <v>28</v>
      </c>
      <c r="F6696" s="7">
        <f t="shared" si="104"/>
        <v>6</v>
      </c>
      <c r="G6696" s="7" t="str">
        <f>LOOKUP(H6696,[1]startdates!$A$2:$A$10,[1]startdates!$B$2:$B$10)</f>
        <v>SMr</v>
      </c>
      <c r="H6696">
        <v>1</v>
      </c>
      <c r="I6696" s="7">
        <v>515.70000000000005</v>
      </c>
      <c r="M6696" s="7">
        <v>296.2</v>
      </c>
      <c r="N6696" s="7">
        <v>195.4</v>
      </c>
      <c r="O6696" s="7">
        <v>148.19999999999999</v>
      </c>
    </row>
    <row r="6697" spans="1:18" x14ac:dyDescent="0.2">
      <c r="A6697">
        <v>6696</v>
      </c>
      <c r="B6697" s="1">
        <v>40928</v>
      </c>
      <c r="C6697" t="s">
        <v>28</v>
      </c>
      <c r="D6697" s="7">
        <v>188</v>
      </c>
      <c r="E6697" s="7">
        <v>28</v>
      </c>
      <c r="F6697" s="7">
        <f t="shared" ref="F6697:F6760" si="105">WEEKDAY(B6697)</f>
        <v>6</v>
      </c>
      <c r="G6697" s="7" t="str">
        <f>LOOKUP(H6697,[1]startdates!$A$2:$A$10,[1]startdates!$B$2:$B$10)</f>
        <v>SMr</v>
      </c>
      <c r="H6697">
        <v>1</v>
      </c>
      <c r="I6697" s="7">
        <v>566.1</v>
      </c>
      <c r="M6697" s="7">
        <v>374</v>
      </c>
      <c r="N6697" s="7">
        <v>235.7</v>
      </c>
      <c r="O6697" s="7">
        <v>143.80000000000001</v>
      </c>
    </row>
    <row r="6698" spans="1:18" x14ac:dyDescent="0.2">
      <c r="A6698">
        <v>6697</v>
      </c>
      <c r="B6698" s="1">
        <v>40928</v>
      </c>
      <c r="C6698" t="s">
        <v>28</v>
      </c>
      <c r="D6698" s="7">
        <v>188</v>
      </c>
      <c r="E6698" s="7">
        <v>28</v>
      </c>
      <c r="F6698" s="7">
        <f t="shared" si="105"/>
        <v>6</v>
      </c>
      <c r="G6698" s="7" t="str">
        <f>LOOKUP(H6698,[1]startdates!$A$2:$A$10,[1]startdates!$B$2:$B$10)</f>
        <v>SMr</v>
      </c>
      <c r="H6698">
        <v>1</v>
      </c>
      <c r="I6698" s="7">
        <v>602.6</v>
      </c>
      <c r="M6698" s="7">
        <v>334.4</v>
      </c>
      <c r="N6698" s="7">
        <v>209.9</v>
      </c>
      <c r="O6698" s="7">
        <v>154.80000000000001</v>
      </c>
    </row>
    <row r="6699" spans="1:18" x14ac:dyDescent="0.2">
      <c r="A6699">
        <v>6698</v>
      </c>
      <c r="B6699" s="1">
        <v>40928</v>
      </c>
      <c r="C6699" t="s">
        <v>28</v>
      </c>
      <c r="D6699" s="7">
        <v>188</v>
      </c>
      <c r="E6699" s="7">
        <v>28</v>
      </c>
      <c r="F6699" s="7">
        <f t="shared" si="105"/>
        <v>6</v>
      </c>
      <c r="G6699" s="7" t="str">
        <f>LOOKUP(H6699,[1]startdates!$A$2:$A$10,[1]startdates!$B$2:$B$10)</f>
        <v>SMr</v>
      </c>
      <c r="H6699">
        <v>1</v>
      </c>
      <c r="I6699" s="7">
        <v>486.3</v>
      </c>
      <c r="M6699" s="7">
        <v>383.8</v>
      </c>
      <c r="N6699" s="7">
        <v>266.7</v>
      </c>
      <c r="O6699" s="7">
        <v>179.2</v>
      </c>
    </row>
    <row r="6700" spans="1:18" x14ac:dyDescent="0.2">
      <c r="A6700">
        <v>6699</v>
      </c>
      <c r="B6700" s="1">
        <v>40928</v>
      </c>
      <c r="C6700" t="s">
        <v>28</v>
      </c>
      <c r="D6700" s="7">
        <v>188</v>
      </c>
      <c r="E6700" s="7">
        <v>28</v>
      </c>
      <c r="F6700" s="7">
        <f t="shared" si="105"/>
        <v>6</v>
      </c>
      <c r="G6700" s="7" t="str">
        <f>LOOKUP(H6700,[1]startdates!$A$2:$A$10,[1]startdates!$B$2:$B$10)</f>
        <v>SMr</v>
      </c>
      <c r="H6700">
        <v>1</v>
      </c>
      <c r="M6700" s="7">
        <v>344.3</v>
      </c>
    </row>
    <row r="6701" spans="1:18" x14ac:dyDescent="0.2">
      <c r="A6701">
        <v>6700</v>
      </c>
      <c r="B6701" s="1">
        <v>40928</v>
      </c>
      <c r="C6701" t="s">
        <v>28</v>
      </c>
      <c r="D6701" s="7">
        <v>188</v>
      </c>
      <c r="E6701" s="7">
        <v>28</v>
      </c>
      <c r="F6701" s="7">
        <f t="shared" si="105"/>
        <v>6</v>
      </c>
      <c r="G6701" s="7" t="str">
        <f>LOOKUP(H6701,[1]startdates!$A$2:$A$10,[1]startdates!$B$2:$B$10)</f>
        <v>SMr</v>
      </c>
      <c r="H6701">
        <v>1</v>
      </c>
      <c r="M6701" s="7">
        <v>369.2</v>
      </c>
    </row>
    <row r="6702" spans="1:18" x14ac:dyDescent="0.2">
      <c r="A6702">
        <v>6701</v>
      </c>
      <c r="B6702" s="1">
        <v>40928</v>
      </c>
      <c r="C6702" t="s">
        <v>28</v>
      </c>
      <c r="D6702" s="7">
        <v>188</v>
      </c>
      <c r="E6702" s="7">
        <v>28</v>
      </c>
      <c r="F6702" s="7">
        <f t="shared" si="105"/>
        <v>6</v>
      </c>
      <c r="G6702" s="7" t="str">
        <f>LOOKUP(H6702,[1]startdates!$A$2:$A$10,[1]startdates!$B$2:$B$10)</f>
        <v>SMr</v>
      </c>
      <c r="H6702">
        <v>2</v>
      </c>
      <c r="I6702" s="7">
        <v>588.20000000000005</v>
      </c>
      <c r="K6702" s="7">
        <v>477.6</v>
      </c>
      <c r="L6702" s="7">
        <v>467.8</v>
      </c>
      <c r="M6702" s="7">
        <v>317.8</v>
      </c>
      <c r="N6702" s="7">
        <v>270.8</v>
      </c>
      <c r="O6702" s="7">
        <v>147.30000000000001</v>
      </c>
      <c r="Q6702" s="7">
        <v>315.60000000000002</v>
      </c>
      <c r="R6702" s="7">
        <v>252.5</v>
      </c>
    </row>
    <row r="6703" spans="1:18" x14ac:dyDescent="0.2">
      <c r="A6703">
        <v>6702</v>
      </c>
      <c r="B6703" s="1">
        <v>40928</v>
      </c>
      <c r="C6703" t="s">
        <v>28</v>
      </c>
      <c r="D6703" s="7">
        <v>188</v>
      </c>
      <c r="E6703" s="7">
        <v>28</v>
      </c>
      <c r="F6703" s="7">
        <f t="shared" si="105"/>
        <v>6</v>
      </c>
      <c r="G6703" s="7" t="str">
        <f>LOOKUP(H6703,[1]startdates!$A$2:$A$10,[1]startdates!$B$2:$B$10)</f>
        <v>SMr</v>
      </c>
      <c r="H6703">
        <v>2</v>
      </c>
      <c r="I6703" s="7">
        <v>479.1</v>
      </c>
      <c r="K6703" s="7">
        <v>522.79999999999995</v>
      </c>
      <c r="L6703" s="7">
        <v>397.3</v>
      </c>
      <c r="M6703" s="7">
        <v>378.6</v>
      </c>
      <c r="N6703" s="7">
        <v>199.3</v>
      </c>
      <c r="O6703" s="7">
        <v>166.9</v>
      </c>
      <c r="Q6703" s="7">
        <v>387</v>
      </c>
    </row>
    <row r="6704" spans="1:18" x14ac:dyDescent="0.2">
      <c r="A6704">
        <v>6703</v>
      </c>
      <c r="B6704" s="1">
        <v>40928</v>
      </c>
      <c r="C6704" t="s">
        <v>28</v>
      </c>
      <c r="D6704" s="7">
        <v>188</v>
      </c>
      <c r="E6704" s="7">
        <v>28</v>
      </c>
      <c r="F6704" s="7">
        <f t="shared" si="105"/>
        <v>6</v>
      </c>
      <c r="G6704" s="7" t="str">
        <f>LOOKUP(H6704,[1]startdates!$A$2:$A$10,[1]startdates!$B$2:$B$10)</f>
        <v>SMr</v>
      </c>
      <c r="H6704">
        <v>2</v>
      </c>
      <c r="I6704" s="7">
        <v>541.20000000000005</v>
      </c>
      <c r="K6704" s="7">
        <v>560.6</v>
      </c>
      <c r="L6704" s="7">
        <v>397.8</v>
      </c>
      <c r="M6704" s="7">
        <v>382.3</v>
      </c>
      <c r="N6704" s="7">
        <v>215.1</v>
      </c>
      <c r="O6704" s="7">
        <v>149.30000000000001</v>
      </c>
      <c r="Q6704" s="7">
        <v>373.7</v>
      </c>
    </row>
    <row r="6705" spans="1:19" x14ac:dyDescent="0.2">
      <c r="A6705">
        <v>6704</v>
      </c>
      <c r="B6705" s="1">
        <v>40928</v>
      </c>
      <c r="C6705" t="s">
        <v>28</v>
      </c>
      <c r="D6705" s="7">
        <v>188</v>
      </c>
      <c r="E6705" s="7">
        <v>28</v>
      </c>
      <c r="F6705" s="7">
        <f t="shared" si="105"/>
        <v>6</v>
      </c>
      <c r="G6705" s="7" t="str">
        <f>LOOKUP(H6705,[1]startdates!$A$2:$A$10,[1]startdates!$B$2:$B$10)</f>
        <v>SMr</v>
      </c>
      <c r="H6705">
        <v>2</v>
      </c>
      <c r="I6705" s="7">
        <v>558.20000000000005</v>
      </c>
      <c r="K6705" s="7">
        <v>538.5</v>
      </c>
      <c r="L6705" s="7">
        <v>450.8</v>
      </c>
      <c r="M6705" s="7">
        <v>380.6</v>
      </c>
      <c r="N6705" s="7">
        <v>287.60000000000002</v>
      </c>
      <c r="O6705" s="7">
        <v>169.6</v>
      </c>
      <c r="Q6705" s="7">
        <v>314.2</v>
      </c>
    </row>
    <row r="6706" spans="1:19" x14ac:dyDescent="0.2">
      <c r="A6706">
        <v>6705</v>
      </c>
      <c r="B6706" s="1">
        <v>40928</v>
      </c>
      <c r="C6706" t="s">
        <v>28</v>
      </c>
      <c r="D6706" s="7">
        <v>188</v>
      </c>
      <c r="E6706" s="7">
        <v>28</v>
      </c>
      <c r="F6706" s="7">
        <f t="shared" si="105"/>
        <v>6</v>
      </c>
      <c r="G6706" s="7" t="str">
        <f>LOOKUP(H6706,[1]startdates!$A$2:$A$10,[1]startdates!$B$2:$B$10)</f>
        <v>SMr</v>
      </c>
      <c r="H6706">
        <v>2</v>
      </c>
      <c r="I6706" s="7">
        <v>584.70000000000005</v>
      </c>
      <c r="K6706" s="7">
        <v>453.5</v>
      </c>
      <c r="L6706" s="7">
        <v>457.6</v>
      </c>
      <c r="M6706" s="7">
        <v>330.7</v>
      </c>
      <c r="N6706" s="7">
        <v>211</v>
      </c>
      <c r="O6706" s="7">
        <v>136.4</v>
      </c>
    </row>
    <row r="6707" spans="1:19" x14ac:dyDescent="0.2">
      <c r="A6707">
        <v>6706</v>
      </c>
      <c r="B6707" s="1">
        <v>40928</v>
      </c>
      <c r="C6707" t="s">
        <v>28</v>
      </c>
      <c r="D6707" s="7">
        <v>188</v>
      </c>
      <c r="E6707" s="7">
        <v>28</v>
      </c>
      <c r="F6707" s="7">
        <f t="shared" si="105"/>
        <v>6</v>
      </c>
      <c r="G6707" s="7" t="str">
        <f>LOOKUP(H6707,[1]startdates!$A$2:$A$10,[1]startdates!$B$2:$B$10)</f>
        <v>SMr</v>
      </c>
      <c r="H6707">
        <v>2</v>
      </c>
      <c r="I6707" s="7">
        <v>457.8</v>
      </c>
      <c r="L6707" s="7">
        <v>436.7</v>
      </c>
      <c r="M6707" s="7">
        <v>295</v>
      </c>
      <c r="N6707" s="7">
        <v>231.2</v>
      </c>
      <c r="O6707" s="7">
        <v>144.80000000000001</v>
      </c>
    </row>
    <row r="6708" spans="1:19" x14ac:dyDescent="0.2">
      <c r="A6708">
        <v>6707</v>
      </c>
      <c r="B6708" s="1">
        <v>40928</v>
      </c>
      <c r="C6708" t="s">
        <v>28</v>
      </c>
      <c r="D6708" s="7">
        <v>188</v>
      </c>
      <c r="E6708" s="7">
        <v>28</v>
      </c>
      <c r="F6708" s="7">
        <f t="shared" si="105"/>
        <v>6</v>
      </c>
      <c r="G6708" s="7" t="str">
        <f>LOOKUP(H6708,[1]startdates!$A$2:$A$10,[1]startdates!$B$2:$B$10)</f>
        <v>SMr</v>
      </c>
      <c r="H6708">
        <v>2</v>
      </c>
      <c r="I6708" s="7">
        <v>590.20000000000005</v>
      </c>
      <c r="L6708" s="7">
        <v>394.2</v>
      </c>
      <c r="M6708" s="7">
        <v>367</v>
      </c>
      <c r="N6708" s="7">
        <v>232.1</v>
      </c>
      <c r="O6708" s="7">
        <v>167.7</v>
      </c>
    </row>
    <row r="6709" spans="1:19" x14ac:dyDescent="0.2">
      <c r="A6709">
        <v>6708</v>
      </c>
      <c r="B6709" s="1">
        <v>40928</v>
      </c>
      <c r="C6709" t="s">
        <v>28</v>
      </c>
      <c r="D6709" s="7">
        <v>188</v>
      </c>
      <c r="E6709" s="7">
        <v>28</v>
      </c>
      <c r="F6709" s="7">
        <f t="shared" si="105"/>
        <v>6</v>
      </c>
      <c r="G6709" s="7" t="str">
        <f>LOOKUP(H6709,[1]startdates!$A$2:$A$10,[1]startdates!$B$2:$B$10)</f>
        <v>SMr</v>
      </c>
      <c r="H6709">
        <v>2</v>
      </c>
      <c r="I6709" s="7">
        <v>595.79999999999995</v>
      </c>
      <c r="L6709" s="7">
        <v>433.1</v>
      </c>
      <c r="M6709" s="7">
        <v>359.2</v>
      </c>
      <c r="N6709" s="7">
        <v>220.6</v>
      </c>
      <c r="O6709" s="7">
        <v>166.8</v>
      </c>
    </row>
    <row r="6710" spans="1:19" x14ac:dyDescent="0.2">
      <c r="A6710">
        <v>6709</v>
      </c>
      <c r="B6710" s="1">
        <v>40928</v>
      </c>
      <c r="C6710" t="s">
        <v>28</v>
      </c>
      <c r="D6710" s="7">
        <v>188</v>
      </c>
      <c r="E6710" s="7">
        <v>28</v>
      </c>
      <c r="F6710" s="7">
        <f t="shared" si="105"/>
        <v>6</v>
      </c>
      <c r="G6710" s="7" t="str">
        <f>LOOKUP(H6710,[1]startdates!$A$2:$A$10,[1]startdates!$B$2:$B$10)</f>
        <v>SMr</v>
      </c>
      <c r="H6710">
        <v>2</v>
      </c>
      <c r="I6710" s="7">
        <v>577.9</v>
      </c>
      <c r="L6710" s="7">
        <v>442.1</v>
      </c>
      <c r="M6710" s="7">
        <v>347</v>
      </c>
      <c r="N6710" s="7">
        <v>235.7</v>
      </c>
      <c r="O6710" s="7">
        <v>166.4</v>
      </c>
    </row>
    <row r="6711" spans="1:19" x14ac:dyDescent="0.2">
      <c r="A6711">
        <v>6710</v>
      </c>
      <c r="B6711" s="1">
        <v>40928</v>
      </c>
      <c r="C6711" t="s">
        <v>28</v>
      </c>
      <c r="D6711" s="7">
        <v>188</v>
      </c>
      <c r="E6711" s="7">
        <v>28</v>
      </c>
      <c r="F6711" s="7">
        <f t="shared" si="105"/>
        <v>6</v>
      </c>
      <c r="G6711" s="7" t="str">
        <f>LOOKUP(H6711,[1]startdates!$A$2:$A$10,[1]startdates!$B$2:$B$10)</f>
        <v>SMr</v>
      </c>
      <c r="H6711">
        <v>2</v>
      </c>
      <c r="I6711" s="7">
        <v>526.4</v>
      </c>
      <c r="L6711" s="7">
        <v>437.6</v>
      </c>
      <c r="N6711" s="7">
        <v>263.60000000000002</v>
      </c>
      <c r="O6711" s="7">
        <v>171.9</v>
      </c>
    </row>
    <row r="6712" spans="1:19" x14ac:dyDescent="0.2">
      <c r="A6712">
        <v>6711</v>
      </c>
      <c r="B6712" s="1">
        <v>40928</v>
      </c>
      <c r="C6712" t="s">
        <v>28</v>
      </c>
      <c r="D6712" s="7">
        <v>188</v>
      </c>
      <c r="E6712" s="7">
        <v>28</v>
      </c>
      <c r="F6712" s="7">
        <f t="shared" si="105"/>
        <v>6</v>
      </c>
      <c r="G6712" s="7" t="str">
        <f>LOOKUP(H6712,[1]startdates!$A$2:$A$10,[1]startdates!$B$2:$B$10)</f>
        <v>SMr</v>
      </c>
      <c r="H6712">
        <v>2</v>
      </c>
      <c r="L6712" s="7">
        <v>394.6</v>
      </c>
    </row>
    <row r="6713" spans="1:19" x14ac:dyDescent="0.2">
      <c r="A6713">
        <v>6712</v>
      </c>
      <c r="B6713" s="1">
        <v>40928</v>
      </c>
      <c r="C6713" t="s">
        <v>28</v>
      </c>
      <c r="D6713" s="7">
        <v>188</v>
      </c>
      <c r="E6713" s="7">
        <v>28</v>
      </c>
      <c r="F6713" s="7">
        <f t="shared" si="105"/>
        <v>6</v>
      </c>
      <c r="G6713" s="7" t="str">
        <f>LOOKUP(H6713,[1]startdates!$A$2:$A$10,[1]startdates!$B$2:$B$10)</f>
        <v>SMr</v>
      </c>
      <c r="H6713">
        <v>2</v>
      </c>
      <c r="L6713" s="7">
        <v>395.3</v>
      </c>
    </row>
    <row r="6714" spans="1:19" x14ac:dyDescent="0.2">
      <c r="A6714">
        <v>6713</v>
      </c>
      <c r="B6714" s="1">
        <v>40928</v>
      </c>
      <c r="C6714" t="s">
        <v>28</v>
      </c>
      <c r="D6714" s="7">
        <v>188</v>
      </c>
      <c r="E6714" s="7">
        <v>28</v>
      </c>
      <c r="F6714" s="7">
        <f t="shared" si="105"/>
        <v>6</v>
      </c>
      <c r="G6714" s="7" t="str">
        <f>LOOKUP(H6714,[1]startdates!$A$2:$A$10,[1]startdates!$B$2:$B$10)</f>
        <v>SMr</v>
      </c>
      <c r="H6714">
        <v>2</v>
      </c>
      <c r="L6714" s="7">
        <v>436.4</v>
      </c>
    </row>
    <row r="6715" spans="1:19" x14ac:dyDescent="0.2">
      <c r="A6715">
        <v>6714</v>
      </c>
      <c r="B6715" s="1">
        <v>40928</v>
      </c>
      <c r="C6715" t="s">
        <v>28</v>
      </c>
      <c r="D6715" s="7">
        <v>188</v>
      </c>
      <c r="E6715" s="7">
        <v>28</v>
      </c>
      <c r="F6715" s="7">
        <f t="shared" si="105"/>
        <v>6</v>
      </c>
      <c r="G6715" s="7" t="str">
        <f>LOOKUP(H6715,[1]startdates!$A$2:$A$10,[1]startdates!$B$2:$B$10)</f>
        <v>C</v>
      </c>
      <c r="H6715">
        <v>3</v>
      </c>
      <c r="I6715" s="7">
        <v>506.5</v>
      </c>
      <c r="K6715" s="7">
        <v>456.7</v>
      </c>
      <c r="L6715" s="7">
        <v>438.1</v>
      </c>
      <c r="M6715" s="7">
        <v>374.2</v>
      </c>
      <c r="N6715" s="7">
        <v>221.4</v>
      </c>
      <c r="O6715" s="7">
        <v>162.69999999999999</v>
      </c>
      <c r="P6715" s="7">
        <v>414.7</v>
      </c>
      <c r="Q6715" s="7">
        <v>375.8</v>
      </c>
      <c r="S6715" s="7">
        <v>252.5</v>
      </c>
    </row>
    <row r="6716" spans="1:19" x14ac:dyDescent="0.2">
      <c r="A6716">
        <v>6715</v>
      </c>
      <c r="B6716" s="1">
        <v>40928</v>
      </c>
      <c r="C6716" t="s">
        <v>28</v>
      </c>
      <c r="D6716" s="7">
        <v>188</v>
      </c>
      <c r="E6716" s="7">
        <v>28</v>
      </c>
      <c r="F6716" s="7">
        <f t="shared" si="105"/>
        <v>6</v>
      </c>
      <c r="G6716" s="7" t="str">
        <f>LOOKUP(H6716,[1]startdates!$A$2:$A$10,[1]startdates!$B$2:$B$10)</f>
        <v>C</v>
      </c>
      <c r="H6716">
        <v>3</v>
      </c>
      <c r="I6716" s="7">
        <v>467.6</v>
      </c>
      <c r="K6716" s="7">
        <v>491.2</v>
      </c>
      <c r="L6716" s="7">
        <v>448.5</v>
      </c>
      <c r="M6716" s="7">
        <v>299.5</v>
      </c>
      <c r="N6716" s="7">
        <v>221.7</v>
      </c>
      <c r="O6716" s="7">
        <v>166.3</v>
      </c>
      <c r="P6716" s="7">
        <v>471.3</v>
      </c>
      <c r="S6716" s="7">
        <v>232.2</v>
      </c>
    </row>
    <row r="6717" spans="1:19" x14ac:dyDescent="0.2">
      <c r="A6717">
        <v>6716</v>
      </c>
      <c r="B6717" s="1">
        <v>40928</v>
      </c>
      <c r="C6717" t="s">
        <v>28</v>
      </c>
      <c r="D6717" s="7">
        <v>188</v>
      </c>
      <c r="E6717" s="7">
        <v>28</v>
      </c>
      <c r="F6717" s="7">
        <f t="shared" si="105"/>
        <v>6</v>
      </c>
      <c r="G6717" s="7" t="str">
        <f>LOOKUP(H6717,[1]startdates!$A$2:$A$10,[1]startdates!$B$2:$B$10)</f>
        <v>C</v>
      </c>
      <c r="H6717">
        <v>3</v>
      </c>
      <c r="I6717" s="7">
        <v>558.29999999999995</v>
      </c>
      <c r="K6717" s="7">
        <v>491.3</v>
      </c>
      <c r="L6717" s="7">
        <v>406.8</v>
      </c>
      <c r="M6717" s="7">
        <v>338.4</v>
      </c>
      <c r="N6717" s="7">
        <v>196.8</v>
      </c>
      <c r="O6717" s="7">
        <v>171.5</v>
      </c>
      <c r="P6717" s="7">
        <v>489.3</v>
      </c>
    </row>
    <row r="6718" spans="1:19" x14ac:dyDescent="0.2">
      <c r="A6718">
        <v>6717</v>
      </c>
      <c r="B6718" s="1">
        <v>40928</v>
      </c>
      <c r="C6718" t="s">
        <v>28</v>
      </c>
      <c r="D6718" s="7">
        <v>188</v>
      </c>
      <c r="E6718" s="7">
        <v>28</v>
      </c>
      <c r="F6718" s="7">
        <f t="shared" si="105"/>
        <v>6</v>
      </c>
      <c r="G6718" s="7" t="str">
        <f>LOOKUP(H6718,[1]startdates!$A$2:$A$10,[1]startdates!$B$2:$B$10)</f>
        <v>C</v>
      </c>
      <c r="H6718">
        <v>3</v>
      </c>
      <c r="I6718" s="7">
        <v>507.8</v>
      </c>
      <c r="K6718" s="7">
        <v>445.2</v>
      </c>
      <c r="L6718" s="7">
        <v>438.2</v>
      </c>
      <c r="M6718" s="7">
        <v>361.2</v>
      </c>
      <c r="N6718" s="7">
        <v>216.1</v>
      </c>
      <c r="O6718" s="7">
        <v>168.6</v>
      </c>
    </row>
    <row r="6719" spans="1:19" x14ac:dyDescent="0.2">
      <c r="A6719">
        <v>6718</v>
      </c>
      <c r="B6719" s="1">
        <v>40928</v>
      </c>
      <c r="C6719" t="s">
        <v>28</v>
      </c>
      <c r="D6719" s="7">
        <v>188</v>
      </c>
      <c r="E6719" s="7">
        <v>28</v>
      </c>
      <c r="F6719" s="7">
        <f t="shared" si="105"/>
        <v>6</v>
      </c>
      <c r="G6719" s="7" t="str">
        <f>LOOKUP(H6719,[1]startdates!$A$2:$A$10,[1]startdates!$B$2:$B$10)</f>
        <v>C</v>
      </c>
      <c r="H6719">
        <v>3</v>
      </c>
      <c r="I6719" s="7">
        <v>629.79999999999995</v>
      </c>
      <c r="K6719" s="7">
        <v>518.6</v>
      </c>
      <c r="L6719" s="7">
        <v>440.3</v>
      </c>
      <c r="M6719" s="7">
        <v>330.2</v>
      </c>
      <c r="N6719" s="7">
        <v>231.8</v>
      </c>
      <c r="O6719" s="7">
        <v>171.9</v>
      </c>
    </row>
    <row r="6720" spans="1:19" x14ac:dyDescent="0.2">
      <c r="A6720">
        <v>6719</v>
      </c>
      <c r="B6720" s="1">
        <v>40928</v>
      </c>
      <c r="C6720" t="s">
        <v>28</v>
      </c>
      <c r="D6720" s="7">
        <v>188</v>
      </c>
      <c r="E6720" s="7">
        <v>28</v>
      </c>
      <c r="F6720" s="7">
        <f t="shared" si="105"/>
        <v>6</v>
      </c>
      <c r="G6720" s="7" t="str">
        <f>LOOKUP(H6720,[1]startdates!$A$2:$A$10,[1]startdates!$B$2:$B$10)</f>
        <v>C</v>
      </c>
      <c r="H6720">
        <v>3</v>
      </c>
      <c r="I6720" s="7">
        <v>530.6</v>
      </c>
      <c r="K6720" s="7">
        <v>452.1</v>
      </c>
      <c r="L6720" s="7">
        <v>404.2</v>
      </c>
      <c r="M6720" s="7">
        <v>347.7</v>
      </c>
      <c r="N6720" s="7">
        <v>224</v>
      </c>
      <c r="O6720" s="7">
        <v>173.7</v>
      </c>
    </row>
    <row r="6721" spans="1:18" x14ac:dyDescent="0.2">
      <c r="A6721">
        <v>6720</v>
      </c>
      <c r="B6721" s="1">
        <v>40928</v>
      </c>
      <c r="C6721" t="s">
        <v>28</v>
      </c>
      <c r="D6721" s="7">
        <v>188</v>
      </c>
      <c r="E6721" s="7">
        <v>28</v>
      </c>
      <c r="F6721" s="7">
        <f t="shared" si="105"/>
        <v>6</v>
      </c>
      <c r="G6721" s="7" t="str">
        <f>LOOKUP(H6721,[1]startdates!$A$2:$A$10,[1]startdates!$B$2:$B$10)</f>
        <v>C</v>
      </c>
      <c r="H6721">
        <v>3</v>
      </c>
      <c r="I6721" s="7">
        <v>566.70000000000005</v>
      </c>
      <c r="L6721" s="7">
        <v>435</v>
      </c>
      <c r="M6721" s="7">
        <v>350.5</v>
      </c>
      <c r="N6721" s="7">
        <v>232.9</v>
      </c>
      <c r="O6721" s="7">
        <v>155.4</v>
      </c>
    </row>
    <row r="6722" spans="1:18" x14ac:dyDescent="0.2">
      <c r="A6722">
        <v>6721</v>
      </c>
      <c r="B6722" s="1">
        <v>40928</v>
      </c>
      <c r="C6722" t="s">
        <v>28</v>
      </c>
      <c r="D6722" s="7">
        <v>188</v>
      </c>
      <c r="E6722" s="7">
        <v>28</v>
      </c>
      <c r="F6722" s="7">
        <f t="shared" si="105"/>
        <v>6</v>
      </c>
      <c r="G6722" s="7" t="str">
        <f>LOOKUP(H6722,[1]startdates!$A$2:$A$10,[1]startdates!$B$2:$B$10)</f>
        <v>C</v>
      </c>
      <c r="H6722">
        <v>3</v>
      </c>
      <c r="I6722" s="7">
        <v>488.6</v>
      </c>
      <c r="M6722" s="7">
        <v>358.7</v>
      </c>
      <c r="N6722" s="7">
        <v>218.7</v>
      </c>
      <c r="O6722" s="7">
        <v>155</v>
      </c>
    </row>
    <row r="6723" spans="1:18" x14ac:dyDescent="0.2">
      <c r="A6723">
        <v>6722</v>
      </c>
      <c r="B6723" s="1">
        <v>40928</v>
      </c>
      <c r="C6723" t="s">
        <v>28</v>
      </c>
      <c r="D6723" s="7">
        <v>188</v>
      </c>
      <c r="E6723" s="7">
        <v>28</v>
      </c>
      <c r="F6723" s="7">
        <f t="shared" si="105"/>
        <v>6</v>
      </c>
      <c r="G6723" s="7" t="str">
        <f>LOOKUP(H6723,[1]startdates!$A$2:$A$10,[1]startdates!$B$2:$B$10)</f>
        <v>C</v>
      </c>
      <c r="H6723">
        <v>3</v>
      </c>
      <c r="I6723" s="7">
        <v>540.29999999999995</v>
      </c>
      <c r="M6723" s="7">
        <v>318.8</v>
      </c>
      <c r="N6723" s="7">
        <v>246.7</v>
      </c>
      <c r="O6723" s="7">
        <v>173.7</v>
      </c>
    </row>
    <row r="6724" spans="1:18" x14ac:dyDescent="0.2">
      <c r="A6724">
        <v>6723</v>
      </c>
      <c r="B6724" s="1">
        <v>40928</v>
      </c>
      <c r="C6724" t="s">
        <v>28</v>
      </c>
      <c r="D6724" s="7">
        <v>188</v>
      </c>
      <c r="E6724" s="7">
        <v>28</v>
      </c>
      <c r="F6724" s="7">
        <f t="shared" si="105"/>
        <v>6</v>
      </c>
      <c r="G6724" s="7" t="str">
        <f>LOOKUP(H6724,[1]startdates!$A$2:$A$10,[1]startdates!$B$2:$B$10)</f>
        <v>C</v>
      </c>
      <c r="H6724">
        <v>3</v>
      </c>
      <c r="I6724" s="7">
        <v>565.4</v>
      </c>
      <c r="M6724" s="7">
        <v>340.8</v>
      </c>
      <c r="N6724" s="7">
        <v>244.5</v>
      </c>
      <c r="O6724" s="7">
        <v>152.1</v>
      </c>
    </row>
    <row r="6725" spans="1:18" x14ac:dyDescent="0.2">
      <c r="A6725">
        <v>6724</v>
      </c>
      <c r="B6725" s="1">
        <v>40928</v>
      </c>
      <c r="C6725" t="s">
        <v>28</v>
      </c>
      <c r="D6725" s="7">
        <v>188</v>
      </c>
      <c r="E6725" s="7">
        <v>28</v>
      </c>
      <c r="F6725" s="7">
        <f t="shared" si="105"/>
        <v>6</v>
      </c>
      <c r="G6725" s="7" t="str">
        <f>LOOKUP(H6725,[1]startdates!$A$2:$A$10,[1]startdates!$B$2:$B$10)</f>
        <v>SMr</v>
      </c>
      <c r="H6725">
        <v>4</v>
      </c>
      <c r="I6725" s="7">
        <v>561.9</v>
      </c>
      <c r="K6725" s="7">
        <v>489.9</v>
      </c>
      <c r="L6725" s="7">
        <v>393.1</v>
      </c>
      <c r="M6725" s="7">
        <v>371</v>
      </c>
      <c r="N6725" s="7">
        <v>199.1</v>
      </c>
      <c r="O6725" s="7">
        <v>171.5</v>
      </c>
      <c r="P6725" s="7">
        <v>438.9</v>
      </c>
      <c r="Q6725" s="7">
        <v>317.60000000000002</v>
      </c>
      <c r="R6725" s="7">
        <v>256.39999999999998</v>
      </c>
    </row>
    <row r="6726" spans="1:18" x14ac:dyDescent="0.2">
      <c r="A6726">
        <v>6725</v>
      </c>
      <c r="B6726" s="1">
        <v>40928</v>
      </c>
      <c r="C6726" t="s">
        <v>28</v>
      </c>
      <c r="D6726" s="7">
        <v>188</v>
      </c>
      <c r="E6726" s="7">
        <v>28</v>
      </c>
      <c r="F6726" s="7">
        <f t="shared" si="105"/>
        <v>6</v>
      </c>
      <c r="G6726" s="7" t="str">
        <f>LOOKUP(H6726,[1]startdates!$A$2:$A$10,[1]startdates!$B$2:$B$10)</f>
        <v>SMr</v>
      </c>
      <c r="H6726">
        <v>4</v>
      </c>
      <c r="I6726" s="7">
        <v>522.20000000000005</v>
      </c>
      <c r="K6726" s="7">
        <v>491.4</v>
      </c>
      <c r="L6726" s="7">
        <v>417.4</v>
      </c>
      <c r="M6726" s="7">
        <v>371.3</v>
      </c>
      <c r="N6726" s="7">
        <v>262.10000000000002</v>
      </c>
      <c r="O6726" s="7">
        <v>153.80000000000001</v>
      </c>
      <c r="P6726" s="7">
        <v>445.3</v>
      </c>
    </row>
    <row r="6727" spans="1:18" x14ac:dyDescent="0.2">
      <c r="A6727">
        <v>6726</v>
      </c>
      <c r="B6727" s="1">
        <v>40928</v>
      </c>
      <c r="C6727" t="s">
        <v>28</v>
      </c>
      <c r="D6727" s="7">
        <v>188</v>
      </c>
      <c r="E6727" s="7">
        <v>28</v>
      </c>
      <c r="F6727" s="7">
        <f t="shared" si="105"/>
        <v>6</v>
      </c>
      <c r="G6727" s="7" t="str">
        <f>LOOKUP(H6727,[1]startdates!$A$2:$A$10,[1]startdates!$B$2:$B$10)</f>
        <v>SMr</v>
      </c>
      <c r="H6727">
        <v>4</v>
      </c>
      <c r="I6727" s="7">
        <v>623</v>
      </c>
      <c r="K6727" s="7">
        <v>510.8</v>
      </c>
      <c r="L6727" s="7">
        <v>420.8</v>
      </c>
      <c r="M6727" s="7">
        <v>349.3</v>
      </c>
      <c r="N6727" s="7">
        <v>186.3</v>
      </c>
      <c r="O6727" s="7">
        <v>161.69999999999999</v>
      </c>
      <c r="P6727" s="7">
        <v>395.6</v>
      </c>
    </row>
    <row r="6728" spans="1:18" x14ac:dyDescent="0.2">
      <c r="A6728">
        <v>6727</v>
      </c>
      <c r="B6728" s="1">
        <v>40928</v>
      </c>
      <c r="C6728" t="s">
        <v>28</v>
      </c>
      <c r="D6728" s="7">
        <v>188</v>
      </c>
      <c r="E6728" s="7">
        <v>28</v>
      </c>
      <c r="F6728" s="7">
        <f t="shared" si="105"/>
        <v>6</v>
      </c>
      <c r="G6728" s="7" t="str">
        <f>LOOKUP(H6728,[1]startdates!$A$2:$A$10,[1]startdates!$B$2:$B$10)</f>
        <v>SMr</v>
      </c>
      <c r="H6728">
        <v>4</v>
      </c>
      <c r="I6728" s="7">
        <v>528</v>
      </c>
      <c r="L6728" s="7">
        <v>394</v>
      </c>
      <c r="M6728" s="7">
        <v>371.9</v>
      </c>
      <c r="N6728" s="7">
        <v>276.2</v>
      </c>
      <c r="O6728" s="7">
        <v>171.3</v>
      </c>
      <c r="P6728" s="7">
        <v>424.7</v>
      </c>
    </row>
    <row r="6729" spans="1:18" x14ac:dyDescent="0.2">
      <c r="A6729">
        <v>6728</v>
      </c>
      <c r="B6729" s="1">
        <v>40928</v>
      </c>
      <c r="C6729" t="s">
        <v>28</v>
      </c>
      <c r="D6729" s="7">
        <v>188</v>
      </c>
      <c r="E6729" s="7">
        <v>28</v>
      </c>
      <c r="F6729" s="7">
        <f t="shared" si="105"/>
        <v>6</v>
      </c>
      <c r="G6729" s="7" t="str">
        <f>LOOKUP(H6729,[1]startdates!$A$2:$A$10,[1]startdates!$B$2:$B$10)</f>
        <v>SMr</v>
      </c>
      <c r="H6729">
        <v>4</v>
      </c>
      <c r="I6729" s="7">
        <v>522.79999999999995</v>
      </c>
      <c r="L6729" s="7">
        <v>417.1</v>
      </c>
      <c r="M6729" s="7">
        <v>330.4</v>
      </c>
      <c r="N6729" s="7">
        <v>236.1</v>
      </c>
      <c r="O6729" s="7">
        <v>158.1</v>
      </c>
      <c r="P6729" s="7">
        <v>426.3</v>
      </c>
    </row>
    <row r="6730" spans="1:18" x14ac:dyDescent="0.2">
      <c r="A6730">
        <v>6729</v>
      </c>
      <c r="B6730" s="1">
        <v>40928</v>
      </c>
      <c r="C6730" t="s">
        <v>28</v>
      </c>
      <c r="D6730" s="7">
        <v>188</v>
      </c>
      <c r="E6730" s="7">
        <v>28</v>
      </c>
      <c r="F6730" s="7">
        <f t="shared" si="105"/>
        <v>6</v>
      </c>
      <c r="G6730" s="7" t="str">
        <f>LOOKUP(H6730,[1]startdates!$A$2:$A$10,[1]startdates!$B$2:$B$10)</f>
        <v>SMr</v>
      </c>
      <c r="H6730">
        <v>4</v>
      </c>
      <c r="I6730" s="7">
        <v>549.9</v>
      </c>
      <c r="L6730" s="7">
        <v>427.9</v>
      </c>
      <c r="M6730" s="7">
        <v>322.8</v>
      </c>
      <c r="N6730" s="7">
        <v>286.7</v>
      </c>
      <c r="O6730" s="7">
        <v>164.9</v>
      </c>
      <c r="P6730" s="7">
        <v>424.5</v>
      </c>
    </row>
    <row r="6731" spans="1:18" x14ac:dyDescent="0.2">
      <c r="A6731">
        <v>6730</v>
      </c>
      <c r="B6731" s="1">
        <v>40928</v>
      </c>
      <c r="C6731" t="s">
        <v>28</v>
      </c>
      <c r="D6731" s="7">
        <v>188</v>
      </c>
      <c r="E6731" s="7">
        <v>28</v>
      </c>
      <c r="F6731" s="7">
        <f t="shared" si="105"/>
        <v>6</v>
      </c>
      <c r="G6731" s="7" t="str">
        <f>LOOKUP(H6731,[1]startdates!$A$2:$A$10,[1]startdates!$B$2:$B$10)</f>
        <v>SMr</v>
      </c>
      <c r="H6731">
        <v>4</v>
      </c>
      <c r="I6731" s="7">
        <v>473.3</v>
      </c>
      <c r="L6731" s="7">
        <v>430.7</v>
      </c>
      <c r="M6731" s="7">
        <v>371.9</v>
      </c>
      <c r="N6731" s="7">
        <v>184.1</v>
      </c>
      <c r="O6731" s="7">
        <v>130.69999999999999</v>
      </c>
    </row>
    <row r="6732" spans="1:18" x14ac:dyDescent="0.2">
      <c r="A6732">
        <v>6731</v>
      </c>
      <c r="B6732" s="1">
        <v>40928</v>
      </c>
      <c r="C6732" t="s">
        <v>28</v>
      </c>
      <c r="D6732" s="7">
        <v>188</v>
      </c>
      <c r="E6732" s="7">
        <v>28</v>
      </c>
      <c r="F6732" s="7">
        <f t="shared" si="105"/>
        <v>6</v>
      </c>
      <c r="G6732" s="7" t="str">
        <f>LOOKUP(H6732,[1]startdates!$A$2:$A$10,[1]startdates!$B$2:$B$10)</f>
        <v>SMr</v>
      </c>
      <c r="H6732">
        <v>4</v>
      </c>
      <c r="I6732" s="7">
        <v>529.20000000000005</v>
      </c>
      <c r="L6732" s="7">
        <v>411.7</v>
      </c>
      <c r="M6732" s="7">
        <v>323.3</v>
      </c>
      <c r="N6732" s="7">
        <v>195.1</v>
      </c>
      <c r="O6732" s="7">
        <v>151.1</v>
      </c>
    </row>
    <row r="6733" spans="1:18" x14ac:dyDescent="0.2">
      <c r="A6733">
        <v>6732</v>
      </c>
      <c r="B6733" s="1">
        <v>40928</v>
      </c>
      <c r="C6733" t="s">
        <v>28</v>
      </c>
      <c r="D6733" s="7">
        <v>188</v>
      </c>
      <c r="E6733" s="7">
        <v>28</v>
      </c>
      <c r="F6733" s="7">
        <f t="shared" si="105"/>
        <v>6</v>
      </c>
      <c r="G6733" s="7" t="str">
        <f>LOOKUP(H6733,[1]startdates!$A$2:$A$10,[1]startdates!$B$2:$B$10)</f>
        <v>SMr</v>
      </c>
      <c r="H6733">
        <v>4</v>
      </c>
      <c r="I6733" s="7">
        <v>489.1</v>
      </c>
      <c r="L6733" s="7">
        <v>410.2</v>
      </c>
      <c r="M6733" s="7">
        <v>342.6</v>
      </c>
      <c r="N6733" s="7">
        <v>258.89999999999998</v>
      </c>
      <c r="O6733" s="7">
        <v>158.1</v>
      </c>
    </row>
    <row r="6734" spans="1:18" x14ac:dyDescent="0.2">
      <c r="A6734">
        <v>6733</v>
      </c>
      <c r="B6734" s="1">
        <v>40928</v>
      </c>
      <c r="C6734" t="s">
        <v>28</v>
      </c>
      <c r="D6734" s="7">
        <v>188</v>
      </c>
      <c r="E6734" s="7">
        <v>28</v>
      </c>
      <c r="F6734" s="7">
        <f t="shared" si="105"/>
        <v>6</v>
      </c>
      <c r="G6734" s="7" t="str">
        <f>LOOKUP(H6734,[1]startdates!$A$2:$A$10,[1]startdates!$B$2:$B$10)</f>
        <v>SMr</v>
      </c>
      <c r="H6734">
        <v>4</v>
      </c>
      <c r="I6734" s="7">
        <v>520.70000000000005</v>
      </c>
      <c r="M6734" s="7">
        <v>309.89999999999998</v>
      </c>
      <c r="N6734" s="7">
        <v>223.6</v>
      </c>
      <c r="O6734" s="7">
        <v>161.4</v>
      </c>
    </row>
    <row r="6735" spans="1:18" x14ac:dyDescent="0.2">
      <c r="A6735">
        <v>6734</v>
      </c>
      <c r="B6735" s="1">
        <v>40928</v>
      </c>
      <c r="C6735" t="s">
        <v>28</v>
      </c>
      <c r="D6735" s="7">
        <v>188</v>
      </c>
      <c r="E6735" s="7">
        <v>28</v>
      </c>
      <c r="F6735" s="7">
        <f t="shared" si="105"/>
        <v>6</v>
      </c>
      <c r="G6735" s="7" t="str">
        <f>LOOKUP(H6735,[1]startdates!$A$2:$A$10,[1]startdates!$B$2:$B$10)</f>
        <v>C</v>
      </c>
      <c r="H6735">
        <v>5</v>
      </c>
      <c r="I6735" s="7">
        <v>632.6</v>
      </c>
      <c r="J6735" s="7">
        <v>541.79999999999995</v>
      </c>
      <c r="K6735" s="7">
        <v>581.20000000000005</v>
      </c>
      <c r="L6735" s="7">
        <v>432.4</v>
      </c>
      <c r="M6735" s="7">
        <v>321.3</v>
      </c>
      <c r="N6735" s="7">
        <v>221.5</v>
      </c>
      <c r="O6735" s="7">
        <v>178.4</v>
      </c>
      <c r="P6735" s="7">
        <v>424.7</v>
      </c>
      <c r="Q6735" s="7">
        <v>318.8</v>
      </c>
      <c r="R6735" s="7">
        <v>276.7</v>
      </c>
    </row>
    <row r="6736" spans="1:18" x14ac:dyDescent="0.2">
      <c r="A6736">
        <v>6735</v>
      </c>
      <c r="B6736" s="1">
        <v>40928</v>
      </c>
      <c r="C6736" t="s">
        <v>28</v>
      </c>
      <c r="D6736" s="7">
        <v>188</v>
      </c>
      <c r="E6736" s="7">
        <v>28</v>
      </c>
      <c r="F6736" s="7">
        <f t="shared" si="105"/>
        <v>6</v>
      </c>
      <c r="G6736" s="7" t="str">
        <f>LOOKUP(H6736,[1]startdates!$A$2:$A$10,[1]startdates!$B$2:$B$10)</f>
        <v>C</v>
      </c>
      <c r="H6736">
        <v>5</v>
      </c>
      <c r="I6736" s="7">
        <v>632.20000000000005</v>
      </c>
      <c r="J6736" s="7">
        <v>477</v>
      </c>
      <c r="K6736" s="7">
        <v>518.70000000000005</v>
      </c>
      <c r="L6736" s="7">
        <v>390.8</v>
      </c>
      <c r="M6736" s="7">
        <v>295.39999999999998</v>
      </c>
      <c r="N6736" s="7">
        <v>214.3</v>
      </c>
      <c r="O6736" s="7">
        <v>174.4</v>
      </c>
      <c r="P6736" s="7">
        <v>457.7</v>
      </c>
      <c r="Q6736" s="7">
        <v>345.9</v>
      </c>
      <c r="R6736" s="7">
        <v>247.3</v>
      </c>
    </row>
    <row r="6737" spans="1:17" x14ac:dyDescent="0.2">
      <c r="A6737">
        <v>6736</v>
      </c>
      <c r="B6737" s="1">
        <v>40928</v>
      </c>
      <c r="C6737" t="s">
        <v>28</v>
      </c>
      <c r="D6737" s="7">
        <v>188</v>
      </c>
      <c r="E6737" s="7">
        <v>28</v>
      </c>
      <c r="F6737" s="7">
        <f t="shared" si="105"/>
        <v>6</v>
      </c>
      <c r="G6737" s="7" t="str">
        <f>LOOKUP(H6737,[1]startdates!$A$2:$A$10,[1]startdates!$B$2:$B$10)</f>
        <v>C</v>
      </c>
      <c r="H6737">
        <v>5</v>
      </c>
      <c r="I6737" s="7">
        <v>555.4</v>
      </c>
      <c r="K6737" s="7">
        <v>523</v>
      </c>
      <c r="L6737" s="7">
        <v>420.3</v>
      </c>
      <c r="M6737" s="7">
        <v>303</v>
      </c>
      <c r="N6737" s="7">
        <v>273.60000000000002</v>
      </c>
      <c r="O6737" s="7">
        <v>162.4</v>
      </c>
      <c r="P6737" s="7">
        <v>484.1</v>
      </c>
      <c r="Q6737" s="7">
        <v>344.9</v>
      </c>
    </row>
    <row r="6738" spans="1:17" x14ac:dyDescent="0.2">
      <c r="A6738">
        <v>6737</v>
      </c>
      <c r="B6738" s="1">
        <v>40928</v>
      </c>
      <c r="C6738" t="s">
        <v>28</v>
      </c>
      <c r="D6738" s="7">
        <v>188</v>
      </c>
      <c r="E6738" s="7">
        <v>28</v>
      </c>
      <c r="F6738" s="7">
        <f t="shared" si="105"/>
        <v>6</v>
      </c>
      <c r="G6738" s="7" t="str">
        <f>LOOKUP(H6738,[1]startdates!$A$2:$A$10,[1]startdates!$B$2:$B$10)</f>
        <v>C</v>
      </c>
      <c r="H6738">
        <v>5</v>
      </c>
      <c r="I6738" s="7">
        <v>543.70000000000005</v>
      </c>
      <c r="K6738" s="7">
        <v>607.5</v>
      </c>
      <c r="L6738" s="7">
        <v>411.5</v>
      </c>
      <c r="M6738" s="7">
        <v>295.39999999999998</v>
      </c>
      <c r="N6738" s="7">
        <v>261.2</v>
      </c>
      <c r="O6738" s="7">
        <v>170.2</v>
      </c>
      <c r="P6738" s="7">
        <v>456.7</v>
      </c>
      <c r="Q6738" s="7">
        <v>320.5</v>
      </c>
    </row>
    <row r="6739" spans="1:17" x14ac:dyDescent="0.2">
      <c r="A6739">
        <v>6738</v>
      </c>
      <c r="B6739" s="1">
        <v>40928</v>
      </c>
      <c r="C6739" t="s">
        <v>28</v>
      </c>
      <c r="D6739" s="7">
        <v>188</v>
      </c>
      <c r="E6739" s="7">
        <v>28</v>
      </c>
      <c r="F6739" s="7">
        <f t="shared" si="105"/>
        <v>6</v>
      </c>
      <c r="G6739" s="7" t="str">
        <f>LOOKUP(H6739,[1]startdates!$A$2:$A$10,[1]startdates!$B$2:$B$10)</f>
        <v>C</v>
      </c>
      <c r="H6739">
        <v>5</v>
      </c>
      <c r="I6739" s="7">
        <v>576.79999999999995</v>
      </c>
      <c r="K6739" s="7">
        <v>472.8</v>
      </c>
      <c r="M6739" s="7">
        <v>339</v>
      </c>
      <c r="N6739" s="7">
        <v>196</v>
      </c>
      <c r="O6739" s="7">
        <v>166.9</v>
      </c>
      <c r="P6739" s="7">
        <v>508.9</v>
      </c>
    </row>
    <row r="6740" spans="1:17" x14ac:dyDescent="0.2">
      <c r="A6740">
        <v>6739</v>
      </c>
      <c r="B6740" s="1">
        <v>40928</v>
      </c>
      <c r="C6740" t="s">
        <v>28</v>
      </c>
      <c r="D6740" s="7">
        <v>188</v>
      </c>
      <c r="E6740" s="7">
        <v>28</v>
      </c>
      <c r="F6740" s="7">
        <f t="shared" si="105"/>
        <v>6</v>
      </c>
      <c r="G6740" s="7" t="str">
        <f>LOOKUP(H6740,[1]startdates!$A$2:$A$10,[1]startdates!$B$2:$B$10)</f>
        <v>C</v>
      </c>
      <c r="H6740">
        <v>5</v>
      </c>
      <c r="I6740" s="7">
        <v>675.2</v>
      </c>
      <c r="K6740" s="7">
        <v>551.70000000000005</v>
      </c>
      <c r="M6740" s="7">
        <v>291.60000000000002</v>
      </c>
      <c r="N6740" s="7">
        <v>218</v>
      </c>
      <c r="O6740" s="7">
        <v>167</v>
      </c>
    </row>
    <row r="6741" spans="1:17" x14ac:dyDescent="0.2">
      <c r="A6741">
        <v>6740</v>
      </c>
      <c r="B6741" s="1">
        <v>40928</v>
      </c>
      <c r="C6741" t="s">
        <v>28</v>
      </c>
      <c r="D6741" s="7">
        <v>188</v>
      </c>
      <c r="E6741" s="7">
        <v>28</v>
      </c>
      <c r="F6741" s="7">
        <f t="shared" si="105"/>
        <v>6</v>
      </c>
      <c r="G6741" s="7" t="str">
        <f>LOOKUP(H6741,[1]startdates!$A$2:$A$10,[1]startdates!$B$2:$B$10)</f>
        <v>C</v>
      </c>
      <c r="H6741">
        <v>5</v>
      </c>
      <c r="I6741" s="7">
        <v>589.20000000000005</v>
      </c>
      <c r="M6741" s="7">
        <v>375.5</v>
      </c>
      <c r="N6741" s="7">
        <v>254.5</v>
      </c>
      <c r="O6741" s="7">
        <v>167.1</v>
      </c>
    </row>
    <row r="6742" spans="1:17" x14ac:dyDescent="0.2">
      <c r="A6742">
        <v>6741</v>
      </c>
      <c r="B6742" s="1">
        <v>40928</v>
      </c>
      <c r="C6742" t="s">
        <v>28</v>
      </c>
      <c r="D6742" s="7">
        <v>188</v>
      </c>
      <c r="E6742" s="7">
        <v>28</v>
      </c>
      <c r="F6742" s="7">
        <f t="shared" si="105"/>
        <v>6</v>
      </c>
      <c r="G6742" s="7" t="str">
        <f>LOOKUP(H6742,[1]startdates!$A$2:$A$10,[1]startdates!$B$2:$B$10)</f>
        <v>C</v>
      </c>
      <c r="H6742">
        <v>5</v>
      </c>
      <c r="I6742" s="7">
        <v>588.20000000000005</v>
      </c>
      <c r="M6742" s="7">
        <v>341</v>
      </c>
      <c r="N6742" s="7">
        <v>215.5</v>
      </c>
      <c r="O6742" s="7">
        <v>150.19999999999999</v>
      </c>
    </row>
    <row r="6743" spans="1:17" x14ac:dyDescent="0.2">
      <c r="A6743">
        <v>6742</v>
      </c>
      <c r="B6743" s="1">
        <v>40928</v>
      </c>
      <c r="C6743" t="s">
        <v>28</v>
      </c>
      <c r="D6743" s="7">
        <v>188</v>
      </c>
      <c r="E6743" s="7">
        <v>28</v>
      </c>
      <c r="F6743" s="7">
        <f t="shared" si="105"/>
        <v>6</v>
      </c>
      <c r="G6743" s="7" t="str">
        <f>LOOKUP(H6743,[1]startdates!$A$2:$A$10,[1]startdates!$B$2:$B$10)</f>
        <v>C</v>
      </c>
      <c r="H6743">
        <v>5</v>
      </c>
      <c r="I6743" s="7">
        <v>604.29999999999995</v>
      </c>
      <c r="M6743" s="7">
        <v>344.4</v>
      </c>
      <c r="N6743" s="7">
        <v>199.3</v>
      </c>
      <c r="O6743" s="7">
        <v>187.7</v>
      </c>
    </row>
    <row r="6744" spans="1:17" x14ac:dyDescent="0.2">
      <c r="A6744">
        <v>6743</v>
      </c>
      <c r="B6744" s="1">
        <v>40928</v>
      </c>
      <c r="C6744" t="s">
        <v>28</v>
      </c>
      <c r="D6744" s="7">
        <v>188</v>
      </c>
      <c r="E6744" s="7">
        <v>28</v>
      </c>
      <c r="F6744" s="7">
        <f t="shared" si="105"/>
        <v>6</v>
      </c>
      <c r="G6744" s="7" t="str">
        <f>LOOKUP(H6744,[1]startdates!$A$2:$A$10,[1]startdates!$B$2:$B$10)</f>
        <v>C</v>
      </c>
      <c r="H6744">
        <v>5</v>
      </c>
      <c r="I6744" s="7">
        <v>558.20000000000005</v>
      </c>
      <c r="M6744" s="7">
        <v>373.3</v>
      </c>
      <c r="N6744" s="7">
        <v>210.4</v>
      </c>
      <c r="O6744" s="7">
        <v>168.9</v>
      </c>
    </row>
    <row r="6745" spans="1:17" x14ac:dyDescent="0.2">
      <c r="A6745">
        <v>6744</v>
      </c>
      <c r="B6745" s="1">
        <v>40928</v>
      </c>
      <c r="C6745" t="s">
        <v>28</v>
      </c>
      <c r="D6745" s="7">
        <v>188</v>
      </c>
      <c r="E6745" s="7">
        <v>28</v>
      </c>
      <c r="F6745" s="7">
        <f t="shared" si="105"/>
        <v>6</v>
      </c>
      <c r="G6745" s="7" t="str">
        <f>LOOKUP(H6745,[1]startdates!$A$2:$A$10,[1]startdates!$B$2:$B$10)</f>
        <v>C</v>
      </c>
      <c r="H6745">
        <v>5</v>
      </c>
      <c r="I6745" s="7">
        <v>543.5</v>
      </c>
      <c r="M6745" s="7">
        <v>388.3</v>
      </c>
    </row>
    <row r="6746" spans="1:17" x14ac:dyDescent="0.2">
      <c r="A6746">
        <v>6745</v>
      </c>
      <c r="B6746" s="1">
        <v>40928</v>
      </c>
      <c r="C6746" t="s">
        <v>28</v>
      </c>
      <c r="D6746" s="7">
        <v>188</v>
      </c>
      <c r="E6746" s="7">
        <v>28</v>
      </c>
      <c r="F6746" s="7">
        <f t="shared" si="105"/>
        <v>6</v>
      </c>
      <c r="G6746" s="7" t="str">
        <f>LOOKUP(H6746,[1]startdates!$A$2:$A$10,[1]startdates!$B$2:$B$10)</f>
        <v>FMr</v>
      </c>
      <c r="H6746">
        <v>6</v>
      </c>
      <c r="I6746" s="7">
        <v>578</v>
      </c>
      <c r="K6746" s="7">
        <v>500.7</v>
      </c>
      <c r="L6746" s="7">
        <v>429.8</v>
      </c>
      <c r="M6746" s="7">
        <v>296.8</v>
      </c>
      <c r="N6746" s="7">
        <v>215.7</v>
      </c>
      <c r="O6746" s="7">
        <v>161.4</v>
      </c>
      <c r="P6746" s="7">
        <v>404.1</v>
      </c>
      <c r="Q6746" s="7">
        <v>334.3</v>
      </c>
    </row>
    <row r="6747" spans="1:17" x14ac:dyDescent="0.2">
      <c r="A6747">
        <v>6746</v>
      </c>
      <c r="B6747" s="1">
        <v>40928</v>
      </c>
      <c r="C6747" t="s">
        <v>28</v>
      </c>
      <c r="D6747" s="7">
        <v>188</v>
      </c>
      <c r="E6747" s="7">
        <v>28</v>
      </c>
      <c r="F6747" s="7">
        <f t="shared" si="105"/>
        <v>6</v>
      </c>
      <c r="G6747" s="7" t="str">
        <f>LOOKUP(H6747,[1]startdates!$A$2:$A$10,[1]startdates!$B$2:$B$10)</f>
        <v>FMr</v>
      </c>
      <c r="H6747">
        <v>6</v>
      </c>
      <c r="I6747" s="7">
        <v>515.4</v>
      </c>
      <c r="K6747" s="7">
        <v>454.2</v>
      </c>
      <c r="L6747" s="7">
        <v>449.3</v>
      </c>
      <c r="M6747" s="7">
        <v>385.5</v>
      </c>
      <c r="N6747" s="7">
        <v>195.3</v>
      </c>
      <c r="O6747" s="7">
        <v>143.6</v>
      </c>
    </row>
    <row r="6748" spans="1:17" x14ac:dyDescent="0.2">
      <c r="A6748">
        <v>6747</v>
      </c>
      <c r="B6748" s="1">
        <v>40928</v>
      </c>
      <c r="C6748" t="s">
        <v>28</v>
      </c>
      <c r="D6748" s="7">
        <v>188</v>
      </c>
      <c r="E6748" s="7">
        <v>28</v>
      </c>
      <c r="F6748" s="7">
        <f t="shared" si="105"/>
        <v>6</v>
      </c>
      <c r="G6748" s="7" t="str">
        <f>LOOKUP(H6748,[1]startdates!$A$2:$A$10,[1]startdates!$B$2:$B$10)</f>
        <v>FMr</v>
      </c>
      <c r="H6748">
        <v>6</v>
      </c>
      <c r="I6748" s="7">
        <v>587.9</v>
      </c>
      <c r="K6748" s="7">
        <v>452.7</v>
      </c>
      <c r="L6748" s="7">
        <v>403.7</v>
      </c>
      <c r="M6748" s="7">
        <v>385.4</v>
      </c>
      <c r="N6748" s="7">
        <v>240.4</v>
      </c>
      <c r="O6748" s="7">
        <v>176.9</v>
      </c>
    </row>
    <row r="6749" spans="1:17" x14ac:dyDescent="0.2">
      <c r="A6749">
        <v>6748</v>
      </c>
      <c r="B6749" s="1">
        <v>40928</v>
      </c>
      <c r="C6749" t="s">
        <v>28</v>
      </c>
      <c r="D6749" s="7">
        <v>188</v>
      </c>
      <c r="E6749" s="7">
        <v>28</v>
      </c>
      <c r="F6749" s="7">
        <f t="shared" si="105"/>
        <v>6</v>
      </c>
      <c r="G6749" s="7" t="str">
        <f>LOOKUP(H6749,[1]startdates!$A$2:$A$10,[1]startdates!$B$2:$B$10)</f>
        <v>FMr</v>
      </c>
      <c r="H6749">
        <v>6</v>
      </c>
      <c r="I6749" s="7">
        <v>642.9</v>
      </c>
      <c r="K6749" s="7">
        <v>452.1</v>
      </c>
      <c r="L6749" s="7">
        <v>448.5</v>
      </c>
      <c r="M6749" s="7">
        <v>306.10000000000002</v>
      </c>
      <c r="N6749" s="7">
        <v>192.2</v>
      </c>
      <c r="O6749" s="7">
        <v>159.30000000000001</v>
      </c>
    </row>
    <row r="6750" spans="1:17" x14ac:dyDescent="0.2">
      <c r="A6750">
        <v>6749</v>
      </c>
      <c r="B6750" s="1">
        <v>40928</v>
      </c>
      <c r="C6750" t="s">
        <v>28</v>
      </c>
      <c r="D6750" s="7">
        <v>188</v>
      </c>
      <c r="E6750" s="7">
        <v>28</v>
      </c>
      <c r="F6750" s="7">
        <f t="shared" si="105"/>
        <v>6</v>
      </c>
      <c r="G6750" s="7" t="str">
        <f>LOOKUP(H6750,[1]startdates!$A$2:$A$10,[1]startdates!$B$2:$B$10)</f>
        <v>FMr</v>
      </c>
      <c r="H6750">
        <v>6</v>
      </c>
      <c r="I6750" s="7">
        <v>575.1</v>
      </c>
      <c r="K6750" s="7">
        <v>508.1</v>
      </c>
      <c r="L6750" s="7">
        <v>410.9</v>
      </c>
      <c r="M6750" s="7">
        <v>380.9</v>
      </c>
      <c r="N6750" s="7">
        <v>202.8</v>
      </c>
      <c r="O6750" s="7">
        <v>149.1</v>
      </c>
    </row>
    <row r="6751" spans="1:17" x14ac:dyDescent="0.2">
      <c r="A6751">
        <v>6750</v>
      </c>
      <c r="B6751" s="1">
        <v>40928</v>
      </c>
      <c r="C6751" t="s">
        <v>28</v>
      </c>
      <c r="D6751" s="7">
        <v>188</v>
      </c>
      <c r="E6751" s="7">
        <v>28</v>
      </c>
      <c r="F6751" s="7">
        <f t="shared" si="105"/>
        <v>6</v>
      </c>
      <c r="G6751" s="7" t="str">
        <f>LOOKUP(H6751,[1]startdates!$A$2:$A$10,[1]startdates!$B$2:$B$10)</f>
        <v>FMr</v>
      </c>
      <c r="H6751">
        <v>6</v>
      </c>
      <c r="I6751" s="7">
        <v>522.20000000000005</v>
      </c>
      <c r="L6751" s="7">
        <v>411.6</v>
      </c>
      <c r="M6751" s="7">
        <v>313.10000000000002</v>
      </c>
      <c r="N6751" s="7">
        <v>188.7</v>
      </c>
      <c r="O6751" s="7">
        <v>144</v>
      </c>
    </row>
    <row r="6752" spans="1:17" x14ac:dyDescent="0.2">
      <c r="A6752">
        <v>6751</v>
      </c>
      <c r="B6752" s="1">
        <v>40928</v>
      </c>
      <c r="C6752" t="s">
        <v>28</v>
      </c>
      <c r="D6752" s="7">
        <v>188</v>
      </c>
      <c r="E6752" s="7">
        <v>28</v>
      </c>
      <c r="F6752" s="7">
        <f t="shared" si="105"/>
        <v>6</v>
      </c>
      <c r="G6752" s="7" t="str">
        <f>LOOKUP(H6752,[1]startdates!$A$2:$A$10,[1]startdates!$B$2:$B$10)</f>
        <v>FMr</v>
      </c>
      <c r="H6752">
        <v>6</v>
      </c>
      <c r="I6752" s="7">
        <v>647.4</v>
      </c>
      <c r="L6752" s="7">
        <v>414.4</v>
      </c>
      <c r="M6752" s="7">
        <v>296.39999999999998</v>
      </c>
      <c r="N6752" s="7">
        <v>182.8</v>
      </c>
      <c r="O6752" s="7">
        <v>143.19999999999999</v>
      </c>
    </row>
    <row r="6753" spans="1:18" x14ac:dyDescent="0.2">
      <c r="A6753">
        <v>6752</v>
      </c>
      <c r="B6753" s="1">
        <v>40928</v>
      </c>
      <c r="C6753" t="s">
        <v>28</v>
      </c>
      <c r="D6753" s="7">
        <v>188</v>
      </c>
      <c r="E6753" s="7">
        <v>28</v>
      </c>
      <c r="F6753" s="7">
        <f t="shared" si="105"/>
        <v>6</v>
      </c>
      <c r="G6753" s="7" t="str">
        <f>LOOKUP(H6753,[1]startdates!$A$2:$A$10,[1]startdates!$B$2:$B$10)</f>
        <v>FMr</v>
      </c>
      <c r="H6753">
        <v>6</v>
      </c>
      <c r="I6753" s="7">
        <v>544.20000000000005</v>
      </c>
      <c r="L6753" s="7">
        <v>408.4</v>
      </c>
      <c r="N6753" s="7">
        <v>265.3</v>
      </c>
      <c r="O6753" s="7">
        <v>155.30000000000001</v>
      </c>
    </row>
    <row r="6754" spans="1:18" x14ac:dyDescent="0.2">
      <c r="A6754">
        <v>6753</v>
      </c>
      <c r="B6754" s="1">
        <v>40928</v>
      </c>
      <c r="C6754" t="s">
        <v>28</v>
      </c>
      <c r="D6754" s="7">
        <v>188</v>
      </c>
      <c r="E6754" s="7">
        <v>28</v>
      </c>
      <c r="F6754" s="7">
        <f t="shared" si="105"/>
        <v>6</v>
      </c>
      <c r="G6754" s="7" t="str">
        <f>LOOKUP(H6754,[1]startdates!$A$2:$A$10,[1]startdates!$B$2:$B$10)</f>
        <v>FMr</v>
      </c>
      <c r="H6754">
        <v>6</v>
      </c>
      <c r="I6754" s="7">
        <v>547.29999999999995</v>
      </c>
      <c r="L6754" s="7">
        <v>439.1</v>
      </c>
      <c r="N6754" s="7">
        <v>196</v>
      </c>
      <c r="O6754" s="7">
        <v>148.19999999999999</v>
      </c>
    </row>
    <row r="6755" spans="1:18" x14ac:dyDescent="0.2">
      <c r="A6755">
        <v>6754</v>
      </c>
      <c r="B6755" s="1">
        <v>40928</v>
      </c>
      <c r="C6755" t="s">
        <v>28</v>
      </c>
      <c r="D6755" s="7">
        <v>188</v>
      </c>
      <c r="E6755" s="7">
        <v>28</v>
      </c>
      <c r="F6755" s="7">
        <f t="shared" si="105"/>
        <v>6</v>
      </c>
      <c r="G6755" s="7" t="str">
        <f>LOOKUP(H6755,[1]startdates!$A$2:$A$10,[1]startdates!$B$2:$B$10)</f>
        <v>FMr</v>
      </c>
      <c r="H6755">
        <v>6</v>
      </c>
      <c r="I6755" s="7">
        <v>495.7</v>
      </c>
      <c r="L6755" s="7">
        <v>404.5</v>
      </c>
      <c r="N6755" s="7">
        <v>255</v>
      </c>
    </row>
    <row r="6756" spans="1:18" x14ac:dyDescent="0.2">
      <c r="A6756">
        <v>6755</v>
      </c>
      <c r="B6756" s="1">
        <v>40928</v>
      </c>
      <c r="C6756" t="s">
        <v>28</v>
      </c>
      <c r="D6756" s="7">
        <v>188</v>
      </c>
      <c r="E6756" s="7">
        <v>28</v>
      </c>
      <c r="F6756" s="7">
        <f t="shared" si="105"/>
        <v>6</v>
      </c>
      <c r="G6756" s="7" t="str">
        <f>LOOKUP(H6756,[1]startdates!$A$2:$A$10,[1]startdates!$B$2:$B$10)</f>
        <v>FMr</v>
      </c>
      <c r="H6756">
        <v>7</v>
      </c>
      <c r="I6756" s="7">
        <v>580.29999999999995</v>
      </c>
      <c r="J6756" s="7">
        <v>599</v>
      </c>
      <c r="K6756" s="7">
        <v>523.9</v>
      </c>
      <c r="L6756" s="7">
        <v>424.3</v>
      </c>
      <c r="M6756" s="7">
        <v>325.39999999999998</v>
      </c>
      <c r="N6756" s="7">
        <v>178.7</v>
      </c>
      <c r="O6756" s="7">
        <v>156</v>
      </c>
      <c r="P6756" s="7">
        <v>441.8</v>
      </c>
      <c r="Q6756" s="7">
        <v>309.7</v>
      </c>
      <c r="R6756" s="7">
        <v>249.4</v>
      </c>
    </row>
    <row r="6757" spans="1:18" x14ac:dyDescent="0.2">
      <c r="A6757">
        <v>6756</v>
      </c>
      <c r="B6757" s="1">
        <v>40928</v>
      </c>
      <c r="C6757" t="s">
        <v>28</v>
      </c>
      <c r="D6757" s="7">
        <v>188</v>
      </c>
      <c r="E6757" s="7">
        <v>28</v>
      </c>
      <c r="F6757" s="7">
        <f t="shared" si="105"/>
        <v>6</v>
      </c>
      <c r="G6757" s="7" t="str">
        <f>LOOKUP(H6757,[1]startdates!$A$2:$A$10,[1]startdates!$B$2:$B$10)</f>
        <v>FMr</v>
      </c>
      <c r="H6757">
        <v>7</v>
      </c>
      <c r="I6757" s="7">
        <v>598.20000000000005</v>
      </c>
      <c r="J6757" s="7">
        <v>479.7</v>
      </c>
      <c r="K6757" s="7">
        <v>468</v>
      </c>
      <c r="L6757" s="7">
        <v>399.3</v>
      </c>
      <c r="M6757" s="7">
        <v>372.1</v>
      </c>
      <c r="N6757" s="7">
        <v>265.10000000000002</v>
      </c>
      <c r="O6757" s="7">
        <v>149</v>
      </c>
      <c r="P6757" s="7">
        <v>471.6</v>
      </c>
      <c r="Q6757" s="7">
        <v>308.10000000000002</v>
      </c>
    </row>
    <row r="6758" spans="1:18" x14ac:dyDescent="0.2">
      <c r="A6758">
        <v>6757</v>
      </c>
      <c r="B6758" s="1">
        <v>40928</v>
      </c>
      <c r="C6758" t="s">
        <v>28</v>
      </c>
      <c r="D6758" s="7">
        <v>188</v>
      </c>
      <c r="E6758" s="7">
        <v>28</v>
      </c>
      <c r="F6758" s="7">
        <f t="shared" si="105"/>
        <v>6</v>
      </c>
      <c r="G6758" s="7" t="str">
        <f>LOOKUP(H6758,[1]startdates!$A$2:$A$10,[1]startdates!$B$2:$B$10)</f>
        <v>FMr</v>
      </c>
      <c r="H6758">
        <v>7</v>
      </c>
      <c r="I6758" s="7">
        <v>661.4</v>
      </c>
      <c r="K6758" s="7">
        <v>558.5</v>
      </c>
      <c r="L6758" s="7">
        <v>406.8</v>
      </c>
      <c r="M6758" s="7">
        <v>313.8</v>
      </c>
      <c r="N6758" s="7">
        <v>228.7</v>
      </c>
      <c r="O6758" s="7">
        <v>166.4</v>
      </c>
      <c r="P6758" s="7">
        <v>411.7</v>
      </c>
    </row>
    <row r="6759" spans="1:18" x14ac:dyDescent="0.2">
      <c r="A6759">
        <v>6758</v>
      </c>
      <c r="B6759" s="1">
        <v>40928</v>
      </c>
      <c r="C6759" t="s">
        <v>28</v>
      </c>
      <c r="D6759" s="7">
        <v>188</v>
      </c>
      <c r="E6759" s="7">
        <v>28</v>
      </c>
      <c r="F6759" s="7">
        <f t="shared" si="105"/>
        <v>6</v>
      </c>
      <c r="G6759" s="7" t="str">
        <f>LOOKUP(H6759,[1]startdates!$A$2:$A$10,[1]startdates!$B$2:$B$10)</f>
        <v>FMr</v>
      </c>
      <c r="H6759">
        <v>7</v>
      </c>
      <c r="I6759" s="7">
        <v>501.9</v>
      </c>
      <c r="K6759" s="7">
        <v>515.6</v>
      </c>
      <c r="L6759" s="7">
        <v>411.6</v>
      </c>
      <c r="M6759" s="7">
        <v>292</v>
      </c>
      <c r="N6759" s="7">
        <v>222.5</v>
      </c>
      <c r="O6759" s="7">
        <v>145.6</v>
      </c>
      <c r="P6759" s="7">
        <v>461.4</v>
      </c>
    </row>
    <row r="6760" spans="1:18" x14ac:dyDescent="0.2">
      <c r="A6760">
        <v>6759</v>
      </c>
      <c r="B6760" s="1">
        <v>40928</v>
      </c>
      <c r="C6760" t="s">
        <v>28</v>
      </c>
      <c r="D6760" s="7">
        <v>188</v>
      </c>
      <c r="E6760" s="7">
        <v>28</v>
      </c>
      <c r="F6760" s="7">
        <f t="shared" si="105"/>
        <v>6</v>
      </c>
      <c r="G6760" s="7" t="str">
        <f>LOOKUP(H6760,[1]startdates!$A$2:$A$10,[1]startdates!$B$2:$B$10)</f>
        <v>FMr</v>
      </c>
      <c r="H6760">
        <v>7</v>
      </c>
      <c r="I6760" s="7">
        <v>636.9</v>
      </c>
      <c r="K6760" s="7">
        <v>574.1</v>
      </c>
      <c r="M6760" s="7">
        <v>303.10000000000002</v>
      </c>
      <c r="N6760" s="7">
        <v>206.5</v>
      </c>
      <c r="O6760" s="7">
        <v>149</v>
      </c>
    </row>
    <row r="6761" spans="1:18" x14ac:dyDescent="0.2">
      <c r="A6761">
        <v>6760</v>
      </c>
      <c r="B6761" s="1">
        <v>40928</v>
      </c>
      <c r="C6761" t="s">
        <v>28</v>
      </c>
      <c r="D6761" s="7">
        <v>188</v>
      </c>
      <c r="E6761" s="7">
        <v>28</v>
      </c>
      <c r="F6761" s="7">
        <f t="shared" ref="F6761:F6824" si="106">WEEKDAY(B6761)</f>
        <v>6</v>
      </c>
      <c r="G6761" s="7" t="str">
        <f>LOOKUP(H6761,[1]startdates!$A$2:$A$10,[1]startdates!$B$2:$B$10)</f>
        <v>FMr</v>
      </c>
      <c r="H6761">
        <v>7</v>
      </c>
      <c r="I6761" s="7">
        <v>633.9</v>
      </c>
      <c r="M6761" s="7">
        <v>324.10000000000002</v>
      </c>
      <c r="N6761" s="7">
        <v>235.9</v>
      </c>
      <c r="O6761" s="7">
        <v>151</v>
      </c>
    </row>
    <row r="6762" spans="1:18" x14ac:dyDescent="0.2">
      <c r="A6762">
        <v>6761</v>
      </c>
      <c r="B6762" s="1">
        <v>40928</v>
      </c>
      <c r="C6762" t="s">
        <v>28</v>
      </c>
      <c r="D6762" s="7">
        <v>188</v>
      </c>
      <c r="E6762" s="7">
        <v>28</v>
      </c>
      <c r="F6762" s="7">
        <f t="shared" si="106"/>
        <v>6</v>
      </c>
      <c r="G6762" s="7" t="str">
        <f>LOOKUP(H6762,[1]startdates!$A$2:$A$10,[1]startdates!$B$2:$B$10)</f>
        <v>FMr</v>
      </c>
      <c r="H6762">
        <v>7</v>
      </c>
      <c r="I6762" s="7">
        <v>606.6</v>
      </c>
      <c r="M6762" s="7">
        <v>343.8</v>
      </c>
      <c r="N6762" s="7">
        <v>226.1</v>
      </c>
      <c r="O6762" s="7">
        <v>173.7</v>
      </c>
    </row>
    <row r="6763" spans="1:18" x14ac:dyDescent="0.2">
      <c r="A6763">
        <v>6762</v>
      </c>
      <c r="B6763" s="1">
        <v>40928</v>
      </c>
      <c r="C6763" t="s">
        <v>28</v>
      </c>
      <c r="D6763" s="7">
        <v>188</v>
      </c>
      <c r="E6763" s="7">
        <v>28</v>
      </c>
      <c r="F6763" s="7">
        <f t="shared" si="106"/>
        <v>6</v>
      </c>
      <c r="G6763" s="7" t="str">
        <f>LOOKUP(H6763,[1]startdates!$A$2:$A$10,[1]startdates!$B$2:$B$10)</f>
        <v>FMr</v>
      </c>
      <c r="H6763">
        <v>7</v>
      </c>
      <c r="I6763" s="7">
        <v>522.29999999999995</v>
      </c>
      <c r="M6763" s="7">
        <v>365.8</v>
      </c>
      <c r="N6763" s="7">
        <v>217.7</v>
      </c>
      <c r="O6763" s="7">
        <v>160.4</v>
      </c>
    </row>
    <row r="6764" spans="1:18" x14ac:dyDescent="0.2">
      <c r="A6764">
        <v>6763</v>
      </c>
      <c r="B6764" s="1">
        <v>40928</v>
      </c>
      <c r="C6764" t="s">
        <v>28</v>
      </c>
      <c r="D6764" s="7">
        <v>188</v>
      </c>
      <c r="E6764" s="7">
        <v>28</v>
      </c>
      <c r="F6764" s="7">
        <f t="shared" si="106"/>
        <v>6</v>
      </c>
      <c r="G6764" s="7" t="str">
        <f>LOOKUP(H6764,[1]startdates!$A$2:$A$10,[1]startdates!$B$2:$B$10)</f>
        <v>FMr</v>
      </c>
      <c r="H6764">
        <v>7</v>
      </c>
      <c r="I6764" s="7">
        <v>589.79999999999995</v>
      </c>
      <c r="M6764" s="7">
        <v>349.1</v>
      </c>
      <c r="N6764" s="7">
        <v>259</v>
      </c>
      <c r="O6764" s="7">
        <v>158.30000000000001</v>
      </c>
    </row>
    <row r="6765" spans="1:18" x14ac:dyDescent="0.2">
      <c r="A6765">
        <v>6764</v>
      </c>
      <c r="B6765" s="1">
        <v>40928</v>
      </c>
      <c r="C6765" t="s">
        <v>28</v>
      </c>
      <c r="D6765" s="7">
        <v>188</v>
      </c>
      <c r="E6765" s="7">
        <v>28</v>
      </c>
      <c r="F6765" s="7">
        <f t="shared" si="106"/>
        <v>6</v>
      </c>
      <c r="G6765" s="7" t="str">
        <f>LOOKUP(H6765,[1]startdates!$A$2:$A$10,[1]startdates!$B$2:$B$10)</f>
        <v>FMr</v>
      </c>
      <c r="H6765">
        <v>7</v>
      </c>
      <c r="I6765" s="7">
        <v>570.20000000000005</v>
      </c>
      <c r="M6765" s="7">
        <v>379.6</v>
      </c>
      <c r="N6765" s="7">
        <v>204.2</v>
      </c>
      <c r="O6765" s="7">
        <v>166</v>
      </c>
    </row>
    <row r="6766" spans="1:18" x14ac:dyDescent="0.2">
      <c r="A6766">
        <v>6765</v>
      </c>
      <c r="B6766" s="1">
        <v>40928</v>
      </c>
      <c r="C6766" t="s">
        <v>28</v>
      </c>
      <c r="D6766" s="7">
        <v>188</v>
      </c>
      <c r="E6766" s="7">
        <v>28</v>
      </c>
      <c r="F6766" s="7">
        <f t="shared" si="106"/>
        <v>6</v>
      </c>
      <c r="G6766" s="7" t="str">
        <f>LOOKUP(H6766,[1]startdates!$A$2:$A$10,[1]startdates!$B$2:$B$10)</f>
        <v>C</v>
      </c>
      <c r="H6766">
        <v>8</v>
      </c>
      <c r="I6766" s="7">
        <v>609.70000000000005</v>
      </c>
      <c r="J6766" s="7">
        <v>546.5</v>
      </c>
      <c r="K6766" s="7">
        <v>555.1</v>
      </c>
      <c r="L6766" s="7">
        <v>467.7</v>
      </c>
      <c r="M6766" s="7">
        <v>366</v>
      </c>
      <c r="N6766" s="7">
        <v>228.4</v>
      </c>
      <c r="O6766" s="7">
        <v>147.1</v>
      </c>
      <c r="R6766" s="7">
        <v>264.5</v>
      </c>
    </row>
    <row r="6767" spans="1:18" x14ac:dyDescent="0.2">
      <c r="A6767">
        <v>6766</v>
      </c>
      <c r="B6767" s="1">
        <v>40928</v>
      </c>
      <c r="C6767" t="s">
        <v>28</v>
      </c>
      <c r="D6767" s="7">
        <v>188</v>
      </c>
      <c r="E6767" s="7">
        <v>28</v>
      </c>
      <c r="F6767" s="7">
        <f t="shared" si="106"/>
        <v>6</v>
      </c>
      <c r="G6767" s="7" t="str">
        <f>LOOKUP(H6767,[1]startdates!$A$2:$A$10,[1]startdates!$B$2:$B$10)</f>
        <v>C</v>
      </c>
      <c r="H6767">
        <v>8</v>
      </c>
      <c r="I6767" s="7">
        <v>663.9</v>
      </c>
      <c r="J6767" s="7">
        <v>519.79999999999995</v>
      </c>
      <c r="K6767" s="7">
        <v>591.70000000000005</v>
      </c>
      <c r="L6767" s="7">
        <v>409.1</v>
      </c>
      <c r="M6767" s="7">
        <v>328.8</v>
      </c>
      <c r="N6767" s="7">
        <v>216.1</v>
      </c>
      <c r="O6767" s="7">
        <v>157.30000000000001</v>
      </c>
    </row>
    <row r="6768" spans="1:18" x14ac:dyDescent="0.2">
      <c r="A6768">
        <v>6767</v>
      </c>
      <c r="B6768" s="1">
        <v>40928</v>
      </c>
      <c r="C6768" t="s">
        <v>28</v>
      </c>
      <c r="D6768" s="7">
        <v>188</v>
      </c>
      <c r="E6768" s="7">
        <v>28</v>
      </c>
      <c r="F6768" s="7">
        <f t="shared" si="106"/>
        <v>6</v>
      </c>
      <c r="G6768" s="7" t="str">
        <f>LOOKUP(H6768,[1]startdates!$A$2:$A$10,[1]startdates!$B$2:$B$10)</f>
        <v>C</v>
      </c>
      <c r="H6768">
        <v>8</v>
      </c>
      <c r="I6768" s="7">
        <v>638.29999999999995</v>
      </c>
      <c r="J6768" s="7">
        <v>537</v>
      </c>
      <c r="K6768" s="7">
        <v>499.2</v>
      </c>
      <c r="L6768" s="7">
        <v>450.5</v>
      </c>
      <c r="M6768" s="7">
        <v>344.3</v>
      </c>
      <c r="N6768" s="7">
        <v>218.7</v>
      </c>
      <c r="O6768" s="7">
        <v>133.1</v>
      </c>
    </row>
    <row r="6769" spans="1:18" x14ac:dyDescent="0.2">
      <c r="A6769">
        <v>6768</v>
      </c>
      <c r="B6769" s="1">
        <v>40928</v>
      </c>
      <c r="C6769" t="s">
        <v>28</v>
      </c>
      <c r="D6769" s="7">
        <v>188</v>
      </c>
      <c r="E6769" s="7">
        <v>28</v>
      </c>
      <c r="F6769" s="7">
        <f t="shared" si="106"/>
        <v>6</v>
      </c>
      <c r="G6769" s="7" t="str">
        <f>LOOKUP(H6769,[1]startdates!$A$2:$A$10,[1]startdates!$B$2:$B$10)</f>
        <v>C</v>
      </c>
      <c r="H6769">
        <v>8</v>
      </c>
      <c r="I6769" s="7">
        <v>597.79999999999995</v>
      </c>
      <c r="J6769" s="7">
        <v>471.4</v>
      </c>
      <c r="K6769" s="7">
        <v>543.29999999999995</v>
      </c>
      <c r="L6769" s="7">
        <v>451.7</v>
      </c>
      <c r="M6769" s="7">
        <v>354.9</v>
      </c>
      <c r="N6769" s="7">
        <v>188.2</v>
      </c>
      <c r="O6769" s="7">
        <v>144.9</v>
      </c>
    </row>
    <row r="6770" spans="1:18" x14ac:dyDescent="0.2">
      <c r="A6770">
        <v>6769</v>
      </c>
      <c r="B6770" s="1">
        <v>40928</v>
      </c>
      <c r="C6770" t="s">
        <v>28</v>
      </c>
      <c r="D6770" s="7">
        <v>188</v>
      </c>
      <c r="E6770" s="7">
        <v>28</v>
      </c>
      <c r="F6770" s="7">
        <f t="shared" si="106"/>
        <v>6</v>
      </c>
      <c r="G6770" s="7" t="str">
        <f>LOOKUP(H6770,[1]startdates!$A$2:$A$10,[1]startdates!$B$2:$B$10)</f>
        <v>C</v>
      </c>
      <c r="H6770">
        <v>8</v>
      </c>
      <c r="I6770" s="7">
        <v>652.29999999999995</v>
      </c>
      <c r="J6770" s="7">
        <v>466.3</v>
      </c>
      <c r="K6770" s="7">
        <v>478.6</v>
      </c>
      <c r="L6770" s="7">
        <v>416.9</v>
      </c>
      <c r="M6770" s="7">
        <v>364.4</v>
      </c>
      <c r="N6770" s="7">
        <v>203.3</v>
      </c>
      <c r="O6770" s="7">
        <v>156.30000000000001</v>
      </c>
    </row>
    <row r="6771" spans="1:18" x14ac:dyDescent="0.2">
      <c r="A6771">
        <v>6770</v>
      </c>
      <c r="B6771" s="1">
        <v>40928</v>
      </c>
      <c r="C6771" t="s">
        <v>28</v>
      </c>
      <c r="D6771" s="7">
        <v>188</v>
      </c>
      <c r="E6771" s="7">
        <v>28</v>
      </c>
      <c r="F6771" s="7">
        <f t="shared" si="106"/>
        <v>6</v>
      </c>
      <c r="G6771" s="7" t="str">
        <f>LOOKUP(H6771,[1]startdates!$A$2:$A$10,[1]startdates!$B$2:$B$10)</f>
        <v>C</v>
      </c>
      <c r="H6771">
        <v>8</v>
      </c>
      <c r="I6771" s="7">
        <v>627.9</v>
      </c>
      <c r="J6771" s="7">
        <v>495.1</v>
      </c>
      <c r="K6771" s="7">
        <v>571.1</v>
      </c>
      <c r="M6771" s="7">
        <v>298</v>
      </c>
      <c r="N6771" s="7">
        <v>287.60000000000002</v>
      </c>
      <c r="O6771" s="7">
        <v>160.80000000000001</v>
      </c>
    </row>
    <row r="6772" spans="1:18" x14ac:dyDescent="0.2">
      <c r="A6772">
        <v>6771</v>
      </c>
      <c r="B6772" s="1">
        <v>40928</v>
      </c>
      <c r="C6772" t="s">
        <v>28</v>
      </c>
      <c r="D6772" s="7">
        <v>188</v>
      </c>
      <c r="E6772" s="7">
        <v>28</v>
      </c>
      <c r="F6772" s="7">
        <f t="shared" si="106"/>
        <v>6</v>
      </c>
      <c r="G6772" s="7" t="str">
        <f>LOOKUP(H6772,[1]startdates!$A$2:$A$10,[1]startdates!$B$2:$B$10)</f>
        <v>C</v>
      </c>
      <c r="H6772">
        <v>8</v>
      </c>
      <c r="I6772" s="7">
        <v>656.8</v>
      </c>
      <c r="J6772" s="7">
        <v>525.79999999999995</v>
      </c>
      <c r="K6772" s="7">
        <v>500.5</v>
      </c>
      <c r="M6772" s="7">
        <v>322</v>
      </c>
      <c r="N6772" s="7">
        <v>197.8</v>
      </c>
      <c r="O6772" s="7">
        <v>156.30000000000001</v>
      </c>
    </row>
    <row r="6773" spans="1:18" x14ac:dyDescent="0.2">
      <c r="A6773">
        <v>6772</v>
      </c>
      <c r="B6773" s="1">
        <v>40928</v>
      </c>
      <c r="C6773" t="s">
        <v>28</v>
      </c>
      <c r="D6773" s="7">
        <v>188</v>
      </c>
      <c r="E6773" s="7">
        <v>28</v>
      </c>
      <c r="F6773" s="7">
        <f t="shared" si="106"/>
        <v>6</v>
      </c>
      <c r="G6773" s="7" t="str">
        <f>LOOKUP(H6773,[1]startdates!$A$2:$A$10,[1]startdates!$B$2:$B$10)</f>
        <v>C</v>
      </c>
      <c r="H6773">
        <v>8</v>
      </c>
      <c r="I6773" s="7">
        <v>576</v>
      </c>
      <c r="M6773" s="7">
        <v>315.5</v>
      </c>
      <c r="N6773" s="7">
        <v>282.3</v>
      </c>
      <c r="O6773" s="7">
        <v>169.7</v>
      </c>
    </row>
    <row r="6774" spans="1:18" x14ac:dyDescent="0.2">
      <c r="A6774">
        <v>6773</v>
      </c>
      <c r="B6774" s="1">
        <v>40928</v>
      </c>
      <c r="C6774" t="s">
        <v>28</v>
      </c>
      <c r="D6774" s="7">
        <v>188</v>
      </c>
      <c r="E6774" s="7">
        <v>28</v>
      </c>
      <c r="F6774" s="7">
        <f t="shared" si="106"/>
        <v>6</v>
      </c>
      <c r="G6774" s="7" t="str">
        <f>LOOKUP(H6774,[1]startdates!$A$2:$A$10,[1]startdates!$B$2:$B$10)</f>
        <v>C</v>
      </c>
      <c r="H6774">
        <v>8</v>
      </c>
      <c r="I6774" s="7">
        <v>601.9</v>
      </c>
      <c r="M6774" s="7">
        <v>306.3</v>
      </c>
      <c r="N6774" s="7">
        <v>195</v>
      </c>
      <c r="O6774" s="7">
        <v>154.1</v>
      </c>
    </row>
    <row r="6775" spans="1:18" x14ac:dyDescent="0.2">
      <c r="A6775">
        <v>6774</v>
      </c>
      <c r="B6775" s="1">
        <v>40928</v>
      </c>
      <c r="C6775" t="s">
        <v>28</v>
      </c>
      <c r="D6775" s="7">
        <v>188</v>
      </c>
      <c r="E6775" s="7">
        <v>28</v>
      </c>
      <c r="F6775" s="7">
        <f t="shared" si="106"/>
        <v>6</v>
      </c>
      <c r="G6775" s="7" t="str">
        <f>LOOKUP(H6775,[1]startdates!$A$2:$A$10,[1]startdates!$B$2:$B$10)</f>
        <v>C</v>
      </c>
      <c r="H6775">
        <v>8</v>
      </c>
      <c r="I6775" s="7">
        <v>637.79999999999995</v>
      </c>
      <c r="N6775" s="7">
        <v>272.5</v>
      </c>
      <c r="O6775" s="7">
        <v>134</v>
      </c>
    </row>
    <row r="6776" spans="1:18" x14ac:dyDescent="0.2">
      <c r="A6776">
        <v>6775</v>
      </c>
      <c r="B6776" s="1">
        <v>40928</v>
      </c>
      <c r="C6776" t="s">
        <v>28</v>
      </c>
      <c r="D6776" s="7">
        <v>188</v>
      </c>
      <c r="E6776" s="7">
        <v>28</v>
      </c>
      <c r="F6776" s="7">
        <f t="shared" si="106"/>
        <v>6</v>
      </c>
      <c r="G6776" s="7" t="str">
        <f>LOOKUP(H6776,[1]startdates!$A$2:$A$10,[1]startdates!$B$2:$B$10)</f>
        <v>C</v>
      </c>
      <c r="H6776">
        <v>8</v>
      </c>
      <c r="I6776" s="7">
        <v>579.6</v>
      </c>
      <c r="N6776" s="7">
        <v>283.10000000000002</v>
      </c>
    </row>
    <row r="6777" spans="1:18" x14ac:dyDescent="0.2">
      <c r="A6777">
        <v>6776</v>
      </c>
      <c r="B6777" s="1">
        <v>40928</v>
      </c>
      <c r="C6777" t="s">
        <v>28</v>
      </c>
      <c r="D6777" s="7">
        <v>188</v>
      </c>
      <c r="E6777" s="7">
        <v>28</v>
      </c>
      <c r="F6777" s="7">
        <f t="shared" si="106"/>
        <v>6</v>
      </c>
      <c r="G6777" s="7" t="str">
        <f>LOOKUP(H6777,[1]startdates!$A$2:$A$10,[1]startdates!$B$2:$B$10)</f>
        <v>C</v>
      </c>
      <c r="H6777">
        <v>8</v>
      </c>
      <c r="I6777" s="7">
        <v>565.4</v>
      </c>
    </row>
    <row r="6778" spans="1:18" x14ac:dyDescent="0.2">
      <c r="A6778">
        <v>6777</v>
      </c>
      <c r="B6778" s="1">
        <v>40928</v>
      </c>
      <c r="C6778" t="s">
        <v>28</v>
      </c>
      <c r="D6778" s="7">
        <v>188</v>
      </c>
      <c r="E6778" s="7">
        <v>28</v>
      </c>
      <c r="F6778" s="7">
        <f t="shared" si="106"/>
        <v>6</v>
      </c>
      <c r="G6778" s="7" t="str">
        <f>LOOKUP(H6778,[1]startdates!$A$2:$A$10,[1]startdates!$B$2:$B$10)</f>
        <v>FMr</v>
      </c>
      <c r="H6778">
        <v>9</v>
      </c>
      <c r="I6778" s="7">
        <v>566</v>
      </c>
      <c r="K6778" s="7">
        <v>461.4</v>
      </c>
      <c r="L6778" s="7">
        <v>428.9</v>
      </c>
      <c r="M6778" s="7">
        <v>365.6</v>
      </c>
      <c r="N6778" s="7">
        <v>214</v>
      </c>
      <c r="O6778" s="7">
        <v>148.19999999999999</v>
      </c>
      <c r="P6778" s="7">
        <v>424.4</v>
      </c>
      <c r="Q6778" s="7">
        <v>316.10000000000002</v>
      </c>
      <c r="R6778" s="7">
        <v>287.60000000000002</v>
      </c>
    </row>
    <row r="6779" spans="1:18" x14ac:dyDescent="0.2">
      <c r="A6779">
        <v>6778</v>
      </c>
      <c r="B6779" s="1">
        <v>40928</v>
      </c>
      <c r="C6779" t="s">
        <v>28</v>
      </c>
      <c r="D6779" s="7">
        <v>188</v>
      </c>
      <c r="E6779" s="7">
        <v>28</v>
      </c>
      <c r="F6779" s="7">
        <f t="shared" si="106"/>
        <v>6</v>
      </c>
      <c r="G6779" s="7" t="str">
        <f>LOOKUP(H6779,[1]startdates!$A$2:$A$10,[1]startdates!$B$2:$B$10)</f>
        <v>FMr</v>
      </c>
      <c r="H6779">
        <v>9</v>
      </c>
      <c r="I6779" s="7">
        <v>573</v>
      </c>
      <c r="K6779" s="7">
        <v>491.6</v>
      </c>
      <c r="L6779" s="7">
        <v>438.5</v>
      </c>
      <c r="M6779" s="7">
        <v>386.4</v>
      </c>
      <c r="N6779" s="7">
        <v>286.5</v>
      </c>
      <c r="O6779" s="7">
        <v>164</v>
      </c>
      <c r="P6779" s="7">
        <v>390.5</v>
      </c>
      <c r="Q6779" s="7">
        <v>311.8</v>
      </c>
      <c r="R6779" s="7">
        <v>248.2</v>
      </c>
    </row>
    <row r="6780" spans="1:18" x14ac:dyDescent="0.2">
      <c r="A6780">
        <v>6779</v>
      </c>
      <c r="B6780" s="1">
        <v>40928</v>
      </c>
      <c r="C6780" t="s">
        <v>28</v>
      </c>
      <c r="D6780" s="7">
        <v>188</v>
      </c>
      <c r="E6780" s="7">
        <v>28</v>
      </c>
      <c r="F6780" s="7">
        <f t="shared" si="106"/>
        <v>6</v>
      </c>
      <c r="G6780" s="7" t="str">
        <f>LOOKUP(H6780,[1]startdates!$A$2:$A$10,[1]startdates!$B$2:$B$10)</f>
        <v>FMr</v>
      </c>
      <c r="H6780">
        <v>9</v>
      </c>
      <c r="I6780" s="7">
        <v>550.4</v>
      </c>
      <c r="K6780" s="7">
        <v>502.7</v>
      </c>
      <c r="L6780" s="7">
        <v>443</v>
      </c>
      <c r="M6780" s="7">
        <v>337.9</v>
      </c>
      <c r="N6780" s="7">
        <v>189.3</v>
      </c>
      <c r="O6780" s="7">
        <v>154.19999999999999</v>
      </c>
      <c r="P6780" s="7">
        <v>419.7</v>
      </c>
      <c r="R6780" s="7">
        <v>251.3</v>
      </c>
    </row>
    <row r="6781" spans="1:18" x14ac:dyDescent="0.2">
      <c r="A6781">
        <v>6780</v>
      </c>
      <c r="B6781" s="1">
        <v>40928</v>
      </c>
      <c r="C6781" t="s">
        <v>28</v>
      </c>
      <c r="D6781" s="7">
        <v>188</v>
      </c>
      <c r="E6781" s="7">
        <v>28</v>
      </c>
      <c r="F6781" s="7">
        <f t="shared" si="106"/>
        <v>6</v>
      </c>
      <c r="G6781" s="7" t="str">
        <f>LOOKUP(H6781,[1]startdates!$A$2:$A$10,[1]startdates!$B$2:$B$10)</f>
        <v>FMr</v>
      </c>
      <c r="H6781">
        <v>9</v>
      </c>
      <c r="I6781" s="7">
        <v>584.20000000000005</v>
      </c>
      <c r="K6781" s="7">
        <v>556.79999999999995</v>
      </c>
      <c r="L6781" s="7">
        <v>442.7</v>
      </c>
      <c r="M6781" s="7">
        <v>322.89999999999998</v>
      </c>
      <c r="N6781" s="7">
        <v>248.2</v>
      </c>
      <c r="O6781" s="7">
        <v>185.3</v>
      </c>
      <c r="P6781" s="7">
        <v>424.4</v>
      </c>
      <c r="R6781" s="7">
        <v>245.8</v>
      </c>
    </row>
    <row r="6782" spans="1:18" x14ac:dyDescent="0.2">
      <c r="A6782">
        <v>6781</v>
      </c>
      <c r="B6782" s="1">
        <v>40928</v>
      </c>
      <c r="C6782" t="s">
        <v>28</v>
      </c>
      <c r="D6782" s="7">
        <v>188</v>
      </c>
      <c r="E6782" s="7">
        <v>28</v>
      </c>
      <c r="F6782" s="7">
        <f t="shared" si="106"/>
        <v>6</v>
      </c>
      <c r="G6782" s="7" t="str">
        <f>LOOKUP(H6782,[1]startdates!$A$2:$A$10,[1]startdates!$B$2:$B$10)</f>
        <v>FMr</v>
      </c>
      <c r="H6782">
        <v>9</v>
      </c>
      <c r="I6782" s="7">
        <v>511.2</v>
      </c>
      <c r="K6782" s="7">
        <v>461.5</v>
      </c>
      <c r="L6782" s="7">
        <v>444.2</v>
      </c>
      <c r="M6782" s="7">
        <v>380.9</v>
      </c>
      <c r="N6782" s="7">
        <v>268.60000000000002</v>
      </c>
      <c r="O6782" s="7">
        <v>170</v>
      </c>
      <c r="P6782" s="7">
        <v>430.2</v>
      </c>
    </row>
    <row r="6783" spans="1:18" x14ac:dyDescent="0.2">
      <c r="A6783">
        <v>6782</v>
      </c>
      <c r="B6783" s="1">
        <v>40928</v>
      </c>
      <c r="C6783" t="s">
        <v>28</v>
      </c>
      <c r="D6783" s="7">
        <v>188</v>
      </c>
      <c r="E6783" s="7">
        <v>28</v>
      </c>
      <c r="F6783" s="7">
        <f t="shared" si="106"/>
        <v>6</v>
      </c>
      <c r="G6783" s="7" t="str">
        <f>LOOKUP(H6783,[1]startdates!$A$2:$A$10,[1]startdates!$B$2:$B$10)</f>
        <v>FMr</v>
      </c>
      <c r="H6783">
        <v>9</v>
      </c>
      <c r="I6783" s="7">
        <v>529.6</v>
      </c>
      <c r="K6783" s="7">
        <v>482.7</v>
      </c>
      <c r="L6783" s="7">
        <v>396</v>
      </c>
      <c r="M6783" s="7">
        <v>346.3</v>
      </c>
      <c r="N6783" s="7">
        <v>192.1</v>
      </c>
      <c r="O6783" s="7">
        <v>167.9</v>
      </c>
    </row>
    <row r="6784" spans="1:18" x14ac:dyDescent="0.2">
      <c r="A6784">
        <v>6783</v>
      </c>
      <c r="B6784" s="1">
        <v>40928</v>
      </c>
      <c r="C6784" t="s">
        <v>28</v>
      </c>
      <c r="D6784" s="7">
        <v>188</v>
      </c>
      <c r="E6784" s="7">
        <v>28</v>
      </c>
      <c r="F6784" s="7">
        <f t="shared" si="106"/>
        <v>6</v>
      </c>
      <c r="G6784" s="7" t="str">
        <f>LOOKUP(H6784,[1]startdates!$A$2:$A$10,[1]startdates!$B$2:$B$10)</f>
        <v>FMr</v>
      </c>
      <c r="H6784">
        <v>9</v>
      </c>
      <c r="I6784" s="7">
        <v>633.9</v>
      </c>
      <c r="K6784" s="7">
        <v>510.8</v>
      </c>
      <c r="L6784" s="7">
        <v>424.8</v>
      </c>
      <c r="M6784" s="7">
        <v>340.9</v>
      </c>
      <c r="N6784" s="7">
        <v>285.8</v>
      </c>
      <c r="O6784" s="7">
        <v>153.80000000000001</v>
      </c>
    </row>
    <row r="6785" spans="1:21" x14ac:dyDescent="0.2">
      <c r="A6785">
        <v>6784</v>
      </c>
      <c r="B6785" s="1">
        <v>40928</v>
      </c>
      <c r="C6785" t="s">
        <v>28</v>
      </c>
      <c r="D6785" s="7">
        <v>188</v>
      </c>
      <c r="E6785" s="7">
        <v>28</v>
      </c>
      <c r="F6785" s="7">
        <f t="shared" si="106"/>
        <v>6</v>
      </c>
      <c r="G6785" s="7" t="str">
        <f>LOOKUP(H6785,[1]startdates!$A$2:$A$10,[1]startdates!$B$2:$B$10)</f>
        <v>FMr</v>
      </c>
      <c r="H6785">
        <v>9</v>
      </c>
      <c r="I6785" s="7">
        <v>542.6</v>
      </c>
      <c r="K6785" s="7">
        <v>456.6</v>
      </c>
      <c r="M6785" s="7">
        <v>379.1</v>
      </c>
      <c r="N6785" s="7">
        <v>206.3</v>
      </c>
      <c r="O6785" s="7">
        <v>154.6</v>
      </c>
    </row>
    <row r="6786" spans="1:21" x14ac:dyDescent="0.2">
      <c r="A6786">
        <v>6785</v>
      </c>
      <c r="B6786" s="1">
        <v>40928</v>
      </c>
      <c r="C6786" t="s">
        <v>28</v>
      </c>
      <c r="D6786" s="7">
        <v>188</v>
      </c>
      <c r="E6786" s="7">
        <v>28</v>
      </c>
      <c r="F6786" s="7">
        <f t="shared" si="106"/>
        <v>6</v>
      </c>
      <c r="G6786" s="7" t="str">
        <f>LOOKUP(H6786,[1]startdates!$A$2:$A$10,[1]startdates!$B$2:$B$10)</f>
        <v>FMr</v>
      </c>
      <c r="H6786">
        <v>9</v>
      </c>
      <c r="I6786" s="7">
        <v>514.70000000000005</v>
      </c>
      <c r="M6786" s="7">
        <v>387</v>
      </c>
      <c r="N6786" s="7">
        <v>245.4</v>
      </c>
      <c r="O6786" s="7">
        <v>176</v>
      </c>
    </row>
    <row r="6787" spans="1:21" x14ac:dyDescent="0.2">
      <c r="A6787">
        <v>6786</v>
      </c>
      <c r="B6787" s="1">
        <v>40928</v>
      </c>
      <c r="C6787" t="s">
        <v>28</v>
      </c>
      <c r="D6787" s="7">
        <v>188</v>
      </c>
      <c r="E6787" s="7">
        <v>28</v>
      </c>
      <c r="F6787" s="7">
        <f t="shared" si="106"/>
        <v>6</v>
      </c>
      <c r="G6787" s="7" t="str">
        <f>LOOKUP(H6787,[1]startdates!$A$2:$A$10,[1]startdates!$B$2:$B$10)</f>
        <v>FMr</v>
      </c>
      <c r="H6787">
        <v>9</v>
      </c>
      <c r="I6787" s="7">
        <v>568.1</v>
      </c>
      <c r="M6787" s="7">
        <v>357.2</v>
      </c>
      <c r="N6787" s="7">
        <v>203</v>
      </c>
      <c r="O6787" s="7">
        <v>188.9</v>
      </c>
    </row>
    <row r="6788" spans="1:21" x14ac:dyDescent="0.2">
      <c r="A6788">
        <v>6787</v>
      </c>
      <c r="B6788" s="1">
        <v>40928</v>
      </c>
      <c r="C6788" t="s">
        <v>28</v>
      </c>
      <c r="D6788" s="7">
        <v>188</v>
      </c>
      <c r="E6788" s="7">
        <v>28</v>
      </c>
      <c r="F6788" s="7">
        <f t="shared" si="106"/>
        <v>6</v>
      </c>
      <c r="G6788" s="7" t="str">
        <f>LOOKUP(H6788,[1]startdates!$A$2:$A$10,[1]startdates!$B$2:$B$10)</f>
        <v>FMr</v>
      </c>
      <c r="H6788">
        <v>9</v>
      </c>
      <c r="N6788" s="7">
        <v>239.4</v>
      </c>
    </row>
    <row r="6789" spans="1:21" x14ac:dyDescent="0.2">
      <c r="A6789">
        <v>6788</v>
      </c>
      <c r="B6789" s="1">
        <v>40932</v>
      </c>
      <c r="C6789" t="s">
        <v>28</v>
      </c>
      <c r="D6789" s="7">
        <v>192</v>
      </c>
      <c r="E6789" s="7">
        <v>29</v>
      </c>
      <c r="F6789" s="7">
        <f t="shared" si="106"/>
        <v>3</v>
      </c>
      <c r="G6789" s="7" t="str">
        <f>LOOKUP(H6789,[1]startdates!$A$2:$A$10,[1]startdates!$B$2:$B$10)</f>
        <v>SMr</v>
      </c>
      <c r="H6789">
        <v>1</v>
      </c>
      <c r="I6789" s="7">
        <v>518.4</v>
      </c>
      <c r="J6789" s="7">
        <v>406.5</v>
      </c>
      <c r="K6789" s="7">
        <v>462.7</v>
      </c>
      <c r="L6789" s="7">
        <v>400.1</v>
      </c>
      <c r="M6789" s="7">
        <v>375.4</v>
      </c>
      <c r="N6789" s="7">
        <v>220.7</v>
      </c>
      <c r="O6789" s="7">
        <v>161.5</v>
      </c>
      <c r="P6789" s="7">
        <v>461.1</v>
      </c>
      <c r="Q6789" s="7">
        <v>296.8</v>
      </c>
      <c r="R6789" s="7">
        <v>265.5</v>
      </c>
      <c r="U6789" s="7">
        <v>445.4</v>
      </c>
    </row>
    <row r="6790" spans="1:21" x14ac:dyDescent="0.2">
      <c r="A6790">
        <v>6789</v>
      </c>
      <c r="B6790" s="1">
        <v>40932</v>
      </c>
      <c r="C6790" t="s">
        <v>28</v>
      </c>
      <c r="D6790" s="7">
        <v>192</v>
      </c>
      <c r="E6790" s="7">
        <v>29</v>
      </c>
      <c r="F6790" s="7">
        <f t="shared" si="106"/>
        <v>3</v>
      </c>
      <c r="G6790" s="7" t="str">
        <f>LOOKUP(H6790,[1]startdates!$A$2:$A$10,[1]startdates!$B$2:$B$10)</f>
        <v>SMr</v>
      </c>
      <c r="H6790">
        <v>1</v>
      </c>
      <c r="I6790" s="7">
        <v>648.1</v>
      </c>
      <c r="J6790" s="7">
        <v>495.7</v>
      </c>
      <c r="K6790" s="7">
        <v>474.9</v>
      </c>
      <c r="L6790" s="7">
        <v>441.1</v>
      </c>
      <c r="M6790" s="7">
        <v>368.5</v>
      </c>
      <c r="N6790" s="7">
        <v>281.60000000000002</v>
      </c>
      <c r="O6790" s="7">
        <v>160.4</v>
      </c>
      <c r="P6790" s="7">
        <v>475.6</v>
      </c>
      <c r="Q6790" s="7">
        <v>324</v>
      </c>
      <c r="R6790" s="7">
        <v>231.8</v>
      </c>
      <c r="U6790" s="7">
        <v>498.9</v>
      </c>
    </row>
    <row r="6791" spans="1:21" x14ac:dyDescent="0.2">
      <c r="A6791">
        <v>6790</v>
      </c>
      <c r="B6791" s="1">
        <v>40932</v>
      </c>
      <c r="C6791" t="s">
        <v>28</v>
      </c>
      <c r="D6791" s="7">
        <v>192</v>
      </c>
      <c r="E6791" s="7">
        <v>29</v>
      </c>
      <c r="F6791" s="7">
        <f t="shared" si="106"/>
        <v>3</v>
      </c>
      <c r="G6791" s="7" t="str">
        <f>LOOKUP(H6791,[1]startdates!$A$2:$A$10,[1]startdates!$B$2:$B$10)</f>
        <v>SMr</v>
      </c>
      <c r="H6791">
        <v>1</v>
      </c>
      <c r="I6791" s="7">
        <v>538.6</v>
      </c>
      <c r="J6791" s="7">
        <v>411.7</v>
      </c>
      <c r="K6791" s="7">
        <v>526.9</v>
      </c>
      <c r="L6791" s="7">
        <v>395.5</v>
      </c>
      <c r="M6791" s="7">
        <v>327.9</v>
      </c>
      <c r="N6791" s="7">
        <v>265.5</v>
      </c>
      <c r="O6791" s="7">
        <v>159.30000000000001</v>
      </c>
      <c r="P6791" s="7">
        <v>452.9</v>
      </c>
      <c r="U6791" s="7">
        <v>489.1</v>
      </c>
    </row>
    <row r="6792" spans="1:21" x14ac:dyDescent="0.2">
      <c r="A6792">
        <v>6791</v>
      </c>
      <c r="B6792" s="1">
        <v>40932</v>
      </c>
      <c r="C6792" t="s">
        <v>28</v>
      </c>
      <c r="D6792" s="7">
        <v>192</v>
      </c>
      <c r="E6792" s="7">
        <v>29</v>
      </c>
      <c r="F6792" s="7">
        <f t="shared" si="106"/>
        <v>3</v>
      </c>
      <c r="G6792" s="7" t="str">
        <f>LOOKUP(H6792,[1]startdates!$A$2:$A$10,[1]startdates!$B$2:$B$10)</f>
        <v>SMr</v>
      </c>
      <c r="H6792">
        <v>1</v>
      </c>
      <c r="I6792" s="7">
        <v>568.29999999999995</v>
      </c>
      <c r="K6792" s="7">
        <v>492.4</v>
      </c>
      <c r="M6792" s="7">
        <v>355</v>
      </c>
      <c r="N6792" s="7">
        <v>244.7</v>
      </c>
      <c r="O6792" s="7">
        <v>164.4</v>
      </c>
      <c r="P6792" s="7">
        <v>484.9</v>
      </c>
      <c r="U6792" s="7">
        <v>456.7</v>
      </c>
    </row>
    <row r="6793" spans="1:21" x14ac:dyDescent="0.2">
      <c r="A6793">
        <v>6792</v>
      </c>
      <c r="B6793" s="1">
        <v>40932</v>
      </c>
      <c r="C6793" t="s">
        <v>28</v>
      </c>
      <c r="D6793" s="7">
        <v>192</v>
      </c>
      <c r="E6793" s="7">
        <v>29</v>
      </c>
      <c r="F6793" s="7">
        <f t="shared" si="106"/>
        <v>3</v>
      </c>
      <c r="G6793" s="7" t="str">
        <f>LOOKUP(H6793,[1]startdates!$A$2:$A$10,[1]startdates!$B$2:$B$10)</f>
        <v>SMr</v>
      </c>
      <c r="H6793">
        <v>1</v>
      </c>
      <c r="I6793" s="7">
        <v>582.29999999999995</v>
      </c>
      <c r="M6793" s="7">
        <v>349.1</v>
      </c>
      <c r="N6793" s="7">
        <v>221.7</v>
      </c>
      <c r="O6793" s="7">
        <v>142.1</v>
      </c>
    </row>
    <row r="6794" spans="1:21" x14ac:dyDescent="0.2">
      <c r="A6794">
        <v>6793</v>
      </c>
      <c r="B6794" s="1">
        <v>40932</v>
      </c>
      <c r="C6794" t="s">
        <v>28</v>
      </c>
      <c r="D6794" s="7">
        <v>192</v>
      </c>
      <c r="E6794" s="7">
        <v>29</v>
      </c>
      <c r="F6794" s="7">
        <f t="shared" si="106"/>
        <v>3</v>
      </c>
      <c r="G6794" s="7" t="str">
        <f>LOOKUP(H6794,[1]startdates!$A$2:$A$10,[1]startdates!$B$2:$B$10)</f>
        <v>SMr</v>
      </c>
      <c r="H6794">
        <v>1</v>
      </c>
      <c r="I6794" s="7">
        <v>540.70000000000005</v>
      </c>
      <c r="M6794" s="7">
        <v>382.7</v>
      </c>
      <c r="N6794" s="7">
        <v>219</v>
      </c>
      <c r="O6794" s="7">
        <v>172.5</v>
      </c>
    </row>
    <row r="6795" spans="1:21" x14ac:dyDescent="0.2">
      <c r="A6795">
        <v>6794</v>
      </c>
      <c r="B6795" s="1">
        <v>40932</v>
      </c>
      <c r="C6795" t="s">
        <v>28</v>
      </c>
      <c r="D6795" s="7">
        <v>192</v>
      </c>
      <c r="E6795" s="7">
        <v>29</v>
      </c>
      <c r="F6795" s="7">
        <f t="shared" si="106"/>
        <v>3</v>
      </c>
      <c r="G6795" s="7" t="str">
        <f>LOOKUP(H6795,[1]startdates!$A$2:$A$10,[1]startdates!$B$2:$B$10)</f>
        <v>SMr</v>
      </c>
      <c r="H6795">
        <v>1</v>
      </c>
      <c r="I6795" s="7">
        <v>571</v>
      </c>
      <c r="N6795" s="7">
        <v>232.2</v>
      </c>
      <c r="O6795" s="7">
        <v>129.5</v>
      </c>
    </row>
    <row r="6796" spans="1:21" x14ac:dyDescent="0.2">
      <c r="A6796">
        <v>6795</v>
      </c>
      <c r="B6796" s="1">
        <v>40932</v>
      </c>
      <c r="C6796" t="s">
        <v>28</v>
      </c>
      <c r="D6796" s="7">
        <v>192</v>
      </c>
      <c r="E6796" s="7">
        <v>29</v>
      </c>
      <c r="F6796" s="7">
        <f t="shared" si="106"/>
        <v>3</v>
      </c>
      <c r="G6796" s="7" t="str">
        <f>LOOKUP(H6796,[1]startdates!$A$2:$A$10,[1]startdates!$B$2:$B$10)</f>
        <v>SMr</v>
      </c>
      <c r="H6796">
        <v>1</v>
      </c>
      <c r="I6796" s="7">
        <v>621</v>
      </c>
      <c r="N6796" s="7">
        <v>191</v>
      </c>
      <c r="O6796" s="7">
        <v>151.1</v>
      </c>
    </row>
    <row r="6797" spans="1:21" x14ac:dyDescent="0.2">
      <c r="A6797">
        <v>6796</v>
      </c>
      <c r="B6797" s="1">
        <v>40932</v>
      </c>
      <c r="C6797" t="s">
        <v>28</v>
      </c>
      <c r="D6797" s="7">
        <v>192</v>
      </c>
      <c r="E6797" s="7">
        <v>29</v>
      </c>
      <c r="F6797" s="7">
        <f t="shared" si="106"/>
        <v>3</v>
      </c>
      <c r="G6797" s="7" t="str">
        <f>LOOKUP(H6797,[1]startdates!$A$2:$A$10,[1]startdates!$B$2:$B$10)</f>
        <v>SMr</v>
      </c>
      <c r="H6797">
        <v>1</v>
      </c>
      <c r="I6797" s="7">
        <v>572.70000000000005</v>
      </c>
      <c r="N6797" s="7">
        <v>215.7</v>
      </c>
      <c r="O6797" s="7">
        <v>145.6</v>
      </c>
    </row>
    <row r="6798" spans="1:21" x14ac:dyDescent="0.2">
      <c r="A6798">
        <v>6797</v>
      </c>
      <c r="B6798" s="1">
        <v>40932</v>
      </c>
      <c r="C6798" t="s">
        <v>28</v>
      </c>
      <c r="D6798" s="7">
        <v>192</v>
      </c>
      <c r="E6798" s="7">
        <v>29</v>
      </c>
      <c r="F6798" s="7">
        <f t="shared" si="106"/>
        <v>3</v>
      </c>
      <c r="G6798" s="7" t="str">
        <f>LOOKUP(H6798,[1]startdates!$A$2:$A$10,[1]startdates!$B$2:$B$10)</f>
        <v>SMr</v>
      </c>
      <c r="H6798">
        <v>1</v>
      </c>
      <c r="I6798" s="7">
        <v>588.29999999999995</v>
      </c>
      <c r="N6798" s="7">
        <v>245.4</v>
      </c>
      <c r="O6798" s="7">
        <v>147.30000000000001</v>
      </c>
    </row>
    <row r="6799" spans="1:21" x14ac:dyDescent="0.2">
      <c r="A6799">
        <v>6798</v>
      </c>
      <c r="B6799" s="1">
        <v>40932</v>
      </c>
      <c r="C6799" t="s">
        <v>28</v>
      </c>
      <c r="D6799" s="7">
        <v>192</v>
      </c>
      <c r="E6799" s="7">
        <v>29</v>
      </c>
      <c r="F6799" s="7">
        <f t="shared" si="106"/>
        <v>3</v>
      </c>
      <c r="G6799" s="7" t="str">
        <f>LOOKUP(H6799,[1]startdates!$A$2:$A$10,[1]startdates!$B$2:$B$10)</f>
        <v>SMr</v>
      </c>
      <c r="H6799">
        <v>1</v>
      </c>
      <c r="N6799" s="7">
        <v>286.7</v>
      </c>
    </row>
    <row r="6800" spans="1:21" x14ac:dyDescent="0.2">
      <c r="A6800">
        <v>6799</v>
      </c>
      <c r="B6800" s="1">
        <v>40932</v>
      </c>
      <c r="C6800" t="s">
        <v>28</v>
      </c>
      <c r="D6800" s="7">
        <v>192</v>
      </c>
      <c r="E6800" s="7">
        <v>29</v>
      </c>
      <c r="F6800" s="7">
        <f t="shared" si="106"/>
        <v>3</v>
      </c>
      <c r="G6800" s="7" t="str">
        <f>LOOKUP(H6800,[1]startdates!$A$2:$A$10,[1]startdates!$B$2:$B$10)</f>
        <v>SMr</v>
      </c>
      <c r="H6800">
        <v>2</v>
      </c>
      <c r="I6800" s="7">
        <v>569.87</v>
      </c>
      <c r="K6800" s="7">
        <v>564.79999999999995</v>
      </c>
      <c r="L6800" s="7">
        <v>423.1</v>
      </c>
      <c r="M6800" s="7">
        <v>364.4</v>
      </c>
      <c r="N6800" s="7">
        <v>253</v>
      </c>
      <c r="O6800" s="7">
        <v>151</v>
      </c>
      <c r="P6800" s="7">
        <v>405.6</v>
      </c>
      <c r="Q6800" s="7">
        <v>368.8</v>
      </c>
      <c r="R6800" s="7">
        <v>257.3</v>
      </c>
      <c r="U6800" s="7">
        <v>438.5</v>
      </c>
    </row>
    <row r="6801" spans="1:21" x14ac:dyDescent="0.2">
      <c r="A6801">
        <v>6800</v>
      </c>
      <c r="B6801" s="1">
        <v>40932</v>
      </c>
      <c r="C6801" t="s">
        <v>28</v>
      </c>
      <c r="D6801" s="7">
        <v>192</v>
      </c>
      <c r="E6801" s="7">
        <v>29</v>
      </c>
      <c r="F6801" s="7">
        <f t="shared" si="106"/>
        <v>3</v>
      </c>
      <c r="G6801" s="7" t="str">
        <f>LOOKUP(H6801,[1]startdates!$A$2:$A$10,[1]startdates!$B$2:$B$10)</f>
        <v>SMr</v>
      </c>
      <c r="H6801">
        <v>2</v>
      </c>
      <c r="I6801" s="7">
        <v>451.3</v>
      </c>
      <c r="K6801" s="7">
        <v>555.1</v>
      </c>
      <c r="L6801" s="7">
        <v>446.4</v>
      </c>
      <c r="M6801" s="7">
        <v>369.1</v>
      </c>
      <c r="N6801" s="7">
        <v>242.5</v>
      </c>
      <c r="O6801" s="7">
        <v>152.1</v>
      </c>
      <c r="P6801" s="7">
        <v>406.3</v>
      </c>
      <c r="Q6801" s="7">
        <v>335.4</v>
      </c>
      <c r="U6801" s="7">
        <v>427.5</v>
      </c>
    </row>
    <row r="6802" spans="1:21" x14ac:dyDescent="0.2">
      <c r="A6802">
        <v>6801</v>
      </c>
      <c r="B6802" s="1">
        <v>40932</v>
      </c>
      <c r="C6802" t="s">
        <v>28</v>
      </c>
      <c r="D6802" s="7">
        <v>192</v>
      </c>
      <c r="E6802" s="7">
        <v>29</v>
      </c>
      <c r="F6802" s="7">
        <f t="shared" si="106"/>
        <v>3</v>
      </c>
      <c r="G6802" s="7" t="str">
        <f>LOOKUP(H6802,[1]startdates!$A$2:$A$10,[1]startdates!$B$2:$B$10)</f>
        <v>SMr</v>
      </c>
      <c r="H6802">
        <v>2</v>
      </c>
      <c r="I6802" s="7">
        <v>471.1</v>
      </c>
      <c r="K6802" s="7">
        <v>451.4</v>
      </c>
      <c r="L6802" s="7">
        <v>404.6</v>
      </c>
      <c r="M6802" s="7">
        <v>347.6</v>
      </c>
      <c r="N6802" s="7">
        <v>244</v>
      </c>
      <c r="O6802" s="7">
        <v>145.1</v>
      </c>
      <c r="P6802" s="7">
        <v>431.4</v>
      </c>
      <c r="Q6802" s="7">
        <v>337.5</v>
      </c>
      <c r="U6802" s="7">
        <v>433.2</v>
      </c>
    </row>
    <row r="6803" spans="1:21" x14ac:dyDescent="0.2">
      <c r="A6803">
        <v>6802</v>
      </c>
      <c r="B6803" s="1">
        <v>40932</v>
      </c>
      <c r="C6803" t="s">
        <v>28</v>
      </c>
      <c r="D6803" s="7">
        <v>192</v>
      </c>
      <c r="E6803" s="7">
        <v>29</v>
      </c>
      <c r="F6803" s="7">
        <f t="shared" si="106"/>
        <v>3</v>
      </c>
      <c r="G6803" s="7" t="str">
        <f>LOOKUP(H6803,[1]startdates!$A$2:$A$10,[1]startdates!$B$2:$B$10)</f>
        <v>SMr</v>
      </c>
      <c r="H6803">
        <v>2</v>
      </c>
      <c r="I6803" s="7">
        <v>546.79999999999995</v>
      </c>
      <c r="K6803" s="7">
        <v>408.7</v>
      </c>
      <c r="L6803" s="7">
        <v>406.3</v>
      </c>
      <c r="M6803" s="7">
        <v>364.1</v>
      </c>
      <c r="N6803" s="7">
        <v>233.1</v>
      </c>
      <c r="O6803" s="7">
        <v>158.1</v>
      </c>
      <c r="Q6803" s="7">
        <v>350.8</v>
      </c>
      <c r="U6803" s="7">
        <v>466.3</v>
      </c>
    </row>
    <row r="6804" spans="1:21" x14ac:dyDescent="0.2">
      <c r="A6804">
        <v>6803</v>
      </c>
      <c r="B6804" s="1">
        <v>40932</v>
      </c>
      <c r="C6804" t="s">
        <v>28</v>
      </c>
      <c r="D6804" s="7">
        <v>192</v>
      </c>
      <c r="E6804" s="7">
        <v>29</v>
      </c>
      <c r="F6804" s="7">
        <f t="shared" si="106"/>
        <v>3</v>
      </c>
      <c r="G6804" s="7" t="str">
        <f>LOOKUP(H6804,[1]startdates!$A$2:$A$10,[1]startdates!$B$2:$B$10)</f>
        <v>SMr</v>
      </c>
      <c r="H6804">
        <v>2</v>
      </c>
      <c r="I6804" s="7">
        <v>542.70000000000005</v>
      </c>
      <c r="L6804" s="7">
        <v>395</v>
      </c>
      <c r="M6804" s="7">
        <v>359</v>
      </c>
      <c r="N6804" s="7">
        <v>220.6</v>
      </c>
      <c r="O6804" s="7">
        <v>177.8</v>
      </c>
    </row>
    <row r="6805" spans="1:21" x14ac:dyDescent="0.2">
      <c r="A6805">
        <v>6804</v>
      </c>
      <c r="B6805" s="1">
        <v>40932</v>
      </c>
      <c r="C6805" t="s">
        <v>28</v>
      </c>
      <c r="D6805" s="7">
        <v>192</v>
      </c>
      <c r="E6805" s="7">
        <v>29</v>
      </c>
      <c r="F6805" s="7">
        <f t="shared" si="106"/>
        <v>3</v>
      </c>
      <c r="G6805" s="7" t="str">
        <f>LOOKUP(H6805,[1]startdates!$A$2:$A$10,[1]startdates!$B$2:$B$10)</f>
        <v>SMr</v>
      </c>
      <c r="H6805">
        <v>2</v>
      </c>
      <c r="I6805" s="7">
        <v>578.20000000000005</v>
      </c>
      <c r="L6805" s="7">
        <v>438.2</v>
      </c>
      <c r="M6805" s="7">
        <v>314.60000000000002</v>
      </c>
      <c r="N6805" s="7">
        <v>230.5</v>
      </c>
      <c r="O6805" s="7">
        <v>166.5</v>
      </c>
    </row>
    <row r="6806" spans="1:21" x14ac:dyDescent="0.2">
      <c r="A6806">
        <v>6805</v>
      </c>
      <c r="B6806" s="1">
        <v>40932</v>
      </c>
      <c r="C6806" t="s">
        <v>28</v>
      </c>
      <c r="D6806" s="7">
        <v>192</v>
      </c>
      <c r="E6806" s="7">
        <v>29</v>
      </c>
      <c r="F6806" s="7">
        <f t="shared" si="106"/>
        <v>3</v>
      </c>
      <c r="G6806" s="7" t="str">
        <f>LOOKUP(H6806,[1]startdates!$A$2:$A$10,[1]startdates!$B$2:$B$10)</f>
        <v>SMr</v>
      </c>
      <c r="H6806">
        <v>2</v>
      </c>
      <c r="I6806" s="7">
        <v>623.1</v>
      </c>
      <c r="L6806" s="7">
        <v>412.9</v>
      </c>
      <c r="M6806" s="7">
        <v>307.8</v>
      </c>
      <c r="N6806" s="7">
        <v>207.7</v>
      </c>
      <c r="O6806" s="7">
        <v>180.7</v>
      </c>
    </row>
    <row r="6807" spans="1:21" x14ac:dyDescent="0.2">
      <c r="A6807">
        <v>6806</v>
      </c>
      <c r="B6807" s="1">
        <v>40932</v>
      </c>
      <c r="C6807" t="s">
        <v>28</v>
      </c>
      <c r="D6807" s="7">
        <v>192</v>
      </c>
      <c r="E6807" s="7">
        <v>29</v>
      </c>
      <c r="F6807" s="7">
        <f t="shared" si="106"/>
        <v>3</v>
      </c>
      <c r="G6807" s="7" t="str">
        <f>LOOKUP(H6807,[1]startdates!$A$2:$A$10,[1]startdates!$B$2:$B$10)</f>
        <v>SMr</v>
      </c>
      <c r="H6807">
        <v>2</v>
      </c>
      <c r="I6807" s="7">
        <v>527.4</v>
      </c>
      <c r="L6807" s="7">
        <v>445.2</v>
      </c>
      <c r="M6807" s="7">
        <v>316.7</v>
      </c>
      <c r="N6807" s="7">
        <v>187.9</v>
      </c>
      <c r="O6807" s="7">
        <v>152.6</v>
      </c>
    </row>
    <row r="6808" spans="1:21" x14ac:dyDescent="0.2">
      <c r="A6808">
        <v>6807</v>
      </c>
      <c r="B6808" s="1">
        <v>40932</v>
      </c>
      <c r="C6808" t="s">
        <v>28</v>
      </c>
      <c r="D6808" s="7">
        <v>192</v>
      </c>
      <c r="E6808" s="7">
        <v>29</v>
      </c>
      <c r="F6808" s="7">
        <f t="shared" si="106"/>
        <v>3</v>
      </c>
      <c r="G6808" s="7" t="str">
        <f>LOOKUP(H6808,[1]startdates!$A$2:$A$10,[1]startdates!$B$2:$B$10)</f>
        <v>SMr</v>
      </c>
      <c r="H6808">
        <v>2</v>
      </c>
      <c r="I6808" s="7">
        <v>497.2</v>
      </c>
      <c r="N6808" s="7">
        <v>204.7</v>
      </c>
      <c r="O6808" s="7">
        <v>156.19999999999999</v>
      </c>
    </row>
    <row r="6809" spans="1:21" x14ac:dyDescent="0.2">
      <c r="A6809">
        <v>6808</v>
      </c>
      <c r="B6809" s="1">
        <v>40932</v>
      </c>
      <c r="C6809" t="s">
        <v>28</v>
      </c>
      <c r="D6809" s="7">
        <v>192</v>
      </c>
      <c r="E6809" s="7">
        <v>29</v>
      </c>
      <c r="F6809" s="7">
        <f t="shared" si="106"/>
        <v>3</v>
      </c>
      <c r="G6809" s="7" t="str">
        <f>LOOKUP(H6809,[1]startdates!$A$2:$A$10,[1]startdates!$B$2:$B$10)</f>
        <v>SMr</v>
      </c>
      <c r="H6809">
        <v>2</v>
      </c>
      <c r="I6809" s="7">
        <v>530.29999999999995</v>
      </c>
      <c r="N6809" s="7">
        <v>210.6</v>
      </c>
      <c r="O6809" s="7">
        <v>149</v>
      </c>
    </row>
    <row r="6810" spans="1:21" x14ac:dyDescent="0.2">
      <c r="A6810">
        <v>6809</v>
      </c>
      <c r="B6810" s="1">
        <v>40932</v>
      </c>
      <c r="C6810" t="s">
        <v>28</v>
      </c>
      <c r="D6810" s="7">
        <v>192</v>
      </c>
      <c r="E6810" s="7">
        <v>29</v>
      </c>
      <c r="F6810" s="7">
        <f t="shared" si="106"/>
        <v>3</v>
      </c>
      <c r="G6810" s="7" t="str">
        <f>LOOKUP(H6810,[1]startdates!$A$2:$A$10,[1]startdates!$B$2:$B$10)</f>
        <v>C</v>
      </c>
      <c r="H6810">
        <v>3</v>
      </c>
      <c r="I6810" s="7">
        <v>543.1</v>
      </c>
      <c r="K6810" s="7">
        <v>496.4</v>
      </c>
      <c r="L6810" s="7">
        <v>409.5</v>
      </c>
      <c r="M6810" s="7">
        <v>298.2</v>
      </c>
      <c r="N6810" s="7">
        <v>204.1</v>
      </c>
      <c r="O6810" s="7">
        <v>173.8</v>
      </c>
      <c r="Q6810" s="7">
        <v>348</v>
      </c>
      <c r="R6810" s="7">
        <v>251.9</v>
      </c>
      <c r="S6810" s="7">
        <v>234</v>
      </c>
    </row>
    <row r="6811" spans="1:21" x14ac:dyDescent="0.2">
      <c r="A6811">
        <v>6810</v>
      </c>
      <c r="B6811" s="1">
        <v>40932</v>
      </c>
      <c r="C6811" t="s">
        <v>28</v>
      </c>
      <c r="D6811" s="7">
        <v>192</v>
      </c>
      <c r="E6811" s="7">
        <v>29</v>
      </c>
      <c r="F6811" s="7">
        <f t="shared" si="106"/>
        <v>3</v>
      </c>
      <c r="G6811" s="7" t="str">
        <f>LOOKUP(H6811,[1]startdates!$A$2:$A$10,[1]startdates!$B$2:$B$10)</f>
        <v>C</v>
      </c>
      <c r="H6811">
        <v>3</v>
      </c>
      <c r="I6811" s="7">
        <v>608.5</v>
      </c>
      <c r="K6811" s="7">
        <v>504.1</v>
      </c>
      <c r="L6811" s="7">
        <v>456.4</v>
      </c>
      <c r="M6811" s="7">
        <v>291.60000000000002</v>
      </c>
      <c r="N6811" s="7">
        <v>238.7</v>
      </c>
      <c r="O6811" s="7">
        <v>173.7</v>
      </c>
      <c r="Q6811" s="7">
        <v>317.10000000000002</v>
      </c>
      <c r="R6811" s="7">
        <v>276.5</v>
      </c>
    </row>
    <row r="6812" spans="1:21" x14ac:dyDescent="0.2">
      <c r="A6812">
        <v>6811</v>
      </c>
      <c r="B6812" s="1">
        <v>40932</v>
      </c>
      <c r="C6812" t="s">
        <v>28</v>
      </c>
      <c r="D6812" s="7">
        <v>192</v>
      </c>
      <c r="E6812" s="7">
        <v>29</v>
      </c>
      <c r="F6812" s="7">
        <f t="shared" si="106"/>
        <v>3</v>
      </c>
      <c r="G6812" s="7" t="str">
        <f>LOOKUP(H6812,[1]startdates!$A$2:$A$10,[1]startdates!$B$2:$B$10)</f>
        <v>C</v>
      </c>
      <c r="H6812">
        <v>3</v>
      </c>
      <c r="I6812" s="7">
        <v>505.5</v>
      </c>
      <c r="K6812" s="7">
        <v>519.1</v>
      </c>
      <c r="L6812" s="7">
        <v>413.4</v>
      </c>
      <c r="M6812" s="7">
        <v>375.8</v>
      </c>
      <c r="N6812" s="7">
        <v>202.6</v>
      </c>
      <c r="O6812" s="7">
        <v>172.9</v>
      </c>
      <c r="Q6812" s="7">
        <v>335.3</v>
      </c>
      <c r="R6812" s="7">
        <v>265.7</v>
      </c>
    </row>
    <row r="6813" spans="1:21" x14ac:dyDescent="0.2">
      <c r="A6813">
        <v>6812</v>
      </c>
      <c r="B6813" s="1">
        <v>40932</v>
      </c>
      <c r="C6813" t="s">
        <v>28</v>
      </c>
      <c r="D6813" s="7">
        <v>192</v>
      </c>
      <c r="E6813" s="7">
        <v>29</v>
      </c>
      <c r="F6813" s="7">
        <f t="shared" si="106"/>
        <v>3</v>
      </c>
      <c r="G6813" s="7" t="str">
        <f>LOOKUP(H6813,[1]startdates!$A$2:$A$10,[1]startdates!$B$2:$B$10)</f>
        <v>C</v>
      </c>
      <c r="H6813">
        <v>3</v>
      </c>
      <c r="I6813" s="7">
        <v>482</v>
      </c>
      <c r="K6813" s="7">
        <v>453.1</v>
      </c>
      <c r="M6813" s="7">
        <v>304.60000000000002</v>
      </c>
      <c r="N6813" s="7">
        <v>211.3</v>
      </c>
      <c r="O6813" s="7">
        <v>164</v>
      </c>
      <c r="Q6813" s="7">
        <v>348.9</v>
      </c>
      <c r="R6813" s="7">
        <v>239.7</v>
      </c>
    </row>
    <row r="6814" spans="1:21" x14ac:dyDescent="0.2">
      <c r="A6814">
        <v>6813</v>
      </c>
      <c r="B6814" s="1">
        <v>40932</v>
      </c>
      <c r="C6814" t="s">
        <v>28</v>
      </c>
      <c r="D6814" s="7">
        <v>192</v>
      </c>
      <c r="E6814" s="7">
        <v>29</v>
      </c>
      <c r="F6814" s="7">
        <f t="shared" si="106"/>
        <v>3</v>
      </c>
      <c r="G6814" s="7" t="str">
        <f>LOOKUP(H6814,[1]startdates!$A$2:$A$10,[1]startdates!$B$2:$B$10)</f>
        <v>C</v>
      </c>
      <c r="H6814">
        <v>3</v>
      </c>
      <c r="I6814" s="7">
        <v>640.5</v>
      </c>
      <c r="K6814" s="7">
        <v>466</v>
      </c>
      <c r="M6814" s="7">
        <v>333.6</v>
      </c>
      <c r="N6814" s="7">
        <v>241</v>
      </c>
      <c r="O6814" s="7">
        <v>166.7</v>
      </c>
    </row>
    <row r="6815" spans="1:21" x14ac:dyDescent="0.2">
      <c r="A6815">
        <v>6814</v>
      </c>
      <c r="B6815" s="1">
        <v>40932</v>
      </c>
      <c r="C6815" t="s">
        <v>28</v>
      </c>
      <c r="D6815" s="7">
        <v>192</v>
      </c>
      <c r="E6815" s="7">
        <v>29</v>
      </c>
      <c r="F6815" s="7">
        <f t="shared" si="106"/>
        <v>3</v>
      </c>
      <c r="G6815" s="7" t="str">
        <f>LOOKUP(H6815,[1]startdates!$A$2:$A$10,[1]startdates!$B$2:$B$10)</f>
        <v>C</v>
      </c>
      <c r="H6815">
        <v>3</v>
      </c>
      <c r="I6815" s="7">
        <v>670.1</v>
      </c>
      <c r="K6815" s="7">
        <v>568.70000000000005</v>
      </c>
      <c r="M6815" s="7">
        <v>295.39999999999998</v>
      </c>
      <c r="N6815" s="7">
        <v>184.9</v>
      </c>
      <c r="O6815" s="7">
        <v>159.30000000000001</v>
      </c>
    </row>
    <row r="6816" spans="1:21" x14ac:dyDescent="0.2">
      <c r="A6816">
        <v>6815</v>
      </c>
      <c r="B6816" s="1">
        <v>40932</v>
      </c>
      <c r="C6816" t="s">
        <v>28</v>
      </c>
      <c r="D6816" s="7">
        <v>192</v>
      </c>
      <c r="E6816" s="7">
        <v>29</v>
      </c>
      <c r="F6816" s="7">
        <f t="shared" si="106"/>
        <v>3</v>
      </c>
      <c r="G6816" s="7" t="str">
        <f>LOOKUP(H6816,[1]startdates!$A$2:$A$10,[1]startdates!$B$2:$B$10)</f>
        <v>C</v>
      </c>
      <c r="H6816">
        <v>3</v>
      </c>
      <c r="I6816" s="7">
        <v>494</v>
      </c>
      <c r="M6816" s="7">
        <v>321.7</v>
      </c>
      <c r="N6816" s="7">
        <v>206.7</v>
      </c>
      <c r="O6816" s="7">
        <v>164</v>
      </c>
    </row>
    <row r="6817" spans="1:21" x14ac:dyDescent="0.2">
      <c r="A6817">
        <v>6816</v>
      </c>
      <c r="B6817" s="1">
        <v>40932</v>
      </c>
      <c r="C6817" t="s">
        <v>28</v>
      </c>
      <c r="D6817" s="7">
        <v>192</v>
      </c>
      <c r="E6817" s="7">
        <v>29</v>
      </c>
      <c r="F6817" s="7">
        <f t="shared" si="106"/>
        <v>3</v>
      </c>
      <c r="G6817" s="7" t="str">
        <f>LOOKUP(H6817,[1]startdates!$A$2:$A$10,[1]startdates!$B$2:$B$10)</f>
        <v>C</v>
      </c>
      <c r="H6817">
        <v>3</v>
      </c>
      <c r="I6817" s="7">
        <v>555.4</v>
      </c>
      <c r="M6817" s="7">
        <v>326.2</v>
      </c>
      <c r="N6817" s="7">
        <v>216.1</v>
      </c>
      <c r="O6817" s="7">
        <v>171.6</v>
      </c>
    </row>
    <row r="6818" spans="1:21" x14ac:dyDescent="0.2">
      <c r="A6818">
        <v>6817</v>
      </c>
      <c r="B6818" s="1">
        <v>40932</v>
      </c>
      <c r="C6818" t="s">
        <v>28</v>
      </c>
      <c r="D6818" s="7">
        <v>192</v>
      </c>
      <c r="E6818" s="7">
        <v>29</v>
      </c>
      <c r="F6818" s="7">
        <f t="shared" si="106"/>
        <v>3</v>
      </c>
      <c r="G6818" s="7" t="str">
        <f>LOOKUP(H6818,[1]startdates!$A$2:$A$10,[1]startdates!$B$2:$B$10)</f>
        <v>C</v>
      </c>
      <c r="H6818">
        <v>3</v>
      </c>
      <c r="I6818" s="7">
        <v>525.29999999999995</v>
      </c>
      <c r="M6818" s="7">
        <v>342.4</v>
      </c>
      <c r="N6818" s="7">
        <v>195.9</v>
      </c>
      <c r="O6818" s="7">
        <v>149.5</v>
      </c>
    </row>
    <row r="6819" spans="1:21" x14ac:dyDescent="0.2">
      <c r="A6819">
        <v>6818</v>
      </c>
      <c r="B6819" s="1">
        <v>40932</v>
      </c>
      <c r="C6819" t="s">
        <v>28</v>
      </c>
      <c r="D6819" s="7">
        <v>192</v>
      </c>
      <c r="E6819" s="7">
        <v>29</v>
      </c>
      <c r="F6819" s="7">
        <f t="shared" si="106"/>
        <v>3</v>
      </c>
      <c r="G6819" s="7" t="str">
        <f>LOOKUP(H6819,[1]startdates!$A$2:$A$10,[1]startdates!$B$2:$B$10)</f>
        <v>C</v>
      </c>
      <c r="H6819">
        <v>3</v>
      </c>
      <c r="I6819" s="7">
        <v>549.79999999999995</v>
      </c>
      <c r="M6819" s="7">
        <v>345.4</v>
      </c>
      <c r="N6819" s="7">
        <v>195.7</v>
      </c>
    </row>
    <row r="6820" spans="1:21" x14ac:dyDescent="0.2">
      <c r="A6820">
        <v>6819</v>
      </c>
      <c r="B6820" s="1">
        <v>40932</v>
      </c>
      <c r="C6820" t="s">
        <v>28</v>
      </c>
      <c r="D6820" s="7">
        <v>192</v>
      </c>
      <c r="E6820" s="7">
        <v>29</v>
      </c>
      <c r="F6820" s="7">
        <f t="shared" si="106"/>
        <v>3</v>
      </c>
      <c r="G6820" s="7" t="str">
        <f>LOOKUP(H6820,[1]startdates!$A$2:$A$10,[1]startdates!$B$2:$B$10)</f>
        <v>C</v>
      </c>
      <c r="H6820">
        <v>3</v>
      </c>
      <c r="I6820" s="7">
        <v>626.6</v>
      </c>
    </row>
    <row r="6821" spans="1:21" x14ac:dyDescent="0.2">
      <c r="A6821">
        <v>6820</v>
      </c>
      <c r="B6821" s="1">
        <v>40932</v>
      </c>
      <c r="C6821" t="s">
        <v>28</v>
      </c>
      <c r="D6821" s="7">
        <v>192</v>
      </c>
      <c r="E6821" s="7">
        <v>29</v>
      </c>
      <c r="F6821" s="7">
        <f t="shared" si="106"/>
        <v>3</v>
      </c>
      <c r="G6821" s="7" t="str">
        <f>LOOKUP(H6821,[1]startdates!$A$2:$A$10,[1]startdates!$B$2:$B$10)</f>
        <v>SMr</v>
      </c>
      <c r="H6821">
        <v>4</v>
      </c>
      <c r="I6821" s="7">
        <v>574.6</v>
      </c>
      <c r="K6821" s="7">
        <v>436.5</v>
      </c>
      <c r="L6821" s="7">
        <v>442.4</v>
      </c>
      <c r="M6821" s="7">
        <v>324.39999999999998</v>
      </c>
      <c r="N6821" s="7">
        <v>179.8</v>
      </c>
      <c r="O6821" s="7">
        <v>163</v>
      </c>
      <c r="P6821" s="7">
        <v>439.4</v>
      </c>
      <c r="Q6821" s="7">
        <v>339.1</v>
      </c>
      <c r="S6821" s="7">
        <v>232.4</v>
      </c>
      <c r="U6821" s="7">
        <v>496.4</v>
      </c>
    </row>
    <row r="6822" spans="1:21" x14ac:dyDescent="0.2">
      <c r="A6822">
        <v>6821</v>
      </c>
      <c r="B6822" s="1">
        <v>40932</v>
      </c>
      <c r="C6822" t="s">
        <v>28</v>
      </c>
      <c r="D6822" s="7">
        <v>192</v>
      </c>
      <c r="E6822" s="7">
        <v>29</v>
      </c>
      <c r="F6822" s="7">
        <f t="shared" si="106"/>
        <v>3</v>
      </c>
      <c r="G6822" s="7" t="str">
        <f>LOOKUP(H6822,[1]startdates!$A$2:$A$10,[1]startdates!$B$2:$B$10)</f>
        <v>SMr</v>
      </c>
      <c r="H6822">
        <v>4</v>
      </c>
      <c r="I6822" s="7">
        <v>491.3</v>
      </c>
      <c r="K6822" s="7">
        <v>472.4</v>
      </c>
      <c r="L6822" s="7">
        <v>408.8</v>
      </c>
      <c r="M6822" s="7">
        <v>298.8</v>
      </c>
      <c r="N6822" s="7">
        <v>190.1</v>
      </c>
      <c r="O6822" s="7">
        <v>183.4</v>
      </c>
      <c r="P6822" s="7">
        <v>438.9</v>
      </c>
      <c r="Q6822" s="7">
        <v>295.3</v>
      </c>
      <c r="U6822" s="7">
        <v>420.5</v>
      </c>
    </row>
    <row r="6823" spans="1:21" x14ac:dyDescent="0.2">
      <c r="A6823">
        <v>6822</v>
      </c>
      <c r="B6823" s="1">
        <v>40932</v>
      </c>
      <c r="C6823" t="s">
        <v>28</v>
      </c>
      <c r="D6823" s="7">
        <v>192</v>
      </c>
      <c r="E6823" s="7">
        <v>29</v>
      </c>
      <c r="F6823" s="7">
        <f t="shared" si="106"/>
        <v>3</v>
      </c>
      <c r="G6823" s="7" t="str">
        <f>LOOKUP(H6823,[1]startdates!$A$2:$A$10,[1]startdates!$B$2:$B$10)</f>
        <v>SMr</v>
      </c>
      <c r="H6823">
        <v>4</v>
      </c>
      <c r="I6823" s="7">
        <v>511.5</v>
      </c>
      <c r="K6823" s="7">
        <v>510.4</v>
      </c>
      <c r="L6823" s="7">
        <v>424.5</v>
      </c>
      <c r="M6823" s="7">
        <v>305.60000000000002</v>
      </c>
      <c r="N6823" s="7">
        <v>249.4</v>
      </c>
      <c r="O6823" s="7">
        <v>140.19999999999999</v>
      </c>
      <c r="P6823" s="7">
        <v>456.8</v>
      </c>
      <c r="Q6823" s="7">
        <v>341</v>
      </c>
      <c r="U6823" s="7">
        <v>406.3</v>
      </c>
    </row>
    <row r="6824" spans="1:21" x14ac:dyDescent="0.2">
      <c r="A6824">
        <v>6823</v>
      </c>
      <c r="B6824" s="1">
        <v>40932</v>
      </c>
      <c r="C6824" t="s">
        <v>28</v>
      </c>
      <c r="D6824" s="7">
        <v>192</v>
      </c>
      <c r="E6824" s="7">
        <v>29</v>
      </c>
      <c r="F6824" s="7">
        <f t="shared" si="106"/>
        <v>3</v>
      </c>
      <c r="G6824" s="7" t="str">
        <f>LOOKUP(H6824,[1]startdates!$A$2:$A$10,[1]startdates!$B$2:$B$10)</f>
        <v>SMr</v>
      </c>
      <c r="H6824">
        <v>4</v>
      </c>
      <c r="I6824" s="7">
        <v>540</v>
      </c>
      <c r="K6824" s="7">
        <v>498.4</v>
      </c>
      <c r="L6824" s="7">
        <v>438.3</v>
      </c>
      <c r="M6824" s="7">
        <v>376.3</v>
      </c>
      <c r="N6824" s="7">
        <v>168</v>
      </c>
      <c r="O6824" s="7">
        <v>172.9</v>
      </c>
      <c r="P6824" s="7">
        <v>433.7</v>
      </c>
      <c r="Q6824" s="7">
        <v>369.7</v>
      </c>
      <c r="U6824" s="7">
        <v>520.6</v>
      </c>
    </row>
    <row r="6825" spans="1:21" x14ac:dyDescent="0.2">
      <c r="A6825">
        <v>6824</v>
      </c>
      <c r="B6825" s="1">
        <v>40932</v>
      </c>
      <c r="C6825" t="s">
        <v>28</v>
      </c>
      <c r="D6825" s="7">
        <v>192</v>
      </c>
      <c r="E6825" s="7">
        <v>29</v>
      </c>
      <c r="F6825" s="7">
        <f t="shared" ref="F6825:F6888" si="107">WEEKDAY(B6825)</f>
        <v>3</v>
      </c>
      <c r="G6825" s="7" t="str">
        <f>LOOKUP(H6825,[1]startdates!$A$2:$A$10,[1]startdates!$B$2:$B$10)</f>
        <v>SMr</v>
      </c>
      <c r="H6825">
        <v>4</v>
      </c>
      <c r="I6825" s="7">
        <v>458</v>
      </c>
      <c r="K6825" s="7">
        <v>457.3</v>
      </c>
      <c r="L6825" s="7">
        <v>437.1</v>
      </c>
      <c r="M6825" s="7">
        <v>322.8</v>
      </c>
      <c r="N6825" s="7">
        <v>222.6</v>
      </c>
      <c r="O6825" s="7">
        <v>152.19999999999999</v>
      </c>
      <c r="P6825" s="7">
        <v>506</v>
      </c>
    </row>
    <row r="6826" spans="1:21" x14ac:dyDescent="0.2">
      <c r="A6826">
        <v>6825</v>
      </c>
      <c r="B6826" s="1">
        <v>40932</v>
      </c>
      <c r="C6826" t="s">
        <v>28</v>
      </c>
      <c r="D6826" s="7">
        <v>192</v>
      </c>
      <c r="E6826" s="7">
        <v>29</v>
      </c>
      <c r="F6826" s="7">
        <f t="shared" si="107"/>
        <v>3</v>
      </c>
      <c r="G6826" s="7" t="str">
        <f>LOOKUP(H6826,[1]startdates!$A$2:$A$10,[1]startdates!$B$2:$B$10)</f>
        <v>SMr</v>
      </c>
      <c r="H6826">
        <v>4</v>
      </c>
      <c r="I6826" s="7">
        <v>466.3</v>
      </c>
      <c r="L6826" s="7">
        <v>395.6</v>
      </c>
      <c r="M6826" s="7">
        <v>291.60000000000002</v>
      </c>
      <c r="N6826" s="7">
        <v>216.1</v>
      </c>
      <c r="O6826" s="7">
        <v>143</v>
      </c>
    </row>
    <row r="6827" spans="1:21" x14ac:dyDescent="0.2">
      <c r="A6827">
        <v>6826</v>
      </c>
      <c r="B6827" s="1">
        <v>40932</v>
      </c>
      <c r="C6827" t="s">
        <v>28</v>
      </c>
      <c r="D6827" s="7">
        <v>192</v>
      </c>
      <c r="E6827" s="7">
        <v>29</v>
      </c>
      <c r="F6827" s="7">
        <f t="shared" si="107"/>
        <v>3</v>
      </c>
      <c r="G6827" s="7" t="str">
        <f>LOOKUP(H6827,[1]startdates!$A$2:$A$10,[1]startdates!$B$2:$B$10)</f>
        <v>SMr</v>
      </c>
      <c r="H6827">
        <v>4</v>
      </c>
      <c r="I6827" s="7">
        <v>500.6</v>
      </c>
      <c r="L6827" s="7">
        <v>419.7</v>
      </c>
      <c r="M6827" s="7">
        <v>328.7</v>
      </c>
      <c r="N6827" s="7">
        <v>231.3</v>
      </c>
      <c r="O6827" s="7">
        <v>171.8</v>
      </c>
    </row>
    <row r="6828" spans="1:21" x14ac:dyDescent="0.2">
      <c r="A6828">
        <v>6827</v>
      </c>
      <c r="B6828" s="1">
        <v>40932</v>
      </c>
      <c r="C6828" t="s">
        <v>28</v>
      </c>
      <c r="D6828" s="7">
        <v>192</v>
      </c>
      <c r="E6828" s="7">
        <v>29</v>
      </c>
      <c r="F6828" s="7">
        <f t="shared" si="107"/>
        <v>3</v>
      </c>
      <c r="G6828" s="7" t="str">
        <f>LOOKUP(H6828,[1]startdates!$A$2:$A$10,[1]startdates!$B$2:$B$10)</f>
        <v>SMr</v>
      </c>
      <c r="H6828">
        <v>4</v>
      </c>
      <c r="I6828" s="7">
        <v>483.7</v>
      </c>
      <c r="M6828" s="7">
        <v>356.9</v>
      </c>
      <c r="N6828" s="7">
        <v>203.7</v>
      </c>
      <c r="O6828" s="7">
        <v>165</v>
      </c>
    </row>
    <row r="6829" spans="1:21" x14ac:dyDescent="0.2">
      <c r="A6829">
        <v>6828</v>
      </c>
      <c r="B6829" s="1">
        <v>40932</v>
      </c>
      <c r="C6829" t="s">
        <v>28</v>
      </c>
      <c r="D6829" s="7">
        <v>192</v>
      </c>
      <c r="E6829" s="7">
        <v>29</v>
      </c>
      <c r="F6829" s="7">
        <f t="shared" si="107"/>
        <v>3</v>
      </c>
      <c r="G6829" s="7" t="str">
        <f>LOOKUP(H6829,[1]startdates!$A$2:$A$10,[1]startdates!$B$2:$B$10)</f>
        <v>SMr</v>
      </c>
      <c r="H6829">
        <v>4</v>
      </c>
      <c r="I6829" s="7">
        <v>543.1</v>
      </c>
      <c r="M6829" s="7">
        <v>310.89999999999998</v>
      </c>
      <c r="N6829" s="7">
        <v>278.7</v>
      </c>
      <c r="O6829" s="7">
        <v>179.8</v>
      </c>
    </row>
    <row r="6830" spans="1:21" x14ac:dyDescent="0.2">
      <c r="A6830">
        <v>6829</v>
      </c>
      <c r="B6830" s="1">
        <v>40932</v>
      </c>
      <c r="C6830" t="s">
        <v>28</v>
      </c>
      <c r="D6830" s="7">
        <v>192</v>
      </c>
      <c r="E6830" s="7">
        <v>29</v>
      </c>
      <c r="F6830" s="7">
        <f t="shared" si="107"/>
        <v>3</v>
      </c>
      <c r="G6830" s="7" t="str">
        <f>LOOKUP(H6830,[1]startdates!$A$2:$A$10,[1]startdates!$B$2:$B$10)</f>
        <v>SMr</v>
      </c>
      <c r="H6830">
        <v>4</v>
      </c>
      <c r="I6830" s="7">
        <v>572.9</v>
      </c>
      <c r="M6830" s="7">
        <v>377.6</v>
      </c>
      <c r="N6830" s="7">
        <v>211.3</v>
      </c>
      <c r="O6830" s="7">
        <v>135.80000000000001</v>
      </c>
    </row>
    <row r="6831" spans="1:21" x14ac:dyDescent="0.2">
      <c r="A6831">
        <v>6830</v>
      </c>
      <c r="B6831" s="1">
        <v>40932</v>
      </c>
      <c r="C6831" t="s">
        <v>28</v>
      </c>
      <c r="D6831" s="7">
        <v>192</v>
      </c>
      <c r="E6831" s="7">
        <v>29</v>
      </c>
      <c r="F6831" s="7">
        <f t="shared" si="107"/>
        <v>3</v>
      </c>
      <c r="G6831" s="7" t="str">
        <f>LOOKUP(H6831,[1]startdates!$A$2:$A$10,[1]startdates!$B$2:$B$10)</f>
        <v>SMr</v>
      </c>
      <c r="H6831">
        <v>4</v>
      </c>
      <c r="M6831" s="7">
        <v>348.9</v>
      </c>
      <c r="N6831" s="7">
        <v>257.89999999999998</v>
      </c>
    </row>
    <row r="6832" spans="1:21" x14ac:dyDescent="0.2">
      <c r="A6832">
        <v>6831</v>
      </c>
      <c r="B6832" s="1">
        <v>40932</v>
      </c>
      <c r="C6832" t="s">
        <v>28</v>
      </c>
      <c r="D6832" s="7">
        <v>192</v>
      </c>
      <c r="E6832" s="7">
        <v>29</v>
      </c>
      <c r="F6832" s="7">
        <f t="shared" si="107"/>
        <v>3</v>
      </c>
      <c r="G6832" s="7" t="str">
        <f>LOOKUP(H6832,[1]startdates!$A$2:$A$10,[1]startdates!$B$2:$B$10)</f>
        <v>SMr</v>
      </c>
      <c r="H6832">
        <v>4</v>
      </c>
      <c r="N6832" s="7">
        <v>258.39999999999998</v>
      </c>
    </row>
    <row r="6833" spans="1:19" x14ac:dyDescent="0.2">
      <c r="A6833">
        <v>6832</v>
      </c>
      <c r="B6833" s="1">
        <v>40932</v>
      </c>
      <c r="C6833" t="s">
        <v>28</v>
      </c>
      <c r="D6833" s="7">
        <v>192</v>
      </c>
      <c r="E6833" s="7">
        <v>29</v>
      </c>
      <c r="F6833" s="7">
        <f t="shared" si="107"/>
        <v>3</v>
      </c>
      <c r="G6833" s="7" t="str">
        <f>LOOKUP(H6833,[1]startdates!$A$2:$A$10,[1]startdates!$B$2:$B$10)</f>
        <v>C</v>
      </c>
      <c r="H6833">
        <v>5</v>
      </c>
      <c r="I6833" s="7">
        <v>700.1</v>
      </c>
      <c r="J6833" s="7">
        <v>480.9</v>
      </c>
      <c r="K6833" s="7">
        <v>578.1</v>
      </c>
      <c r="L6833" s="7">
        <v>456.8</v>
      </c>
      <c r="M6833" s="7">
        <v>291.8</v>
      </c>
      <c r="N6833" s="7">
        <v>221.7</v>
      </c>
      <c r="O6833" s="7">
        <v>165.5</v>
      </c>
      <c r="R6833" s="7">
        <v>253.6</v>
      </c>
    </row>
    <row r="6834" spans="1:19" x14ac:dyDescent="0.2">
      <c r="A6834">
        <v>6833</v>
      </c>
      <c r="B6834" s="1">
        <v>40932</v>
      </c>
      <c r="C6834" t="s">
        <v>28</v>
      </c>
      <c r="D6834" s="7">
        <v>192</v>
      </c>
      <c r="E6834" s="7">
        <v>29</v>
      </c>
      <c r="F6834" s="7">
        <f t="shared" si="107"/>
        <v>3</v>
      </c>
      <c r="G6834" s="7" t="str">
        <f>LOOKUP(H6834,[1]startdates!$A$2:$A$10,[1]startdates!$B$2:$B$10)</f>
        <v>C</v>
      </c>
      <c r="H6834">
        <v>5</v>
      </c>
      <c r="I6834" s="7">
        <v>652.9</v>
      </c>
      <c r="J6834" s="7">
        <v>538.20000000000005</v>
      </c>
      <c r="K6834" s="7">
        <v>454.4</v>
      </c>
      <c r="L6834" s="7">
        <v>404.2</v>
      </c>
      <c r="M6834" s="7">
        <v>357.4</v>
      </c>
      <c r="N6834" s="7">
        <v>188.7</v>
      </c>
      <c r="O6834" s="7">
        <v>158.6</v>
      </c>
      <c r="R6834" s="7">
        <v>248.2</v>
      </c>
    </row>
    <row r="6835" spans="1:19" x14ac:dyDescent="0.2">
      <c r="A6835">
        <v>6834</v>
      </c>
      <c r="B6835" s="1">
        <v>40932</v>
      </c>
      <c r="C6835" t="s">
        <v>28</v>
      </c>
      <c r="D6835" s="7">
        <v>192</v>
      </c>
      <c r="E6835" s="7">
        <v>29</v>
      </c>
      <c r="F6835" s="7">
        <f t="shared" si="107"/>
        <v>3</v>
      </c>
      <c r="G6835" s="7" t="str">
        <f>LOOKUP(H6835,[1]startdates!$A$2:$A$10,[1]startdates!$B$2:$B$10)</f>
        <v>C</v>
      </c>
      <c r="H6835">
        <v>5</v>
      </c>
      <c r="I6835" s="7">
        <v>600.9</v>
      </c>
      <c r="J6835" s="7">
        <v>484.3</v>
      </c>
      <c r="K6835" s="7">
        <v>585.9</v>
      </c>
      <c r="M6835" s="7">
        <v>376.2</v>
      </c>
      <c r="N6835" s="7">
        <v>273.10000000000002</v>
      </c>
      <c r="O6835" s="7">
        <v>164.9</v>
      </c>
      <c r="R6835" s="7">
        <v>273.7</v>
      </c>
    </row>
    <row r="6836" spans="1:19" x14ac:dyDescent="0.2">
      <c r="A6836">
        <v>6835</v>
      </c>
      <c r="B6836" s="1">
        <v>40932</v>
      </c>
      <c r="C6836" t="s">
        <v>28</v>
      </c>
      <c r="D6836" s="7">
        <v>192</v>
      </c>
      <c r="E6836" s="7">
        <v>29</v>
      </c>
      <c r="F6836" s="7">
        <f t="shared" si="107"/>
        <v>3</v>
      </c>
      <c r="G6836" s="7" t="str">
        <f>LOOKUP(H6836,[1]startdates!$A$2:$A$10,[1]startdates!$B$2:$B$10)</f>
        <v>C</v>
      </c>
      <c r="H6836">
        <v>5</v>
      </c>
      <c r="I6836" s="7">
        <v>687.1</v>
      </c>
      <c r="K6836" s="7">
        <v>476.3</v>
      </c>
      <c r="M6836" s="7">
        <v>374</v>
      </c>
      <c r="N6836" s="7">
        <v>286.10000000000002</v>
      </c>
      <c r="O6836" s="7">
        <v>166.9</v>
      </c>
    </row>
    <row r="6837" spans="1:19" x14ac:dyDescent="0.2">
      <c r="A6837">
        <v>6836</v>
      </c>
      <c r="B6837" s="1">
        <v>40932</v>
      </c>
      <c r="C6837" t="s">
        <v>28</v>
      </c>
      <c r="D6837" s="7">
        <v>192</v>
      </c>
      <c r="E6837" s="7">
        <v>29</v>
      </c>
      <c r="F6837" s="7">
        <f t="shared" si="107"/>
        <v>3</v>
      </c>
      <c r="G6837" s="7" t="str">
        <f>LOOKUP(H6837,[1]startdates!$A$2:$A$10,[1]startdates!$B$2:$B$10)</f>
        <v>C</v>
      </c>
      <c r="H6837">
        <v>5</v>
      </c>
      <c r="I6837" s="7">
        <v>655.6</v>
      </c>
      <c r="K6837" s="7">
        <v>456.7</v>
      </c>
      <c r="M6837" s="7">
        <v>303</v>
      </c>
      <c r="N6837" s="7">
        <v>200.3</v>
      </c>
      <c r="O6837" s="7">
        <v>164.2</v>
      </c>
    </row>
    <row r="6838" spans="1:19" x14ac:dyDescent="0.2">
      <c r="A6838">
        <v>6837</v>
      </c>
      <c r="B6838" s="1">
        <v>40932</v>
      </c>
      <c r="C6838" t="s">
        <v>28</v>
      </c>
      <c r="D6838" s="7">
        <v>192</v>
      </c>
      <c r="E6838" s="7">
        <v>29</v>
      </c>
      <c r="F6838" s="7">
        <f t="shared" si="107"/>
        <v>3</v>
      </c>
      <c r="G6838" s="7" t="str">
        <f>LOOKUP(H6838,[1]startdates!$A$2:$A$10,[1]startdates!$B$2:$B$10)</f>
        <v>C</v>
      </c>
      <c r="H6838">
        <v>5</v>
      </c>
      <c r="I6838" s="7">
        <v>607.6</v>
      </c>
      <c r="K6838" s="7">
        <v>554.29999999999995</v>
      </c>
      <c r="M6838" s="7">
        <v>364.6</v>
      </c>
      <c r="N6838" s="7">
        <v>235.7</v>
      </c>
      <c r="O6838" s="7">
        <v>150.30000000000001</v>
      </c>
    </row>
    <row r="6839" spans="1:19" x14ac:dyDescent="0.2">
      <c r="A6839">
        <v>6838</v>
      </c>
      <c r="B6839" s="1">
        <v>40932</v>
      </c>
      <c r="C6839" t="s">
        <v>28</v>
      </c>
      <c r="D6839" s="7">
        <v>192</v>
      </c>
      <c r="E6839" s="7">
        <v>29</v>
      </c>
      <c r="F6839" s="7">
        <f t="shared" si="107"/>
        <v>3</v>
      </c>
      <c r="G6839" s="7" t="str">
        <f>LOOKUP(H6839,[1]startdates!$A$2:$A$10,[1]startdates!$B$2:$B$10)</f>
        <v>C</v>
      </c>
      <c r="H6839">
        <v>5</v>
      </c>
      <c r="I6839" s="7">
        <v>567.70000000000005</v>
      </c>
      <c r="K6839" s="7">
        <v>432</v>
      </c>
      <c r="M6839" s="7">
        <v>304.7</v>
      </c>
      <c r="N6839" s="7">
        <v>178.1</v>
      </c>
      <c r="O6839" s="7">
        <v>181.9</v>
      </c>
    </row>
    <row r="6840" spans="1:19" x14ac:dyDescent="0.2">
      <c r="A6840">
        <v>6839</v>
      </c>
      <c r="B6840" s="1">
        <v>40932</v>
      </c>
      <c r="C6840" t="s">
        <v>28</v>
      </c>
      <c r="D6840" s="7">
        <v>192</v>
      </c>
      <c r="E6840" s="7">
        <v>29</v>
      </c>
      <c r="F6840" s="7">
        <f t="shared" si="107"/>
        <v>3</v>
      </c>
      <c r="G6840" s="7" t="str">
        <f>LOOKUP(H6840,[1]startdates!$A$2:$A$10,[1]startdates!$B$2:$B$10)</f>
        <v>C</v>
      </c>
      <c r="H6840">
        <v>5</v>
      </c>
      <c r="I6840" s="7">
        <v>611.20000000000005</v>
      </c>
      <c r="K6840" s="7">
        <v>476.6</v>
      </c>
      <c r="M6840" s="7">
        <v>320.2</v>
      </c>
      <c r="N6840" s="7">
        <v>185</v>
      </c>
      <c r="O6840" s="7">
        <v>159.80000000000001</v>
      </c>
    </row>
    <row r="6841" spans="1:19" x14ac:dyDescent="0.2">
      <c r="A6841">
        <v>6840</v>
      </c>
      <c r="B6841" s="1">
        <v>40932</v>
      </c>
      <c r="C6841" t="s">
        <v>28</v>
      </c>
      <c r="D6841" s="7">
        <v>192</v>
      </c>
      <c r="E6841" s="7">
        <v>29</v>
      </c>
      <c r="F6841" s="7">
        <f t="shared" si="107"/>
        <v>3</v>
      </c>
      <c r="G6841" s="7" t="str">
        <f>LOOKUP(H6841,[1]startdates!$A$2:$A$10,[1]startdates!$B$2:$B$10)</f>
        <v>C</v>
      </c>
      <c r="H6841">
        <v>5</v>
      </c>
      <c r="I6841" s="7">
        <v>572.9</v>
      </c>
      <c r="N6841" s="7">
        <v>258</v>
      </c>
      <c r="O6841" s="7">
        <v>161.69999999999999</v>
      </c>
    </row>
    <row r="6842" spans="1:19" x14ac:dyDescent="0.2">
      <c r="A6842">
        <v>6841</v>
      </c>
      <c r="B6842" s="1">
        <v>40932</v>
      </c>
      <c r="C6842" t="s">
        <v>28</v>
      </c>
      <c r="D6842" s="7">
        <v>192</v>
      </c>
      <c r="E6842" s="7">
        <v>29</v>
      </c>
      <c r="F6842" s="7">
        <f t="shared" si="107"/>
        <v>3</v>
      </c>
      <c r="G6842" s="7" t="str">
        <f>LOOKUP(H6842,[1]startdates!$A$2:$A$10,[1]startdates!$B$2:$B$10)</f>
        <v>C</v>
      </c>
      <c r="H6842">
        <v>5</v>
      </c>
      <c r="I6842" s="7">
        <v>603.79999999999995</v>
      </c>
      <c r="N6842" s="7">
        <v>288.7</v>
      </c>
      <c r="O6842" s="7">
        <v>165.7</v>
      </c>
    </row>
    <row r="6843" spans="1:19" x14ac:dyDescent="0.2">
      <c r="A6843">
        <v>6842</v>
      </c>
      <c r="B6843" s="1">
        <v>40932</v>
      </c>
      <c r="C6843" t="s">
        <v>28</v>
      </c>
      <c r="D6843" s="7">
        <v>192</v>
      </c>
      <c r="E6843" s="7">
        <v>29</v>
      </c>
      <c r="F6843" s="7">
        <f t="shared" si="107"/>
        <v>3</v>
      </c>
      <c r="G6843" s="7" t="str">
        <f>LOOKUP(H6843,[1]startdates!$A$2:$A$10,[1]startdates!$B$2:$B$10)</f>
        <v>FMr</v>
      </c>
      <c r="H6843">
        <v>6</v>
      </c>
      <c r="I6843" s="7">
        <v>563.4</v>
      </c>
      <c r="K6843" s="7">
        <v>438.9</v>
      </c>
      <c r="L6843" s="7">
        <v>433</v>
      </c>
      <c r="M6843" s="7">
        <v>359.4</v>
      </c>
      <c r="N6843" s="7">
        <v>209.6</v>
      </c>
      <c r="O6843" s="7">
        <v>161.4</v>
      </c>
      <c r="Q6843" s="7">
        <v>333.9</v>
      </c>
      <c r="S6843" s="7">
        <v>243.1</v>
      </c>
    </row>
    <row r="6844" spans="1:19" x14ac:dyDescent="0.2">
      <c r="A6844">
        <v>6843</v>
      </c>
      <c r="B6844" s="1">
        <v>40932</v>
      </c>
      <c r="C6844" t="s">
        <v>28</v>
      </c>
      <c r="D6844" s="7">
        <v>192</v>
      </c>
      <c r="E6844" s="7">
        <v>29</v>
      </c>
      <c r="F6844" s="7">
        <f t="shared" si="107"/>
        <v>3</v>
      </c>
      <c r="G6844" s="7" t="str">
        <f>LOOKUP(H6844,[1]startdates!$A$2:$A$10,[1]startdates!$B$2:$B$10)</f>
        <v>FMr</v>
      </c>
      <c r="H6844">
        <v>6</v>
      </c>
      <c r="I6844" s="7">
        <v>651</v>
      </c>
      <c r="K6844" s="7">
        <v>541.20000000000005</v>
      </c>
      <c r="L6844" s="7">
        <v>407</v>
      </c>
      <c r="M6844" s="7">
        <v>350.8</v>
      </c>
      <c r="N6844" s="7">
        <v>243.7</v>
      </c>
      <c r="O6844" s="7">
        <v>158.1</v>
      </c>
      <c r="Q6844" s="7">
        <v>377.8</v>
      </c>
    </row>
    <row r="6845" spans="1:19" x14ac:dyDescent="0.2">
      <c r="A6845">
        <v>6844</v>
      </c>
      <c r="B6845" s="1">
        <v>40932</v>
      </c>
      <c r="C6845" t="s">
        <v>28</v>
      </c>
      <c r="D6845" s="7">
        <v>192</v>
      </c>
      <c r="E6845" s="7">
        <v>29</v>
      </c>
      <c r="F6845" s="7">
        <f t="shared" si="107"/>
        <v>3</v>
      </c>
      <c r="G6845" s="7" t="str">
        <f>LOOKUP(H6845,[1]startdates!$A$2:$A$10,[1]startdates!$B$2:$B$10)</f>
        <v>FMr</v>
      </c>
      <c r="H6845">
        <v>6</v>
      </c>
      <c r="I6845" s="7">
        <v>470.8</v>
      </c>
      <c r="K6845" s="7">
        <v>487.1</v>
      </c>
      <c r="L6845" s="7">
        <v>468.9</v>
      </c>
      <c r="M6845" s="7">
        <v>383.3</v>
      </c>
      <c r="N6845" s="7">
        <v>177.3</v>
      </c>
      <c r="O6845" s="7">
        <v>154.1</v>
      </c>
      <c r="Q6845" s="7">
        <v>343.6</v>
      </c>
    </row>
    <row r="6846" spans="1:19" x14ac:dyDescent="0.2">
      <c r="A6846">
        <v>6845</v>
      </c>
      <c r="B6846" s="1">
        <v>40932</v>
      </c>
      <c r="C6846" t="s">
        <v>28</v>
      </c>
      <c r="D6846" s="7">
        <v>192</v>
      </c>
      <c r="E6846" s="7">
        <v>29</v>
      </c>
      <c r="F6846" s="7">
        <f t="shared" si="107"/>
        <v>3</v>
      </c>
      <c r="G6846" s="7" t="str">
        <f>LOOKUP(H6846,[1]startdates!$A$2:$A$10,[1]startdates!$B$2:$B$10)</f>
        <v>FMr</v>
      </c>
      <c r="H6846">
        <v>6</v>
      </c>
      <c r="I6846" s="7">
        <v>598.70000000000005</v>
      </c>
      <c r="K6846" s="7">
        <v>496.9</v>
      </c>
      <c r="L6846" s="7">
        <v>442</v>
      </c>
      <c r="M6846" s="7">
        <v>379</v>
      </c>
      <c r="N6846" s="7">
        <v>239.7</v>
      </c>
      <c r="O6846" s="7">
        <v>160.4</v>
      </c>
      <c r="Q6846" s="7">
        <v>327</v>
      </c>
    </row>
    <row r="6847" spans="1:19" x14ac:dyDescent="0.2">
      <c r="A6847">
        <v>6846</v>
      </c>
      <c r="B6847" s="1">
        <v>40932</v>
      </c>
      <c r="C6847" t="s">
        <v>28</v>
      </c>
      <c r="D6847" s="7">
        <v>192</v>
      </c>
      <c r="E6847" s="7">
        <v>29</v>
      </c>
      <c r="F6847" s="7">
        <f t="shared" si="107"/>
        <v>3</v>
      </c>
      <c r="G6847" s="7" t="str">
        <f>LOOKUP(H6847,[1]startdates!$A$2:$A$10,[1]startdates!$B$2:$B$10)</f>
        <v>FMr</v>
      </c>
      <c r="H6847">
        <v>6</v>
      </c>
      <c r="I6847" s="7">
        <v>587.70000000000005</v>
      </c>
      <c r="K6847" s="7">
        <v>531</v>
      </c>
      <c r="M6847" s="7">
        <v>321.3</v>
      </c>
      <c r="N6847" s="7">
        <v>222.9</v>
      </c>
      <c r="O6847" s="7">
        <v>165.5</v>
      </c>
    </row>
    <row r="6848" spans="1:19" x14ac:dyDescent="0.2">
      <c r="A6848">
        <v>6847</v>
      </c>
      <c r="B6848" s="1">
        <v>40932</v>
      </c>
      <c r="C6848" t="s">
        <v>28</v>
      </c>
      <c r="D6848" s="7">
        <v>192</v>
      </c>
      <c r="E6848" s="7">
        <v>29</v>
      </c>
      <c r="F6848" s="7">
        <f t="shared" si="107"/>
        <v>3</v>
      </c>
      <c r="G6848" s="7" t="str">
        <f>LOOKUP(H6848,[1]startdates!$A$2:$A$10,[1]startdates!$B$2:$B$10)</f>
        <v>FMr</v>
      </c>
      <c r="H6848">
        <v>6</v>
      </c>
      <c r="I6848" s="7">
        <v>467.6</v>
      </c>
      <c r="K6848" s="7">
        <v>526.9</v>
      </c>
      <c r="M6848" s="7">
        <v>383.6</v>
      </c>
      <c r="N6848" s="7">
        <v>232.9</v>
      </c>
      <c r="O6848" s="7">
        <v>156.6</v>
      </c>
    </row>
    <row r="6849" spans="1:18" x14ac:dyDescent="0.2">
      <c r="A6849">
        <v>6848</v>
      </c>
      <c r="B6849" s="1">
        <v>40932</v>
      </c>
      <c r="C6849" t="s">
        <v>28</v>
      </c>
      <c r="D6849" s="7">
        <v>192</v>
      </c>
      <c r="E6849" s="7">
        <v>29</v>
      </c>
      <c r="F6849" s="7">
        <f t="shared" si="107"/>
        <v>3</v>
      </c>
      <c r="G6849" s="7" t="str">
        <f>LOOKUP(H6849,[1]startdates!$A$2:$A$10,[1]startdates!$B$2:$B$10)</f>
        <v>FMr</v>
      </c>
      <c r="H6849">
        <v>6</v>
      </c>
      <c r="I6849" s="7">
        <v>612</v>
      </c>
      <c r="K6849" s="7">
        <v>442.2</v>
      </c>
      <c r="N6849" s="7">
        <v>271.8</v>
      </c>
      <c r="O6849" s="7">
        <v>154.9</v>
      </c>
    </row>
    <row r="6850" spans="1:18" x14ac:dyDescent="0.2">
      <c r="A6850">
        <v>6849</v>
      </c>
      <c r="B6850" s="1">
        <v>40932</v>
      </c>
      <c r="C6850" t="s">
        <v>28</v>
      </c>
      <c r="D6850" s="7">
        <v>192</v>
      </c>
      <c r="E6850" s="7">
        <v>29</v>
      </c>
      <c r="F6850" s="7">
        <f t="shared" si="107"/>
        <v>3</v>
      </c>
      <c r="G6850" s="7" t="str">
        <f>LOOKUP(H6850,[1]startdates!$A$2:$A$10,[1]startdates!$B$2:$B$10)</f>
        <v>FMr</v>
      </c>
      <c r="H6850">
        <v>6</v>
      </c>
      <c r="I6850" s="7">
        <v>506</v>
      </c>
      <c r="N6850" s="7">
        <v>214.5</v>
      </c>
      <c r="O6850" s="7">
        <v>164.9</v>
      </c>
    </row>
    <row r="6851" spans="1:18" x14ac:dyDescent="0.2">
      <c r="A6851">
        <v>6850</v>
      </c>
      <c r="B6851" s="1">
        <v>40932</v>
      </c>
      <c r="C6851" t="s">
        <v>28</v>
      </c>
      <c r="D6851" s="7">
        <v>192</v>
      </c>
      <c r="E6851" s="7">
        <v>29</v>
      </c>
      <c r="F6851" s="7">
        <f t="shared" si="107"/>
        <v>3</v>
      </c>
      <c r="G6851" s="7" t="str">
        <f>LOOKUP(H6851,[1]startdates!$A$2:$A$10,[1]startdates!$B$2:$B$10)</f>
        <v>FMr</v>
      </c>
      <c r="H6851">
        <v>6</v>
      </c>
      <c r="I6851" s="7">
        <v>573</v>
      </c>
      <c r="N6851" s="7">
        <v>222.6</v>
      </c>
      <c r="O6851" s="7">
        <v>164.4</v>
      </c>
    </row>
    <row r="6852" spans="1:18" x14ac:dyDescent="0.2">
      <c r="A6852">
        <v>6851</v>
      </c>
      <c r="B6852" s="1">
        <v>40932</v>
      </c>
      <c r="C6852" t="s">
        <v>28</v>
      </c>
      <c r="D6852" s="7">
        <v>192</v>
      </c>
      <c r="E6852" s="7">
        <v>29</v>
      </c>
      <c r="F6852" s="7">
        <f t="shared" si="107"/>
        <v>3</v>
      </c>
      <c r="G6852" s="7" t="str">
        <f>LOOKUP(H6852,[1]startdates!$A$2:$A$10,[1]startdates!$B$2:$B$10)</f>
        <v>FMr</v>
      </c>
      <c r="H6852">
        <v>6</v>
      </c>
      <c r="I6852" s="7">
        <v>581.29999999999995</v>
      </c>
      <c r="N6852" s="7">
        <v>188.7</v>
      </c>
      <c r="O6852" s="7">
        <v>159.80000000000001</v>
      </c>
    </row>
    <row r="6853" spans="1:18" x14ac:dyDescent="0.2">
      <c r="A6853">
        <v>6852</v>
      </c>
      <c r="B6853" s="1">
        <v>40932</v>
      </c>
      <c r="C6853" t="s">
        <v>28</v>
      </c>
      <c r="D6853" s="7">
        <v>192</v>
      </c>
      <c r="E6853" s="7">
        <v>29</v>
      </c>
      <c r="F6853" s="7">
        <f t="shared" si="107"/>
        <v>3</v>
      </c>
      <c r="G6853" s="7" t="str">
        <f>LOOKUP(H6853,[1]startdates!$A$2:$A$10,[1]startdates!$B$2:$B$10)</f>
        <v>FMr</v>
      </c>
      <c r="H6853">
        <v>6</v>
      </c>
      <c r="I6853" s="7">
        <v>495.3</v>
      </c>
    </row>
    <row r="6854" spans="1:18" x14ac:dyDescent="0.2">
      <c r="A6854">
        <v>6853</v>
      </c>
      <c r="B6854" s="1">
        <v>40932</v>
      </c>
      <c r="C6854" t="s">
        <v>28</v>
      </c>
      <c r="D6854" s="7">
        <v>192</v>
      </c>
      <c r="E6854" s="7">
        <v>29</v>
      </c>
      <c r="F6854" s="7">
        <f t="shared" si="107"/>
        <v>3</v>
      </c>
      <c r="G6854" s="7" t="str">
        <f>LOOKUP(H6854,[1]startdates!$A$2:$A$10,[1]startdates!$B$2:$B$10)</f>
        <v>FMr</v>
      </c>
      <c r="H6854">
        <v>7</v>
      </c>
      <c r="I6854" s="7">
        <v>640.70000000000005</v>
      </c>
      <c r="J6854" s="7">
        <v>594.1</v>
      </c>
      <c r="K6854" s="7">
        <v>529</v>
      </c>
      <c r="L6854" s="7">
        <v>427.1</v>
      </c>
      <c r="M6854" s="7">
        <v>296.39999999999998</v>
      </c>
      <c r="N6854" s="7">
        <v>202.6</v>
      </c>
      <c r="O6854" s="7">
        <v>164.5</v>
      </c>
      <c r="P6854" s="7">
        <v>447.8</v>
      </c>
      <c r="Q6854" s="7">
        <v>354.2</v>
      </c>
      <c r="R6854" s="7">
        <v>254.1</v>
      </c>
    </row>
    <row r="6855" spans="1:18" x14ac:dyDescent="0.2">
      <c r="A6855">
        <v>6854</v>
      </c>
      <c r="B6855" s="1">
        <v>40932</v>
      </c>
      <c r="C6855" t="s">
        <v>28</v>
      </c>
      <c r="D6855" s="7">
        <v>192</v>
      </c>
      <c r="E6855" s="7">
        <v>29</v>
      </c>
      <c r="F6855" s="7">
        <f t="shared" si="107"/>
        <v>3</v>
      </c>
      <c r="G6855" s="7" t="str">
        <f>LOOKUP(H6855,[1]startdates!$A$2:$A$10,[1]startdates!$B$2:$B$10)</f>
        <v>FMr</v>
      </c>
      <c r="H6855">
        <v>7</v>
      </c>
      <c r="I6855" s="7">
        <v>557.20000000000005</v>
      </c>
      <c r="K6855" s="7">
        <v>587.29999999999995</v>
      </c>
      <c r="L6855" s="7">
        <v>469.3</v>
      </c>
      <c r="M6855" s="7">
        <v>291.2</v>
      </c>
      <c r="N6855" s="7">
        <v>245.7</v>
      </c>
      <c r="O6855" s="7">
        <v>150.30000000000001</v>
      </c>
      <c r="P6855" s="7">
        <v>463.9</v>
      </c>
      <c r="R6855" s="7">
        <v>257.2</v>
      </c>
    </row>
    <row r="6856" spans="1:18" x14ac:dyDescent="0.2">
      <c r="A6856">
        <v>6855</v>
      </c>
      <c r="B6856" s="1">
        <v>40932</v>
      </c>
      <c r="C6856" t="s">
        <v>28</v>
      </c>
      <c r="D6856" s="7">
        <v>192</v>
      </c>
      <c r="E6856" s="7">
        <v>29</v>
      </c>
      <c r="F6856" s="7">
        <f t="shared" si="107"/>
        <v>3</v>
      </c>
      <c r="G6856" s="7" t="str">
        <f>LOOKUP(H6856,[1]startdates!$A$2:$A$10,[1]startdates!$B$2:$B$10)</f>
        <v>FMr</v>
      </c>
      <c r="H6856">
        <v>7</v>
      </c>
      <c r="I6856" s="7">
        <v>643.4</v>
      </c>
      <c r="K6856" s="7">
        <v>536.70000000000005</v>
      </c>
      <c r="L6856" s="7">
        <v>417.9</v>
      </c>
      <c r="M6856" s="7">
        <v>330.2</v>
      </c>
      <c r="N6856" s="7">
        <v>250.4</v>
      </c>
      <c r="O6856" s="7">
        <v>129.69999999999999</v>
      </c>
      <c r="P6856" s="7">
        <v>464</v>
      </c>
    </row>
    <row r="6857" spans="1:18" x14ac:dyDescent="0.2">
      <c r="A6857">
        <v>6856</v>
      </c>
      <c r="B6857" s="1">
        <v>40932</v>
      </c>
      <c r="C6857" t="s">
        <v>28</v>
      </c>
      <c r="D6857" s="7">
        <v>192</v>
      </c>
      <c r="E6857" s="7">
        <v>29</v>
      </c>
      <c r="F6857" s="7">
        <f t="shared" si="107"/>
        <v>3</v>
      </c>
      <c r="G6857" s="7" t="str">
        <f>LOOKUP(H6857,[1]startdates!$A$2:$A$10,[1]startdates!$B$2:$B$10)</f>
        <v>FMr</v>
      </c>
      <c r="H6857">
        <v>7</v>
      </c>
      <c r="I6857" s="7">
        <v>628.29999999999995</v>
      </c>
      <c r="K6857" s="7">
        <v>442.6</v>
      </c>
      <c r="L6857" s="7">
        <v>394.1</v>
      </c>
      <c r="M6857" s="7">
        <v>303.39999999999998</v>
      </c>
      <c r="N6857" s="7">
        <v>234.8</v>
      </c>
      <c r="O6857" s="7">
        <v>151.69999999999999</v>
      </c>
      <c r="P6857" s="7">
        <v>447.1</v>
      </c>
    </row>
    <row r="6858" spans="1:18" x14ac:dyDescent="0.2">
      <c r="A6858">
        <v>6857</v>
      </c>
      <c r="B6858" s="1">
        <v>40932</v>
      </c>
      <c r="C6858" t="s">
        <v>28</v>
      </c>
      <c r="D6858" s="7">
        <v>192</v>
      </c>
      <c r="E6858" s="7">
        <v>29</v>
      </c>
      <c r="F6858" s="7">
        <f t="shared" si="107"/>
        <v>3</v>
      </c>
      <c r="G6858" s="7" t="str">
        <f>LOOKUP(H6858,[1]startdates!$A$2:$A$10,[1]startdates!$B$2:$B$10)</f>
        <v>FMr</v>
      </c>
      <c r="H6858">
        <v>7</v>
      </c>
      <c r="I6858" s="7">
        <v>523.79999999999995</v>
      </c>
      <c r="K6858" s="7">
        <v>511.2</v>
      </c>
      <c r="L6858" s="7">
        <v>414</v>
      </c>
      <c r="M6858" s="7">
        <v>297</v>
      </c>
      <c r="N6858" s="7">
        <v>226.1</v>
      </c>
      <c r="O6858" s="7">
        <v>151.69999999999999</v>
      </c>
    </row>
    <row r="6859" spans="1:18" x14ac:dyDescent="0.2">
      <c r="A6859">
        <v>6858</v>
      </c>
      <c r="B6859" s="1">
        <v>40932</v>
      </c>
      <c r="C6859" t="s">
        <v>28</v>
      </c>
      <c r="D6859" s="7">
        <v>192</v>
      </c>
      <c r="E6859" s="7">
        <v>29</v>
      </c>
      <c r="F6859" s="7">
        <f t="shared" si="107"/>
        <v>3</v>
      </c>
      <c r="G6859" s="7" t="str">
        <f>LOOKUP(H6859,[1]startdates!$A$2:$A$10,[1]startdates!$B$2:$B$10)</f>
        <v>FMr</v>
      </c>
      <c r="H6859">
        <v>7</v>
      </c>
      <c r="I6859" s="7">
        <v>561.5</v>
      </c>
      <c r="K6859" s="7">
        <v>517</v>
      </c>
      <c r="M6859" s="7">
        <v>332.9</v>
      </c>
      <c r="N6859" s="7">
        <v>210.4</v>
      </c>
      <c r="O6859" s="7">
        <v>153.30000000000001</v>
      </c>
    </row>
    <row r="6860" spans="1:18" x14ac:dyDescent="0.2">
      <c r="A6860">
        <v>6859</v>
      </c>
      <c r="B6860" s="1">
        <v>40932</v>
      </c>
      <c r="C6860" t="s">
        <v>28</v>
      </c>
      <c r="D6860" s="7">
        <v>192</v>
      </c>
      <c r="E6860" s="7">
        <v>29</v>
      </c>
      <c r="F6860" s="7">
        <f t="shared" si="107"/>
        <v>3</v>
      </c>
      <c r="G6860" s="7" t="str">
        <f>LOOKUP(H6860,[1]startdates!$A$2:$A$10,[1]startdates!$B$2:$B$10)</f>
        <v>FMr</v>
      </c>
      <c r="H6860">
        <v>7</v>
      </c>
      <c r="I6860" s="7">
        <v>613.70000000000005</v>
      </c>
      <c r="M6860" s="7">
        <v>389.2</v>
      </c>
      <c r="N6860" s="7">
        <v>177.7</v>
      </c>
      <c r="O6860" s="7">
        <v>154.69999999999999</v>
      </c>
    </row>
    <row r="6861" spans="1:18" x14ac:dyDescent="0.2">
      <c r="A6861">
        <v>6860</v>
      </c>
      <c r="B6861" s="1">
        <v>40932</v>
      </c>
      <c r="C6861" t="s">
        <v>28</v>
      </c>
      <c r="D6861" s="7">
        <v>192</v>
      </c>
      <c r="E6861" s="7">
        <v>29</v>
      </c>
      <c r="F6861" s="7">
        <f t="shared" si="107"/>
        <v>3</v>
      </c>
      <c r="G6861" s="7" t="str">
        <f>LOOKUP(H6861,[1]startdates!$A$2:$A$10,[1]startdates!$B$2:$B$10)</f>
        <v>FMr</v>
      </c>
      <c r="H6861">
        <v>7</v>
      </c>
      <c r="I6861" s="7">
        <v>624.6</v>
      </c>
      <c r="M6861" s="7">
        <v>302.2</v>
      </c>
      <c r="N6861" s="7">
        <v>218.7</v>
      </c>
      <c r="O6861" s="7">
        <v>169.4</v>
      </c>
    </row>
    <row r="6862" spans="1:18" x14ac:dyDescent="0.2">
      <c r="A6862">
        <v>6861</v>
      </c>
      <c r="B6862" s="1">
        <v>40932</v>
      </c>
      <c r="C6862" t="s">
        <v>28</v>
      </c>
      <c r="D6862" s="7">
        <v>192</v>
      </c>
      <c r="E6862" s="7">
        <v>29</v>
      </c>
      <c r="F6862" s="7">
        <f t="shared" si="107"/>
        <v>3</v>
      </c>
      <c r="G6862" s="7" t="str">
        <f>LOOKUP(H6862,[1]startdates!$A$2:$A$10,[1]startdates!$B$2:$B$10)</f>
        <v>FMr</v>
      </c>
      <c r="H6862">
        <v>7</v>
      </c>
      <c r="I6862" s="7">
        <v>579.79999999999995</v>
      </c>
      <c r="M6862" s="7">
        <v>311.89999999999998</v>
      </c>
      <c r="N6862" s="7">
        <v>200.9</v>
      </c>
      <c r="O6862" s="7">
        <v>153.30000000000001</v>
      </c>
    </row>
    <row r="6863" spans="1:18" x14ac:dyDescent="0.2">
      <c r="A6863">
        <v>6862</v>
      </c>
      <c r="B6863" s="1">
        <v>40932</v>
      </c>
      <c r="C6863" t="s">
        <v>28</v>
      </c>
      <c r="D6863" s="7">
        <v>192</v>
      </c>
      <c r="E6863" s="7">
        <v>29</v>
      </c>
      <c r="F6863" s="7">
        <f t="shared" si="107"/>
        <v>3</v>
      </c>
      <c r="G6863" s="7" t="str">
        <f>LOOKUP(H6863,[1]startdates!$A$2:$A$10,[1]startdates!$B$2:$B$10)</f>
        <v>FMr</v>
      </c>
      <c r="H6863">
        <v>7</v>
      </c>
      <c r="I6863" s="7">
        <v>554.9</v>
      </c>
      <c r="M6863" s="7">
        <v>294.10000000000002</v>
      </c>
      <c r="N6863" s="7">
        <v>201.7</v>
      </c>
      <c r="O6863" s="7">
        <v>164</v>
      </c>
    </row>
    <row r="6864" spans="1:18" x14ac:dyDescent="0.2">
      <c r="A6864">
        <v>6863</v>
      </c>
      <c r="B6864" s="1">
        <v>40932</v>
      </c>
      <c r="C6864" t="s">
        <v>28</v>
      </c>
      <c r="D6864" s="7">
        <v>192</v>
      </c>
      <c r="E6864" s="7">
        <v>29</v>
      </c>
      <c r="F6864" s="7">
        <f t="shared" si="107"/>
        <v>3</v>
      </c>
      <c r="G6864" s="7" t="str">
        <f>LOOKUP(H6864,[1]startdates!$A$2:$A$10,[1]startdates!$B$2:$B$10)</f>
        <v>FMr</v>
      </c>
      <c r="H6864">
        <v>7</v>
      </c>
      <c r="N6864" s="7">
        <v>237.6</v>
      </c>
    </row>
    <row r="6865" spans="1:18" x14ac:dyDescent="0.2">
      <c r="A6865">
        <v>6864</v>
      </c>
      <c r="B6865" s="1">
        <v>40932</v>
      </c>
      <c r="C6865" t="s">
        <v>28</v>
      </c>
      <c r="D6865" s="7">
        <v>192</v>
      </c>
      <c r="E6865" s="7">
        <v>29</v>
      </c>
      <c r="F6865" s="7">
        <f t="shared" si="107"/>
        <v>3</v>
      </c>
      <c r="G6865" s="7" t="str">
        <f>LOOKUP(H6865,[1]startdates!$A$2:$A$10,[1]startdates!$B$2:$B$10)</f>
        <v>C</v>
      </c>
      <c r="H6865">
        <v>8</v>
      </c>
      <c r="I6865" s="7">
        <v>616</v>
      </c>
      <c r="J6865" s="7">
        <v>517.79999999999995</v>
      </c>
      <c r="K6865" s="7">
        <v>519.4</v>
      </c>
      <c r="L6865" s="7">
        <v>412.9</v>
      </c>
      <c r="M6865" s="7">
        <v>295.39999999999998</v>
      </c>
      <c r="N6865" s="7">
        <v>284.89999999999998</v>
      </c>
      <c r="O6865" s="7">
        <v>164</v>
      </c>
    </row>
    <row r="6866" spans="1:18" x14ac:dyDescent="0.2">
      <c r="A6866">
        <v>6865</v>
      </c>
      <c r="B6866" s="1">
        <v>40932</v>
      </c>
      <c r="C6866" t="s">
        <v>28</v>
      </c>
      <c r="D6866" s="7">
        <v>192</v>
      </c>
      <c r="E6866" s="7">
        <v>29</v>
      </c>
      <c r="F6866" s="7">
        <f t="shared" si="107"/>
        <v>3</v>
      </c>
      <c r="G6866" s="7" t="str">
        <f>LOOKUP(H6866,[1]startdates!$A$2:$A$10,[1]startdates!$B$2:$B$10)</f>
        <v>C</v>
      </c>
      <c r="H6866">
        <v>8</v>
      </c>
      <c r="I6866" s="7">
        <v>612.29999999999995</v>
      </c>
      <c r="J6866" s="7">
        <v>515.5</v>
      </c>
      <c r="K6866" s="7">
        <v>464.8</v>
      </c>
      <c r="M6866" s="7">
        <v>350.2</v>
      </c>
      <c r="N6866" s="7">
        <v>254.2</v>
      </c>
      <c r="O6866" s="7">
        <v>166.1</v>
      </c>
    </row>
    <row r="6867" spans="1:18" x14ac:dyDescent="0.2">
      <c r="A6867">
        <v>6866</v>
      </c>
      <c r="B6867" s="1">
        <v>40932</v>
      </c>
      <c r="C6867" t="s">
        <v>28</v>
      </c>
      <c r="D6867" s="7">
        <v>192</v>
      </c>
      <c r="E6867" s="7">
        <v>29</v>
      </c>
      <c r="F6867" s="7">
        <f t="shared" si="107"/>
        <v>3</v>
      </c>
      <c r="G6867" s="7" t="str">
        <f>LOOKUP(H6867,[1]startdates!$A$2:$A$10,[1]startdates!$B$2:$B$10)</f>
        <v>C</v>
      </c>
      <c r="H6867">
        <v>8</v>
      </c>
      <c r="I6867" s="7">
        <v>545.70000000000005</v>
      </c>
      <c r="J6867" s="7">
        <v>461</v>
      </c>
      <c r="K6867" s="7">
        <v>523</v>
      </c>
      <c r="M6867" s="7">
        <v>375.4</v>
      </c>
      <c r="N6867" s="7">
        <v>231.8</v>
      </c>
      <c r="O6867" s="7">
        <v>144.69999999999999</v>
      </c>
    </row>
    <row r="6868" spans="1:18" x14ac:dyDescent="0.2">
      <c r="A6868">
        <v>6867</v>
      </c>
      <c r="B6868" s="1">
        <v>40932</v>
      </c>
      <c r="C6868" t="s">
        <v>28</v>
      </c>
      <c r="D6868" s="7">
        <v>192</v>
      </c>
      <c r="E6868" s="7">
        <v>29</v>
      </c>
      <c r="F6868" s="7">
        <f t="shared" si="107"/>
        <v>3</v>
      </c>
      <c r="G6868" s="7" t="str">
        <f>LOOKUP(H6868,[1]startdates!$A$2:$A$10,[1]startdates!$B$2:$B$10)</f>
        <v>C</v>
      </c>
      <c r="H6868">
        <v>8</v>
      </c>
      <c r="I6868" s="7">
        <v>650.29999999999995</v>
      </c>
      <c r="J6868" s="7">
        <v>540.70000000000005</v>
      </c>
      <c r="K6868" s="7">
        <v>564.79999999999995</v>
      </c>
      <c r="M6868" s="7">
        <v>379.1</v>
      </c>
      <c r="N6868" s="7">
        <v>240.4</v>
      </c>
      <c r="O6868" s="7">
        <v>161.5</v>
      </c>
    </row>
    <row r="6869" spans="1:18" x14ac:dyDescent="0.2">
      <c r="A6869">
        <v>6868</v>
      </c>
      <c r="B6869" s="1">
        <v>40932</v>
      </c>
      <c r="C6869" t="s">
        <v>28</v>
      </c>
      <c r="D6869" s="7">
        <v>192</v>
      </c>
      <c r="E6869" s="7">
        <v>29</v>
      </c>
      <c r="F6869" s="7">
        <f t="shared" si="107"/>
        <v>3</v>
      </c>
      <c r="G6869" s="7" t="str">
        <f>LOOKUP(H6869,[1]startdates!$A$2:$A$10,[1]startdates!$B$2:$B$10)</f>
        <v>C</v>
      </c>
      <c r="H6869">
        <v>8</v>
      </c>
      <c r="I6869" s="7">
        <v>580.29999999999995</v>
      </c>
      <c r="J6869" s="7">
        <v>547.6</v>
      </c>
      <c r="K6869" s="7">
        <v>597.79999999999995</v>
      </c>
      <c r="M6869" s="7">
        <v>298.2</v>
      </c>
      <c r="N6869" s="7">
        <v>248.4</v>
      </c>
      <c r="O6869" s="7">
        <v>158.69999999999999</v>
      </c>
    </row>
    <row r="6870" spans="1:18" x14ac:dyDescent="0.2">
      <c r="A6870">
        <v>6869</v>
      </c>
      <c r="B6870" s="1">
        <v>40932</v>
      </c>
      <c r="C6870" t="s">
        <v>28</v>
      </c>
      <c r="D6870" s="7">
        <v>192</v>
      </c>
      <c r="E6870" s="7">
        <v>29</v>
      </c>
      <c r="F6870" s="7">
        <f t="shared" si="107"/>
        <v>3</v>
      </c>
      <c r="G6870" s="7" t="str">
        <f>LOOKUP(H6870,[1]startdates!$A$2:$A$10,[1]startdates!$B$2:$B$10)</f>
        <v>C</v>
      </c>
      <c r="H6870">
        <v>8</v>
      </c>
      <c r="I6870" s="7">
        <v>611.70000000000005</v>
      </c>
      <c r="J6870" s="7">
        <v>458.2</v>
      </c>
      <c r="K6870" s="7">
        <v>547.70000000000005</v>
      </c>
      <c r="M6870" s="7">
        <v>303.3</v>
      </c>
      <c r="N6870" s="7">
        <v>191</v>
      </c>
      <c r="O6870" s="7">
        <v>180</v>
      </c>
    </row>
    <row r="6871" spans="1:18" x14ac:dyDescent="0.2">
      <c r="A6871">
        <v>6870</v>
      </c>
      <c r="B6871" s="1">
        <v>40932</v>
      </c>
      <c r="C6871" t="s">
        <v>28</v>
      </c>
      <c r="D6871" s="7">
        <v>192</v>
      </c>
      <c r="E6871" s="7">
        <v>29</v>
      </c>
      <c r="F6871" s="7">
        <f t="shared" si="107"/>
        <v>3</v>
      </c>
      <c r="G6871" s="7" t="str">
        <f>LOOKUP(H6871,[1]startdates!$A$2:$A$10,[1]startdates!$B$2:$B$10)</f>
        <v>C</v>
      </c>
      <c r="H6871">
        <v>8</v>
      </c>
      <c r="I6871" s="7">
        <v>537.6</v>
      </c>
      <c r="J6871" s="7">
        <v>518.9</v>
      </c>
      <c r="M6871" s="7">
        <v>374.1</v>
      </c>
      <c r="N6871" s="7">
        <v>207.5</v>
      </c>
      <c r="O6871" s="7">
        <v>158.1</v>
      </c>
    </row>
    <row r="6872" spans="1:18" x14ac:dyDescent="0.2">
      <c r="A6872">
        <v>6871</v>
      </c>
      <c r="B6872" s="1">
        <v>40932</v>
      </c>
      <c r="C6872" t="s">
        <v>28</v>
      </c>
      <c r="D6872" s="7">
        <v>192</v>
      </c>
      <c r="E6872" s="7">
        <v>29</v>
      </c>
      <c r="F6872" s="7">
        <f t="shared" si="107"/>
        <v>3</v>
      </c>
      <c r="G6872" s="7" t="str">
        <f>LOOKUP(H6872,[1]startdates!$A$2:$A$10,[1]startdates!$B$2:$B$10)</f>
        <v>C</v>
      </c>
      <c r="H6872">
        <v>8</v>
      </c>
      <c r="I6872" s="7">
        <v>604.29999999999995</v>
      </c>
      <c r="J6872" s="7">
        <v>495.7</v>
      </c>
      <c r="M6872" s="7">
        <v>298.39999999999998</v>
      </c>
      <c r="N6872" s="7">
        <v>194.5</v>
      </c>
      <c r="O6872" s="7">
        <v>165</v>
      </c>
    </row>
    <row r="6873" spans="1:18" x14ac:dyDescent="0.2">
      <c r="A6873">
        <v>6872</v>
      </c>
      <c r="B6873" s="1">
        <v>40932</v>
      </c>
      <c r="C6873" t="s">
        <v>28</v>
      </c>
      <c r="D6873" s="7">
        <v>192</v>
      </c>
      <c r="E6873" s="7">
        <v>29</v>
      </c>
      <c r="F6873" s="7">
        <f t="shared" si="107"/>
        <v>3</v>
      </c>
      <c r="G6873" s="7" t="str">
        <f>LOOKUP(H6873,[1]startdates!$A$2:$A$10,[1]startdates!$B$2:$B$10)</f>
        <v>C</v>
      </c>
      <c r="H6873">
        <v>8</v>
      </c>
      <c r="I6873" s="7">
        <v>543.79999999999995</v>
      </c>
      <c r="J6873" s="7">
        <v>465.7</v>
      </c>
      <c r="M6873" s="7">
        <v>358.3</v>
      </c>
      <c r="N6873" s="7">
        <v>255.1</v>
      </c>
      <c r="O6873" s="7">
        <v>178.4</v>
      </c>
    </row>
    <row r="6874" spans="1:18" x14ac:dyDescent="0.2">
      <c r="A6874">
        <v>6873</v>
      </c>
      <c r="B6874" s="1">
        <v>40932</v>
      </c>
      <c r="C6874" t="s">
        <v>28</v>
      </c>
      <c r="D6874" s="7">
        <v>192</v>
      </c>
      <c r="E6874" s="7">
        <v>29</v>
      </c>
      <c r="F6874" s="7">
        <f t="shared" si="107"/>
        <v>3</v>
      </c>
      <c r="G6874" s="7" t="str">
        <f>LOOKUP(H6874,[1]startdates!$A$2:$A$10,[1]startdates!$B$2:$B$10)</f>
        <v>C</v>
      </c>
      <c r="H6874">
        <v>8</v>
      </c>
      <c r="I6874" s="7">
        <v>568.6</v>
      </c>
      <c r="J6874" s="7">
        <v>518.1</v>
      </c>
      <c r="M6874" s="7">
        <v>348.2</v>
      </c>
      <c r="N6874" s="7">
        <v>269</v>
      </c>
      <c r="O6874" s="7">
        <v>167.9</v>
      </c>
    </row>
    <row r="6875" spans="1:18" x14ac:dyDescent="0.2">
      <c r="A6875">
        <v>6874</v>
      </c>
      <c r="B6875" s="1">
        <v>40932</v>
      </c>
      <c r="C6875" t="s">
        <v>28</v>
      </c>
      <c r="D6875" s="7">
        <v>192</v>
      </c>
      <c r="E6875" s="7">
        <v>29</v>
      </c>
      <c r="F6875" s="7">
        <f t="shared" si="107"/>
        <v>3</v>
      </c>
      <c r="G6875" s="7" t="str">
        <f>LOOKUP(H6875,[1]startdates!$A$2:$A$10,[1]startdates!$B$2:$B$10)</f>
        <v>C</v>
      </c>
      <c r="H6875">
        <v>8</v>
      </c>
      <c r="I6875" s="7">
        <v>729.3</v>
      </c>
    </row>
    <row r="6876" spans="1:18" x14ac:dyDescent="0.2">
      <c r="A6876">
        <v>6875</v>
      </c>
      <c r="B6876" s="1">
        <v>40932</v>
      </c>
      <c r="C6876" t="s">
        <v>28</v>
      </c>
      <c r="D6876" s="7">
        <v>192</v>
      </c>
      <c r="E6876" s="7">
        <v>29</v>
      </c>
      <c r="F6876" s="7">
        <f t="shared" si="107"/>
        <v>3</v>
      </c>
      <c r="G6876" s="7" t="str">
        <f>LOOKUP(H6876,[1]startdates!$A$2:$A$10,[1]startdates!$B$2:$B$10)</f>
        <v>C</v>
      </c>
      <c r="H6876">
        <v>8</v>
      </c>
      <c r="I6876" s="7">
        <v>640.9</v>
      </c>
    </row>
    <row r="6877" spans="1:18" x14ac:dyDescent="0.2">
      <c r="A6877">
        <v>6876</v>
      </c>
      <c r="B6877" s="1">
        <v>40932</v>
      </c>
      <c r="C6877" t="s">
        <v>28</v>
      </c>
      <c r="D6877" s="7">
        <v>192</v>
      </c>
      <c r="E6877" s="7">
        <v>29</v>
      </c>
      <c r="F6877" s="7">
        <f t="shared" si="107"/>
        <v>3</v>
      </c>
      <c r="G6877" s="7" t="str">
        <f>LOOKUP(H6877,[1]startdates!$A$2:$A$10,[1]startdates!$B$2:$B$10)</f>
        <v>C</v>
      </c>
      <c r="H6877">
        <v>8</v>
      </c>
      <c r="I6877" s="7">
        <v>522.79999999999995</v>
      </c>
    </row>
    <row r="6878" spans="1:18" x14ac:dyDescent="0.2">
      <c r="A6878">
        <v>6877</v>
      </c>
      <c r="B6878" s="1">
        <v>40932</v>
      </c>
      <c r="C6878" t="s">
        <v>28</v>
      </c>
      <c r="D6878" s="7">
        <v>192</v>
      </c>
      <c r="E6878" s="7">
        <v>29</v>
      </c>
      <c r="F6878" s="7">
        <f t="shared" si="107"/>
        <v>3</v>
      </c>
      <c r="G6878" s="7" t="str">
        <f>LOOKUP(H6878,[1]startdates!$A$2:$A$10,[1]startdates!$B$2:$B$10)</f>
        <v>FMr</v>
      </c>
      <c r="H6878">
        <v>9</v>
      </c>
      <c r="I6878" s="7">
        <v>518.4</v>
      </c>
      <c r="K6878" s="7">
        <v>506.2</v>
      </c>
      <c r="L6878" s="7">
        <v>451.7</v>
      </c>
      <c r="M6878" s="7">
        <v>327.2</v>
      </c>
      <c r="N6878" s="7">
        <v>239.6</v>
      </c>
      <c r="O6878" s="7">
        <v>170</v>
      </c>
      <c r="P6878" s="7">
        <v>480.1</v>
      </c>
      <c r="Q6878" s="7">
        <v>325.10000000000002</v>
      </c>
      <c r="R6878" s="7">
        <v>268.2</v>
      </c>
    </row>
    <row r="6879" spans="1:18" x14ac:dyDescent="0.2">
      <c r="A6879">
        <v>6878</v>
      </c>
      <c r="B6879" s="1">
        <v>40932</v>
      </c>
      <c r="C6879" t="s">
        <v>28</v>
      </c>
      <c r="D6879" s="7">
        <v>192</v>
      </c>
      <c r="E6879" s="7">
        <v>29</v>
      </c>
      <c r="F6879" s="7">
        <f t="shared" si="107"/>
        <v>3</v>
      </c>
      <c r="G6879" s="7" t="str">
        <f>LOOKUP(H6879,[1]startdates!$A$2:$A$10,[1]startdates!$B$2:$B$10)</f>
        <v>FMr</v>
      </c>
      <c r="H6879">
        <v>9</v>
      </c>
      <c r="I6879" s="7">
        <v>612.5</v>
      </c>
      <c r="K6879" s="7">
        <v>511.1</v>
      </c>
      <c r="L6879" s="7">
        <v>404.7</v>
      </c>
      <c r="M6879" s="7">
        <v>320.5</v>
      </c>
      <c r="N6879" s="7">
        <v>234.5</v>
      </c>
      <c r="O6879" s="7">
        <v>142.1</v>
      </c>
      <c r="P6879" s="7">
        <v>416.9</v>
      </c>
      <c r="Q6879" s="7">
        <v>316.10000000000002</v>
      </c>
    </row>
    <row r="6880" spans="1:18" x14ac:dyDescent="0.2">
      <c r="A6880">
        <v>6879</v>
      </c>
      <c r="B6880" s="1">
        <v>40932</v>
      </c>
      <c r="C6880" t="s">
        <v>28</v>
      </c>
      <c r="D6880" s="7">
        <v>192</v>
      </c>
      <c r="E6880" s="7">
        <v>29</v>
      </c>
      <c r="F6880" s="7">
        <f t="shared" si="107"/>
        <v>3</v>
      </c>
      <c r="G6880" s="7" t="str">
        <f>LOOKUP(H6880,[1]startdates!$A$2:$A$10,[1]startdates!$B$2:$B$10)</f>
        <v>FMr</v>
      </c>
      <c r="H6880">
        <v>9</v>
      </c>
      <c r="I6880" s="7">
        <v>563.4</v>
      </c>
      <c r="K6880" s="7">
        <v>493.5</v>
      </c>
      <c r="L6880" s="7">
        <v>438.5</v>
      </c>
      <c r="M6880" s="7">
        <v>322.60000000000002</v>
      </c>
      <c r="N6880" s="7">
        <v>232.5</v>
      </c>
      <c r="O6880" s="7">
        <v>166.3</v>
      </c>
      <c r="Q6880" s="7">
        <v>316.3</v>
      </c>
    </row>
    <row r="6881" spans="1:18" x14ac:dyDescent="0.2">
      <c r="A6881">
        <v>6880</v>
      </c>
      <c r="B6881" s="1">
        <v>40932</v>
      </c>
      <c r="C6881" t="s">
        <v>28</v>
      </c>
      <c r="D6881" s="7">
        <v>192</v>
      </c>
      <c r="E6881" s="7">
        <v>29</v>
      </c>
      <c r="F6881" s="7">
        <f t="shared" si="107"/>
        <v>3</v>
      </c>
      <c r="G6881" s="7" t="str">
        <f>LOOKUP(H6881,[1]startdates!$A$2:$A$10,[1]startdates!$B$2:$B$10)</f>
        <v>FMr</v>
      </c>
      <c r="H6881">
        <v>9</v>
      </c>
      <c r="I6881" s="7">
        <v>565.6</v>
      </c>
      <c r="K6881" s="7">
        <v>483.2</v>
      </c>
      <c r="L6881" s="7">
        <v>399.3</v>
      </c>
      <c r="M6881" s="7">
        <v>331.9</v>
      </c>
      <c r="N6881" s="7">
        <v>229.2</v>
      </c>
      <c r="O6881" s="7">
        <v>193.5</v>
      </c>
    </row>
    <row r="6882" spans="1:18" x14ac:dyDescent="0.2">
      <c r="A6882">
        <v>6881</v>
      </c>
      <c r="B6882" s="1">
        <v>40932</v>
      </c>
      <c r="C6882" t="s">
        <v>28</v>
      </c>
      <c r="D6882" s="7">
        <v>192</v>
      </c>
      <c r="E6882" s="7">
        <v>29</v>
      </c>
      <c r="F6882" s="7">
        <f t="shared" si="107"/>
        <v>3</v>
      </c>
      <c r="G6882" s="7" t="str">
        <f>LOOKUP(H6882,[1]startdates!$A$2:$A$10,[1]startdates!$B$2:$B$10)</f>
        <v>FMr</v>
      </c>
      <c r="H6882">
        <v>9</v>
      </c>
      <c r="I6882" s="7">
        <v>562.4</v>
      </c>
      <c r="K6882" s="7">
        <v>484.1</v>
      </c>
      <c r="L6882" s="7">
        <v>393.2</v>
      </c>
      <c r="M6882" s="7">
        <v>290.89999999999998</v>
      </c>
      <c r="N6882" s="7">
        <v>229.3</v>
      </c>
      <c r="O6882" s="7">
        <v>171.3</v>
      </c>
    </row>
    <row r="6883" spans="1:18" x14ac:dyDescent="0.2">
      <c r="A6883">
        <v>6882</v>
      </c>
      <c r="B6883" s="1">
        <v>40932</v>
      </c>
      <c r="C6883" t="s">
        <v>28</v>
      </c>
      <c r="D6883" s="7">
        <v>192</v>
      </c>
      <c r="E6883" s="7">
        <v>29</v>
      </c>
      <c r="F6883" s="7">
        <f t="shared" si="107"/>
        <v>3</v>
      </c>
      <c r="G6883" s="7" t="str">
        <f>LOOKUP(H6883,[1]startdates!$A$2:$A$10,[1]startdates!$B$2:$B$10)</f>
        <v>FMr</v>
      </c>
      <c r="H6883">
        <v>9</v>
      </c>
      <c r="I6883" s="7">
        <v>459.6</v>
      </c>
      <c r="K6883" s="7">
        <v>532.29999999999995</v>
      </c>
      <c r="L6883" s="7">
        <v>421.2</v>
      </c>
      <c r="M6883" s="7">
        <v>314</v>
      </c>
      <c r="N6883" s="7">
        <v>223.9</v>
      </c>
      <c r="O6883" s="7">
        <v>182.9</v>
      </c>
    </row>
    <row r="6884" spans="1:18" x14ac:dyDescent="0.2">
      <c r="A6884">
        <v>6883</v>
      </c>
      <c r="B6884" s="1">
        <v>40932</v>
      </c>
      <c r="C6884" t="s">
        <v>28</v>
      </c>
      <c r="D6884" s="7">
        <v>192</v>
      </c>
      <c r="E6884" s="7">
        <v>29</v>
      </c>
      <c r="F6884" s="7">
        <f t="shared" si="107"/>
        <v>3</v>
      </c>
      <c r="G6884" s="7" t="str">
        <f>LOOKUP(H6884,[1]startdates!$A$2:$A$10,[1]startdates!$B$2:$B$10)</f>
        <v>FMr</v>
      </c>
      <c r="H6884">
        <v>9</v>
      </c>
      <c r="I6884" s="7">
        <v>593.29999999999995</v>
      </c>
      <c r="K6884" s="7">
        <v>503.3</v>
      </c>
      <c r="L6884" s="7">
        <v>392.5</v>
      </c>
      <c r="M6884" s="7">
        <v>353.9</v>
      </c>
      <c r="N6884" s="7">
        <v>197.9</v>
      </c>
      <c r="O6884" s="7">
        <v>164.4</v>
      </c>
    </row>
    <row r="6885" spans="1:18" x14ac:dyDescent="0.2">
      <c r="A6885">
        <v>6884</v>
      </c>
      <c r="B6885" s="1">
        <v>40932</v>
      </c>
      <c r="C6885" t="s">
        <v>28</v>
      </c>
      <c r="D6885" s="7">
        <v>192</v>
      </c>
      <c r="E6885" s="7">
        <v>29</v>
      </c>
      <c r="F6885" s="7">
        <f t="shared" si="107"/>
        <v>3</v>
      </c>
      <c r="G6885" s="7" t="str">
        <f>LOOKUP(H6885,[1]startdates!$A$2:$A$10,[1]startdates!$B$2:$B$10)</f>
        <v>FMr</v>
      </c>
      <c r="H6885">
        <v>9</v>
      </c>
      <c r="I6885" s="7">
        <v>560.79999999999995</v>
      </c>
      <c r="K6885" s="7">
        <v>485.8</v>
      </c>
      <c r="M6885" s="7">
        <v>311.89999999999998</v>
      </c>
      <c r="N6885" s="7">
        <v>242.9</v>
      </c>
      <c r="O6885" s="7">
        <v>158.30000000000001</v>
      </c>
    </row>
    <row r="6886" spans="1:18" x14ac:dyDescent="0.2">
      <c r="A6886">
        <v>6885</v>
      </c>
      <c r="B6886" s="1">
        <v>40932</v>
      </c>
      <c r="C6886" t="s">
        <v>28</v>
      </c>
      <c r="D6886" s="7">
        <v>192</v>
      </c>
      <c r="E6886" s="7">
        <v>29</v>
      </c>
      <c r="F6886" s="7">
        <f t="shared" si="107"/>
        <v>3</v>
      </c>
      <c r="G6886" s="7" t="str">
        <f>LOOKUP(H6886,[1]startdates!$A$2:$A$10,[1]startdates!$B$2:$B$10)</f>
        <v>FMr</v>
      </c>
      <c r="H6886">
        <v>9</v>
      </c>
      <c r="I6886" s="7">
        <v>626.6</v>
      </c>
      <c r="K6886" s="7">
        <v>425.9</v>
      </c>
      <c r="M6886" s="7">
        <v>298.2</v>
      </c>
      <c r="N6886" s="7">
        <v>254.5</v>
      </c>
      <c r="O6886" s="7">
        <v>153.80000000000001</v>
      </c>
    </row>
    <row r="6887" spans="1:18" x14ac:dyDescent="0.2">
      <c r="A6887">
        <v>6886</v>
      </c>
      <c r="B6887" s="1">
        <v>40932</v>
      </c>
      <c r="C6887" t="s">
        <v>28</v>
      </c>
      <c r="D6887" s="7">
        <v>192</v>
      </c>
      <c r="E6887" s="7">
        <v>29</v>
      </c>
      <c r="F6887" s="7">
        <f t="shared" si="107"/>
        <v>3</v>
      </c>
      <c r="G6887" s="7" t="str">
        <f>LOOKUP(H6887,[1]startdates!$A$2:$A$10,[1]startdates!$B$2:$B$10)</f>
        <v>FMr</v>
      </c>
      <c r="H6887">
        <v>9</v>
      </c>
      <c r="I6887" s="7">
        <v>511.8</v>
      </c>
      <c r="K6887" s="7">
        <v>465.7</v>
      </c>
      <c r="M6887" s="7">
        <v>369</v>
      </c>
      <c r="N6887" s="7">
        <v>277.7</v>
      </c>
      <c r="O6887" s="7">
        <v>169.6</v>
      </c>
    </row>
    <row r="6888" spans="1:18" x14ac:dyDescent="0.2">
      <c r="A6888">
        <v>6887</v>
      </c>
      <c r="B6888" s="1">
        <v>40932</v>
      </c>
      <c r="C6888" t="s">
        <v>28</v>
      </c>
      <c r="D6888" s="7">
        <v>192</v>
      </c>
      <c r="E6888" s="7">
        <v>29</v>
      </c>
      <c r="F6888" s="7">
        <f t="shared" si="107"/>
        <v>3</v>
      </c>
      <c r="G6888" s="7" t="str">
        <f>LOOKUP(H6888,[1]startdates!$A$2:$A$10,[1]startdates!$B$2:$B$10)</f>
        <v>FMr</v>
      </c>
      <c r="H6888">
        <v>9</v>
      </c>
      <c r="I6888" s="7">
        <v>564</v>
      </c>
      <c r="N6888" s="7">
        <v>182.8</v>
      </c>
    </row>
    <row r="6889" spans="1:18" x14ac:dyDescent="0.2">
      <c r="A6889">
        <v>6888</v>
      </c>
      <c r="B6889" s="1">
        <v>40932</v>
      </c>
      <c r="C6889" t="s">
        <v>28</v>
      </c>
      <c r="D6889" s="7">
        <v>192</v>
      </c>
      <c r="E6889" s="7">
        <v>29</v>
      </c>
      <c r="F6889" s="7">
        <f t="shared" ref="F6889:F6952" si="108">WEEKDAY(B6889)</f>
        <v>3</v>
      </c>
      <c r="G6889" s="7" t="str">
        <f>LOOKUP(H6889,[1]startdates!$A$2:$A$10,[1]startdates!$B$2:$B$10)</f>
        <v>FMr</v>
      </c>
      <c r="H6889">
        <v>9</v>
      </c>
      <c r="N6889" s="7">
        <v>288.3</v>
      </c>
    </row>
    <row r="6890" spans="1:18" x14ac:dyDescent="0.2">
      <c r="A6890">
        <v>6889</v>
      </c>
      <c r="B6890" s="1">
        <v>40935</v>
      </c>
      <c r="C6890" t="s">
        <v>28</v>
      </c>
      <c r="D6890" s="7">
        <v>195</v>
      </c>
      <c r="E6890" s="7">
        <v>29</v>
      </c>
      <c r="F6890" s="7">
        <f t="shared" si="108"/>
        <v>6</v>
      </c>
      <c r="G6890" s="7" t="str">
        <f>LOOKUP(H6890,[1]startdates!$A$2:$A$10,[1]startdates!$B$2:$B$10)</f>
        <v>SMr</v>
      </c>
      <c r="H6890">
        <v>1</v>
      </c>
      <c r="I6890" s="7">
        <v>542</v>
      </c>
      <c r="J6890" s="7">
        <v>485.3</v>
      </c>
      <c r="K6890" s="7">
        <v>541.20000000000005</v>
      </c>
      <c r="L6890" s="7">
        <v>427.7</v>
      </c>
      <c r="M6890" s="7">
        <v>334.9</v>
      </c>
      <c r="N6890" s="7">
        <v>199.3</v>
      </c>
      <c r="O6890" s="7">
        <v>158.1</v>
      </c>
      <c r="P6890" s="7">
        <v>445.2</v>
      </c>
      <c r="Q6890" s="7">
        <v>369.1</v>
      </c>
      <c r="R6890" s="7">
        <v>252.1</v>
      </c>
    </row>
    <row r="6891" spans="1:18" x14ac:dyDescent="0.2">
      <c r="A6891">
        <v>6890</v>
      </c>
      <c r="B6891" s="1">
        <v>40935</v>
      </c>
      <c r="C6891" t="s">
        <v>28</v>
      </c>
      <c r="D6891" s="7">
        <v>195</v>
      </c>
      <c r="E6891" s="7">
        <v>29</v>
      </c>
      <c r="F6891" s="7">
        <f t="shared" si="108"/>
        <v>6</v>
      </c>
      <c r="G6891" s="7" t="str">
        <f>LOOKUP(H6891,[1]startdates!$A$2:$A$10,[1]startdates!$B$2:$B$10)</f>
        <v>SMr</v>
      </c>
      <c r="H6891">
        <v>1</v>
      </c>
      <c r="I6891" s="7">
        <v>550.29999999999995</v>
      </c>
      <c r="J6891" s="7">
        <v>452.7</v>
      </c>
      <c r="K6891" s="7">
        <v>568.1</v>
      </c>
      <c r="L6891" s="7">
        <v>414.6</v>
      </c>
      <c r="M6891" s="7">
        <v>349.3</v>
      </c>
      <c r="N6891" s="7">
        <v>166.5</v>
      </c>
      <c r="O6891" s="7">
        <v>164.4</v>
      </c>
      <c r="P6891" s="7">
        <v>446.6</v>
      </c>
      <c r="Q6891" s="7">
        <v>380.9</v>
      </c>
      <c r="R6891" s="7">
        <v>254</v>
      </c>
    </row>
    <row r="6892" spans="1:18" x14ac:dyDescent="0.2">
      <c r="A6892">
        <v>6891</v>
      </c>
      <c r="B6892" s="1">
        <v>40935</v>
      </c>
      <c r="C6892" t="s">
        <v>28</v>
      </c>
      <c r="D6892" s="7">
        <v>195</v>
      </c>
      <c r="E6892" s="7">
        <v>29</v>
      </c>
      <c r="F6892" s="7">
        <f t="shared" si="108"/>
        <v>6</v>
      </c>
      <c r="G6892" s="7" t="str">
        <f>LOOKUP(H6892,[1]startdates!$A$2:$A$10,[1]startdates!$B$2:$B$10)</f>
        <v>SMr</v>
      </c>
      <c r="H6892">
        <v>1</v>
      </c>
      <c r="I6892" s="7">
        <v>580</v>
      </c>
      <c r="K6892" s="7">
        <v>482.5</v>
      </c>
      <c r="L6892" s="7">
        <v>413.9</v>
      </c>
      <c r="M6892" s="7">
        <v>317.89999999999998</v>
      </c>
      <c r="N6892" s="7">
        <v>227.7</v>
      </c>
      <c r="O6892" s="7">
        <v>171.7</v>
      </c>
      <c r="R6892" s="7">
        <v>259.39999999999998</v>
      </c>
    </row>
    <row r="6893" spans="1:18" x14ac:dyDescent="0.2">
      <c r="A6893">
        <v>6892</v>
      </c>
      <c r="B6893" s="1">
        <v>40935</v>
      </c>
      <c r="C6893" t="s">
        <v>28</v>
      </c>
      <c r="D6893" s="7">
        <v>195</v>
      </c>
      <c r="E6893" s="7">
        <v>29</v>
      </c>
      <c r="F6893" s="7">
        <f t="shared" si="108"/>
        <v>6</v>
      </c>
      <c r="G6893" s="7" t="str">
        <f>LOOKUP(H6893,[1]startdates!$A$2:$A$10,[1]startdates!$B$2:$B$10)</f>
        <v>SMr</v>
      </c>
      <c r="H6893">
        <v>1</v>
      </c>
      <c r="I6893" s="7">
        <v>675.5</v>
      </c>
      <c r="K6893" s="7">
        <v>465.4</v>
      </c>
      <c r="L6893" s="7">
        <v>410.9</v>
      </c>
      <c r="M6893" s="7">
        <v>311.60000000000002</v>
      </c>
      <c r="N6893" s="7">
        <v>200.5</v>
      </c>
      <c r="O6893" s="7">
        <v>149.1</v>
      </c>
      <c r="R6893" s="7">
        <v>239.3</v>
      </c>
    </row>
    <row r="6894" spans="1:18" x14ac:dyDescent="0.2">
      <c r="A6894">
        <v>6893</v>
      </c>
      <c r="B6894" s="1">
        <v>40935</v>
      </c>
      <c r="C6894" t="s">
        <v>28</v>
      </c>
      <c r="D6894" s="7">
        <v>195</v>
      </c>
      <c r="E6894" s="7">
        <v>29</v>
      </c>
      <c r="F6894" s="7">
        <f t="shared" si="108"/>
        <v>6</v>
      </c>
      <c r="G6894" s="7" t="str">
        <f>LOOKUP(H6894,[1]startdates!$A$2:$A$10,[1]startdates!$B$2:$B$10)</f>
        <v>SMr</v>
      </c>
      <c r="H6894">
        <v>1</v>
      </c>
      <c r="I6894" s="7">
        <v>655.4</v>
      </c>
      <c r="K6894" s="7">
        <v>475.5</v>
      </c>
      <c r="L6894" s="7">
        <v>411.2</v>
      </c>
      <c r="M6894" s="7">
        <v>389</v>
      </c>
      <c r="N6894" s="7">
        <v>202.2</v>
      </c>
      <c r="O6894" s="7">
        <v>174.9</v>
      </c>
    </row>
    <row r="6895" spans="1:18" x14ac:dyDescent="0.2">
      <c r="A6895">
        <v>6894</v>
      </c>
      <c r="B6895" s="1">
        <v>40935</v>
      </c>
      <c r="C6895" t="s">
        <v>28</v>
      </c>
      <c r="D6895" s="7">
        <v>195</v>
      </c>
      <c r="E6895" s="7">
        <v>29</v>
      </c>
      <c r="F6895" s="7">
        <f t="shared" si="108"/>
        <v>6</v>
      </c>
      <c r="G6895" s="7" t="str">
        <f>LOOKUP(H6895,[1]startdates!$A$2:$A$10,[1]startdates!$B$2:$B$10)</f>
        <v>SMr</v>
      </c>
      <c r="H6895">
        <v>1</v>
      </c>
      <c r="I6895" s="7">
        <v>598.20000000000005</v>
      </c>
      <c r="K6895" s="7">
        <v>489.9</v>
      </c>
      <c r="L6895" s="7">
        <v>419.1</v>
      </c>
      <c r="M6895" s="7">
        <v>365.7</v>
      </c>
      <c r="N6895" s="7">
        <v>175</v>
      </c>
      <c r="O6895" s="7">
        <v>162.19999999999999</v>
      </c>
    </row>
    <row r="6896" spans="1:18" x14ac:dyDescent="0.2">
      <c r="A6896">
        <v>6895</v>
      </c>
      <c r="B6896" s="1">
        <v>40935</v>
      </c>
      <c r="C6896" t="s">
        <v>28</v>
      </c>
      <c r="D6896" s="7">
        <v>195</v>
      </c>
      <c r="E6896" s="7">
        <v>29</v>
      </c>
      <c r="F6896" s="7">
        <f t="shared" si="108"/>
        <v>6</v>
      </c>
      <c r="G6896" s="7" t="str">
        <f>LOOKUP(H6896,[1]startdates!$A$2:$A$10,[1]startdates!$B$2:$B$10)</f>
        <v>SMr</v>
      </c>
      <c r="H6896">
        <v>1</v>
      </c>
      <c r="I6896" s="7">
        <v>483.4</v>
      </c>
      <c r="L6896" s="7">
        <v>401.7</v>
      </c>
      <c r="M6896" s="7">
        <v>389.2</v>
      </c>
      <c r="N6896" s="7">
        <v>200.9</v>
      </c>
      <c r="O6896" s="7">
        <v>163</v>
      </c>
    </row>
    <row r="6897" spans="1:18" x14ac:dyDescent="0.2">
      <c r="A6897">
        <v>6896</v>
      </c>
      <c r="B6897" s="1">
        <v>40935</v>
      </c>
      <c r="C6897" t="s">
        <v>28</v>
      </c>
      <c r="D6897" s="7">
        <v>195</v>
      </c>
      <c r="E6897" s="7">
        <v>29</v>
      </c>
      <c r="F6897" s="7">
        <f t="shared" si="108"/>
        <v>6</v>
      </c>
      <c r="G6897" s="7" t="str">
        <f>LOOKUP(H6897,[1]startdates!$A$2:$A$10,[1]startdates!$B$2:$B$10)</f>
        <v>SMr</v>
      </c>
      <c r="H6897">
        <v>1</v>
      </c>
      <c r="I6897" s="7">
        <v>614.20000000000005</v>
      </c>
      <c r="L6897" s="7">
        <v>403.4</v>
      </c>
      <c r="N6897" s="7">
        <v>194.4</v>
      </c>
      <c r="O6897" s="7">
        <v>138.80000000000001</v>
      </c>
    </row>
    <row r="6898" spans="1:18" x14ac:dyDescent="0.2">
      <c r="A6898">
        <v>6897</v>
      </c>
      <c r="B6898" s="1">
        <v>40935</v>
      </c>
      <c r="C6898" t="s">
        <v>28</v>
      </c>
      <c r="D6898" s="7">
        <v>195</v>
      </c>
      <c r="E6898" s="7">
        <v>29</v>
      </c>
      <c r="F6898" s="7">
        <f t="shared" si="108"/>
        <v>6</v>
      </c>
      <c r="G6898" s="7" t="str">
        <f>LOOKUP(H6898,[1]startdates!$A$2:$A$10,[1]startdates!$B$2:$B$10)</f>
        <v>SMr</v>
      </c>
      <c r="H6898">
        <v>1</v>
      </c>
      <c r="I6898" s="7">
        <v>561.4</v>
      </c>
      <c r="N6898" s="7">
        <v>256.7</v>
      </c>
      <c r="O6898" s="7">
        <v>179.7</v>
      </c>
    </row>
    <row r="6899" spans="1:18" x14ac:dyDescent="0.2">
      <c r="A6899">
        <v>6898</v>
      </c>
      <c r="B6899" s="1">
        <v>40935</v>
      </c>
      <c r="C6899" t="s">
        <v>28</v>
      </c>
      <c r="D6899" s="7">
        <v>195</v>
      </c>
      <c r="E6899" s="7">
        <v>29</v>
      </c>
      <c r="F6899" s="7">
        <f t="shared" si="108"/>
        <v>6</v>
      </c>
      <c r="G6899" s="7" t="str">
        <f>LOOKUP(H6899,[1]startdates!$A$2:$A$10,[1]startdates!$B$2:$B$10)</f>
        <v>SMr</v>
      </c>
      <c r="H6899">
        <v>1</v>
      </c>
      <c r="N6899" s="7">
        <v>230</v>
      </c>
      <c r="O6899" s="7">
        <v>150.4</v>
      </c>
    </row>
    <row r="6900" spans="1:18" x14ac:dyDescent="0.2">
      <c r="A6900">
        <v>6899</v>
      </c>
      <c r="B6900" s="1">
        <v>40935</v>
      </c>
      <c r="C6900" t="s">
        <v>28</v>
      </c>
      <c r="D6900" s="7">
        <v>195</v>
      </c>
      <c r="E6900" s="7">
        <v>29</v>
      </c>
      <c r="F6900" s="7">
        <f t="shared" si="108"/>
        <v>6</v>
      </c>
      <c r="G6900" s="7" t="str">
        <f>LOOKUP(H6900,[1]startdates!$A$2:$A$10,[1]startdates!$B$2:$B$10)</f>
        <v>SMr</v>
      </c>
      <c r="H6900">
        <v>2</v>
      </c>
      <c r="I6900" s="7">
        <v>637.29999999999995</v>
      </c>
      <c r="K6900" s="7">
        <v>450.8</v>
      </c>
      <c r="L6900" s="7">
        <v>439.5</v>
      </c>
      <c r="M6900" s="7">
        <v>341.6</v>
      </c>
      <c r="N6900" s="7">
        <v>255.6</v>
      </c>
      <c r="O6900" s="7">
        <v>170.2</v>
      </c>
      <c r="P6900" s="7">
        <v>410</v>
      </c>
      <c r="Q6900" s="7">
        <v>372.6</v>
      </c>
    </row>
    <row r="6901" spans="1:18" x14ac:dyDescent="0.2">
      <c r="A6901">
        <v>6900</v>
      </c>
      <c r="B6901" s="1">
        <v>40935</v>
      </c>
      <c r="C6901" t="s">
        <v>28</v>
      </c>
      <c r="D6901" s="7">
        <v>195</v>
      </c>
      <c r="E6901" s="7">
        <v>29</v>
      </c>
      <c r="F6901" s="7">
        <f t="shared" si="108"/>
        <v>6</v>
      </c>
      <c r="G6901" s="7" t="str">
        <f>LOOKUP(H6901,[1]startdates!$A$2:$A$10,[1]startdates!$B$2:$B$10)</f>
        <v>SMr</v>
      </c>
      <c r="H6901">
        <v>2</v>
      </c>
      <c r="I6901" s="7">
        <v>526.1</v>
      </c>
      <c r="K6901" s="7">
        <v>590.5</v>
      </c>
      <c r="L6901" s="7">
        <v>410.4</v>
      </c>
      <c r="M6901" s="7">
        <v>309.5</v>
      </c>
      <c r="N6901" s="7">
        <v>281.3</v>
      </c>
      <c r="O6901" s="7">
        <v>172.4</v>
      </c>
      <c r="Q6901" s="7">
        <v>328.4</v>
      </c>
    </row>
    <row r="6902" spans="1:18" x14ac:dyDescent="0.2">
      <c r="A6902">
        <v>6901</v>
      </c>
      <c r="B6902" s="1">
        <v>40935</v>
      </c>
      <c r="C6902" t="s">
        <v>28</v>
      </c>
      <c r="D6902" s="7">
        <v>195</v>
      </c>
      <c r="E6902" s="7">
        <v>29</v>
      </c>
      <c r="F6902" s="7">
        <f t="shared" si="108"/>
        <v>6</v>
      </c>
      <c r="G6902" s="7" t="str">
        <f>LOOKUP(H6902,[1]startdates!$A$2:$A$10,[1]startdates!$B$2:$B$10)</f>
        <v>SMr</v>
      </c>
      <c r="H6902">
        <v>2</v>
      </c>
      <c r="I6902" s="7">
        <v>491.7</v>
      </c>
      <c r="K6902" s="7">
        <v>525.29999999999995</v>
      </c>
      <c r="L6902" s="7">
        <v>391.1</v>
      </c>
      <c r="M6902" s="7">
        <v>351.8</v>
      </c>
      <c r="N6902" s="7">
        <v>203.1</v>
      </c>
      <c r="O6902" s="7">
        <v>180.6</v>
      </c>
      <c r="Q6902" s="7">
        <v>353</v>
      </c>
    </row>
    <row r="6903" spans="1:18" x14ac:dyDescent="0.2">
      <c r="A6903">
        <v>6902</v>
      </c>
      <c r="B6903" s="1">
        <v>40935</v>
      </c>
      <c r="C6903" t="s">
        <v>28</v>
      </c>
      <c r="D6903" s="7">
        <v>195</v>
      </c>
      <c r="E6903" s="7">
        <v>29</v>
      </c>
      <c r="F6903" s="7">
        <f t="shared" si="108"/>
        <v>6</v>
      </c>
      <c r="G6903" s="7" t="str">
        <f>LOOKUP(H6903,[1]startdates!$A$2:$A$10,[1]startdates!$B$2:$B$10)</f>
        <v>SMr</v>
      </c>
      <c r="H6903">
        <v>2</v>
      </c>
      <c r="I6903" s="7">
        <v>467.6</v>
      </c>
      <c r="K6903" s="7">
        <v>475.8</v>
      </c>
      <c r="L6903" s="7">
        <v>439.2</v>
      </c>
      <c r="M6903" s="7">
        <v>332.4</v>
      </c>
      <c r="N6903" s="7">
        <v>194.3</v>
      </c>
      <c r="O6903" s="7">
        <v>167.5</v>
      </c>
    </row>
    <row r="6904" spans="1:18" x14ac:dyDescent="0.2">
      <c r="A6904">
        <v>6903</v>
      </c>
      <c r="B6904" s="1">
        <v>40935</v>
      </c>
      <c r="C6904" t="s">
        <v>28</v>
      </c>
      <c r="D6904" s="7">
        <v>195</v>
      </c>
      <c r="E6904" s="7">
        <v>29</v>
      </c>
      <c r="F6904" s="7">
        <f t="shared" si="108"/>
        <v>6</v>
      </c>
      <c r="G6904" s="7" t="str">
        <f>LOOKUP(H6904,[1]startdates!$A$2:$A$10,[1]startdates!$B$2:$B$10)</f>
        <v>SMr</v>
      </c>
      <c r="H6904">
        <v>2</v>
      </c>
      <c r="I6904" s="7">
        <v>497.4</v>
      </c>
      <c r="K6904" s="7">
        <v>461.7</v>
      </c>
      <c r="L6904" s="7">
        <v>401.5</v>
      </c>
      <c r="M6904" s="7">
        <v>290.10000000000002</v>
      </c>
      <c r="N6904" s="7">
        <v>289.2</v>
      </c>
      <c r="O6904" s="7">
        <v>179.8</v>
      </c>
    </row>
    <row r="6905" spans="1:18" x14ac:dyDescent="0.2">
      <c r="A6905">
        <v>6904</v>
      </c>
      <c r="B6905" s="1">
        <v>40935</v>
      </c>
      <c r="C6905" t="s">
        <v>28</v>
      </c>
      <c r="D6905" s="7">
        <v>195</v>
      </c>
      <c r="E6905" s="7">
        <v>29</v>
      </c>
      <c r="F6905" s="7">
        <f t="shared" si="108"/>
        <v>6</v>
      </c>
      <c r="G6905" s="7" t="str">
        <f>LOOKUP(H6905,[1]startdates!$A$2:$A$10,[1]startdates!$B$2:$B$10)</f>
        <v>SMr</v>
      </c>
      <c r="H6905">
        <v>2</v>
      </c>
      <c r="I6905" s="7">
        <v>549.29999999999995</v>
      </c>
      <c r="M6905" s="7">
        <v>317.39999999999998</v>
      </c>
      <c r="N6905" s="7">
        <v>222.4</v>
      </c>
      <c r="O6905" s="7">
        <v>131.80000000000001</v>
      </c>
    </row>
    <row r="6906" spans="1:18" x14ac:dyDescent="0.2">
      <c r="A6906">
        <v>6905</v>
      </c>
      <c r="B6906" s="1">
        <v>40935</v>
      </c>
      <c r="C6906" t="s">
        <v>28</v>
      </c>
      <c r="D6906" s="7">
        <v>195</v>
      </c>
      <c r="E6906" s="7">
        <v>29</v>
      </c>
      <c r="F6906" s="7">
        <f t="shared" si="108"/>
        <v>6</v>
      </c>
      <c r="G6906" s="7" t="str">
        <f>LOOKUP(H6906,[1]startdates!$A$2:$A$10,[1]startdates!$B$2:$B$10)</f>
        <v>SMr</v>
      </c>
      <c r="H6906">
        <v>2</v>
      </c>
      <c r="I6906" s="7">
        <v>456.7</v>
      </c>
      <c r="M6906" s="7">
        <v>323.3</v>
      </c>
      <c r="N6906" s="7">
        <v>198.2</v>
      </c>
      <c r="O6906" s="7">
        <v>160</v>
      </c>
    </row>
    <row r="6907" spans="1:18" x14ac:dyDescent="0.2">
      <c r="A6907">
        <v>6906</v>
      </c>
      <c r="B6907" s="1">
        <v>40935</v>
      </c>
      <c r="C6907" t="s">
        <v>28</v>
      </c>
      <c r="D6907" s="7">
        <v>195</v>
      </c>
      <c r="E6907" s="7">
        <v>29</v>
      </c>
      <c r="F6907" s="7">
        <f t="shared" si="108"/>
        <v>6</v>
      </c>
      <c r="G6907" s="7" t="str">
        <f>LOOKUP(H6907,[1]startdates!$A$2:$A$10,[1]startdates!$B$2:$B$10)</f>
        <v>SMr</v>
      </c>
      <c r="H6907">
        <v>2</v>
      </c>
      <c r="I6907" s="7">
        <v>635.9</v>
      </c>
      <c r="M6907" s="7">
        <v>328.4</v>
      </c>
      <c r="N6907" s="7">
        <v>263.3</v>
      </c>
      <c r="O6907" s="7">
        <v>156.19999999999999</v>
      </c>
    </row>
    <row r="6908" spans="1:18" x14ac:dyDescent="0.2">
      <c r="A6908">
        <v>6907</v>
      </c>
      <c r="B6908" s="1">
        <v>40935</v>
      </c>
      <c r="C6908" t="s">
        <v>28</v>
      </c>
      <c r="D6908" s="7">
        <v>195</v>
      </c>
      <c r="E6908" s="7">
        <v>29</v>
      </c>
      <c r="F6908" s="7">
        <f t="shared" si="108"/>
        <v>6</v>
      </c>
      <c r="G6908" s="7" t="str">
        <f>LOOKUP(H6908,[1]startdates!$A$2:$A$10,[1]startdates!$B$2:$B$10)</f>
        <v>SMr</v>
      </c>
      <c r="H6908">
        <v>2</v>
      </c>
      <c r="I6908" s="7">
        <v>586.70000000000005</v>
      </c>
      <c r="M6908" s="7">
        <v>324</v>
      </c>
      <c r="N6908" s="7">
        <v>281.60000000000002</v>
      </c>
      <c r="O6908" s="7">
        <v>151.69999999999999</v>
      </c>
    </row>
    <row r="6909" spans="1:18" x14ac:dyDescent="0.2">
      <c r="A6909">
        <v>6908</v>
      </c>
      <c r="B6909" s="1">
        <v>40935</v>
      </c>
      <c r="C6909" t="s">
        <v>28</v>
      </c>
      <c r="D6909" s="7">
        <v>195</v>
      </c>
      <c r="E6909" s="7">
        <v>29</v>
      </c>
      <c r="F6909" s="7">
        <f t="shared" si="108"/>
        <v>6</v>
      </c>
      <c r="G6909" s="7" t="str">
        <f>LOOKUP(H6909,[1]startdates!$A$2:$A$10,[1]startdates!$B$2:$B$10)</f>
        <v>SMr</v>
      </c>
      <c r="H6909">
        <v>2</v>
      </c>
      <c r="I6909" s="7">
        <v>590.5</v>
      </c>
      <c r="N6909" s="7">
        <v>195.7</v>
      </c>
      <c r="O6909" s="7">
        <v>159</v>
      </c>
    </row>
    <row r="6910" spans="1:18" x14ac:dyDescent="0.2">
      <c r="A6910">
        <v>6909</v>
      </c>
      <c r="B6910" s="1">
        <v>40935</v>
      </c>
      <c r="C6910" t="s">
        <v>28</v>
      </c>
      <c r="D6910" s="7">
        <v>195</v>
      </c>
      <c r="E6910" s="7">
        <v>29</v>
      </c>
      <c r="F6910" s="7">
        <f t="shared" si="108"/>
        <v>6</v>
      </c>
      <c r="G6910" s="7" t="str">
        <f>LOOKUP(H6910,[1]startdates!$A$2:$A$10,[1]startdates!$B$2:$B$10)</f>
        <v>C</v>
      </c>
      <c r="H6910">
        <v>3</v>
      </c>
      <c r="I6910" s="7">
        <v>571.9</v>
      </c>
      <c r="K6910" s="7">
        <v>497.7</v>
      </c>
      <c r="L6910" s="7">
        <v>429.6</v>
      </c>
      <c r="M6910" s="7">
        <v>368.1</v>
      </c>
      <c r="N6910" s="7">
        <v>231.8</v>
      </c>
      <c r="O6910" s="7">
        <v>157.4</v>
      </c>
      <c r="P6910" s="7">
        <v>465.7</v>
      </c>
      <c r="Q6910" s="7">
        <v>378.9</v>
      </c>
      <c r="R6910" s="7">
        <v>271.5</v>
      </c>
    </row>
    <row r="6911" spans="1:18" x14ac:dyDescent="0.2">
      <c r="A6911">
        <v>6910</v>
      </c>
      <c r="B6911" s="1">
        <v>40935</v>
      </c>
      <c r="C6911" t="s">
        <v>28</v>
      </c>
      <c r="D6911" s="7">
        <v>195</v>
      </c>
      <c r="E6911" s="7">
        <v>29</v>
      </c>
      <c r="F6911" s="7">
        <f t="shared" si="108"/>
        <v>6</v>
      </c>
      <c r="G6911" s="7" t="str">
        <f>LOOKUP(H6911,[1]startdates!$A$2:$A$10,[1]startdates!$B$2:$B$10)</f>
        <v>C</v>
      </c>
      <c r="H6911">
        <v>3</v>
      </c>
      <c r="I6911" s="7">
        <v>536.70000000000005</v>
      </c>
      <c r="K6911" s="7">
        <v>477.9</v>
      </c>
      <c r="L6911" s="7">
        <v>427.9</v>
      </c>
      <c r="M6911" s="7">
        <v>294.7</v>
      </c>
      <c r="N6911" s="7">
        <v>254.1</v>
      </c>
      <c r="O6911" s="7">
        <v>163</v>
      </c>
      <c r="P6911" s="7">
        <v>398.5</v>
      </c>
      <c r="Q6911" s="7">
        <v>382.7</v>
      </c>
      <c r="R6911" s="7">
        <v>261.8</v>
      </c>
    </row>
    <row r="6912" spans="1:18" x14ac:dyDescent="0.2">
      <c r="A6912">
        <v>6911</v>
      </c>
      <c r="B6912" s="1">
        <v>40935</v>
      </c>
      <c r="C6912" t="s">
        <v>28</v>
      </c>
      <c r="D6912" s="7">
        <v>195</v>
      </c>
      <c r="E6912" s="7">
        <v>29</v>
      </c>
      <c r="F6912" s="7">
        <f t="shared" si="108"/>
        <v>6</v>
      </c>
      <c r="G6912" s="7" t="str">
        <f>LOOKUP(H6912,[1]startdates!$A$2:$A$10,[1]startdates!$B$2:$B$10)</f>
        <v>C</v>
      </c>
      <c r="H6912">
        <v>3</v>
      </c>
      <c r="I6912" s="7">
        <v>570.79999999999995</v>
      </c>
      <c r="K6912" s="7">
        <v>528.1</v>
      </c>
      <c r="M6912" s="7">
        <v>352.6</v>
      </c>
      <c r="N6912" s="7">
        <v>229.8</v>
      </c>
      <c r="O6912" s="7">
        <v>175.8</v>
      </c>
      <c r="P6912" s="7">
        <v>423.8</v>
      </c>
      <c r="Q6912" s="7">
        <v>304.5</v>
      </c>
    </row>
    <row r="6913" spans="1:18" x14ac:dyDescent="0.2">
      <c r="A6913">
        <v>6912</v>
      </c>
      <c r="B6913" s="1">
        <v>40935</v>
      </c>
      <c r="C6913" t="s">
        <v>28</v>
      </c>
      <c r="D6913" s="7">
        <v>195</v>
      </c>
      <c r="E6913" s="7">
        <v>29</v>
      </c>
      <c r="F6913" s="7">
        <f t="shared" si="108"/>
        <v>6</v>
      </c>
      <c r="G6913" s="7" t="str">
        <f>LOOKUP(H6913,[1]startdates!$A$2:$A$10,[1]startdates!$B$2:$B$10)</f>
        <v>C</v>
      </c>
      <c r="H6913">
        <v>3</v>
      </c>
      <c r="I6913" s="7">
        <v>555.20000000000005</v>
      </c>
      <c r="K6913" s="7">
        <v>500.5</v>
      </c>
      <c r="M6913" s="7">
        <v>307.8</v>
      </c>
      <c r="N6913" s="7">
        <v>200.1</v>
      </c>
      <c r="O6913" s="7">
        <v>144.69999999999999</v>
      </c>
      <c r="Q6913" s="7">
        <v>309.5</v>
      </c>
    </row>
    <row r="6914" spans="1:18" x14ac:dyDescent="0.2">
      <c r="A6914">
        <v>6913</v>
      </c>
      <c r="B6914" s="1">
        <v>40935</v>
      </c>
      <c r="C6914" t="s">
        <v>28</v>
      </c>
      <c r="D6914" s="7">
        <v>195</v>
      </c>
      <c r="E6914" s="7">
        <v>29</v>
      </c>
      <c r="F6914" s="7">
        <f t="shared" si="108"/>
        <v>6</v>
      </c>
      <c r="G6914" s="7" t="str">
        <f>LOOKUP(H6914,[1]startdates!$A$2:$A$10,[1]startdates!$B$2:$B$10)</f>
        <v>C</v>
      </c>
      <c r="H6914">
        <v>3</v>
      </c>
      <c r="I6914" s="7">
        <v>618.79999999999995</v>
      </c>
      <c r="K6914" s="7">
        <v>504.7</v>
      </c>
      <c r="M6914" s="7">
        <v>386.6</v>
      </c>
      <c r="N6914" s="7">
        <v>200.9</v>
      </c>
      <c r="O6914" s="7">
        <v>144.80000000000001</v>
      </c>
      <c r="Q6914" s="7">
        <v>373</v>
      </c>
    </row>
    <row r="6915" spans="1:18" x14ac:dyDescent="0.2">
      <c r="A6915">
        <v>6914</v>
      </c>
      <c r="B6915" s="1">
        <v>40935</v>
      </c>
      <c r="C6915" t="s">
        <v>28</v>
      </c>
      <c r="D6915" s="7">
        <v>195</v>
      </c>
      <c r="E6915" s="7">
        <v>29</v>
      </c>
      <c r="F6915" s="7">
        <f t="shared" si="108"/>
        <v>6</v>
      </c>
      <c r="G6915" s="7" t="str">
        <f>LOOKUP(H6915,[1]startdates!$A$2:$A$10,[1]startdates!$B$2:$B$10)</f>
        <v>C</v>
      </c>
      <c r="H6915">
        <v>3</v>
      </c>
      <c r="I6915" s="7">
        <v>569.9</v>
      </c>
      <c r="K6915" s="7">
        <v>456.4</v>
      </c>
      <c r="M6915" s="7">
        <v>376.7</v>
      </c>
      <c r="N6915" s="7">
        <v>200.9</v>
      </c>
      <c r="O6915" s="7">
        <v>164.4</v>
      </c>
    </row>
    <row r="6916" spans="1:18" x14ac:dyDescent="0.2">
      <c r="A6916">
        <v>6915</v>
      </c>
      <c r="B6916" s="1">
        <v>40935</v>
      </c>
      <c r="C6916" t="s">
        <v>28</v>
      </c>
      <c r="D6916" s="7">
        <v>195</v>
      </c>
      <c r="E6916" s="7">
        <v>29</v>
      </c>
      <c r="F6916" s="7">
        <f t="shared" si="108"/>
        <v>6</v>
      </c>
      <c r="G6916" s="7" t="str">
        <f>LOOKUP(H6916,[1]startdates!$A$2:$A$10,[1]startdates!$B$2:$B$10)</f>
        <v>C</v>
      </c>
      <c r="H6916">
        <v>3</v>
      </c>
      <c r="I6916" s="7">
        <v>549.4</v>
      </c>
      <c r="K6916" s="7">
        <v>468.5</v>
      </c>
      <c r="M6916" s="7">
        <v>322.89999999999998</v>
      </c>
      <c r="N6916" s="7">
        <v>280.7</v>
      </c>
      <c r="O6916" s="7">
        <v>163.5</v>
      </c>
    </row>
    <row r="6917" spans="1:18" x14ac:dyDescent="0.2">
      <c r="A6917">
        <v>6916</v>
      </c>
      <c r="B6917" s="1">
        <v>40935</v>
      </c>
      <c r="C6917" t="s">
        <v>28</v>
      </c>
      <c r="D6917" s="7">
        <v>195</v>
      </c>
      <c r="E6917" s="7">
        <v>29</v>
      </c>
      <c r="F6917" s="7">
        <f t="shared" si="108"/>
        <v>6</v>
      </c>
      <c r="G6917" s="7" t="str">
        <f>LOOKUP(H6917,[1]startdates!$A$2:$A$10,[1]startdates!$B$2:$B$10)</f>
        <v>C</v>
      </c>
      <c r="H6917">
        <v>3</v>
      </c>
      <c r="I6917" s="7">
        <v>580.79999999999995</v>
      </c>
      <c r="M6917" s="7">
        <v>360.6</v>
      </c>
      <c r="N6917" s="7">
        <v>255.6</v>
      </c>
      <c r="O6917" s="7">
        <v>172.9</v>
      </c>
    </row>
    <row r="6918" spans="1:18" x14ac:dyDescent="0.2">
      <c r="A6918">
        <v>6917</v>
      </c>
      <c r="B6918" s="1">
        <v>40935</v>
      </c>
      <c r="C6918" t="s">
        <v>28</v>
      </c>
      <c r="D6918" s="7">
        <v>195</v>
      </c>
      <c r="E6918" s="7">
        <v>29</v>
      </c>
      <c r="F6918" s="7">
        <f t="shared" si="108"/>
        <v>6</v>
      </c>
      <c r="G6918" s="7" t="str">
        <f>LOOKUP(H6918,[1]startdates!$A$2:$A$10,[1]startdates!$B$2:$B$10)</f>
        <v>C</v>
      </c>
      <c r="H6918">
        <v>3</v>
      </c>
      <c r="I6918" s="7">
        <v>537</v>
      </c>
      <c r="M6918" s="7">
        <v>300.5</v>
      </c>
      <c r="N6918" s="7">
        <v>262.10000000000002</v>
      </c>
      <c r="O6918" s="7">
        <v>172.5</v>
      </c>
    </row>
    <row r="6919" spans="1:18" x14ac:dyDescent="0.2">
      <c r="A6919">
        <v>6918</v>
      </c>
      <c r="B6919" s="1">
        <v>40935</v>
      </c>
      <c r="C6919" t="s">
        <v>28</v>
      </c>
      <c r="D6919" s="7">
        <v>195</v>
      </c>
      <c r="E6919" s="7">
        <v>29</v>
      </c>
      <c r="F6919" s="7">
        <f t="shared" si="108"/>
        <v>6</v>
      </c>
      <c r="G6919" s="7" t="str">
        <f>LOOKUP(H6919,[1]startdates!$A$2:$A$10,[1]startdates!$B$2:$B$10)</f>
        <v>C</v>
      </c>
      <c r="H6919">
        <v>3</v>
      </c>
      <c r="I6919" s="7">
        <v>592.29999999999995</v>
      </c>
      <c r="M6919" s="7">
        <v>326.7</v>
      </c>
      <c r="N6919" s="7">
        <v>208.4</v>
      </c>
      <c r="O6919" s="7">
        <v>156.80000000000001</v>
      </c>
    </row>
    <row r="6920" spans="1:18" x14ac:dyDescent="0.2">
      <c r="A6920">
        <v>6919</v>
      </c>
      <c r="B6920" s="1">
        <v>40935</v>
      </c>
      <c r="C6920" t="s">
        <v>28</v>
      </c>
      <c r="D6920" s="7">
        <v>195</v>
      </c>
      <c r="E6920" s="7">
        <v>29</v>
      </c>
      <c r="F6920" s="7">
        <f t="shared" si="108"/>
        <v>6</v>
      </c>
      <c r="G6920" s="7" t="str">
        <f>LOOKUP(H6920,[1]startdates!$A$2:$A$10,[1]startdates!$B$2:$B$10)</f>
        <v>SMr</v>
      </c>
      <c r="H6920">
        <v>4</v>
      </c>
      <c r="I6920" s="7">
        <v>578.1</v>
      </c>
      <c r="K6920" s="7">
        <v>446.7</v>
      </c>
      <c r="L6920" s="7">
        <v>428.9</v>
      </c>
      <c r="M6920" s="7">
        <v>319.60000000000002</v>
      </c>
      <c r="N6920" s="7">
        <v>264.5</v>
      </c>
      <c r="O6920" s="7">
        <v>167</v>
      </c>
      <c r="P6920" s="7">
        <v>408.2</v>
      </c>
      <c r="Q6920" s="7">
        <v>349.1</v>
      </c>
      <c r="R6920" s="7">
        <v>263.10000000000002</v>
      </c>
    </row>
    <row r="6921" spans="1:18" x14ac:dyDescent="0.2">
      <c r="A6921">
        <v>6920</v>
      </c>
      <c r="B6921" s="1">
        <v>40935</v>
      </c>
      <c r="C6921" t="s">
        <v>28</v>
      </c>
      <c r="D6921" s="7">
        <v>195</v>
      </c>
      <c r="E6921" s="7">
        <v>29</v>
      </c>
      <c r="F6921" s="7">
        <f t="shared" si="108"/>
        <v>6</v>
      </c>
      <c r="G6921" s="7" t="str">
        <f>LOOKUP(H6921,[1]startdates!$A$2:$A$10,[1]startdates!$B$2:$B$10)</f>
        <v>SMr</v>
      </c>
      <c r="H6921">
        <v>4</v>
      </c>
      <c r="I6921" s="7">
        <v>530.20000000000005</v>
      </c>
      <c r="K6921" s="7">
        <v>466.9</v>
      </c>
      <c r="L6921" s="7">
        <v>443.2</v>
      </c>
      <c r="M6921" s="7">
        <v>356.7</v>
      </c>
      <c r="N6921" s="7">
        <v>167.3</v>
      </c>
      <c r="O6921" s="7">
        <v>144.30000000000001</v>
      </c>
      <c r="P6921" s="7">
        <v>411.1</v>
      </c>
    </row>
    <row r="6922" spans="1:18" x14ac:dyDescent="0.2">
      <c r="A6922">
        <v>6921</v>
      </c>
      <c r="B6922" s="1">
        <v>40935</v>
      </c>
      <c r="C6922" t="s">
        <v>28</v>
      </c>
      <c r="D6922" s="7">
        <v>195</v>
      </c>
      <c r="E6922" s="7">
        <v>29</v>
      </c>
      <c r="F6922" s="7">
        <f t="shared" si="108"/>
        <v>6</v>
      </c>
      <c r="G6922" s="7" t="str">
        <f>LOOKUP(H6922,[1]startdates!$A$2:$A$10,[1]startdates!$B$2:$B$10)</f>
        <v>SMr</v>
      </c>
      <c r="H6922">
        <v>4</v>
      </c>
      <c r="I6922" s="7">
        <v>521</v>
      </c>
      <c r="K6922" s="7">
        <v>439.1</v>
      </c>
      <c r="L6922" s="7">
        <v>399.3</v>
      </c>
      <c r="M6922" s="7">
        <v>319.7</v>
      </c>
      <c r="N6922" s="7">
        <v>192.7</v>
      </c>
      <c r="O6922" s="7">
        <v>159.80000000000001</v>
      </c>
      <c r="P6922" s="7">
        <v>450.3</v>
      </c>
    </row>
    <row r="6923" spans="1:18" x14ac:dyDescent="0.2">
      <c r="A6923">
        <v>6922</v>
      </c>
      <c r="B6923" s="1">
        <v>40935</v>
      </c>
      <c r="C6923" t="s">
        <v>28</v>
      </c>
      <c r="D6923" s="7">
        <v>195</v>
      </c>
      <c r="E6923" s="7">
        <v>29</v>
      </c>
      <c r="F6923" s="7">
        <f t="shared" si="108"/>
        <v>6</v>
      </c>
      <c r="G6923" s="7" t="str">
        <f>LOOKUP(H6923,[1]startdates!$A$2:$A$10,[1]startdates!$B$2:$B$10)</f>
        <v>SMr</v>
      </c>
      <c r="H6923">
        <v>4</v>
      </c>
      <c r="I6923" s="7">
        <v>549.5</v>
      </c>
      <c r="K6923" s="7">
        <v>504.8</v>
      </c>
      <c r="L6923" s="7">
        <v>455.7</v>
      </c>
      <c r="M6923" s="7">
        <v>378.7</v>
      </c>
      <c r="N6923" s="7">
        <v>225.4</v>
      </c>
      <c r="O6923" s="7">
        <v>147.1</v>
      </c>
      <c r="P6923" s="7">
        <v>462.8</v>
      </c>
    </row>
    <row r="6924" spans="1:18" x14ac:dyDescent="0.2">
      <c r="A6924">
        <v>6923</v>
      </c>
      <c r="B6924" s="1">
        <v>40935</v>
      </c>
      <c r="C6924" t="s">
        <v>28</v>
      </c>
      <c r="D6924" s="7">
        <v>195</v>
      </c>
      <c r="E6924" s="7">
        <v>29</v>
      </c>
      <c r="F6924" s="7">
        <f t="shared" si="108"/>
        <v>6</v>
      </c>
      <c r="G6924" s="7" t="str">
        <f>LOOKUP(H6924,[1]startdates!$A$2:$A$10,[1]startdates!$B$2:$B$10)</f>
        <v>SMr</v>
      </c>
      <c r="H6924">
        <v>4</v>
      </c>
      <c r="I6924" s="7">
        <v>555.9</v>
      </c>
      <c r="K6924" s="7">
        <v>460.6</v>
      </c>
      <c r="M6924" s="7">
        <v>323.7</v>
      </c>
      <c r="N6924" s="7">
        <v>225.9</v>
      </c>
      <c r="O6924" s="7">
        <v>173.1</v>
      </c>
      <c r="P6924" s="7">
        <v>413.2</v>
      </c>
    </row>
    <row r="6925" spans="1:18" x14ac:dyDescent="0.2">
      <c r="A6925">
        <v>6924</v>
      </c>
      <c r="B6925" s="1">
        <v>40935</v>
      </c>
      <c r="C6925" t="s">
        <v>28</v>
      </c>
      <c r="D6925" s="7">
        <v>195</v>
      </c>
      <c r="E6925" s="7">
        <v>29</v>
      </c>
      <c r="F6925" s="7">
        <f t="shared" si="108"/>
        <v>6</v>
      </c>
      <c r="G6925" s="7" t="str">
        <f>LOOKUP(H6925,[1]startdates!$A$2:$A$10,[1]startdates!$B$2:$B$10)</f>
        <v>SMr</v>
      </c>
      <c r="H6925">
        <v>4</v>
      </c>
      <c r="I6925" s="7">
        <v>534.1</v>
      </c>
      <c r="K6925" s="7">
        <v>510.5</v>
      </c>
      <c r="M6925" s="7">
        <v>359.7</v>
      </c>
      <c r="N6925" s="7">
        <v>229.7</v>
      </c>
      <c r="O6925" s="7">
        <v>163</v>
      </c>
      <c r="P6925" s="7">
        <v>433.1</v>
      </c>
    </row>
    <row r="6926" spans="1:18" x14ac:dyDescent="0.2">
      <c r="A6926">
        <v>6925</v>
      </c>
      <c r="B6926" s="1">
        <v>40935</v>
      </c>
      <c r="C6926" t="s">
        <v>28</v>
      </c>
      <c r="D6926" s="7">
        <v>195</v>
      </c>
      <c r="E6926" s="7">
        <v>29</v>
      </c>
      <c r="F6926" s="7">
        <f t="shared" si="108"/>
        <v>6</v>
      </c>
      <c r="G6926" s="7" t="str">
        <f>LOOKUP(H6926,[1]startdates!$A$2:$A$10,[1]startdates!$B$2:$B$10)</f>
        <v>SMr</v>
      </c>
      <c r="H6926">
        <v>4</v>
      </c>
      <c r="I6926" s="7">
        <v>486.1</v>
      </c>
      <c r="K6926" s="7">
        <v>484</v>
      </c>
      <c r="M6926" s="7">
        <v>365.5</v>
      </c>
      <c r="N6926" s="7">
        <v>216.1</v>
      </c>
      <c r="O6926" s="7">
        <v>155.30000000000001</v>
      </c>
    </row>
    <row r="6927" spans="1:18" x14ac:dyDescent="0.2">
      <c r="A6927">
        <v>6926</v>
      </c>
      <c r="B6927" s="1">
        <v>40935</v>
      </c>
      <c r="C6927" t="s">
        <v>28</v>
      </c>
      <c r="D6927" s="7">
        <v>195</v>
      </c>
      <c r="E6927" s="7">
        <v>29</v>
      </c>
      <c r="F6927" s="7">
        <f t="shared" si="108"/>
        <v>6</v>
      </c>
      <c r="G6927" s="7" t="str">
        <f>LOOKUP(H6927,[1]startdates!$A$2:$A$10,[1]startdates!$B$2:$B$10)</f>
        <v>SMr</v>
      </c>
      <c r="H6927">
        <v>4</v>
      </c>
      <c r="I6927" s="7">
        <v>535.5</v>
      </c>
      <c r="M6927" s="7">
        <v>361.1</v>
      </c>
      <c r="N6927" s="7">
        <v>184.9</v>
      </c>
      <c r="O6927" s="7">
        <v>164.9</v>
      </c>
    </row>
    <row r="6928" spans="1:18" x14ac:dyDescent="0.2">
      <c r="A6928">
        <v>6927</v>
      </c>
      <c r="B6928" s="1">
        <v>40935</v>
      </c>
      <c r="C6928" t="s">
        <v>28</v>
      </c>
      <c r="D6928" s="7">
        <v>195</v>
      </c>
      <c r="E6928" s="7">
        <v>29</v>
      </c>
      <c r="F6928" s="7">
        <f t="shared" si="108"/>
        <v>6</v>
      </c>
      <c r="G6928" s="7" t="str">
        <f>LOOKUP(H6928,[1]startdates!$A$2:$A$10,[1]startdates!$B$2:$B$10)</f>
        <v>SMr</v>
      </c>
      <c r="H6928">
        <v>4</v>
      </c>
      <c r="I6928" s="7">
        <v>601.20000000000005</v>
      </c>
      <c r="M6928" s="7">
        <v>350.5</v>
      </c>
      <c r="N6928" s="7">
        <v>261.5</v>
      </c>
      <c r="O6928" s="7">
        <v>169.7</v>
      </c>
    </row>
    <row r="6929" spans="1:19" x14ac:dyDescent="0.2">
      <c r="A6929">
        <v>6928</v>
      </c>
      <c r="B6929" s="1">
        <v>40935</v>
      </c>
      <c r="C6929" t="s">
        <v>28</v>
      </c>
      <c r="D6929" s="7">
        <v>195</v>
      </c>
      <c r="E6929" s="7">
        <v>29</v>
      </c>
      <c r="F6929" s="7">
        <f t="shared" si="108"/>
        <v>6</v>
      </c>
      <c r="G6929" s="7" t="str">
        <f>LOOKUP(H6929,[1]startdates!$A$2:$A$10,[1]startdates!$B$2:$B$10)</f>
        <v>SMr</v>
      </c>
      <c r="H6929">
        <v>4</v>
      </c>
      <c r="I6929" s="7">
        <v>591.1</v>
      </c>
      <c r="M6929" s="7">
        <v>360.5</v>
      </c>
      <c r="N6929" s="7">
        <v>226.3</v>
      </c>
      <c r="O6929" s="7">
        <v>158.69999999999999</v>
      </c>
    </row>
    <row r="6930" spans="1:19" x14ac:dyDescent="0.2">
      <c r="A6930">
        <v>6929</v>
      </c>
      <c r="B6930" s="1">
        <v>40935</v>
      </c>
      <c r="C6930" t="s">
        <v>28</v>
      </c>
      <c r="D6930" s="7">
        <v>195</v>
      </c>
      <c r="E6930" s="7">
        <v>29</v>
      </c>
      <c r="F6930" s="7">
        <f t="shared" si="108"/>
        <v>6</v>
      </c>
      <c r="G6930" s="7" t="str">
        <f>LOOKUP(H6930,[1]startdates!$A$2:$A$10,[1]startdates!$B$2:$B$10)</f>
        <v>C</v>
      </c>
      <c r="H6930">
        <v>5</v>
      </c>
      <c r="I6930" s="7">
        <v>676.4</v>
      </c>
      <c r="J6930" s="7">
        <v>510.4</v>
      </c>
      <c r="K6930" s="7">
        <v>510.5</v>
      </c>
      <c r="M6930" s="7">
        <v>314.60000000000002</v>
      </c>
      <c r="N6930" s="7">
        <v>221.4</v>
      </c>
      <c r="O6930" s="7">
        <v>185.7</v>
      </c>
      <c r="P6930" s="7">
        <v>467.6</v>
      </c>
      <c r="Q6930" s="7">
        <v>303.60000000000002</v>
      </c>
      <c r="R6930" s="7">
        <v>261.60000000000002</v>
      </c>
    </row>
    <row r="6931" spans="1:19" x14ac:dyDescent="0.2">
      <c r="A6931">
        <v>6930</v>
      </c>
      <c r="B6931" s="1">
        <v>40935</v>
      </c>
      <c r="C6931" t="s">
        <v>28</v>
      </c>
      <c r="D6931" s="7">
        <v>195</v>
      </c>
      <c r="E6931" s="7">
        <v>29</v>
      </c>
      <c r="F6931" s="7">
        <f t="shared" si="108"/>
        <v>6</v>
      </c>
      <c r="G6931" s="7" t="str">
        <f>LOOKUP(H6931,[1]startdates!$A$2:$A$10,[1]startdates!$B$2:$B$10)</f>
        <v>C</v>
      </c>
      <c r="H6931">
        <v>5</v>
      </c>
      <c r="I6931" s="7">
        <v>582.5</v>
      </c>
      <c r="J6931" s="7">
        <v>511.9</v>
      </c>
      <c r="K6931" s="7">
        <v>611.70000000000005</v>
      </c>
      <c r="M6931" s="7">
        <v>342.4</v>
      </c>
      <c r="N6931" s="7">
        <v>227.7</v>
      </c>
      <c r="O6931" s="7">
        <v>165</v>
      </c>
      <c r="Q6931" s="7">
        <v>330</v>
      </c>
      <c r="R6931" s="7">
        <v>269.39999999999998</v>
      </c>
    </row>
    <row r="6932" spans="1:19" x14ac:dyDescent="0.2">
      <c r="A6932">
        <v>6931</v>
      </c>
      <c r="B6932" s="1">
        <v>40935</v>
      </c>
      <c r="C6932" t="s">
        <v>28</v>
      </c>
      <c r="D6932" s="7">
        <v>195</v>
      </c>
      <c r="E6932" s="7">
        <v>29</v>
      </c>
      <c r="F6932" s="7">
        <f t="shared" si="108"/>
        <v>6</v>
      </c>
      <c r="G6932" s="7" t="str">
        <f>LOOKUP(H6932,[1]startdates!$A$2:$A$10,[1]startdates!$B$2:$B$10)</f>
        <v>C</v>
      </c>
      <c r="H6932">
        <v>5</v>
      </c>
      <c r="I6932" s="7">
        <v>625.20000000000005</v>
      </c>
      <c r="K6932" s="7">
        <v>530.4</v>
      </c>
      <c r="M6932" s="7">
        <v>309.3</v>
      </c>
      <c r="N6932" s="7">
        <v>253.3</v>
      </c>
      <c r="O6932" s="7">
        <v>173.5</v>
      </c>
      <c r="R6932" s="7">
        <v>268</v>
      </c>
    </row>
    <row r="6933" spans="1:19" x14ac:dyDescent="0.2">
      <c r="A6933">
        <v>6932</v>
      </c>
      <c r="B6933" s="1">
        <v>40935</v>
      </c>
      <c r="C6933" t="s">
        <v>28</v>
      </c>
      <c r="D6933" s="7">
        <v>195</v>
      </c>
      <c r="E6933" s="7">
        <v>29</v>
      </c>
      <c r="F6933" s="7">
        <f t="shared" si="108"/>
        <v>6</v>
      </c>
      <c r="G6933" s="7" t="str">
        <f>LOOKUP(H6933,[1]startdates!$A$2:$A$10,[1]startdates!$B$2:$B$10)</f>
        <v>C</v>
      </c>
      <c r="H6933">
        <v>5</v>
      </c>
      <c r="I6933" s="7">
        <v>632.20000000000005</v>
      </c>
      <c r="K6933" s="7">
        <v>472.2</v>
      </c>
      <c r="M6933" s="7">
        <v>340.8</v>
      </c>
      <c r="N6933" s="7">
        <v>177.7</v>
      </c>
      <c r="O6933" s="7">
        <v>132</v>
      </c>
      <c r="R6933" s="7">
        <v>281.60000000000002</v>
      </c>
    </row>
    <row r="6934" spans="1:19" x14ac:dyDescent="0.2">
      <c r="A6934">
        <v>6933</v>
      </c>
      <c r="B6934" s="1">
        <v>40935</v>
      </c>
      <c r="C6934" t="s">
        <v>28</v>
      </c>
      <c r="D6934" s="7">
        <v>195</v>
      </c>
      <c r="E6934" s="7">
        <v>29</v>
      </c>
      <c r="F6934" s="7">
        <f t="shared" si="108"/>
        <v>6</v>
      </c>
      <c r="G6934" s="7" t="str">
        <f>LOOKUP(H6934,[1]startdates!$A$2:$A$10,[1]startdates!$B$2:$B$10)</f>
        <v>C</v>
      </c>
      <c r="H6934">
        <v>5</v>
      </c>
      <c r="I6934" s="7">
        <v>604.5</v>
      </c>
      <c r="K6934" s="7">
        <v>461.4</v>
      </c>
      <c r="M6934" s="7">
        <v>351.5</v>
      </c>
      <c r="N6934" s="7">
        <v>216.8</v>
      </c>
      <c r="O6934" s="7">
        <v>164</v>
      </c>
    </row>
    <row r="6935" spans="1:19" x14ac:dyDescent="0.2">
      <c r="A6935">
        <v>6934</v>
      </c>
      <c r="B6935" s="1">
        <v>40935</v>
      </c>
      <c r="C6935" t="s">
        <v>28</v>
      </c>
      <c r="D6935" s="7">
        <v>195</v>
      </c>
      <c r="E6935" s="7">
        <v>29</v>
      </c>
      <c r="F6935" s="7">
        <f t="shared" si="108"/>
        <v>6</v>
      </c>
      <c r="G6935" s="7" t="str">
        <f>LOOKUP(H6935,[1]startdates!$A$2:$A$10,[1]startdates!$B$2:$B$10)</f>
        <v>C</v>
      </c>
      <c r="H6935">
        <v>5</v>
      </c>
      <c r="I6935" s="7">
        <v>591.1</v>
      </c>
      <c r="M6935" s="7">
        <v>343.9</v>
      </c>
      <c r="N6935" s="7">
        <v>262.7</v>
      </c>
      <c r="O6935" s="7">
        <v>169</v>
      </c>
    </row>
    <row r="6936" spans="1:19" x14ac:dyDescent="0.2">
      <c r="A6936">
        <v>6935</v>
      </c>
      <c r="B6936" s="1">
        <v>40935</v>
      </c>
      <c r="C6936" t="s">
        <v>28</v>
      </c>
      <c r="D6936" s="7">
        <v>195</v>
      </c>
      <c r="E6936" s="7">
        <v>29</v>
      </c>
      <c r="F6936" s="7">
        <f t="shared" si="108"/>
        <v>6</v>
      </c>
      <c r="G6936" s="7" t="str">
        <f>LOOKUP(H6936,[1]startdates!$A$2:$A$10,[1]startdates!$B$2:$B$10)</f>
        <v>C</v>
      </c>
      <c r="H6936">
        <v>5</v>
      </c>
      <c r="I6936" s="7">
        <v>629</v>
      </c>
      <c r="N6936" s="7">
        <v>200.6</v>
      </c>
      <c r="O6936" s="7">
        <v>153.80000000000001</v>
      </c>
    </row>
    <row r="6937" spans="1:19" x14ac:dyDescent="0.2">
      <c r="A6937">
        <v>6936</v>
      </c>
      <c r="B6937" s="1">
        <v>40935</v>
      </c>
      <c r="C6937" t="s">
        <v>28</v>
      </c>
      <c r="D6937" s="7">
        <v>195</v>
      </c>
      <c r="E6937" s="7">
        <v>29</v>
      </c>
      <c r="F6937" s="7">
        <f t="shared" si="108"/>
        <v>6</v>
      </c>
      <c r="G6937" s="7" t="str">
        <f>LOOKUP(H6937,[1]startdates!$A$2:$A$10,[1]startdates!$B$2:$B$10)</f>
        <v>C</v>
      </c>
      <c r="H6937">
        <v>5</v>
      </c>
      <c r="I6937" s="7">
        <v>722.4</v>
      </c>
      <c r="N6937" s="7">
        <v>274.89999999999998</v>
      </c>
      <c r="O6937" s="7">
        <v>180</v>
      </c>
    </row>
    <row r="6938" spans="1:19" x14ac:dyDescent="0.2">
      <c r="A6938">
        <v>6937</v>
      </c>
      <c r="B6938" s="1">
        <v>40935</v>
      </c>
      <c r="C6938" t="s">
        <v>28</v>
      </c>
      <c r="D6938" s="7">
        <v>195</v>
      </c>
      <c r="E6938" s="7">
        <v>29</v>
      </c>
      <c r="F6938" s="7">
        <f t="shared" si="108"/>
        <v>6</v>
      </c>
      <c r="G6938" s="7" t="str">
        <f>LOOKUP(H6938,[1]startdates!$A$2:$A$10,[1]startdates!$B$2:$B$10)</f>
        <v>C</v>
      </c>
      <c r="H6938">
        <v>5</v>
      </c>
      <c r="I6938" s="7">
        <v>600.1</v>
      </c>
      <c r="N6938" s="7">
        <v>248.2</v>
      </c>
      <c r="O6938" s="7">
        <v>146</v>
      </c>
    </row>
    <row r="6939" spans="1:19" x14ac:dyDescent="0.2">
      <c r="A6939">
        <v>6938</v>
      </c>
      <c r="B6939" s="1">
        <v>40935</v>
      </c>
      <c r="C6939" t="s">
        <v>28</v>
      </c>
      <c r="D6939" s="7">
        <v>195</v>
      </c>
      <c r="E6939" s="7">
        <v>29</v>
      </c>
      <c r="F6939" s="7">
        <f t="shared" si="108"/>
        <v>6</v>
      </c>
      <c r="G6939" s="7" t="str">
        <f>LOOKUP(H6939,[1]startdates!$A$2:$A$10,[1]startdates!$B$2:$B$10)</f>
        <v>C</v>
      </c>
      <c r="H6939">
        <v>5</v>
      </c>
      <c r="I6939" s="7">
        <v>644.6</v>
      </c>
      <c r="N6939" s="7">
        <v>252.6</v>
      </c>
      <c r="O6939" s="7">
        <v>162.69999999999999</v>
      </c>
    </row>
    <row r="6940" spans="1:19" x14ac:dyDescent="0.2">
      <c r="A6940">
        <v>6939</v>
      </c>
      <c r="B6940" s="1">
        <v>40935</v>
      </c>
      <c r="C6940" t="s">
        <v>28</v>
      </c>
      <c r="D6940" s="7">
        <v>195</v>
      </c>
      <c r="E6940" s="7">
        <v>29</v>
      </c>
      <c r="F6940" s="7">
        <f t="shared" si="108"/>
        <v>6</v>
      </c>
      <c r="G6940" s="7" t="str">
        <f>LOOKUP(H6940,[1]startdates!$A$2:$A$10,[1]startdates!$B$2:$B$10)</f>
        <v>C</v>
      </c>
      <c r="H6940">
        <v>5</v>
      </c>
      <c r="O6940" s="7">
        <v>155</v>
      </c>
    </row>
    <row r="6941" spans="1:19" x14ac:dyDescent="0.2">
      <c r="A6941">
        <v>6940</v>
      </c>
      <c r="B6941" s="1">
        <v>40935</v>
      </c>
      <c r="C6941" t="s">
        <v>28</v>
      </c>
      <c r="D6941" s="7">
        <v>195</v>
      </c>
      <c r="E6941" s="7">
        <v>29</v>
      </c>
      <c r="F6941" s="7">
        <f t="shared" si="108"/>
        <v>6</v>
      </c>
      <c r="G6941" s="7" t="str">
        <f>LOOKUP(H6941,[1]startdates!$A$2:$A$10,[1]startdates!$B$2:$B$10)</f>
        <v>FMr</v>
      </c>
      <c r="H6941">
        <v>6</v>
      </c>
      <c r="I6941" s="7">
        <v>586.5</v>
      </c>
      <c r="K6941" s="7">
        <v>463.7</v>
      </c>
      <c r="L6941" s="7">
        <v>421.9</v>
      </c>
      <c r="M6941" s="7">
        <v>354.2</v>
      </c>
      <c r="N6941" s="7">
        <v>243.8</v>
      </c>
      <c r="O6941" s="7">
        <v>173.1</v>
      </c>
      <c r="P6941" s="7">
        <v>393</v>
      </c>
      <c r="Q6941" s="7">
        <v>312.10000000000002</v>
      </c>
      <c r="S6941" s="7">
        <v>232.1</v>
      </c>
    </row>
    <row r="6942" spans="1:19" x14ac:dyDescent="0.2">
      <c r="A6942">
        <v>6941</v>
      </c>
      <c r="B6942" s="1">
        <v>40935</v>
      </c>
      <c r="C6942" t="s">
        <v>28</v>
      </c>
      <c r="D6942" s="7">
        <v>195</v>
      </c>
      <c r="E6942" s="7">
        <v>29</v>
      </c>
      <c r="F6942" s="7">
        <f t="shared" si="108"/>
        <v>6</v>
      </c>
      <c r="G6942" s="7" t="str">
        <f>LOOKUP(H6942,[1]startdates!$A$2:$A$10,[1]startdates!$B$2:$B$10)</f>
        <v>FMr</v>
      </c>
      <c r="H6942">
        <v>6</v>
      </c>
      <c r="I6942" s="7">
        <v>531.9</v>
      </c>
      <c r="K6942" s="7">
        <v>532</v>
      </c>
      <c r="L6942" s="7">
        <v>454.5</v>
      </c>
      <c r="M6942" s="7">
        <v>355.8</v>
      </c>
      <c r="N6942" s="7">
        <v>262.7</v>
      </c>
      <c r="O6942" s="7">
        <v>159.80000000000001</v>
      </c>
      <c r="Q6942" s="7">
        <v>321.5</v>
      </c>
    </row>
    <row r="6943" spans="1:19" x14ac:dyDescent="0.2">
      <c r="A6943">
        <v>6942</v>
      </c>
      <c r="B6943" s="1">
        <v>40935</v>
      </c>
      <c r="C6943" t="s">
        <v>28</v>
      </c>
      <c r="D6943" s="7">
        <v>195</v>
      </c>
      <c r="E6943" s="7">
        <v>29</v>
      </c>
      <c r="F6943" s="7">
        <f t="shared" si="108"/>
        <v>6</v>
      </c>
      <c r="G6943" s="7" t="str">
        <f>LOOKUP(H6943,[1]startdates!$A$2:$A$10,[1]startdates!$B$2:$B$10)</f>
        <v>FMr</v>
      </c>
      <c r="H6943">
        <v>6</v>
      </c>
      <c r="I6943" s="7">
        <v>703</v>
      </c>
      <c r="K6943" s="7">
        <v>534.1</v>
      </c>
      <c r="L6943" s="7">
        <v>468.9</v>
      </c>
      <c r="M6943" s="7">
        <v>377.8</v>
      </c>
      <c r="N6943" s="7">
        <v>209.9</v>
      </c>
      <c r="O6943" s="7">
        <v>150.30000000000001</v>
      </c>
      <c r="Q6943" s="7">
        <v>301.3</v>
      </c>
    </row>
    <row r="6944" spans="1:19" x14ac:dyDescent="0.2">
      <c r="A6944">
        <v>6943</v>
      </c>
      <c r="B6944" s="1">
        <v>40935</v>
      </c>
      <c r="C6944" t="s">
        <v>28</v>
      </c>
      <c r="D6944" s="7">
        <v>195</v>
      </c>
      <c r="E6944" s="7">
        <v>29</v>
      </c>
      <c r="F6944" s="7">
        <f t="shared" si="108"/>
        <v>6</v>
      </c>
      <c r="G6944" s="7" t="str">
        <f>LOOKUP(H6944,[1]startdates!$A$2:$A$10,[1]startdates!$B$2:$B$10)</f>
        <v>FMr</v>
      </c>
      <c r="H6944">
        <v>6</v>
      </c>
      <c r="I6944" s="7">
        <v>610.9</v>
      </c>
      <c r="K6944" s="7">
        <v>489.6</v>
      </c>
      <c r="M6944" s="7">
        <v>364.6</v>
      </c>
      <c r="N6944" s="7">
        <v>206.2</v>
      </c>
      <c r="O6944" s="7">
        <v>157.6</v>
      </c>
    </row>
    <row r="6945" spans="1:17" x14ac:dyDescent="0.2">
      <c r="A6945">
        <v>6944</v>
      </c>
      <c r="B6945" s="1">
        <v>40935</v>
      </c>
      <c r="C6945" t="s">
        <v>28</v>
      </c>
      <c r="D6945" s="7">
        <v>195</v>
      </c>
      <c r="E6945" s="7">
        <v>29</v>
      </c>
      <c r="F6945" s="7">
        <f t="shared" si="108"/>
        <v>6</v>
      </c>
      <c r="G6945" s="7" t="str">
        <f>LOOKUP(H6945,[1]startdates!$A$2:$A$10,[1]startdates!$B$2:$B$10)</f>
        <v>FMr</v>
      </c>
      <c r="H6945">
        <v>6</v>
      </c>
      <c r="I6945" s="7">
        <v>485.4</v>
      </c>
      <c r="K6945" s="7">
        <v>480.8</v>
      </c>
      <c r="M6945" s="7">
        <v>360.5</v>
      </c>
      <c r="N6945" s="7">
        <v>196.1</v>
      </c>
      <c r="O6945" s="7">
        <v>147.1</v>
      </c>
    </row>
    <row r="6946" spans="1:17" x14ac:dyDescent="0.2">
      <c r="A6946">
        <v>6945</v>
      </c>
      <c r="B6946" s="1">
        <v>40935</v>
      </c>
      <c r="C6946" t="s">
        <v>28</v>
      </c>
      <c r="D6946" s="7">
        <v>195</v>
      </c>
      <c r="E6946" s="7">
        <v>29</v>
      </c>
      <c r="F6946" s="7">
        <f t="shared" si="108"/>
        <v>6</v>
      </c>
      <c r="G6946" s="7" t="str">
        <f>LOOKUP(H6946,[1]startdates!$A$2:$A$10,[1]startdates!$B$2:$B$10)</f>
        <v>FMr</v>
      </c>
      <c r="H6946">
        <v>6</v>
      </c>
      <c r="I6946" s="7">
        <v>485.7</v>
      </c>
      <c r="K6946" s="7">
        <v>505.5</v>
      </c>
      <c r="M6946" s="7">
        <v>373.8</v>
      </c>
      <c r="N6946" s="7">
        <v>219.2</v>
      </c>
      <c r="O6946" s="7">
        <v>158.4</v>
      </c>
    </row>
    <row r="6947" spans="1:17" x14ac:dyDescent="0.2">
      <c r="A6947">
        <v>6946</v>
      </c>
      <c r="B6947" s="1">
        <v>40935</v>
      </c>
      <c r="C6947" t="s">
        <v>28</v>
      </c>
      <c r="D6947" s="7">
        <v>195</v>
      </c>
      <c r="E6947" s="7">
        <v>29</v>
      </c>
      <c r="F6947" s="7">
        <f t="shared" si="108"/>
        <v>6</v>
      </c>
      <c r="G6947" s="7" t="str">
        <f>LOOKUP(H6947,[1]startdates!$A$2:$A$10,[1]startdates!$B$2:$B$10)</f>
        <v>FMr</v>
      </c>
      <c r="H6947">
        <v>6</v>
      </c>
      <c r="I6947" s="7">
        <v>627.29999999999995</v>
      </c>
      <c r="M6947" s="7">
        <v>353.5</v>
      </c>
      <c r="N6947" s="7">
        <v>202.8</v>
      </c>
      <c r="O6947" s="7">
        <v>168.2</v>
      </c>
    </row>
    <row r="6948" spans="1:17" x14ac:dyDescent="0.2">
      <c r="A6948">
        <v>6947</v>
      </c>
      <c r="B6948" s="1">
        <v>40935</v>
      </c>
      <c r="C6948" t="s">
        <v>28</v>
      </c>
      <c r="D6948" s="7">
        <v>195</v>
      </c>
      <c r="E6948" s="7">
        <v>29</v>
      </c>
      <c r="F6948" s="7">
        <f t="shared" si="108"/>
        <v>6</v>
      </c>
      <c r="G6948" s="7" t="str">
        <f>LOOKUP(H6948,[1]startdates!$A$2:$A$10,[1]startdates!$B$2:$B$10)</f>
        <v>FMr</v>
      </c>
      <c r="H6948">
        <v>6</v>
      </c>
      <c r="I6948" s="7">
        <v>635.29999999999995</v>
      </c>
      <c r="M6948" s="7">
        <v>367.2</v>
      </c>
      <c r="N6948" s="7">
        <v>247.5</v>
      </c>
      <c r="O6948" s="7">
        <v>172.4</v>
      </c>
    </row>
    <row r="6949" spans="1:17" x14ac:dyDescent="0.2">
      <c r="A6949">
        <v>6948</v>
      </c>
      <c r="B6949" s="1">
        <v>40935</v>
      </c>
      <c r="C6949" t="s">
        <v>28</v>
      </c>
      <c r="D6949" s="7">
        <v>195</v>
      </c>
      <c r="E6949" s="7">
        <v>29</v>
      </c>
      <c r="F6949" s="7">
        <f t="shared" si="108"/>
        <v>6</v>
      </c>
      <c r="G6949" s="7" t="str">
        <f>LOOKUP(H6949,[1]startdates!$A$2:$A$10,[1]startdates!$B$2:$B$10)</f>
        <v>FMr</v>
      </c>
      <c r="H6949">
        <v>6</v>
      </c>
      <c r="I6949" s="7">
        <v>594.4</v>
      </c>
      <c r="N6949" s="7">
        <v>253.8</v>
      </c>
      <c r="O6949" s="7">
        <v>147.9</v>
      </c>
    </row>
    <row r="6950" spans="1:17" x14ac:dyDescent="0.2">
      <c r="A6950">
        <v>6949</v>
      </c>
      <c r="B6950" s="1">
        <v>40935</v>
      </c>
      <c r="C6950" t="s">
        <v>28</v>
      </c>
      <c r="D6950" s="7">
        <v>195</v>
      </c>
      <c r="E6950" s="7">
        <v>29</v>
      </c>
      <c r="F6950" s="7">
        <f t="shared" si="108"/>
        <v>6</v>
      </c>
      <c r="G6950" s="7" t="str">
        <f>LOOKUP(H6950,[1]startdates!$A$2:$A$10,[1]startdates!$B$2:$B$10)</f>
        <v>FMr</v>
      </c>
      <c r="H6950">
        <v>6</v>
      </c>
      <c r="I6950" s="7">
        <v>686.5</v>
      </c>
      <c r="N6950" s="7">
        <v>247.4</v>
      </c>
      <c r="O6950" s="7">
        <v>169.5</v>
      </c>
    </row>
    <row r="6951" spans="1:17" x14ac:dyDescent="0.2">
      <c r="A6951">
        <v>6950</v>
      </c>
      <c r="B6951" s="1">
        <v>40935</v>
      </c>
      <c r="C6951" t="s">
        <v>28</v>
      </c>
      <c r="D6951" s="7">
        <v>195</v>
      </c>
      <c r="E6951" s="7">
        <v>29</v>
      </c>
      <c r="F6951" s="7">
        <f t="shared" si="108"/>
        <v>6</v>
      </c>
      <c r="G6951" s="7" t="str">
        <f>LOOKUP(H6951,[1]startdates!$A$2:$A$10,[1]startdates!$B$2:$B$10)</f>
        <v>FMr</v>
      </c>
      <c r="H6951">
        <v>6</v>
      </c>
      <c r="I6951" s="7">
        <v>640.9</v>
      </c>
    </row>
    <row r="6952" spans="1:17" x14ac:dyDescent="0.2">
      <c r="A6952">
        <v>6951</v>
      </c>
      <c r="B6952" s="1">
        <v>40935</v>
      </c>
      <c r="C6952" t="s">
        <v>28</v>
      </c>
      <c r="D6952" s="7">
        <v>195</v>
      </c>
      <c r="E6952" s="7">
        <v>29</v>
      </c>
      <c r="F6952" s="7">
        <f t="shared" si="108"/>
        <v>6</v>
      </c>
      <c r="G6952" s="7" t="str">
        <f>LOOKUP(H6952,[1]startdates!$A$2:$A$10,[1]startdates!$B$2:$B$10)</f>
        <v>FMr</v>
      </c>
      <c r="H6952">
        <v>7</v>
      </c>
      <c r="I6952" s="7">
        <v>614.4</v>
      </c>
      <c r="J6952" s="7">
        <v>503.7</v>
      </c>
      <c r="K6952" s="7">
        <v>528.70000000000005</v>
      </c>
      <c r="L6952" s="7">
        <v>435.1</v>
      </c>
      <c r="M6952" s="7">
        <v>351.5</v>
      </c>
      <c r="N6952" s="7">
        <v>280.2</v>
      </c>
      <c r="O6952" s="7">
        <v>156.30000000000001</v>
      </c>
      <c r="P6952" s="7">
        <v>494.5</v>
      </c>
      <c r="Q6952" s="7">
        <v>309.89999999999998</v>
      </c>
    </row>
    <row r="6953" spans="1:17" x14ac:dyDescent="0.2">
      <c r="A6953">
        <v>6952</v>
      </c>
      <c r="B6953" s="1">
        <v>40935</v>
      </c>
      <c r="C6953" t="s">
        <v>28</v>
      </c>
      <c r="D6953" s="7">
        <v>195</v>
      </c>
      <c r="E6953" s="7">
        <v>29</v>
      </c>
      <c r="F6953" s="7">
        <f t="shared" ref="F6953:F7016" si="109">WEEKDAY(B6953)</f>
        <v>6</v>
      </c>
      <c r="G6953" s="7" t="str">
        <f>LOOKUP(H6953,[1]startdates!$A$2:$A$10,[1]startdates!$B$2:$B$10)</f>
        <v>FMr</v>
      </c>
      <c r="H6953">
        <v>7</v>
      </c>
      <c r="I6953" s="7">
        <v>590.20000000000005</v>
      </c>
      <c r="K6953" s="7">
        <v>553.1</v>
      </c>
      <c r="M6953" s="7">
        <v>348.9</v>
      </c>
      <c r="N6953" s="7">
        <v>246.1</v>
      </c>
      <c r="O6953" s="7">
        <v>156</v>
      </c>
      <c r="P6953" s="7">
        <v>402.7</v>
      </c>
      <c r="Q6953" s="7">
        <v>295.60000000000002</v>
      </c>
    </row>
    <row r="6954" spans="1:17" x14ac:dyDescent="0.2">
      <c r="A6954">
        <v>6953</v>
      </c>
      <c r="B6954" s="1">
        <v>40935</v>
      </c>
      <c r="C6954" t="s">
        <v>28</v>
      </c>
      <c r="D6954" s="7">
        <v>195</v>
      </c>
      <c r="E6954" s="7">
        <v>29</v>
      </c>
      <c r="F6954" s="7">
        <f t="shared" si="109"/>
        <v>6</v>
      </c>
      <c r="G6954" s="7" t="str">
        <f>LOOKUP(H6954,[1]startdates!$A$2:$A$10,[1]startdates!$B$2:$B$10)</f>
        <v>FMr</v>
      </c>
      <c r="H6954">
        <v>7</v>
      </c>
      <c r="I6954" s="7">
        <v>662.5</v>
      </c>
      <c r="K6954" s="7">
        <v>450.4</v>
      </c>
      <c r="M6954" s="7">
        <v>315.5</v>
      </c>
      <c r="N6954" s="7">
        <v>200.3</v>
      </c>
      <c r="O6954" s="7">
        <v>156.4</v>
      </c>
      <c r="P6954" s="7">
        <v>490.4</v>
      </c>
      <c r="Q6954" s="7">
        <v>376.2</v>
      </c>
    </row>
    <row r="6955" spans="1:17" x14ac:dyDescent="0.2">
      <c r="A6955">
        <v>6954</v>
      </c>
      <c r="B6955" s="1">
        <v>40935</v>
      </c>
      <c r="C6955" t="s">
        <v>28</v>
      </c>
      <c r="D6955" s="7">
        <v>195</v>
      </c>
      <c r="E6955" s="7">
        <v>29</v>
      </c>
      <c r="F6955" s="7">
        <f t="shared" si="109"/>
        <v>6</v>
      </c>
      <c r="G6955" s="7" t="str">
        <f>LOOKUP(H6955,[1]startdates!$A$2:$A$10,[1]startdates!$B$2:$B$10)</f>
        <v>FMr</v>
      </c>
      <c r="H6955">
        <v>7</v>
      </c>
      <c r="I6955" s="7">
        <v>648.5</v>
      </c>
      <c r="K6955" s="7">
        <v>585.5</v>
      </c>
      <c r="M6955" s="7">
        <v>353.5</v>
      </c>
      <c r="N6955" s="7">
        <v>235.7</v>
      </c>
      <c r="O6955" s="7">
        <v>159.4</v>
      </c>
      <c r="P6955" s="7">
        <v>421</v>
      </c>
    </row>
    <row r="6956" spans="1:17" x14ac:dyDescent="0.2">
      <c r="A6956">
        <v>6955</v>
      </c>
      <c r="B6956" s="1">
        <v>40935</v>
      </c>
      <c r="C6956" t="s">
        <v>28</v>
      </c>
      <c r="D6956" s="7">
        <v>195</v>
      </c>
      <c r="E6956" s="7">
        <v>29</v>
      </c>
      <c r="F6956" s="7">
        <f t="shared" si="109"/>
        <v>6</v>
      </c>
      <c r="G6956" s="7" t="str">
        <f>LOOKUP(H6956,[1]startdates!$A$2:$A$10,[1]startdates!$B$2:$B$10)</f>
        <v>FMr</v>
      </c>
      <c r="H6956">
        <v>7</v>
      </c>
      <c r="I6956" s="7">
        <v>682.3</v>
      </c>
      <c r="K6956" s="7">
        <v>529</v>
      </c>
      <c r="M6956" s="7">
        <v>382.7</v>
      </c>
      <c r="N6956" s="7">
        <v>288</v>
      </c>
      <c r="O6956" s="7">
        <v>138.9</v>
      </c>
      <c r="P6956" s="7">
        <v>421.2</v>
      </c>
    </row>
    <row r="6957" spans="1:17" x14ac:dyDescent="0.2">
      <c r="A6957">
        <v>6956</v>
      </c>
      <c r="B6957" s="1">
        <v>40935</v>
      </c>
      <c r="C6957" t="s">
        <v>28</v>
      </c>
      <c r="D6957" s="7">
        <v>195</v>
      </c>
      <c r="E6957" s="7">
        <v>29</v>
      </c>
      <c r="F6957" s="7">
        <f t="shared" si="109"/>
        <v>6</v>
      </c>
      <c r="G6957" s="7" t="str">
        <f>LOOKUP(H6957,[1]startdates!$A$2:$A$10,[1]startdates!$B$2:$B$10)</f>
        <v>FMr</v>
      </c>
      <c r="H6957">
        <v>7</v>
      </c>
      <c r="I6957" s="7">
        <v>504.4</v>
      </c>
      <c r="M6957" s="7">
        <v>381.4</v>
      </c>
      <c r="N6957" s="7">
        <v>183.4</v>
      </c>
      <c r="O6957" s="7">
        <v>162.4</v>
      </c>
      <c r="P6957" s="7">
        <v>438.3</v>
      </c>
    </row>
    <row r="6958" spans="1:17" x14ac:dyDescent="0.2">
      <c r="A6958">
        <v>6957</v>
      </c>
      <c r="B6958" s="1">
        <v>40935</v>
      </c>
      <c r="C6958" t="s">
        <v>28</v>
      </c>
      <c r="D6958" s="7">
        <v>195</v>
      </c>
      <c r="E6958" s="7">
        <v>29</v>
      </c>
      <c r="F6958" s="7">
        <f t="shared" si="109"/>
        <v>6</v>
      </c>
      <c r="G6958" s="7" t="str">
        <f>LOOKUP(H6958,[1]startdates!$A$2:$A$10,[1]startdates!$B$2:$B$10)</f>
        <v>FMr</v>
      </c>
      <c r="H6958">
        <v>7</v>
      </c>
      <c r="I6958" s="7">
        <v>551.70000000000005</v>
      </c>
      <c r="M6958" s="7">
        <v>337.6</v>
      </c>
      <c r="N6958" s="7">
        <v>181.3</v>
      </c>
      <c r="O6958" s="7">
        <v>150.19999999999999</v>
      </c>
      <c r="P6958" s="7">
        <v>488.3</v>
      </c>
    </row>
    <row r="6959" spans="1:17" x14ac:dyDescent="0.2">
      <c r="A6959">
        <v>6958</v>
      </c>
      <c r="B6959" s="1">
        <v>40935</v>
      </c>
      <c r="C6959" t="s">
        <v>28</v>
      </c>
      <c r="D6959" s="7">
        <v>195</v>
      </c>
      <c r="E6959" s="7">
        <v>29</v>
      </c>
      <c r="F6959" s="7">
        <f t="shared" si="109"/>
        <v>6</v>
      </c>
      <c r="G6959" s="7" t="str">
        <f>LOOKUP(H6959,[1]startdates!$A$2:$A$10,[1]startdates!$B$2:$B$10)</f>
        <v>FMr</v>
      </c>
      <c r="H6959">
        <v>7</v>
      </c>
      <c r="I6959" s="7">
        <v>569.6</v>
      </c>
      <c r="M6959" s="7">
        <v>290.3</v>
      </c>
      <c r="N6959" s="7">
        <v>236.1</v>
      </c>
      <c r="O6959" s="7">
        <v>152.69999999999999</v>
      </c>
    </row>
    <row r="6960" spans="1:17" x14ac:dyDescent="0.2">
      <c r="A6960">
        <v>6959</v>
      </c>
      <c r="B6960" s="1">
        <v>40935</v>
      </c>
      <c r="C6960" t="s">
        <v>28</v>
      </c>
      <c r="D6960" s="7">
        <v>195</v>
      </c>
      <c r="E6960" s="7">
        <v>29</v>
      </c>
      <c r="F6960" s="7">
        <f t="shared" si="109"/>
        <v>6</v>
      </c>
      <c r="G6960" s="7" t="str">
        <f>LOOKUP(H6960,[1]startdates!$A$2:$A$10,[1]startdates!$B$2:$B$10)</f>
        <v>FMr</v>
      </c>
      <c r="H6960">
        <v>7</v>
      </c>
      <c r="I6960" s="7">
        <v>548.70000000000005</v>
      </c>
      <c r="M6960" s="7">
        <v>382.9</v>
      </c>
      <c r="N6960" s="7">
        <v>238.9</v>
      </c>
      <c r="O6960" s="7">
        <v>159.30000000000001</v>
      </c>
    </row>
    <row r="6961" spans="1:18" x14ac:dyDescent="0.2">
      <c r="A6961">
        <v>6960</v>
      </c>
      <c r="B6961" s="1">
        <v>40935</v>
      </c>
      <c r="C6961" t="s">
        <v>28</v>
      </c>
      <c r="D6961" s="7">
        <v>195</v>
      </c>
      <c r="E6961" s="7">
        <v>29</v>
      </c>
      <c r="F6961" s="7">
        <f t="shared" si="109"/>
        <v>6</v>
      </c>
      <c r="G6961" s="7" t="str">
        <f>LOOKUP(H6961,[1]startdates!$A$2:$A$10,[1]startdates!$B$2:$B$10)</f>
        <v>FMr</v>
      </c>
      <c r="H6961">
        <v>7</v>
      </c>
      <c r="I6961" s="7">
        <v>591.20000000000005</v>
      </c>
      <c r="M6961" s="7">
        <v>372.6</v>
      </c>
      <c r="N6961" s="7">
        <v>217.6</v>
      </c>
      <c r="O6961" s="7">
        <v>156.80000000000001</v>
      </c>
    </row>
    <row r="6962" spans="1:18" x14ac:dyDescent="0.2">
      <c r="A6962">
        <v>6961</v>
      </c>
      <c r="B6962" s="1">
        <v>40935</v>
      </c>
      <c r="C6962" t="s">
        <v>28</v>
      </c>
      <c r="D6962" s="7">
        <v>195</v>
      </c>
      <c r="E6962" s="7">
        <v>29</v>
      </c>
      <c r="F6962" s="7">
        <f t="shared" si="109"/>
        <v>6</v>
      </c>
      <c r="G6962" s="7" t="str">
        <f>LOOKUP(H6962,[1]startdates!$A$2:$A$10,[1]startdates!$B$2:$B$10)</f>
        <v>C</v>
      </c>
      <c r="H6962">
        <v>8</v>
      </c>
      <c r="I6962" s="7">
        <v>603.9</v>
      </c>
      <c r="J6962" s="7">
        <v>485.1</v>
      </c>
      <c r="K6962" s="7">
        <v>498.3</v>
      </c>
      <c r="L6962" s="7">
        <v>419.2</v>
      </c>
      <c r="M6962" s="7">
        <v>319.10000000000002</v>
      </c>
      <c r="N6962" s="7">
        <v>252.6</v>
      </c>
      <c r="O6962" s="7">
        <v>174.6</v>
      </c>
      <c r="Q6962" s="7">
        <v>363.4</v>
      </c>
      <c r="R6962" s="7">
        <v>269.7</v>
      </c>
    </row>
    <row r="6963" spans="1:18" x14ac:dyDescent="0.2">
      <c r="A6963">
        <v>6962</v>
      </c>
      <c r="B6963" s="1">
        <v>40935</v>
      </c>
      <c r="C6963" t="s">
        <v>28</v>
      </c>
      <c r="D6963" s="7">
        <v>195</v>
      </c>
      <c r="E6963" s="7">
        <v>29</v>
      </c>
      <c r="F6963" s="7">
        <f t="shared" si="109"/>
        <v>6</v>
      </c>
      <c r="G6963" s="7" t="str">
        <f>LOOKUP(H6963,[1]startdates!$A$2:$A$10,[1]startdates!$B$2:$B$10)</f>
        <v>C</v>
      </c>
      <c r="H6963">
        <v>8</v>
      </c>
      <c r="I6963" s="7">
        <v>582.1</v>
      </c>
      <c r="J6963" s="7">
        <v>518.9</v>
      </c>
      <c r="K6963" s="7">
        <v>531.20000000000005</v>
      </c>
      <c r="L6963" s="7">
        <v>414.6</v>
      </c>
      <c r="M6963" s="7">
        <v>295.10000000000002</v>
      </c>
      <c r="N6963" s="7">
        <v>232.5</v>
      </c>
      <c r="O6963" s="7">
        <v>165.7</v>
      </c>
      <c r="R6963" s="7">
        <v>268.8</v>
      </c>
    </row>
    <row r="6964" spans="1:18" x14ac:dyDescent="0.2">
      <c r="A6964">
        <v>6963</v>
      </c>
      <c r="B6964" s="1">
        <v>40935</v>
      </c>
      <c r="C6964" t="s">
        <v>28</v>
      </c>
      <c r="D6964" s="7">
        <v>195</v>
      </c>
      <c r="E6964" s="7">
        <v>29</v>
      </c>
      <c r="F6964" s="7">
        <f t="shared" si="109"/>
        <v>6</v>
      </c>
      <c r="G6964" s="7" t="str">
        <f>LOOKUP(H6964,[1]startdates!$A$2:$A$10,[1]startdates!$B$2:$B$10)</f>
        <v>C</v>
      </c>
      <c r="H6964">
        <v>8</v>
      </c>
      <c r="I6964" s="7">
        <v>605.1</v>
      </c>
      <c r="J6964" s="7">
        <v>507.7</v>
      </c>
      <c r="K6964" s="7">
        <v>482.5</v>
      </c>
      <c r="L6964" s="7">
        <v>447.1</v>
      </c>
      <c r="M6964" s="7">
        <v>336.1</v>
      </c>
      <c r="N6964" s="7">
        <v>219.2</v>
      </c>
      <c r="O6964" s="7">
        <v>166.7</v>
      </c>
      <c r="R6964" s="7">
        <v>258</v>
      </c>
    </row>
    <row r="6965" spans="1:18" x14ac:dyDescent="0.2">
      <c r="A6965">
        <v>6964</v>
      </c>
      <c r="B6965" s="1">
        <v>40935</v>
      </c>
      <c r="C6965" t="s">
        <v>28</v>
      </c>
      <c r="D6965" s="7">
        <v>195</v>
      </c>
      <c r="E6965" s="7">
        <v>29</v>
      </c>
      <c r="F6965" s="7">
        <f t="shared" si="109"/>
        <v>6</v>
      </c>
      <c r="G6965" s="7" t="str">
        <f>LOOKUP(H6965,[1]startdates!$A$2:$A$10,[1]startdates!$B$2:$B$10)</f>
        <v>C</v>
      </c>
      <c r="H6965">
        <v>8</v>
      </c>
      <c r="I6965" s="7">
        <v>568.70000000000005</v>
      </c>
      <c r="J6965" s="7">
        <v>429.6</v>
      </c>
      <c r="K6965" s="7">
        <v>479</v>
      </c>
      <c r="L6965" s="7">
        <v>446.1</v>
      </c>
      <c r="M6965" s="7">
        <v>320.60000000000002</v>
      </c>
      <c r="N6965" s="7">
        <v>241.1</v>
      </c>
      <c r="O6965" s="7">
        <v>144.4</v>
      </c>
      <c r="R6965" s="7">
        <v>282.89999999999998</v>
      </c>
    </row>
    <row r="6966" spans="1:18" x14ac:dyDescent="0.2">
      <c r="A6966">
        <v>6965</v>
      </c>
      <c r="B6966" s="1">
        <v>40935</v>
      </c>
      <c r="C6966" t="s">
        <v>28</v>
      </c>
      <c r="D6966" s="7">
        <v>195</v>
      </c>
      <c r="E6966" s="7">
        <v>29</v>
      </c>
      <c r="F6966" s="7">
        <f t="shared" si="109"/>
        <v>6</v>
      </c>
      <c r="G6966" s="7" t="str">
        <f>LOOKUP(H6966,[1]startdates!$A$2:$A$10,[1]startdates!$B$2:$B$10)</f>
        <v>C</v>
      </c>
      <c r="H6966">
        <v>8</v>
      </c>
      <c r="I6966" s="7">
        <v>610.70000000000005</v>
      </c>
      <c r="J6966" s="7">
        <v>482.4</v>
      </c>
      <c r="K6966" s="7">
        <v>590.5</v>
      </c>
      <c r="L6966" s="7">
        <v>418</v>
      </c>
      <c r="M6966" s="7">
        <v>305.10000000000002</v>
      </c>
      <c r="N6966" s="7">
        <v>216.8</v>
      </c>
      <c r="O6966" s="7">
        <v>154.5</v>
      </c>
      <c r="R6966" s="7">
        <v>246.7</v>
      </c>
    </row>
    <row r="6967" spans="1:18" x14ac:dyDescent="0.2">
      <c r="A6967">
        <v>6966</v>
      </c>
      <c r="B6967" s="1">
        <v>40935</v>
      </c>
      <c r="C6967" t="s">
        <v>28</v>
      </c>
      <c r="D6967" s="7">
        <v>195</v>
      </c>
      <c r="E6967" s="7">
        <v>29</v>
      </c>
      <c r="F6967" s="7">
        <f t="shared" si="109"/>
        <v>6</v>
      </c>
      <c r="G6967" s="7" t="str">
        <f>LOOKUP(H6967,[1]startdates!$A$2:$A$10,[1]startdates!$B$2:$B$10)</f>
        <v>C</v>
      </c>
      <c r="H6967">
        <v>8</v>
      </c>
      <c r="I6967" s="7">
        <v>637.70000000000005</v>
      </c>
      <c r="J6967" s="7">
        <v>514.70000000000005</v>
      </c>
      <c r="K6967" s="7">
        <v>486</v>
      </c>
      <c r="L6967" s="7">
        <v>419.2</v>
      </c>
      <c r="M6967" s="7">
        <v>344.1</v>
      </c>
      <c r="N6967" s="7">
        <v>285.8</v>
      </c>
      <c r="O6967" s="7">
        <v>144.30000000000001</v>
      </c>
    </row>
    <row r="6968" spans="1:18" x14ac:dyDescent="0.2">
      <c r="A6968">
        <v>6967</v>
      </c>
      <c r="B6968" s="1">
        <v>40935</v>
      </c>
      <c r="C6968" t="s">
        <v>28</v>
      </c>
      <c r="D6968" s="7">
        <v>195</v>
      </c>
      <c r="E6968" s="7">
        <v>29</v>
      </c>
      <c r="F6968" s="7">
        <f t="shared" si="109"/>
        <v>6</v>
      </c>
      <c r="G6968" s="7" t="str">
        <f>LOOKUP(H6968,[1]startdates!$A$2:$A$10,[1]startdates!$B$2:$B$10)</f>
        <v>C</v>
      </c>
      <c r="H6968">
        <v>8</v>
      </c>
      <c r="I6968" s="7">
        <v>620.70000000000005</v>
      </c>
      <c r="M6968" s="7">
        <v>322.89999999999998</v>
      </c>
      <c r="N6968" s="7">
        <v>179.8</v>
      </c>
      <c r="O6968" s="7">
        <v>162.4</v>
      </c>
    </row>
    <row r="6969" spans="1:18" x14ac:dyDescent="0.2">
      <c r="A6969">
        <v>6968</v>
      </c>
      <c r="B6969" s="1">
        <v>40935</v>
      </c>
      <c r="C6969" t="s">
        <v>28</v>
      </c>
      <c r="D6969" s="7">
        <v>195</v>
      </c>
      <c r="E6969" s="7">
        <v>29</v>
      </c>
      <c r="F6969" s="7">
        <f t="shared" si="109"/>
        <v>6</v>
      </c>
      <c r="G6969" s="7" t="str">
        <f>LOOKUP(H6969,[1]startdates!$A$2:$A$10,[1]startdates!$B$2:$B$10)</f>
        <v>C</v>
      </c>
      <c r="H6969">
        <v>8</v>
      </c>
      <c r="I6969" s="7">
        <v>506.6</v>
      </c>
      <c r="M6969" s="7">
        <v>306.7</v>
      </c>
      <c r="N6969" s="7">
        <v>224.1</v>
      </c>
      <c r="O6969" s="7">
        <v>163.1</v>
      </c>
    </row>
    <row r="6970" spans="1:18" x14ac:dyDescent="0.2">
      <c r="A6970">
        <v>6969</v>
      </c>
      <c r="B6970" s="1">
        <v>40935</v>
      </c>
      <c r="C6970" t="s">
        <v>28</v>
      </c>
      <c r="D6970" s="7">
        <v>195</v>
      </c>
      <c r="E6970" s="7">
        <v>29</v>
      </c>
      <c r="F6970" s="7">
        <f t="shared" si="109"/>
        <v>6</v>
      </c>
      <c r="G6970" s="7" t="str">
        <f>LOOKUP(H6970,[1]startdates!$A$2:$A$10,[1]startdates!$B$2:$B$10)</f>
        <v>C</v>
      </c>
      <c r="H6970">
        <v>8</v>
      </c>
      <c r="I6970" s="7">
        <v>636.9</v>
      </c>
      <c r="M6970" s="7">
        <v>327.9</v>
      </c>
      <c r="N6970" s="7">
        <v>226.5</v>
      </c>
      <c r="O6970" s="7">
        <v>159</v>
      </c>
    </row>
    <row r="6971" spans="1:18" x14ac:dyDescent="0.2">
      <c r="A6971">
        <v>6970</v>
      </c>
      <c r="B6971" s="1">
        <v>40935</v>
      </c>
      <c r="C6971" t="s">
        <v>28</v>
      </c>
      <c r="D6971" s="7">
        <v>195</v>
      </c>
      <c r="E6971" s="7">
        <v>29</v>
      </c>
      <c r="F6971" s="7">
        <f t="shared" si="109"/>
        <v>6</v>
      </c>
      <c r="G6971" s="7" t="str">
        <f>LOOKUP(H6971,[1]startdates!$A$2:$A$10,[1]startdates!$B$2:$B$10)</f>
        <v>C</v>
      </c>
      <c r="H6971">
        <v>8</v>
      </c>
      <c r="I6971" s="7">
        <v>612.9</v>
      </c>
      <c r="M6971" s="7">
        <v>337.5</v>
      </c>
      <c r="N6971" s="7">
        <v>258.7</v>
      </c>
      <c r="O6971" s="7">
        <v>152.69999999999999</v>
      </c>
    </row>
    <row r="6972" spans="1:18" x14ac:dyDescent="0.2">
      <c r="A6972">
        <v>6971</v>
      </c>
      <c r="B6972" s="1">
        <v>40935</v>
      </c>
      <c r="C6972" t="s">
        <v>28</v>
      </c>
      <c r="D6972" s="7">
        <v>195</v>
      </c>
      <c r="E6972" s="7">
        <v>29</v>
      </c>
      <c r="F6972" s="7">
        <f t="shared" si="109"/>
        <v>6</v>
      </c>
      <c r="G6972" s="7" t="str">
        <f>LOOKUP(H6972,[1]startdates!$A$2:$A$10,[1]startdates!$B$2:$B$10)</f>
        <v>C</v>
      </c>
      <c r="H6972">
        <v>8</v>
      </c>
      <c r="O6972" s="7">
        <v>143</v>
      </c>
    </row>
    <row r="6973" spans="1:18" x14ac:dyDescent="0.2">
      <c r="A6973">
        <v>6972</v>
      </c>
      <c r="B6973" s="1">
        <v>40935</v>
      </c>
      <c r="C6973" t="s">
        <v>28</v>
      </c>
      <c r="D6973" s="7">
        <v>195</v>
      </c>
      <c r="E6973" s="7">
        <v>29</v>
      </c>
      <c r="F6973" s="7">
        <f t="shared" si="109"/>
        <v>6</v>
      </c>
      <c r="G6973" s="7" t="str">
        <f>LOOKUP(H6973,[1]startdates!$A$2:$A$10,[1]startdates!$B$2:$B$10)</f>
        <v>FMr</v>
      </c>
      <c r="H6973">
        <v>9</v>
      </c>
      <c r="I6973" s="7">
        <v>521.9</v>
      </c>
      <c r="K6973" s="7">
        <v>455.4</v>
      </c>
      <c r="L6973" s="7">
        <v>407.5</v>
      </c>
      <c r="M6973" s="7">
        <v>291.60000000000002</v>
      </c>
      <c r="N6973" s="7">
        <v>272.39999999999998</v>
      </c>
      <c r="O6973" s="7">
        <v>163.1</v>
      </c>
      <c r="P6973" s="7">
        <v>411.4</v>
      </c>
      <c r="R6973" s="7">
        <v>275.7</v>
      </c>
    </row>
    <row r="6974" spans="1:18" x14ac:dyDescent="0.2">
      <c r="A6974">
        <v>6973</v>
      </c>
      <c r="B6974" s="1">
        <v>40935</v>
      </c>
      <c r="C6974" t="s">
        <v>28</v>
      </c>
      <c r="D6974" s="7">
        <v>195</v>
      </c>
      <c r="E6974" s="7">
        <v>29</v>
      </c>
      <c r="F6974" s="7">
        <f t="shared" si="109"/>
        <v>6</v>
      </c>
      <c r="G6974" s="7" t="str">
        <f>LOOKUP(H6974,[1]startdates!$A$2:$A$10,[1]startdates!$B$2:$B$10)</f>
        <v>FMr</v>
      </c>
      <c r="H6974">
        <v>9</v>
      </c>
      <c r="I6974" s="7">
        <v>475.4</v>
      </c>
      <c r="K6974" s="7">
        <v>464.1</v>
      </c>
      <c r="L6974" s="7">
        <v>428.5</v>
      </c>
      <c r="M6974" s="7">
        <v>382.4</v>
      </c>
      <c r="N6974" s="7">
        <v>221.3</v>
      </c>
      <c r="O6974" s="7">
        <v>140.69999999999999</v>
      </c>
      <c r="P6974" s="7">
        <v>428.5</v>
      </c>
      <c r="R6974" s="7">
        <v>231.1</v>
      </c>
    </row>
    <row r="6975" spans="1:18" x14ac:dyDescent="0.2">
      <c r="A6975">
        <v>6974</v>
      </c>
      <c r="B6975" s="1">
        <v>40935</v>
      </c>
      <c r="C6975" t="s">
        <v>28</v>
      </c>
      <c r="D6975" s="7">
        <v>195</v>
      </c>
      <c r="E6975" s="7">
        <v>29</v>
      </c>
      <c r="F6975" s="7">
        <f t="shared" si="109"/>
        <v>6</v>
      </c>
      <c r="G6975" s="7" t="str">
        <f>LOOKUP(H6975,[1]startdates!$A$2:$A$10,[1]startdates!$B$2:$B$10)</f>
        <v>FMr</v>
      </c>
      <c r="H6975">
        <v>9</v>
      </c>
      <c r="I6975" s="7">
        <v>581.29999999999995</v>
      </c>
      <c r="K6975" s="7">
        <v>451.2</v>
      </c>
      <c r="L6975" s="7">
        <v>426.3</v>
      </c>
      <c r="M6975" s="7">
        <v>305.8</v>
      </c>
      <c r="N6975" s="7">
        <v>235.5</v>
      </c>
      <c r="O6975" s="7">
        <v>162</v>
      </c>
      <c r="P6975" s="7">
        <v>512.4</v>
      </c>
      <c r="R6975" s="7">
        <v>252.6</v>
      </c>
    </row>
    <row r="6976" spans="1:18" x14ac:dyDescent="0.2">
      <c r="A6976">
        <v>6975</v>
      </c>
      <c r="B6976" s="1">
        <v>40935</v>
      </c>
      <c r="C6976" t="s">
        <v>28</v>
      </c>
      <c r="D6976" s="7">
        <v>195</v>
      </c>
      <c r="E6976" s="7">
        <v>29</v>
      </c>
      <c r="F6976" s="7">
        <f t="shared" si="109"/>
        <v>6</v>
      </c>
      <c r="G6976" s="7" t="str">
        <f>LOOKUP(H6976,[1]startdates!$A$2:$A$10,[1]startdates!$B$2:$B$10)</f>
        <v>FMr</v>
      </c>
      <c r="H6976">
        <v>9</v>
      </c>
      <c r="I6976" s="7">
        <v>547.29999999999995</v>
      </c>
      <c r="K6976" s="7">
        <v>471.3</v>
      </c>
      <c r="L6976" s="7">
        <v>395.2</v>
      </c>
      <c r="M6976" s="7">
        <v>301.3</v>
      </c>
      <c r="N6976" s="7">
        <v>233</v>
      </c>
      <c r="O6976" s="7">
        <v>169.4</v>
      </c>
      <c r="R6976" s="7">
        <v>217.6</v>
      </c>
    </row>
    <row r="6977" spans="1:21" x14ac:dyDescent="0.2">
      <c r="A6977">
        <v>6976</v>
      </c>
      <c r="B6977" s="1">
        <v>40935</v>
      </c>
      <c r="C6977" t="s">
        <v>28</v>
      </c>
      <c r="D6977" s="7">
        <v>195</v>
      </c>
      <c r="E6977" s="7">
        <v>29</v>
      </c>
      <c r="F6977" s="7">
        <f t="shared" si="109"/>
        <v>6</v>
      </c>
      <c r="G6977" s="7" t="str">
        <f>LOOKUP(H6977,[1]startdates!$A$2:$A$10,[1]startdates!$B$2:$B$10)</f>
        <v>FMr</v>
      </c>
      <c r="H6977">
        <v>9</v>
      </c>
      <c r="I6977" s="7">
        <v>570.5</v>
      </c>
      <c r="K6977" s="7">
        <v>547.29999999999995</v>
      </c>
      <c r="L6977" s="7">
        <v>414.6</v>
      </c>
      <c r="M6977" s="7">
        <v>303.3</v>
      </c>
      <c r="N6977" s="7">
        <v>190.9</v>
      </c>
      <c r="O6977" s="7">
        <v>168</v>
      </c>
      <c r="R6977" s="7">
        <v>270.89999999999998</v>
      </c>
    </row>
    <row r="6978" spans="1:21" x14ac:dyDescent="0.2">
      <c r="A6978">
        <v>6977</v>
      </c>
      <c r="B6978" s="1">
        <v>40935</v>
      </c>
      <c r="C6978" t="s">
        <v>28</v>
      </c>
      <c r="D6978" s="7">
        <v>195</v>
      </c>
      <c r="E6978" s="7">
        <v>29</v>
      </c>
      <c r="F6978" s="7">
        <f t="shared" si="109"/>
        <v>6</v>
      </c>
      <c r="G6978" s="7" t="str">
        <f>LOOKUP(H6978,[1]startdates!$A$2:$A$10,[1]startdates!$B$2:$B$10)</f>
        <v>FMr</v>
      </c>
      <c r="H6978">
        <v>9</v>
      </c>
      <c r="I6978" s="7">
        <v>611.20000000000005</v>
      </c>
      <c r="K6978" s="7">
        <v>535.1</v>
      </c>
      <c r="M6978" s="7">
        <v>379.1</v>
      </c>
      <c r="N6978" s="7">
        <v>209.3</v>
      </c>
      <c r="O6978" s="7">
        <v>151.69999999999999</v>
      </c>
    </row>
    <row r="6979" spans="1:21" x14ac:dyDescent="0.2">
      <c r="A6979">
        <v>6978</v>
      </c>
      <c r="B6979" s="1">
        <v>40935</v>
      </c>
      <c r="C6979" t="s">
        <v>28</v>
      </c>
      <c r="D6979" s="7">
        <v>195</v>
      </c>
      <c r="E6979" s="7">
        <v>29</v>
      </c>
      <c r="F6979" s="7">
        <f t="shared" si="109"/>
        <v>6</v>
      </c>
      <c r="G6979" s="7" t="str">
        <f>LOOKUP(H6979,[1]startdates!$A$2:$A$10,[1]startdates!$B$2:$B$10)</f>
        <v>FMr</v>
      </c>
      <c r="H6979">
        <v>9</v>
      </c>
      <c r="I6979" s="7">
        <v>586.29999999999995</v>
      </c>
      <c r="K6979" s="7">
        <v>453.5</v>
      </c>
      <c r="M6979" s="7">
        <v>310.7</v>
      </c>
      <c r="N6979" s="7">
        <v>191.8</v>
      </c>
      <c r="O6979" s="7">
        <v>142.1</v>
      </c>
    </row>
    <row r="6980" spans="1:21" x14ac:dyDescent="0.2">
      <c r="A6980">
        <v>6979</v>
      </c>
      <c r="B6980" s="1">
        <v>40935</v>
      </c>
      <c r="C6980" t="s">
        <v>28</v>
      </c>
      <c r="D6980" s="7">
        <v>195</v>
      </c>
      <c r="E6980" s="7">
        <v>29</v>
      </c>
      <c r="F6980" s="7">
        <f t="shared" si="109"/>
        <v>6</v>
      </c>
      <c r="G6980" s="7" t="str">
        <f>LOOKUP(H6980,[1]startdates!$A$2:$A$10,[1]startdates!$B$2:$B$10)</f>
        <v>FMr</v>
      </c>
      <c r="H6980">
        <v>9</v>
      </c>
      <c r="I6980" s="7">
        <v>537.9</v>
      </c>
      <c r="K6980" s="7">
        <v>542.79999999999995</v>
      </c>
      <c r="M6980" s="7">
        <v>388.6</v>
      </c>
      <c r="N6980" s="7">
        <v>287.10000000000002</v>
      </c>
      <c r="O6980" s="7">
        <v>168.9</v>
      </c>
    </row>
    <row r="6981" spans="1:21" x14ac:dyDescent="0.2">
      <c r="A6981">
        <v>6980</v>
      </c>
      <c r="B6981" s="1">
        <v>40935</v>
      </c>
      <c r="C6981" t="s">
        <v>28</v>
      </c>
      <c r="D6981" s="7">
        <v>195</v>
      </c>
      <c r="E6981" s="7">
        <v>29</v>
      </c>
      <c r="F6981" s="7">
        <f t="shared" si="109"/>
        <v>6</v>
      </c>
      <c r="G6981" s="7" t="str">
        <f>LOOKUP(H6981,[1]startdates!$A$2:$A$10,[1]startdates!$B$2:$B$10)</f>
        <v>FMr</v>
      </c>
      <c r="H6981">
        <v>9</v>
      </c>
      <c r="I6981" s="7">
        <v>572.70000000000005</v>
      </c>
      <c r="K6981" s="7">
        <v>556.5</v>
      </c>
      <c r="M6981" s="7">
        <v>314.7</v>
      </c>
      <c r="N6981" s="7">
        <v>233.5</v>
      </c>
    </row>
    <row r="6982" spans="1:21" x14ac:dyDescent="0.2">
      <c r="A6982">
        <v>6981</v>
      </c>
      <c r="B6982" s="1">
        <v>40935</v>
      </c>
      <c r="C6982" t="s">
        <v>28</v>
      </c>
      <c r="D6982" s="7">
        <v>195</v>
      </c>
      <c r="E6982" s="7">
        <v>29</v>
      </c>
      <c r="F6982" s="7">
        <f t="shared" si="109"/>
        <v>6</v>
      </c>
      <c r="G6982" s="7" t="str">
        <f>LOOKUP(H6982,[1]startdates!$A$2:$A$10,[1]startdates!$B$2:$B$10)</f>
        <v>FMr</v>
      </c>
      <c r="H6982">
        <v>9</v>
      </c>
      <c r="I6982" s="7">
        <v>657.7</v>
      </c>
      <c r="K6982" s="7">
        <v>477.8</v>
      </c>
      <c r="M6982" s="7">
        <v>307.39999999999998</v>
      </c>
      <c r="N6982" s="7">
        <v>194.4</v>
      </c>
    </row>
    <row r="6983" spans="1:21" x14ac:dyDescent="0.2">
      <c r="A6983">
        <v>6982</v>
      </c>
      <c r="B6983" s="1">
        <v>40935</v>
      </c>
      <c r="C6983" t="s">
        <v>28</v>
      </c>
      <c r="D6983" s="7">
        <v>195</v>
      </c>
      <c r="E6983" s="7">
        <v>29</v>
      </c>
      <c r="F6983" s="7">
        <f t="shared" si="109"/>
        <v>6</v>
      </c>
      <c r="G6983" s="7" t="str">
        <f>LOOKUP(H6983,[1]startdates!$A$2:$A$10,[1]startdates!$B$2:$B$10)</f>
        <v>FMr</v>
      </c>
      <c r="H6983">
        <v>9</v>
      </c>
      <c r="K6983" s="7">
        <v>499.5</v>
      </c>
      <c r="M6983" s="7">
        <v>383.6</v>
      </c>
    </row>
    <row r="6984" spans="1:21" x14ac:dyDescent="0.2">
      <c r="A6984">
        <v>6983</v>
      </c>
      <c r="B6984" s="1">
        <v>40939</v>
      </c>
      <c r="C6984" t="s">
        <v>28</v>
      </c>
      <c r="D6984" s="7">
        <v>199</v>
      </c>
      <c r="E6984" s="7">
        <v>30</v>
      </c>
      <c r="F6984" s="7">
        <f t="shared" si="109"/>
        <v>3</v>
      </c>
      <c r="G6984" s="7" t="str">
        <f>LOOKUP(H6984,[1]startdates!$A$2:$A$10,[1]startdates!$B$2:$B$10)</f>
        <v>SMr</v>
      </c>
      <c r="H6984">
        <v>1</v>
      </c>
      <c r="I6984" s="7">
        <v>615.4</v>
      </c>
      <c r="J6984" s="7">
        <v>464.1</v>
      </c>
      <c r="K6984" s="7">
        <v>520.5</v>
      </c>
      <c r="L6984" s="7">
        <v>412.5</v>
      </c>
      <c r="M6984" s="7">
        <v>352.6</v>
      </c>
      <c r="N6984" s="7">
        <v>174.9</v>
      </c>
      <c r="O6984" s="7">
        <v>176.9</v>
      </c>
      <c r="P6984" s="7">
        <v>451.1</v>
      </c>
      <c r="Q6984" s="7">
        <v>315.7</v>
      </c>
      <c r="R6984" s="7">
        <v>267.39999999999998</v>
      </c>
      <c r="U6984" s="7">
        <v>448.1</v>
      </c>
    </row>
    <row r="6985" spans="1:21" x14ac:dyDescent="0.2">
      <c r="A6985">
        <v>6984</v>
      </c>
      <c r="B6985" s="1">
        <v>40939</v>
      </c>
      <c r="C6985" t="s">
        <v>28</v>
      </c>
      <c r="D6985" s="7">
        <v>199</v>
      </c>
      <c r="E6985" s="7">
        <v>30</v>
      </c>
      <c r="F6985" s="7">
        <f t="shared" si="109"/>
        <v>3</v>
      </c>
      <c r="G6985" s="7" t="str">
        <f>LOOKUP(H6985,[1]startdates!$A$2:$A$10,[1]startdates!$B$2:$B$10)</f>
        <v>SMr</v>
      </c>
      <c r="H6985">
        <v>1</v>
      </c>
      <c r="I6985" s="7">
        <v>572.29999999999995</v>
      </c>
      <c r="J6985" s="7">
        <v>484.3</v>
      </c>
      <c r="K6985" s="7">
        <v>483.2</v>
      </c>
      <c r="M6985" s="7">
        <v>306.39999999999998</v>
      </c>
      <c r="N6985" s="7">
        <v>185.3</v>
      </c>
      <c r="O6985" s="7">
        <v>168.6</v>
      </c>
      <c r="P6985" s="7">
        <v>501.4</v>
      </c>
      <c r="Q6985" s="7">
        <v>382.1</v>
      </c>
      <c r="R6985" s="7">
        <v>242.2</v>
      </c>
      <c r="U6985" s="7">
        <v>496.4</v>
      </c>
    </row>
    <row r="6986" spans="1:21" x14ac:dyDescent="0.2">
      <c r="A6986">
        <v>6985</v>
      </c>
      <c r="B6986" s="1">
        <v>40939</v>
      </c>
      <c r="C6986" t="s">
        <v>28</v>
      </c>
      <c r="D6986" s="7">
        <v>199</v>
      </c>
      <c r="E6986" s="7">
        <v>30</v>
      </c>
      <c r="F6986" s="7">
        <f t="shared" si="109"/>
        <v>3</v>
      </c>
      <c r="G6986" s="7" t="str">
        <f>LOOKUP(H6986,[1]startdates!$A$2:$A$10,[1]startdates!$B$2:$B$10)</f>
        <v>SMr</v>
      </c>
      <c r="H6986">
        <v>1</v>
      </c>
      <c r="I6986" s="7">
        <v>588.70000000000005</v>
      </c>
      <c r="J6986" s="7">
        <v>480.9</v>
      </c>
      <c r="K6986" s="7">
        <v>566.4</v>
      </c>
      <c r="M6986" s="7">
        <v>370.4</v>
      </c>
      <c r="N6986" s="7">
        <v>218</v>
      </c>
      <c r="O6986" s="7">
        <v>151</v>
      </c>
      <c r="P6986" s="7">
        <v>452.9</v>
      </c>
      <c r="U6986" s="7">
        <v>460.6</v>
      </c>
    </row>
    <row r="6987" spans="1:21" x14ac:dyDescent="0.2">
      <c r="A6987">
        <v>6986</v>
      </c>
      <c r="B6987" s="1">
        <v>40939</v>
      </c>
      <c r="C6987" t="s">
        <v>28</v>
      </c>
      <c r="D6987" s="7">
        <v>199</v>
      </c>
      <c r="E6987" s="7">
        <v>30</v>
      </c>
      <c r="F6987" s="7">
        <f t="shared" si="109"/>
        <v>3</v>
      </c>
      <c r="G6987" s="7" t="str">
        <f>LOOKUP(H6987,[1]startdates!$A$2:$A$10,[1]startdates!$B$2:$B$10)</f>
        <v>SMr</v>
      </c>
      <c r="H6987">
        <v>1</v>
      </c>
      <c r="I6987" s="7">
        <v>667.3</v>
      </c>
      <c r="K6987" s="7">
        <v>481.6</v>
      </c>
      <c r="M6987" s="7">
        <v>304.7</v>
      </c>
      <c r="N6987" s="7">
        <v>226.9</v>
      </c>
      <c r="O6987" s="7">
        <v>156.6</v>
      </c>
      <c r="P6987" s="7">
        <v>414.6</v>
      </c>
      <c r="U6987" s="7">
        <v>508.9</v>
      </c>
    </row>
    <row r="6988" spans="1:21" x14ac:dyDescent="0.2">
      <c r="A6988">
        <v>6987</v>
      </c>
      <c r="B6988" s="1">
        <v>40939</v>
      </c>
      <c r="C6988" t="s">
        <v>28</v>
      </c>
      <c r="D6988" s="7">
        <v>199</v>
      </c>
      <c r="E6988" s="7">
        <v>30</v>
      </c>
      <c r="F6988" s="7">
        <f t="shared" si="109"/>
        <v>3</v>
      </c>
      <c r="G6988" s="7" t="str">
        <f>LOOKUP(H6988,[1]startdates!$A$2:$A$10,[1]startdates!$B$2:$B$10)</f>
        <v>SMr</v>
      </c>
      <c r="H6988">
        <v>1</v>
      </c>
      <c r="I6988" s="7">
        <v>668.5</v>
      </c>
      <c r="K6988" s="7">
        <v>475</v>
      </c>
      <c r="M6988" s="7">
        <v>294.5</v>
      </c>
      <c r="N6988" s="7">
        <v>239.4</v>
      </c>
      <c r="O6988" s="7">
        <v>166</v>
      </c>
    </row>
    <row r="6989" spans="1:21" x14ac:dyDescent="0.2">
      <c r="A6989">
        <v>6988</v>
      </c>
      <c r="B6989" s="1">
        <v>40939</v>
      </c>
      <c r="C6989" t="s">
        <v>28</v>
      </c>
      <c r="D6989" s="7">
        <v>199</v>
      </c>
      <c r="E6989" s="7">
        <v>30</v>
      </c>
      <c r="F6989" s="7">
        <f t="shared" si="109"/>
        <v>3</v>
      </c>
      <c r="G6989" s="7" t="str">
        <f>LOOKUP(H6989,[1]startdates!$A$2:$A$10,[1]startdates!$B$2:$B$10)</f>
        <v>SMr</v>
      </c>
      <c r="H6989">
        <v>1</v>
      </c>
      <c r="I6989" s="7">
        <v>604.4</v>
      </c>
      <c r="M6989" s="7">
        <v>294.7</v>
      </c>
      <c r="N6989" s="7">
        <v>248.4</v>
      </c>
      <c r="O6989" s="7">
        <v>156</v>
      </c>
    </row>
    <row r="6990" spans="1:21" x14ac:dyDescent="0.2">
      <c r="A6990">
        <v>6989</v>
      </c>
      <c r="B6990" s="1">
        <v>40939</v>
      </c>
      <c r="C6990" t="s">
        <v>28</v>
      </c>
      <c r="D6990" s="7">
        <v>199</v>
      </c>
      <c r="E6990" s="7">
        <v>30</v>
      </c>
      <c r="F6990" s="7">
        <f t="shared" si="109"/>
        <v>3</v>
      </c>
      <c r="G6990" s="7" t="str">
        <f>LOOKUP(H6990,[1]startdates!$A$2:$A$10,[1]startdates!$B$2:$B$10)</f>
        <v>SMr</v>
      </c>
      <c r="H6990">
        <v>1</v>
      </c>
      <c r="I6990" s="7">
        <v>574.4</v>
      </c>
      <c r="M6990" s="7">
        <v>318</v>
      </c>
      <c r="N6990" s="7">
        <v>179.5</v>
      </c>
      <c r="O6990" s="7">
        <v>167.5</v>
      </c>
    </row>
    <row r="6991" spans="1:21" x14ac:dyDescent="0.2">
      <c r="A6991">
        <v>6990</v>
      </c>
      <c r="B6991" s="1">
        <v>40939</v>
      </c>
      <c r="C6991" t="s">
        <v>28</v>
      </c>
      <c r="D6991" s="7">
        <v>199</v>
      </c>
      <c r="E6991" s="7">
        <v>30</v>
      </c>
      <c r="F6991" s="7">
        <f t="shared" si="109"/>
        <v>3</v>
      </c>
      <c r="G6991" s="7" t="str">
        <f>LOOKUP(H6991,[1]startdates!$A$2:$A$10,[1]startdates!$B$2:$B$10)</f>
        <v>SMr</v>
      </c>
      <c r="H6991">
        <v>1</v>
      </c>
      <c r="I6991" s="7">
        <v>620</v>
      </c>
      <c r="M6991" s="7">
        <v>359.5</v>
      </c>
      <c r="N6991" s="7">
        <v>195.3</v>
      </c>
      <c r="O6991" s="7">
        <v>169.6</v>
      </c>
    </row>
    <row r="6992" spans="1:21" x14ac:dyDescent="0.2">
      <c r="A6992">
        <v>6991</v>
      </c>
      <c r="B6992" s="1">
        <v>40939</v>
      </c>
      <c r="C6992" t="s">
        <v>28</v>
      </c>
      <c r="D6992" s="7">
        <v>199</v>
      </c>
      <c r="E6992" s="7">
        <v>30</v>
      </c>
      <c r="F6992" s="7">
        <f t="shared" si="109"/>
        <v>3</v>
      </c>
      <c r="G6992" s="7" t="str">
        <f>LOOKUP(H6992,[1]startdates!$A$2:$A$10,[1]startdates!$B$2:$B$10)</f>
        <v>SMr</v>
      </c>
      <c r="H6992">
        <v>1</v>
      </c>
      <c r="I6992" s="7">
        <v>650.70000000000005</v>
      </c>
      <c r="N6992" s="7">
        <v>203.7</v>
      </c>
      <c r="O6992" s="7">
        <v>153.80000000000001</v>
      </c>
    </row>
    <row r="6993" spans="1:21" x14ac:dyDescent="0.2">
      <c r="A6993">
        <v>6992</v>
      </c>
      <c r="B6993" s="1">
        <v>40939</v>
      </c>
      <c r="C6993" t="s">
        <v>28</v>
      </c>
      <c r="D6993" s="7">
        <v>199</v>
      </c>
      <c r="E6993" s="7">
        <v>30</v>
      </c>
      <c r="F6993" s="7">
        <f t="shared" si="109"/>
        <v>3</v>
      </c>
      <c r="G6993" s="7" t="str">
        <f>LOOKUP(H6993,[1]startdates!$A$2:$A$10,[1]startdates!$B$2:$B$10)</f>
        <v>SMr</v>
      </c>
      <c r="H6993">
        <v>1</v>
      </c>
      <c r="I6993" s="7">
        <v>524.29999999999995</v>
      </c>
      <c r="N6993" s="7">
        <v>245.6</v>
      </c>
      <c r="O6993" s="7">
        <v>184.1</v>
      </c>
    </row>
    <row r="6994" spans="1:21" x14ac:dyDescent="0.2">
      <c r="A6994">
        <v>6993</v>
      </c>
      <c r="B6994" s="1">
        <v>40939</v>
      </c>
      <c r="C6994" t="s">
        <v>28</v>
      </c>
      <c r="D6994" s="7">
        <v>199</v>
      </c>
      <c r="E6994" s="7">
        <v>30</v>
      </c>
      <c r="F6994" s="7">
        <f t="shared" si="109"/>
        <v>3</v>
      </c>
      <c r="G6994" s="7" t="str">
        <f>LOOKUP(H6994,[1]startdates!$A$2:$A$10,[1]startdates!$B$2:$B$10)</f>
        <v>SMr</v>
      </c>
      <c r="H6994">
        <v>1</v>
      </c>
      <c r="N6994" s="7">
        <v>270.8</v>
      </c>
    </row>
    <row r="6995" spans="1:21" x14ac:dyDescent="0.2">
      <c r="A6995">
        <v>6994</v>
      </c>
      <c r="B6995" s="1">
        <v>40939</v>
      </c>
      <c r="C6995" t="s">
        <v>24</v>
      </c>
      <c r="D6995" s="7">
        <v>199</v>
      </c>
      <c r="E6995" s="7">
        <v>30</v>
      </c>
      <c r="F6995" s="7">
        <f t="shared" si="109"/>
        <v>3</v>
      </c>
      <c r="G6995" s="7" t="str">
        <f>LOOKUP(H6995,[1]startdates!$A$2:$A$10,[1]startdates!$B$2:$B$10)</f>
        <v>SMr</v>
      </c>
      <c r="H6995">
        <v>2</v>
      </c>
      <c r="I6995" s="7">
        <v>525.70000000000005</v>
      </c>
      <c r="K6995" s="7">
        <v>525.5</v>
      </c>
      <c r="L6995" s="7">
        <v>511.5</v>
      </c>
      <c r="M6995" s="7">
        <v>324</v>
      </c>
      <c r="N6995" s="7">
        <v>194.4</v>
      </c>
      <c r="O6995" s="7">
        <v>179.8</v>
      </c>
      <c r="P6995" s="7">
        <v>405.2</v>
      </c>
      <c r="Q6995" s="7">
        <v>388.6</v>
      </c>
      <c r="R6995" s="7">
        <v>314</v>
      </c>
      <c r="U6995" s="7">
        <v>434.7</v>
      </c>
    </row>
    <row r="6996" spans="1:21" x14ac:dyDescent="0.2">
      <c r="A6996">
        <v>6995</v>
      </c>
      <c r="B6996" s="1">
        <v>40939</v>
      </c>
      <c r="C6996" t="s">
        <v>24</v>
      </c>
      <c r="D6996" s="7">
        <v>199</v>
      </c>
      <c r="E6996" s="7">
        <v>30</v>
      </c>
      <c r="F6996" s="7">
        <f t="shared" si="109"/>
        <v>3</v>
      </c>
      <c r="G6996" s="7" t="str">
        <f>LOOKUP(H6996,[1]startdates!$A$2:$A$10,[1]startdates!$B$2:$B$10)</f>
        <v>SMr</v>
      </c>
      <c r="H6996">
        <v>2</v>
      </c>
      <c r="I6996" s="7">
        <v>639.1</v>
      </c>
      <c r="K6996" s="7">
        <v>502</v>
      </c>
      <c r="L6996" s="7">
        <v>531</v>
      </c>
      <c r="M6996" s="7">
        <v>369.7</v>
      </c>
      <c r="N6996" s="7">
        <v>240.1</v>
      </c>
      <c r="O6996" s="7">
        <v>166.4</v>
      </c>
      <c r="Q6996" s="7">
        <v>319.89999999999998</v>
      </c>
      <c r="U6996" s="7">
        <v>419.9</v>
      </c>
    </row>
    <row r="6997" spans="1:21" x14ac:dyDescent="0.2">
      <c r="A6997">
        <v>6996</v>
      </c>
      <c r="B6997" s="1">
        <v>40939</v>
      </c>
      <c r="C6997" t="s">
        <v>24</v>
      </c>
      <c r="D6997" s="7">
        <v>199</v>
      </c>
      <c r="E6997" s="7">
        <v>30</v>
      </c>
      <c r="F6997" s="7">
        <f t="shared" si="109"/>
        <v>3</v>
      </c>
      <c r="G6997" s="7" t="str">
        <f>LOOKUP(H6997,[1]startdates!$A$2:$A$10,[1]startdates!$B$2:$B$10)</f>
        <v>SMr</v>
      </c>
      <c r="H6997">
        <v>2</v>
      </c>
      <c r="I6997" s="7">
        <v>543.29999999999995</v>
      </c>
      <c r="K6997" s="7">
        <v>467.6</v>
      </c>
      <c r="L6997" s="7">
        <v>416</v>
      </c>
      <c r="M6997" s="7">
        <v>360.8</v>
      </c>
      <c r="N6997" s="7">
        <v>239.8</v>
      </c>
      <c r="O6997" s="7">
        <v>170.6</v>
      </c>
      <c r="Q6997" s="7">
        <v>326.3</v>
      </c>
      <c r="U6997" s="7">
        <v>459.4</v>
      </c>
    </row>
    <row r="6998" spans="1:21" x14ac:dyDescent="0.2">
      <c r="A6998">
        <v>6997</v>
      </c>
      <c r="B6998" s="1">
        <v>40939</v>
      </c>
      <c r="C6998" t="s">
        <v>24</v>
      </c>
      <c r="D6998" s="7">
        <v>199</v>
      </c>
      <c r="E6998" s="7">
        <v>30</v>
      </c>
      <c r="F6998" s="7">
        <f t="shared" si="109"/>
        <v>3</v>
      </c>
      <c r="G6998" s="7" t="str">
        <f>LOOKUP(H6998,[1]startdates!$A$2:$A$10,[1]startdates!$B$2:$B$10)</f>
        <v>SMr</v>
      </c>
      <c r="H6998">
        <v>2</v>
      </c>
      <c r="I6998" s="7">
        <v>535.20000000000005</v>
      </c>
      <c r="L6998" s="7">
        <v>335.7</v>
      </c>
      <c r="M6998" s="7">
        <v>296.5</v>
      </c>
      <c r="N6998" s="7">
        <v>176.7</v>
      </c>
      <c r="O6998" s="7">
        <v>185.3</v>
      </c>
      <c r="U6998" s="7">
        <v>572.20000000000005</v>
      </c>
    </row>
    <row r="6999" spans="1:21" x14ac:dyDescent="0.2">
      <c r="A6999">
        <v>6998</v>
      </c>
      <c r="B6999" s="1">
        <v>40939</v>
      </c>
      <c r="C6999" t="s">
        <v>24</v>
      </c>
      <c r="D6999" s="7">
        <v>199</v>
      </c>
      <c r="E6999" s="7">
        <v>30</v>
      </c>
      <c r="F6999" s="7">
        <f t="shared" si="109"/>
        <v>3</v>
      </c>
      <c r="G6999" s="7" t="str">
        <f>LOOKUP(H6999,[1]startdates!$A$2:$A$10,[1]startdates!$B$2:$B$10)</f>
        <v>SMr</v>
      </c>
      <c r="H6999">
        <v>2</v>
      </c>
      <c r="I6999" s="7">
        <v>567.1</v>
      </c>
      <c r="L6999" s="7">
        <v>350.7</v>
      </c>
      <c r="N6999" s="7">
        <v>224.1</v>
      </c>
      <c r="O6999" s="7">
        <v>183.4</v>
      </c>
    </row>
    <row r="7000" spans="1:21" x14ac:dyDescent="0.2">
      <c r="A7000">
        <v>6999</v>
      </c>
      <c r="B7000" s="1">
        <v>40939</v>
      </c>
      <c r="C7000" t="s">
        <v>24</v>
      </c>
      <c r="D7000" s="7">
        <v>199</v>
      </c>
      <c r="E7000" s="7">
        <v>30</v>
      </c>
      <c r="F7000" s="7">
        <f t="shared" si="109"/>
        <v>3</v>
      </c>
      <c r="G7000" s="7" t="str">
        <f>LOOKUP(H7000,[1]startdates!$A$2:$A$10,[1]startdates!$B$2:$B$10)</f>
        <v>SMr</v>
      </c>
      <c r="H7000">
        <v>2</v>
      </c>
      <c r="I7000" s="7">
        <v>601.9</v>
      </c>
      <c r="N7000" s="7">
        <v>251.3</v>
      </c>
      <c r="O7000" s="7">
        <v>158.30000000000001</v>
      </c>
    </row>
    <row r="7001" spans="1:21" x14ac:dyDescent="0.2">
      <c r="A7001">
        <v>7000</v>
      </c>
      <c r="B7001" s="1">
        <v>40939</v>
      </c>
      <c r="C7001" t="s">
        <v>24</v>
      </c>
      <c r="D7001" s="7">
        <v>199</v>
      </c>
      <c r="E7001" s="7">
        <v>30</v>
      </c>
      <c r="F7001" s="7">
        <f t="shared" si="109"/>
        <v>3</v>
      </c>
      <c r="G7001" s="7" t="str">
        <f>LOOKUP(H7001,[1]startdates!$A$2:$A$10,[1]startdates!$B$2:$B$10)</f>
        <v>SMr</v>
      </c>
      <c r="H7001">
        <v>2</v>
      </c>
      <c r="I7001" s="7">
        <v>590.29999999999995</v>
      </c>
      <c r="N7001" s="7">
        <v>229.7</v>
      </c>
      <c r="O7001" s="7">
        <v>172.6</v>
      </c>
    </row>
    <row r="7002" spans="1:21" x14ac:dyDescent="0.2">
      <c r="A7002">
        <v>7001</v>
      </c>
      <c r="B7002" s="1">
        <v>40939</v>
      </c>
      <c r="C7002" t="s">
        <v>24</v>
      </c>
      <c r="D7002" s="7">
        <v>199</v>
      </c>
      <c r="E7002" s="7">
        <v>30</v>
      </c>
      <c r="F7002" s="7">
        <f t="shared" si="109"/>
        <v>3</v>
      </c>
      <c r="G7002" s="7" t="str">
        <f>LOOKUP(H7002,[1]startdates!$A$2:$A$10,[1]startdates!$B$2:$B$10)</f>
        <v>SMr</v>
      </c>
      <c r="H7002">
        <v>2</v>
      </c>
      <c r="I7002" s="7">
        <v>485.4</v>
      </c>
      <c r="N7002" s="7">
        <v>250.4</v>
      </c>
      <c r="O7002" s="7">
        <v>189.1</v>
      </c>
    </row>
    <row r="7003" spans="1:21" x14ac:dyDescent="0.2">
      <c r="A7003">
        <v>7002</v>
      </c>
      <c r="B7003" s="1">
        <v>40939</v>
      </c>
      <c r="C7003" t="s">
        <v>24</v>
      </c>
      <c r="D7003" s="7">
        <v>199</v>
      </c>
      <c r="E7003" s="7">
        <v>30</v>
      </c>
      <c r="F7003" s="7">
        <f t="shared" si="109"/>
        <v>3</v>
      </c>
      <c r="G7003" s="7" t="str">
        <f>LOOKUP(H7003,[1]startdates!$A$2:$A$10,[1]startdates!$B$2:$B$10)</f>
        <v>SMr</v>
      </c>
      <c r="H7003">
        <v>2</v>
      </c>
      <c r="I7003" s="7">
        <v>455.5</v>
      </c>
      <c r="N7003" s="7">
        <v>257</v>
      </c>
      <c r="O7003" s="7">
        <v>168.9</v>
      </c>
    </row>
    <row r="7004" spans="1:21" x14ac:dyDescent="0.2">
      <c r="A7004">
        <v>7003</v>
      </c>
      <c r="B7004" s="1">
        <v>40939</v>
      </c>
      <c r="C7004" t="s">
        <v>24</v>
      </c>
      <c r="D7004" s="7">
        <v>199</v>
      </c>
      <c r="E7004" s="7">
        <v>30</v>
      </c>
      <c r="F7004" s="7">
        <f t="shared" si="109"/>
        <v>3</v>
      </c>
      <c r="G7004" s="7" t="str">
        <f>LOOKUP(H7004,[1]startdates!$A$2:$A$10,[1]startdates!$B$2:$B$10)</f>
        <v>SMr</v>
      </c>
      <c r="H7004">
        <v>2</v>
      </c>
      <c r="I7004" s="7">
        <v>548.6</v>
      </c>
      <c r="N7004" s="7">
        <v>240.7</v>
      </c>
      <c r="O7004" s="7">
        <v>184.5</v>
      </c>
    </row>
    <row r="7005" spans="1:21" x14ac:dyDescent="0.2">
      <c r="A7005">
        <v>7004</v>
      </c>
      <c r="B7005" s="1">
        <v>40939</v>
      </c>
      <c r="C7005" t="s">
        <v>28</v>
      </c>
      <c r="D7005" s="7">
        <v>199</v>
      </c>
      <c r="E7005" s="7">
        <v>30</v>
      </c>
      <c r="F7005" s="7">
        <f t="shared" si="109"/>
        <v>3</v>
      </c>
      <c r="G7005" s="7" t="str">
        <f>LOOKUP(H7005,[1]startdates!$A$2:$A$10,[1]startdates!$B$2:$B$10)</f>
        <v>C</v>
      </c>
      <c r="H7005">
        <v>3</v>
      </c>
      <c r="I7005" s="7">
        <v>596.4</v>
      </c>
      <c r="K7005" s="7">
        <v>571.6</v>
      </c>
      <c r="L7005" s="7">
        <v>408.7</v>
      </c>
      <c r="M7005" s="7">
        <v>293.2</v>
      </c>
      <c r="N7005" s="7">
        <v>270</v>
      </c>
      <c r="O7005" s="7">
        <v>174.6</v>
      </c>
      <c r="P7005" s="7">
        <v>479.5</v>
      </c>
      <c r="Q7005" s="7">
        <v>370.4</v>
      </c>
      <c r="R7005" s="7">
        <v>252.2</v>
      </c>
      <c r="S7005" s="7">
        <v>218.7</v>
      </c>
    </row>
    <row r="7006" spans="1:21" x14ac:dyDescent="0.2">
      <c r="A7006">
        <v>7005</v>
      </c>
      <c r="B7006" s="1">
        <v>40939</v>
      </c>
      <c r="C7006" t="s">
        <v>28</v>
      </c>
      <c r="D7006" s="7">
        <v>199</v>
      </c>
      <c r="E7006" s="7">
        <v>30</v>
      </c>
      <c r="F7006" s="7">
        <f t="shared" si="109"/>
        <v>3</v>
      </c>
      <c r="G7006" s="7" t="str">
        <f>LOOKUP(H7006,[1]startdates!$A$2:$A$10,[1]startdates!$B$2:$B$10)</f>
        <v>C</v>
      </c>
      <c r="H7006">
        <v>3</v>
      </c>
      <c r="I7006" s="7">
        <v>542</v>
      </c>
      <c r="K7006" s="7">
        <v>534.1</v>
      </c>
      <c r="L7006" s="7">
        <v>434.9</v>
      </c>
      <c r="M7006" s="7">
        <v>349.2</v>
      </c>
      <c r="N7006" s="7">
        <v>226.7</v>
      </c>
      <c r="O7006" s="7">
        <v>154.1</v>
      </c>
      <c r="P7006" s="7">
        <v>475.8</v>
      </c>
      <c r="Q7006" s="7">
        <v>309.5</v>
      </c>
      <c r="R7006" s="7">
        <v>251.7</v>
      </c>
    </row>
    <row r="7007" spans="1:21" x14ac:dyDescent="0.2">
      <c r="A7007">
        <v>7006</v>
      </c>
      <c r="B7007" s="1">
        <v>40939</v>
      </c>
      <c r="C7007" t="s">
        <v>28</v>
      </c>
      <c r="D7007" s="7">
        <v>199</v>
      </c>
      <c r="E7007" s="7">
        <v>30</v>
      </c>
      <c r="F7007" s="7">
        <f t="shared" si="109"/>
        <v>3</v>
      </c>
      <c r="G7007" s="7" t="str">
        <f>LOOKUP(H7007,[1]startdates!$A$2:$A$10,[1]startdates!$B$2:$B$10)</f>
        <v>C</v>
      </c>
      <c r="H7007">
        <v>3</v>
      </c>
      <c r="I7007" s="7">
        <v>486.9</v>
      </c>
      <c r="K7007" s="7">
        <v>503.7</v>
      </c>
      <c r="L7007" s="7">
        <v>453.1</v>
      </c>
      <c r="M7007" s="7">
        <v>310.39999999999998</v>
      </c>
      <c r="N7007" s="7">
        <v>239.6</v>
      </c>
      <c r="O7007" s="7">
        <v>180.6</v>
      </c>
      <c r="P7007" s="7">
        <v>421.7</v>
      </c>
      <c r="Q7007" s="7">
        <v>385.9</v>
      </c>
    </row>
    <row r="7008" spans="1:21" x14ac:dyDescent="0.2">
      <c r="A7008">
        <v>7007</v>
      </c>
      <c r="B7008" s="1">
        <v>40939</v>
      </c>
      <c r="C7008" t="s">
        <v>28</v>
      </c>
      <c r="D7008" s="7">
        <v>199</v>
      </c>
      <c r="E7008" s="7">
        <v>30</v>
      </c>
      <c r="F7008" s="7">
        <f t="shared" si="109"/>
        <v>3</v>
      </c>
      <c r="G7008" s="7" t="str">
        <f>LOOKUP(H7008,[1]startdates!$A$2:$A$10,[1]startdates!$B$2:$B$10)</f>
        <v>C</v>
      </c>
      <c r="H7008">
        <v>3</v>
      </c>
      <c r="I7008" s="7">
        <v>530.20000000000005</v>
      </c>
      <c r="K7008" s="7">
        <v>527.5</v>
      </c>
      <c r="L7008" s="7">
        <v>396</v>
      </c>
      <c r="M7008" s="7">
        <v>325.2</v>
      </c>
      <c r="N7008" s="7">
        <v>256.39999999999998</v>
      </c>
      <c r="O7008" s="7">
        <v>158.1</v>
      </c>
      <c r="Q7008" s="7">
        <v>362.6</v>
      </c>
    </row>
    <row r="7009" spans="1:21" x14ac:dyDescent="0.2">
      <c r="A7009">
        <v>7008</v>
      </c>
      <c r="B7009" s="1">
        <v>40939</v>
      </c>
      <c r="C7009" t="s">
        <v>28</v>
      </c>
      <c r="D7009" s="7">
        <v>199</v>
      </c>
      <c r="E7009" s="7">
        <v>30</v>
      </c>
      <c r="F7009" s="7">
        <f t="shared" si="109"/>
        <v>3</v>
      </c>
      <c r="G7009" s="7" t="str">
        <f>LOOKUP(H7009,[1]startdates!$A$2:$A$10,[1]startdates!$B$2:$B$10)</f>
        <v>C</v>
      </c>
      <c r="H7009">
        <v>3</v>
      </c>
      <c r="I7009" s="7">
        <v>550.1</v>
      </c>
      <c r="K7009" s="7">
        <v>473.3</v>
      </c>
      <c r="L7009" s="7">
        <v>400.2</v>
      </c>
      <c r="M7009" s="7">
        <v>379.1</v>
      </c>
      <c r="N7009" s="7">
        <v>214.7</v>
      </c>
      <c r="O7009" s="7">
        <v>166</v>
      </c>
      <c r="Q7009" s="7">
        <v>326.8</v>
      </c>
    </row>
    <row r="7010" spans="1:21" x14ac:dyDescent="0.2">
      <c r="A7010">
        <v>7009</v>
      </c>
      <c r="B7010" s="1">
        <v>40939</v>
      </c>
      <c r="C7010" t="s">
        <v>28</v>
      </c>
      <c r="D7010" s="7">
        <v>199</v>
      </c>
      <c r="E7010" s="7">
        <v>30</v>
      </c>
      <c r="F7010" s="7">
        <f t="shared" si="109"/>
        <v>3</v>
      </c>
      <c r="G7010" s="7" t="str">
        <f>LOOKUP(H7010,[1]startdates!$A$2:$A$10,[1]startdates!$B$2:$B$10)</f>
        <v>C</v>
      </c>
      <c r="H7010">
        <v>3</v>
      </c>
      <c r="I7010" s="7">
        <v>500.3</v>
      </c>
      <c r="K7010" s="7">
        <v>464.6</v>
      </c>
      <c r="L7010" s="7">
        <v>413.2</v>
      </c>
      <c r="M7010" s="7">
        <v>344.2</v>
      </c>
      <c r="N7010" s="7">
        <v>193.5</v>
      </c>
      <c r="O7010" s="7">
        <v>168.2</v>
      </c>
    </row>
    <row r="7011" spans="1:21" x14ac:dyDescent="0.2">
      <c r="A7011">
        <v>7010</v>
      </c>
      <c r="B7011" s="1">
        <v>40939</v>
      </c>
      <c r="C7011" t="s">
        <v>28</v>
      </c>
      <c r="D7011" s="7">
        <v>199</v>
      </c>
      <c r="E7011" s="7">
        <v>30</v>
      </c>
      <c r="F7011" s="7">
        <f t="shared" si="109"/>
        <v>3</v>
      </c>
      <c r="G7011" s="7" t="str">
        <f>LOOKUP(H7011,[1]startdates!$A$2:$A$10,[1]startdates!$B$2:$B$10)</f>
        <v>C</v>
      </c>
      <c r="H7011">
        <v>3</v>
      </c>
      <c r="I7011" s="7">
        <v>539.79999999999995</v>
      </c>
      <c r="K7011" s="7">
        <v>471.8</v>
      </c>
      <c r="L7011" s="7">
        <v>412.4</v>
      </c>
      <c r="M7011" s="7">
        <v>333</v>
      </c>
      <c r="N7011" s="7">
        <v>207.5</v>
      </c>
      <c r="O7011" s="7">
        <v>171.6</v>
      </c>
    </row>
    <row r="7012" spans="1:21" x14ac:dyDescent="0.2">
      <c r="A7012">
        <v>7011</v>
      </c>
      <c r="B7012" s="1">
        <v>40939</v>
      </c>
      <c r="C7012" t="s">
        <v>28</v>
      </c>
      <c r="D7012" s="7">
        <v>199</v>
      </c>
      <c r="E7012" s="7">
        <v>30</v>
      </c>
      <c r="F7012" s="7">
        <f t="shared" si="109"/>
        <v>3</v>
      </c>
      <c r="G7012" s="7" t="str">
        <f>LOOKUP(H7012,[1]startdates!$A$2:$A$10,[1]startdates!$B$2:$B$10)</f>
        <v>C</v>
      </c>
      <c r="H7012">
        <v>3</v>
      </c>
      <c r="I7012" s="7">
        <v>590.20000000000005</v>
      </c>
      <c r="M7012" s="7">
        <v>294.3</v>
      </c>
      <c r="N7012" s="7">
        <v>194.3</v>
      </c>
      <c r="O7012" s="7">
        <v>161</v>
      </c>
    </row>
    <row r="7013" spans="1:21" x14ac:dyDescent="0.2">
      <c r="A7013">
        <v>7012</v>
      </c>
      <c r="B7013" s="1">
        <v>40939</v>
      </c>
      <c r="C7013" t="s">
        <v>28</v>
      </c>
      <c r="D7013" s="7">
        <v>199</v>
      </c>
      <c r="E7013" s="7">
        <v>30</v>
      </c>
      <c r="F7013" s="7">
        <f t="shared" si="109"/>
        <v>3</v>
      </c>
      <c r="G7013" s="7" t="str">
        <f>LOOKUP(H7013,[1]startdates!$A$2:$A$10,[1]startdates!$B$2:$B$10)</f>
        <v>C</v>
      </c>
      <c r="H7013">
        <v>3</v>
      </c>
      <c r="I7013" s="7">
        <v>551.5</v>
      </c>
      <c r="M7013" s="7">
        <v>322</v>
      </c>
      <c r="N7013" s="7">
        <v>250.5</v>
      </c>
      <c r="O7013" s="7">
        <v>162.69999999999999</v>
      </c>
    </row>
    <row r="7014" spans="1:21" x14ac:dyDescent="0.2">
      <c r="A7014">
        <v>7013</v>
      </c>
      <c r="B7014" s="1">
        <v>40939</v>
      </c>
      <c r="C7014" t="s">
        <v>28</v>
      </c>
      <c r="D7014" s="7">
        <v>199</v>
      </c>
      <c r="E7014" s="7">
        <v>30</v>
      </c>
      <c r="F7014" s="7">
        <f t="shared" si="109"/>
        <v>3</v>
      </c>
      <c r="G7014" s="7" t="str">
        <f>LOOKUP(H7014,[1]startdates!$A$2:$A$10,[1]startdates!$B$2:$B$10)</f>
        <v>C</v>
      </c>
      <c r="H7014">
        <v>3</v>
      </c>
      <c r="I7014" s="7">
        <v>515.4</v>
      </c>
      <c r="M7014" s="7">
        <v>374.9</v>
      </c>
      <c r="N7014" s="7">
        <v>202.6</v>
      </c>
      <c r="O7014" s="7">
        <v>163</v>
      </c>
    </row>
    <row r="7015" spans="1:21" x14ac:dyDescent="0.2">
      <c r="A7015">
        <v>7014</v>
      </c>
      <c r="B7015" s="1">
        <v>40939</v>
      </c>
      <c r="C7015" t="s">
        <v>28</v>
      </c>
      <c r="D7015" s="7">
        <v>199</v>
      </c>
      <c r="E7015" s="7">
        <v>30</v>
      </c>
      <c r="F7015" s="7">
        <f t="shared" si="109"/>
        <v>3</v>
      </c>
      <c r="G7015" s="7" t="str">
        <f>LOOKUP(H7015,[1]startdates!$A$2:$A$10,[1]startdates!$B$2:$B$10)</f>
        <v>C</v>
      </c>
      <c r="H7015">
        <v>3</v>
      </c>
      <c r="K7015" s="7">
        <v>449.7</v>
      </c>
      <c r="N7015" s="7">
        <v>221</v>
      </c>
    </row>
    <row r="7016" spans="1:21" x14ac:dyDescent="0.2">
      <c r="A7016">
        <v>7015</v>
      </c>
      <c r="B7016" s="1">
        <v>40939</v>
      </c>
      <c r="C7016" t="s">
        <v>24</v>
      </c>
      <c r="D7016" s="7">
        <v>199</v>
      </c>
      <c r="E7016" s="7">
        <v>30</v>
      </c>
      <c r="F7016" s="7">
        <f t="shared" si="109"/>
        <v>3</v>
      </c>
      <c r="G7016" s="7" t="str">
        <f>LOOKUP(H7016,[1]startdates!$A$2:$A$10,[1]startdates!$B$2:$B$10)</f>
        <v>SMr</v>
      </c>
      <c r="H7016">
        <v>4</v>
      </c>
      <c r="I7016" s="7">
        <v>521.1</v>
      </c>
      <c r="K7016" s="7">
        <v>461.8</v>
      </c>
      <c r="L7016" s="7">
        <v>395.5</v>
      </c>
      <c r="M7016" s="7">
        <v>340.3</v>
      </c>
      <c r="N7016" s="7">
        <v>247.1</v>
      </c>
      <c r="O7016" s="7">
        <v>178.6</v>
      </c>
      <c r="P7016" s="7">
        <v>500.7</v>
      </c>
      <c r="Q7016" s="7">
        <v>365</v>
      </c>
      <c r="S7016" s="7">
        <v>284.5</v>
      </c>
      <c r="U7016" s="7">
        <v>479</v>
      </c>
    </row>
    <row r="7017" spans="1:21" x14ac:dyDescent="0.2">
      <c r="A7017">
        <v>7016</v>
      </c>
      <c r="B7017" s="1">
        <v>40939</v>
      </c>
      <c r="C7017" t="s">
        <v>24</v>
      </c>
      <c r="D7017" s="7">
        <v>199</v>
      </c>
      <c r="E7017" s="7">
        <v>30</v>
      </c>
      <c r="F7017" s="7">
        <f t="shared" ref="F7017:F7080" si="110">WEEKDAY(B7017)</f>
        <v>3</v>
      </c>
      <c r="G7017" s="7" t="str">
        <f>LOOKUP(H7017,[1]startdates!$A$2:$A$10,[1]startdates!$B$2:$B$10)</f>
        <v>SMr</v>
      </c>
      <c r="H7017">
        <v>4</v>
      </c>
      <c r="I7017" s="7">
        <v>600.9</v>
      </c>
      <c r="K7017" s="7">
        <v>395.8</v>
      </c>
      <c r="L7017" s="7">
        <v>422.4</v>
      </c>
      <c r="M7017" s="7">
        <v>360.5</v>
      </c>
      <c r="N7017" s="7">
        <v>186.6</v>
      </c>
      <c r="O7017" s="7">
        <v>173.5</v>
      </c>
      <c r="Q7017" s="7">
        <v>398.3</v>
      </c>
      <c r="U7017" s="7">
        <v>530.29999999999995</v>
      </c>
    </row>
    <row r="7018" spans="1:21" x14ac:dyDescent="0.2">
      <c r="A7018">
        <v>7017</v>
      </c>
      <c r="B7018" s="1">
        <v>40939</v>
      </c>
      <c r="C7018" t="s">
        <v>24</v>
      </c>
      <c r="D7018" s="7">
        <v>199</v>
      </c>
      <c r="E7018" s="7">
        <v>30</v>
      </c>
      <c r="F7018" s="7">
        <f t="shared" si="110"/>
        <v>3</v>
      </c>
      <c r="G7018" s="7" t="str">
        <f>LOOKUP(H7018,[1]startdates!$A$2:$A$10,[1]startdates!$B$2:$B$10)</f>
        <v>SMr</v>
      </c>
      <c r="H7018">
        <v>4</v>
      </c>
      <c r="I7018" s="7">
        <v>600.29999999999995</v>
      </c>
      <c r="K7018" s="7">
        <v>426.5</v>
      </c>
      <c r="L7018" s="7">
        <v>375</v>
      </c>
      <c r="M7018" s="7">
        <v>361.1</v>
      </c>
      <c r="N7018" s="7">
        <v>218.7</v>
      </c>
      <c r="O7018" s="7">
        <v>160.69999999999999</v>
      </c>
      <c r="U7018" s="7">
        <v>544.9</v>
      </c>
    </row>
    <row r="7019" spans="1:21" x14ac:dyDescent="0.2">
      <c r="A7019">
        <v>7018</v>
      </c>
      <c r="B7019" s="1">
        <v>40939</v>
      </c>
      <c r="C7019" t="s">
        <v>24</v>
      </c>
      <c r="D7019" s="7">
        <v>199</v>
      </c>
      <c r="E7019" s="7">
        <v>30</v>
      </c>
      <c r="F7019" s="7">
        <f t="shared" si="110"/>
        <v>3</v>
      </c>
      <c r="G7019" s="7" t="str">
        <f>LOOKUP(H7019,[1]startdates!$A$2:$A$10,[1]startdates!$B$2:$B$10)</f>
        <v>SMr</v>
      </c>
      <c r="H7019">
        <v>4</v>
      </c>
      <c r="I7019" s="7">
        <v>598.6</v>
      </c>
      <c r="L7019" s="7">
        <v>409.6</v>
      </c>
      <c r="M7019" s="7">
        <v>357.4</v>
      </c>
      <c r="N7019" s="7">
        <v>232.4</v>
      </c>
      <c r="O7019" s="7">
        <v>177.7</v>
      </c>
      <c r="U7019" s="7">
        <v>551.1</v>
      </c>
    </row>
    <row r="7020" spans="1:21" x14ac:dyDescent="0.2">
      <c r="A7020">
        <v>7019</v>
      </c>
      <c r="B7020" s="1">
        <v>40939</v>
      </c>
      <c r="C7020" t="s">
        <v>24</v>
      </c>
      <c r="D7020" s="7">
        <v>199</v>
      </c>
      <c r="E7020" s="7">
        <v>30</v>
      </c>
      <c r="F7020" s="7">
        <f t="shared" si="110"/>
        <v>3</v>
      </c>
      <c r="G7020" s="7" t="str">
        <f>LOOKUP(H7020,[1]startdates!$A$2:$A$10,[1]startdates!$B$2:$B$10)</f>
        <v>SMr</v>
      </c>
      <c r="H7020">
        <v>4</v>
      </c>
      <c r="I7020" s="7">
        <v>612.5</v>
      </c>
      <c r="L7020" s="7">
        <v>446.3</v>
      </c>
      <c r="M7020" s="7">
        <v>332.7</v>
      </c>
      <c r="N7020" s="7">
        <v>191.5</v>
      </c>
      <c r="O7020" s="7">
        <v>161.69999999999999</v>
      </c>
    </row>
    <row r="7021" spans="1:21" x14ac:dyDescent="0.2">
      <c r="A7021">
        <v>7020</v>
      </c>
      <c r="B7021" s="1">
        <v>40939</v>
      </c>
      <c r="C7021" t="s">
        <v>24</v>
      </c>
      <c r="D7021" s="7">
        <v>199</v>
      </c>
      <c r="E7021" s="7">
        <v>30</v>
      </c>
      <c r="F7021" s="7">
        <f t="shared" si="110"/>
        <v>3</v>
      </c>
      <c r="G7021" s="7" t="str">
        <f>LOOKUP(H7021,[1]startdates!$A$2:$A$10,[1]startdates!$B$2:$B$10)</f>
        <v>SMr</v>
      </c>
      <c r="H7021">
        <v>4</v>
      </c>
      <c r="I7021" s="7">
        <v>553</v>
      </c>
      <c r="M7021" s="7">
        <v>367.5</v>
      </c>
      <c r="N7021" s="7">
        <v>243.5</v>
      </c>
      <c r="O7021" s="7">
        <v>190.5</v>
      </c>
    </row>
    <row r="7022" spans="1:21" x14ac:dyDescent="0.2">
      <c r="A7022">
        <v>7021</v>
      </c>
      <c r="B7022" s="1">
        <v>40939</v>
      </c>
      <c r="C7022" t="s">
        <v>24</v>
      </c>
      <c r="D7022" s="7">
        <v>199</v>
      </c>
      <c r="E7022" s="7">
        <v>30</v>
      </c>
      <c r="F7022" s="7">
        <f t="shared" si="110"/>
        <v>3</v>
      </c>
      <c r="G7022" s="7" t="str">
        <f>LOOKUP(H7022,[1]startdates!$A$2:$A$10,[1]startdates!$B$2:$B$10)</f>
        <v>SMr</v>
      </c>
      <c r="H7022">
        <v>4</v>
      </c>
      <c r="I7022" s="7">
        <v>587.70000000000005</v>
      </c>
      <c r="M7022" s="7">
        <v>359.4</v>
      </c>
      <c r="N7022" s="7">
        <v>224.6</v>
      </c>
      <c r="O7022" s="7">
        <v>145.6</v>
      </c>
    </row>
    <row r="7023" spans="1:21" x14ac:dyDescent="0.2">
      <c r="A7023">
        <v>7022</v>
      </c>
      <c r="B7023" s="1">
        <v>40939</v>
      </c>
      <c r="C7023" t="s">
        <v>24</v>
      </c>
      <c r="D7023" s="7">
        <v>199</v>
      </c>
      <c r="E7023" s="7">
        <v>30</v>
      </c>
      <c r="F7023" s="7">
        <f t="shared" si="110"/>
        <v>3</v>
      </c>
      <c r="G7023" s="7" t="str">
        <f>LOOKUP(H7023,[1]startdates!$A$2:$A$10,[1]startdates!$B$2:$B$10)</f>
        <v>SMr</v>
      </c>
      <c r="H7023">
        <v>4</v>
      </c>
      <c r="I7023" s="7">
        <v>520.9</v>
      </c>
      <c r="N7023" s="7">
        <v>188.7</v>
      </c>
      <c r="O7023" s="7">
        <v>160</v>
      </c>
    </row>
    <row r="7024" spans="1:21" x14ac:dyDescent="0.2">
      <c r="A7024">
        <v>7023</v>
      </c>
      <c r="B7024" s="1">
        <v>40939</v>
      </c>
      <c r="C7024" t="s">
        <v>24</v>
      </c>
      <c r="D7024" s="7">
        <v>199</v>
      </c>
      <c r="E7024" s="7">
        <v>30</v>
      </c>
      <c r="F7024" s="7">
        <f t="shared" si="110"/>
        <v>3</v>
      </c>
      <c r="G7024" s="7" t="str">
        <f>LOOKUP(H7024,[1]startdates!$A$2:$A$10,[1]startdates!$B$2:$B$10)</f>
        <v>SMr</v>
      </c>
      <c r="H7024">
        <v>4</v>
      </c>
      <c r="I7024" s="7">
        <v>567.1</v>
      </c>
      <c r="N7024" s="7">
        <v>213.5</v>
      </c>
      <c r="O7024" s="7">
        <v>152.6</v>
      </c>
    </row>
    <row r="7025" spans="1:18" x14ac:dyDescent="0.2">
      <c r="A7025">
        <v>7024</v>
      </c>
      <c r="B7025" s="1">
        <v>40939</v>
      </c>
      <c r="C7025" t="s">
        <v>24</v>
      </c>
      <c r="D7025" s="7">
        <v>199</v>
      </c>
      <c r="E7025" s="7">
        <v>30</v>
      </c>
      <c r="F7025" s="7">
        <f t="shared" si="110"/>
        <v>3</v>
      </c>
      <c r="G7025" s="7" t="str">
        <f>LOOKUP(H7025,[1]startdates!$A$2:$A$10,[1]startdates!$B$2:$B$10)</f>
        <v>SMr</v>
      </c>
      <c r="H7025">
        <v>4</v>
      </c>
      <c r="I7025" s="7">
        <v>603.70000000000005</v>
      </c>
      <c r="O7025" s="7">
        <v>179.5</v>
      </c>
    </row>
    <row r="7026" spans="1:18" x14ac:dyDescent="0.2">
      <c r="A7026">
        <v>7025</v>
      </c>
      <c r="B7026" s="1">
        <v>40939</v>
      </c>
      <c r="C7026" t="s">
        <v>24</v>
      </c>
      <c r="D7026" s="7">
        <v>199</v>
      </c>
      <c r="E7026" s="7">
        <v>30</v>
      </c>
      <c r="F7026" s="7">
        <f t="shared" si="110"/>
        <v>3</v>
      </c>
      <c r="G7026" s="7" t="str">
        <f>LOOKUP(H7026,[1]startdates!$A$2:$A$10,[1]startdates!$B$2:$B$10)</f>
        <v>SMr</v>
      </c>
      <c r="H7026">
        <v>4</v>
      </c>
      <c r="I7026" s="7">
        <v>547.4</v>
      </c>
    </row>
    <row r="7027" spans="1:18" x14ac:dyDescent="0.2">
      <c r="A7027">
        <v>7026</v>
      </c>
      <c r="B7027" s="1">
        <v>40939</v>
      </c>
      <c r="C7027" t="s">
        <v>24</v>
      </c>
      <c r="D7027" s="7">
        <v>199</v>
      </c>
      <c r="E7027" s="7">
        <v>30</v>
      </c>
      <c r="F7027" s="7">
        <f t="shared" si="110"/>
        <v>3</v>
      </c>
      <c r="G7027" s="7" t="str">
        <f>LOOKUP(H7027,[1]startdates!$A$2:$A$10,[1]startdates!$B$2:$B$10)</f>
        <v>SMr</v>
      </c>
      <c r="H7027">
        <v>4</v>
      </c>
      <c r="I7027" s="7">
        <v>476</v>
      </c>
    </row>
    <row r="7028" spans="1:18" x14ac:dyDescent="0.2">
      <c r="A7028">
        <v>7027</v>
      </c>
      <c r="B7028" s="1">
        <v>40939</v>
      </c>
      <c r="C7028" t="s">
        <v>24</v>
      </c>
      <c r="D7028" s="7">
        <v>199</v>
      </c>
      <c r="E7028" s="7">
        <v>30</v>
      </c>
      <c r="F7028" s="7">
        <f t="shared" si="110"/>
        <v>3</v>
      </c>
      <c r="G7028" s="7" t="str">
        <f>LOOKUP(H7028,[1]startdates!$A$2:$A$10,[1]startdates!$B$2:$B$10)</f>
        <v>SMr</v>
      </c>
      <c r="H7028">
        <v>4</v>
      </c>
      <c r="I7028" s="7">
        <v>564.9</v>
      </c>
    </row>
    <row r="7029" spans="1:18" x14ac:dyDescent="0.2">
      <c r="A7029">
        <v>7028</v>
      </c>
      <c r="B7029" s="1">
        <v>40939</v>
      </c>
      <c r="C7029" t="s">
        <v>28</v>
      </c>
      <c r="D7029" s="7">
        <v>199</v>
      </c>
      <c r="E7029" s="7">
        <v>30</v>
      </c>
      <c r="F7029" s="7">
        <f t="shared" si="110"/>
        <v>3</v>
      </c>
      <c r="G7029" s="7" t="str">
        <f>LOOKUP(H7029,[1]startdates!$A$2:$A$10,[1]startdates!$B$2:$B$10)</f>
        <v>C</v>
      </c>
      <c r="H7029">
        <v>5</v>
      </c>
      <c r="I7029" s="7">
        <v>590.6</v>
      </c>
      <c r="J7029" s="7">
        <v>525.29999999999995</v>
      </c>
      <c r="K7029" s="7">
        <v>484.5</v>
      </c>
      <c r="L7029" s="7">
        <v>412.4</v>
      </c>
      <c r="M7029" s="7">
        <v>306.5</v>
      </c>
      <c r="N7029" s="7">
        <v>219.7</v>
      </c>
      <c r="O7029" s="7">
        <v>159.5</v>
      </c>
      <c r="P7029" s="7">
        <v>424.9</v>
      </c>
      <c r="Q7029" s="7">
        <v>366</v>
      </c>
      <c r="R7029" s="7">
        <v>281</v>
      </c>
    </row>
    <row r="7030" spans="1:18" x14ac:dyDescent="0.2">
      <c r="A7030">
        <v>7029</v>
      </c>
      <c r="B7030" s="1">
        <v>40939</v>
      </c>
      <c r="C7030" t="s">
        <v>28</v>
      </c>
      <c r="D7030" s="7">
        <v>199</v>
      </c>
      <c r="E7030" s="7">
        <v>30</v>
      </c>
      <c r="F7030" s="7">
        <f t="shared" si="110"/>
        <v>3</v>
      </c>
      <c r="G7030" s="7" t="str">
        <f>LOOKUP(H7030,[1]startdates!$A$2:$A$10,[1]startdates!$B$2:$B$10)</f>
        <v>C</v>
      </c>
      <c r="H7030">
        <v>5</v>
      </c>
      <c r="I7030" s="7">
        <v>596.4</v>
      </c>
      <c r="J7030" s="7">
        <v>548.29999999999995</v>
      </c>
      <c r="K7030" s="7">
        <v>530.5</v>
      </c>
      <c r="L7030" s="7">
        <v>415.9</v>
      </c>
      <c r="M7030" s="7">
        <v>383.7</v>
      </c>
      <c r="N7030" s="7">
        <v>253.6</v>
      </c>
      <c r="O7030" s="7">
        <v>171.3</v>
      </c>
      <c r="P7030" s="7">
        <v>479.3</v>
      </c>
    </row>
    <row r="7031" spans="1:18" x14ac:dyDescent="0.2">
      <c r="A7031">
        <v>7030</v>
      </c>
      <c r="B7031" s="1">
        <v>40939</v>
      </c>
      <c r="C7031" t="s">
        <v>28</v>
      </c>
      <c r="D7031" s="7">
        <v>199</v>
      </c>
      <c r="E7031" s="7">
        <v>30</v>
      </c>
      <c r="F7031" s="7">
        <f t="shared" si="110"/>
        <v>3</v>
      </c>
      <c r="G7031" s="7" t="str">
        <f>LOOKUP(H7031,[1]startdates!$A$2:$A$10,[1]startdates!$B$2:$B$10)</f>
        <v>C</v>
      </c>
      <c r="H7031">
        <v>5</v>
      </c>
      <c r="I7031" s="7">
        <v>585.4</v>
      </c>
      <c r="J7031" s="7">
        <v>517.4</v>
      </c>
      <c r="K7031" s="7">
        <v>549.5</v>
      </c>
      <c r="L7031" s="7">
        <v>423.8</v>
      </c>
      <c r="M7031" s="7">
        <v>324.39999999999998</v>
      </c>
      <c r="N7031" s="7">
        <v>272.8</v>
      </c>
      <c r="O7031" s="7">
        <v>184.5</v>
      </c>
    </row>
    <row r="7032" spans="1:18" x14ac:dyDescent="0.2">
      <c r="A7032">
        <v>7031</v>
      </c>
      <c r="B7032" s="1">
        <v>40939</v>
      </c>
      <c r="C7032" t="s">
        <v>28</v>
      </c>
      <c r="D7032" s="7">
        <v>199</v>
      </c>
      <c r="E7032" s="7">
        <v>30</v>
      </c>
      <c r="F7032" s="7">
        <f t="shared" si="110"/>
        <v>3</v>
      </c>
      <c r="G7032" s="7" t="str">
        <f>LOOKUP(H7032,[1]startdates!$A$2:$A$10,[1]startdates!$B$2:$B$10)</f>
        <v>C</v>
      </c>
      <c r="H7032">
        <v>5</v>
      </c>
      <c r="I7032" s="7">
        <v>620.6</v>
      </c>
      <c r="K7032" s="7">
        <v>490.7</v>
      </c>
      <c r="M7032" s="7">
        <v>325.2</v>
      </c>
      <c r="N7032" s="7">
        <v>188.5</v>
      </c>
      <c r="O7032" s="7">
        <v>168</v>
      </c>
    </row>
    <row r="7033" spans="1:18" x14ac:dyDescent="0.2">
      <c r="A7033">
        <v>7032</v>
      </c>
      <c r="B7033" s="1">
        <v>40939</v>
      </c>
      <c r="C7033" t="s">
        <v>28</v>
      </c>
      <c r="D7033" s="7">
        <v>199</v>
      </c>
      <c r="E7033" s="7">
        <v>30</v>
      </c>
      <c r="F7033" s="7">
        <f t="shared" si="110"/>
        <v>3</v>
      </c>
      <c r="G7033" s="7" t="str">
        <f>LOOKUP(H7033,[1]startdates!$A$2:$A$10,[1]startdates!$B$2:$B$10)</f>
        <v>C</v>
      </c>
      <c r="H7033">
        <v>5</v>
      </c>
      <c r="I7033" s="7">
        <v>538.1</v>
      </c>
      <c r="K7033" s="7">
        <v>538.5</v>
      </c>
      <c r="M7033" s="7">
        <v>304.60000000000002</v>
      </c>
      <c r="N7033" s="7">
        <v>227.1</v>
      </c>
      <c r="O7033" s="7">
        <v>174.9</v>
      </c>
    </row>
    <row r="7034" spans="1:18" x14ac:dyDescent="0.2">
      <c r="A7034">
        <v>7033</v>
      </c>
      <c r="B7034" s="1">
        <v>40939</v>
      </c>
      <c r="C7034" t="s">
        <v>28</v>
      </c>
      <c r="D7034" s="7">
        <v>199</v>
      </c>
      <c r="E7034" s="7">
        <v>30</v>
      </c>
      <c r="F7034" s="7">
        <f t="shared" si="110"/>
        <v>3</v>
      </c>
      <c r="G7034" s="7" t="str">
        <f>LOOKUP(H7034,[1]startdates!$A$2:$A$10,[1]startdates!$B$2:$B$10)</f>
        <v>C</v>
      </c>
      <c r="H7034">
        <v>5</v>
      </c>
      <c r="I7034" s="7">
        <v>663.5</v>
      </c>
      <c r="K7034" s="7">
        <v>571.1</v>
      </c>
      <c r="M7034" s="7">
        <v>317.7</v>
      </c>
      <c r="N7034" s="7">
        <v>210.9</v>
      </c>
      <c r="O7034" s="7">
        <v>146</v>
      </c>
    </row>
    <row r="7035" spans="1:18" x14ac:dyDescent="0.2">
      <c r="A7035">
        <v>7034</v>
      </c>
      <c r="B7035" s="1">
        <v>40939</v>
      </c>
      <c r="C7035" t="s">
        <v>28</v>
      </c>
      <c r="D7035" s="7">
        <v>199</v>
      </c>
      <c r="E7035" s="7">
        <v>30</v>
      </c>
      <c r="F7035" s="7">
        <f t="shared" si="110"/>
        <v>3</v>
      </c>
      <c r="G7035" s="7" t="str">
        <f>LOOKUP(H7035,[1]startdates!$A$2:$A$10,[1]startdates!$B$2:$B$10)</f>
        <v>C</v>
      </c>
      <c r="H7035">
        <v>5</v>
      </c>
      <c r="I7035" s="7">
        <v>641</v>
      </c>
      <c r="M7035" s="7">
        <v>361.1</v>
      </c>
      <c r="N7035" s="7">
        <v>209.3</v>
      </c>
      <c r="O7035" s="7">
        <v>163.4</v>
      </c>
    </row>
    <row r="7036" spans="1:18" x14ac:dyDescent="0.2">
      <c r="A7036">
        <v>7035</v>
      </c>
      <c r="B7036" s="1">
        <v>40939</v>
      </c>
      <c r="C7036" t="s">
        <v>28</v>
      </c>
      <c r="D7036" s="7">
        <v>199</v>
      </c>
      <c r="E7036" s="7">
        <v>30</v>
      </c>
      <c r="F7036" s="7">
        <f t="shared" si="110"/>
        <v>3</v>
      </c>
      <c r="G7036" s="7" t="str">
        <f>LOOKUP(H7036,[1]startdates!$A$2:$A$10,[1]startdates!$B$2:$B$10)</f>
        <v>C</v>
      </c>
      <c r="H7036">
        <v>5</v>
      </c>
      <c r="I7036" s="7">
        <v>692.5</v>
      </c>
      <c r="M7036" s="7">
        <v>357.3</v>
      </c>
      <c r="N7036" s="7">
        <v>226.5</v>
      </c>
      <c r="O7036" s="7">
        <v>164.9</v>
      </c>
    </row>
    <row r="7037" spans="1:18" x14ac:dyDescent="0.2">
      <c r="A7037">
        <v>7036</v>
      </c>
      <c r="B7037" s="1">
        <v>40939</v>
      </c>
      <c r="C7037" t="s">
        <v>28</v>
      </c>
      <c r="D7037" s="7">
        <v>199</v>
      </c>
      <c r="E7037" s="7">
        <v>30</v>
      </c>
      <c r="F7037" s="7">
        <f t="shared" si="110"/>
        <v>3</v>
      </c>
      <c r="G7037" s="7" t="str">
        <f>LOOKUP(H7037,[1]startdates!$A$2:$A$10,[1]startdates!$B$2:$B$10)</f>
        <v>C</v>
      </c>
      <c r="H7037">
        <v>5</v>
      </c>
      <c r="I7037" s="7">
        <v>550.5</v>
      </c>
      <c r="N7037" s="7">
        <v>285.8</v>
      </c>
      <c r="O7037" s="7">
        <v>153.19999999999999</v>
      </c>
    </row>
    <row r="7038" spans="1:18" x14ac:dyDescent="0.2">
      <c r="A7038">
        <v>7037</v>
      </c>
      <c r="B7038" s="1">
        <v>40939</v>
      </c>
      <c r="C7038" t="s">
        <v>28</v>
      </c>
      <c r="D7038" s="7">
        <v>199</v>
      </c>
      <c r="E7038" s="7">
        <v>30</v>
      </c>
      <c r="F7038" s="7">
        <f t="shared" si="110"/>
        <v>3</v>
      </c>
      <c r="G7038" s="7" t="str">
        <f>LOOKUP(H7038,[1]startdates!$A$2:$A$10,[1]startdates!$B$2:$B$10)</f>
        <v>C</v>
      </c>
      <c r="H7038">
        <v>5</v>
      </c>
      <c r="I7038" s="7">
        <v>704.8</v>
      </c>
      <c r="N7038" s="7">
        <v>237</v>
      </c>
      <c r="O7038" s="7">
        <v>166</v>
      </c>
    </row>
    <row r="7039" spans="1:18" x14ac:dyDescent="0.2">
      <c r="A7039">
        <v>7038</v>
      </c>
      <c r="B7039" s="1">
        <v>40939</v>
      </c>
      <c r="C7039" t="s">
        <v>24</v>
      </c>
      <c r="D7039" s="7">
        <v>199</v>
      </c>
      <c r="E7039" s="7">
        <v>30</v>
      </c>
      <c r="F7039" s="7">
        <f t="shared" si="110"/>
        <v>3</v>
      </c>
      <c r="G7039" s="7" t="str">
        <f>LOOKUP(H7039,[1]startdates!$A$2:$A$10,[1]startdates!$B$2:$B$10)</f>
        <v>FMr</v>
      </c>
      <c r="H7039">
        <v>6</v>
      </c>
      <c r="I7039" s="7">
        <v>495</v>
      </c>
      <c r="K7039" s="7">
        <v>462.3</v>
      </c>
      <c r="L7039" s="7">
        <v>458.3</v>
      </c>
      <c r="M7039" s="7">
        <v>344.1</v>
      </c>
      <c r="N7039" s="7">
        <v>225.3</v>
      </c>
      <c r="O7039" s="7">
        <v>197.9</v>
      </c>
      <c r="P7039" s="7">
        <v>500.8</v>
      </c>
    </row>
    <row r="7040" spans="1:18" x14ac:dyDescent="0.2">
      <c r="A7040">
        <v>7039</v>
      </c>
      <c r="B7040" s="1">
        <v>40939</v>
      </c>
      <c r="C7040" t="s">
        <v>24</v>
      </c>
      <c r="D7040" s="7">
        <v>199</v>
      </c>
      <c r="E7040" s="7">
        <v>30</v>
      </c>
      <c r="F7040" s="7">
        <f t="shared" si="110"/>
        <v>3</v>
      </c>
      <c r="G7040" s="7" t="str">
        <f>LOOKUP(H7040,[1]startdates!$A$2:$A$10,[1]startdates!$B$2:$B$10)</f>
        <v>FMr</v>
      </c>
      <c r="H7040">
        <v>6</v>
      </c>
      <c r="I7040" s="7">
        <v>599.70000000000005</v>
      </c>
      <c r="K7040" s="7">
        <v>478.6</v>
      </c>
      <c r="L7040" s="7">
        <v>470.4</v>
      </c>
      <c r="M7040" s="7">
        <v>320.2</v>
      </c>
      <c r="N7040" s="7">
        <v>217.3</v>
      </c>
      <c r="O7040" s="7">
        <v>191.5</v>
      </c>
      <c r="P7040" s="7">
        <v>360.9</v>
      </c>
    </row>
    <row r="7041" spans="1:22" x14ac:dyDescent="0.2">
      <c r="A7041">
        <v>7040</v>
      </c>
      <c r="B7041" s="1">
        <v>40939</v>
      </c>
      <c r="C7041" t="s">
        <v>24</v>
      </c>
      <c r="D7041" s="7">
        <v>199</v>
      </c>
      <c r="E7041" s="7">
        <v>30</v>
      </c>
      <c r="F7041" s="7">
        <f t="shared" si="110"/>
        <v>3</v>
      </c>
      <c r="G7041" s="7" t="str">
        <f>LOOKUP(H7041,[1]startdates!$A$2:$A$10,[1]startdates!$B$2:$B$10)</f>
        <v>FMr</v>
      </c>
      <c r="H7041">
        <v>6</v>
      </c>
      <c r="I7041" s="7">
        <v>492.7</v>
      </c>
      <c r="K7041" s="7">
        <v>459.2</v>
      </c>
      <c r="L7041" s="7">
        <v>406.7</v>
      </c>
      <c r="M7041" s="7">
        <v>333</v>
      </c>
      <c r="N7041" s="7">
        <v>266.39999999999998</v>
      </c>
      <c r="O7041" s="7">
        <v>173.1</v>
      </c>
      <c r="P7041" s="7">
        <v>473.8</v>
      </c>
    </row>
    <row r="7042" spans="1:22" x14ac:dyDescent="0.2">
      <c r="A7042">
        <v>7041</v>
      </c>
      <c r="B7042" s="1">
        <v>40939</v>
      </c>
      <c r="C7042" t="s">
        <v>24</v>
      </c>
      <c r="D7042" s="7">
        <v>199</v>
      </c>
      <c r="E7042" s="7">
        <v>30</v>
      </c>
      <c r="F7042" s="7">
        <f t="shared" si="110"/>
        <v>3</v>
      </c>
      <c r="G7042" s="7" t="str">
        <f>LOOKUP(H7042,[1]startdates!$A$2:$A$10,[1]startdates!$B$2:$B$10)</f>
        <v>FMr</v>
      </c>
      <c r="H7042">
        <v>6</v>
      </c>
      <c r="I7042" s="7">
        <v>503.1</v>
      </c>
      <c r="K7042" s="7">
        <v>462.2</v>
      </c>
      <c r="M7042" s="7">
        <v>291.2</v>
      </c>
      <c r="N7042" s="7">
        <v>213.1</v>
      </c>
      <c r="O7042" s="7">
        <v>147.30000000000001</v>
      </c>
    </row>
    <row r="7043" spans="1:22" x14ac:dyDescent="0.2">
      <c r="A7043">
        <v>7042</v>
      </c>
      <c r="B7043" s="1">
        <v>40939</v>
      </c>
      <c r="C7043" t="s">
        <v>24</v>
      </c>
      <c r="D7043" s="7">
        <v>199</v>
      </c>
      <c r="E7043" s="7">
        <v>30</v>
      </c>
      <c r="F7043" s="7">
        <f t="shared" si="110"/>
        <v>3</v>
      </c>
      <c r="G7043" s="7" t="str">
        <f>LOOKUP(H7043,[1]startdates!$A$2:$A$10,[1]startdates!$B$2:$B$10)</f>
        <v>FMr</v>
      </c>
      <c r="H7043">
        <v>6</v>
      </c>
      <c r="I7043" s="7">
        <v>512.79999999999995</v>
      </c>
      <c r="K7043" s="7">
        <v>352.9</v>
      </c>
      <c r="M7043" s="7">
        <v>276.2</v>
      </c>
      <c r="N7043" s="7">
        <v>224</v>
      </c>
      <c r="O7043" s="7">
        <v>173.1</v>
      </c>
    </row>
    <row r="7044" spans="1:22" x14ac:dyDescent="0.2">
      <c r="A7044">
        <v>7043</v>
      </c>
      <c r="B7044" s="1">
        <v>40939</v>
      </c>
      <c r="C7044" t="s">
        <v>24</v>
      </c>
      <c r="D7044" s="7">
        <v>199</v>
      </c>
      <c r="E7044" s="7">
        <v>30</v>
      </c>
      <c r="F7044" s="7">
        <f t="shared" si="110"/>
        <v>3</v>
      </c>
      <c r="G7044" s="7" t="str">
        <f>LOOKUP(H7044,[1]startdates!$A$2:$A$10,[1]startdates!$B$2:$B$10)</f>
        <v>FMr</v>
      </c>
      <c r="H7044">
        <v>6</v>
      </c>
      <c r="I7044" s="7">
        <v>540</v>
      </c>
      <c r="K7044" s="7">
        <v>532.1</v>
      </c>
      <c r="M7044" s="7">
        <v>333.6</v>
      </c>
      <c r="N7044" s="7">
        <v>242.2</v>
      </c>
      <c r="O7044" s="7">
        <v>173.1</v>
      </c>
    </row>
    <row r="7045" spans="1:22" x14ac:dyDescent="0.2">
      <c r="A7045">
        <v>7044</v>
      </c>
      <c r="B7045" s="1">
        <v>40939</v>
      </c>
      <c r="C7045" t="s">
        <v>24</v>
      </c>
      <c r="D7045" s="7">
        <v>199</v>
      </c>
      <c r="E7045" s="7">
        <v>30</v>
      </c>
      <c r="F7045" s="7">
        <f t="shared" si="110"/>
        <v>3</v>
      </c>
      <c r="G7045" s="7" t="str">
        <f>LOOKUP(H7045,[1]startdates!$A$2:$A$10,[1]startdates!$B$2:$B$10)</f>
        <v>FMr</v>
      </c>
      <c r="H7045">
        <v>6</v>
      </c>
      <c r="I7045" s="7">
        <v>607.9</v>
      </c>
      <c r="K7045" s="7">
        <v>463.7</v>
      </c>
      <c r="M7045" s="7">
        <v>345.1</v>
      </c>
      <c r="N7045" s="7">
        <v>225.8</v>
      </c>
      <c r="O7045" s="7">
        <v>178.1</v>
      </c>
    </row>
    <row r="7046" spans="1:22" x14ac:dyDescent="0.2">
      <c r="A7046">
        <v>7045</v>
      </c>
      <c r="B7046" s="1">
        <v>40939</v>
      </c>
      <c r="C7046" t="s">
        <v>24</v>
      </c>
      <c r="D7046" s="7">
        <v>199</v>
      </c>
      <c r="E7046" s="7">
        <v>30</v>
      </c>
      <c r="F7046" s="7">
        <f t="shared" si="110"/>
        <v>3</v>
      </c>
      <c r="G7046" s="7" t="str">
        <f>LOOKUP(H7046,[1]startdates!$A$2:$A$10,[1]startdates!$B$2:$B$10)</f>
        <v>FMr</v>
      </c>
      <c r="H7046">
        <v>6</v>
      </c>
      <c r="I7046" s="7">
        <v>588.5</v>
      </c>
      <c r="M7046" s="7">
        <v>349.5</v>
      </c>
      <c r="N7046" s="7">
        <v>248</v>
      </c>
      <c r="O7046" s="7">
        <v>173.8</v>
      </c>
    </row>
    <row r="7047" spans="1:22" x14ac:dyDescent="0.2">
      <c r="A7047">
        <v>7046</v>
      </c>
      <c r="B7047" s="1">
        <v>40939</v>
      </c>
      <c r="C7047" t="s">
        <v>24</v>
      </c>
      <c r="D7047" s="7">
        <v>199</v>
      </c>
      <c r="E7047" s="7">
        <v>30</v>
      </c>
      <c r="F7047" s="7">
        <f t="shared" si="110"/>
        <v>3</v>
      </c>
      <c r="G7047" s="7" t="str">
        <f>LOOKUP(H7047,[1]startdates!$A$2:$A$10,[1]startdates!$B$2:$B$10)</f>
        <v>FMr</v>
      </c>
      <c r="H7047">
        <v>6</v>
      </c>
      <c r="I7047" s="7">
        <v>618.79999999999995</v>
      </c>
      <c r="N7047" s="7">
        <v>276.60000000000002</v>
      </c>
      <c r="O7047" s="7">
        <v>182.8</v>
      </c>
    </row>
    <row r="7048" spans="1:22" x14ac:dyDescent="0.2">
      <c r="A7048">
        <v>7047</v>
      </c>
      <c r="B7048" s="1">
        <v>40939</v>
      </c>
      <c r="C7048" t="s">
        <v>24</v>
      </c>
      <c r="D7048" s="7">
        <v>199</v>
      </c>
      <c r="E7048" s="7">
        <v>30</v>
      </c>
      <c r="F7048" s="7">
        <f t="shared" si="110"/>
        <v>3</v>
      </c>
      <c r="G7048" s="7" t="str">
        <f>LOOKUP(H7048,[1]startdates!$A$2:$A$10,[1]startdates!$B$2:$B$10)</f>
        <v>FMr</v>
      </c>
      <c r="H7048">
        <v>6</v>
      </c>
      <c r="I7048" s="7">
        <v>660.7</v>
      </c>
      <c r="N7048" s="7">
        <v>206.5</v>
      </c>
      <c r="O7048" s="7">
        <v>184.7</v>
      </c>
    </row>
    <row r="7049" spans="1:22" x14ac:dyDescent="0.2">
      <c r="A7049">
        <v>7048</v>
      </c>
      <c r="B7049" s="1">
        <v>40939</v>
      </c>
      <c r="C7049" t="s">
        <v>24</v>
      </c>
      <c r="D7049" s="7">
        <v>199</v>
      </c>
      <c r="E7049" s="7">
        <v>30</v>
      </c>
      <c r="F7049" s="7">
        <f t="shared" si="110"/>
        <v>3</v>
      </c>
      <c r="G7049" s="7" t="str">
        <f>LOOKUP(H7049,[1]startdates!$A$2:$A$10,[1]startdates!$B$2:$B$10)</f>
        <v>FMr</v>
      </c>
      <c r="H7049">
        <v>7</v>
      </c>
      <c r="I7049" s="7">
        <v>556.70000000000005</v>
      </c>
      <c r="J7049" s="7">
        <v>581.79999999999995</v>
      </c>
      <c r="K7049" s="7">
        <v>497.6</v>
      </c>
      <c r="L7049" s="7">
        <v>470.8</v>
      </c>
      <c r="M7049" s="7">
        <v>401.5</v>
      </c>
      <c r="N7049" s="7">
        <v>240.4</v>
      </c>
      <c r="O7049" s="7">
        <v>196.9</v>
      </c>
      <c r="P7049" s="7">
        <v>497.2</v>
      </c>
      <c r="R7049" s="7">
        <v>271.5</v>
      </c>
      <c r="V7049" s="7">
        <v>491.1</v>
      </c>
    </row>
    <row r="7050" spans="1:22" x14ac:dyDescent="0.2">
      <c r="A7050">
        <v>7049</v>
      </c>
      <c r="B7050" s="1">
        <v>40939</v>
      </c>
      <c r="C7050" t="s">
        <v>24</v>
      </c>
      <c r="D7050" s="7">
        <v>199</v>
      </c>
      <c r="E7050" s="7">
        <v>30</v>
      </c>
      <c r="F7050" s="7">
        <f t="shared" si="110"/>
        <v>3</v>
      </c>
      <c r="G7050" s="7" t="str">
        <f>LOOKUP(H7050,[1]startdates!$A$2:$A$10,[1]startdates!$B$2:$B$10)</f>
        <v>FMr</v>
      </c>
      <c r="H7050">
        <v>7</v>
      </c>
      <c r="I7050" s="7">
        <v>674.2</v>
      </c>
      <c r="J7050" s="7">
        <v>479.7</v>
      </c>
      <c r="K7050" s="7">
        <v>660.5</v>
      </c>
      <c r="L7050" s="7">
        <v>416.1</v>
      </c>
      <c r="M7050" s="7">
        <v>339.4</v>
      </c>
      <c r="N7050" s="7">
        <v>221.7</v>
      </c>
      <c r="O7050" s="7">
        <v>180.6</v>
      </c>
      <c r="P7050" s="7">
        <v>453.6</v>
      </c>
      <c r="R7050" s="7">
        <v>245.2</v>
      </c>
    </row>
    <row r="7051" spans="1:22" x14ac:dyDescent="0.2">
      <c r="A7051">
        <v>7050</v>
      </c>
      <c r="B7051" s="1">
        <v>40939</v>
      </c>
      <c r="C7051" t="s">
        <v>24</v>
      </c>
      <c r="D7051" s="7">
        <v>199</v>
      </c>
      <c r="E7051" s="7">
        <v>30</v>
      </c>
      <c r="F7051" s="7">
        <f t="shared" si="110"/>
        <v>3</v>
      </c>
      <c r="G7051" s="7" t="str">
        <f>LOOKUP(H7051,[1]startdates!$A$2:$A$10,[1]startdates!$B$2:$B$10)</f>
        <v>FMr</v>
      </c>
      <c r="H7051">
        <v>7</v>
      </c>
      <c r="I7051" s="7">
        <v>606.6</v>
      </c>
      <c r="K7051" s="7">
        <v>494.1</v>
      </c>
      <c r="L7051" s="7">
        <v>459.6</v>
      </c>
      <c r="M7051" s="7">
        <v>324.39999999999998</v>
      </c>
      <c r="N7051" s="7">
        <v>279</v>
      </c>
      <c r="O7051" s="7">
        <v>161.69999999999999</v>
      </c>
      <c r="P7051" s="7">
        <v>477</v>
      </c>
      <c r="R7051" s="7">
        <v>329.7</v>
      </c>
    </row>
    <row r="7052" spans="1:22" x14ac:dyDescent="0.2">
      <c r="A7052">
        <v>7051</v>
      </c>
      <c r="B7052" s="1">
        <v>40939</v>
      </c>
      <c r="C7052" t="s">
        <v>24</v>
      </c>
      <c r="D7052" s="7">
        <v>199</v>
      </c>
      <c r="E7052" s="7">
        <v>30</v>
      </c>
      <c r="F7052" s="7">
        <f t="shared" si="110"/>
        <v>3</v>
      </c>
      <c r="G7052" s="7" t="str">
        <f>LOOKUP(H7052,[1]startdates!$A$2:$A$10,[1]startdates!$B$2:$B$10)</f>
        <v>FMr</v>
      </c>
      <c r="H7052">
        <v>7</v>
      </c>
      <c r="I7052" s="7">
        <v>638</v>
      </c>
      <c r="K7052" s="7">
        <v>503.2</v>
      </c>
      <c r="L7052" s="7">
        <v>437.6</v>
      </c>
      <c r="M7052" s="7">
        <v>377.7</v>
      </c>
      <c r="N7052" s="7">
        <v>222.4</v>
      </c>
      <c r="O7052" s="7">
        <v>162.4</v>
      </c>
      <c r="P7052" s="7">
        <v>413.2</v>
      </c>
    </row>
    <row r="7053" spans="1:22" x14ac:dyDescent="0.2">
      <c r="A7053">
        <v>7052</v>
      </c>
      <c r="B7053" s="1">
        <v>40939</v>
      </c>
      <c r="C7053" t="s">
        <v>24</v>
      </c>
      <c r="D7053" s="7">
        <v>199</v>
      </c>
      <c r="E7053" s="7">
        <v>30</v>
      </c>
      <c r="F7053" s="7">
        <f t="shared" si="110"/>
        <v>3</v>
      </c>
      <c r="G7053" s="7" t="str">
        <f>LOOKUP(H7053,[1]startdates!$A$2:$A$10,[1]startdates!$B$2:$B$10)</f>
        <v>FMr</v>
      </c>
      <c r="H7053">
        <v>7</v>
      </c>
      <c r="I7053" s="7">
        <v>621.1</v>
      </c>
      <c r="K7053" s="7">
        <v>524.29999999999995</v>
      </c>
      <c r="L7053" s="7">
        <v>452.9</v>
      </c>
      <c r="M7053" s="7">
        <v>338.7</v>
      </c>
      <c r="O7053" s="7">
        <v>199.1</v>
      </c>
    </row>
    <row r="7054" spans="1:22" x14ac:dyDescent="0.2">
      <c r="A7054">
        <v>7053</v>
      </c>
      <c r="B7054" s="1">
        <v>40939</v>
      </c>
      <c r="C7054" t="s">
        <v>24</v>
      </c>
      <c r="D7054" s="7">
        <v>199</v>
      </c>
      <c r="E7054" s="7">
        <v>30</v>
      </c>
      <c r="F7054" s="7">
        <f t="shared" si="110"/>
        <v>3</v>
      </c>
      <c r="G7054" s="7" t="str">
        <f>LOOKUP(H7054,[1]startdates!$A$2:$A$10,[1]startdates!$B$2:$B$10)</f>
        <v>FMr</v>
      </c>
      <c r="H7054">
        <v>7</v>
      </c>
      <c r="I7054" s="7">
        <v>617.20000000000005</v>
      </c>
      <c r="K7054" s="7">
        <v>460.2</v>
      </c>
      <c r="L7054" s="7">
        <v>423.3</v>
      </c>
      <c r="M7054" s="7">
        <v>372.3</v>
      </c>
      <c r="O7054" s="7">
        <v>165.3</v>
      </c>
    </row>
    <row r="7055" spans="1:22" x14ac:dyDescent="0.2">
      <c r="A7055">
        <v>7054</v>
      </c>
      <c r="B7055" s="1">
        <v>40939</v>
      </c>
      <c r="C7055" t="s">
        <v>24</v>
      </c>
      <c r="D7055" s="7">
        <v>199</v>
      </c>
      <c r="E7055" s="7">
        <v>30</v>
      </c>
      <c r="F7055" s="7">
        <f t="shared" si="110"/>
        <v>3</v>
      </c>
      <c r="G7055" s="7" t="str">
        <f>LOOKUP(H7055,[1]startdates!$A$2:$A$10,[1]startdates!$B$2:$B$10)</f>
        <v>FMr</v>
      </c>
      <c r="H7055">
        <v>7</v>
      </c>
      <c r="I7055" s="7">
        <v>617.5</v>
      </c>
      <c r="K7055" s="7">
        <v>567.1</v>
      </c>
      <c r="L7055" s="7">
        <v>469.1</v>
      </c>
      <c r="O7055" s="7">
        <v>166</v>
      </c>
    </row>
    <row r="7056" spans="1:22" x14ac:dyDescent="0.2">
      <c r="A7056">
        <v>7055</v>
      </c>
      <c r="B7056" s="1">
        <v>40939</v>
      </c>
      <c r="C7056" t="s">
        <v>24</v>
      </c>
      <c r="D7056" s="7">
        <v>199</v>
      </c>
      <c r="E7056" s="7">
        <v>30</v>
      </c>
      <c r="F7056" s="7">
        <f t="shared" si="110"/>
        <v>3</v>
      </c>
      <c r="G7056" s="7" t="str">
        <f>LOOKUP(H7056,[1]startdates!$A$2:$A$10,[1]startdates!$B$2:$B$10)</f>
        <v>FMr</v>
      </c>
      <c r="H7056">
        <v>7</v>
      </c>
      <c r="I7056" s="7">
        <v>659.3</v>
      </c>
      <c r="K7056" s="7">
        <v>476.3</v>
      </c>
      <c r="L7056" s="7">
        <v>421.2</v>
      </c>
      <c r="O7056" s="7">
        <v>150.19999999999999</v>
      </c>
    </row>
    <row r="7057" spans="1:17" x14ac:dyDescent="0.2">
      <c r="A7057">
        <v>7056</v>
      </c>
      <c r="B7057" s="1">
        <v>40939</v>
      </c>
      <c r="C7057" t="s">
        <v>24</v>
      </c>
      <c r="D7057" s="7">
        <v>199</v>
      </c>
      <c r="E7057" s="7">
        <v>30</v>
      </c>
      <c r="F7057" s="7">
        <f t="shared" si="110"/>
        <v>3</v>
      </c>
      <c r="G7057" s="7" t="str">
        <f>LOOKUP(H7057,[1]startdates!$A$2:$A$10,[1]startdates!$B$2:$B$10)</f>
        <v>FMr</v>
      </c>
      <c r="H7057">
        <v>7</v>
      </c>
      <c r="I7057" s="7">
        <v>597.4</v>
      </c>
      <c r="L7057" s="7">
        <v>458.5</v>
      </c>
      <c r="O7057" s="7">
        <v>172.6</v>
      </c>
    </row>
    <row r="7058" spans="1:17" x14ac:dyDescent="0.2">
      <c r="A7058">
        <v>7057</v>
      </c>
      <c r="B7058" s="1">
        <v>40939</v>
      </c>
      <c r="C7058" t="s">
        <v>24</v>
      </c>
      <c r="D7058" s="7">
        <v>199</v>
      </c>
      <c r="E7058" s="7">
        <v>30</v>
      </c>
      <c r="F7058" s="7">
        <f t="shared" si="110"/>
        <v>3</v>
      </c>
      <c r="G7058" s="7" t="str">
        <f>LOOKUP(H7058,[1]startdates!$A$2:$A$10,[1]startdates!$B$2:$B$10)</f>
        <v>FMr</v>
      </c>
      <c r="H7058">
        <v>7</v>
      </c>
      <c r="I7058" s="7">
        <v>613.6</v>
      </c>
      <c r="O7058" s="7">
        <v>166.7</v>
      </c>
    </row>
    <row r="7059" spans="1:17" x14ac:dyDescent="0.2">
      <c r="A7059">
        <v>7058</v>
      </c>
      <c r="B7059" s="1">
        <v>40939</v>
      </c>
      <c r="C7059" t="s">
        <v>24</v>
      </c>
      <c r="D7059" s="7">
        <v>199</v>
      </c>
      <c r="E7059" s="7">
        <v>30</v>
      </c>
      <c r="F7059" s="7">
        <f t="shared" si="110"/>
        <v>3</v>
      </c>
      <c r="G7059" s="7" t="str">
        <f>LOOKUP(H7059,[1]startdates!$A$2:$A$10,[1]startdates!$B$2:$B$10)</f>
        <v>FMr</v>
      </c>
      <c r="H7059">
        <v>7</v>
      </c>
      <c r="I7059" s="7">
        <v>571</v>
      </c>
    </row>
    <row r="7060" spans="1:17" x14ac:dyDescent="0.2">
      <c r="A7060">
        <v>7059</v>
      </c>
      <c r="B7060" s="1">
        <v>40939</v>
      </c>
      <c r="C7060" t="s">
        <v>24</v>
      </c>
      <c r="D7060" s="7">
        <v>199</v>
      </c>
      <c r="E7060" s="7">
        <v>30</v>
      </c>
      <c r="F7060" s="7">
        <f t="shared" si="110"/>
        <v>3</v>
      </c>
      <c r="G7060" s="7" t="str">
        <f>LOOKUP(H7060,[1]startdates!$A$2:$A$10,[1]startdates!$B$2:$B$10)</f>
        <v>C</v>
      </c>
      <c r="H7060">
        <v>8</v>
      </c>
      <c r="I7060" s="7">
        <v>649.5</v>
      </c>
      <c r="J7060" s="7">
        <v>515.9</v>
      </c>
      <c r="K7060" s="7">
        <v>478.9</v>
      </c>
      <c r="L7060" s="7">
        <v>456</v>
      </c>
      <c r="M7060" s="7">
        <v>387</v>
      </c>
      <c r="N7060" s="7">
        <v>211.3</v>
      </c>
      <c r="O7060" s="7">
        <v>171.5</v>
      </c>
      <c r="P7060" s="7">
        <v>462.6</v>
      </c>
    </row>
    <row r="7061" spans="1:17" x14ac:dyDescent="0.2">
      <c r="A7061">
        <v>7060</v>
      </c>
      <c r="B7061" s="1">
        <v>40939</v>
      </c>
      <c r="C7061" t="s">
        <v>24</v>
      </c>
      <c r="D7061" s="7">
        <v>199</v>
      </c>
      <c r="E7061" s="7">
        <v>30</v>
      </c>
      <c r="F7061" s="7">
        <f t="shared" si="110"/>
        <v>3</v>
      </c>
      <c r="G7061" s="7" t="str">
        <f>LOOKUP(H7061,[1]startdates!$A$2:$A$10,[1]startdates!$B$2:$B$10)</f>
        <v>C</v>
      </c>
      <c r="H7061">
        <v>8</v>
      </c>
      <c r="I7061" s="7">
        <v>699.6</v>
      </c>
      <c r="J7061" s="7">
        <v>460.7</v>
      </c>
      <c r="K7061" s="7">
        <v>620.70000000000005</v>
      </c>
      <c r="L7061" s="7">
        <v>446.7</v>
      </c>
      <c r="M7061" s="7">
        <v>323.39999999999998</v>
      </c>
      <c r="N7061" s="7">
        <v>243.8</v>
      </c>
      <c r="O7061" s="7">
        <v>167.7</v>
      </c>
      <c r="P7061" s="7">
        <v>456</v>
      </c>
    </row>
    <row r="7062" spans="1:17" x14ac:dyDescent="0.2">
      <c r="A7062">
        <v>7061</v>
      </c>
      <c r="B7062" s="1">
        <v>40939</v>
      </c>
      <c r="C7062" t="s">
        <v>24</v>
      </c>
      <c r="D7062" s="7">
        <v>199</v>
      </c>
      <c r="E7062" s="7">
        <v>30</v>
      </c>
      <c r="F7062" s="7">
        <f t="shared" si="110"/>
        <v>3</v>
      </c>
      <c r="G7062" s="7" t="str">
        <f>LOOKUP(H7062,[1]startdates!$A$2:$A$10,[1]startdates!$B$2:$B$10)</f>
        <v>C</v>
      </c>
      <c r="H7062">
        <v>8</v>
      </c>
      <c r="I7062" s="7">
        <v>673</v>
      </c>
      <c r="J7062" s="7">
        <v>469.9</v>
      </c>
      <c r="K7062" s="7">
        <v>507.7</v>
      </c>
      <c r="L7062" s="7">
        <v>421.9</v>
      </c>
      <c r="M7062" s="7">
        <v>357.9</v>
      </c>
      <c r="N7062" s="7">
        <v>244.1</v>
      </c>
      <c r="O7062" s="7">
        <v>167.9</v>
      </c>
    </row>
    <row r="7063" spans="1:17" x14ac:dyDescent="0.2">
      <c r="A7063">
        <v>7062</v>
      </c>
      <c r="B7063" s="1">
        <v>40939</v>
      </c>
      <c r="C7063" t="s">
        <v>24</v>
      </c>
      <c r="D7063" s="7">
        <v>199</v>
      </c>
      <c r="E7063" s="7">
        <v>30</v>
      </c>
      <c r="F7063" s="7">
        <f t="shared" si="110"/>
        <v>3</v>
      </c>
      <c r="G7063" s="7" t="str">
        <f>LOOKUP(H7063,[1]startdates!$A$2:$A$10,[1]startdates!$B$2:$B$10)</f>
        <v>C</v>
      </c>
      <c r="H7063">
        <v>8</v>
      </c>
      <c r="I7063" s="7">
        <v>630.6</v>
      </c>
      <c r="J7063" s="7">
        <v>500.6</v>
      </c>
      <c r="K7063" s="7">
        <v>541.79999999999995</v>
      </c>
      <c r="L7063" s="7">
        <v>440</v>
      </c>
      <c r="M7063" s="7">
        <v>348.4</v>
      </c>
      <c r="N7063" s="7">
        <v>217.5</v>
      </c>
      <c r="O7063" s="7">
        <v>165.5</v>
      </c>
    </row>
    <row r="7064" spans="1:17" x14ac:dyDescent="0.2">
      <c r="A7064">
        <v>7063</v>
      </c>
      <c r="B7064" s="1">
        <v>40939</v>
      </c>
      <c r="C7064" t="s">
        <v>24</v>
      </c>
      <c r="D7064" s="7">
        <v>199</v>
      </c>
      <c r="E7064" s="7">
        <v>30</v>
      </c>
      <c r="F7064" s="7">
        <f t="shared" si="110"/>
        <v>3</v>
      </c>
      <c r="G7064" s="7" t="str">
        <f>LOOKUP(H7064,[1]startdates!$A$2:$A$10,[1]startdates!$B$2:$B$10)</f>
        <v>C</v>
      </c>
      <c r="H7064">
        <v>8</v>
      </c>
      <c r="I7064" s="7">
        <v>668.5</v>
      </c>
      <c r="J7064" s="7">
        <v>467.7</v>
      </c>
      <c r="K7064" s="7">
        <v>584</v>
      </c>
      <c r="M7064" s="7">
        <v>343</v>
      </c>
      <c r="N7064" s="7">
        <v>234.5</v>
      </c>
      <c r="O7064" s="7">
        <v>176.2</v>
      </c>
    </row>
    <row r="7065" spans="1:17" x14ac:dyDescent="0.2">
      <c r="A7065">
        <v>7064</v>
      </c>
      <c r="B7065" s="1">
        <v>40939</v>
      </c>
      <c r="C7065" t="s">
        <v>24</v>
      </c>
      <c r="D7065" s="7">
        <v>199</v>
      </c>
      <c r="E7065" s="7">
        <v>30</v>
      </c>
      <c r="F7065" s="7">
        <f t="shared" si="110"/>
        <v>3</v>
      </c>
      <c r="G7065" s="7" t="str">
        <f>LOOKUP(H7065,[1]startdates!$A$2:$A$10,[1]startdates!$B$2:$B$10)</f>
        <v>C</v>
      </c>
      <c r="H7065">
        <v>8</v>
      </c>
      <c r="I7065" s="7">
        <v>562.9</v>
      </c>
      <c r="J7065" s="7">
        <v>561.6</v>
      </c>
      <c r="M7065" s="7">
        <v>312.39999999999998</v>
      </c>
      <c r="N7065" s="7">
        <v>253.4</v>
      </c>
      <c r="O7065" s="7">
        <v>178.9</v>
      </c>
    </row>
    <row r="7066" spans="1:17" x14ac:dyDescent="0.2">
      <c r="A7066">
        <v>7065</v>
      </c>
      <c r="B7066" s="1">
        <v>40939</v>
      </c>
      <c r="C7066" t="s">
        <v>24</v>
      </c>
      <c r="D7066" s="7">
        <v>199</v>
      </c>
      <c r="E7066" s="7">
        <v>30</v>
      </c>
      <c r="F7066" s="7">
        <f t="shared" si="110"/>
        <v>3</v>
      </c>
      <c r="G7066" s="7" t="str">
        <f>LOOKUP(H7066,[1]startdates!$A$2:$A$10,[1]startdates!$B$2:$B$10)</f>
        <v>C</v>
      </c>
      <c r="H7066">
        <v>8</v>
      </c>
      <c r="I7066" s="7">
        <v>656.6</v>
      </c>
      <c r="J7066" s="7">
        <v>513.4</v>
      </c>
      <c r="M7066" s="7">
        <v>253.9</v>
      </c>
      <c r="N7066" s="7">
        <v>217.3</v>
      </c>
      <c r="O7066" s="7">
        <v>176.3</v>
      </c>
    </row>
    <row r="7067" spans="1:17" x14ac:dyDescent="0.2">
      <c r="A7067">
        <v>7066</v>
      </c>
      <c r="B7067" s="1">
        <v>40939</v>
      </c>
      <c r="C7067" t="s">
        <v>24</v>
      </c>
      <c r="D7067" s="7">
        <v>199</v>
      </c>
      <c r="E7067" s="7">
        <v>30</v>
      </c>
      <c r="F7067" s="7">
        <f t="shared" si="110"/>
        <v>3</v>
      </c>
      <c r="G7067" s="7" t="str">
        <f>LOOKUP(H7067,[1]startdates!$A$2:$A$10,[1]startdates!$B$2:$B$10)</f>
        <v>C</v>
      </c>
      <c r="H7067">
        <v>8</v>
      </c>
      <c r="I7067" s="7">
        <v>661.7</v>
      </c>
      <c r="M7067" s="7">
        <v>308.3</v>
      </c>
      <c r="N7067" s="7">
        <v>186.9</v>
      </c>
      <c r="O7067" s="7">
        <v>167.7</v>
      </c>
    </row>
    <row r="7068" spans="1:17" x14ac:dyDescent="0.2">
      <c r="A7068">
        <v>7067</v>
      </c>
      <c r="B7068" s="1">
        <v>40939</v>
      </c>
      <c r="C7068" t="s">
        <v>24</v>
      </c>
      <c r="D7068" s="7">
        <v>199</v>
      </c>
      <c r="E7068" s="7">
        <v>30</v>
      </c>
      <c r="F7068" s="7">
        <f t="shared" si="110"/>
        <v>3</v>
      </c>
      <c r="G7068" s="7" t="str">
        <f>LOOKUP(H7068,[1]startdates!$A$2:$A$10,[1]startdates!$B$2:$B$10)</f>
        <v>C</v>
      </c>
      <c r="H7068">
        <v>8</v>
      </c>
      <c r="I7068" s="7">
        <v>664.1</v>
      </c>
      <c r="M7068" s="7">
        <v>352.4</v>
      </c>
      <c r="N7068" s="7">
        <v>210.1</v>
      </c>
      <c r="O7068" s="7">
        <v>165.5</v>
      </c>
    </row>
    <row r="7069" spans="1:17" x14ac:dyDescent="0.2">
      <c r="A7069">
        <v>7068</v>
      </c>
      <c r="B7069" s="1">
        <v>40939</v>
      </c>
      <c r="C7069" t="s">
        <v>24</v>
      </c>
      <c r="D7069" s="7">
        <v>199</v>
      </c>
      <c r="E7069" s="7">
        <v>30</v>
      </c>
      <c r="F7069" s="7">
        <f t="shared" si="110"/>
        <v>3</v>
      </c>
      <c r="G7069" s="7" t="str">
        <f>LOOKUP(H7069,[1]startdates!$A$2:$A$10,[1]startdates!$B$2:$B$10)</f>
        <v>C</v>
      </c>
      <c r="H7069">
        <v>8</v>
      </c>
      <c r="I7069" s="7">
        <v>545.6</v>
      </c>
    </row>
    <row r="7070" spans="1:17" x14ac:dyDescent="0.2">
      <c r="A7070">
        <v>7069</v>
      </c>
      <c r="B7070" s="1">
        <v>40939</v>
      </c>
      <c r="C7070" t="s">
        <v>28</v>
      </c>
      <c r="D7070" s="7">
        <v>199</v>
      </c>
      <c r="E7070" s="7">
        <v>30</v>
      </c>
      <c r="F7070" s="7">
        <f t="shared" si="110"/>
        <v>3</v>
      </c>
      <c r="G7070" s="7" t="str">
        <f>LOOKUP(H7070,[1]startdates!$A$2:$A$10,[1]startdates!$B$2:$B$10)</f>
        <v>FMr</v>
      </c>
      <c r="H7070">
        <v>9</v>
      </c>
      <c r="I7070" s="7">
        <v>608.20000000000005</v>
      </c>
      <c r="K7070" s="7">
        <v>519.20000000000005</v>
      </c>
      <c r="L7070" s="7">
        <v>457.5</v>
      </c>
      <c r="M7070" s="7">
        <v>337.1</v>
      </c>
      <c r="N7070" s="7">
        <v>234.8</v>
      </c>
      <c r="O7070" s="7">
        <v>173</v>
      </c>
      <c r="P7070" s="7">
        <v>445.7</v>
      </c>
      <c r="Q7070" s="7">
        <v>346.3</v>
      </c>
    </row>
    <row r="7071" spans="1:17" x14ac:dyDescent="0.2">
      <c r="A7071">
        <v>7070</v>
      </c>
      <c r="B7071" s="1">
        <v>40939</v>
      </c>
      <c r="C7071" t="s">
        <v>28</v>
      </c>
      <c r="D7071" s="7">
        <v>199</v>
      </c>
      <c r="E7071" s="7">
        <v>30</v>
      </c>
      <c r="F7071" s="7">
        <f t="shared" si="110"/>
        <v>3</v>
      </c>
      <c r="G7071" s="7" t="str">
        <f>LOOKUP(H7071,[1]startdates!$A$2:$A$10,[1]startdates!$B$2:$B$10)</f>
        <v>FMr</v>
      </c>
      <c r="H7071">
        <v>9</v>
      </c>
      <c r="I7071" s="7">
        <v>544.4</v>
      </c>
      <c r="K7071" s="7">
        <v>480.9</v>
      </c>
      <c r="L7071" s="7">
        <v>414</v>
      </c>
      <c r="M7071" s="7">
        <v>319.60000000000002</v>
      </c>
      <c r="N7071" s="7">
        <v>213.8</v>
      </c>
      <c r="O7071" s="7">
        <v>155.4</v>
      </c>
      <c r="P7071" s="7">
        <v>429.9</v>
      </c>
      <c r="Q7071" s="7">
        <v>373.2</v>
      </c>
    </row>
    <row r="7072" spans="1:17" x14ac:dyDescent="0.2">
      <c r="A7072">
        <v>7071</v>
      </c>
      <c r="B7072" s="1">
        <v>40939</v>
      </c>
      <c r="C7072" t="s">
        <v>28</v>
      </c>
      <c r="D7072" s="7">
        <v>199</v>
      </c>
      <c r="E7072" s="7">
        <v>30</v>
      </c>
      <c r="F7072" s="7">
        <f t="shared" si="110"/>
        <v>3</v>
      </c>
      <c r="G7072" s="7" t="str">
        <f>LOOKUP(H7072,[1]startdates!$A$2:$A$10,[1]startdates!$B$2:$B$10)</f>
        <v>FMr</v>
      </c>
      <c r="H7072">
        <v>9</v>
      </c>
      <c r="I7072" s="7">
        <v>684.5</v>
      </c>
      <c r="K7072" s="7">
        <v>540.20000000000005</v>
      </c>
      <c r="L7072" s="7">
        <v>442.2</v>
      </c>
      <c r="M7072" s="7">
        <v>339</v>
      </c>
      <c r="N7072" s="7">
        <v>168.3</v>
      </c>
      <c r="O7072" s="7">
        <v>173.8</v>
      </c>
      <c r="P7072" s="7">
        <v>430.8</v>
      </c>
      <c r="Q7072" s="7">
        <v>317.8</v>
      </c>
    </row>
    <row r="7073" spans="1:18" x14ac:dyDescent="0.2">
      <c r="A7073">
        <v>7072</v>
      </c>
      <c r="B7073" s="1">
        <v>40939</v>
      </c>
      <c r="C7073" t="s">
        <v>28</v>
      </c>
      <c r="D7073" s="7">
        <v>199</v>
      </c>
      <c r="E7073" s="7">
        <v>30</v>
      </c>
      <c r="F7073" s="7">
        <f t="shared" si="110"/>
        <v>3</v>
      </c>
      <c r="G7073" s="7" t="str">
        <f>LOOKUP(H7073,[1]startdates!$A$2:$A$10,[1]startdates!$B$2:$B$10)</f>
        <v>FMr</v>
      </c>
      <c r="H7073">
        <v>9</v>
      </c>
      <c r="I7073" s="7">
        <v>476.8</v>
      </c>
      <c r="K7073" s="7">
        <v>453.5</v>
      </c>
      <c r="L7073" s="7">
        <v>401.2</v>
      </c>
      <c r="M7073" s="7">
        <v>346.3</v>
      </c>
      <c r="N7073" s="7">
        <v>209.9</v>
      </c>
      <c r="O7073" s="7">
        <v>167.3</v>
      </c>
    </row>
    <row r="7074" spans="1:18" x14ac:dyDescent="0.2">
      <c r="A7074">
        <v>7073</v>
      </c>
      <c r="B7074" s="1">
        <v>40939</v>
      </c>
      <c r="C7074" t="s">
        <v>28</v>
      </c>
      <c r="D7074" s="7">
        <v>199</v>
      </c>
      <c r="E7074" s="7">
        <v>30</v>
      </c>
      <c r="F7074" s="7">
        <f t="shared" si="110"/>
        <v>3</v>
      </c>
      <c r="G7074" s="7" t="str">
        <f>LOOKUP(H7074,[1]startdates!$A$2:$A$10,[1]startdates!$B$2:$B$10)</f>
        <v>FMr</v>
      </c>
      <c r="H7074">
        <v>9</v>
      </c>
      <c r="I7074" s="7">
        <v>604.5</v>
      </c>
      <c r="K7074" s="7">
        <v>482.4</v>
      </c>
      <c r="M7074" s="7">
        <v>381.4</v>
      </c>
      <c r="N7074" s="7">
        <v>218.7</v>
      </c>
      <c r="O7074" s="7">
        <v>184.1</v>
      </c>
    </row>
    <row r="7075" spans="1:18" x14ac:dyDescent="0.2">
      <c r="A7075">
        <v>7074</v>
      </c>
      <c r="B7075" s="1">
        <v>40939</v>
      </c>
      <c r="C7075" t="s">
        <v>28</v>
      </c>
      <c r="D7075" s="7">
        <v>199</v>
      </c>
      <c r="E7075" s="7">
        <v>30</v>
      </c>
      <c r="F7075" s="7">
        <f t="shared" si="110"/>
        <v>3</v>
      </c>
      <c r="G7075" s="7" t="str">
        <f>LOOKUP(H7075,[1]startdates!$A$2:$A$10,[1]startdates!$B$2:$B$10)</f>
        <v>FMr</v>
      </c>
      <c r="H7075">
        <v>9</v>
      </c>
      <c r="I7075" s="7">
        <v>656.1</v>
      </c>
      <c r="K7075" s="7">
        <v>492</v>
      </c>
      <c r="M7075" s="7">
        <v>302.10000000000002</v>
      </c>
      <c r="N7075" s="7">
        <v>206.5</v>
      </c>
      <c r="O7075" s="7">
        <v>179.5</v>
      </c>
    </row>
    <row r="7076" spans="1:18" x14ac:dyDescent="0.2">
      <c r="A7076">
        <v>7075</v>
      </c>
      <c r="B7076" s="1">
        <v>40939</v>
      </c>
      <c r="C7076" t="s">
        <v>28</v>
      </c>
      <c r="D7076" s="7">
        <v>199</v>
      </c>
      <c r="E7076" s="7">
        <v>30</v>
      </c>
      <c r="F7076" s="7">
        <f t="shared" si="110"/>
        <v>3</v>
      </c>
      <c r="G7076" s="7" t="str">
        <f>LOOKUP(H7076,[1]startdates!$A$2:$A$10,[1]startdates!$B$2:$B$10)</f>
        <v>FMr</v>
      </c>
      <c r="H7076">
        <v>9</v>
      </c>
      <c r="I7076" s="7">
        <v>600.70000000000005</v>
      </c>
      <c r="K7076" s="7">
        <v>493.2</v>
      </c>
      <c r="M7076" s="7">
        <v>338.4</v>
      </c>
      <c r="N7076" s="7">
        <v>210.7</v>
      </c>
      <c r="O7076" s="7">
        <v>167.9</v>
      </c>
    </row>
    <row r="7077" spans="1:18" x14ac:dyDescent="0.2">
      <c r="A7077">
        <v>7076</v>
      </c>
      <c r="B7077" s="1">
        <v>40939</v>
      </c>
      <c r="C7077" t="s">
        <v>28</v>
      </c>
      <c r="D7077" s="7">
        <v>199</v>
      </c>
      <c r="E7077" s="7">
        <v>30</v>
      </c>
      <c r="F7077" s="7">
        <f t="shared" si="110"/>
        <v>3</v>
      </c>
      <c r="G7077" s="7" t="str">
        <f>LOOKUP(H7077,[1]startdates!$A$2:$A$10,[1]startdates!$B$2:$B$10)</f>
        <v>FMr</v>
      </c>
      <c r="H7077">
        <v>9</v>
      </c>
      <c r="I7077" s="7">
        <v>594.20000000000005</v>
      </c>
      <c r="K7077" s="7">
        <v>571.1</v>
      </c>
      <c r="M7077" s="7">
        <v>352.4</v>
      </c>
      <c r="N7077" s="7">
        <v>226.7</v>
      </c>
      <c r="O7077" s="7">
        <v>147</v>
      </c>
    </row>
    <row r="7078" spans="1:18" x14ac:dyDescent="0.2">
      <c r="A7078">
        <v>7077</v>
      </c>
      <c r="B7078" s="1">
        <v>40939</v>
      </c>
      <c r="C7078" t="s">
        <v>28</v>
      </c>
      <c r="D7078" s="7">
        <v>199</v>
      </c>
      <c r="E7078" s="7">
        <v>30</v>
      </c>
      <c r="F7078" s="7">
        <f t="shared" si="110"/>
        <v>3</v>
      </c>
      <c r="G7078" s="7" t="str">
        <f>LOOKUP(H7078,[1]startdates!$A$2:$A$10,[1]startdates!$B$2:$B$10)</f>
        <v>FMr</v>
      </c>
      <c r="H7078">
        <v>9</v>
      </c>
      <c r="I7078" s="7">
        <v>664.3</v>
      </c>
      <c r="K7078" s="7">
        <v>482</v>
      </c>
      <c r="M7078" s="7">
        <v>351.1</v>
      </c>
      <c r="N7078" s="7">
        <v>242.1</v>
      </c>
      <c r="O7078" s="7">
        <v>177.9</v>
      </c>
    </row>
    <row r="7079" spans="1:18" x14ac:dyDescent="0.2">
      <c r="A7079">
        <v>7078</v>
      </c>
      <c r="B7079" s="1">
        <v>40939</v>
      </c>
      <c r="C7079" t="s">
        <v>28</v>
      </c>
      <c r="D7079" s="7">
        <v>199</v>
      </c>
      <c r="E7079" s="7">
        <v>30</v>
      </c>
      <c r="F7079" s="7">
        <f t="shared" si="110"/>
        <v>3</v>
      </c>
      <c r="G7079" s="7" t="str">
        <f>LOOKUP(H7079,[1]startdates!$A$2:$A$10,[1]startdates!$B$2:$B$10)</f>
        <v>FMr</v>
      </c>
      <c r="H7079">
        <v>9</v>
      </c>
      <c r="I7079" s="7">
        <v>589.5</v>
      </c>
      <c r="K7079" s="7">
        <v>438.1</v>
      </c>
      <c r="N7079" s="7">
        <v>268</v>
      </c>
    </row>
    <row r="7080" spans="1:18" x14ac:dyDescent="0.2">
      <c r="A7080">
        <v>7079</v>
      </c>
      <c r="B7080" s="1">
        <v>40942</v>
      </c>
      <c r="C7080" t="s">
        <v>24</v>
      </c>
      <c r="D7080" s="7">
        <v>201</v>
      </c>
      <c r="E7080" s="7">
        <v>30</v>
      </c>
      <c r="F7080" s="7">
        <f t="shared" si="110"/>
        <v>6</v>
      </c>
      <c r="G7080" s="7" t="str">
        <f>LOOKUP(H7080,[1]startdates!$A$2:$A$10,[1]startdates!$B$2:$B$10)</f>
        <v>SMr</v>
      </c>
      <c r="H7080">
        <v>1</v>
      </c>
      <c r="I7080" s="7">
        <v>598.4</v>
      </c>
      <c r="J7080" s="7">
        <v>450.7</v>
      </c>
      <c r="K7080" s="7">
        <v>566.20000000000005</v>
      </c>
      <c r="L7080" s="7">
        <v>464.8</v>
      </c>
      <c r="M7080" s="7">
        <v>383.3</v>
      </c>
      <c r="N7080" s="7">
        <v>223.3</v>
      </c>
      <c r="O7080" s="7">
        <v>185.7</v>
      </c>
      <c r="Q7080" s="7">
        <v>346.6</v>
      </c>
      <c r="R7080" s="7">
        <v>243</v>
      </c>
    </row>
    <row r="7081" spans="1:18" x14ac:dyDescent="0.2">
      <c r="A7081">
        <v>7080</v>
      </c>
      <c r="B7081" s="1">
        <v>40942</v>
      </c>
      <c r="C7081" t="s">
        <v>24</v>
      </c>
      <c r="D7081" s="7">
        <v>201</v>
      </c>
      <c r="E7081" s="7">
        <v>30</v>
      </c>
      <c r="F7081" s="7">
        <f t="shared" ref="F7081:F7144" si="111">WEEKDAY(B7081)</f>
        <v>6</v>
      </c>
      <c r="G7081" s="7" t="str">
        <f>LOOKUP(H7081,[1]startdates!$A$2:$A$10,[1]startdates!$B$2:$B$10)</f>
        <v>SMr</v>
      </c>
      <c r="H7081">
        <v>1</v>
      </c>
      <c r="I7081" s="7">
        <v>653.5</v>
      </c>
      <c r="J7081" s="7">
        <v>498.9</v>
      </c>
      <c r="K7081" s="7">
        <v>584.79999999999995</v>
      </c>
      <c r="L7081" s="7">
        <v>406.4</v>
      </c>
      <c r="M7081" s="7">
        <v>387</v>
      </c>
      <c r="N7081" s="7">
        <v>176.9</v>
      </c>
      <c r="O7081" s="7">
        <v>159.80000000000001</v>
      </c>
    </row>
    <row r="7082" spans="1:18" x14ac:dyDescent="0.2">
      <c r="A7082">
        <v>7081</v>
      </c>
      <c r="B7082" s="1">
        <v>40942</v>
      </c>
      <c r="C7082" t="s">
        <v>24</v>
      </c>
      <c r="D7082" s="7">
        <v>201</v>
      </c>
      <c r="E7082" s="7">
        <v>30</v>
      </c>
      <c r="F7082" s="7">
        <f t="shared" si="111"/>
        <v>6</v>
      </c>
      <c r="G7082" s="7" t="str">
        <f>LOOKUP(H7082,[1]startdates!$A$2:$A$10,[1]startdates!$B$2:$B$10)</f>
        <v>SMr</v>
      </c>
      <c r="H7082">
        <v>1</v>
      </c>
      <c r="I7082" s="7">
        <v>570.1</v>
      </c>
      <c r="J7082" s="7">
        <v>412.9</v>
      </c>
      <c r="K7082" s="7">
        <v>615</v>
      </c>
      <c r="M7082" s="7">
        <v>327.9</v>
      </c>
      <c r="N7082" s="7">
        <v>232.7</v>
      </c>
      <c r="O7082" s="7">
        <v>167</v>
      </c>
    </row>
    <row r="7083" spans="1:18" x14ac:dyDescent="0.2">
      <c r="A7083">
        <v>7082</v>
      </c>
      <c r="B7083" s="1">
        <v>40942</v>
      </c>
      <c r="C7083" t="s">
        <v>24</v>
      </c>
      <c r="D7083" s="7">
        <v>201</v>
      </c>
      <c r="E7083" s="7">
        <v>30</v>
      </c>
      <c r="F7083" s="7">
        <f t="shared" si="111"/>
        <v>6</v>
      </c>
      <c r="G7083" s="7" t="str">
        <f>LOOKUP(H7083,[1]startdates!$A$2:$A$10,[1]startdates!$B$2:$B$10)</f>
        <v>SMr</v>
      </c>
      <c r="H7083">
        <v>1</v>
      </c>
      <c r="I7083" s="7">
        <v>644</v>
      </c>
      <c r="J7083" s="7">
        <v>522.79999999999995</v>
      </c>
      <c r="M7083" s="7">
        <v>394.2</v>
      </c>
      <c r="N7083" s="7">
        <v>192.9</v>
      </c>
      <c r="O7083" s="7">
        <v>169.5</v>
      </c>
    </row>
    <row r="7084" spans="1:18" x14ac:dyDescent="0.2">
      <c r="A7084">
        <v>7083</v>
      </c>
      <c r="B7084" s="1">
        <v>40942</v>
      </c>
      <c r="C7084" t="s">
        <v>24</v>
      </c>
      <c r="D7084" s="7">
        <v>201</v>
      </c>
      <c r="E7084" s="7">
        <v>30</v>
      </c>
      <c r="F7084" s="7">
        <f t="shared" si="111"/>
        <v>6</v>
      </c>
      <c r="G7084" s="7" t="str">
        <f>LOOKUP(H7084,[1]startdates!$A$2:$A$10,[1]startdates!$B$2:$B$10)</f>
        <v>SMr</v>
      </c>
      <c r="H7084">
        <v>1</v>
      </c>
      <c r="I7084" s="7">
        <v>646</v>
      </c>
      <c r="J7084" s="7">
        <v>529</v>
      </c>
      <c r="M7084" s="7">
        <v>346</v>
      </c>
      <c r="N7084" s="7">
        <v>211.7</v>
      </c>
      <c r="O7084" s="7">
        <v>171.2</v>
      </c>
    </row>
    <row r="7085" spans="1:18" x14ac:dyDescent="0.2">
      <c r="A7085">
        <v>7084</v>
      </c>
      <c r="B7085" s="1">
        <v>40942</v>
      </c>
      <c r="C7085" t="s">
        <v>24</v>
      </c>
      <c r="D7085" s="7">
        <v>201</v>
      </c>
      <c r="E7085" s="7">
        <v>30</v>
      </c>
      <c r="F7085" s="7">
        <f t="shared" si="111"/>
        <v>6</v>
      </c>
      <c r="G7085" s="7" t="str">
        <f>LOOKUP(H7085,[1]startdates!$A$2:$A$10,[1]startdates!$B$2:$B$10)</f>
        <v>SMr</v>
      </c>
      <c r="H7085">
        <v>1</v>
      </c>
      <c r="I7085" s="7">
        <v>557.6</v>
      </c>
      <c r="N7085" s="7">
        <v>256</v>
      </c>
      <c r="O7085" s="7">
        <v>171.3</v>
      </c>
    </row>
    <row r="7086" spans="1:18" x14ac:dyDescent="0.2">
      <c r="A7086">
        <v>7085</v>
      </c>
      <c r="B7086" s="1">
        <v>40942</v>
      </c>
      <c r="C7086" t="s">
        <v>24</v>
      </c>
      <c r="D7086" s="7">
        <v>201</v>
      </c>
      <c r="E7086" s="7">
        <v>30</v>
      </c>
      <c r="F7086" s="7">
        <f t="shared" si="111"/>
        <v>6</v>
      </c>
      <c r="G7086" s="7" t="str">
        <f>LOOKUP(H7086,[1]startdates!$A$2:$A$10,[1]startdates!$B$2:$B$10)</f>
        <v>SMr</v>
      </c>
      <c r="H7086">
        <v>1</v>
      </c>
      <c r="I7086" s="7">
        <v>595.79999999999995</v>
      </c>
      <c r="N7086" s="7">
        <v>196</v>
      </c>
      <c r="O7086" s="7">
        <v>206.5</v>
      </c>
    </row>
    <row r="7087" spans="1:18" x14ac:dyDescent="0.2">
      <c r="A7087">
        <v>7086</v>
      </c>
      <c r="B7087" s="1">
        <v>40942</v>
      </c>
      <c r="C7087" t="s">
        <v>24</v>
      </c>
      <c r="D7087" s="7">
        <v>201</v>
      </c>
      <c r="E7087" s="7">
        <v>30</v>
      </c>
      <c r="F7087" s="7">
        <f t="shared" si="111"/>
        <v>6</v>
      </c>
      <c r="G7087" s="7" t="str">
        <f>LOOKUP(H7087,[1]startdates!$A$2:$A$10,[1]startdates!$B$2:$B$10)</f>
        <v>SMr</v>
      </c>
      <c r="H7087">
        <v>1</v>
      </c>
      <c r="I7087" s="7">
        <v>617.5</v>
      </c>
      <c r="N7087" s="7">
        <v>232.2</v>
      </c>
      <c r="O7087" s="7">
        <v>191.3</v>
      </c>
    </row>
    <row r="7088" spans="1:18" x14ac:dyDescent="0.2">
      <c r="A7088">
        <v>7087</v>
      </c>
      <c r="B7088" s="1">
        <v>40942</v>
      </c>
      <c r="C7088" t="s">
        <v>24</v>
      </c>
      <c r="D7088" s="7">
        <v>201</v>
      </c>
      <c r="E7088" s="7">
        <v>30</v>
      </c>
      <c r="F7088" s="7">
        <f t="shared" si="111"/>
        <v>6</v>
      </c>
      <c r="G7088" s="7" t="str">
        <f>LOOKUP(H7088,[1]startdates!$A$2:$A$10,[1]startdates!$B$2:$B$10)</f>
        <v>SMr</v>
      </c>
      <c r="H7088">
        <v>1</v>
      </c>
      <c r="I7088" s="7">
        <v>576.1</v>
      </c>
      <c r="N7088" s="7">
        <v>187.8</v>
      </c>
      <c r="O7088" s="7">
        <v>146</v>
      </c>
    </row>
    <row r="7089" spans="1:17" x14ac:dyDescent="0.2">
      <c r="A7089">
        <v>7088</v>
      </c>
      <c r="B7089" s="1">
        <v>40942</v>
      </c>
      <c r="C7089" t="s">
        <v>24</v>
      </c>
      <c r="D7089" s="7">
        <v>201</v>
      </c>
      <c r="E7089" s="7">
        <v>30</v>
      </c>
      <c r="F7089" s="7">
        <f t="shared" si="111"/>
        <v>6</v>
      </c>
      <c r="G7089" s="7" t="str">
        <f>LOOKUP(H7089,[1]startdates!$A$2:$A$10,[1]startdates!$B$2:$B$10)</f>
        <v>SMr</v>
      </c>
      <c r="H7089">
        <v>1</v>
      </c>
      <c r="I7089" s="7">
        <v>632.6</v>
      </c>
      <c r="N7089" s="7">
        <v>192.7</v>
      </c>
    </row>
    <row r="7090" spans="1:17" x14ac:dyDescent="0.2">
      <c r="A7090">
        <v>7089</v>
      </c>
      <c r="B7090" s="1">
        <v>40942</v>
      </c>
      <c r="C7090" t="s">
        <v>24</v>
      </c>
      <c r="D7090" s="7">
        <v>201</v>
      </c>
      <c r="E7090" s="7">
        <v>30</v>
      </c>
      <c r="F7090" s="7">
        <f t="shared" si="111"/>
        <v>6</v>
      </c>
      <c r="G7090" s="7" t="str">
        <f>LOOKUP(H7090,[1]startdates!$A$2:$A$10,[1]startdates!$B$2:$B$10)</f>
        <v>SMr</v>
      </c>
      <c r="H7090">
        <v>1</v>
      </c>
      <c r="N7090" s="7">
        <v>223.6</v>
      </c>
    </row>
    <row r="7091" spans="1:17" x14ac:dyDescent="0.2">
      <c r="A7091">
        <v>7090</v>
      </c>
      <c r="B7091" s="1">
        <v>40942</v>
      </c>
      <c r="C7091" t="s">
        <v>24</v>
      </c>
      <c r="D7091" s="7">
        <v>201</v>
      </c>
      <c r="E7091" s="7">
        <v>30</v>
      </c>
      <c r="F7091" s="7">
        <f t="shared" si="111"/>
        <v>6</v>
      </c>
      <c r="G7091" s="7" t="str">
        <f>LOOKUP(H7091,[1]startdates!$A$2:$A$10,[1]startdates!$B$2:$B$10)</f>
        <v>SMr</v>
      </c>
      <c r="H7091">
        <v>2</v>
      </c>
      <c r="I7091" s="7">
        <v>545.79999999999995</v>
      </c>
      <c r="K7091" s="7">
        <v>467.9</v>
      </c>
      <c r="L7091" s="7">
        <v>477</v>
      </c>
      <c r="M7091" s="7">
        <v>345.1</v>
      </c>
      <c r="N7091" s="7">
        <v>224</v>
      </c>
      <c r="O7091" s="7">
        <v>162.4</v>
      </c>
      <c r="P7091" s="7">
        <v>565.79999999999995</v>
      </c>
      <c r="Q7091" s="7">
        <v>340</v>
      </c>
    </row>
    <row r="7092" spans="1:17" x14ac:dyDescent="0.2">
      <c r="A7092">
        <v>7091</v>
      </c>
      <c r="B7092" s="1">
        <v>40942</v>
      </c>
      <c r="C7092" t="s">
        <v>24</v>
      </c>
      <c r="D7092" s="7">
        <v>201</v>
      </c>
      <c r="E7092" s="7">
        <v>30</v>
      </c>
      <c r="F7092" s="7">
        <f t="shared" si="111"/>
        <v>6</v>
      </c>
      <c r="G7092" s="7" t="str">
        <f>LOOKUP(H7092,[1]startdates!$A$2:$A$10,[1]startdates!$B$2:$B$10)</f>
        <v>SMr</v>
      </c>
      <c r="H7092">
        <v>2</v>
      </c>
      <c r="I7092" s="7">
        <v>632.29999999999995</v>
      </c>
      <c r="K7092" s="7">
        <v>452.9</v>
      </c>
      <c r="L7092" s="7">
        <v>406.8</v>
      </c>
      <c r="M7092" s="7">
        <v>368.5</v>
      </c>
      <c r="N7092" s="7">
        <v>169</v>
      </c>
      <c r="O7092" s="7">
        <v>158.4</v>
      </c>
      <c r="P7092" s="7">
        <v>446.2</v>
      </c>
    </row>
    <row r="7093" spans="1:17" x14ac:dyDescent="0.2">
      <c r="A7093">
        <v>7092</v>
      </c>
      <c r="B7093" s="1">
        <v>40942</v>
      </c>
      <c r="C7093" t="s">
        <v>24</v>
      </c>
      <c r="D7093" s="7">
        <v>201</v>
      </c>
      <c r="E7093" s="7">
        <v>30</v>
      </c>
      <c r="F7093" s="7">
        <f t="shared" si="111"/>
        <v>6</v>
      </c>
      <c r="G7093" s="7" t="str">
        <f>LOOKUP(H7093,[1]startdates!$A$2:$A$10,[1]startdates!$B$2:$B$10)</f>
        <v>SMr</v>
      </c>
      <c r="H7093">
        <v>2</v>
      </c>
      <c r="I7093" s="7">
        <v>610</v>
      </c>
      <c r="K7093" s="7">
        <v>461.2</v>
      </c>
      <c r="L7093" s="7">
        <v>407.9</v>
      </c>
      <c r="M7093" s="7">
        <v>388.7</v>
      </c>
      <c r="N7093" s="7">
        <v>202.8</v>
      </c>
      <c r="O7093" s="7">
        <v>175.8</v>
      </c>
      <c r="P7093" s="7">
        <v>476.4</v>
      </c>
    </row>
    <row r="7094" spans="1:17" x14ac:dyDescent="0.2">
      <c r="A7094">
        <v>7093</v>
      </c>
      <c r="B7094" s="1">
        <v>40942</v>
      </c>
      <c r="C7094" t="s">
        <v>24</v>
      </c>
      <c r="D7094" s="7">
        <v>201</v>
      </c>
      <c r="E7094" s="7">
        <v>30</v>
      </c>
      <c r="F7094" s="7">
        <f t="shared" si="111"/>
        <v>6</v>
      </c>
      <c r="G7094" s="7" t="str">
        <f>LOOKUP(H7094,[1]startdates!$A$2:$A$10,[1]startdates!$B$2:$B$10)</f>
        <v>SMr</v>
      </c>
      <c r="H7094">
        <v>2</v>
      </c>
      <c r="I7094" s="7">
        <v>654.6</v>
      </c>
      <c r="K7094" s="7">
        <v>572.20000000000005</v>
      </c>
      <c r="L7094" s="7">
        <v>401.5</v>
      </c>
      <c r="M7094" s="7">
        <v>330.4</v>
      </c>
      <c r="N7094" s="7">
        <v>186.6</v>
      </c>
      <c r="O7094" s="7">
        <v>178.7</v>
      </c>
    </row>
    <row r="7095" spans="1:17" x14ac:dyDescent="0.2">
      <c r="A7095">
        <v>7094</v>
      </c>
      <c r="B7095" s="1">
        <v>40942</v>
      </c>
      <c r="C7095" t="s">
        <v>24</v>
      </c>
      <c r="D7095" s="7">
        <v>201</v>
      </c>
      <c r="E7095" s="7">
        <v>30</v>
      </c>
      <c r="F7095" s="7">
        <f t="shared" si="111"/>
        <v>6</v>
      </c>
      <c r="G7095" s="7" t="str">
        <f>LOOKUP(H7095,[1]startdates!$A$2:$A$10,[1]startdates!$B$2:$B$10)</f>
        <v>SMr</v>
      </c>
      <c r="H7095">
        <v>2</v>
      </c>
      <c r="I7095" s="7">
        <v>622.20000000000005</v>
      </c>
      <c r="K7095" s="7">
        <v>547.29999999999995</v>
      </c>
      <c r="L7095" s="7">
        <v>420.2</v>
      </c>
      <c r="M7095" s="7">
        <v>338.4</v>
      </c>
      <c r="N7095" s="7">
        <v>188.9</v>
      </c>
      <c r="O7095" s="7">
        <v>148.4</v>
      </c>
    </row>
    <row r="7096" spans="1:17" x14ac:dyDescent="0.2">
      <c r="A7096">
        <v>7095</v>
      </c>
      <c r="B7096" s="1">
        <v>40942</v>
      </c>
      <c r="C7096" t="s">
        <v>24</v>
      </c>
      <c r="D7096" s="7">
        <v>201</v>
      </c>
      <c r="E7096" s="7">
        <v>30</v>
      </c>
      <c r="F7096" s="7">
        <f t="shared" si="111"/>
        <v>6</v>
      </c>
      <c r="G7096" s="7" t="str">
        <f>LOOKUP(H7096,[1]startdates!$A$2:$A$10,[1]startdates!$B$2:$B$10)</f>
        <v>SMr</v>
      </c>
      <c r="H7096">
        <v>2</v>
      </c>
      <c r="I7096" s="7">
        <v>562.4</v>
      </c>
      <c r="K7096" s="7">
        <v>529</v>
      </c>
      <c r="N7096" s="7">
        <v>224.6</v>
      </c>
      <c r="O7096" s="7">
        <v>179.8</v>
      </c>
    </row>
    <row r="7097" spans="1:17" x14ac:dyDescent="0.2">
      <c r="A7097">
        <v>7096</v>
      </c>
      <c r="B7097" s="1">
        <v>40942</v>
      </c>
      <c r="C7097" t="s">
        <v>24</v>
      </c>
      <c r="D7097" s="7">
        <v>201</v>
      </c>
      <c r="E7097" s="7">
        <v>30</v>
      </c>
      <c r="F7097" s="7">
        <f t="shared" si="111"/>
        <v>6</v>
      </c>
      <c r="G7097" s="7" t="str">
        <f>LOOKUP(H7097,[1]startdates!$A$2:$A$10,[1]startdates!$B$2:$B$10)</f>
        <v>SMr</v>
      </c>
      <c r="H7097">
        <v>2</v>
      </c>
      <c r="I7097" s="7">
        <v>622.29999999999995</v>
      </c>
      <c r="N7097" s="7">
        <v>216.8</v>
      </c>
      <c r="O7097" s="7">
        <v>164.2</v>
      </c>
    </row>
    <row r="7098" spans="1:17" x14ac:dyDescent="0.2">
      <c r="A7098">
        <v>7097</v>
      </c>
      <c r="B7098" s="1">
        <v>40942</v>
      </c>
      <c r="C7098" t="s">
        <v>24</v>
      </c>
      <c r="D7098" s="7">
        <v>201</v>
      </c>
      <c r="E7098" s="7">
        <v>30</v>
      </c>
      <c r="F7098" s="7">
        <f t="shared" si="111"/>
        <v>6</v>
      </c>
      <c r="G7098" s="7" t="str">
        <f>LOOKUP(H7098,[1]startdates!$A$2:$A$10,[1]startdates!$B$2:$B$10)</f>
        <v>SMr</v>
      </c>
      <c r="H7098">
        <v>2</v>
      </c>
      <c r="I7098" s="7">
        <v>528</v>
      </c>
      <c r="N7098" s="7">
        <v>219.1</v>
      </c>
      <c r="O7098" s="7">
        <v>171.9</v>
      </c>
    </row>
    <row r="7099" spans="1:17" x14ac:dyDescent="0.2">
      <c r="A7099">
        <v>7098</v>
      </c>
      <c r="B7099" s="1">
        <v>40942</v>
      </c>
      <c r="C7099" t="s">
        <v>24</v>
      </c>
      <c r="D7099" s="7">
        <v>201</v>
      </c>
      <c r="E7099" s="7">
        <v>30</v>
      </c>
      <c r="F7099" s="7">
        <f t="shared" si="111"/>
        <v>6</v>
      </c>
      <c r="G7099" s="7" t="str">
        <f>LOOKUP(H7099,[1]startdates!$A$2:$A$10,[1]startdates!$B$2:$B$10)</f>
        <v>SMr</v>
      </c>
      <c r="H7099">
        <v>2</v>
      </c>
      <c r="I7099" s="7">
        <v>638.29999999999995</v>
      </c>
      <c r="N7099" s="7">
        <v>201</v>
      </c>
      <c r="O7099" s="7">
        <v>165.7</v>
      </c>
    </row>
    <row r="7100" spans="1:17" x14ac:dyDescent="0.2">
      <c r="A7100">
        <v>7099</v>
      </c>
      <c r="B7100" s="1">
        <v>40942</v>
      </c>
      <c r="C7100" t="s">
        <v>24</v>
      </c>
      <c r="D7100" s="7">
        <v>201</v>
      </c>
      <c r="E7100" s="7">
        <v>30</v>
      </c>
      <c r="F7100" s="7">
        <f t="shared" si="111"/>
        <v>6</v>
      </c>
      <c r="G7100" s="7" t="str">
        <f>LOOKUP(H7100,[1]startdates!$A$2:$A$10,[1]startdates!$B$2:$B$10)</f>
        <v>SMr</v>
      </c>
      <c r="H7100">
        <v>2</v>
      </c>
      <c r="I7100" s="7">
        <v>634.1</v>
      </c>
      <c r="N7100" s="7">
        <v>189.8</v>
      </c>
      <c r="O7100" s="7">
        <v>219.7</v>
      </c>
    </row>
    <row r="7101" spans="1:17" x14ac:dyDescent="0.2">
      <c r="A7101">
        <v>7100</v>
      </c>
      <c r="B7101" s="1">
        <v>40942</v>
      </c>
      <c r="C7101" t="s">
        <v>24</v>
      </c>
      <c r="D7101" s="7">
        <v>201</v>
      </c>
      <c r="E7101" s="7">
        <v>30</v>
      </c>
      <c r="F7101" s="7">
        <f t="shared" si="111"/>
        <v>6</v>
      </c>
      <c r="G7101" s="7" t="str">
        <f>LOOKUP(H7101,[1]startdates!$A$2:$A$10,[1]startdates!$B$2:$B$10)</f>
        <v>SMr</v>
      </c>
      <c r="H7101">
        <v>2</v>
      </c>
      <c r="N7101" s="7">
        <v>180.4</v>
      </c>
      <c r="O7101" s="7">
        <v>159.80000000000001</v>
      </c>
    </row>
    <row r="7102" spans="1:17" x14ac:dyDescent="0.2">
      <c r="A7102">
        <v>7101</v>
      </c>
      <c r="B7102" s="1">
        <v>40942</v>
      </c>
      <c r="C7102" t="s">
        <v>24</v>
      </c>
      <c r="D7102" s="7">
        <v>201</v>
      </c>
      <c r="E7102" s="7">
        <v>30</v>
      </c>
      <c r="F7102" s="7">
        <f t="shared" si="111"/>
        <v>6</v>
      </c>
      <c r="G7102" s="7" t="str">
        <f>LOOKUP(H7102,[1]startdates!$A$2:$A$10,[1]startdates!$B$2:$B$10)</f>
        <v>SMr</v>
      </c>
      <c r="H7102">
        <v>2</v>
      </c>
      <c r="N7102" s="7">
        <v>197.1</v>
      </c>
    </row>
    <row r="7103" spans="1:17" x14ac:dyDescent="0.2">
      <c r="A7103">
        <v>7102</v>
      </c>
      <c r="B7103" s="1">
        <v>40942</v>
      </c>
      <c r="C7103" t="s">
        <v>28</v>
      </c>
      <c r="D7103" s="7">
        <v>201</v>
      </c>
      <c r="E7103" s="7">
        <v>30</v>
      </c>
      <c r="F7103" s="7">
        <f t="shared" si="111"/>
        <v>6</v>
      </c>
      <c r="G7103" s="7" t="str">
        <f>LOOKUP(H7103,[1]startdates!$A$2:$A$10,[1]startdates!$B$2:$B$10)</f>
        <v>C</v>
      </c>
      <c r="H7103">
        <v>3</v>
      </c>
      <c r="I7103" s="7">
        <v>561.5</v>
      </c>
      <c r="K7103" s="7">
        <v>503</v>
      </c>
      <c r="L7103" s="7">
        <v>440.6</v>
      </c>
      <c r="M7103" s="7">
        <v>362.6</v>
      </c>
      <c r="N7103" s="7">
        <v>254.5</v>
      </c>
      <c r="O7103" s="7">
        <v>172.5</v>
      </c>
      <c r="P7103" s="7">
        <v>406.7</v>
      </c>
      <c r="Q7103" s="7">
        <v>318.60000000000002</v>
      </c>
    </row>
    <row r="7104" spans="1:17" x14ac:dyDescent="0.2">
      <c r="A7104">
        <v>7103</v>
      </c>
      <c r="B7104" s="1">
        <v>40942</v>
      </c>
      <c r="C7104" t="s">
        <v>28</v>
      </c>
      <c r="D7104" s="7">
        <v>201</v>
      </c>
      <c r="E7104" s="7">
        <v>30</v>
      </c>
      <c r="F7104" s="7">
        <f t="shared" si="111"/>
        <v>6</v>
      </c>
      <c r="G7104" s="7" t="str">
        <f>LOOKUP(H7104,[1]startdates!$A$2:$A$10,[1]startdates!$B$2:$B$10)</f>
        <v>C</v>
      </c>
      <c r="H7104">
        <v>3</v>
      </c>
      <c r="I7104" s="7">
        <v>566.79999999999995</v>
      </c>
      <c r="K7104" s="7">
        <v>456</v>
      </c>
      <c r="L7104" s="7">
        <v>449.5</v>
      </c>
      <c r="M7104" s="7">
        <v>324.8</v>
      </c>
      <c r="N7104" s="7">
        <v>259.8</v>
      </c>
      <c r="O7104" s="7">
        <v>182.5</v>
      </c>
      <c r="P7104" s="7">
        <v>415.3</v>
      </c>
    </row>
    <row r="7105" spans="1:18" x14ac:dyDescent="0.2">
      <c r="A7105">
        <v>7104</v>
      </c>
      <c r="B7105" s="1">
        <v>40942</v>
      </c>
      <c r="C7105" t="s">
        <v>28</v>
      </c>
      <c r="D7105" s="7">
        <v>201</v>
      </c>
      <c r="E7105" s="7">
        <v>30</v>
      </c>
      <c r="F7105" s="7">
        <f t="shared" si="111"/>
        <v>6</v>
      </c>
      <c r="G7105" s="7" t="str">
        <f>LOOKUP(H7105,[1]startdates!$A$2:$A$10,[1]startdates!$B$2:$B$10)</f>
        <v>C</v>
      </c>
      <c r="H7105">
        <v>3</v>
      </c>
      <c r="I7105" s="7">
        <v>541.70000000000005</v>
      </c>
      <c r="K7105" s="7">
        <v>516.29999999999995</v>
      </c>
      <c r="L7105" s="7">
        <v>427.5</v>
      </c>
      <c r="M7105" s="7">
        <v>310.89999999999998</v>
      </c>
      <c r="N7105" s="7">
        <v>227.2</v>
      </c>
      <c r="O7105" s="7">
        <v>164</v>
      </c>
      <c r="P7105" s="7">
        <v>439.5</v>
      </c>
    </row>
    <row r="7106" spans="1:18" x14ac:dyDescent="0.2">
      <c r="A7106">
        <v>7105</v>
      </c>
      <c r="B7106" s="1">
        <v>40942</v>
      </c>
      <c r="C7106" t="s">
        <v>28</v>
      </c>
      <c r="D7106" s="7">
        <v>201</v>
      </c>
      <c r="E7106" s="7">
        <v>30</v>
      </c>
      <c r="F7106" s="7">
        <f t="shared" si="111"/>
        <v>6</v>
      </c>
      <c r="G7106" s="7" t="str">
        <f>LOOKUP(H7106,[1]startdates!$A$2:$A$10,[1]startdates!$B$2:$B$10)</f>
        <v>C</v>
      </c>
      <c r="H7106">
        <v>3</v>
      </c>
      <c r="I7106" s="7">
        <v>528</v>
      </c>
      <c r="L7106" s="7">
        <v>453</v>
      </c>
      <c r="M7106" s="7">
        <v>380.4</v>
      </c>
      <c r="N7106" s="7">
        <v>288.8</v>
      </c>
      <c r="O7106" s="7">
        <v>171.6</v>
      </c>
      <c r="P7106" s="7">
        <v>402.3</v>
      </c>
    </row>
    <row r="7107" spans="1:18" x14ac:dyDescent="0.2">
      <c r="A7107">
        <v>7106</v>
      </c>
      <c r="B7107" s="1">
        <v>40942</v>
      </c>
      <c r="C7107" t="s">
        <v>28</v>
      </c>
      <c r="D7107" s="7">
        <v>201</v>
      </c>
      <c r="E7107" s="7">
        <v>30</v>
      </c>
      <c r="F7107" s="7">
        <f t="shared" si="111"/>
        <v>6</v>
      </c>
      <c r="G7107" s="7" t="str">
        <f>LOOKUP(H7107,[1]startdates!$A$2:$A$10,[1]startdates!$B$2:$B$10)</f>
        <v>C</v>
      </c>
      <c r="H7107">
        <v>3</v>
      </c>
      <c r="I7107" s="7">
        <v>555.6</v>
      </c>
      <c r="L7107" s="7">
        <v>469.3</v>
      </c>
      <c r="M7107" s="7">
        <v>371.4</v>
      </c>
      <c r="N7107" s="7">
        <v>210.4</v>
      </c>
      <c r="O7107" s="7">
        <v>136.4</v>
      </c>
      <c r="P7107" s="7">
        <v>435.4</v>
      </c>
    </row>
    <row r="7108" spans="1:18" x14ac:dyDescent="0.2">
      <c r="A7108">
        <v>7107</v>
      </c>
      <c r="B7108" s="1">
        <v>40942</v>
      </c>
      <c r="C7108" t="s">
        <v>28</v>
      </c>
      <c r="D7108" s="7">
        <v>201</v>
      </c>
      <c r="E7108" s="7">
        <v>30</v>
      </c>
      <c r="F7108" s="7">
        <f t="shared" si="111"/>
        <v>6</v>
      </c>
      <c r="G7108" s="7" t="str">
        <f>LOOKUP(H7108,[1]startdates!$A$2:$A$10,[1]startdates!$B$2:$B$10)</f>
        <v>C</v>
      </c>
      <c r="H7108">
        <v>3</v>
      </c>
      <c r="I7108" s="7">
        <v>582.5</v>
      </c>
      <c r="L7108" s="7">
        <v>431.4</v>
      </c>
      <c r="M7108" s="7">
        <v>328.7</v>
      </c>
      <c r="N7108" s="7">
        <v>229.1</v>
      </c>
      <c r="O7108" s="7">
        <v>152.4</v>
      </c>
      <c r="P7108" s="7">
        <v>415.9</v>
      </c>
    </row>
    <row r="7109" spans="1:18" x14ac:dyDescent="0.2">
      <c r="A7109">
        <v>7108</v>
      </c>
      <c r="B7109" s="1">
        <v>40942</v>
      </c>
      <c r="C7109" t="s">
        <v>28</v>
      </c>
      <c r="D7109" s="7">
        <v>201</v>
      </c>
      <c r="E7109" s="7">
        <v>30</v>
      </c>
      <c r="F7109" s="7">
        <f t="shared" si="111"/>
        <v>6</v>
      </c>
      <c r="G7109" s="7" t="str">
        <f>LOOKUP(H7109,[1]startdates!$A$2:$A$10,[1]startdates!$B$2:$B$10)</f>
        <v>C</v>
      </c>
      <c r="H7109">
        <v>3</v>
      </c>
      <c r="I7109" s="7">
        <v>556</v>
      </c>
      <c r="L7109" s="7">
        <v>473.3</v>
      </c>
      <c r="M7109" s="7">
        <v>293.2</v>
      </c>
      <c r="N7109" s="7">
        <v>206.2</v>
      </c>
      <c r="O7109" s="7">
        <v>152.6</v>
      </c>
    </row>
    <row r="7110" spans="1:18" x14ac:dyDescent="0.2">
      <c r="A7110">
        <v>7109</v>
      </c>
      <c r="B7110" s="1">
        <v>40942</v>
      </c>
      <c r="C7110" t="s">
        <v>28</v>
      </c>
      <c r="D7110" s="7">
        <v>201</v>
      </c>
      <c r="E7110" s="7">
        <v>30</v>
      </c>
      <c r="F7110" s="7">
        <f t="shared" si="111"/>
        <v>6</v>
      </c>
      <c r="G7110" s="7" t="str">
        <f>LOOKUP(H7110,[1]startdates!$A$2:$A$10,[1]startdates!$B$2:$B$10)</f>
        <v>C</v>
      </c>
      <c r="H7110">
        <v>3</v>
      </c>
      <c r="I7110" s="7">
        <v>525.1</v>
      </c>
      <c r="L7110" s="7">
        <v>405.1</v>
      </c>
      <c r="M7110" s="7">
        <v>351.1</v>
      </c>
      <c r="N7110" s="7">
        <v>249.2</v>
      </c>
      <c r="O7110" s="7">
        <v>169.7</v>
      </c>
    </row>
    <row r="7111" spans="1:18" x14ac:dyDescent="0.2">
      <c r="A7111">
        <v>7110</v>
      </c>
      <c r="B7111" s="1">
        <v>40942</v>
      </c>
      <c r="C7111" t="s">
        <v>28</v>
      </c>
      <c r="D7111" s="7">
        <v>201</v>
      </c>
      <c r="E7111" s="7">
        <v>30</v>
      </c>
      <c r="F7111" s="7">
        <f t="shared" si="111"/>
        <v>6</v>
      </c>
      <c r="G7111" s="7" t="str">
        <f>LOOKUP(H7111,[1]startdates!$A$2:$A$10,[1]startdates!$B$2:$B$10)</f>
        <v>C</v>
      </c>
      <c r="H7111">
        <v>3</v>
      </c>
      <c r="I7111" s="7">
        <v>536.79999999999995</v>
      </c>
      <c r="L7111" s="7">
        <v>434.7</v>
      </c>
      <c r="M7111" s="7">
        <v>349.5</v>
      </c>
      <c r="N7111" s="7">
        <v>224.4</v>
      </c>
      <c r="O7111" s="7">
        <v>177.8</v>
      </c>
    </row>
    <row r="7112" spans="1:18" x14ac:dyDescent="0.2">
      <c r="A7112">
        <v>7111</v>
      </c>
      <c r="B7112" s="1">
        <v>40942</v>
      </c>
      <c r="C7112" t="s">
        <v>28</v>
      </c>
      <c r="D7112" s="7">
        <v>201</v>
      </c>
      <c r="E7112" s="7">
        <v>30</v>
      </c>
      <c r="F7112" s="7">
        <f t="shared" si="111"/>
        <v>6</v>
      </c>
      <c r="G7112" s="7" t="str">
        <f>LOOKUP(H7112,[1]startdates!$A$2:$A$10,[1]startdates!$B$2:$B$10)</f>
        <v>C</v>
      </c>
      <c r="H7112">
        <v>3</v>
      </c>
      <c r="I7112" s="7">
        <v>603</v>
      </c>
      <c r="L7112" s="7">
        <v>399.3</v>
      </c>
      <c r="N7112" s="7">
        <v>206</v>
      </c>
      <c r="O7112" s="7">
        <v>162.5</v>
      </c>
    </row>
    <row r="7113" spans="1:18" x14ac:dyDescent="0.2">
      <c r="A7113">
        <v>7112</v>
      </c>
      <c r="B7113" s="1">
        <v>40942</v>
      </c>
      <c r="C7113" t="s">
        <v>28</v>
      </c>
      <c r="D7113" s="7">
        <v>201</v>
      </c>
      <c r="E7113" s="7">
        <v>30</v>
      </c>
      <c r="F7113" s="7">
        <f t="shared" si="111"/>
        <v>6</v>
      </c>
      <c r="G7113" s="7" t="str">
        <f>LOOKUP(H7113,[1]startdates!$A$2:$A$10,[1]startdates!$B$2:$B$10)</f>
        <v>C</v>
      </c>
      <c r="H7113">
        <v>3</v>
      </c>
      <c r="L7113" s="7">
        <v>405.2</v>
      </c>
      <c r="N7113" s="7">
        <v>285</v>
      </c>
      <c r="O7113" s="7">
        <v>151.80000000000001</v>
      </c>
    </row>
    <row r="7114" spans="1:18" x14ac:dyDescent="0.2">
      <c r="A7114">
        <v>7113</v>
      </c>
      <c r="B7114" s="1">
        <v>40942</v>
      </c>
      <c r="C7114" t="s">
        <v>28</v>
      </c>
      <c r="D7114" s="7">
        <v>201</v>
      </c>
      <c r="E7114" s="7">
        <v>30</v>
      </c>
      <c r="F7114" s="7">
        <f t="shared" si="111"/>
        <v>6</v>
      </c>
      <c r="G7114" s="7" t="str">
        <f>LOOKUP(H7114,[1]startdates!$A$2:$A$10,[1]startdates!$B$2:$B$10)</f>
        <v>C</v>
      </c>
      <c r="H7114">
        <v>3</v>
      </c>
      <c r="L7114" s="7">
        <v>406.7</v>
      </c>
    </row>
    <row r="7115" spans="1:18" x14ac:dyDescent="0.2">
      <c r="A7115">
        <v>7114</v>
      </c>
      <c r="B7115" s="1">
        <v>40942</v>
      </c>
      <c r="C7115" t="s">
        <v>28</v>
      </c>
      <c r="D7115" s="7">
        <v>201</v>
      </c>
      <c r="E7115" s="7">
        <v>30</v>
      </c>
      <c r="F7115" s="7">
        <f t="shared" si="111"/>
        <v>6</v>
      </c>
      <c r="G7115" s="7" t="str">
        <f>LOOKUP(H7115,[1]startdates!$A$2:$A$10,[1]startdates!$B$2:$B$10)</f>
        <v>C</v>
      </c>
      <c r="H7115">
        <v>3</v>
      </c>
      <c r="L7115" s="7">
        <v>419.2</v>
      </c>
    </row>
    <row r="7116" spans="1:18" x14ac:dyDescent="0.2">
      <c r="A7116">
        <v>7115</v>
      </c>
      <c r="B7116" s="1">
        <v>40942</v>
      </c>
      <c r="C7116" t="s">
        <v>28</v>
      </c>
      <c r="D7116" s="7">
        <v>201</v>
      </c>
      <c r="E7116" s="7">
        <v>30</v>
      </c>
      <c r="F7116" s="7">
        <f t="shared" si="111"/>
        <v>6</v>
      </c>
      <c r="G7116" s="7" t="str">
        <f>LOOKUP(H7116,[1]startdates!$A$2:$A$10,[1]startdates!$B$2:$B$10)</f>
        <v>C</v>
      </c>
      <c r="H7116">
        <v>3</v>
      </c>
      <c r="L7116" s="7">
        <v>448.6</v>
      </c>
    </row>
    <row r="7117" spans="1:18" x14ac:dyDescent="0.2">
      <c r="A7117">
        <v>7116</v>
      </c>
      <c r="B7117" s="1">
        <v>40942</v>
      </c>
      <c r="C7117" t="s">
        <v>28</v>
      </c>
      <c r="D7117" s="7">
        <v>201</v>
      </c>
      <c r="E7117" s="7">
        <v>30</v>
      </c>
      <c r="F7117" s="7">
        <f t="shared" si="111"/>
        <v>6</v>
      </c>
      <c r="G7117" s="7" t="str">
        <f>LOOKUP(H7117,[1]startdates!$A$2:$A$10,[1]startdates!$B$2:$B$10)</f>
        <v>C</v>
      </c>
      <c r="H7117">
        <v>3</v>
      </c>
      <c r="L7117" s="7">
        <v>406.4</v>
      </c>
    </row>
    <row r="7118" spans="1:18" x14ac:dyDescent="0.2">
      <c r="A7118">
        <v>7117</v>
      </c>
      <c r="B7118" s="1">
        <v>40942</v>
      </c>
      <c r="C7118" t="s">
        <v>24</v>
      </c>
      <c r="D7118" s="7">
        <v>201</v>
      </c>
      <c r="E7118" s="7">
        <v>30</v>
      </c>
      <c r="F7118" s="7">
        <f t="shared" si="111"/>
        <v>6</v>
      </c>
      <c r="G7118" s="7" t="str">
        <f>LOOKUP(H7118,[1]startdates!$A$2:$A$10,[1]startdates!$B$2:$B$10)</f>
        <v>SMr</v>
      </c>
      <c r="H7118">
        <v>4</v>
      </c>
      <c r="I7118" s="7">
        <v>528.79999999999995</v>
      </c>
      <c r="J7118" s="7">
        <v>408.5</v>
      </c>
      <c r="K7118" s="7">
        <v>465.7</v>
      </c>
      <c r="L7118" s="7">
        <v>419.9</v>
      </c>
      <c r="M7118" s="7">
        <v>393.4</v>
      </c>
      <c r="N7118" s="7">
        <v>203</v>
      </c>
      <c r="O7118" s="7">
        <v>164.2</v>
      </c>
      <c r="P7118" s="7">
        <v>476.1</v>
      </c>
      <c r="R7118" s="7">
        <v>239.4</v>
      </c>
    </row>
    <row r="7119" spans="1:18" x14ac:dyDescent="0.2">
      <c r="A7119">
        <v>7118</v>
      </c>
      <c r="B7119" s="1">
        <v>40942</v>
      </c>
      <c r="C7119" t="s">
        <v>24</v>
      </c>
      <c r="D7119" s="7">
        <v>201</v>
      </c>
      <c r="E7119" s="7">
        <v>30</v>
      </c>
      <c r="F7119" s="7">
        <f t="shared" si="111"/>
        <v>6</v>
      </c>
      <c r="G7119" s="7" t="str">
        <f>LOOKUP(H7119,[1]startdates!$A$2:$A$10,[1]startdates!$B$2:$B$10)</f>
        <v>SMr</v>
      </c>
      <c r="H7119">
        <v>4</v>
      </c>
      <c r="I7119" s="7">
        <v>544.9</v>
      </c>
      <c r="K7119" s="7">
        <v>505.5</v>
      </c>
      <c r="L7119" s="7">
        <v>372.1</v>
      </c>
      <c r="M7119" s="7">
        <v>379.2</v>
      </c>
      <c r="N7119" s="7">
        <v>263.10000000000002</v>
      </c>
      <c r="O7119" s="7">
        <v>203.8</v>
      </c>
      <c r="P7119" s="7">
        <v>411.7</v>
      </c>
      <c r="R7119" s="7">
        <v>297.5</v>
      </c>
    </row>
    <row r="7120" spans="1:18" x14ac:dyDescent="0.2">
      <c r="A7120">
        <v>7119</v>
      </c>
      <c r="B7120" s="1">
        <v>40942</v>
      </c>
      <c r="C7120" t="s">
        <v>24</v>
      </c>
      <c r="D7120" s="7">
        <v>201</v>
      </c>
      <c r="E7120" s="7">
        <v>30</v>
      </c>
      <c r="F7120" s="7">
        <f t="shared" si="111"/>
        <v>6</v>
      </c>
      <c r="G7120" s="7" t="str">
        <f>LOOKUP(H7120,[1]startdates!$A$2:$A$10,[1]startdates!$B$2:$B$10)</f>
        <v>SMr</v>
      </c>
      <c r="H7120">
        <v>4</v>
      </c>
      <c r="I7120" s="7">
        <v>535.70000000000005</v>
      </c>
      <c r="K7120" s="7">
        <v>453.2</v>
      </c>
      <c r="M7120" s="7">
        <v>372.4</v>
      </c>
      <c r="N7120" s="7">
        <v>288.3</v>
      </c>
      <c r="O7120" s="7">
        <v>191.3</v>
      </c>
      <c r="R7120" s="7">
        <v>318.89999999999998</v>
      </c>
    </row>
    <row r="7121" spans="1:18" x14ac:dyDescent="0.2">
      <c r="A7121">
        <v>7120</v>
      </c>
      <c r="B7121" s="1">
        <v>40942</v>
      </c>
      <c r="C7121" t="s">
        <v>24</v>
      </c>
      <c r="D7121" s="7">
        <v>201</v>
      </c>
      <c r="E7121" s="7">
        <v>30</v>
      </c>
      <c r="F7121" s="7">
        <f t="shared" si="111"/>
        <v>6</v>
      </c>
      <c r="G7121" s="7" t="str">
        <f>LOOKUP(H7121,[1]startdates!$A$2:$A$10,[1]startdates!$B$2:$B$10)</f>
        <v>SMr</v>
      </c>
      <c r="H7121">
        <v>4</v>
      </c>
      <c r="I7121" s="7">
        <v>564.70000000000005</v>
      </c>
      <c r="K7121" s="7">
        <v>408.7</v>
      </c>
      <c r="M7121" s="7">
        <v>390.4</v>
      </c>
      <c r="N7121" s="7">
        <v>217.3</v>
      </c>
      <c r="O7121" s="7">
        <v>177.8</v>
      </c>
    </row>
    <row r="7122" spans="1:18" x14ac:dyDescent="0.2">
      <c r="A7122">
        <v>7121</v>
      </c>
      <c r="B7122" s="1">
        <v>40942</v>
      </c>
      <c r="C7122" t="s">
        <v>24</v>
      </c>
      <c r="D7122" s="7">
        <v>201</v>
      </c>
      <c r="E7122" s="7">
        <v>30</v>
      </c>
      <c r="F7122" s="7">
        <f t="shared" si="111"/>
        <v>6</v>
      </c>
      <c r="G7122" s="7" t="str">
        <f>LOOKUP(H7122,[1]startdates!$A$2:$A$10,[1]startdates!$B$2:$B$10)</f>
        <v>SMr</v>
      </c>
      <c r="H7122">
        <v>4</v>
      </c>
      <c r="I7122" s="7">
        <v>568.70000000000005</v>
      </c>
      <c r="K7122" s="7">
        <v>480</v>
      </c>
      <c r="M7122" s="7">
        <v>335.9</v>
      </c>
      <c r="N7122" s="7">
        <v>209.9</v>
      </c>
      <c r="O7122" s="7">
        <v>177.3</v>
      </c>
    </row>
    <row r="7123" spans="1:18" x14ac:dyDescent="0.2">
      <c r="A7123">
        <v>7122</v>
      </c>
      <c r="B7123" s="1">
        <v>40942</v>
      </c>
      <c r="C7123" t="s">
        <v>24</v>
      </c>
      <c r="D7123" s="7">
        <v>201</v>
      </c>
      <c r="E7123" s="7">
        <v>30</v>
      </c>
      <c r="F7123" s="7">
        <f t="shared" si="111"/>
        <v>6</v>
      </c>
      <c r="G7123" s="7" t="str">
        <f>LOOKUP(H7123,[1]startdates!$A$2:$A$10,[1]startdates!$B$2:$B$10)</f>
        <v>SMr</v>
      </c>
      <c r="H7123">
        <v>4</v>
      </c>
      <c r="I7123" s="7">
        <v>534.6</v>
      </c>
      <c r="N7123" s="7">
        <v>262.7</v>
      </c>
      <c r="O7123" s="7">
        <v>179.2</v>
      </c>
    </row>
    <row r="7124" spans="1:18" x14ac:dyDescent="0.2">
      <c r="A7124">
        <v>7123</v>
      </c>
      <c r="B7124" s="1">
        <v>40942</v>
      </c>
      <c r="C7124" t="s">
        <v>24</v>
      </c>
      <c r="D7124" s="7">
        <v>201</v>
      </c>
      <c r="E7124" s="7">
        <v>30</v>
      </c>
      <c r="F7124" s="7">
        <f t="shared" si="111"/>
        <v>6</v>
      </c>
      <c r="G7124" s="7" t="str">
        <f>LOOKUP(H7124,[1]startdates!$A$2:$A$10,[1]startdates!$B$2:$B$10)</f>
        <v>SMr</v>
      </c>
      <c r="H7124">
        <v>4</v>
      </c>
      <c r="I7124" s="7">
        <v>487.7</v>
      </c>
      <c r="N7124" s="7">
        <v>200.3</v>
      </c>
      <c r="O7124" s="7">
        <v>166.7</v>
      </c>
    </row>
    <row r="7125" spans="1:18" x14ac:dyDescent="0.2">
      <c r="A7125">
        <v>7124</v>
      </c>
      <c r="B7125" s="1">
        <v>40942</v>
      </c>
      <c r="C7125" t="s">
        <v>24</v>
      </c>
      <c r="D7125" s="7">
        <v>201</v>
      </c>
      <c r="E7125" s="7">
        <v>30</v>
      </c>
      <c r="F7125" s="7">
        <f t="shared" si="111"/>
        <v>6</v>
      </c>
      <c r="G7125" s="7" t="str">
        <f>LOOKUP(H7125,[1]startdates!$A$2:$A$10,[1]startdates!$B$2:$B$10)</f>
        <v>SMr</v>
      </c>
      <c r="H7125">
        <v>4</v>
      </c>
      <c r="I7125" s="7">
        <v>568.70000000000005</v>
      </c>
      <c r="N7125" s="7">
        <v>222</v>
      </c>
      <c r="O7125" s="7">
        <v>170.6</v>
      </c>
    </row>
    <row r="7126" spans="1:18" x14ac:dyDescent="0.2">
      <c r="A7126">
        <v>7125</v>
      </c>
      <c r="B7126" s="1">
        <v>40942</v>
      </c>
      <c r="C7126" t="s">
        <v>24</v>
      </c>
      <c r="D7126" s="7">
        <v>201</v>
      </c>
      <c r="E7126" s="7">
        <v>30</v>
      </c>
      <c r="F7126" s="7">
        <f t="shared" si="111"/>
        <v>6</v>
      </c>
      <c r="G7126" s="7" t="str">
        <f>LOOKUP(H7126,[1]startdates!$A$2:$A$10,[1]startdates!$B$2:$B$10)</f>
        <v>SMr</v>
      </c>
      <c r="H7126">
        <v>4</v>
      </c>
      <c r="I7126" s="7">
        <v>578</v>
      </c>
      <c r="N7126" s="7">
        <v>234.9</v>
      </c>
      <c r="O7126" s="7">
        <v>174.4</v>
      </c>
    </row>
    <row r="7127" spans="1:18" x14ac:dyDescent="0.2">
      <c r="A7127">
        <v>7126</v>
      </c>
      <c r="B7127" s="1">
        <v>40942</v>
      </c>
      <c r="C7127" t="s">
        <v>24</v>
      </c>
      <c r="D7127" s="7">
        <v>201</v>
      </c>
      <c r="E7127" s="7">
        <v>30</v>
      </c>
      <c r="F7127" s="7">
        <f t="shared" si="111"/>
        <v>6</v>
      </c>
      <c r="G7127" s="7" t="str">
        <f>LOOKUP(H7127,[1]startdates!$A$2:$A$10,[1]startdates!$B$2:$B$10)</f>
        <v>SMr</v>
      </c>
      <c r="H7127">
        <v>4</v>
      </c>
      <c r="I7127" s="7">
        <v>502.3</v>
      </c>
      <c r="N7127" s="7">
        <v>246.9</v>
      </c>
      <c r="O7127" s="7">
        <v>188.6</v>
      </c>
    </row>
    <row r="7128" spans="1:18" x14ac:dyDescent="0.2">
      <c r="A7128">
        <v>7127</v>
      </c>
      <c r="B7128" s="1">
        <v>40942</v>
      </c>
      <c r="C7128" t="s">
        <v>24</v>
      </c>
      <c r="D7128" s="7">
        <v>201</v>
      </c>
      <c r="E7128" s="7">
        <v>30</v>
      </c>
      <c r="F7128" s="7">
        <f t="shared" si="111"/>
        <v>6</v>
      </c>
      <c r="G7128" s="7" t="str">
        <f>LOOKUP(H7128,[1]startdates!$A$2:$A$10,[1]startdates!$B$2:$B$10)</f>
        <v>SMr</v>
      </c>
      <c r="H7128">
        <v>4</v>
      </c>
      <c r="N7128" s="7">
        <v>222.3</v>
      </c>
      <c r="O7128" s="7">
        <v>157.30000000000001</v>
      </c>
    </row>
    <row r="7129" spans="1:18" x14ac:dyDescent="0.2">
      <c r="A7129">
        <v>7128</v>
      </c>
      <c r="B7129" s="1">
        <v>40942</v>
      </c>
      <c r="C7129" t="s">
        <v>28</v>
      </c>
      <c r="D7129" s="7">
        <v>201</v>
      </c>
      <c r="E7129" s="7">
        <v>30</v>
      </c>
      <c r="F7129" s="7">
        <f t="shared" si="111"/>
        <v>6</v>
      </c>
      <c r="G7129" s="7" t="str">
        <f>LOOKUP(H7129,[1]startdates!$A$2:$A$10,[1]startdates!$B$2:$B$10)</f>
        <v>C</v>
      </c>
      <c r="H7129">
        <v>5</v>
      </c>
      <c r="I7129" s="7">
        <v>629.9</v>
      </c>
      <c r="J7129" s="7">
        <v>536.1</v>
      </c>
      <c r="K7129" s="7">
        <v>468.8</v>
      </c>
      <c r="M7129" s="7">
        <v>300.2</v>
      </c>
      <c r="N7129" s="7">
        <v>201.3</v>
      </c>
      <c r="O7129" s="7">
        <v>184.1</v>
      </c>
      <c r="Q7129" s="7">
        <v>348</v>
      </c>
      <c r="R7129" s="7">
        <v>258.7</v>
      </c>
    </row>
    <row r="7130" spans="1:18" x14ac:dyDescent="0.2">
      <c r="A7130">
        <v>7129</v>
      </c>
      <c r="B7130" s="1">
        <v>40942</v>
      </c>
      <c r="C7130" t="s">
        <v>28</v>
      </c>
      <c r="D7130" s="7">
        <v>201</v>
      </c>
      <c r="E7130" s="7">
        <v>30</v>
      </c>
      <c r="F7130" s="7">
        <f t="shared" si="111"/>
        <v>6</v>
      </c>
      <c r="G7130" s="7" t="str">
        <f>LOOKUP(H7130,[1]startdates!$A$2:$A$10,[1]startdates!$B$2:$B$10)</f>
        <v>C</v>
      </c>
      <c r="H7130">
        <v>5</v>
      </c>
      <c r="I7130" s="7">
        <v>593.9</v>
      </c>
      <c r="J7130" s="7">
        <v>524</v>
      </c>
      <c r="K7130" s="7">
        <v>526.9</v>
      </c>
      <c r="M7130" s="7">
        <v>340.5</v>
      </c>
      <c r="N7130" s="7">
        <v>246.7</v>
      </c>
      <c r="O7130" s="7">
        <v>141.6</v>
      </c>
      <c r="Q7130" s="7">
        <v>354.1</v>
      </c>
      <c r="R7130" s="7">
        <v>260.3</v>
      </c>
    </row>
    <row r="7131" spans="1:18" x14ac:dyDescent="0.2">
      <c r="A7131">
        <v>7130</v>
      </c>
      <c r="B7131" s="1">
        <v>40942</v>
      </c>
      <c r="C7131" t="s">
        <v>28</v>
      </c>
      <c r="D7131" s="7">
        <v>201</v>
      </c>
      <c r="E7131" s="7">
        <v>30</v>
      </c>
      <c r="F7131" s="7">
        <f t="shared" si="111"/>
        <v>6</v>
      </c>
      <c r="G7131" s="7" t="str">
        <f>LOOKUP(H7131,[1]startdates!$A$2:$A$10,[1]startdates!$B$2:$B$10)</f>
        <v>C</v>
      </c>
      <c r="H7131">
        <v>5</v>
      </c>
      <c r="I7131" s="7">
        <v>614.4</v>
      </c>
      <c r="J7131" s="7">
        <v>533.9</v>
      </c>
      <c r="K7131" s="7">
        <v>452.7</v>
      </c>
      <c r="M7131" s="7">
        <v>328.1</v>
      </c>
      <c r="N7131" s="7">
        <v>191.4</v>
      </c>
      <c r="O7131" s="7">
        <v>174.6</v>
      </c>
      <c r="Q7131" s="7">
        <v>343.7</v>
      </c>
    </row>
    <row r="7132" spans="1:18" x14ac:dyDescent="0.2">
      <c r="A7132">
        <v>7131</v>
      </c>
      <c r="B7132" s="1">
        <v>40942</v>
      </c>
      <c r="C7132" t="s">
        <v>28</v>
      </c>
      <c r="D7132" s="7">
        <v>201</v>
      </c>
      <c r="E7132" s="7">
        <v>30</v>
      </c>
      <c r="F7132" s="7">
        <f t="shared" si="111"/>
        <v>6</v>
      </c>
      <c r="G7132" s="7" t="str">
        <f>LOOKUP(H7132,[1]startdates!$A$2:$A$10,[1]startdates!$B$2:$B$10)</f>
        <v>C</v>
      </c>
      <c r="H7132">
        <v>5</v>
      </c>
      <c r="I7132" s="7">
        <v>616.5</v>
      </c>
      <c r="J7132" s="7">
        <v>486.7</v>
      </c>
      <c r="K7132" s="7">
        <v>525</v>
      </c>
      <c r="M7132" s="7">
        <v>322</v>
      </c>
      <c r="N7132" s="7">
        <v>170.6</v>
      </c>
      <c r="O7132" s="7">
        <v>182.2</v>
      </c>
      <c r="Q7132" s="7">
        <v>371.9</v>
      </c>
    </row>
    <row r="7133" spans="1:18" x14ac:dyDescent="0.2">
      <c r="A7133">
        <v>7132</v>
      </c>
      <c r="B7133" s="1">
        <v>40942</v>
      </c>
      <c r="C7133" t="s">
        <v>28</v>
      </c>
      <c r="D7133" s="7">
        <v>201</v>
      </c>
      <c r="E7133" s="7">
        <v>30</v>
      </c>
      <c r="F7133" s="7">
        <f t="shared" si="111"/>
        <v>6</v>
      </c>
      <c r="G7133" s="7" t="str">
        <f>LOOKUP(H7133,[1]startdates!$A$2:$A$10,[1]startdates!$B$2:$B$10)</f>
        <v>C</v>
      </c>
      <c r="H7133">
        <v>5</v>
      </c>
      <c r="I7133" s="7">
        <v>633.20000000000005</v>
      </c>
      <c r="K7133" s="7">
        <v>603.4</v>
      </c>
      <c r="M7133" s="7">
        <v>357.4</v>
      </c>
      <c r="N7133" s="7">
        <v>288.10000000000002</v>
      </c>
      <c r="O7133" s="7">
        <v>148</v>
      </c>
      <c r="Q7133" s="7">
        <v>330.2</v>
      </c>
    </row>
    <row r="7134" spans="1:18" x14ac:dyDescent="0.2">
      <c r="A7134">
        <v>7133</v>
      </c>
      <c r="B7134" s="1">
        <v>40942</v>
      </c>
      <c r="C7134" t="s">
        <v>28</v>
      </c>
      <c r="D7134" s="7">
        <v>201</v>
      </c>
      <c r="E7134" s="7">
        <v>30</v>
      </c>
      <c r="F7134" s="7">
        <f t="shared" si="111"/>
        <v>6</v>
      </c>
      <c r="G7134" s="7" t="str">
        <f>LOOKUP(H7134,[1]startdates!$A$2:$A$10,[1]startdates!$B$2:$B$10)</f>
        <v>C</v>
      </c>
      <c r="H7134">
        <v>5</v>
      </c>
      <c r="I7134" s="7">
        <v>548.5</v>
      </c>
      <c r="K7134" s="7">
        <v>560.5</v>
      </c>
      <c r="M7134" s="7">
        <v>298.3</v>
      </c>
      <c r="N7134" s="7">
        <v>218.7</v>
      </c>
      <c r="O7134" s="7">
        <v>160.69999999999999</v>
      </c>
    </row>
    <row r="7135" spans="1:18" x14ac:dyDescent="0.2">
      <c r="A7135">
        <v>7134</v>
      </c>
      <c r="B7135" s="1">
        <v>40942</v>
      </c>
      <c r="C7135" t="s">
        <v>28</v>
      </c>
      <c r="D7135" s="7">
        <v>201</v>
      </c>
      <c r="E7135" s="7">
        <v>30</v>
      </c>
      <c r="F7135" s="7">
        <f t="shared" si="111"/>
        <v>6</v>
      </c>
      <c r="G7135" s="7" t="str">
        <f>LOOKUP(H7135,[1]startdates!$A$2:$A$10,[1]startdates!$B$2:$B$10)</f>
        <v>C</v>
      </c>
      <c r="H7135">
        <v>5</v>
      </c>
      <c r="I7135" s="7">
        <v>548.9</v>
      </c>
      <c r="K7135" s="7">
        <v>559.79999999999995</v>
      </c>
      <c r="M7135" s="7">
        <v>356.3</v>
      </c>
      <c r="N7135" s="7">
        <v>213.5</v>
      </c>
      <c r="O7135" s="7">
        <v>157.6</v>
      </c>
    </row>
    <row r="7136" spans="1:18" x14ac:dyDescent="0.2">
      <c r="A7136">
        <v>7135</v>
      </c>
      <c r="B7136" s="1">
        <v>40942</v>
      </c>
      <c r="C7136" t="s">
        <v>28</v>
      </c>
      <c r="D7136" s="7">
        <v>201</v>
      </c>
      <c r="E7136" s="7">
        <v>30</v>
      </c>
      <c r="F7136" s="7">
        <f t="shared" si="111"/>
        <v>6</v>
      </c>
      <c r="G7136" s="7" t="str">
        <f>LOOKUP(H7136,[1]startdates!$A$2:$A$10,[1]startdates!$B$2:$B$10)</f>
        <v>C</v>
      </c>
      <c r="H7136">
        <v>5</v>
      </c>
      <c r="M7136" s="7">
        <v>332.7</v>
      </c>
      <c r="N7136" s="7">
        <v>201</v>
      </c>
      <c r="O7136" s="7">
        <v>177.7</v>
      </c>
    </row>
    <row r="7137" spans="1:19" x14ac:dyDescent="0.2">
      <c r="A7137">
        <v>7136</v>
      </c>
      <c r="B7137" s="1">
        <v>40942</v>
      </c>
      <c r="C7137" t="s">
        <v>28</v>
      </c>
      <c r="D7137" s="7">
        <v>201</v>
      </c>
      <c r="E7137" s="7">
        <v>30</v>
      </c>
      <c r="F7137" s="7">
        <f t="shared" si="111"/>
        <v>6</v>
      </c>
      <c r="G7137" s="7" t="str">
        <f>LOOKUP(H7137,[1]startdates!$A$2:$A$10,[1]startdates!$B$2:$B$10)</f>
        <v>C</v>
      </c>
      <c r="H7137">
        <v>5</v>
      </c>
      <c r="M7137" s="7">
        <v>343.8</v>
      </c>
      <c r="N7137" s="7">
        <v>224.8</v>
      </c>
      <c r="O7137" s="7">
        <v>173.7</v>
      </c>
    </row>
    <row r="7138" spans="1:19" x14ac:dyDescent="0.2">
      <c r="A7138">
        <v>7137</v>
      </c>
      <c r="B7138" s="1">
        <v>40942</v>
      </c>
      <c r="C7138" t="s">
        <v>28</v>
      </c>
      <c r="D7138" s="7">
        <v>201</v>
      </c>
      <c r="E7138" s="7">
        <v>30</v>
      </c>
      <c r="F7138" s="7">
        <f t="shared" si="111"/>
        <v>6</v>
      </c>
      <c r="G7138" s="7" t="str">
        <f>LOOKUP(H7138,[1]startdates!$A$2:$A$10,[1]startdates!$B$2:$B$10)</f>
        <v>C</v>
      </c>
      <c r="H7138">
        <v>5</v>
      </c>
      <c r="M7138" s="7">
        <v>376.1</v>
      </c>
      <c r="N7138" s="7">
        <v>232.2</v>
      </c>
      <c r="O7138" s="7">
        <v>169</v>
      </c>
    </row>
    <row r="7139" spans="1:19" x14ac:dyDescent="0.2">
      <c r="A7139">
        <v>7138</v>
      </c>
      <c r="B7139" s="1">
        <v>40942</v>
      </c>
      <c r="C7139" t="s">
        <v>28</v>
      </c>
      <c r="D7139" s="7">
        <v>201</v>
      </c>
      <c r="E7139" s="7">
        <v>30</v>
      </c>
      <c r="F7139" s="7">
        <f t="shared" si="111"/>
        <v>6</v>
      </c>
      <c r="G7139" s="7" t="str">
        <f>LOOKUP(H7139,[1]startdates!$A$2:$A$10,[1]startdates!$B$2:$B$10)</f>
        <v>FMr</v>
      </c>
      <c r="H7139">
        <v>6</v>
      </c>
      <c r="I7139" s="7">
        <v>521.20000000000005</v>
      </c>
      <c r="K7139" s="7">
        <v>475.3</v>
      </c>
      <c r="L7139" s="7">
        <v>393</v>
      </c>
      <c r="M7139" s="7">
        <v>365.7</v>
      </c>
      <c r="N7139" s="7">
        <v>233.4</v>
      </c>
      <c r="O7139" s="7">
        <v>144</v>
      </c>
      <c r="P7139" s="7">
        <v>444.9</v>
      </c>
      <c r="Q7139" s="7">
        <v>341.6</v>
      </c>
      <c r="R7139" s="7">
        <v>273.5</v>
      </c>
    </row>
    <row r="7140" spans="1:19" x14ac:dyDescent="0.2">
      <c r="A7140">
        <v>7139</v>
      </c>
      <c r="B7140" s="1">
        <v>40942</v>
      </c>
      <c r="C7140" t="s">
        <v>28</v>
      </c>
      <c r="D7140" s="7">
        <v>201</v>
      </c>
      <c r="E7140" s="7">
        <v>30</v>
      </c>
      <c r="F7140" s="7">
        <f t="shared" si="111"/>
        <v>6</v>
      </c>
      <c r="G7140" s="7" t="str">
        <f>LOOKUP(H7140,[1]startdates!$A$2:$A$10,[1]startdates!$B$2:$B$10)</f>
        <v>FMr</v>
      </c>
      <c r="H7140">
        <v>6</v>
      </c>
      <c r="I7140" s="7">
        <v>502.3</v>
      </c>
      <c r="K7140" s="7">
        <v>531.20000000000005</v>
      </c>
      <c r="L7140" s="7">
        <v>445.8</v>
      </c>
      <c r="M7140" s="7">
        <v>382.1</v>
      </c>
      <c r="N7140" s="7">
        <v>210</v>
      </c>
      <c r="O7140" s="7">
        <v>155.30000000000001</v>
      </c>
    </row>
    <row r="7141" spans="1:19" x14ac:dyDescent="0.2">
      <c r="A7141">
        <v>7140</v>
      </c>
      <c r="B7141" s="1">
        <v>40942</v>
      </c>
      <c r="C7141" t="s">
        <v>28</v>
      </c>
      <c r="D7141" s="7">
        <v>201</v>
      </c>
      <c r="E7141" s="7">
        <v>30</v>
      </c>
      <c r="F7141" s="7">
        <f t="shared" si="111"/>
        <v>6</v>
      </c>
      <c r="G7141" s="7" t="str">
        <f>LOOKUP(H7141,[1]startdates!$A$2:$A$10,[1]startdates!$B$2:$B$10)</f>
        <v>FMr</v>
      </c>
      <c r="H7141">
        <v>6</v>
      </c>
      <c r="I7141" s="7">
        <v>569.5</v>
      </c>
      <c r="K7141" s="7">
        <v>449.5</v>
      </c>
      <c r="L7141" s="7">
        <v>399.3</v>
      </c>
      <c r="M7141" s="7">
        <v>386.4</v>
      </c>
      <c r="N7141" s="7">
        <v>267.7</v>
      </c>
      <c r="O7141" s="7">
        <v>130.69999999999999</v>
      </c>
    </row>
    <row r="7142" spans="1:19" x14ac:dyDescent="0.2">
      <c r="A7142">
        <v>7141</v>
      </c>
      <c r="B7142" s="1">
        <v>40942</v>
      </c>
      <c r="C7142" t="s">
        <v>28</v>
      </c>
      <c r="D7142" s="7">
        <v>201</v>
      </c>
      <c r="E7142" s="7">
        <v>30</v>
      </c>
      <c r="F7142" s="7">
        <f t="shared" si="111"/>
        <v>6</v>
      </c>
      <c r="G7142" s="7" t="str">
        <f>LOOKUP(H7142,[1]startdates!$A$2:$A$10,[1]startdates!$B$2:$B$10)</f>
        <v>FMr</v>
      </c>
      <c r="H7142">
        <v>6</v>
      </c>
      <c r="I7142" s="7">
        <v>647.1</v>
      </c>
      <c r="K7142" s="7">
        <v>524.70000000000005</v>
      </c>
      <c r="L7142" s="7">
        <v>391.4</v>
      </c>
      <c r="M7142" s="7">
        <v>317.10000000000002</v>
      </c>
      <c r="N7142" s="7">
        <v>179.5</v>
      </c>
      <c r="O7142" s="7">
        <v>156.80000000000001</v>
      </c>
    </row>
    <row r="7143" spans="1:19" x14ac:dyDescent="0.2">
      <c r="A7143">
        <v>7142</v>
      </c>
      <c r="B7143" s="1">
        <v>40942</v>
      </c>
      <c r="C7143" t="s">
        <v>28</v>
      </c>
      <c r="D7143" s="7">
        <v>201</v>
      </c>
      <c r="E7143" s="7">
        <v>30</v>
      </c>
      <c r="F7143" s="7">
        <f t="shared" si="111"/>
        <v>6</v>
      </c>
      <c r="G7143" s="7" t="str">
        <f>LOOKUP(H7143,[1]startdates!$A$2:$A$10,[1]startdates!$B$2:$B$10)</f>
        <v>FMr</v>
      </c>
      <c r="H7143">
        <v>6</v>
      </c>
      <c r="I7143" s="7">
        <v>634.1</v>
      </c>
      <c r="K7143" s="7">
        <v>534.9</v>
      </c>
      <c r="L7143" s="7">
        <v>433.8</v>
      </c>
      <c r="M7143" s="7">
        <v>292.3</v>
      </c>
      <c r="N7143" s="7">
        <v>265.8</v>
      </c>
      <c r="O7143" s="7">
        <v>163.5</v>
      </c>
    </row>
    <row r="7144" spans="1:19" x14ac:dyDescent="0.2">
      <c r="A7144">
        <v>7143</v>
      </c>
      <c r="B7144" s="1">
        <v>40942</v>
      </c>
      <c r="C7144" t="s">
        <v>28</v>
      </c>
      <c r="D7144" s="7">
        <v>201</v>
      </c>
      <c r="E7144" s="7">
        <v>30</v>
      </c>
      <c r="F7144" s="7">
        <f t="shared" si="111"/>
        <v>6</v>
      </c>
      <c r="G7144" s="7" t="str">
        <f>LOOKUP(H7144,[1]startdates!$A$2:$A$10,[1]startdates!$B$2:$B$10)</f>
        <v>FMr</v>
      </c>
      <c r="H7144">
        <v>6</v>
      </c>
      <c r="I7144" s="7">
        <v>567.1</v>
      </c>
      <c r="K7144" s="7">
        <v>466</v>
      </c>
      <c r="L7144" s="7">
        <v>416.3</v>
      </c>
      <c r="M7144" s="7">
        <v>307.60000000000002</v>
      </c>
      <c r="N7144" s="7">
        <v>177.3</v>
      </c>
      <c r="O7144" s="7">
        <v>161.5</v>
      </c>
    </row>
    <row r="7145" spans="1:19" x14ac:dyDescent="0.2">
      <c r="A7145">
        <v>7144</v>
      </c>
      <c r="B7145" s="1">
        <v>40942</v>
      </c>
      <c r="C7145" t="s">
        <v>28</v>
      </c>
      <c r="D7145" s="7">
        <v>201</v>
      </c>
      <c r="E7145" s="7">
        <v>30</v>
      </c>
      <c r="F7145" s="7">
        <f t="shared" ref="F7145:F7208" si="112">WEEKDAY(B7145)</f>
        <v>6</v>
      </c>
      <c r="G7145" s="7" t="str">
        <f>LOOKUP(H7145,[1]startdates!$A$2:$A$10,[1]startdates!$B$2:$B$10)</f>
        <v>FMr</v>
      </c>
      <c r="H7145">
        <v>6</v>
      </c>
      <c r="I7145" s="7">
        <v>578</v>
      </c>
      <c r="L7145" s="7">
        <v>411.2</v>
      </c>
      <c r="M7145" s="7">
        <v>318</v>
      </c>
      <c r="N7145" s="7">
        <v>251.9</v>
      </c>
      <c r="O7145" s="7">
        <v>158.6</v>
      </c>
    </row>
    <row r="7146" spans="1:19" x14ac:dyDescent="0.2">
      <c r="A7146">
        <v>7145</v>
      </c>
      <c r="B7146" s="1">
        <v>40942</v>
      </c>
      <c r="C7146" t="s">
        <v>28</v>
      </c>
      <c r="D7146" s="7">
        <v>201</v>
      </c>
      <c r="E7146" s="7">
        <v>30</v>
      </c>
      <c r="F7146" s="7">
        <f t="shared" si="112"/>
        <v>6</v>
      </c>
      <c r="G7146" s="7" t="str">
        <f>LOOKUP(H7146,[1]startdates!$A$2:$A$10,[1]startdates!$B$2:$B$10)</f>
        <v>FMr</v>
      </c>
      <c r="H7146">
        <v>6</v>
      </c>
      <c r="I7146" s="7">
        <v>549.6</v>
      </c>
      <c r="L7146" s="7">
        <v>428.5</v>
      </c>
      <c r="M7146" s="7">
        <v>339</v>
      </c>
      <c r="N7146" s="7">
        <v>267.60000000000002</v>
      </c>
      <c r="O7146" s="7">
        <v>151.80000000000001</v>
      </c>
    </row>
    <row r="7147" spans="1:19" x14ac:dyDescent="0.2">
      <c r="A7147">
        <v>7146</v>
      </c>
      <c r="B7147" s="1">
        <v>40942</v>
      </c>
      <c r="C7147" t="s">
        <v>28</v>
      </c>
      <c r="D7147" s="7">
        <v>201</v>
      </c>
      <c r="E7147" s="7">
        <v>30</v>
      </c>
      <c r="F7147" s="7">
        <f t="shared" si="112"/>
        <v>6</v>
      </c>
      <c r="G7147" s="7" t="str">
        <f>LOOKUP(H7147,[1]startdates!$A$2:$A$10,[1]startdates!$B$2:$B$10)</f>
        <v>FMr</v>
      </c>
      <c r="H7147">
        <v>6</v>
      </c>
      <c r="I7147" s="7">
        <v>567</v>
      </c>
      <c r="M7147" s="7">
        <v>324.2</v>
      </c>
      <c r="N7147" s="7">
        <v>230.8</v>
      </c>
      <c r="O7147" s="7">
        <v>150.19999999999999</v>
      </c>
    </row>
    <row r="7148" spans="1:19" x14ac:dyDescent="0.2">
      <c r="A7148">
        <v>7147</v>
      </c>
      <c r="B7148" s="1">
        <v>40942</v>
      </c>
      <c r="C7148" t="s">
        <v>28</v>
      </c>
      <c r="D7148" s="7">
        <v>201</v>
      </c>
      <c r="E7148" s="7">
        <v>30</v>
      </c>
      <c r="F7148" s="7">
        <f t="shared" si="112"/>
        <v>6</v>
      </c>
      <c r="G7148" s="7" t="str">
        <f>LOOKUP(H7148,[1]startdates!$A$2:$A$10,[1]startdates!$B$2:$B$10)</f>
        <v>FMr</v>
      </c>
      <c r="H7148">
        <v>6</v>
      </c>
      <c r="I7148" s="7">
        <v>600.9</v>
      </c>
      <c r="M7148" s="7">
        <v>383.8</v>
      </c>
      <c r="N7148" s="7">
        <v>198.3</v>
      </c>
      <c r="O7148" s="7">
        <v>147.69999999999999</v>
      </c>
    </row>
    <row r="7149" spans="1:19" x14ac:dyDescent="0.2">
      <c r="A7149">
        <v>7148</v>
      </c>
      <c r="B7149" s="1">
        <v>40942</v>
      </c>
      <c r="C7149" t="s">
        <v>24</v>
      </c>
      <c r="D7149" s="7">
        <v>201</v>
      </c>
      <c r="E7149" s="7">
        <v>30</v>
      </c>
      <c r="F7149" s="7">
        <f t="shared" si="112"/>
        <v>6</v>
      </c>
      <c r="G7149" s="7" t="str">
        <f>LOOKUP(H7149,[1]startdates!$A$2:$A$10,[1]startdates!$B$2:$B$10)</f>
        <v>FMr</v>
      </c>
      <c r="H7149">
        <v>7</v>
      </c>
      <c r="I7149" s="7">
        <v>680.9</v>
      </c>
      <c r="J7149" s="7">
        <v>448.5</v>
      </c>
      <c r="K7149" s="7">
        <v>501.4</v>
      </c>
      <c r="L7149" s="7">
        <v>447.2</v>
      </c>
      <c r="M7149" s="7">
        <v>401.6</v>
      </c>
      <c r="N7149" s="7">
        <v>197.3</v>
      </c>
      <c r="O7149" s="7">
        <v>181.9</v>
      </c>
      <c r="P7149" s="7">
        <v>407.9</v>
      </c>
      <c r="S7149" s="7">
        <v>290</v>
      </c>
    </row>
    <row r="7150" spans="1:19" x14ac:dyDescent="0.2">
      <c r="A7150">
        <v>7149</v>
      </c>
      <c r="B7150" s="1">
        <v>40942</v>
      </c>
      <c r="C7150" t="s">
        <v>24</v>
      </c>
      <c r="D7150" s="7">
        <v>201</v>
      </c>
      <c r="E7150" s="7">
        <v>30</v>
      </c>
      <c r="F7150" s="7">
        <f t="shared" si="112"/>
        <v>6</v>
      </c>
      <c r="G7150" s="7" t="str">
        <f>LOOKUP(H7150,[1]startdates!$A$2:$A$10,[1]startdates!$B$2:$B$10)</f>
        <v>FMr</v>
      </c>
      <c r="H7150">
        <v>7</v>
      </c>
      <c r="I7150" s="7">
        <v>550.70000000000005</v>
      </c>
      <c r="J7150" s="7">
        <v>426.1</v>
      </c>
      <c r="K7150" s="7">
        <v>583.4</v>
      </c>
      <c r="L7150" s="7">
        <v>453.1</v>
      </c>
      <c r="M7150" s="7">
        <v>339.1</v>
      </c>
      <c r="N7150" s="7">
        <v>238.1</v>
      </c>
      <c r="O7150" s="7">
        <v>165.7</v>
      </c>
    </row>
    <row r="7151" spans="1:19" x14ac:dyDescent="0.2">
      <c r="A7151">
        <v>7150</v>
      </c>
      <c r="B7151" s="1">
        <v>40942</v>
      </c>
      <c r="C7151" t="s">
        <v>24</v>
      </c>
      <c r="D7151" s="7">
        <v>201</v>
      </c>
      <c r="E7151" s="7">
        <v>30</v>
      </c>
      <c r="F7151" s="7">
        <f t="shared" si="112"/>
        <v>6</v>
      </c>
      <c r="G7151" s="7" t="str">
        <f>LOOKUP(H7151,[1]startdates!$A$2:$A$10,[1]startdates!$B$2:$B$10)</f>
        <v>FMr</v>
      </c>
      <c r="H7151">
        <v>7</v>
      </c>
      <c r="I7151" s="7">
        <v>638</v>
      </c>
      <c r="K7151" s="7">
        <v>497.2</v>
      </c>
      <c r="L7151" s="7">
        <v>454.9</v>
      </c>
      <c r="M7151" s="7">
        <v>412.4</v>
      </c>
      <c r="N7151" s="7">
        <v>194.3</v>
      </c>
      <c r="O7151" s="7">
        <v>171.6</v>
      </c>
    </row>
    <row r="7152" spans="1:19" x14ac:dyDescent="0.2">
      <c r="A7152">
        <v>7151</v>
      </c>
      <c r="B7152" s="1">
        <v>40942</v>
      </c>
      <c r="C7152" t="s">
        <v>24</v>
      </c>
      <c r="D7152" s="7">
        <v>201</v>
      </c>
      <c r="E7152" s="7">
        <v>30</v>
      </c>
      <c r="F7152" s="7">
        <f t="shared" si="112"/>
        <v>6</v>
      </c>
      <c r="G7152" s="7" t="str">
        <f>LOOKUP(H7152,[1]startdates!$A$2:$A$10,[1]startdates!$B$2:$B$10)</f>
        <v>FMr</v>
      </c>
      <c r="H7152">
        <v>7</v>
      </c>
      <c r="I7152" s="7">
        <v>536.1</v>
      </c>
      <c r="K7152" s="7">
        <v>534.6</v>
      </c>
      <c r="L7152" s="7">
        <v>418.4</v>
      </c>
      <c r="M7152" s="7">
        <v>349.5</v>
      </c>
      <c r="N7152" s="7">
        <v>212.2</v>
      </c>
      <c r="O7152" s="7">
        <v>180.1</v>
      </c>
    </row>
    <row r="7153" spans="1:19" x14ac:dyDescent="0.2">
      <c r="A7153">
        <v>7152</v>
      </c>
      <c r="B7153" s="1">
        <v>40942</v>
      </c>
      <c r="C7153" t="s">
        <v>24</v>
      </c>
      <c r="D7153" s="7">
        <v>201</v>
      </c>
      <c r="E7153" s="7">
        <v>30</v>
      </c>
      <c r="F7153" s="7">
        <f t="shared" si="112"/>
        <v>6</v>
      </c>
      <c r="G7153" s="7" t="str">
        <f>LOOKUP(H7153,[1]startdates!$A$2:$A$10,[1]startdates!$B$2:$B$10)</f>
        <v>FMr</v>
      </c>
      <c r="H7153">
        <v>7</v>
      </c>
      <c r="I7153" s="7">
        <v>644.79999999999995</v>
      </c>
      <c r="K7153" s="7">
        <v>510</v>
      </c>
      <c r="L7153" s="7">
        <v>438</v>
      </c>
      <c r="M7153" s="7">
        <v>382.1</v>
      </c>
      <c r="N7153" s="7">
        <v>228.7</v>
      </c>
      <c r="O7153" s="7">
        <v>170</v>
      </c>
    </row>
    <row r="7154" spans="1:19" x14ac:dyDescent="0.2">
      <c r="A7154">
        <v>7153</v>
      </c>
      <c r="B7154" s="1">
        <v>40942</v>
      </c>
      <c r="C7154" t="s">
        <v>24</v>
      </c>
      <c r="D7154" s="7">
        <v>201</v>
      </c>
      <c r="E7154" s="7">
        <v>30</v>
      </c>
      <c r="F7154" s="7">
        <f t="shared" si="112"/>
        <v>6</v>
      </c>
      <c r="G7154" s="7" t="str">
        <f>LOOKUP(H7154,[1]startdates!$A$2:$A$10,[1]startdates!$B$2:$B$10)</f>
        <v>FMr</v>
      </c>
      <c r="H7154">
        <v>7</v>
      </c>
      <c r="I7154" s="7">
        <v>603</v>
      </c>
      <c r="L7154" s="7">
        <v>449.4</v>
      </c>
      <c r="M7154" s="7">
        <v>380.4</v>
      </c>
      <c r="N7154" s="7">
        <v>200.3</v>
      </c>
      <c r="O7154" s="7">
        <v>156</v>
      </c>
    </row>
    <row r="7155" spans="1:19" x14ac:dyDescent="0.2">
      <c r="A7155">
        <v>7154</v>
      </c>
      <c r="B7155" s="1">
        <v>40942</v>
      </c>
      <c r="C7155" t="s">
        <v>24</v>
      </c>
      <c r="D7155" s="7">
        <v>201</v>
      </c>
      <c r="E7155" s="7">
        <v>30</v>
      </c>
      <c r="F7155" s="7">
        <f t="shared" si="112"/>
        <v>6</v>
      </c>
      <c r="G7155" s="7" t="str">
        <f>LOOKUP(H7155,[1]startdates!$A$2:$A$10,[1]startdates!$B$2:$B$10)</f>
        <v>FMr</v>
      </c>
      <c r="H7155">
        <v>7</v>
      </c>
      <c r="L7155" s="7">
        <v>402.6</v>
      </c>
      <c r="M7155" s="7">
        <v>351.3</v>
      </c>
      <c r="N7155" s="7">
        <v>204.5</v>
      </c>
      <c r="O7155" s="7">
        <v>162.69999999999999</v>
      </c>
    </row>
    <row r="7156" spans="1:19" x14ac:dyDescent="0.2">
      <c r="A7156">
        <v>7155</v>
      </c>
      <c r="B7156" s="1">
        <v>40942</v>
      </c>
      <c r="C7156" t="s">
        <v>24</v>
      </c>
      <c r="D7156" s="7">
        <v>201</v>
      </c>
      <c r="E7156" s="7">
        <v>30</v>
      </c>
      <c r="F7156" s="7">
        <f t="shared" si="112"/>
        <v>6</v>
      </c>
      <c r="G7156" s="7" t="str">
        <f>LOOKUP(H7156,[1]startdates!$A$2:$A$10,[1]startdates!$B$2:$B$10)</f>
        <v>FMr</v>
      </c>
      <c r="H7156">
        <v>7</v>
      </c>
      <c r="N7156" s="7">
        <v>285.2</v>
      </c>
      <c r="O7156" s="7">
        <v>187</v>
      </c>
    </row>
    <row r="7157" spans="1:19" x14ac:dyDescent="0.2">
      <c r="A7157">
        <v>7156</v>
      </c>
      <c r="B7157" s="1">
        <v>40942</v>
      </c>
      <c r="C7157" t="s">
        <v>24</v>
      </c>
      <c r="D7157" s="7">
        <v>201</v>
      </c>
      <c r="E7157" s="7">
        <v>30</v>
      </c>
      <c r="F7157" s="7">
        <f t="shared" si="112"/>
        <v>6</v>
      </c>
      <c r="G7157" s="7" t="str">
        <f>LOOKUP(H7157,[1]startdates!$A$2:$A$10,[1]startdates!$B$2:$B$10)</f>
        <v>FMr</v>
      </c>
      <c r="H7157">
        <v>7</v>
      </c>
      <c r="N7157" s="7">
        <v>211.7</v>
      </c>
      <c r="O7157" s="7">
        <v>168.6</v>
      </c>
    </row>
    <row r="7158" spans="1:19" x14ac:dyDescent="0.2">
      <c r="A7158">
        <v>7157</v>
      </c>
      <c r="B7158" s="1">
        <v>40942</v>
      </c>
      <c r="C7158" t="s">
        <v>24</v>
      </c>
      <c r="D7158" s="7">
        <v>201</v>
      </c>
      <c r="E7158" s="7">
        <v>30</v>
      </c>
      <c r="F7158" s="7">
        <f t="shared" si="112"/>
        <v>6</v>
      </c>
      <c r="G7158" s="7" t="str">
        <f>LOOKUP(H7158,[1]startdates!$A$2:$A$10,[1]startdates!$B$2:$B$10)</f>
        <v>FMr</v>
      </c>
      <c r="H7158">
        <v>7</v>
      </c>
      <c r="N7158" s="7">
        <v>285</v>
      </c>
      <c r="O7158" s="7">
        <v>180.6</v>
      </c>
    </row>
    <row r="7159" spans="1:19" x14ac:dyDescent="0.2">
      <c r="A7159">
        <v>7158</v>
      </c>
      <c r="B7159" s="1">
        <v>40942</v>
      </c>
      <c r="C7159" t="s">
        <v>24</v>
      </c>
      <c r="D7159" s="7">
        <v>201</v>
      </c>
      <c r="E7159" s="7">
        <v>30</v>
      </c>
      <c r="F7159" s="7">
        <f t="shared" si="112"/>
        <v>6</v>
      </c>
      <c r="G7159" s="7" t="str">
        <f>LOOKUP(H7159,[1]startdates!$A$2:$A$10,[1]startdates!$B$2:$B$10)</f>
        <v>FMr</v>
      </c>
      <c r="H7159">
        <v>7</v>
      </c>
      <c r="N7159" s="7">
        <v>224.4</v>
      </c>
      <c r="O7159" s="7">
        <v>174.6</v>
      </c>
    </row>
    <row r="7160" spans="1:19" x14ac:dyDescent="0.2">
      <c r="A7160">
        <v>7159</v>
      </c>
      <c r="B7160" s="1">
        <v>40942</v>
      </c>
      <c r="C7160" t="s">
        <v>24</v>
      </c>
      <c r="D7160" s="7">
        <v>201</v>
      </c>
      <c r="E7160" s="7">
        <v>30</v>
      </c>
      <c r="F7160" s="7">
        <f t="shared" si="112"/>
        <v>6</v>
      </c>
      <c r="G7160" s="7" t="str">
        <f>LOOKUP(H7160,[1]startdates!$A$2:$A$10,[1]startdates!$B$2:$B$10)</f>
        <v>FMr</v>
      </c>
      <c r="H7160">
        <v>7</v>
      </c>
      <c r="O7160" s="7">
        <v>181.3</v>
      </c>
    </row>
    <row r="7161" spans="1:19" x14ac:dyDescent="0.2">
      <c r="A7161">
        <v>7160</v>
      </c>
      <c r="B7161" s="1">
        <v>40942</v>
      </c>
      <c r="C7161" t="s">
        <v>28</v>
      </c>
      <c r="D7161" s="7">
        <v>201</v>
      </c>
      <c r="E7161" s="7">
        <v>30</v>
      </c>
      <c r="F7161" s="7">
        <f t="shared" si="112"/>
        <v>6</v>
      </c>
      <c r="G7161" s="7" t="str">
        <f>LOOKUP(H7161,[1]startdates!$A$2:$A$10,[1]startdates!$B$2:$B$10)</f>
        <v>C</v>
      </c>
      <c r="H7161">
        <v>8</v>
      </c>
      <c r="I7161" s="7">
        <v>623.1</v>
      </c>
      <c r="J7161" s="7">
        <v>469</v>
      </c>
      <c r="K7161" s="7">
        <v>580</v>
      </c>
      <c r="L7161" s="7">
        <v>405.4</v>
      </c>
      <c r="M7161" s="7">
        <v>305.10000000000002</v>
      </c>
      <c r="N7161" s="7">
        <v>282.10000000000002</v>
      </c>
      <c r="O7161" s="7">
        <v>166.7</v>
      </c>
      <c r="P7161" s="7">
        <v>480.4</v>
      </c>
      <c r="Q7161" s="7">
        <v>350.5</v>
      </c>
      <c r="S7161" s="7">
        <v>223.3</v>
      </c>
    </row>
    <row r="7162" spans="1:19" x14ac:dyDescent="0.2">
      <c r="A7162">
        <v>7161</v>
      </c>
      <c r="B7162" s="1">
        <v>40942</v>
      </c>
      <c r="C7162" t="s">
        <v>28</v>
      </c>
      <c r="D7162" s="7">
        <v>201</v>
      </c>
      <c r="E7162" s="7">
        <v>30</v>
      </c>
      <c r="F7162" s="7">
        <f t="shared" si="112"/>
        <v>6</v>
      </c>
      <c r="G7162" s="7" t="str">
        <f>LOOKUP(H7162,[1]startdates!$A$2:$A$10,[1]startdates!$B$2:$B$10)</f>
        <v>C</v>
      </c>
      <c r="H7162">
        <v>8</v>
      </c>
      <c r="I7162" s="7">
        <v>530.79999999999995</v>
      </c>
      <c r="J7162" s="7">
        <v>552</v>
      </c>
      <c r="K7162" s="7">
        <v>512.1</v>
      </c>
      <c r="L7162" s="7">
        <v>390.3</v>
      </c>
      <c r="M7162" s="7">
        <v>298.10000000000002</v>
      </c>
      <c r="N7162" s="7">
        <v>201.8</v>
      </c>
      <c r="O7162" s="7">
        <v>170.8</v>
      </c>
    </row>
    <row r="7163" spans="1:19" x14ac:dyDescent="0.2">
      <c r="A7163">
        <v>7162</v>
      </c>
      <c r="B7163" s="1">
        <v>40942</v>
      </c>
      <c r="C7163" t="s">
        <v>28</v>
      </c>
      <c r="D7163" s="7">
        <v>201</v>
      </c>
      <c r="E7163" s="7">
        <v>30</v>
      </c>
      <c r="F7163" s="7">
        <f t="shared" si="112"/>
        <v>6</v>
      </c>
      <c r="G7163" s="7" t="str">
        <f>LOOKUP(H7163,[1]startdates!$A$2:$A$10,[1]startdates!$B$2:$B$10)</f>
        <v>C</v>
      </c>
      <c r="H7163">
        <v>8</v>
      </c>
      <c r="I7163" s="7">
        <v>582.29999999999995</v>
      </c>
      <c r="J7163" s="7">
        <v>520.70000000000005</v>
      </c>
      <c r="K7163" s="7">
        <v>576.9</v>
      </c>
      <c r="L7163" s="7">
        <v>431.4</v>
      </c>
      <c r="M7163" s="7">
        <v>322.89999999999998</v>
      </c>
      <c r="N7163" s="7">
        <v>206.2</v>
      </c>
      <c r="O7163" s="7">
        <v>177.7</v>
      </c>
    </row>
    <row r="7164" spans="1:19" x14ac:dyDescent="0.2">
      <c r="A7164">
        <v>7163</v>
      </c>
      <c r="B7164" s="1">
        <v>40942</v>
      </c>
      <c r="C7164" t="s">
        <v>28</v>
      </c>
      <c r="D7164" s="7">
        <v>201</v>
      </c>
      <c r="E7164" s="7">
        <v>30</v>
      </c>
      <c r="F7164" s="7">
        <f t="shared" si="112"/>
        <v>6</v>
      </c>
      <c r="G7164" s="7" t="str">
        <f>LOOKUP(H7164,[1]startdates!$A$2:$A$10,[1]startdates!$B$2:$B$10)</f>
        <v>C</v>
      </c>
      <c r="H7164">
        <v>8</v>
      </c>
      <c r="I7164" s="7">
        <v>639.4</v>
      </c>
      <c r="J7164" s="7">
        <v>447.9</v>
      </c>
      <c r="K7164" s="7">
        <v>484.2</v>
      </c>
      <c r="M7164" s="7">
        <v>325.2</v>
      </c>
      <c r="N7164" s="7">
        <v>257.7</v>
      </c>
      <c r="O7164" s="7">
        <v>143.80000000000001</v>
      </c>
    </row>
    <row r="7165" spans="1:19" x14ac:dyDescent="0.2">
      <c r="A7165">
        <v>7164</v>
      </c>
      <c r="B7165" s="1">
        <v>40942</v>
      </c>
      <c r="C7165" t="s">
        <v>28</v>
      </c>
      <c r="D7165" s="7">
        <v>201</v>
      </c>
      <c r="E7165" s="7">
        <v>30</v>
      </c>
      <c r="F7165" s="7">
        <f t="shared" si="112"/>
        <v>6</v>
      </c>
      <c r="G7165" s="7" t="str">
        <f>LOOKUP(H7165,[1]startdates!$A$2:$A$10,[1]startdates!$B$2:$B$10)</f>
        <v>C</v>
      </c>
      <c r="H7165">
        <v>8</v>
      </c>
      <c r="I7165" s="7">
        <v>631.9</v>
      </c>
      <c r="J7165" s="7">
        <v>523.9</v>
      </c>
      <c r="K7165" s="7">
        <v>570.9</v>
      </c>
      <c r="M7165" s="7">
        <v>388.1</v>
      </c>
      <c r="N7165" s="7">
        <v>211.7</v>
      </c>
      <c r="O7165" s="7">
        <v>164.2</v>
      </c>
    </row>
    <row r="7166" spans="1:19" x14ac:dyDescent="0.2">
      <c r="A7166">
        <v>7165</v>
      </c>
      <c r="B7166" s="1">
        <v>40942</v>
      </c>
      <c r="C7166" t="s">
        <v>28</v>
      </c>
      <c r="D7166" s="7">
        <v>201</v>
      </c>
      <c r="E7166" s="7">
        <v>30</v>
      </c>
      <c r="F7166" s="7">
        <f t="shared" si="112"/>
        <v>6</v>
      </c>
      <c r="G7166" s="7" t="str">
        <f>LOOKUP(H7166,[1]startdates!$A$2:$A$10,[1]startdates!$B$2:$B$10)</f>
        <v>C</v>
      </c>
      <c r="H7166">
        <v>8</v>
      </c>
      <c r="I7166" s="7">
        <v>700.5</v>
      </c>
      <c r="J7166" s="7">
        <v>506.4</v>
      </c>
      <c r="K7166" s="7">
        <v>564.1</v>
      </c>
      <c r="M7166" s="7">
        <v>367</v>
      </c>
      <c r="N7166" s="7">
        <v>219.2</v>
      </c>
      <c r="O7166" s="7">
        <v>167.7</v>
      </c>
    </row>
    <row r="7167" spans="1:19" x14ac:dyDescent="0.2">
      <c r="A7167">
        <v>7166</v>
      </c>
      <c r="B7167" s="1">
        <v>40942</v>
      </c>
      <c r="C7167" t="s">
        <v>28</v>
      </c>
      <c r="D7167" s="7">
        <v>201</v>
      </c>
      <c r="E7167" s="7">
        <v>30</v>
      </c>
      <c r="F7167" s="7">
        <f t="shared" si="112"/>
        <v>6</v>
      </c>
      <c r="G7167" s="7" t="str">
        <f>LOOKUP(H7167,[1]startdates!$A$2:$A$10,[1]startdates!$B$2:$B$10)</f>
        <v>C</v>
      </c>
      <c r="H7167">
        <v>8</v>
      </c>
      <c r="I7167" s="7">
        <v>655.4</v>
      </c>
      <c r="J7167" s="7">
        <v>513.4</v>
      </c>
      <c r="K7167" s="7">
        <v>575.6</v>
      </c>
      <c r="M7167" s="7">
        <v>327.5</v>
      </c>
      <c r="N7167" s="7">
        <v>220.7</v>
      </c>
      <c r="O7167" s="7">
        <v>166.9</v>
      </c>
    </row>
    <row r="7168" spans="1:19" x14ac:dyDescent="0.2">
      <c r="A7168">
        <v>7167</v>
      </c>
      <c r="B7168" s="1">
        <v>40942</v>
      </c>
      <c r="C7168" t="s">
        <v>28</v>
      </c>
      <c r="D7168" s="7">
        <v>201</v>
      </c>
      <c r="E7168" s="7">
        <v>30</v>
      </c>
      <c r="F7168" s="7">
        <f t="shared" si="112"/>
        <v>6</v>
      </c>
      <c r="G7168" s="7" t="str">
        <f>LOOKUP(H7168,[1]startdates!$A$2:$A$10,[1]startdates!$B$2:$B$10)</f>
        <v>C</v>
      </c>
      <c r="H7168">
        <v>8</v>
      </c>
      <c r="I7168" s="7">
        <v>642.79999999999995</v>
      </c>
      <c r="J7168" s="7">
        <v>516.20000000000005</v>
      </c>
      <c r="K7168" s="7">
        <v>509.9</v>
      </c>
      <c r="M7168" s="7">
        <v>377.2</v>
      </c>
      <c r="N7168" s="7">
        <v>202.5</v>
      </c>
      <c r="O7168" s="7">
        <v>158.6</v>
      </c>
    </row>
    <row r="7169" spans="1:18" x14ac:dyDescent="0.2">
      <c r="A7169">
        <v>7168</v>
      </c>
      <c r="B7169" s="1">
        <v>40942</v>
      </c>
      <c r="C7169" t="s">
        <v>28</v>
      </c>
      <c r="D7169" s="7">
        <v>201</v>
      </c>
      <c r="E7169" s="7">
        <v>30</v>
      </c>
      <c r="F7169" s="7">
        <f t="shared" si="112"/>
        <v>6</v>
      </c>
      <c r="G7169" s="7" t="str">
        <f>LOOKUP(H7169,[1]startdates!$A$2:$A$10,[1]startdates!$B$2:$B$10)</f>
        <v>C</v>
      </c>
      <c r="H7169">
        <v>8</v>
      </c>
      <c r="I7169" s="7">
        <v>628.5</v>
      </c>
      <c r="M7169" s="7">
        <v>314</v>
      </c>
      <c r="N7169" s="7">
        <v>209.3</v>
      </c>
      <c r="O7169" s="7">
        <v>181.6</v>
      </c>
    </row>
    <row r="7170" spans="1:18" x14ac:dyDescent="0.2">
      <c r="A7170">
        <v>7169</v>
      </c>
      <c r="B7170" s="1">
        <v>40942</v>
      </c>
      <c r="C7170" t="s">
        <v>28</v>
      </c>
      <c r="D7170" s="7">
        <v>201</v>
      </c>
      <c r="E7170" s="7">
        <v>30</v>
      </c>
      <c r="F7170" s="7">
        <f t="shared" si="112"/>
        <v>6</v>
      </c>
      <c r="G7170" s="7" t="str">
        <f>LOOKUP(H7170,[1]startdates!$A$2:$A$10,[1]startdates!$B$2:$B$10)</f>
        <v>C</v>
      </c>
      <c r="H7170">
        <v>8</v>
      </c>
      <c r="I7170" s="7">
        <v>643.4</v>
      </c>
      <c r="M7170" s="7">
        <v>347.6</v>
      </c>
      <c r="N7170" s="7">
        <v>200.3</v>
      </c>
      <c r="O7170" s="7">
        <v>158.6</v>
      </c>
    </row>
    <row r="7171" spans="1:18" x14ac:dyDescent="0.2">
      <c r="A7171">
        <v>7170</v>
      </c>
      <c r="B7171" s="1">
        <v>40942</v>
      </c>
      <c r="C7171" t="s">
        <v>28</v>
      </c>
      <c r="D7171" s="7">
        <v>201</v>
      </c>
      <c r="E7171" s="7">
        <v>30</v>
      </c>
      <c r="F7171" s="7">
        <f t="shared" si="112"/>
        <v>6</v>
      </c>
      <c r="G7171" s="7" t="str">
        <f>LOOKUP(H7171,[1]startdates!$A$2:$A$10,[1]startdates!$B$2:$B$10)</f>
        <v>C</v>
      </c>
      <c r="H7171">
        <v>8</v>
      </c>
      <c r="M7171" s="7">
        <v>344.5</v>
      </c>
    </row>
    <row r="7172" spans="1:18" x14ac:dyDescent="0.2">
      <c r="A7172">
        <v>7171</v>
      </c>
      <c r="B7172" s="1">
        <v>40942</v>
      </c>
      <c r="C7172" t="s">
        <v>28</v>
      </c>
      <c r="D7172" s="7">
        <v>201</v>
      </c>
      <c r="E7172" s="7">
        <v>30</v>
      </c>
      <c r="F7172" s="7">
        <f t="shared" si="112"/>
        <v>6</v>
      </c>
      <c r="G7172" s="7" t="str">
        <f>LOOKUP(H7172,[1]startdates!$A$2:$A$10,[1]startdates!$B$2:$B$10)</f>
        <v>C</v>
      </c>
      <c r="H7172">
        <v>8</v>
      </c>
      <c r="M7172" s="7">
        <v>306.5</v>
      </c>
    </row>
    <row r="7173" spans="1:18" x14ac:dyDescent="0.2">
      <c r="A7173">
        <v>7172</v>
      </c>
      <c r="B7173" s="1">
        <v>40942</v>
      </c>
      <c r="C7173" t="s">
        <v>28</v>
      </c>
      <c r="D7173" s="7">
        <v>201</v>
      </c>
      <c r="E7173" s="7">
        <v>30</v>
      </c>
      <c r="F7173" s="7">
        <f t="shared" si="112"/>
        <v>6</v>
      </c>
      <c r="G7173" s="7" t="str">
        <f>LOOKUP(H7173,[1]startdates!$A$2:$A$10,[1]startdates!$B$2:$B$10)</f>
        <v>C</v>
      </c>
      <c r="H7173">
        <v>8</v>
      </c>
      <c r="M7173" s="7">
        <v>314.39999999999998</v>
      </c>
    </row>
    <row r="7174" spans="1:18" x14ac:dyDescent="0.2">
      <c r="A7174">
        <v>7173</v>
      </c>
      <c r="B7174" s="1">
        <v>40942</v>
      </c>
      <c r="C7174" t="s">
        <v>24</v>
      </c>
      <c r="D7174" s="7">
        <v>201</v>
      </c>
      <c r="E7174" s="7">
        <v>30</v>
      </c>
      <c r="F7174" s="7">
        <f t="shared" si="112"/>
        <v>6</v>
      </c>
      <c r="G7174" s="7" t="str">
        <f>LOOKUP(H7174,[1]startdates!$A$2:$A$10,[1]startdates!$B$2:$B$10)</f>
        <v>FMr</v>
      </c>
      <c r="H7174">
        <v>9</v>
      </c>
      <c r="I7174" s="7">
        <v>605.79999999999995</v>
      </c>
      <c r="J7174" s="7">
        <v>481.1</v>
      </c>
      <c r="K7174" s="7">
        <v>571.70000000000005</v>
      </c>
      <c r="L7174" s="7">
        <v>458</v>
      </c>
      <c r="M7174" s="7">
        <v>336.1</v>
      </c>
      <c r="N7174" s="7">
        <v>216.6</v>
      </c>
      <c r="O7174" s="7">
        <v>148.4</v>
      </c>
      <c r="P7174" s="7">
        <v>432.3</v>
      </c>
      <c r="R7174" s="7">
        <v>327.8</v>
      </c>
    </row>
    <row r="7175" spans="1:18" x14ac:dyDescent="0.2">
      <c r="A7175">
        <v>7174</v>
      </c>
      <c r="B7175" s="1">
        <v>40942</v>
      </c>
      <c r="C7175" t="s">
        <v>24</v>
      </c>
      <c r="D7175" s="7">
        <v>201</v>
      </c>
      <c r="E7175" s="7">
        <v>30</v>
      </c>
      <c r="F7175" s="7">
        <f t="shared" si="112"/>
        <v>6</v>
      </c>
      <c r="G7175" s="7" t="str">
        <f>LOOKUP(H7175,[1]startdates!$A$2:$A$10,[1]startdates!$B$2:$B$10)</f>
        <v>FMr</v>
      </c>
      <c r="H7175">
        <v>9</v>
      </c>
      <c r="I7175" s="7">
        <v>650.5</v>
      </c>
      <c r="J7175" s="7">
        <v>512.70000000000005</v>
      </c>
      <c r="K7175" s="7">
        <v>437.9</v>
      </c>
      <c r="L7175" s="7">
        <v>416.4</v>
      </c>
      <c r="M7175" s="7">
        <v>332.9</v>
      </c>
      <c r="N7175" s="7">
        <v>226.1</v>
      </c>
      <c r="O7175" s="7">
        <v>165.7</v>
      </c>
    </row>
    <row r="7176" spans="1:18" x14ac:dyDescent="0.2">
      <c r="A7176">
        <v>7175</v>
      </c>
      <c r="B7176" s="1">
        <v>40942</v>
      </c>
      <c r="C7176" t="s">
        <v>24</v>
      </c>
      <c r="D7176" s="7">
        <v>201</v>
      </c>
      <c r="E7176" s="7">
        <v>30</v>
      </c>
      <c r="F7176" s="7">
        <f t="shared" si="112"/>
        <v>6</v>
      </c>
      <c r="G7176" s="7" t="str">
        <f>LOOKUP(H7176,[1]startdates!$A$2:$A$10,[1]startdates!$B$2:$B$10)</f>
        <v>FMr</v>
      </c>
      <c r="H7176">
        <v>9</v>
      </c>
      <c r="I7176" s="7">
        <v>610.1</v>
      </c>
      <c r="K7176" s="7">
        <v>497.8</v>
      </c>
      <c r="L7176" s="7">
        <v>449.7</v>
      </c>
      <c r="M7176" s="7">
        <v>385</v>
      </c>
      <c r="N7176" s="7">
        <v>230.7</v>
      </c>
      <c r="O7176" s="7">
        <v>179.8</v>
      </c>
    </row>
    <row r="7177" spans="1:18" x14ac:dyDescent="0.2">
      <c r="A7177">
        <v>7176</v>
      </c>
      <c r="B7177" s="1">
        <v>40942</v>
      </c>
      <c r="C7177" t="s">
        <v>24</v>
      </c>
      <c r="D7177" s="7">
        <v>201</v>
      </c>
      <c r="E7177" s="7">
        <v>30</v>
      </c>
      <c r="F7177" s="7">
        <f t="shared" si="112"/>
        <v>6</v>
      </c>
      <c r="G7177" s="7" t="str">
        <f>LOOKUP(H7177,[1]startdates!$A$2:$A$10,[1]startdates!$B$2:$B$10)</f>
        <v>FMr</v>
      </c>
      <c r="H7177">
        <v>9</v>
      </c>
      <c r="I7177" s="7">
        <v>627.5</v>
      </c>
      <c r="K7177" s="7">
        <v>534.29999999999995</v>
      </c>
      <c r="M7177" s="7">
        <v>313.3</v>
      </c>
      <c r="N7177" s="7">
        <v>213.6</v>
      </c>
      <c r="O7177" s="7">
        <v>172.1</v>
      </c>
    </row>
    <row r="7178" spans="1:18" x14ac:dyDescent="0.2">
      <c r="A7178">
        <v>7177</v>
      </c>
      <c r="B7178" s="1">
        <v>40942</v>
      </c>
      <c r="C7178" t="s">
        <v>24</v>
      </c>
      <c r="D7178" s="7">
        <v>201</v>
      </c>
      <c r="E7178" s="7">
        <v>30</v>
      </c>
      <c r="F7178" s="7">
        <f t="shared" si="112"/>
        <v>6</v>
      </c>
      <c r="G7178" s="7" t="str">
        <f>LOOKUP(H7178,[1]startdates!$A$2:$A$10,[1]startdates!$B$2:$B$10)</f>
        <v>FMr</v>
      </c>
      <c r="H7178">
        <v>9</v>
      </c>
      <c r="I7178" s="7">
        <v>668.8</v>
      </c>
      <c r="K7178" s="7">
        <v>472.4</v>
      </c>
      <c r="M7178" s="7">
        <v>354.7</v>
      </c>
      <c r="N7178" s="7">
        <v>211</v>
      </c>
      <c r="O7178" s="7">
        <v>182.2</v>
      </c>
    </row>
    <row r="7179" spans="1:18" x14ac:dyDescent="0.2">
      <c r="A7179">
        <v>7178</v>
      </c>
      <c r="B7179" s="1">
        <v>40942</v>
      </c>
      <c r="C7179" t="s">
        <v>24</v>
      </c>
      <c r="D7179" s="7">
        <v>201</v>
      </c>
      <c r="E7179" s="7">
        <v>30</v>
      </c>
      <c r="F7179" s="7">
        <f t="shared" si="112"/>
        <v>6</v>
      </c>
      <c r="G7179" s="7" t="str">
        <f>LOOKUP(H7179,[1]startdates!$A$2:$A$10,[1]startdates!$B$2:$B$10)</f>
        <v>FMr</v>
      </c>
      <c r="H7179">
        <v>9</v>
      </c>
      <c r="I7179" s="7">
        <v>553.20000000000005</v>
      </c>
      <c r="K7179" s="7">
        <v>468.9</v>
      </c>
      <c r="M7179" s="7">
        <v>397.3</v>
      </c>
      <c r="N7179" s="7">
        <v>262.7</v>
      </c>
      <c r="O7179" s="7">
        <v>164.5</v>
      </c>
    </row>
    <row r="7180" spans="1:18" x14ac:dyDescent="0.2">
      <c r="A7180">
        <v>7179</v>
      </c>
      <c r="B7180" s="1">
        <v>40942</v>
      </c>
      <c r="C7180" t="s">
        <v>24</v>
      </c>
      <c r="D7180" s="7">
        <v>201</v>
      </c>
      <c r="E7180" s="7">
        <v>30</v>
      </c>
      <c r="F7180" s="7">
        <f t="shared" si="112"/>
        <v>6</v>
      </c>
      <c r="G7180" s="7" t="str">
        <f>LOOKUP(H7180,[1]startdates!$A$2:$A$10,[1]startdates!$B$2:$B$10)</f>
        <v>FMr</v>
      </c>
      <c r="H7180">
        <v>9</v>
      </c>
      <c r="I7180" s="7">
        <v>586.5</v>
      </c>
      <c r="K7180" s="7">
        <v>424</v>
      </c>
      <c r="M7180" s="7">
        <v>347</v>
      </c>
      <c r="N7180" s="7">
        <v>198.3</v>
      </c>
      <c r="O7180" s="7">
        <v>165.5</v>
      </c>
    </row>
    <row r="7181" spans="1:18" x14ac:dyDescent="0.2">
      <c r="A7181">
        <v>7180</v>
      </c>
      <c r="B7181" s="1">
        <v>40942</v>
      </c>
      <c r="C7181" t="s">
        <v>24</v>
      </c>
      <c r="D7181" s="7">
        <v>201</v>
      </c>
      <c r="E7181" s="7">
        <v>30</v>
      </c>
      <c r="F7181" s="7">
        <f t="shared" si="112"/>
        <v>6</v>
      </c>
      <c r="G7181" s="7" t="str">
        <f>LOOKUP(H7181,[1]startdates!$A$2:$A$10,[1]startdates!$B$2:$B$10)</f>
        <v>FMr</v>
      </c>
      <c r="H7181">
        <v>9</v>
      </c>
      <c r="I7181" s="7">
        <v>596.4</v>
      </c>
      <c r="K7181" s="7">
        <v>539.20000000000005</v>
      </c>
      <c r="M7181" s="7">
        <v>373.4</v>
      </c>
      <c r="N7181" s="7">
        <v>212.2</v>
      </c>
      <c r="O7181" s="7">
        <v>208.3</v>
      </c>
    </row>
    <row r="7182" spans="1:18" x14ac:dyDescent="0.2">
      <c r="A7182">
        <v>7181</v>
      </c>
      <c r="B7182" s="1">
        <v>40942</v>
      </c>
      <c r="C7182" t="s">
        <v>24</v>
      </c>
      <c r="D7182" s="7">
        <v>201</v>
      </c>
      <c r="E7182" s="7">
        <v>30</v>
      </c>
      <c r="F7182" s="7">
        <f t="shared" si="112"/>
        <v>6</v>
      </c>
      <c r="G7182" s="7" t="str">
        <f>LOOKUP(H7182,[1]startdates!$A$2:$A$10,[1]startdates!$B$2:$B$10)</f>
        <v>FMr</v>
      </c>
      <c r="H7182">
        <v>9</v>
      </c>
      <c r="I7182" s="7">
        <v>506.4</v>
      </c>
      <c r="N7182" s="7">
        <v>234.8</v>
      </c>
      <c r="O7182" s="7">
        <v>174.9</v>
      </c>
    </row>
    <row r="7183" spans="1:18" x14ac:dyDescent="0.2">
      <c r="A7183">
        <v>7182</v>
      </c>
      <c r="B7183" s="1">
        <v>40942</v>
      </c>
      <c r="C7183" t="s">
        <v>24</v>
      </c>
      <c r="D7183" s="7">
        <v>201</v>
      </c>
      <c r="E7183" s="7">
        <v>30</v>
      </c>
      <c r="F7183" s="7">
        <f t="shared" si="112"/>
        <v>6</v>
      </c>
      <c r="G7183" s="7" t="str">
        <f>LOOKUP(H7183,[1]startdates!$A$2:$A$10,[1]startdates!$B$2:$B$10)</f>
        <v>FMr</v>
      </c>
      <c r="H7183">
        <v>9</v>
      </c>
      <c r="I7183" s="7">
        <v>514.4</v>
      </c>
      <c r="N7183" s="7">
        <v>207.5</v>
      </c>
      <c r="O7183" s="7">
        <v>173.5</v>
      </c>
    </row>
    <row r="7184" spans="1:18" x14ac:dyDescent="0.2">
      <c r="A7184">
        <v>7183</v>
      </c>
      <c r="B7184" s="1">
        <v>40942</v>
      </c>
      <c r="C7184" t="s">
        <v>24</v>
      </c>
      <c r="D7184" s="7">
        <v>201</v>
      </c>
      <c r="E7184" s="7">
        <v>30</v>
      </c>
      <c r="F7184" s="7">
        <f t="shared" si="112"/>
        <v>6</v>
      </c>
      <c r="G7184" s="7" t="str">
        <f>LOOKUP(H7184,[1]startdates!$A$2:$A$10,[1]startdates!$B$2:$B$10)</f>
        <v>FMr</v>
      </c>
      <c r="H7184">
        <v>9</v>
      </c>
      <c r="I7184" s="7">
        <v>518.4</v>
      </c>
    </row>
    <row r="7185" spans="1:21" x14ac:dyDescent="0.2">
      <c r="A7185">
        <v>7184</v>
      </c>
      <c r="B7185" s="1">
        <v>40946</v>
      </c>
      <c r="C7185" t="s">
        <v>28</v>
      </c>
      <c r="D7185" s="7">
        <v>205</v>
      </c>
      <c r="E7185" s="7">
        <v>31</v>
      </c>
      <c r="F7185" s="7">
        <f t="shared" si="112"/>
        <v>3</v>
      </c>
      <c r="G7185" s="7" t="str">
        <f>LOOKUP(H7185,[1]startdates!$A$2:$A$10,[1]startdates!$B$2:$B$10)</f>
        <v>SMr</v>
      </c>
      <c r="H7185">
        <v>1</v>
      </c>
      <c r="I7185" s="7">
        <v>663.3</v>
      </c>
      <c r="J7185" s="7">
        <v>457.8</v>
      </c>
      <c r="K7185" s="7">
        <v>571.4</v>
      </c>
      <c r="L7185" s="7">
        <v>396</v>
      </c>
      <c r="M7185" s="7">
        <v>327.8</v>
      </c>
      <c r="N7185" s="7">
        <v>210.9</v>
      </c>
      <c r="O7185" s="7">
        <v>177.7</v>
      </c>
      <c r="P7185" s="7">
        <v>452.9</v>
      </c>
      <c r="Q7185" s="7">
        <v>327.9</v>
      </c>
      <c r="R7185" s="7">
        <v>258.8</v>
      </c>
      <c r="U7185" s="7">
        <v>541.5</v>
      </c>
    </row>
    <row r="7186" spans="1:21" x14ac:dyDescent="0.2">
      <c r="A7186">
        <v>7185</v>
      </c>
      <c r="B7186" s="1">
        <v>40946</v>
      </c>
      <c r="C7186" t="s">
        <v>28</v>
      </c>
      <c r="D7186" s="7">
        <v>205</v>
      </c>
      <c r="E7186" s="7">
        <v>31</v>
      </c>
      <c r="F7186" s="7">
        <f t="shared" si="112"/>
        <v>3</v>
      </c>
      <c r="G7186" s="7" t="str">
        <f>LOOKUP(H7186,[1]startdates!$A$2:$A$10,[1]startdates!$B$2:$B$10)</f>
        <v>SMr</v>
      </c>
      <c r="H7186">
        <v>1</v>
      </c>
      <c r="I7186" s="7">
        <v>648</v>
      </c>
      <c r="J7186" s="7">
        <v>442.1</v>
      </c>
      <c r="K7186" s="7">
        <v>591</v>
      </c>
      <c r="L7186" s="7">
        <v>458.1</v>
      </c>
      <c r="M7186" s="7">
        <v>344.7</v>
      </c>
      <c r="N7186" s="7">
        <v>213.3</v>
      </c>
      <c r="O7186" s="7">
        <v>153.30000000000001</v>
      </c>
      <c r="P7186" s="7">
        <v>398.4</v>
      </c>
      <c r="Q7186" s="7">
        <v>346.3</v>
      </c>
      <c r="R7186" s="7">
        <v>257.89999999999998</v>
      </c>
      <c r="U7186" s="7">
        <v>421</v>
      </c>
    </row>
    <row r="7187" spans="1:21" x14ac:dyDescent="0.2">
      <c r="A7187">
        <v>7186</v>
      </c>
      <c r="B7187" s="1">
        <v>40946</v>
      </c>
      <c r="C7187" t="s">
        <v>28</v>
      </c>
      <c r="D7187" s="7">
        <v>205</v>
      </c>
      <c r="E7187" s="7">
        <v>31</v>
      </c>
      <c r="F7187" s="7">
        <f t="shared" si="112"/>
        <v>3</v>
      </c>
      <c r="G7187" s="7" t="str">
        <f>LOOKUP(H7187,[1]startdates!$A$2:$A$10,[1]startdates!$B$2:$B$10)</f>
        <v>SMr</v>
      </c>
      <c r="H7187">
        <v>1</v>
      </c>
      <c r="I7187" s="7">
        <v>601.4</v>
      </c>
      <c r="J7187" s="7">
        <v>494.6</v>
      </c>
      <c r="L7187" s="7">
        <v>444.3</v>
      </c>
      <c r="M7187" s="7">
        <v>385.8</v>
      </c>
      <c r="N7187" s="7">
        <v>237.1</v>
      </c>
      <c r="O7187" s="7">
        <v>156.5</v>
      </c>
      <c r="R7187" s="7">
        <v>240</v>
      </c>
    </row>
    <row r="7188" spans="1:21" x14ac:dyDescent="0.2">
      <c r="A7188">
        <v>7187</v>
      </c>
      <c r="B7188" s="1">
        <v>40946</v>
      </c>
      <c r="C7188" t="s">
        <v>28</v>
      </c>
      <c r="D7188" s="7">
        <v>205</v>
      </c>
      <c r="E7188" s="7">
        <v>31</v>
      </c>
      <c r="F7188" s="7">
        <f t="shared" si="112"/>
        <v>3</v>
      </c>
      <c r="G7188" s="7" t="str">
        <f>LOOKUP(H7188,[1]startdates!$A$2:$A$10,[1]startdates!$B$2:$B$10)</f>
        <v>SMr</v>
      </c>
      <c r="H7188">
        <v>1</v>
      </c>
      <c r="I7188" s="7">
        <v>632.1</v>
      </c>
      <c r="J7188" s="7">
        <v>512.20000000000005</v>
      </c>
      <c r="L7188" s="7">
        <v>438</v>
      </c>
      <c r="M7188" s="7">
        <v>313.3</v>
      </c>
      <c r="N7188" s="7">
        <v>235.2</v>
      </c>
      <c r="O7188" s="7">
        <v>145.80000000000001</v>
      </c>
      <c r="R7188" s="7">
        <v>254.3</v>
      </c>
    </row>
    <row r="7189" spans="1:21" x14ac:dyDescent="0.2">
      <c r="A7189">
        <v>7188</v>
      </c>
      <c r="B7189" s="1">
        <v>40946</v>
      </c>
      <c r="C7189" t="s">
        <v>28</v>
      </c>
      <c r="D7189" s="7">
        <v>205</v>
      </c>
      <c r="E7189" s="7">
        <v>31</v>
      </c>
      <c r="F7189" s="7">
        <f t="shared" si="112"/>
        <v>3</v>
      </c>
      <c r="G7189" s="7" t="str">
        <f>LOOKUP(H7189,[1]startdates!$A$2:$A$10,[1]startdates!$B$2:$B$10)</f>
        <v>SMr</v>
      </c>
      <c r="H7189">
        <v>1</v>
      </c>
      <c r="I7189" s="7">
        <v>568.1</v>
      </c>
      <c r="J7189" s="7">
        <v>460.7</v>
      </c>
      <c r="M7189" s="7">
        <v>338.7</v>
      </c>
      <c r="N7189" s="7">
        <v>270.89999999999998</v>
      </c>
      <c r="O7189" s="7">
        <v>153.80000000000001</v>
      </c>
    </row>
    <row r="7190" spans="1:21" x14ac:dyDescent="0.2">
      <c r="A7190">
        <v>7189</v>
      </c>
      <c r="B7190" s="1">
        <v>40946</v>
      </c>
      <c r="C7190" t="s">
        <v>28</v>
      </c>
      <c r="D7190" s="7">
        <v>205</v>
      </c>
      <c r="E7190" s="7">
        <v>31</v>
      </c>
      <c r="F7190" s="7">
        <f t="shared" si="112"/>
        <v>3</v>
      </c>
      <c r="G7190" s="7" t="str">
        <f>LOOKUP(H7190,[1]startdates!$A$2:$A$10,[1]startdates!$B$2:$B$10)</f>
        <v>SMr</v>
      </c>
      <c r="H7190">
        <v>1</v>
      </c>
      <c r="I7190" s="7">
        <v>652</v>
      </c>
      <c r="M7190" s="7">
        <v>342.6</v>
      </c>
      <c r="N7190" s="7">
        <v>211.9</v>
      </c>
      <c r="O7190" s="7">
        <v>168.6</v>
      </c>
    </row>
    <row r="7191" spans="1:21" x14ac:dyDescent="0.2">
      <c r="A7191">
        <v>7190</v>
      </c>
      <c r="B7191" s="1">
        <v>40946</v>
      </c>
      <c r="C7191" t="s">
        <v>28</v>
      </c>
      <c r="D7191" s="7">
        <v>205</v>
      </c>
      <c r="E7191" s="7">
        <v>31</v>
      </c>
      <c r="F7191" s="7">
        <f t="shared" si="112"/>
        <v>3</v>
      </c>
      <c r="G7191" s="7" t="str">
        <f>LOOKUP(H7191,[1]startdates!$A$2:$A$10,[1]startdates!$B$2:$B$10)</f>
        <v>SMr</v>
      </c>
      <c r="H7191">
        <v>1</v>
      </c>
      <c r="I7191" s="7">
        <v>607.79999999999995</v>
      </c>
      <c r="M7191" s="7">
        <v>321.5</v>
      </c>
      <c r="N7191" s="7">
        <v>257.39999999999998</v>
      </c>
      <c r="O7191" s="7">
        <v>158.1</v>
      </c>
    </row>
    <row r="7192" spans="1:21" x14ac:dyDescent="0.2">
      <c r="A7192">
        <v>7191</v>
      </c>
      <c r="B7192" s="1">
        <v>40946</v>
      </c>
      <c r="C7192" t="s">
        <v>28</v>
      </c>
      <c r="D7192" s="7">
        <v>205</v>
      </c>
      <c r="E7192" s="7">
        <v>31</v>
      </c>
      <c r="F7192" s="7">
        <f t="shared" si="112"/>
        <v>3</v>
      </c>
      <c r="G7192" s="7" t="str">
        <f>LOOKUP(H7192,[1]startdates!$A$2:$A$10,[1]startdates!$B$2:$B$10)</f>
        <v>SMr</v>
      </c>
      <c r="H7192">
        <v>1</v>
      </c>
      <c r="I7192" s="7">
        <v>575.9</v>
      </c>
      <c r="M7192" s="7">
        <v>321.60000000000002</v>
      </c>
      <c r="N7192" s="7">
        <v>252.5</v>
      </c>
      <c r="O7192" s="7">
        <v>185</v>
      </c>
    </row>
    <row r="7193" spans="1:21" x14ac:dyDescent="0.2">
      <c r="A7193">
        <v>7192</v>
      </c>
      <c r="B7193" s="1">
        <v>40946</v>
      </c>
      <c r="C7193" t="s">
        <v>28</v>
      </c>
      <c r="D7193" s="7">
        <v>205</v>
      </c>
      <c r="E7193" s="7">
        <v>31</v>
      </c>
      <c r="F7193" s="7">
        <f t="shared" si="112"/>
        <v>3</v>
      </c>
      <c r="G7193" s="7" t="str">
        <f>LOOKUP(H7193,[1]startdates!$A$2:$A$10,[1]startdates!$B$2:$B$10)</f>
        <v>SMr</v>
      </c>
      <c r="H7193">
        <v>1</v>
      </c>
      <c r="I7193" s="7">
        <v>598.79999999999995</v>
      </c>
      <c r="M7193" s="7">
        <v>321.7</v>
      </c>
      <c r="N7193" s="7">
        <v>176.8</v>
      </c>
      <c r="O7193" s="7">
        <v>165.5</v>
      </c>
    </row>
    <row r="7194" spans="1:21" x14ac:dyDescent="0.2">
      <c r="A7194">
        <v>7193</v>
      </c>
      <c r="B7194" s="1">
        <v>40946</v>
      </c>
      <c r="C7194" t="s">
        <v>28</v>
      </c>
      <c r="D7194" s="7">
        <v>205</v>
      </c>
      <c r="E7194" s="7">
        <v>31</v>
      </c>
      <c r="F7194" s="7">
        <f t="shared" si="112"/>
        <v>3</v>
      </c>
      <c r="G7194" s="7" t="str">
        <f>LOOKUP(H7194,[1]startdates!$A$2:$A$10,[1]startdates!$B$2:$B$10)</f>
        <v>SMr</v>
      </c>
      <c r="H7194">
        <v>1</v>
      </c>
      <c r="I7194" s="7">
        <v>567</v>
      </c>
      <c r="N7194" s="7">
        <v>168.8</v>
      </c>
      <c r="O7194" s="7">
        <v>170.8</v>
      </c>
    </row>
    <row r="7195" spans="1:21" x14ac:dyDescent="0.2">
      <c r="A7195">
        <v>7194</v>
      </c>
      <c r="B7195" s="1">
        <v>40946</v>
      </c>
      <c r="C7195" t="s">
        <v>24</v>
      </c>
      <c r="D7195" s="7">
        <v>205</v>
      </c>
      <c r="E7195" s="7">
        <v>31</v>
      </c>
      <c r="F7195" s="7">
        <f t="shared" si="112"/>
        <v>3</v>
      </c>
      <c r="G7195" s="7" t="str">
        <f>LOOKUP(H7195,[1]startdates!$A$2:$A$10,[1]startdates!$B$2:$B$10)</f>
        <v>SMr</v>
      </c>
      <c r="H7195">
        <v>2</v>
      </c>
      <c r="I7195" s="7">
        <v>625.6</v>
      </c>
      <c r="K7195" s="7">
        <v>491.2</v>
      </c>
      <c r="L7195" s="7">
        <v>422</v>
      </c>
      <c r="M7195" s="7">
        <v>396.5</v>
      </c>
      <c r="N7195" s="7">
        <v>202.5</v>
      </c>
      <c r="O7195" s="7">
        <v>184.1</v>
      </c>
      <c r="P7195" s="7">
        <v>449.5</v>
      </c>
      <c r="Q7195" s="7">
        <v>328.4</v>
      </c>
      <c r="R7195" s="7">
        <v>290.5</v>
      </c>
      <c r="S7195" s="7">
        <v>245.6</v>
      </c>
      <c r="U7195" s="7">
        <v>436.7</v>
      </c>
    </row>
    <row r="7196" spans="1:21" x14ac:dyDescent="0.2">
      <c r="A7196">
        <v>7195</v>
      </c>
      <c r="B7196" s="1">
        <v>40946</v>
      </c>
      <c r="C7196" t="s">
        <v>24</v>
      </c>
      <c r="D7196" s="7">
        <v>205</v>
      </c>
      <c r="E7196" s="7">
        <v>31</v>
      </c>
      <c r="F7196" s="7">
        <f t="shared" si="112"/>
        <v>3</v>
      </c>
      <c r="G7196" s="7" t="str">
        <f>LOOKUP(H7196,[1]startdates!$A$2:$A$10,[1]startdates!$B$2:$B$10)</f>
        <v>SMr</v>
      </c>
      <c r="H7196">
        <v>2</v>
      </c>
      <c r="I7196" s="7">
        <v>526.4</v>
      </c>
      <c r="K7196" s="7">
        <v>482.4</v>
      </c>
      <c r="L7196" s="7">
        <v>434</v>
      </c>
      <c r="M7196" s="7">
        <v>378.8</v>
      </c>
      <c r="N7196" s="7">
        <v>161.69999999999999</v>
      </c>
      <c r="O7196" s="7">
        <v>160.5</v>
      </c>
      <c r="P7196" s="7">
        <v>403.7</v>
      </c>
      <c r="Q7196" s="7">
        <v>391.7</v>
      </c>
      <c r="R7196" s="7">
        <v>252</v>
      </c>
      <c r="U7196" s="7">
        <v>470.6</v>
      </c>
    </row>
    <row r="7197" spans="1:21" x14ac:dyDescent="0.2">
      <c r="A7197">
        <v>7196</v>
      </c>
      <c r="B7197" s="1">
        <v>40946</v>
      </c>
      <c r="C7197" t="s">
        <v>24</v>
      </c>
      <c r="D7197" s="7">
        <v>205</v>
      </c>
      <c r="E7197" s="7">
        <v>31</v>
      </c>
      <c r="F7197" s="7">
        <f t="shared" si="112"/>
        <v>3</v>
      </c>
      <c r="G7197" s="7" t="str">
        <f>LOOKUP(H7197,[1]startdates!$A$2:$A$10,[1]startdates!$B$2:$B$10)</f>
        <v>SMr</v>
      </c>
      <c r="H7197">
        <v>2</v>
      </c>
      <c r="I7197" s="7">
        <v>613.79999999999995</v>
      </c>
      <c r="K7197" s="7">
        <v>443.4</v>
      </c>
      <c r="L7197" s="7">
        <v>424.4</v>
      </c>
      <c r="M7197" s="7">
        <v>352.4</v>
      </c>
      <c r="N7197" s="7">
        <v>188.9</v>
      </c>
      <c r="O7197" s="7">
        <v>155.4</v>
      </c>
      <c r="P7197" s="7">
        <v>450.4</v>
      </c>
      <c r="Q7197" s="7">
        <v>339.6</v>
      </c>
      <c r="R7197" s="7">
        <v>270.60000000000002</v>
      </c>
      <c r="U7197" s="7">
        <v>481.3</v>
      </c>
    </row>
    <row r="7198" spans="1:21" x14ac:dyDescent="0.2">
      <c r="A7198">
        <v>7197</v>
      </c>
      <c r="B7198" s="1">
        <v>40946</v>
      </c>
      <c r="C7198" t="s">
        <v>24</v>
      </c>
      <c r="D7198" s="7">
        <v>205</v>
      </c>
      <c r="E7198" s="7">
        <v>31</v>
      </c>
      <c r="F7198" s="7">
        <f t="shared" si="112"/>
        <v>3</v>
      </c>
      <c r="G7198" s="7" t="str">
        <f>LOOKUP(H7198,[1]startdates!$A$2:$A$10,[1]startdates!$B$2:$B$10)</f>
        <v>SMr</v>
      </c>
      <c r="H7198">
        <v>2</v>
      </c>
      <c r="I7198" s="7">
        <v>626.5</v>
      </c>
      <c r="K7198" s="7">
        <v>502.8</v>
      </c>
      <c r="L7198" s="7">
        <v>441.1</v>
      </c>
      <c r="M7198" s="7">
        <v>338.8</v>
      </c>
      <c r="N7198" s="7">
        <v>225.9</v>
      </c>
      <c r="O7198" s="7">
        <v>189.2</v>
      </c>
      <c r="P7198" s="7">
        <v>520.6</v>
      </c>
      <c r="U7198" s="7">
        <v>557.1</v>
      </c>
    </row>
    <row r="7199" spans="1:21" x14ac:dyDescent="0.2">
      <c r="A7199">
        <v>7198</v>
      </c>
      <c r="B7199" s="1">
        <v>40946</v>
      </c>
      <c r="C7199" t="s">
        <v>24</v>
      </c>
      <c r="D7199" s="7">
        <v>205</v>
      </c>
      <c r="E7199" s="7">
        <v>31</v>
      </c>
      <c r="F7199" s="7">
        <f t="shared" si="112"/>
        <v>3</v>
      </c>
      <c r="G7199" s="7" t="str">
        <f>LOOKUP(H7199,[1]startdates!$A$2:$A$10,[1]startdates!$B$2:$B$10)</f>
        <v>SMr</v>
      </c>
      <c r="H7199">
        <v>2</v>
      </c>
      <c r="I7199" s="7">
        <v>497.2</v>
      </c>
      <c r="K7199" s="7">
        <v>511.5</v>
      </c>
      <c r="L7199" s="7">
        <v>462.4</v>
      </c>
      <c r="M7199" s="7">
        <v>390.5</v>
      </c>
      <c r="N7199" s="7">
        <v>207</v>
      </c>
      <c r="O7199" s="7">
        <v>156.30000000000001</v>
      </c>
    </row>
    <row r="7200" spans="1:21" x14ac:dyDescent="0.2">
      <c r="A7200">
        <v>7199</v>
      </c>
      <c r="B7200" s="1">
        <v>40946</v>
      </c>
      <c r="C7200" t="s">
        <v>24</v>
      </c>
      <c r="D7200" s="7">
        <v>205</v>
      </c>
      <c r="E7200" s="7">
        <v>31</v>
      </c>
      <c r="F7200" s="7">
        <f t="shared" si="112"/>
        <v>3</v>
      </c>
      <c r="G7200" s="7" t="str">
        <f>LOOKUP(H7200,[1]startdates!$A$2:$A$10,[1]startdates!$B$2:$B$10)</f>
        <v>SMr</v>
      </c>
      <c r="H7200">
        <v>2</v>
      </c>
      <c r="I7200" s="7">
        <v>606.79999999999995</v>
      </c>
      <c r="L7200" s="7">
        <v>391.8</v>
      </c>
      <c r="M7200" s="7">
        <v>316.8</v>
      </c>
      <c r="N7200" s="7">
        <v>257.7</v>
      </c>
      <c r="O7200" s="7">
        <v>150.19999999999999</v>
      </c>
    </row>
    <row r="7201" spans="1:18" x14ac:dyDescent="0.2">
      <c r="A7201">
        <v>7200</v>
      </c>
      <c r="B7201" s="1">
        <v>40946</v>
      </c>
      <c r="C7201" t="s">
        <v>24</v>
      </c>
      <c r="D7201" s="7">
        <v>205</v>
      </c>
      <c r="E7201" s="7">
        <v>31</v>
      </c>
      <c r="F7201" s="7">
        <f t="shared" si="112"/>
        <v>3</v>
      </c>
      <c r="G7201" s="7" t="str">
        <f>LOOKUP(H7201,[1]startdates!$A$2:$A$10,[1]startdates!$B$2:$B$10)</f>
        <v>SMr</v>
      </c>
      <c r="H7201">
        <v>2</v>
      </c>
      <c r="I7201" s="7">
        <v>594.20000000000005</v>
      </c>
      <c r="N7201" s="7">
        <v>194.9</v>
      </c>
      <c r="O7201" s="7">
        <v>174.1</v>
      </c>
    </row>
    <row r="7202" spans="1:18" x14ac:dyDescent="0.2">
      <c r="A7202">
        <v>7201</v>
      </c>
      <c r="B7202" s="1">
        <v>40946</v>
      </c>
      <c r="C7202" t="s">
        <v>24</v>
      </c>
      <c r="D7202" s="7">
        <v>205</v>
      </c>
      <c r="E7202" s="7">
        <v>31</v>
      </c>
      <c r="F7202" s="7">
        <f t="shared" si="112"/>
        <v>3</v>
      </c>
      <c r="G7202" s="7" t="str">
        <f>LOOKUP(H7202,[1]startdates!$A$2:$A$10,[1]startdates!$B$2:$B$10)</f>
        <v>SMr</v>
      </c>
      <c r="H7202">
        <v>2</v>
      </c>
      <c r="I7202" s="7">
        <v>571.6</v>
      </c>
      <c r="N7202" s="7">
        <v>262</v>
      </c>
      <c r="O7202" s="7">
        <v>133.80000000000001</v>
      </c>
    </row>
    <row r="7203" spans="1:18" x14ac:dyDescent="0.2">
      <c r="A7203">
        <v>7202</v>
      </c>
      <c r="B7203" s="1">
        <v>40946</v>
      </c>
      <c r="C7203" t="s">
        <v>24</v>
      </c>
      <c r="D7203" s="7">
        <v>205</v>
      </c>
      <c r="E7203" s="7">
        <v>31</v>
      </c>
      <c r="F7203" s="7">
        <f t="shared" si="112"/>
        <v>3</v>
      </c>
      <c r="G7203" s="7" t="str">
        <f>LOOKUP(H7203,[1]startdates!$A$2:$A$10,[1]startdates!$B$2:$B$10)</f>
        <v>SMr</v>
      </c>
      <c r="H7203">
        <v>2</v>
      </c>
      <c r="I7203" s="7">
        <v>525.1</v>
      </c>
      <c r="N7203" s="7">
        <v>260.8</v>
      </c>
      <c r="O7203" s="7">
        <v>156.4</v>
      </c>
    </row>
    <row r="7204" spans="1:18" x14ac:dyDescent="0.2">
      <c r="A7204">
        <v>7203</v>
      </c>
      <c r="B7204" s="1">
        <v>40946</v>
      </c>
      <c r="C7204" t="s">
        <v>24</v>
      </c>
      <c r="D7204" s="7">
        <v>205</v>
      </c>
      <c r="E7204" s="7">
        <v>31</v>
      </c>
      <c r="F7204" s="7">
        <f t="shared" si="112"/>
        <v>3</v>
      </c>
      <c r="G7204" s="7" t="str">
        <f>LOOKUP(H7204,[1]startdates!$A$2:$A$10,[1]startdates!$B$2:$B$10)</f>
        <v>SMr</v>
      </c>
      <c r="H7204">
        <v>2</v>
      </c>
      <c r="I7204" s="7">
        <v>660.1</v>
      </c>
      <c r="N7204" s="7">
        <v>194</v>
      </c>
      <c r="O7204" s="7">
        <v>158.5</v>
      </c>
    </row>
    <row r="7205" spans="1:18" x14ac:dyDescent="0.2">
      <c r="A7205">
        <v>7204</v>
      </c>
      <c r="B7205" s="1">
        <v>40946</v>
      </c>
      <c r="C7205" t="s">
        <v>24</v>
      </c>
      <c r="D7205" s="7">
        <v>205</v>
      </c>
      <c r="E7205" s="7">
        <v>31</v>
      </c>
      <c r="F7205" s="7">
        <f t="shared" si="112"/>
        <v>3</v>
      </c>
      <c r="G7205" s="7" t="str">
        <f>LOOKUP(H7205,[1]startdates!$A$2:$A$10,[1]startdates!$B$2:$B$10)</f>
        <v>SMr</v>
      </c>
      <c r="H7205">
        <v>2</v>
      </c>
      <c r="I7205" s="7">
        <v>506.7</v>
      </c>
    </row>
    <row r="7206" spans="1:18" x14ac:dyDescent="0.2">
      <c r="A7206">
        <v>7205</v>
      </c>
      <c r="B7206" s="1">
        <v>40946</v>
      </c>
      <c r="C7206" t="s">
        <v>24</v>
      </c>
      <c r="D7206" s="7">
        <v>205</v>
      </c>
      <c r="E7206" s="7">
        <v>31</v>
      </c>
      <c r="F7206" s="7">
        <f t="shared" si="112"/>
        <v>3</v>
      </c>
      <c r="G7206" s="7" t="str">
        <f>LOOKUP(H7206,[1]startdates!$A$2:$A$10,[1]startdates!$B$2:$B$10)</f>
        <v>SMr</v>
      </c>
      <c r="H7206">
        <v>2</v>
      </c>
      <c r="I7206" s="7">
        <v>614.70000000000005</v>
      </c>
    </row>
    <row r="7207" spans="1:18" x14ac:dyDescent="0.2">
      <c r="A7207">
        <v>7206</v>
      </c>
      <c r="B7207" s="1">
        <v>40946</v>
      </c>
      <c r="C7207" t="s">
        <v>24</v>
      </c>
      <c r="D7207" s="7">
        <v>205</v>
      </c>
      <c r="E7207" s="7">
        <v>31</v>
      </c>
      <c r="F7207" s="7">
        <f t="shared" si="112"/>
        <v>3</v>
      </c>
      <c r="G7207" s="7" t="str">
        <f>LOOKUP(H7207,[1]startdates!$A$2:$A$10,[1]startdates!$B$2:$B$10)</f>
        <v>SMr</v>
      </c>
      <c r="H7207">
        <v>2</v>
      </c>
      <c r="I7207" s="7">
        <v>695</v>
      </c>
    </row>
    <row r="7208" spans="1:18" x14ac:dyDescent="0.2">
      <c r="A7208">
        <v>7207</v>
      </c>
      <c r="B7208" s="1">
        <v>40946</v>
      </c>
      <c r="C7208" t="s">
        <v>24</v>
      </c>
      <c r="D7208" s="7">
        <v>205</v>
      </c>
      <c r="E7208" s="7">
        <v>31</v>
      </c>
      <c r="F7208" s="7">
        <f t="shared" si="112"/>
        <v>3</v>
      </c>
      <c r="G7208" s="7" t="str">
        <f>LOOKUP(H7208,[1]startdates!$A$2:$A$10,[1]startdates!$B$2:$B$10)</f>
        <v>C</v>
      </c>
      <c r="H7208">
        <v>3</v>
      </c>
      <c r="I7208" s="7">
        <v>522.5</v>
      </c>
      <c r="J7208" s="7">
        <v>453.5</v>
      </c>
      <c r="K7208" s="7">
        <v>471.6</v>
      </c>
      <c r="L7208" s="7">
        <v>444.9</v>
      </c>
      <c r="M7208" s="7">
        <v>343.4</v>
      </c>
      <c r="N7208" s="7">
        <v>244.1</v>
      </c>
      <c r="O7208" s="7">
        <v>167</v>
      </c>
      <c r="P7208" s="7">
        <v>478.1</v>
      </c>
      <c r="Q7208" s="7">
        <v>373</v>
      </c>
      <c r="R7208" s="7">
        <v>291.10000000000002</v>
      </c>
    </row>
    <row r="7209" spans="1:18" x14ac:dyDescent="0.2">
      <c r="A7209">
        <v>7208</v>
      </c>
      <c r="B7209" s="1">
        <v>40946</v>
      </c>
      <c r="C7209" t="s">
        <v>24</v>
      </c>
      <c r="D7209" s="7">
        <v>205</v>
      </c>
      <c r="E7209" s="7">
        <v>31</v>
      </c>
      <c r="F7209" s="7">
        <f t="shared" ref="F7209:F7272" si="113">WEEKDAY(B7209)</f>
        <v>3</v>
      </c>
      <c r="G7209" s="7" t="str">
        <f>LOOKUP(H7209,[1]startdates!$A$2:$A$10,[1]startdates!$B$2:$B$10)</f>
        <v>C</v>
      </c>
      <c r="H7209">
        <v>3</v>
      </c>
      <c r="I7209" s="7">
        <v>562</v>
      </c>
      <c r="J7209" s="7">
        <v>505.7</v>
      </c>
      <c r="K7209" s="7">
        <v>450.2</v>
      </c>
      <c r="L7209" s="7">
        <v>401.9</v>
      </c>
      <c r="M7209" s="7">
        <v>331</v>
      </c>
      <c r="N7209" s="7">
        <v>269</v>
      </c>
      <c r="O7209" s="7">
        <v>158.4</v>
      </c>
      <c r="P7209" s="7">
        <v>433.3</v>
      </c>
      <c r="Q7209" s="7">
        <v>388.3</v>
      </c>
    </row>
    <row r="7210" spans="1:18" x14ac:dyDescent="0.2">
      <c r="A7210">
        <v>7209</v>
      </c>
      <c r="B7210" s="1">
        <v>40946</v>
      </c>
      <c r="C7210" t="s">
        <v>24</v>
      </c>
      <c r="D7210" s="7">
        <v>205</v>
      </c>
      <c r="E7210" s="7">
        <v>31</v>
      </c>
      <c r="F7210" s="7">
        <f t="shared" si="113"/>
        <v>3</v>
      </c>
      <c r="G7210" s="7" t="str">
        <f>LOOKUP(H7210,[1]startdates!$A$2:$A$10,[1]startdates!$B$2:$B$10)</f>
        <v>C</v>
      </c>
      <c r="H7210">
        <v>3</v>
      </c>
      <c r="I7210" s="7">
        <v>476.9</v>
      </c>
      <c r="J7210" s="7">
        <v>455.4</v>
      </c>
      <c r="M7210" s="7">
        <v>365.6</v>
      </c>
      <c r="N7210" s="7">
        <v>215.5</v>
      </c>
      <c r="O7210" s="7">
        <v>177.1</v>
      </c>
    </row>
    <row r="7211" spans="1:18" x14ac:dyDescent="0.2">
      <c r="A7211">
        <v>7210</v>
      </c>
      <c r="B7211" s="1">
        <v>40946</v>
      </c>
      <c r="C7211" t="s">
        <v>24</v>
      </c>
      <c r="D7211" s="7">
        <v>205</v>
      </c>
      <c r="E7211" s="7">
        <v>31</v>
      </c>
      <c r="F7211" s="7">
        <f t="shared" si="113"/>
        <v>3</v>
      </c>
      <c r="G7211" s="7" t="str">
        <f>LOOKUP(H7211,[1]startdates!$A$2:$A$10,[1]startdates!$B$2:$B$10)</f>
        <v>C</v>
      </c>
      <c r="H7211">
        <v>3</v>
      </c>
      <c r="I7211" s="7">
        <v>615.20000000000005</v>
      </c>
      <c r="J7211" s="7">
        <v>519.6</v>
      </c>
      <c r="M7211" s="7">
        <v>380.1</v>
      </c>
      <c r="N7211" s="7">
        <v>257.3</v>
      </c>
      <c r="O7211" s="7">
        <v>175.5</v>
      </c>
    </row>
    <row r="7212" spans="1:18" x14ac:dyDescent="0.2">
      <c r="A7212">
        <v>7211</v>
      </c>
      <c r="B7212" s="1">
        <v>40946</v>
      </c>
      <c r="C7212" t="s">
        <v>24</v>
      </c>
      <c r="D7212" s="7">
        <v>205</v>
      </c>
      <c r="E7212" s="7">
        <v>31</v>
      </c>
      <c r="F7212" s="7">
        <f t="shared" si="113"/>
        <v>3</v>
      </c>
      <c r="G7212" s="7" t="str">
        <f>LOOKUP(H7212,[1]startdates!$A$2:$A$10,[1]startdates!$B$2:$B$10)</f>
        <v>C</v>
      </c>
      <c r="H7212">
        <v>3</v>
      </c>
      <c r="I7212" s="7">
        <v>527.29999999999995</v>
      </c>
      <c r="J7212" s="7">
        <v>552.4</v>
      </c>
      <c r="M7212" s="7">
        <v>324.3</v>
      </c>
      <c r="N7212" s="7">
        <v>196</v>
      </c>
      <c r="O7212" s="7">
        <v>160</v>
      </c>
    </row>
    <row r="7213" spans="1:18" x14ac:dyDescent="0.2">
      <c r="A7213">
        <v>7212</v>
      </c>
      <c r="B7213" s="1">
        <v>40946</v>
      </c>
      <c r="C7213" t="s">
        <v>24</v>
      </c>
      <c r="D7213" s="7">
        <v>205</v>
      </c>
      <c r="E7213" s="7">
        <v>31</v>
      </c>
      <c r="F7213" s="7">
        <f t="shared" si="113"/>
        <v>3</v>
      </c>
      <c r="G7213" s="7" t="str">
        <f>LOOKUP(H7213,[1]startdates!$A$2:$A$10,[1]startdates!$B$2:$B$10)</f>
        <v>C</v>
      </c>
      <c r="H7213">
        <v>3</v>
      </c>
      <c r="I7213" s="7">
        <v>583.6</v>
      </c>
      <c r="M7213" s="7">
        <v>325.2</v>
      </c>
      <c r="N7213" s="7">
        <v>259.39999999999998</v>
      </c>
      <c r="O7213" s="7">
        <v>156.6</v>
      </c>
    </row>
    <row r="7214" spans="1:18" x14ac:dyDescent="0.2">
      <c r="A7214">
        <v>7213</v>
      </c>
      <c r="B7214" s="1">
        <v>40946</v>
      </c>
      <c r="C7214" t="s">
        <v>24</v>
      </c>
      <c r="D7214" s="7">
        <v>205</v>
      </c>
      <c r="E7214" s="7">
        <v>31</v>
      </c>
      <c r="F7214" s="7">
        <f t="shared" si="113"/>
        <v>3</v>
      </c>
      <c r="G7214" s="7" t="str">
        <f>LOOKUP(H7214,[1]startdates!$A$2:$A$10,[1]startdates!$B$2:$B$10)</f>
        <v>C</v>
      </c>
      <c r="H7214">
        <v>3</v>
      </c>
      <c r="I7214" s="7">
        <v>449.6</v>
      </c>
      <c r="M7214" s="7">
        <v>328.8</v>
      </c>
      <c r="N7214" s="7">
        <v>223.9</v>
      </c>
      <c r="O7214" s="7">
        <v>162.4</v>
      </c>
    </row>
    <row r="7215" spans="1:18" x14ac:dyDescent="0.2">
      <c r="A7215">
        <v>7214</v>
      </c>
      <c r="B7215" s="1">
        <v>40946</v>
      </c>
      <c r="C7215" t="s">
        <v>24</v>
      </c>
      <c r="D7215" s="7">
        <v>205</v>
      </c>
      <c r="E7215" s="7">
        <v>31</v>
      </c>
      <c r="F7215" s="7">
        <f t="shared" si="113"/>
        <v>3</v>
      </c>
      <c r="G7215" s="7" t="str">
        <f>LOOKUP(H7215,[1]startdates!$A$2:$A$10,[1]startdates!$B$2:$B$10)</f>
        <v>C</v>
      </c>
      <c r="H7215">
        <v>3</v>
      </c>
      <c r="I7215" s="7">
        <v>495.2</v>
      </c>
      <c r="M7215" s="7">
        <v>343.7</v>
      </c>
      <c r="N7215" s="7">
        <v>254.3</v>
      </c>
      <c r="O7215" s="7">
        <v>173.1</v>
      </c>
    </row>
    <row r="7216" spans="1:18" x14ac:dyDescent="0.2">
      <c r="A7216">
        <v>7215</v>
      </c>
      <c r="B7216" s="1">
        <v>40946</v>
      </c>
      <c r="C7216" t="s">
        <v>24</v>
      </c>
      <c r="D7216" s="7">
        <v>205</v>
      </c>
      <c r="E7216" s="7">
        <v>31</v>
      </c>
      <c r="F7216" s="7">
        <f t="shared" si="113"/>
        <v>3</v>
      </c>
      <c r="G7216" s="7" t="str">
        <f>LOOKUP(H7216,[1]startdates!$A$2:$A$10,[1]startdates!$B$2:$B$10)</f>
        <v>C</v>
      </c>
      <c r="H7216">
        <v>3</v>
      </c>
      <c r="I7216" s="7">
        <v>525.9</v>
      </c>
      <c r="M7216" s="7">
        <v>386.3</v>
      </c>
      <c r="N7216" s="7">
        <v>231.9</v>
      </c>
      <c r="O7216" s="7">
        <v>151.6</v>
      </c>
    </row>
    <row r="7217" spans="1:21" x14ac:dyDescent="0.2">
      <c r="A7217">
        <v>7216</v>
      </c>
      <c r="B7217" s="1">
        <v>40946</v>
      </c>
      <c r="C7217" t="s">
        <v>24</v>
      </c>
      <c r="D7217" s="7">
        <v>205</v>
      </c>
      <c r="E7217" s="7">
        <v>31</v>
      </c>
      <c r="F7217" s="7">
        <f t="shared" si="113"/>
        <v>3</v>
      </c>
      <c r="G7217" s="7" t="str">
        <f>LOOKUP(H7217,[1]startdates!$A$2:$A$10,[1]startdates!$B$2:$B$10)</f>
        <v>C</v>
      </c>
      <c r="H7217">
        <v>3</v>
      </c>
      <c r="N7217" s="7">
        <v>209.4</v>
      </c>
      <c r="O7217" s="7">
        <v>171.9</v>
      </c>
    </row>
    <row r="7218" spans="1:21" x14ac:dyDescent="0.2">
      <c r="A7218">
        <v>7217</v>
      </c>
      <c r="B7218" s="1">
        <v>40946</v>
      </c>
      <c r="C7218" t="s">
        <v>28</v>
      </c>
      <c r="D7218" s="7">
        <v>205</v>
      </c>
      <c r="E7218" s="7">
        <v>31</v>
      </c>
      <c r="F7218" s="7">
        <f t="shared" si="113"/>
        <v>3</v>
      </c>
      <c r="G7218" s="7" t="str">
        <f>LOOKUP(H7218,[1]startdates!$A$2:$A$10,[1]startdates!$B$2:$B$10)</f>
        <v>SMr</v>
      </c>
      <c r="H7218">
        <v>4</v>
      </c>
      <c r="I7218" s="7">
        <v>559.79999999999995</v>
      </c>
      <c r="K7218" s="7">
        <v>525.1</v>
      </c>
      <c r="L7218" s="7">
        <v>403.6</v>
      </c>
      <c r="M7218" s="7">
        <v>357.4</v>
      </c>
      <c r="N7218" s="7">
        <v>235.7</v>
      </c>
      <c r="O7218" s="7">
        <v>160.5</v>
      </c>
      <c r="Q7218" s="7">
        <v>321.2</v>
      </c>
      <c r="R7218" s="7">
        <v>227.1</v>
      </c>
      <c r="U7218" s="7">
        <v>473.6</v>
      </c>
    </row>
    <row r="7219" spans="1:21" x14ac:dyDescent="0.2">
      <c r="A7219">
        <v>7218</v>
      </c>
      <c r="B7219" s="1">
        <v>40946</v>
      </c>
      <c r="C7219" t="s">
        <v>28</v>
      </c>
      <c r="D7219" s="7">
        <v>205</v>
      </c>
      <c r="E7219" s="7">
        <v>31</v>
      </c>
      <c r="F7219" s="7">
        <f t="shared" si="113"/>
        <v>3</v>
      </c>
      <c r="G7219" s="7" t="str">
        <f>LOOKUP(H7219,[1]startdates!$A$2:$A$10,[1]startdates!$B$2:$B$10)</f>
        <v>SMr</v>
      </c>
      <c r="H7219">
        <v>4</v>
      </c>
      <c r="I7219" s="7">
        <v>563.6</v>
      </c>
      <c r="K7219" s="7">
        <v>499.7</v>
      </c>
      <c r="L7219" s="7">
        <v>427</v>
      </c>
      <c r="M7219" s="7">
        <v>352.2</v>
      </c>
      <c r="N7219" s="7">
        <v>229.7</v>
      </c>
      <c r="O7219" s="7">
        <v>134</v>
      </c>
      <c r="R7219" s="7">
        <v>250.5</v>
      </c>
      <c r="U7219" s="7">
        <v>424.2</v>
      </c>
    </row>
    <row r="7220" spans="1:21" x14ac:dyDescent="0.2">
      <c r="A7220">
        <v>7219</v>
      </c>
      <c r="B7220" s="1">
        <v>40946</v>
      </c>
      <c r="C7220" t="s">
        <v>28</v>
      </c>
      <c r="D7220" s="7">
        <v>205</v>
      </c>
      <c r="E7220" s="7">
        <v>31</v>
      </c>
      <c r="F7220" s="7">
        <f t="shared" si="113"/>
        <v>3</v>
      </c>
      <c r="G7220" s="7" t="str">
        <f>LOOKUP(H7220,[1]startdates!$A$2:$A$10,[1]startdates!$B$2:$B$10)</f>
        <v>SMr</v>
      </c>
      <c r="H7220">
        <v>4</v>
      </c>
      <c r="I7220" s="7">
        <v>520.70000000000005</v>
      </c>
      <c r="K7220" s="7">
        <v>456.1</v>
      </c>
      <c r="L7220" s="7">
        <v>444.9</v>
      </c>
      <c r="M7220" s="7">
        <v>356</v>
      </c>
      <c r="N7220" s="7">
        <v>214</v>
      </c>
      <c r="O7220" s="7">
        <v>155.19999999999999</v>
      </c>
      <c r="U7220" s="7">
        <v>502.4</v>
      </c>
    </row>
    <row r="7221" spans="1:21" x14ac:dyDescent="0.2">
      <c r="A7221">
        <v>7220</v>
      </c>
      <c r="B7221" s="1">
        <v>40946</v>
      </c>
      <c r="C7221" t="s">
        <v>28</v>
      </c>
      <c r="D7221" s="7">
        <v>205</v>
      </c>
      <c r="E7221" s="7">
        <v>31</v>
      </c>
      <c r="F7221" s="7">
        <f t="shared" si="113"/>
        <v>3</v>
      </c>
      <c r="G7221" s="7" t="str">
        <f>LOOKUP(H7221,[1]startdates!$A$2:$A$10,[1]startdates!$B$2:$B$10)</f>
        <v>SMr</v>
      </c>
      <c r="H7221">
        <v>4</v>
      </c>
      <c r="I7221" s="7">
        <v>606.4</v>
      </c>
      <c r="K7221" s="7">
        <v>500.7</v>
      </c>
      <c r="L7221" s="7">
        <v>426.7</v>
      </c>
      <c r="M7221" s="7">
        <v>307.8</v>
      </c>
      <c r="N7221" s="7">
        <v>262</v>
      </c>
      <c r="O7221" s="7">
        <v>154.80000000000001</v>
      </c>
      <c r="U7221" s="7">
        <v>477.7</v>
      </c>
    </row>
    <row r="7222" spans="1:21" x14ac:dyDescent="0.2">
      <c r="A7222">
        <v>7221</v>
      </c>
      <c r="B7222" s="1">
        <v>40946</v>
      </c>
      <c r="C7222" t="s">
        <v>28</v>
      </c>
      <c r="D7222" s="7">
        <v>205</v>
      </c>
      <c r="E7222" s="7">
        <v>31</v>
      </c>
      <c r="F7222" s="7">
        <f t="shared" si="113"/>
        <v>3</v>
      </c>
      <c r="G7222" s="7" t="str">
        <f>LOOKUP(H7222,[1]startdates!$A$2:$A$10,[1]startdates!$B$2:$B$10)</f>
        <v>SMr</v>
      </c>
      <c r="H7222">
        <v>4</v>
      </c>
      <c r="I7222" s="7">
        <v>549</v>
      </c>
      <c r="K7222" s="7">
        <v>515.5</v>
      </c>
      <c r="L7222" s="7">
        <v>414.6</v>
      </c>
      <c r="M7222" s="7">
        <v>371.3</v>
      </c>
      <c r="N7222" s="7">
        <v>207.8</v>
      </c>
      <c r="O7222" s="7">
        <v>162.4</v>
      </c>
    </row>
    <row r="7223" spans="1:21" x14ac:dyDescent="0.2">
      <c r="A7223">
        <v>7222</v>
      </c>
      <c r="B7223" s="1">
        <v>40946</v>
      </c>
      <c r="C7223" t="s">
        <v>28</v>
      </c>
      <c r="D7223" s="7">
        <v>205</v>
      </c>
      <c r="E7223" s="7">
        <v>31</v>
      </c>
      <c r="F7223" s="7">
        <f t="shared" si="113"/>
        <v>3</v>
      </c>
      <c r="G7223" s="7" t="str">
        <f>LOOKUP(H7223,[1]startdates!$A$2:$A$10,[1]startdates!$B$2:$B$10)</f>
        <v>SMr</v>
      </c>
      <c r="H7223">
        <v>4</v>
      </c>
      <c r="I7223" s="7">
        <v>669.5</v>
      </c>
      <c r="L7223" s="7">
        <v>408.9</v>
      </c>
      <c r="M7223" s="7">
        <v>339.8</v>
      </c>
      <c r="N7223" s="7">
        <v>174.6</v>
      </c>
      <c r="O7223" s="7">
        <v>163.5</v>
      </c>
    </row>
    <row r="7224" spans="1:21" x14ac:dyDescent="0.2">
      <c r="A7224">
        <v>7223</v>
      </c>
      <c r="B7224" s="1">
        <v>40946</v>
      </c>
      <c r="C7224" t="s">
        <v>28</v>
      </c>
      <c r="D7224" s="7">
        <v>205</v>
      </c>
      <c r="E7224" s="7">
        <v>31</v>
      </c>
      <c r="F7224" s="7">
        <f t="shared" si="113"/>
        <v>3</v>
      </c>
      <c r="G7224" s="7" t="str">
        <f>LOOKUP(H7224,[1]startdates!$A$2:$A$10,[1]startdates!$B$2:$B$10)</f>
        <v>SMr</v>
      </c>
      <c r="H7224">
        <v>4</v>
      </c>
      <c r="I7224" s="7">
        <v>575.9</v>
      </c>
      <c r="M7224" s="7">
        <v>294.10000000000002</v>
      </c>
      <c r="N7224" s="7">
        <v>174</v>
      </c>
      <c r="O7224" s="7">
        <v>152.6</v>
      </c>
    </row>
    <row r="7225" spans="1:21" x14ac:dyDescent="0.2">
      <c r="A7225">
        <v>7224</v>
      </c>
      <c r="B7225" s="1">
        <v>40946</v>
      </c>
      <c r="C7225" t="s">
        <v>28</v>
      </c>
      <c r="D7225" s="7">
        <v>205</v>
      </c>
      <c r="E7225" s="7">
        <v>31</v>
      </c>
      <c r="F7225" s="7">
        <f t="shared" si="113"/>
        <v>3</v>
      </c>
      <c r="G7225" s="7" t="str">
        <f>LOOKUP(H7225,[1]startdates!$A$2:$A$10,[1]startdates!$B$2:$B$10)</f>
        <v>SMr</v>
      </c>
      <c r="H7225">
        <v>4</v>
      </c>
      <c r="I7225" s="7">
        <v>571.4</v>
      </c>
      <c r="M7225" s="7">
        <v>311.2</v>
      </c>
      <c r="N7225" s="7">
        <v>203.1</v>
      </c>
      <c r="O7225" s="7">
        <v>147.4</v>
      </c>
    </row>
    <row r="7226" spans="1:21" x14ac:dyDescent="0.2">
      <c r="A7226">
        <v>7225</v>
      </c>
      <c r="B7226" s="1">
        <v>40946</v>
      </c>
      <c r="C7226" t="s">
        <v>28</v>
      </c>
      <c r="D7226" s="7">
        <v>205</v>
      </c>
      <c r="E7226" s="7">
        <v>31</v>
      </c>
      <c r="F7226" s="7">
        <f t="shared" si="113"/>
        <v>3</v>
      </c>
      <c r="G7226" s="7" t="str">
        <f>LOOKUP(H7226,[1]startdates!$A$2:$A$10,[1]startdates!$B$2:$B$10)</f>
        <v>SMr</v>
      </c>
      <c r="H7226">
        <v>4</v>
      </c>
      <c r="I7226" s="7">
        <v>455.5</v>
      </c>
      <c r="M7226" s="7">
        <v>314.39999999999998</v>
      </c>
      <c r="N7226" s="7">
        <v>216</v>
      </c>
      <c r="O7226" s="7">
        <v>138.6</v>
      </c>
    </row>
    <row r="7227" spans="1:21" x14ac:dyDescent="0.2">
      <c r="A7227">
        <v>7226</v>
      </c>
      <c r="B7227" s="1">
        <v>40946</v>
      </c>
      <c r="C7227" t="s">
        <v>28</v>
      </c>
      <c r="D7227" s="7">
        <v>205</v>
      </c>
      <c r="E7227" s="7">
        <v>31</v>
      </c>
      <c r="F7227" s="7">
        <f t="shared" si="113"/>
        <v>3</v>
      </c>
      <c r="G7227" s="7" t="str">
        <f>LOOKUP(H7227,[1]startdates!$A$2:$A$10,[1]startdates!$B$2:$B$10)</f>
        <v>SMr</v>
      </c>
      <c r="H7227">
        <v>4</v>
      </c>
      <c r="I7227" s="7">
        <v>519.1</v>
      </c>
      <c r="N7227" s="7">
        <v>223.6</v>
      </c>
      <c r="O7227" s="7">
        <v>133</v>
      </c>
    </row>
    <row r="7228" spans="1:21" x14ac:dyDescent="0.2">
      <c r="A7228">
        <v>7227</v>
      </c>
      <c r="B7228" s="1">
        <v>40946</v>
      </c>
      <c r="C7228" t="s">
        <v>24</v>
      </c>
      <c r="D7228" s="7">
        <v>205</v>
      </c>
      <c r="E7228" s="7">
        <v>31</v>
      </c>
      <c r="F7228" s="7">
        <f t="shared" si="113"/>
        <v>3</v>
      </c>
      <c r="G7228" s="7" t="str">
        <f>LOOKUP(H7228,[1]startdates!$A$2:$A$10,[1]startdates!$B$2:$B$10)</f>
        <v>C</v>
      </c>
      <c r="H7228">
        <v>5</v>
      </c>
      <c r="I7228" s="7">
        <v>657.3</v>
      </c>
      <c r="J7228" s="7">
        <v>566</v>
      </c>
      <c r="K7228" s="7">
        <v>573.29999999999995</v>
      </c>
      <c r="L7228" s="7">
        <v>427.9</v>
      </c>
      <c r="M7228" s="7">
        <v>298.2</v>
      </c>
      <c r="N7228" s="7">
        <v>217.7</v>
      </c>
      <c r="O7228" s="7">
        <v>207</v>
      </c>
    </row>
    <row r="7229" spans="1:21" x14ac:dyDescent="0.2">
      <c r="A7229">
        <v>7228</v>
      </c>
      <c r="B7229" s="1">
        <v>40946</v>
      </c>
      <c r="C7229" t="s">
        <v>24</v>
      </c>
      <c r="D7229" s="7">
        <v>205</v>
      </c>
      <c r="E7229" s="7">
        <v>31</v>
      </c>
      <c r="F7229" s="7">
        <f t="shared" si="113"/>
        <v>3</v>
      </c>
      <c r="G7229" s="7" t="str">
        <f>LOOKUP(H7229,[1]startdates!$A$2:$A$10,[1]startdates!$B$2:$B$10)</f>
        <v>C</v>
      </c>
      <c r="H7229">
        <v>5</v>
      </c>
      <c r="I7229" s="7">
        <v>642.6</v>
      </c>
      <c r="J7229" s="7">
        <v>535.70000000000005</v>
      </c>
      <c r="K7229" s="7">
        <v>571.9</v>
      </c>
      <c r="L7229" s="7">
        <v>455.1</v>
      </c>
      <c r="M7229" s="7">
        <v>336.3</v>
      </c>
      <c r="N7229" s="7">
        <v>202.8</v>
      </c>
      <c r="O7229" s="7">
        <v>171.9</v>
      </c>
    </row>
    <row r="7230" spans="1:21" x14ac:dyDescent="0.2">
      <c r="A7230">
        <v>7229</v>
      </c>
      <c r="B7230" s="1">
        <v>40946</v>
      </c>
      <c r="C7230" t="s">
        <v>24</v>
      </c>
      <c r="D7230" s="7">
        <v>205</v>
      </c>
      <c r="E7230" s="7">
        <v>31</v>
      </c>
      <c r="F7230" s="7">
        <f t="shared" si="113"/>
        <v>3</v>
      </c>
      <c r="G7230" s="7" t="str">
        <f>LOOKUP(H7230,[1]startdates!$A$2:$A$10,[1]startdates!$B$2:$B$10)</f>
        <v>C</v>
      </c>
      <c r="H7230">
        <v>5</v>
      </c>
      <c r="I7230" s="7">
        <v>715.1</v>
      </c>
      <c r="J7230" s="7">
        <v>515.5</v>
      </c>
      <c r="K7230" s="7">
        <v>706</v>
      </c>
      <c r="L7230" s="7">
        <v>394.6</v>
      </c>
      <c r="M7230" s="7">
        <v>293.8</v>
      </c>
      <c r="N7230" s="7">
        <v>247.7</v>
      </c>
      <c r="O7230" s="7">
        <v>166.4</v>
      </c>
    </row>
    <row r="7231" spans="1:21" x14ac:dyDescent="0.2">
      <c r="A7231">
        <v>7230</v>
      </c>
      <c r="B7231" s="1">
        <v>40946</v>
      </c>
      <c r="C7231" t="s">
        <v>24</v>
      </c>
      <c r="D7231" s="7">
        <v>205</v>
      </c>
      <c r="E7231" s="7">
        <v>31</v>
      </c>
      <c r="F7231" s="7">
        <f t="shared" si="113"/>
        <v>3</v>
      </c>
      <c r="G7231" s="7" t="str">
        <f>LOOKUP(H7231,[1]startdates!$A$2:$A$10,[1]startdates!$B$2:$B$10)</f>
        <v>C</v>
      </c>
      <c r="H7231">
        <v>5</v>
      </c>
      <c r="I7231" s="7">
        <v>711.7</v>
      </c>
      <c r="J7231" s="7">
        <v>517.4</v>
      </c>
      <c r="K7231" s="7">
        <v>613.70000000000005</v>
      </c>
      <c r="L7231" s="7">
        <v>395.7</v>
      </c>
      <c r="M7231" s="7">
        <v>302</v>
      </c>
      <c r="N7231" s="7">
        <v>234.9</v>
      </c>
      <c r="O7231" s="7">
        <v>143.6</v>
      </c>
    </row>
    <row r="7232" spans="1:21" x14ac:dyDescent="0.2">
      <c r="A7232">
        <v>7231</v>
      </c>
      <c r="B7232" s="1">
        <v>40946</v>
      </c>
      <c r="C7232" t="s">
        <v>24</v>
      </c>
      <c r="D7232" s="7">
        <v>205</v>
      </c>
      <c r="E7232" s="7">
        <v>31</v>
      </c>
      <c r="F7232" s="7">
        <f t="shared" si="113"/>
        <v>3</v>
      </c>
      <c r="G7232" s="7" t="str">
        <f>LOOKUP(H7232,[1]startdates!$A$2:$A$10,[1]startdates!$B$2:$B$10)</f>
        <v>C</v>
      </c>
      <c r="H7232">
        <v>5</v>
      </c>
      <c r="I7232" s="7">
        <v>651</v>
      </c>
      <c r="J7232" s="7">
        <v>545.20000000000005</v>
      </c>
      <c r="K7232" s="7">
        <v>551.5</v>
      </c>
      <c r="L7232" s="7">
        <v>411.7</v>
      </c>
      <c r="M7232" s="7">
        <v>299</v>
      </c>
      <c r="N7232" s="7">
        <v>242.3</v>
      </c>
      <c r="O7232" s="7">
        <v>200.5</v>
      </c>
    </row>
    <row r="7233" spans="1:16" x14ac:dyDescent="0.2">
      <c r="A7233">
        <v>7232</v>
      </c>
      <c r="B7233" s="1">
        <v>40946</v>
      </c>
      <c r="C7233" t="s">
        <v>24</v>
      </c>
      <c r="D7233" s="7">
        <v>205</v>
      </c>
      <c r="E7233" s="7">
        <v>31</v>
      </c>
      <c r="F7233" s="7">
        <f t="shared" si="113"/>
        <v>3</v>
      </c>
      <c r="G7233" s="7" t="str">
        <f>LOOKUP(H7233,[1]startdates!$A$2:$A$10,[1]startdates!$B$2:$B$10)</f>
        <v>C</v>
      </c>
      <c r="H7233">
        <v>5</v>
      </c>
      <c r="I7233" s="7">
        <v>656.5</v>
      </c>
      <c r="M7233" s="7">
        <v>317.8</v>
      </c>
      <c r="N7233" s="7">
        <v>213.5</v>
      </c>
      <c r="O7233" s="7">
        <v>151.80000000000001</v>
      </c>
    </row>
    <row r="7234" spans="1:16" x14ac:dyDescent="0.2">
      <c r="A7234">
        <v>7233</v>
      </c>
      <c r="B7234" s="1">
        <v>40946</v>
      </c>
      <c r="C7234" t="s">
        <v>24</v>
      </c>
      <c r="D7234" s="7">
        <v>205</v>
      </c>
      <c r="E7234" s="7">
        <v>31</v>
      </c>
      <c r="F7234" s="7">
        <f t="shared" si="113"/>
        <v>3</v>
      </c>
      <c r="G7234" s="7" t="str">
        <f>LOOKUP(H7234,[1]startdates!$A$2:$A$10,[1]startdates!$B$2:$B$10)</f>
        <v>C</v>
      </c>
      <c r="H7234">
        <v>5</v>
      </c>
      <c r="I7234" s="7">
        <v>512.1</v>
      </c>
      <c r="N7234" s="7">
        <v>224.4</v>
      </c>
      <c r="O7234" s="7">
        <v>166.4</v>
      </c>
    </row>
    <row r="7235" spans="1:16" x14ac:dyDescent="0.2">
      <c r="A7235">
        <v>7234</v>
      </c>
      <c r="B7235" s="1">
        <v>40946</v>
      </c>
      <c r="C7235" t="s">
        <v>24</v>
      </c>
      <c r="D7235" s="7">
        <v>205</v>
      </c>
      <c r="E7235" s="7">
        <v>31</v>
      </c>
      <c r="F7235" s="7">
        <f t="shared" si="113"/>
        <v>3</v>
      </c>
      <c r="G7235" s="7" t="str">
        <f>LOOKUP(H7235,[1]startdates!$A$2:$A$10,[1]startdates!$B$2:$B$10)</f>
        <v>C</v>
      </c>
      <c r="H7235">
        <v>5</v>
      </c>
      <c r="I7235" s="7">
        <v>463.9</v>
      </c>
      <c r="N7235" s="7">
        <v>227.7</v>
      </c>
      <c r="O7235" s="7">
        <v>163.4</v>
      </c>
    </row>
    <row r="7236" spans="1:16" x14ac:dyDescent="0.2">
      <c r="A7236">
        <v>7235</v>
      </c>
      <c r="B7236" s="1">
        <v>40946</v>
      </c>
      <c r="C7236" t="s">
        <v>24</v>
      </c>
      <c r="D7236" s="7">
        <v>205</v>
      </c>
      <c r="E7236" s="7">
        <v>31</v>
      </c>
      <c r="F7236" s="7">
        <f t="shared" si="113"/>
        <v>3</v>
      </c>
      <c r="G7236" s="7" t="str">
        <f>LOOKUP(H7236,[1]startdates!$A$2:$A$10,[1]startdates!$B$2:$B$10)</f>
        <v>C</v>
      </c>
      <c r="H7236">
        <v>5</v>
      </c>
      <c r="I7236" s="7">
        <v>648.70000000000005</v>
      </c>
      <c r="N7236" s="7">
        <v>225.4</v>
      </c>
      <c r="O7236" s="7">
        <v>176.3</v>
      </c>
    </row>
    <row r="7237" spans="1:16" x14ac:dyDescent="0.2">
      <c r="A7237">
        <v>7236</v>
      </c>
      <c r="B7237" s="1">
        <v>40946</v>
      </c>
      <c r="C7237" t="s">
        <v>24</v>
      </c>
      <c r="D7237" s="7">
        <v>205</v>
      </c>
      <c r="E7237" s="7">
        <v>31</v>
      </c>
      <c r="F7237" s="7">
        <f t="shared" si="113"/>
        <v>3</v>
      </c>
      <c r="G7237" s="7" t="str">
        <f>LOOKUP(H7237,[1]startdates!$A$2:$A$10,[1]startdates!$B$2:$B$10)</f>
        <v>C</v>
      </c>
      <c r="H7237">
        <v>5</v>
      </c>
      <c r="I7237" s="7">
        <v>632.70000000000005</v>
      </c>
      <c r="N7237" s="7">
        <v>241</v>
      </c>
      <c r="O7237" s="7">
        <v>166.9</v>
      </c>
    </row>
    <row r="7238" spans="1:16" x14ac:dyDescent="0.2">
      <c r="A7238">
        <v>7237</v>
      </c>
      <c r="B7238" s="1">
        <v>40946</v>
      </c>
      <c r="C7238" t="s">
        <v>24</v>
      </c>
      <c r="D7238" s="7">
        <v>205</v>
      </c>
      <c r="E7238" s="7">
        <v>31</v>
      </c>
      <c r="F7238" s="7">
        <f t="shared" si="113"/>
        <v>3</v>
      </c>
      <c r="G7238" s="7" t="str">
        <f>LOOKUP(H7238,[1]startdates!$A$2:$A$10,[1]startdates!$B$2:$B$10)</f>
        <v>FMr</v>
      </c>
      <c r="H7238">
        <v>6</v>
      </c>
      <c r="I7238" s="7">
        <v>624.5</v>
      </c>
      <c r="K7238" s="7">
        <v>481.6</v>
      </c>
      <c r="L7238" s="7">
        <v>428.9</v>
      </c>
      <c r="M7238" s="7">
        <v>387.1</v>
      </c>
      <c r="N7238" s="7">
        <v>223.1</v>
      </c>
      <c r="O7238" s="7">
        <v>162</v>
      </c>
      <c r="P7238" s="7">
        <v>487.1</v>
      </c>
    </row>
    <row r="7239" spans="1:16" x14ac:dyDescent="0.2">
      <c r="A7239">
        <v>7238</v>
      </c>
      <c r="B7239" s="1">
        <v>40946</v>
      </c>
      <c r="C7239" t="s">
        <v>24</v>
      </c>
      <c r="D7239" s="7">
        <v>205</v>
      </c>
      <c r="E7239" s="7">
        <v>31</v>
      </c>
      <c r="F7239" s="7">
        <f t="shared" si="113"/>
        <v>3</v>
      </c>
      <c r="G7239" s="7" t="str">
        <f>LOOKUP(H7239,[1]startdates!$A$2:$A$10,[1]startdates!$B$2:$B$10)</f>
        <v>FMr</v>
      </c>
      <c r="H7239">
        <v>6</v>
      </c>
      <c r="I7239" s="7">
        <v>590</v>
      </c>
      <c r="K7239" s="7">
        <v>456.8</v>
      </c>
      <c r="L7239" s="7">
        <v>432.9</v>
      </c>
      <c r="M7239" s="7">
        <v>386.6</v>
      </c>
      <c r="N7239" s="7">
        <v>215.5</v>
      </c>
      <c r="O7239" s="7">
        <v>185.7</v>
      </c>
    </row>
    <row r="7240" spans="1:16" x14ac:dyDescent="0.2">
      <c r="A7240">
        <v>7239</v>
      </c>
      <c r="B7240" s="1">
        <v>40946</v>
      </c>
      <c r="C7240" t="s">
        <v>24</v>
      </c>
      <c r="D7240" s="7">
        <v>205</v>
      </c>
      <c r="E7240" s="7">
        <v>31</v>
      </c>
      <c r="F7240" s="7">
        <f t="shared" si="113"/>
        <v>3</v>
      </c>
      <c r="G7240" s="7" t="str">
        <f>LOOKUP(H7240,[1]startdates!$A$2:$A$10,[1]startdates!$B$2:$B$10)</f>
        <v>FMr</v>
      </c>
      <c r="H7240">
        <v>6</v>
      </c>
      <c r="I7240" s="7">
        <v>652.9</v>
      </c>
      <c r="K7240" s="7">
        <v>412.4</v>
      </c>
      <c r="L7240" s="7">
        <v>412.9</v>
      </c>
      <c r="M7240" s="7">
        <v>313.3</v>
      </c>
      <c r="N7240" s="7">
        <v>232.4</v>
      </c>
      <c r="O7240" s="7">
        <v>186.2</v>
      </c>
    </row>
    <row r="7241" spans="1:16" x14ac:dyDescent="0.2">
      <c r="A7241">
        <v>7240</v>
      </c>
      <c r="B7241" s="1">
        <v>40946</v>
      </c>
      <c r="C7241" t="s">
        <v>24</v>
      </c>
      <c r="D7241" s="7">
        <v>205</v>
      </c>
      <c r="E7241" s="7">
        <v>31</v>
      </c>
      <c r="F7241" s="7">
        <f t="shared" si="113"/>
        <v>3</v>
      </c>
      <c r="G7241" s="7" t="str">
        <f>LOOKUP(H7241,[1]startdates!$A$2:$A$10,[1]startdates!$B$2:$B$10)</f>
        <v>FMr</v>
      </c>
      <c r="H7241">
        <v>6</v>
      </c>
      <c r="I7241" s="7">
        <v>620.4</v>
      </c>
      <c r="K7241" s="7">
        <v>491.7</v>
      </c>
      <c r="L7241" s="7">
        <v>396</v>
      </c>
      <c r="M7241" s="7">
        <v>302.7</v>
      </c>
      <c r="N7241" s="7">
        <v>212.2</v>
      </c>
      <c r="O7241" s="7">
        <v>182.8</v>
      </c>
    </row>
    <row r="7242" spans="1:16" x14ac:dyDescent="0.2">
      <c r="A7242">
        <v>7241</v>
      </c>
      <c r="B7242" s="1">
        <v>40946</v>
      </c>
      <c r="C7242" t="s">
        <v>24</v>
      </c>
      <c r="D7242" s="7">
        <v>205</v>
      </c>
      <c r="E7242" s="7">
        <v>31</v>
      </c>
      <c r="F7242" s="7">
        <f t="shared" si="113"/>
        <v>3</v>
      </c>
      <c r="G7242" s="7" t="str">
        <f>LOOKUP(H7242,[1]startdates!$A$2:$A$10,[1]startdates!$B$2:$B$10)</f>
        <v>FMr</v>
      </c>
      <c r="H7242">
        <v>6</v>
      </c>
      <c r="I7242" s="7">
        <v>516.29999999999995</v>
      </c>
      <c r="K7242" s="7">
        <v>433.4</v>
      </c>
      <c r="L7242" s="7">
        <v>438.3</v>
      </c>
      <c r="N7242" s="7">
        <v>185.3</v>
      </c>
      <c r="O7242" s="7">
        <v>176.9</v>
      </c>
    </row>
    <row r="7243" spans="1:16" x14ac:dyDescent="0.2">
      <c r="A7243">
        <v>7242</v>
      </c>
      <c r="B7243" s="1">
        <v>40946</v>
      </c>
      <c r="C7243" t="s">
        <v>24</v>
      </c>
      <c r="D7243" s="7">
        <v>205</v>
      </c>
      <c r="E7243" s="7">
        <v>31</v>
      </c>
      <c r="F7243" s="7">
        <f t="shared" si="113"/>
        <v>3</v>
      </c>
      <c r="G7243" s="7" t="str">
        <f>LOOKUP(H7243,[1]startdates!$A$2:$A$10,[1]startdates!$B$2:$B$10)</f>
        <v>FMr</v>
      </c>
      <c r="H7243">
        <v>6</v>
      </c>
      <c r="I7243" s="7">
        <v>508.9</v>
      </c>
      <c r="K7243" s="7">
        <v>473.1</v>
      </c>
      <c r="N7243" s="7">
        <v>208.3</v>
      </c>
      <c r="O7243" s="7">
        <v>180.4</v>
      </c>
    </row>
    <row r="7244" spans="1:16" x14ac:dyDescent="0.2">
      <c r="A7244">
        <v>7243</v>
      </c>
      <c r="B7244" s="1">
        <v>40946</v>
      </c>
      <c r="C7244" t="s">
        <v>24</v>
      </c>
      <c r="D7244" s="7">
        <v>205</v>
      </c>
      <c r="E7244" s="7">
        <v>31</v>
      </c>
      <c r="F7244" s="7">
        <f t="shared" si="113"/>
        <v>3</v>
      </c>
      <c r="G7244" s="7" t="str">
        <f>LOOKUP(H7244,[1]startdates!$A$2:$A$10,[1]startdates!$B$2:$B$10)</f>
        <v>FMr</v>
      </c>
      <c r="H7244">
        <v>6</v>
      </c>
      <c r="I7244" s="7">
        <v>562.4</v>
      </c>
      <c r="K7244" s="7">
        <v>419.5</v>
      </c>
      <c r="N7244" s="7">
        <v>241.1</v>
      </c>
      <c r="O7244" s="7">
        <v>176</v>
      </c>
    </row>
    <row r="7245" spans="1:16" x14ac:dyDescent="0.2">
      <c r="A7245">
        <v>7244</v>
      </c>
      <c r="B7245" s="1">
        <v>40946</v>
      </c>
      <c r="C7245" t="s">
        <v>24</v>
      </c>
      <c r="D7245" s="7">
        <v>205</v>
      </c>
      <c r="E7245" s="7">
        <v>31</v>
      </c>
      <c r="F7245" s="7">
        <f t="shared" si="113"/>
        <v>3</v>
      </c>
      <c r="G7245" s="7" t="str">
        <f>LOOKUP(H7245,[1]startdates!$A$2:$A$10,[1]startdates!$B$2:$B$10)</f>
        <v>FMr</v>
      </c>
      <c r="H7245">
        <v>6</v>
      </c>
      <c r="I7245" s="7">
        <v>525.9</v>
      </c>
      <c r="N7245" s="7">
        <v>239.7</v>
      </c>
      <c r="O7245" s="7">
        <v>190.9</v>
      </c>
    </row>
    <row r="7246" spans="1:16" x14ac:dyDescent="0.2">
      <c r="A7246">
        <v>7245</v>
      </c>
      <c r="B7246" s="1">
        <v>40946</v>
      </c>
      <c r="C7246" t="s">
        <v>24</v>
      </c>
      <c r="D7246" s="7">
        <v>205</v>
      </c>
      <c r="E7246" s="7">
        <v>31</v>
      </c>
      <c r="F7246" s="7">
        <f t="shared" si="113"/>
        <v>3</v>
      </c>
      <c r="G7246" s="7" t="str">
        <f>LOOKUP(H7246,[1]startdates!$A$2:$A$10,[1]startdates!$B$2:$B$10)</f>
        <v>FMr</v>
      </c>
      <c r="H7246">
        <v>6</v>
      </c>
      <c r="I7246" s="7">
        <v>514.79999999999995</v>
      </c>
      <c r="N7246" s="7">
        <v>214</v>
      </c>
      <c r="O7246" s="7">
        <v>178.4</v>
      </c>
    </row>
    <row r="7247" spans="1:16" x14ac:dyDescent="0.2">
      <c r="A7247">
        <v>7246</v>
      </c>
      <c r="B7247" s="1">
        <v>40946</v>
      </c>
      <c r="C7247" t="s">
        <v>24</v>
      </c>
      <c r="D7247" s="7">
        <v>205</v>
      </c>
      <c r="E7247" s="7">
        <v>31</v>
      </c>
      <c r="F7247" s="7">
        <f t="shared" si="113"/>
        <v>3</v>
      </c>
      <c r="G7247" s="7" t="str">
        <f>LOOKUP(H7247,[1]startdates!$A$2:$A$10,[1]startdates!$B$2:$B$10)</f>
        <v>FMr</v>
      </c>
      <c r="H7247">
        <v>6</v>
      </c>
      <c r="I7247" s="7">
        <v>520.6</v>
      </c>
      <c r="N7247" s="7">
        <v>204.2</v>
      </c>
      <c r="O7247" s="7">
        <v>169.9</v>
      </c>
    </row>
    <row r="7248" spans="1:16" x14ac:dyDescent="0.2">
      <c r="A7248">
        <v>7247</v>
      </c>
      <c r="B7248" s="1">
        <v>40946</v>
      </c>
      <c r="C7248" t="s">
        <v>24</v>
      </c>
      <c r="D7248" s="7">
        <v>205</v>
      </c>
      <c r="E7248" s="7">
        <v>31</v>
      </c>
      <c r="F7248" s="7">
        <f t="shared" si="113"/>
        <v>3</v>
      </c>
      <c r="G7248" s="7" t="str">
        <f>LOOKUP(H7248,[1]startdates!$A$2:$A$10,[1]startdates!$B$2:$B$10)</f>
        <v>FMr</v>
      </c>
      <c r="H7248">
        <v>6</v>
      </c>
      <c r="N7248" s="7">
        <v>214.5</v>
      </c>
    </row>
    <row r="7249" spans="1:22" x14ac:dyDescent="0.2">
      <c r="A7249">
        <v>7248</v>
      </c>
      <c r="B7249" s="1">
        <v>40946</v>
      </c>
      <c r="C7249" t="s">
        <v>24</v>
      </c>
      <c r="D7249" s="7">
        <v>205</v>
      </c>
      <c r="E7249" s="7">
        <v>31</v>
      </c>
      <c r="F7249" s="7">
        <f t="shared" si="113"/>
        <v>3</v>
      </c>
      <c r="G7249" s="7" t="str">
        <f>LOOKUP(H7249,[1]startdates!$A$2:$A$10,[1]startdates!$B$2:$B$10)</f>
        <v>FMr</v>
      </c>
      <c r="H7249">
        <v>6</v>
      </c>
      <c r="N7249" s="7">
        <v>173.1</v>
      </c>
    </row>
    <row r="7250" spans="1:22" x14ac:dyDescent="0.2">
      <c r="A7250">
        <v>7249</v>
      </c>
      <c r="B7250" s="1">
        <v>40946</v>
      </c>
      <c r="C7250" t="s">
        <v>28</v>
      </c>
      <c r="D7250" s="7">
        <v>205</v>
      </c>
      <c r="E7250" s="7">
        <v>31</v>
      </c>
      <c r="F7250" s="7">
        <f t="shared" si="113"/>
        <v>3</v>
      </c>
      <c r="G7250" s="7" t="str">
        <f>LOOKUP(H7250,[1]startdates!$A$2:$A$10,[1]startdates!$B$2:$B$10)</f>
        <v>FMr</v>
      </c>
      <c r="H7250">
        <v>7</v>
      </c>
      <c r="I7250" s="7">
        <v>629.79999999999995</v>
      </c>
      <c r="J7250" s="7">
        <v>560.5</v>
      </c>
      <c r="K7250" s="7">
        <v>488.8</v>
      </c>
      <c r="L7250" s="7">
        <v>415.3</v>
      </c>
      <c r="M7250" s="7">
        <v>324.2</v>
      </c>
      <c r="N7250" s="7">
        <v>219.5</v>
      </c>
      <c r="O7250" s="7">
        <v>139.9</v>
      </c>
      <c r="P7250" s="7">
        <v>477.3</v>
      </c>
      <c r="Q7250" s="7">
        <v>356.5</v>
      </c>
      <c r="V7250" s="7">
        <v>500.9</v>
      </c>
    </row>
    <row r="7251" spans="1:22" x14ac:dyDescent="0.2">
      <c r="A7251">
        <v>7250</v>
      </c>
      <c r="B7251" s="1">
        <v>40946</v>
      </c>
      <c r="C7251" t="s">
        <v>28</v>
      </c>
      <c r="D7251" s="7">
        <v>205</v>
      </c>
      <c r="E7251" s="7">
        <v>31</v>
      </c>
      <c r="F7251" s="7">
        <f t="shared" si="113"/>
        <v>3</v>
      </c>
      <c r="G7251" s="7" t="str">
        <f>LOOKUP(H7251,[1]startdates!$A$2:$A$10,[1]startdates!$B$2:$B$10)</f>
        <v>FMr</v>
      </c>
      <c r="H7251">
        <v>7</v>
      </c>
      <c r="I7251" s="7">
        <v>559.70000000000005</v>
      </c>
      <c r="J7251" s="7">
        <v>498.7</v>
      </c>
      <c r="K7251" s="7">
        <v>453.5</v>
      </c>
      <c r="L7251" s="7">
        <v>405.3</v>
      </c>
      <c r="M7251" s="7">
        <v>289.5</v>
      </c>
      <c r="N7251" s="7">
        <v>271.3</v>
      </c>
      <c r="O7251" s="7">
        <v>167.5</v>
      </c>
      <c r="P7251" s="7">
        <v>412.7</v>
      </c>
      <c r="Q7251" s="7">
        <v>313.8</v>
      </c>
      <c r="V7251" s="7">
        <v>459.6</v>
      </c>
    </row>
    <row r="7252" spans="1:22" x14ac:dyDescent="0.2">
      <c r="A7252">
        <v>7251</v>
      </c>
      <c r="B7252" s="1">
        <v>40946</v>
      </c>
      <c r="C7252" t="s">
        <v>28</v>
      </c>
      <c r="D7252" s="7">
        <v>205</v>
      </c>
      <c r="E7252" s="7">
        <v>31</v>
      </c>
      <c r="F7252" s="7">
        <f t="shared" si="113"/>
        <v>3</v>
      </c>
      <c r="G7252" s="7" t="str">
        <f>LOOKUP(H7252,[1]startdates!$A$2:$A$10,[1]startdates!$B$2:$B$10)</f>
        <v>FMr</v>
      </c>
      <c r="H7252">
        <v>7</v>
      </c>
      <c r="I7252" s="7">
        <v>591.70000000000005</v>
      </c>
      <c r="J7252" s="7">
        <v>460.6</v>
      </c>
      <c r="K7252" s="7">
        <v>510.4</v>
      </c>
      <c r="L7252" s="7">
        <v>413.3</v>
      </c>
      <c r="M7252" s="7">
        <v>322</v>
      </c>
      <c r="N7252" s="7">
        <v>235.2</v>
      </c>
      <c r="O7252" s="7">
        <v>159.5</v>
      </c>
      <c r="P7252" s="7">
        <v>408.9</v>
      </c>
    </row>
    <row r="7253" spans="1:22" x14ac:dyDescent="0.2">
      <c r="A7253">
        <v>7252</v>
      </c>
      <c r="B7253" s="1">
        <v>40946</v>
      </c>
      <c r="C7253" t="s">
        <v>28</v>
      </c>
      <c r="D7253" s="7">
        <v>205</v>
      </c>
      <c r="E7253" s="7">
        <v>31</v>
      </c>
      <c r="F7253" s="7">
        <f t="shared" si="113"/>
        <v>3</v>
      </c>
      <c r="G7253" s="7" t="str">
        <f>LOOKUP(H7253,[1]startdates!$A$2:$A$10,[1]startdates!$B$2:$B$10)</f>
        <v>FMr</v>
      </c>
      <c r="H7253">
        <v>7</v>
      </c>
      <c r="I7253" s="7">
        <v>601.1</v>
      </c>
      <c r="K7253" s="7">
        <v>495.6</v>
      </c>
      <c r="M7253" s="7">
        <v>314.39999999999998</v>
      </c>
      <c r="N7253" s="7">
        <v>250.8</v>
      </c>
      <c r="O7253" s="7">
        <v>154.5</v>
      </c>
      <c r="P7253" s="7">
        <v>438.3</v>
      </c>
    </row>
    <row r="7254" spans="1:22" x14ac:dyDescent="0.2">
      <c r="A7254">
        <v>7253</v>
      </c>
      <c r="B7254" s="1">
        <v>40946</v>
      </c>
      <c r="C7254" t="s">
        <v>28</v>
      </c>
      <c r="D7254" s="7">
        <v>205</v>
      </c>
      <c r="E7254" s="7">
        <v>31</v>
      </c>
      <c r="F7254" s="7">
        <f t="shared" si="113"/>
        <v>3</v>
      </c>
      <c r="G7254" s="7" t="str">
        <f>LOOKUP(H7254,[1]startdates!$A$2:$A$10,[1]startdates!$B$2:$B$10)</f>
        <v>FMr</v>
      </c>
      <c r="H7254">
        <v>7</v>
      </c>
      <c r="I7254" s="7">
        <v>630.1</v>
      </c>
      <c r="K7254" s="7">
        <v>470.4</v>
      </c>
      <c r="M7254" s="7">
        <v>315.10000000000002</v>
      </c>
      <c r="N7254" s="7">
        <v>197.8</v>
      </c>
      <c r="O7254" s="7">
        <v>169.4</v>
      </c>
      <c r="P7254" s="7">
        <v>484.1</v>
      </c>
    </row>
    <row r="7255" spans="1:22" x14ac:dyDescent="0.2">
      <c r="A7255">
        <v>7254</v>
      </c>
      <c r="B7255" s="1">
        <v>40946</v>
      </c>
      <c r="C7255" t="s">
        <v>28</v>
      </c>
      <c r="D7255" s="7">
        <v>205</v>
      </c>
      <c r="E7255" s="7">
        <v>31</v>
      </c>
      <c r="F7255" s="7">
        <f t="shared" si="113"/>
        <v>3</v>
      </c>
      <c r="G7255" s="7" t="str">
        <f>LOOKUP(H7255,[1]startdates!$A$2:$A$10,[1]startdates!$B$2:$B$10)</f>
        <v>FMr</v>
      </c>
      <c r="H7255">
        <v>7</v>
      </c>
      <c r="I7255" s="7">
        <v>665.3</v>
      </c>
      <c r="K7255" s="7">
        <v>515.70000000000005</v>
      </c>
      <c r="M7255" s="7">
        <v>346.8</v>
      </c>
      <c r="N7255" s="7">
        <v>215.7</v>
      </c>
      <c r="O7255" s="7">
        <v>163.5</v>
      </c>
    </row>
    <row r="7256" spans="1:22" x14ac:dyDescent="0.2">
      <c r="A7256">
        <v>7255</v>
      </c>
      <c r="B7256" s="1">
        <v>40946</v>
      </c>
      <c r="C7256" t="s">
        <v>28</v>
      </c>
      <c r="D7256" s="7">
        <v>205</v>
      </c>
      <c r="E7256" s="7">
        <v>31</v>
      </c>
      <c r="F7256" s="7">
        <f t="shared" si="113"/>
        <v>3</v>
      </c>
      <c r="G7256" s="7" t="str">
        <f>LOOKUP(H7256,[1]startdates!$A$2:$A$10,[1]startdates!$B$2:$B$10)</f>
        <v>FMr</v>
      </c>
      <c r="H7256">
        <v>7</v>
      </c>
      <c r="I7256" s="7">
        <v>604.20000000000005</v>
      </c>
      <c r="M7256" s="7">
        <v>351.4</v>
      </c>
      <c r="N7256" s="7">
        <v>213.7</v>
      </c>
      <c r="O7256" s="7">
        <v>140.1</v>
      </c>
    </row>
    <row r="7257" spans="1:22" x14ac:dyDescent="0.2">
      <c r="A7257">
        <v>7256</v>
      </c>
      <c r="B7257" s="1">
        <v>40946</v>
      </c>
      <c r="C7257" t="s">
        <v>28</v>
      </c>
      <c r="D7257" s="7">
        <v>205</v>
      </c>
      <c r="E7257" s="7">
        <v>31</v>
      </c>
      <c r="F7257" s="7">
        <f t="shared" si="113"/>
        <v>3</v>
      </c>
      <c r="G7257" s="7" t="str">
        <f>LOOKUP(H7257,[1]startdates!$A$2:$A$10,[1]startdates!$B$2:$B$10)</f>
        <v>FMr</v>
      </c>
      <c r="H7257">
        <v>7</v>
      </c>
      <c r="I7257" s="7">
        <v>594.1</v>
      </c>
      <c r="M7257" s="7">
        <v>297</v>
      </c>
      <c r="N7257" s="7">
        <v>188.1</v>
      </c>
      <c r="O7257" s="7">
        <v>147.69999999999999</v>
      </c>
    </row>
    <row r="7258" spans="1:22" x14ac:dyDescent="0.2">
      <c r="A7258">
        <v>7257</v>
      </c>
      <c r="B7258" s="1">
        <v>40946</v>
      </c>
      <c r="C7258" t="s">
        <v>28</v>
      </c>
      <c r="D7258" s="7">
        <v>205</v>
      </c>
      <c r="E7258" s="7">
        <v>31</v>
      </c>
      <c r="F7258" s="7">
        <f t="shared" si="113"/>
        <v>3</v>
      </c>
      <c r="G7258" s="7" t="str">
        <f>LOOKUP(H7258,[1]startdates!$A$2:$A$10,[1]startdates!$B$2:$B$10)</f>
        <v>FMr</v>
      </c>
      <c r="H7258">
        <v>7</v>
      </c>
      <c r="I7258" s="7">
        <v>644.20000000000005</v>
      </c>
      <c r="M7258" s="7">
        <v>312.10000000000002</v>
      </c>
      <c r="N7258" s="7">
        <v>214</v>
      </c>
      <c r="O7258" s="7">
        <v>174.4</v>
      </c>
    </row>
    <row r="7259" spans="1:22" x14ac:dyDescent="0.2">
      <c r="A7259">
        <v>7258</v>
      </c>
      <c r="B7259" s="1">
        <v>40946</v>
      </c>
      <c r="C7259" t="s">
        <v>28</v>
      </c>
      <c r="D7259" s="7">
        <v>205</v>
      </c>
      <c r="E7259" s="7">
        <v>31</v>
      </c>
      <c r="F7259" s="7">
        <f t="shared" si="113"/>
        <v>3</v>
      </c>
      <c r="G7259" s="7" t="str">
        <f>LOOKUP(H7259,[1]startdates!$A$2:$A$10,[1]startdates!$B$2:$B$10)</f>
        <v>FMr</v>
      </c>
      <c r="H7259">
        <v>7</v>
      </c>
      <c r="I7259" s="7">
        <v>529.6</v>
      </c>
      <c r="N7259" s="7">
        <v>246.3</v>
      </c>
      <c r="O7259" s="7">
        <v>146.6</v>
      </c>
    </row>
    <row r="7260" spans="1:22" x14ac:dyDescent="0.2">
      <c r="A7260">
        <v>7259</v>
      </c>
      <c r="B7260" s="1">
        <v>40946</v>
      </c>
      <c r="C7260" t="s">
        <v>28</v>
      </c>
      <c r="D7260" s="7">
        <v>205</v>
      </c>
      <c r="E7260" s="7">
        <v>31</v>
      </c>
      <c r="F7260" s="7">
        <f t="shared" si="113"/>
        <v>3</v>
      </c>
      <c r="G7260" s="7" t="str">
        <f>LOOKUP(H7260,[1]startdates!$A$2:$A$10,[1]startdates!$B$2:$B$10)</f>
        <v>C</v>
      </c>
      <c r="H7260">
        <v>8</v>
      </c>
      <c r="I7260" s="7">
        <v>563.29999999999995</v>
      </c>
      <c r="J7260" s="7">
        <v>556.79999999999995</v>
      </c>
      <c r="K7260" s="7">
        <v>529</v>
      </c>
      <c r="L7260" s="7">
        <v>397.3</v>
      </c>
      <c r="M7260" s="7">
        <v>293.2</v>
      </c>
      <c r="N7260" s="7">
        <v>184.5</v>
      </c>
      <c r="O7260" s="7">
        <v>183.1</v>
      </c>
      <c r="P7260" s="7">
        <v>427.5</v>
      </c>
      <c r="Q7260" s="7">
        <v>342.3</v>
      </c>
      <c r="R7260" s="7">
        <v>250.4</v>
      </c>
    </row>
    <row r="7261" spans="1:22" x14ac:dyDescent="0.2">
      <c r="A7261">
        <v>7260</v>
      </c>
      <c r="B7261" s="1">
        <v>40946</v>
      </c>
      <c r="C7261" t="s">
        <v>28</v>
      </c>
      <c r="D7261" s="7">
        <v>205</v>
      </c>
      <c r="E7261" s="7">
        <v>31</v>
      </c>
      <c r="F7261" s="7">
        <f t="shared" si="113"/>
        <v>3</v>
      </c>
      <c r="G7261" s="7" t="str">
        <f>LOOKUP(H7261,[1]startdates!$A$2:$A$10,[1]startdates!$B$2:$B$10)</f>
        <v>C</v>
      </c>
      <c r="H7261">
        <v>8</v>
      </c>
      <c r="I7261" s="7">
        <v>556.20000000000005</v>
      </c>
      <c r="J7261" s="7">
        <v>511.6</v>
      </c>
      <c r="K7261" s="7">
        <v>523.1</v>
      </c>
      <c r="L7261" s="7">
        <v>414.7</v>
      </c>
      <c r="M7261" s="7">
        <v>346.3</v>
      </c>
      <c r="N7261" s="7">
        <v>192.9</v>
      </c>
      <c r="O7261" s="7">
        <v>166.7</v>
      </c>
      <c r="P7261" s="7">
        <v>469.1</v>
      </c>
    </row>
    <row r="7262" spans="1:22" x14ac:dyDescent="0.2">
      <c r="A7262">
        <v>7261</v>
      </c>
      <c r="B7262" s="1">
        <v>40946</v>
      </c>
      <c r="C7262" t="s">
        <v>28</v>
      </c>
      <c r="D7262" s="7">
        <v>205</v>
      </c>
      <c r="E7262" s="7">
        <v>31</v>
      </c>
      <c r="F7262" s="7">
        <f t="shared" si="113"/>
        <v>3</v>
      </c>
      <c r="G7262" s="7" t="str">
        <f>LOOKUP(H7262,[1]startdates!$A$2:$A$10,[1]startdates!$B$2:$B$10)</f>
        <v>C</v>
      </c>
      <c r="H7262">
        <v>8</v>
      </c>
      <c r="I7262" s="7">
        <v>600.79999999999995</v>
      </c>
      <c r="J7262" s="7">
        <v>483.4</v>
      </c>
      <c r="K7262" s="7">
        <v>489.1</v>
      </c>
      <c r="L7262" s="7">
        <v>410</v>
      </c>
      <c r="M7262" s="7">
        <v>382.1</v>
      </c>
      <c r="N7262" s="7">
        <v>278.7</v>
      </c>
      <c r="O7262" s="7">
        <v>155.69999999999999</v>
      </c>
    </row>
    <row r="7263" spans="1:22" x14ac:dyDescent="0.2">
      <c r="A7263">
        <v>7262</v>
      </c>
      <c r="B7263" s="1">
        <v>40946</v>
      </c>
      <c r="C7263" t="s">
        <v>28</v>
      </c>
      <c r="D7263" s="7">
        <v>205</v>
      </c>
      <c r="E7263" s="7">
        <v>31</v>
      </c>
      <c r="F7263" s="7">
        <f t="shared" si="113"/>
        <v>3</v>
      </c>
      <c r="G7263" s="7" t="str">
        <f>LOOKUP(H7263,[1]startdates!$A$2:$A$10,[1]startdates!$B$2:$B$10)</f>
        <v>C</v>
      </c>
      <c r="H7263">
        <v>8</v>
      </c>
      <c r="I7263" s="7">
        <v>597.79999999999995</v>
      </c>
      <c r="J7263" s="7">
        <v>496.9</v>
      </c>
      <c r="K7263" s="7">
        <v>464.1</v>
      </c>
      <c r="M7263" s="7">
        <v>352.9</v>
      </c>
      <c r="N7263" s="7">
        <v>224</v>
      </c>
      <c r="O7263" s="7">
        <v>156.19999999999999</v>
      </c>
    </row>
    <row r="7264" spans="1:22" x14ac:dyDescent="0.2">
      <c r="A7264">
        <v>7263</v>
      </c>
      <c r="B7264" s="1">
        <v>40946</v>
      </c>
      <c r="C7264" t="s">
        <v>28</v>
      </c>
      <c r="D7264" s="7">
        <v>205</v>
      </c>
      <c r="E7264" s="7">
        <v>31</v>
      </c>
      <c r="F7264" s="7">
        <f t="shared" si="113"/>
        <v>3</v>
      </c>
      <c r="G7264" s="7" t="str">
        <f>LOOKUP(H7264,[1]startdates!$A$2:$A$10,[1]startdates!$B$2:$B$10)</f>
        <v>C</v>
      </c>
      <c r="H7264">
        <v>8</v>
      </c>
      <c r="I7264" s="7">
        <v>605.6</v>
      </c>
      <c r="J7264" s="7">
        <v>490.5</v>
      </c>
      <c r="K7264" s="7">
        <v>532.6</v>
      </c>
      <c r="M7264" s="7">
        <v>316.7</v>
      </c>
      <c r="N7264" s="7">
        <v>271</v>
      </c>
      <c r="O7264" s="7">
        <v>159.80000000000001</v>
      </c>
    </row>
    <row r="7265" spans="1:16" x14ac:dyDescent="0.2">
      <c r="A7265">
        <v>7264</v>
      </c>
      <c r="B7265" s="1">
        <v>40946</v>
      </c>
      <c r="C7265" t="s">
        <v>28</v>
      </c>
      <c r="D7265" s="7">
        <v>205</v>
      </c>
      <c r="E7265" s="7">
        <v>31</v>
      </c>
      <c r="F7265" s="7">
        <f t="shared" si="113"/>
        <v>3</v>
      </c>
      <c r="G7265" s="7" t="str">
        <f>LOOKUP(H7265,[1]startdates!$A$2:$A$10,[1]startdates!$B$2:$B$10)</f>
        <v>C</v>
      </c>
      <c r="H7265">
        <v>8</v>
      </c>
      <c r="I7265" s="7">
        <v>611.70000000000005</v>
      </c>
      <c r="J7265" s="7">
        <v>493</v>
      </c>
      <c r="K7265" s="7">
        <v>597.1</v>
      </c>
      <c r="M7265" s="7">
        <v>303.60000000000002</v>
      </c>
      <c r="N7265" s="7">
        <v>238.7</v>
      </c>
      <c r="O7265" s="7">
        <v>156.30000000000001</v>
      </c>
    </row>
    <row r="7266" spans="1:16" x14ac:dyDescent="0.2">
      <c r="A7266">
        <v>7265</v>
      </c>
      <c r="B7266" s="1">
        <v>40946</v>
      </c>
      <c r="C7266" t="s">
        <v>28</v>
      </c>
      <c r="D7266" s="7">
        <v>205</v>
      </c>
      <c r="E7266" s="7">
        <v>31</v>
      </c>
      <c r="F7266" s="7">
        <f t="shared" si="113"/>
        <v>3</v>
      </c>
      <c r="G7266" s="7" t="str">
        <f>LOOKUP(H7266,[1]startdates!$A$2:$A$10,[1]startdates!$B$2:$B$10)</f>
        <v>C</v>
      </c>
      <c r="H7266">
        <v>8</v>
      </c>
      <c r="I7266" s="7">
        <v>601.5</v>
      </c>
      <c r="J7266" s="7">
        <v>470.9</v>
      </c>
      <c r="K7266" s="7">
        <v>552.29999999999995</v>
      </c>
      <c r="M7266" s="7">
        <v>313.3</v>
      </c>
      <c r="N7266" s="7">
        <v>195.3</v>
      </c>
      <c r="O7266" s="7">
        <v>160</v>
      </c>
    </row>
    <row r="7267" spans="1:16" x14ac:dyDescent="0.2">
      <c r="A7267">
        <v>7266</v>
      </c>
      <c r="B7267" s="1">
        <v>40946</v>
      </c>
      <c r="C7267" t="s">
        <v>28</v>
      </c>
      <c r="D7267" s="7">
        <v>205</v>
      </c>
      <c r="E7267" s="7">
        <v>31</v>
      </c>
      <c r="F7267" s="7">
        <f t="shared" si="113"/>
        <v>3</v>
      </c>
      <c r="G7267" s="7" t="str">
        <f>LOOKUP(H7267,[1]startdates!$A$2:$A$10,[1]startdates!$B$2:$B$10)</f>
        <v>C</v>
      </c>
      <c r="H7267">
        <v>8</v>
      </c>
      <c r="I7267" s="7">
        <v>646.9</v>
      </c>
      <c r="J7267" s="7">
        <v>559.9</v>
      </c>
      <c r="M7267" s="7">
        <v>347.4</v>
      </c>
      <c r="N7267" s="7">
        <v>238.9</v>
      </c>
      <c r="O7267" s="7">
        <v>151.6</v>
      </c>
    </row>
    <row r="7268" spans="1:16" x14ac:dyDescent="0.2">
      <c r="A7268">
        <v>7267</v>
      </c>
      <c r="B7268" s="1">
        <v>40946</v>
      </c>
      <c r="C7268" t="s">
        <v>28</v>
      </c>
      <c r="D7268" s="7">
        <v>205</v>
      </c>
      <c r="E7268" s="7">
        <v>31</v>
      </c>
      <c r="F7268" s="7">
        <f t="shared" si="113"/>
        <v>3</v>
      </c>
      <c r="G7268" s="7" t="str">
        <f>LOOKUP(H7268,[1]startdates!$A$2:$A$10,[1]startdates!$B$2:$B$10)</f>
        <v>C</v>
      </c>
      <c r="H7268">
        <v>8</v>
      </c>
      <c r="I7268" s="7">
        <v>582.29999999999995</v>
      </c>
      <c r="M7268" s="7">
        <v>377.7</v>
      </c>
      <c r="N7268" s="7">
        <v>214.5</v>
      </c>
      <c r="O7268" s="7">
        <v>163</v>
      </c>
    </row>
    <row r="7269" spans="1:16" x14ac:dyDescent="0.2">
      <c r="A7269">
        <v>7268</v>
      </c>
      <c r="B7269" s="1">
        <v>40946</v>
      </c>
      <c r="C7269" t="s">
        <v>28</v>
      </c>
      <c r="D7269" s="7">
        <v>205</v>
      </c>
      <c r="E7269" s="7">
        <v>31</v>
      </c>
      <c r="F7269" s="7">
        <f t="shared" si="113"/>
        <v>3</v>
      </c>
      <c r="G7269" s="7" t="str">
        <f>LOOKUP(H7269,[1]startdates!$A$2:$A$10,[1]startdates!$B$2:$B$10)</f>
        <v>C</v>
      </c>
      <c r="H7269">
        <v>8</v>
      </c>
      <c r="I7269" s="7">
        <v>619.6</v>
      </c>
      <c r="M7269" s="7">
        <v>302.7</v>
      </c>
      <c r="N7269" s="7">
        <v>225.7</v>
      </c>
      <c r="O7269" s="7">
        <v>168.6</v>
      </c>
    </row>
    <row r="7270" spans="1:16" x14ac:dyDescent="0.2">
      <c r="A7270">
        <v>7269</v>
      </c>
      <c r="B7270" s="1">
        <v>40946</v>
      </c>
      <c r="C7270" t="s">
        <v>28</v>
      </c>
      <c r="D7270" s="7">
        <v>205</v>
      </c>
      <c r="E7270" s="7">
        <v>31</v>
      </c>
      <c r="F7270" s="7">
        <f t="shared" si="113"/>
        <v>3</v>
      </c>
      <c r="G7270" s="7" t="str">
        <f>LOOKUP(H7270,[1]startdates!$A$2:$A$10,[1]startdates!$B$2:$B$10)</f>
        <v>C</v>
      </c>
      <c r="H7270">
        <v>8</v>
      </c>
      <c r="I7270" s="7">
        <v>559.29999999999995</v>
      </c>
    </row>
    <row r="7271" spans="1:16" x14ac:dyDescent="0.2">
      <c r="A7271">
        <v>7270</v>
      </c>
      <c r="B7271" s="1">
        <v>40946</v>
      </c>
      <c r="C7271" t="s">
        <v>24</v>
      </c>
      <c r="D7271" s="7">
        <v>205</v>
      </c>
      <c r="E7271" s="7">
        <v>31</v>
      </c>
      <c r="F7271" s="7">
        <f t="shared" si="113"/>
        <v>3</v>
      </c>
      <c r="G7271" s="7" t="str">
        <f>LOOKUP(H7271,[1]startdates!$A$2:$A$10,[1]startdates!$B$2:$B$10)</f>
        <v>FMr</v>
      </c>
      <c r="H7271">
        <v>9</v>
      </c>
      <c r="I7271" s="7">
        <v>613.29999999999995</v>
      </c>
      <c r="J7271" s="7">
        <v>477</v>
      </c>
      <c r="K7271" s="7">
        <v>525.9</v>
      </c>
      <c r="L7271" s="7">
        <v>482</v>
      </c>
      <c r="M7271" s="7">
        <v>397.7</v>
      </c>
      <c r="N7271" s="7">
        <v>235.2</v>
      </c>
      <c r="O7271" s="7">
        <v>186.6</v>
      </c>
      <c r="P7271" s="7">
        <v>473.8</v>
      </c>
    </row>
    <row r="7272" spans="1:16" x14ac:dyDescent="0.2">
      <c r="A7272">
        <v>7271</v>
      </c>
      <c r="B7272" s="1">
        <v>40946</v>
      </c>
      <c r="C7272" t="s">
        <v>24</v>
      </c>
      <c r="D7272" s="7">
        <v>205</v>
      </c>
      <c r="E7272" s="7">
        <v>31</v>
      </c>
      <c r="F7272" s="7">
        <f t="shared" si="113"/>
        <v>3</v>
      </c>
      <c r="G7272" s="7" t="str">
        <f>LOOKUP(H7272,[1]startdates!$A$2:$A$10,[1]startdates!$B$2:$B$10)</f>
        <v>FMr</v>
      </c>
      <c r="H7272">
        <v>9</v>
      </c>
      <c r="I7272" s="7">
        <v>574.1</v>
      </c>
      <c r="K7272" s="7">
        <v>593.79999999999995</v>
      </c>
      <c r="L7272" s="7">
        <v>442.1</v>
      </c>
      <c r="M7272" s="7">
        <v>357.3</v>
      </c>
      <c r="N7272" s="7">
        <v>247.4</v>
      </c>
      <c r="O7272" s="7">
        <v>180.6</v>
      </c>
      <c r="P7272" s="7">
        <v>414.1</v>
      </c>
    </row>
    <row r="7273" spans="1:16" x14ac:dyDescent="0.2">
      <c r="A7273">
        <v>7272</v>
      </c>
      <c r="B7273" s="1">
        <v>40946</v>
      </c>
      <c r="C7273" t="s">
        <v>24</v>
      </c>
      <c r="D7273" s="7">
        <v>205</v>
      </c>
      <c r="E7273" s="7">
        <v>31</v>
      </c>
      <c r="F7273" s="7">
        <f t="shared" ref="F7273:F7336" si="114">WEEKDAY(B7273)</f>
        <v>3</v>
      </c>
      <c r="G7273" s="7" t="str">
        <f>LOOKUP(H7273,[1]startdates!$A$2:$A$10,[1]startdates!$B$2:$B$10)</f>
        <v>FMr</v>
      </c>
      <c r="H7273">
        <v>9</v>
      </c>
      <c r="I7273" s="7">
        <v>544.6</v>
      </c>
      <c r="K7273" s="7">
        <v>586</v>
      </c>
      <c r="L7273" s="7">
        <v>447.3</v>
      </c>
      <c r="M7273" s="7">
        <v>374.9</v>
      </c>
      <c r="N7273" s="7">
        <v>258.7</v>
      </c>
      <c r="O7273" s="7">
        <v>162.4</v>
      </c>
      <c r="P7273" s="7">
        <v>437.8</v>
      </c>
    </row>
    <row r="7274" spans="1:16" x14ac:dyDescent="0.2">
      <c r="A7274">
        <v>7273</v>
      </c>
      <c r="B7274" s="1">
        <v>40946</v>
      </c>
      <c r="C7274" t="s">
        <v>24</v>
      </c>
      <c r="D7274" s="7">
        <v>205</v>
      </c>
      <c r="E7274" s="7">
        <v>31</v>
      </c>
      <c r="F7274" s="7">
        <f t="shared" si="114"/>
        <v>3</v>
      </c>
      <c r="G7274" s="7" t="str">
        <f>LOOKUP(H7274,[1]startdates!$A$2:$A$10,[1]startdates!$B$2:$B$10)</f>
        <v>FMr</v>
      </c>
      <c r="H7274">
        <v>9</v>
      </c>
      <c r="I7274" s="7">
        <v>573.29999999999995</v>
      </c>
      <c r="K7274" s="7">
        <v>477.5</v>
      </c>
      <c r="M7274" s="7">
        <v>344.8</v>
      </c>
      <c r="N7274" s="7">
        <v>256.89999999999998</v>
      </c>
      <c r="O7274" s="7">
        <v>163.5</v>
      </c>
      <c r="P7274" s="7">
        <v>475.1</v>
      </c>
    </row>
    <row r="7275" spans="1:16" x14ac:dyDescent="0.2">
      <c r="A7275">
        <v>7274</v>
      </c>
      <c r="B7275" s="1">
        <v>40946</v>
      </c>
      <c r="C7275" t="s">
        <v>24</v>
      </c>
      <c r="D7275" s="7">
        <v>205</v>
      </c>
      <c r="E7275" s="7">
        <v>31</v>
      </c>
      <c r="F7275" s="7">
        <f t="shared" si="114"/>
        <v>3</v>
      </c>
      <c r="G7275" s="7" t="str">
        <f>LOOKUP(H7275,[1]startdates!$A$2:$A$10,[1]startdates!$B$2:$B$10)</f>
        <v>FMr</v>
      </c>
      <c r="H7275">
        <v>9</v>
      </c>
      <c r="I7275" s="7">
        <v>481.8</v>
      </c>
      <c r="K7275" s="7">
        <v>419.5</v>
      </c>
      <c r="M7275" s="7">
        <v>354.1</v>
      </c>
      <c r="N7275" s="7">
        <v>237.6</v>
      </c>
      <c r="O7275" s="7">
        <v>165.5</v>
      </c>
      <c r="P7275" s="7">
        <v>463.7</v>
      </c>
    </row>
    <row r="7276" spans="1:16" x14ac:dyDescent="0.2">
      <c r="A7276">
        <v>7275</v>
      </c>
      <c r="B7276" s="1">
        <v>40946</v>
      </c>
      <c r="C7276" t="s">
        <v>24</v>
      </c>
      <c r="D7276" s="7">
        <v>205</v>
      </c>
      <c r="E7276" s="7">
        <v>31</v>
      </c>
      <c r="F7276" s="7">
        <f t="shared" si="114"/>
        <v>3</v>
      </c>
      <c r="G7276" s="7" t="str">
        <f>LOOKUP(H7276,[1]startdates!$A$2:$A$10,[1]startdates!$B$2:$B$10)</f>
        <v>FMr</v>
      </c>
      <c r="H7276">
        <v>9</v>
      </c>
      <c r="I7276" s="7">
        <v>554.70000000000005</v>
      </c>
      <c r="K7276" s="7">
        <v>467.5</v>
      </c>
      <c r="M7276" s="7">
        <v>391.1</v>
      </c>
      <c r="N7276" s="7">
        <v>238.7</v>
      </c>
      <c r="O7276" s="7">
        <v>175</v>
      </c>
    </row>
    <row r="7277" spans="1:16" x14ac:dyDescent="0.2">
      <c r="A7277">
        <v>7276</v>
      </c>
      <c r="B7277" s="1">
        <v>40946</v>
      </c>
      <c r="C7277" t="s">
        <v>24</v>
      </c>
      <c r="D7277" s="7">
        <v>205</v>
      </c>
      <c r="E7277" s="7">
        <v>31</v>
      </c>
      <c r="F7277" s="7">
        <f t="shared" si="114"/>
        <v>3</v>
      </c>
      <c r="G7277" s="7" t="str">
        <f>LOOKUP(H7277,[1]startdates!$A$2:$A$10,[1]startdates!$B$2:$B$10)</f>
        <v>FMr</v>
      </c>
      <c r="H7277">
        <v>9</v>
      </c>
      <c r="I7277" s="7">
        <v>630.9</v>
      </c>
      <c r="K7277" s="7">
        <v>477</v>
      </c>
      <c r="M7277" s="7">
        <v>399.3</v>
      </c>
      <c r="N7277" s="7">
        <v>188.7</v>
      </c>
      <c r="O7277" s="7">
        <v>175.5</v>
      </c>
    </row>
    <row r="7278" spans="1:16" x14ac:dyDescent="0.2">
      <c r="A7278">
        <v>7277</v>
      </c>
      <c r="B7278" s="1">
        <v>40946</v>
      </c>
      <c r="C7278" t="s">
        <v>24</v>
      </c>
      <c r="D7278" s="7">
        <v>205</v>
      </c>
      <c r="E7278" s="7">
        <v>31</v>
      </c>
      <c r="F7278" s="7">
        <f t="shared" si="114"/>
        <v>3</v>
      </c>
      <c r="G7278" s="7" t="str">
        <f>LOOKUP(H7278,[1]startdates!$A$2:$A$10,[1]startdates!$B$2:$B$10)</f>
        <v>FMr</v>
      </c>
      <c r="H7278">
        <v>9</v>
      </c>
      <c r="I7278" s="7">
        <v>661.3</v>
      </c>
      <c r="M7278" s="7">
        <v>394.2</v>
      </c>
      <c r="N7278" s="7">
        <v>206.5</v>
      </c>
      <c r="O7278" s="7">
        <v>170.6</v>
      </c>
    </row>
    <row r="7279" spans="1:16" x14ac:dyDescent="0.2">
      <c r="A7279">
        <v>7278</v>
      </c>
      <c r="B7279" s="1">
        <v>40946</v>
      </c>
      <c r="C7279" t="s">
        <v>24</v>
      </c>
      <c r="D7279" s="7">
        <v>205</v>
      </c>
      <c r="E7279" s="7">
        <v>31</v>
      </c>
      <c r="F7279" s="7">
        <f t="shared" si="114"/>
        <v>3</v>
      </c>
      <c r="G7279" s="7" t="str">
        <f>LOOKUP(H7279,[1]startdates!$A$2:$A$10,[1]startdates!$B$2:$B$10)</f>
        <v>FMr</v>
      </c>
      <c r="H7279">
        <v>9</v>
      </c>
      <c r="I7279" s="7">
        <v>538</v>
      </c>
      <c r="M7279" s="7">
        <v>390.3</v>
      </c>
      <c r="N7279" s="7">
        <v>232.5</v>
      </c>
      <c r="O7279" s="7">
        <v>164</v>
      </c>
    </row>
    <row r="7280" spans="1:16" x14ac:dyDescent="0.2">
      <c r="A7280">
        <v>7279</v>
      </c>
      <c r="B7280" s="1">
        <v>40946</v>
      </c>
      <c r="C7280" t="s">
        <v>24</v>
      </c>
      <c r="D7280" s="7">
        <v>205</v>
      </c>
      <c r="E7280" s="7">
        <v>31</v>
      </c>
      <c r="F7280" s="7">
        <f t="shared" si="114"/>
        <v>3</v>
      </c>
      <c r="G7280" s="7" t="str">
        <f>LOOKUP(H7280,[1]startdates!$A$2:$A$10,[1]startdates!$B$2:$B$10)</f>
        <v>FMr</v>
      </c>
      <c r="H7280">
        <v>9</v>
      </c>
      <c r="I7280" s="7">
        <v>559.9</v>
      </c>
      <c r="M7280" s="7">
        <v>331.9</v>
      </c>
      <c r="N7280" s="7">
        <v>219.2</v>
      </c>
      <c r="O7280" s="7">
        <v>155.69999999999999</v>
      </c>
    </row>
    <row r="7281" spans="1:19" x14ac:dyDescent="0.2">
      <c r="A7281">
        <v>7280</v>
      </c>
      <c r="B7281" s="1">
        <v>40949</v>
      </c>
      <c r="C7281" t="s">
        <v>28</v>
      </c>
      <c r="D7281" s="7">
        <v>208</v>
      </c>
      <c r="E7281" s="7">
        <v>31</v>
      </c>
      <c r="F7281" s="7">
        <f t="shared" si="114"/>
        <v>6</v>
      </c>
      <c r="G7281" s="7" t="str">
        <f>LOOKUP(H7281,[1]startdates!$A$2:$A$10,[1]startdates!$B$2:$B$10)</f>
        <v>SMr</v>
      </c>
      <c r="H7281">
        <v>1</v>
      </c>
      <c r="I7281" s="7">
        <v>556.9</v>
      </c>
      <c r="J7281" s="7">
        <v>549.6</v>
      </c>
      <c r="K7281" s="7">
        <v>527.1</v>
      </c>
      <c r="L7281" s="7">
        <v>412.9</v>
      </c>
      <c r="M7281" s="7">
        <v>292.3</v>
      </c>
      <c r="N7281" s="7">
        <v>215.1</v>
      </c>
      <c r="O7281" s="7">
        <v>163.1</v>
      </c>
      <c r="P7281" s="7">
        <v>499.4</v>
      </c>
      <c r="Q7281" s="7">
        <v>353.6</v>
      </c>
      <c r="R7281" s="7">
        <v>286.39999999999998</v>
      </c>
    </row>
    <row r="7282" spans="1:19" x14ac:dyDescent="0.2">
      <c r="A7282">
        <v>7281</v>
      </c>
      <c r="B7282" s="1">
        <v>40949</v>
      </c>
      <c r="C7282" t="s">
        <v>28</v>
      </c>
      <c r="D7282" s="7">
        <v>208</v>
      </c>
      <c r="E7282" s="7">
        <v>31</v>
      </c>
      <c r="F7282" s="7">
        <f t="shared" si="114"/>
        <v>6</v>
      </c>
      <c r="G7282" s="7" t="str">
        <f>LOOKUP(H7282,[1]startdates!$A$2:$A$10,[1]startdates!$B$2:$B$10)</f>
        <v>SMr</v>
      </c>
      <c r="H7282">
        <v>1</v>
      </c>
      <c r="I7282" s="7">
        <v>573</v>
      </c>
      <c r="J7282" s="7">
        <v>533.5</v>
      </c>
      <c r="K7282" s="7">
        <v>552.5</v>
      </c>
      <c r="L7282" s="7">
        <v>405.1</v>
      </c>
      <c r="M7282" s="7">
        <v>291.8</v>
      </c>
      <c r="N7282" s="7">
        <v>244.5</v>
      </c>
      <c r="O7282" s="7">
        <v>162.69999999999999</v>
      </c>
      <c r="P7282" s="7">
        <v>426.1</v>
      </c>
      <c r="R7282" s="7">
        <v>279.89999999999998</v>
      </c>
    </row>
    <row r="7283" spans="1:19" x14ac:dyDescent="0.2">
      <c r="A7283">
        <v>7282</v>
      </c>
      <c r="B7283" s="1">
        <v>40949</v>
      </c>
      <c r="C7283" t="s">
        <v>28</v>
      </c>
      <c r="D7283" s="7">
        <v>208</v>
      </c>
      <c r="E7283" s="7">
        <v>31</v>
      </c>
      <c r="F7283" s="7">
        <f t="shared" si="114"/>
        <v>6</v>
      </c>
      <c r="G7283" s="7" t="str">
        <f>LOOKUP(H7283,[1]startdates!$A$2:$A$10,[1]startdates!$B$2:$B$10)</f>
        <v>SMr</v>
      </c>
      <c r="H7283">
        <v>1</v>
      </c>
      <c r="I7283" s="7">
        <v>637.5</v>
      </c>
      <c r="J7283" s="7">
        <v>508.1</v>
      </c>
      <c r="K7283" s="7">
        <v>583.6</v>
      </c>
      <c r="L7283" s="7">
        <v>383.3</v>
      </c>
      <c r="M7283" s="7">
        <v>309.8</v>
      </c>
      <c r="N7283" s="7">
        <v>195.7</v>
      </c>
      <c r="O7283" s="7">
        <v>171.3</v>
      </c>
    </row>
    <row r="7284" spans="1:19" x14ac:dyDescent="0.2">
      <c r="A7284">
        <v>7283</v>
      </c>
      <c r="B7284" s="1">
        <v>40949</v>
      </c>
      <c r="C7284" t="s">
        <v>28</v>
      </c>
      <c r="D7284" s="7">
        <v>208</v>
      </c>
      <c r="E7284" s="7">
        <v>31</v>
      </c>
      <c r="F7284" s="7">
        <f t="shared" si="114"/>
        <v>6</v>
      </c>
      <c r="G7284" s="7" t="str">
        <f>LOOKUP(H7284,[1]startdates!$A$2:$A$10,[1]startdates!$B$2:$B$10)</f>
        <v>SMr</v>
      </c>
      <c r="H7284">
        <v>1</v>
      </c>
      <c r="I7284" s="7">
        <v>613.29999999999995</v>
      </c>
      <c r="J7284" s="7">
        <v>463.7</v>
      </c>
      <c r="K7284" s="7">
        <v>593</v>
      </c>
      <c r="L7284" s="7">
        <v>421.5</v>
      </c>
      <c r="M7284" s="7">
        <v>356.3</v>
      </c>
      <c r="N7284" s="7">
        <v>254.1</v>
      </c>
    </row>
    <row r="7285" spans="1:19" x14ac:dyDescent="0.2">
      <c r="A7285">
        <v>7284</v>
      </c>
      <c r="B7285" s="1">
        <v>40949</v>
      </c>
      <c r="C7285" t="s">
        <v>28</v>
      </c>
      <c r="D7285" s="7">
        <v>208</v>
      </c>
      <c r="E7285" s="7">
        <v>31</v>
      </c>
      <c r="F7285" s="7">
        <f t="shared" si="114"/>
        <v>6</v>
      </c>
      <c r="G7285" s="7" t="str">
        <f>LOOKUP(H7285,[1]startdates!$A$2:$A$10,[1]startdates!$B$2:$B$10)</f>
        <v>SMr</v>
      </c>
      <c r="H7285">
        <v>1</v>
      </c>
      <c r="I7285" s="7">
        <v>616.4</v>
      </c>
      <c r="J7285" s="7">
        <v>513.29999999999995</v>
      </c>
      <c r="M7285" s="7">
        <v>344</v>
      </c>
      <c r="N7285" s="7">
        <v>281.89999999999998</v>
      </c>
    </row>
    <row r="7286" spans="1:19" x14ac:dyDescent="0.2">
      <c r="A7286">
        <v>7285</v>
      </c>
      <c r="B7286" s="1">
        <v>40949</v>
      </c>
      <c r="C7286" t="s">
        <v>28</v>
      </c>
      <c r="D7286" s="7">
        <v>208</v>
      </c>
      <c r="E7286" s="7">
        <v>31</v>
      </c>
      <c r="F7286" s="7">
        <f t="shared" si="114"/>
        <v>6</v>
      </c>
      <c r="G7286" s="7" t="str">
        <f>LOOKUP(H7286,[1]startdates!$A$2:$A$10,[1]startdates!$B$2:$B$10)</f>
        <v>SMr</v>
      </c>
      <c r="H7286">
        <v>1</v>
      </c>
      <c r="I7286" s="7">
        <v>508.9</v>
      </c>
      <c r="J7286" s="7">
        <v>497.7</v>
      </c>
      <c r="M7286" s="7">
        <v>373.7</v>
      </c>
      <c r="N7286" s="7">
        <v>230.5</v>
      </c>
    </row>
    <row r="7287" spans="1:19" x14ac:dyDescent="0.2">
      <c r="A7287">
        <v>7286</v>
      </c>
      <c r="B7287" s="1">
        <v>40949</v>
      </c>
      <c r="C7287" t="s">
        <v>28</v>
      </c>
      <c r="D7287" s="7">
        <v>208</v>
      </c>
      <c r="E7287" s="7">
        <v>31</v>
      </c>
      <c r="F7287" s="7">
        <f t="shared" si="114"/>
        <v>6</v>
      </c>
      <c r="G7287" s="7" t="str">
        <f>LOOKUP(H7287,[1]startdates!$A$2:$A$10,[1]startdates!$B$2:$B$10)</f>
        <v>SMr</v>
      </c>
      <c r="H7287">
        <v>1</v>
      </c>
      <c r="I7287" s="7">
        <v>460.3</v>
      </c>
      <c r="J7287" s="7">
        <v>492.8</v>
      </c>
      <c r="M7287" s="7">
        <v>294.7</v>
      </c>
      <c r="N7287" s="7">
        <v>235.5</v>
      </c>
    </row>
    <row r="7288" spans="1:19" x14ac:dyDescent="0.2">
      <c r="A7288">
        <v>7287</v>
      </c>
      <c r="B7288" s="1">
        <v>40949</v>
      </c>
      <c r="C7288" t="s">
        <v>28</v>
      </c>
      <c r="D7288" s="7">
        <v>208</v>
      </c>
      <c r="E7288" s="7">
        <v>31</v>
      </c>
      <c r="F7288" s="7">
        <f t="shared" si="114"/>
        <v>6</v>
      </c>
      <c r="G7288" s="7" t="str">
        <f>LOOKUP(H7288,[1]startdates!$A$2:$A$10,[1]startdates!$B$2:$B$10)</f>
        <v>SMr</v>
      </c>
      <c r="H7288">
        <v>1</v>
      </c>
      <c r="I7288" s="7">
        <v>639</v>
      </c>
      <c r="M7288" s="7">
        <v>327.7</v>
      </c>
      <c r="N7288" s="7">
        <v>187.8</v>
      </c>
    </row>
    <row r="7289" spans="1:19" x14ac:dyDescent="0.2">
      <c r="A7289">
        <v>7288</v>
      </c>
      <c r="B7289" s="1">
        <v>40949</v>
      </c>
      <c r="C7289" t="s">
        <v>28</v>
      </c>
      <c r="D7289" s="7">
        <v>208</v>
      </c>
      <c r="E7289" s="7">
        <v>31</v>
      </c>
      <c r="F7289" s="7">
        <f t="shared" si="114"/>
        <v>6</v>
      </c>
      <c r="G7289" s="7" t="str">
        <f>LOOKUP(H7289,[1]startdates!$A$2:$A$10,[1]startdates!$B$2:$B$10)</f>
        <v>SMr</v>
      </c>
      <c r="H7289">
        <v>1</v>
      </c>
      <c r="I7289" s="7">
        <v>606</v>
      </c>
      <c r="M7289" s="7">
        <v>342.7</v>
      </c>
      <c r="N7289" s="7">
        <v>223.6</v>
      </c>
    </row>
    <row r="7290" spans="1:19" x14ac:dyDescent="0.2">
      <c r="A7290">
        <v>7289</v>
      </c>
      <c r="B7290" s="1">
        <v>40949</v>
      </c>
      <c r="C7290" t="s">
        <v>28</v>
      </c>
      <c r="D7290" s="7">
        <v>208</v>
      </c>
      <c r="E7290" s="7">
        <v>31</v>
      </c>
      <c r="F7290" s="7">
        <f t="shared" si="114"/>
        <v>6</v>
      </c>
      <c r="G7290" s="7" t="str">
        <f>LOOKUP(H7290,[1]startdates!$A$2:$A$10,[1]startdates!$B$2:$B$10)</f>
        <v>SMr</v>
      </c>
      <c r="H7290">
        <v>1</v>
      </c>
      <c r="I7290" s="7">
        <v>593.6</v>
      </c>
      <c r="M7290" s="7">
        <v>310.3</v>
      </c>
      <c r="N7290" s="7">
        <v>266.39999999999998</v>
      </c>
    </row>
    <row r="7291" spans="1:19" x14ac:dyDescent="0.2">
      <c r="A7291">
        <v>7290</v>
      </c>
      <c r="B7291" s="1">
        <v>40949</v>
      </c>
      <c r="C7291" t="s">
        <v>28</v>
      </c>
      <c r="D7291" s="7">
        <v>208</v>
      </c>
      <c r="E7291" s="7">
        <v>31</v>
      </c>
      <c r="F7291" s="7">
        <f t="shared" si="114"/>
        <v>6</v>
      </c>
      <c r="G7291" s="7" t="str">
        <f>LOOKUP(H7291,[1]startdates!$A$2:$A$10,[1]startdates!$B$2:$B$10)</f>
        <v>SMr</v>
      </c>
      <c r="H7291">
        <v>2</v>
      </c>
      <c r="I7291" s="7">
        <v>581.20000000000005</v>
      </c>
      <c r="K7291" s="7">
        <v>497.1</v>
      </c>
      <c r="L7291" s="7">
        <v>422.1</v>
      </c>
      <c r="M7291" s="7">
        <v>290.89999999999998</v>
      </c>
      <c r="N7291" s="7">
        <v>213.5</v>
      </c>
      <c r="O7291" s="7">
        <v>169.5</v>
      </c>
      <c r="P7291" s="7">
        <v>445.9</v>
      </c>
      <c r="Q7291" s="7">
        <v>309.8</v>
      </c>
      <c r="R7291" s="7">
        <v>278.39999999999998</v>
      </c>
      <c r="S7291" s="7">
        <v>256.39999999999998</v>
      </c>
    </row>
    <row r="7292" spans="1:19" x14ac:dyDescent="0.2">
      <c r="A7292">
        <v>7291</v>
      </c>
      <c r="B7292" s="1">
        <v>40949</v>
      </c>
      <c r="C7292" t="s">
        <v>28</v>
      </c>
      <c r="D7292" s="7">
        <v>208</v>
      </c>
      <c r="E7292" s="7">
        <v>31</v>
      </c>
      <c r="F7292" s="7">
        <f t="shared" si="114"/>
        <v>6</v>
      </c>
      <c r="G7292" s="7" t="str">
        <f>LOOKUP(H7292,[1]startdates!$A$2:$A$10,[1]startdates!$B$2:$B$10)</f>
        <v>SMr</v>
      </c>
      <c r="H7292">
        <v>2</v>
      </c>
      <c r="I7292" s="7">
        <v>629.79999999999995</v>
      </c>
      <c r="K7292" s="7">
        <v>520.79999999999995</v>
      </c>
      <c r="L7292" s="7">
        <v>420.2</v>
      </c>
      <c r="M7292" s="7">
        <v>292.3</v>
      </c>
      <c r="N7292" s="7">
        <v>174.9</v>
      </c>
      <c r="O7292" s="7">
        <v>171.3</v>
      </c>
      <c r="P7292" s="7">
        <v>406.7</v>
      </c>
      <c r="R7292" s="7">
        <v>263.10000000000002</v>
      </c>
    </row>
    <row r="7293" spans="1:19" x14ac:dyDescent="0.2">
      <c r="A7293">
        <v>7292</v>
      </c>
      <c r="B7293" s="1">
        <v>40949</v>
      </c>
      <c r="C7293" t="s">
        <v>28</v>
      </c>
      <c r="D7293" s="7">
        <v>208</v>
      </c>
      <c r="E7293" s="7">
        <v>31</v>
      </c>
      <c r="F7293" s="7">
        <f t="shared" si="114"/>
        <v>6</v>
      </c>
      <c r="G7293" s="7" t="str">
        <f>LOOKUP(H7293,[1]startdates!$A$2:$A$10,[1]startdates!$B$2:$B$10)</f>
        <v>SMr</v>
      </c>
      <c r="H7293">
        <v>2</v>
      </c>
      <c r="I7293" s="7">
        <v>611.5</v>
      </c>
      <c r="K7293" s="7">
        <v>487.1</v>
      </c>
      <c r="L7293" s="7">
        <v>397.4</v>
      </c>
      <c r="M7293" s="7">
        <v>348.4</v>
      </c>
      <c r="N7293" s="7">
        <v>205.7</v>
      </c>
      <c r="O7293" s="7">
        <v>153.1</v>
      </c>
      <c r="P7293" s="7">
        <v>419.9</v>
      </c>
      <c r="R7293" s="7">
        <v>272.39999999999998</v>
      </c>
    </row>
    <row r="7294" spans="1:19" x14ac:dyDescent="0.2">
      <c r="A7294">
        <v>7293</v>
      </c>
      <c r="B7294" s="1">
        <v>40949</v>
      </c>
      <c r="C7294" t="s">
        <v>28</v>
      </c>
      <c r="D7294" s="7">
        <v>208</v>
      </c>
      <c r="E7294" s="7">
        <v>31</v>
      </c>
      <c r="F7294" s="7">
        <f t="shared" si="114"/>
        <v>6</v>
      </c>
      <c r="G7294" s="7" t="str">
        <f>LOOKUP(H7294,[1]startdates!$A$2:$A$10,[1]startdates!$B$2:$B$10)</f>
        <v>SMr</v>
      </c>
      <c r="H7294">
        <v>2</v>
      </c>
      <c r="I7294" s="7">
        <v>585.79999999999995</v>
      </c>
      <c r="K7294" s="7">
        <v>546.1</v>
      </c>
      <c r="L7294" s="7">
        <v>415.3</v>
      </c>
      <c r="M7294" s="7">
        <v>349.1</v>
      </c>
      <c r="N7294" s="7">
        <v>220.6</v>
      </c>
      <c r="O7294" s="7">
        <v>149.5</v>
      </c>
      <c r="P7294" s="7">
        <v>453.5</v>
      </c>
    </row>
    <row r="7295" spans="1:19" x14ac:dyDescent="0.2">
      <c r="A7295">
        <v>7294</v>
      </c>
      <c r="B7295" s="1">
        <v>40949</v>
      </c>
      <c r="C7295" t="s">
        <v>28</v>
      </c>
      <c r="D7295" s="7">
        <v>208</v>
      </c>
      <c r="E7295" s="7">
        <v>31</v>
      </c>
      <c r="F7295" s="7">
        <f t="shared" si="114"/>
        <v>6</v>
      </c>
      <c r="G7295" s="7" t="str">
        <f>LOOKUP(H7295,[1]startdates!$A$2:$A$10,[1]startdates!$B$2:$B$10)</f>
        <v>SMr</v>
      </c>
      <c r="H7295">
        <v>2</v>
      </c>
      <c r="I7295" s="7">
        <v>630.4</v>
      </c>
      <c r="K7295" s="7">
        <v>499.7</v>
      </c>
      <c r="L7295" s="7">
        <v>422.9</v>
      </c>
      <c r="M7295" s="7">
        <v>304.89999999999998</v>
      </c>
      <c r="N7295" s="7">
        <v>238.9</v>
      </c>
      <c r="O7295" s="7">
        <v>156.6</v>
      </c>
    </row>
    <row r="7296" spans="1:19" x14ac:dyDescent="0.2">
      <c r="A7296">
        <v>7295</v>
      </c>
      <c r="B7296" s="1">
        <v>40949</v>
      </c>
      <c r="C7296" t="s">
        <v>28</v>
      </c>
      <c r="D7296" s="7">
        <v>208</v>
      </c>
      <c r="E7296" s="7">
        <v>31</v>
      </c>
      <c r="F7296" s="7">
        <f t="shared" si="114"/>
        <v>6</v>
      </c>
      <c r="G7296" s="7" t="str">
        <f>LOOKUP(H7296,[1]startdates!$A$2:$A$10,[1]startdates!$B$2:$B$10)</f>
        <v>SMr</v>
      </c>
      <c r="H7296">
        <v>2</v>
      </c>
      <c r="I7296" s="7">
        <v>649.9</v>
      </c>
      <c r="K7296" s="7">
        <v>523.4</v>
      </c>
      <c r="L7296" s="7">
        <v>433.3</v>
      </c>
      <c r="M7296" s="7">
        <v>292</v>
      </c>
      <c r="N7296" s="7">
        <v>261.60000000000002</v>
      </c>
      <c r="O7296" s="7">
        <v>171.3</v>
      </c>
    </row>
    <row r="7297" spans="1:18" x14ac:dyDescent="0.2">
      <c r="A7297">
        <v>7296</v>
      </c>
      <c r="B7297" s="1">
        <v>40949</v>
      </c>
      <c r="C7297" t="s">
        <v>28</v>
      </c>
      <c r="D7297" s="7">
        <v>208</v>
      </c>
      <c r="E7297" s="7">
        <v>31</v>
      </c>
      <c r="F7297" s="7">
        <f t="shared" si="114"/>
        <v>6</v>
      </c>
      <c r="G7297" s="7" t="str">
        <f>LOOKUP(H7297,[1]startdates!$A$2:$A$10,[1]startdates!$B$2:$B$10)</f>
        <v>SMr</v>
      </c>
      <c r="H7297">
        <v>2</v>
      </c>
      <c r="I7297" s="7">
        <v>591.5</v>
      </c>
      <c r="M7297" s="7">
        <v>327.10000000000002</v>
      </c>
      <c r="N7297" s="7">
        <v>261.2</v>
      </c>
      <c r="O7297" s="7">
        <v>153.4</v>
      </c>
    </row>
    <row r="7298" spans="1:18" x14ac:dyDescent="0.2">
      <c r="A7298">
        <v>7297</v>
      </c>
      <c r="B7298" s="1">
        <v>40949</v>
      </c>
      <c r="C7298" t="s">
        <v>28</v>
      </c>
      <c r="D7298" s="7">
        <v>208</v>
      </c>
      <c r="E7298" s="7">
        <v>31</v>
      </c>
      <c r="F7298" s="7">
        <f t="shared" si="114"/>
        <v>6</v>
      </c>
      <c r="G7298" s="7" t="str">
        <f>LOOKUP(H7298,[1]startdates!$A$2:$A$10,[1]startdates!$B$2:$B$10)</f>
        <v>SMr</v>
      </c>
      <c r="H7298">
        <v>2</v>
      </c>
      <c r="I7298" s="7">
        <v>547.29999999999995</v>
      </c>
      <c r="M7298" s="7">
        <v>337.2</v>
      </c>
      <c r="N7298" s="7">
        <v>227.2</v>
      </c>
      <c r="O7298" s="7">
        <v>149.1</v>
      </c>
    </row>
    <row r="7299" spans="1:18" x14ac:dyDescent="0.2">
      <c r="A7299">
        <v>7298</v>
      </c>
      <c r="B7299" s="1">
        <v>40949</v>
      </c>
      <c r="C7299" t="s">
        <v>28</v>
      </c>
      <c r="D7299" s="7">
        <v>208</v>
      </c>
      <c r="E7299" s="7">
        <v>31</v>
      </c>
      <c r="F7299" s="7">
        <f t="shared" si="114"/>
        <v>6</v>
      </c>
      <c r="G7299" s="7" t="str">
        <f>LOOKUP(H7299,[1]startdates!$A$2:$A$10,[1]startdates!$B$2:$B$10)</f>
        <v>SMr</v>
      </c>
      <c r="H7299">
        <v>2</v>
      </c>
      <c r="I7299" s="7">
        <v>503.6</v>
      </c>
      <c r="M7299" s="7">
        <v>346.4</v>
      </c>
      <c r="N7299" s="7">
        <v>189.3</v>
      </c>
      <c r="O7299" s="7">
        <v>156.30000000000001</v>
      </c>
    </row>
    <row r="7300" spans="1:18" x14ac:dyDescent="0.2">
      <c r="A7300">
        <v>7299</v>
      </c>
      <c r="B7300" s="1">
        <v>40949</v>
      </c>
      <c r="C7300" t="s">
        <v>28</v>
      </c>
      <c r="D7300" s="7">
        <v>208</v>
      </c>
      <c r="E7300" s="7">
        <v>31</v>
      </c>
      <c r="F7300" s="7">
        <f t="shared" si="114"/>
        <v>6</v>
      </c>
      <c r="G7300" s="7" t="str">
        <f>LOOKUP(H7300,[1]startdates!$A$2:$A$10,[1]startdates!$B$2:$B$10)</f>
        <v>SMr</v>
      </c>
      <c r="H7300">
        <v>2</v>
      </c>
      <c r="I7300" s="7">
        <v>599.4</v>
      </c>
      <c r="M7300" s="7">
        <v>314.60000000000002</v>
      </c>
      <c r="N7300" s="7">
        <v>203.1</v>
      </c>
      <c r="O7300" s="7">
        <v>178.1</v>
      </c>
    </row>
    <row r="7301" spans="1:18" x14ac:dyDescent="0.2">
      <c r="A7301">
        <v>7300</v>
      </c>
      <c r="B7301" s="1">
        <v>40949</v>
      </c>
      <c r="C7301" t="s">
        <v>28</v>
      </c>
      <c r="D7301" s="7">
        <v>208</v>
      </c>
      <c r="E7301" s="7">
        <v>31</v>
      </c>
      <c r="F7301" s="7">
        <f t="shared" si="114"/>
        <v>6</v>
      </c>
      <c r="G7301" s="7" t="str">
        <f>LOOKUP(H7301,[1]startdates!$A$2:$A$10,[1]startdates!$B$2:$B$10)</f>
        <v>C</v>
      </c>
      <c r="H7301">
        <v>3</v>
      </c>
      <c r="I7301" s="7">
        <v>555.9</v>
      </c>
      <c r="K7301" s="7">
        <v>450.3</v>
      </c>
      <c r="L7301" s="7">
        <v>402.7</v>
      </c>
      <c r="M7301" s="7">
        <v>360.1</v>
      </c>
      <c r="N7301" s="7">
        <v>177.3</v>
      </c>
      <c r="O7301" s="7">
        <v>165.5</v>
      </c>
      <c r="P7301" s="7">
        <v>477.3</v>
      </c>
      <c r="Q7301" s="7">
        <v>331.4</v>
      </c>
      <c r="R7301" s="7">
        <v>257.89999999999998</v>
      </c>
    </row>
    <row r="7302" spans="1:18" x14ac:dyDescent="0.2">
      <c r="A7302">
        <v>7301</v>
      </c>
      <c r="B7302" s="1">
        <v>40949</v>
      </c>
      <c r="C7302" t="s">
        <v>28</v>
      </c>
      <c r="D7302" s="7">
        <v>208</v>
      </c>
      <c r="E7302" s="7">
        <v>31</v>
      </c>
      <c r="F7302" s="7">
        <f t="shared" si="114"/>
        <v>6</v>
      </c>
      <c r="G7302" s="7" t="str">
        <f>LOOKUP(H7302,[1]startdates!$A$2:$A$10,[1]startdates!$B$2:$B$10)</f>
        <v>C</v>
      </c>
      <c r="H7302">
        <v>3</v>
      </c>
      <c r="I7302" s="7">
        <v>540.5</v>
      </c>
      <c r="K7302" s="7">
        <v>508.2</v>
      </c>
      <c r="L7302" s="7">
        <v>434.8</v>
      </c>
      <c r="M7302" s="7">
        <v>374.1</v>
      </c>
      <c r="N7302" s="7">
        <v>217</v>
      </c>
      <c r="O7302" s="7">
        <v>166.7</v>
      </c>
      <c r="P7302" s="7">
        <v>480.2</v>
      </c>
      <c r="Q7302" s="7">
        <v>357.4</v>
      </c>
      <c r="R7302" s="7">
        <v>265.8</v>
      </c>
    </row>
    <row r="7303" spans="1:18" x14ac:dyDescent="0.2">
      <c r="A7303">
        <v>7302</v>
      </c>
      <c r="B7303" s="1">
        <v>40949</v>
      </c>
      <c r="C7303" t="s">
        <v>28</v>
      </c>
      <c r="D7303" s="7">
        <v>208</v>
      </c>
      <c r="E7303" s="7">
        <v>31</v>
      </c>
      <c r="F7303" s="7">
        <f t="shared" si="114"/>
        <v>6</v>
      </c>
      <c r="G7303" s="7" t="str">
        <f>LOOKUP(H7303,[1]startdates!$A$2:$A$10,[1]startdates!$B$2:$B$10)</f>
        <v>C</v>
      </c>
      <c r="H7303">
        <v>3</v>
      </c>
      <c r="I7303" s="7">
        <v>558.6</v>
      </c>
      <c r="K7303" s="7">
        <v>500.3</v>
      </c>
      <c r="L7303" s="7">
        <v>435.2</v>
      </c>
      <c r="M7303" s="7">
        <v>323.5</v>
      </c>
      <c r="N7303" s="7">
        <v>184.7</v>
      </c>
      <c r="O7303" s="7">
        <v>172.5</v>
      </c>
    </row>
    <row r="7304" spans="1:18" x14ac:dyDescent="0.2">
      <c r="A7304">
        <v>7303</v>
      </c>
      <c r="B7304" s="1">
        <v>40949</v>
      </c>
      <c r="C7304" t="s">
        <v>28</v>
      </c>
      <c r="D7304" s="7">
        <v>208</v>
      </c>
      <c r="E7304" s="7">
        <v>31</v>
      </c>
      <c r="F7304" s="7">
        <f t="shared" si="114"/>
        <v>6</v>
      </c>
      <c r="G7304" s="7" t="str">
        <f>LOOKUP(H7304,[1]startdates!$A$2:$A$10,[1]startdates!$B$2:$B$10)</f>
        <v>C</v>
      </c>
      <c r="H7304">
        <v>3</v>
      </c>
      <c r="I7304" s="7">
        <v>506.4</v>
      </c>
      <c r="K7304" s="7">
        <v>499.5</v>
      </c>
      <c r="L7304" s="7">
        <v>428.9</v>
      </c>
      <c r="M7304" s="7">
        <v>293.60000000000002</v>
      </c>
      <c r="N7304" s="7">
        <v>229.6</v>
      </c>
      <c r="O7304" s="7">
        <v>171.6</v>
      </c>
    </row>
    <row r="7305" spans="1:18" x14ac:dyDescent="0.2">
      <c r="A7305">
        <v>7304</v>
      </c>
      <c r="B7305" s="1">
        <v>40949</v>
      </c>
      <c r="C7305" t="s">
        <v>28</v>
      </c>
      <c r="D7305" s="7">
        <v>208</v>
      </c>
      <c r="E7305" s="7">
        <v>31</v>
      </c>
      <c r="F7305" s="7">
        <f t="shared" si="114"/>
        <v>6</v>
      </c>
      <c r="G7305" s="7" t="str">
        <f>LOOKUP(H7305,[1]startdates!$A$2:$A$10,[1]startdates!$B$2:$B$10)</f>
        <v>C</v>
      </c>
      <c r="H7305">
        <v>3</v>
      </c>
      <c r="I7305" s="7">
        <v>582.20000000000005</v>
      </c>
      <c r="K7305" s="7">
        <v>486.3</v>
      </c>
      <c r="L7305" s="7">
        <v>391.8</v>
      </c>
      <c r="M7305" s="7">
        <v>299.7</v>
      </c>
      <c r="N7305" s="7">
        <v>218</v>
      </c>
      <c r="O7305" s="7">
        <v>167.9</v>
      </c>
    </row>
    <row r="7306" spans="1:18" x14ac:dyDescent="0.2">
      <c r="A7306">
        <v>7305</v>
      </c>
      <c r="B7306" s="1">
        <v>40949</v>
      </c>
      <c r="C7306" t="s">
        <v>28</v>
      </c>
      <c r="D7306" s="7">
        <v>208</v>
      </c>
      <c r="E7306" s="7">
        <v>31</v>
      </c>
      <c r="F7306" s="7">
        <f t="shared" si="114"/>
        <v>6</v>
      </c>
      <c r="G7306" s="7" t="str">
        <f>LOOKUP(H7306,[1]startdates!$A$2:$A$10,[1]startdates!$B$2:$B$10)</f>
        <v>C</v>
      </c>
      <c r="H7306">
        <v>3</v>
      </c>
      <c r="I7306" s="7">
        <v>599.4</v>
      </c>
      <c r="K7306" s="7">
        <v>466.1</v>
      </c>
      <c r="L7306" s="7">
        <v>429.4</v>
      </c>
      <c r="M7306" s="7">
        <v>357.9</v>
      </c>
      <c r="N7306" s="7">
        <v>260.60000000000002</v>
      </c>
      <c r="O7306" s="7">
        <v>154.80000000000001</v>
      </c>
    </row>
    <row r="7307" spans="1:18" x14ac:dyDescent="0.2">
      <c r="A7307">
        <v>7306</v>
      </c>
      <c r="B7307" s="1">
        <v>40949</v>
      </c>
      <c r="C7307" t="s">
        <v>28</v>
      </c>
      <c r="D7307" s="7">
        <v>208</v>
      </c>
      <c r="E7307" s="7">
        <v>31</v>
      </c>
      <c r="F7307" s="7">
        <f t="shared" si="114"/>
        <v>6</v>
      </c>
      <c r="G7307" s="7" t="str">
        <f>LOOKUP(H7307,[1]startdates!$A$2:$A$10,[1]startdates!$B$2:$B$10)</f>
        <v>C</v>
      </c>
      <c r="H7307">
        <v>3</v>
      </c>
      <c r="I7307" s="7">
        <v>541.1</v>
      </c>
      <c r="L7307" s="7">
        <v>424.4</v>
      </c>
      <c r="M7307" s="7">
        <v>347.7</v>
      </c>
      <c r="N7307" s="7">
        <v>237.9</v>
      </c>
      <c r="O7307" s="7">
        <v>165.7</v>
      </c>
    </row>
    <row r="7308" spans="1:18" x14ac:dyDescent="0.2">
      <c r="A7308">
        <v>7307</v>
      </c>
      <c r="B7308" s="1">
        <v>40949</v>
      </c>
      <c r="C7308" t="s">
        <v>28</v>
      </c>
      <c r="D7308" s="7">
        <v>208</v>
      </c>
      <c r="E7308" s="7">
        <v>31</v>
      </c>
      <c r="F7308" s="7">
        <f t="shared" si="114"/>
        <v>6</v>
      </c>
      <c r="G7308" s="7" t="str">
        <f>LOOKUP(H7308,[1]startdates!$A$2:$A$10,[1]startdates!$B$2:$B$10)</f>
        <v>C</v>
      </c>
      <c r="H7308">
        <v>3</v>
      </c>
      <c r="I7308" s="7">
        <v>497.4</v>
      </c>
      <c r="L7308" s="7">
        <v>393.2</v>
      </c>
      <c r="M7308" s="7">
        <v>312.60000000000002</v>
      </c>
      <c r="N7308" s="7">
        <v>216.5</v>
      </c>
      <c r="O7308" s="7">
        <v>152.69999999999999</v>
      </c>
    </row>
    <row r="7309" spans="1:18" x14ac:dyDescent="0.2">
      <c r="A7309">
        <v>7308</v>
      </c>
      <c r="B7309" s="1">
        <v>40949</v>
      </c>
      <c r="C7309" t="s">
        <v>28</v>
      </c>
      <c r="D7309" s="7">
        <v>208</v>
      </c>
      <c r="E7309" s="7">
        <v>31</v>
      </c>
      <c r="F7309" s="7">
        <f t="shared" si="114"/>
        <v>6</v>
      </c>
      <c r="G7309" s="7" t="str">
        <f>LOOKUP(H7309,[1]startdates!$A$2:$A$10,[1]startdates!$B$2:$B$10)</f>
        <v>C</v>
      </c>
      <c r="H7309">
        <v>3</v>
      </c>
      <c r="I7309" s="7">
        <v>577</v>
      </c>
      <c r="L7309" s="7">
        <v>403.4</v>
      </c>
      <c r="M7309" s="7">
        <v>290.3</v>
      </c>
      <c r="N7309" s="7">
        <v>205.3</v>
      </c>
      <c r="O7309" s="7">
        <v>149</v>
      </c>
    </row>
    <row r="7310" spans="1:18" x14ac:dyDescent="0.2">
      <c r="A7310">
        <v>7309</v>
      </c>
      <c r="B7310" s="1">
        <v>40949</v>
      </c>
      <c r="C7310" t="s">
        <v>28</v>
      </c>
      <c r="D7310" s="7">
        <v>208</v>
      </c>
      <c r="E7310" s="7">
        <v>31</v>
      </c>
      <c r="F7310" s="7">
        <f t="shared" si="114"/>
        <v>6</v>
      </c>
      <c r="G7310" s="7" t="str">
        <f>LOOKUP(H7310,[1]startdates!$A$2:$A$10,[1]startdates!$B$2:$B$10)</f>
        <v>C</v>
      </c>
      <c r="H7310">
        <v>3</v>
      </c>
      <c r="I7310" s="7">
        <v>599.9</v>
      </c>
      <c r="M7310" s="7">
        <v>347.6</v>
      </c>
      <c r="N7310" s="7">
        <v>217.3</v>
      </c>
      <c r="O7310" s="7">
        <v>151.69999999999999</v>
      </c>
    </row>
    <row r="7311" spans="1:18" x14ac:dyDescent="0.2">
      <c r="A7311">
        <v>7310</v>
      </c>
      <c r="B7311" s="1">
        <v>40949</v>
      </c>
      <c r="C7311" t="s">
        <v>24</v>
      </c>
      <c r="D7311" s="7">
        <v>208</v>
      </c>
      <c r="E7311" s="7">
        <v>31</v>
      </c>
      <c r="F7311" s="7">
        <f t="shared" si="114"/>
        <v>6</v>
      </c>
      <c r="G7311" s="7" t="str">
        <f>LOOKUP(H7311,[1]startdates!$A$2:$A$10,[1]startdates!$B$2:$B$10)</f>
        <v>SMr</v>
      </c>
      <c r="H7311">
        <v>4</v>
      </c>
      <c r="I7311" s="7">
        <v>569.1</v>
      </c>
      <c r="J7311" s="7">
        <v>499.2</v>
      </c>
      <c r="K7311" s="7">
        <v>411.5</v>
      </c>
      <c r="L7311" s="7">
        <v>474.5</v>
      </c>
      <c r="M7311" s="7">
        <v>318</v>
      </c>
      <c r="N7311" s="7">
        <v>196.8</v>
      </c>
      <c r="O7311" s="7">
        <v>181.1</v>
      </c>
      <c r="P7311" s="7">
        <v>467.3</v>
      </c>
      <c r="Q7311" s="7">
        <v>342.3</v>
      </c>
      <c r="R7311" s="7">
        <v>249.4</v>
      </c>
    </row>
    <row r="7312" spans="1:18" x14ac:dyDescent="0.2">
      <c r="A7312">
        <v>7311</v>
      </c>
      <c r="B7312" s="1">
        <v>40949</v>
      </c>
      <c r="C7312" t="s">
        <v>24</v>
      </c>
      <c r="D7312" s="7">
        <v>208</v>
      </c>
      <c r="E7312" s="7">
        <v>31</v>
      </c>
      <c r="F7312" s="7">
        <f t="shared" si="114"/>
        <v>6</v>
      </c>
      <c r="G7312" s="7" t="str">
        <f>LOOKUP(H7312,[1]startdates!$A$2:$A$10,[1]startdates!$B$2:$B$10)</f>
        <v>SMr</v>
      </c>
      <c r="H7312">
        <v>4</v>
      </c>
      <c r="I7312" s="7">
        <v>448.1</v>
      </c>
      <c r="J7312" s="7">
        <v>561.1</v>
      </c>
      <c r="K7312" s="7">
        <v>425.7</v>
      </c>
      <c r="L7312" s="7">
        <v>395.5</v>
      </c>
      <c r="M7312" s="7">
        <v>281.39999999999998</v>
      </c>
      <c r="N7312" s="7">
        <v>245.6</v>
      </c>
      <c r="O7312" s="7">
        <v>184.9</v>
      </c>
    </row>
    <row r="7313" spans="1:18" x14ac:dyDescent="0.2">
      <c r="A7313">
        <v>7312</v>
      </c>
      <c r="B7313" s="1">
        <v>40949</v>
      </c>
      <c r="C7313" t="s">
        <v>24</v>
      </c>
      <c r="D7313" s="7">
        <v>208</v>
      </c>
      <c r="E7313" s="7">
        <v>31</v>
      </c>
      <c r="F7313" s="7">
        <f t="shared" si="114"/>
        <v>6</v>
      </c>
      <c r="G7313" s="7" t="str">
        <f>LOOKUP(H7313,[1]startdates!$A$2:$A$10,[1]startdates!$B$2:$B$10)</f>
        <v>SMr</v>
      </c>
      <c r="H7313">
        <v>4</v>
      </c>
      <c r="I7313" s="7">
        <v>603.79999999999995</v>
      </c>
      <c r="K7313" s="7">
        <v>412.9</v>
      </c>
      <c r="L7313" s="7">
        <v>435.7</v>
      </c>
      <c r="M7313" s="7">
        <v>318.7</v>
      </c>
      <c r="N7313" s="7">
        <v>190.1</v>
      </c>
      <c r="O7313" s="7">
        <v>185.3</v>
      </c>
    </row>
    <row r="7314" spans="1:18" x14ac:dyDescent="0.2">
      <c r="A7314">
        <v>7313</v>
      </c>
      <c r="B7314" s="1">
        <v>40949</v>
      </c>
      <c r="C7314" t="s">
        <v>24</v>
      </c>
      <c r="D7314" s="7">
        <v>208</v>
      </c>
      <c r="E7314" s="7">
        <v>31</v>
      </c>
      <c r="F7314" s="7">
        <f t="shared" si="114"/>
        <v>6</v>
      </c>
      <c r="G7314" s="7" t="str">
        <f>LOOKUP(H7314,[1]startdates!$A$2:$A$10,[1]startdates!$B$2:$B$10)</f>
        <v>SMr</v>
      </c>
      <c r="H7314">
        <v>4</v>
      </c>
      <c r="I7314" s="7">
        <v>480.6</v>
      </c>
      <c r="K7314" s="7">
        <v>401.5</v>
      </c>
      <c r="M7314" s="7">
        <v>312.8</v>
      </c>
      <c r="N7314" s="7">
        <v>223.6</v>
      </c>
      <c r="O7314" s="7">
        <v>180.6</v>
      </c>
    </row>
    <row r="7315" spans="1:18" x14ac:dyDescent="0.2">
      <c r="A7315">
        <v>7314</v>
      </c>
      <c r="B7315" s="1">
        <v>40949</v>
      </c>
      <c r="C7315" t="s">
        <v>24</v>
      </c>
      <c r="D7315" s="7">
        <v>208</v>
      </c>
      <c r="E7315" s="7">
        <v>31</v>
      </c>
      <c r="F7315" s="7">
        <f t="shared" si="114"/>
        <v>6</v>
      </c>
      <c r="G7315" s="7" t="str">
        <f>LOOKUP(H7315,[1]startdates!$A$2:$A$10,[1]startdates!$B$2:$B$10)</f>
        <v>SMr</v>
      </c>
      <c r="H7315">
        <v>4</v>
      </c>
      <c r="I7315" s="7">
        <v>605.5</v>
      </c>
      <c r="M7315" s="7">
        <v>380.1</v>
      </c>
      <c r="N7315" s="7">
        <v>221.7</v>
      </c>
      <c r="O7315" s="7">
        <v>156.5</v>
      </c>
    </row>
    <row r="7316" spans="1:18" x14ac:dyDescent="0.2">
      <c r="A7316">
        <v>7315</v>
      </c>
      <c r="B7316" s="1">
        <v>40949</v>
      </c>
      <c r="C7316" t="s">
        <v>24</v>
      </c>
      <c r="D7316" s="7">
        <v>208</v>
      </c>
      <c r="E7316" s="7">
        <v>31</v>
      </c>
      <c r="F7316" s="7">
        <f t="shared" si="114"/>
        <v>6</v>
      </c>
      <c r="G7316" s="7" t="str">
        <f>LOOKUP(H7316,[1]startdates!$A$2:$A$10,[1]startdates!$B$2:$B$10)</f>
        <v>SMr</v>
      </c>
      <c r="H7316">
        <v>4</v>
      </c>
      <c r="I7316" s="7">
        <v>589.70000000000005</v>
      </c>
      <c r="M7316" s="7">
        <v>342.9</v>
      </c>
      <c r="N7316" s="7">
        <v>224</v>
      </c>
      <c r="O7316" s="7">
        <v>176.8</v>
      </c>
    </row>
    <row r="7317" spans="1:18" x14ac:dyDescent="0.2">
      <c r="A7317">
        <v>7316</v>
      </c>
      <c r="B7317" s="1">
        <v>40949</v>
      </c>
      <c r="C7317" t="s">
        <v>24</v>
      </c>
      <c r="D7317" s="7">
        <v>208</v>
      </c>
      <c r="E7317" s="7">
        <v>31</v>
      </c>
      <c r="F7317" s="7">
        <f t="shared" si="114"/>
        <v>6</v>
      </c>
      <c r="G7317" s="7" t="str">
        <f>LOOKUP(H7317,[1]startdates!$A$2:$A$10,[1]startdates!$B$2:$B$10)</f>
        <v>SMr</v>
      </c>
      <c r="H7317">
        <v>4</v>
      </c>
      <c r="I7317" s="7">
        <v>556</v>
      </c>
      <c r="M7317" s="7">
        <v>352</v>
      </c>
      <c r="N7317" s="7">
        <v>227.3</v>
      </c>
      <c r="O7317" s="7">
        <v>169.7</v>
      </c>
    </row>
    <row r="7318" spans="1:18" x14ac:dyDescent="0.2">
      <c r="A7318">
        <v>7317</v>
      </c>
      <c r="B7318" s="1">
        <v>40949</v>
      </c>
      <c r="C7318" t="s">
        <v>24</v>
      </c>
      <c r="D7318" s="7">
        <v>208</v>
      </c>
      <c r="E7318" s="7">
        <v>31</v>
      </c>
      <c r="F7318" s="7">
        <f t="shared" si="114"/>
        <v>6</v>
      </c>
      <c r="G7318" s="7" t="str">
        <f>LOOKUP(H7318,[1]startdates!$A$2:$A$10,[1]startdates!$B$2:$B$10)</f>
        <v>SMr</v>
      </c>
      <c r="H7318">
        <v>4</v>
      </c>
      <c r="I7318" s="7">
        <v>581.20000000000005</v>
      </c>
      <c r="M7318" s="7">
        <v>290.60000000000002</v>
      </c>
      <c r="N7318" s="7">
        <v>187.5</v>
      </c>
      <c r="O7318" s="7">
        <v>156</v>
      </c>
    </row>
    <row r="7319" spans="1:18" x14ac:dyDescent="0.2">
      <c r="A7319">
        <v>7318</v>
      </c>
      <c r="B7319" s="1">
        <v>40949</v>
      </c>
      <c r="C7319" t="s">
        <v>24</v>
      </c>
      <c r="D7319" s="7">
        <v>208</v>
      </c>
      <c r="E7319" s="7">
        <v>31</v>
      </c>
      <c r="F7319" s="7">
        <f t="shared" si="114"/>
        <v>6</v>
      </c>
      <c r="G7319" s="7" t="str">
        <f>LOOKUP(H7319,[1]startdates!$A$2:$A$10,[1]startdates!$B$2:$B$10)</f>
        <v>SMr</v>
      </c>
      <c r="H7319">
        <v>4</v>
      </c>
      <c r="I7319" s="7">
        <v>669.6</v>
      </c>
      <c r="O7319" s="7">
        <v>171.3</v>
      </c>
    </row>
    <row r="7320" spans="1:18" x14ac:dyDescent="0.2">
      <c r="A7320">
        <v>7319</v>
      </c>
      <c r="B7320" s="1">
        <v>40949</v>
      </c>
      <c r="C7320" t="s">
        <v>24</v>
      </c>
      <c r="D7320" s="7">
        <v>208</v>
      </c>
      <c r="E7320" s="7">
        <v>31</v>
      </c>
      <c r="F7320" s="7">
        <f t="shared" si="114"/>
        <v>6</v>
      </c>
      <c r="G7320" s="7" t="str">
        <f>LOOKUP(H7320,[1]startdates!$A$2:$A$10,[1]startdates!$B$2:$B$10)</f>
        <v>SMr</v>
      </c>
      <c r="H7320">
        <v>4</v>
      </c>
      <c r="I7320" s="7">
        <v>593.79999999999995</v>
      </c>
      <c r="O7320" s="7">
        <v>159</v>
      </c>
    </row>
    <row r="7321" spans="1:18" x14ac:dyDescent="0.2">
      <c r="A7321">
        <v>7320</v>
      </c>
      <c r="B7321" s="1">
        <v>40949</v>
      </c>
      <c r="C7321" t="s">
        <v>24</v>
      </c>
      <c r="D7321" s="7">
        <v>208</v>
      </c>
      <c r="E7321" s="7">
        <v>31</v>
      </c>
      <c r="F7321" s="7">
        <f t="shared" si="114"/>
        <v>6</v>
      </c>
      <c r="G7321" s="7" t="str">
        <f>LOOKUP(H7321,[1]startdates!$A$2:$A$10,[1]startdates!$B$2:$B$10)</f>
        <v>C</v>
      </c>
      <c r="H7321">
        <v>5</v>
      </c>
      <c r="I7321" s="7">
        <v>673.4</v>
      </c>
      <c r="J7321" s="7">
        <v>551.1</v>
      </c>
      <c r="K7321" s="7">
        <v>463.4</v>
      </c>
      <c r="L7321" s="7">
        <v>458.3</v>
      </c>
      <c r="M7321" s="7">
        <v>354.1</v>
      </c>
      <c r="N7321" s="7">
        <v>250.4</v>
      </c>
      <c r="O7321" s="7">
        <v>193.3</v>
      </c>
      <c r="P7321" s="7">
        <v>449.3</v>
      </c>
      <c r="Q7321" s="7">
        <v>347.7</v>
      </c>
      <c r="R7321" s="7">
        <v>247</v>
      </c>
    </row>
    <row r="7322" spans="1:18" x14ac:dyDescent="0.2">
      <c r="A7322">
        <v>7321</v>
      </c>
      <c r="B7322" s="1">
        <v>40949</v>
      </c>
      <c r="C7322" t="s">
        <v>24</v>
      </c>
      <c r="D7322" s="7">
        <v>208</v>
      </c>
      <c r="E7322" s="7">
        <v>31</v>
      </c>
      <c r="F7322" s="7">
        <f t="shared" si="114"/>
        <v>6</v>
      </c>
      <c r="G7322" s="7" t="str">
        <f>LOOKUP(H7322,[1]startdates!$A$2:$A$10,[1]startdates!$B$2:$B$10)</f>
        <v>C</v>
      </c>
      <c r="H7322">
        <v>5</v>
      </c>
      <c r="I7322" s="7">
        <v>655.9</v>
      </c>
      <c r="J7322" s="7">
        <v>629.79999999999995</v>
      </c>
      <c r="K7322" s="7">
        <v>458.8</v>
      </c>
      <c r="L7322" s="7">
        <v>427.7</v>
      </c>
      <c r="M7322" s="7">
        <v>342.6</v>
      </c>
      <c r="N7322" s="7">
        <v>195.1</v>
      </c>
      <c r="O7322" s="7">
        <v>162</v>
      </c>
      <c r="P7322" s="7">
        <v>460.3</v>
      </c>
      <c r="R7322" s="7">
        <v>255.5</v>
      </c>
    </row>
    <row r="7323" spans="1:18" x14ac:dyDescent="0.2">
      <c r="A7323">
        <v>7322</v>
      </c>
      <c r="B7323" s="1">
        <v>40949</v>
      </c>
      <c r="C7323" t="s">
        <v>24</v>
      </c>
      <c r="D7323" s="7">
        <v>208</v>
      </c>
      <c r="E7323" s="7">
        <v>31</v>
      </c>
      <c r="F7323" s="7">
        <f t="shared" si="114"/>
        <v>6</v>
      </c>
      <c r="G7323" s="7" t="str">
        <f>LOOKUP(H7323,[1]startdates!$A$2:$A$10,[1]startdates!$B$2:$B$10)</f>
        <v>C</v>
      </c>
      <c r="H7323">
        <v>5</v>
      </c>
      <c r="I7323" s="7">
        <v>618.79999999999995</v>
      </c>
      <c r="J7323" s="7">
        <v>534.5</v>
      </c>
      <c r="K7323" s="7">
        <v>564.5</v>
      </c>
      <c r="L7323" s="7">
        <v>412.4</v>
      </c>
      <c r="M7323" s="7">
        <v>361.1</v>
      </c>
      <c r="N7323" s="7">
        <v>255.3</v>
      </c>
      <c r="O7323" s="7">
        <v>161</v>
      </c>
      <c r="P7323" s="7">
        <v>464.8</v>
      </c>
    </row>
    <row r="7324" spans="1:18" x14ac:dyDescent="0.2">
      <c r="A7324">
        <v>7323</v>
      </c>
      <c r="B7324" s="1">
        <v>40949</v>
      </c>
      <c r="C7324" t="s">
        <v>24</v>
      </c>
      <c r="D7324" s="7">
        <v>208</v>
      </c>
      <c r="E7324" s="7">
        <v>31</v>
      </c>
      <c r="F7324" s="7">
        <f t="shared" si="114"/>
        <v>6</v>
      </c>
      <c r="G7324" s="7" t="str">
        <f>LOOKUP(H7324,[1]startdates!$A$2:$A$10,[1]startdates!$B$2:$B$10)</f>
        <v>C</v>
      </c>
      <c r="H7324">
        <v>5</v>
      </c>
      <c r="I7324" s="7">
        <v>625.4</v>
      </c>
      <c r="J7324" s="7">
        <v>548.6</v>
      </c>
      <c r="K7324" s="7">
        <v>482.5</v>
      </c>
      <c r="L7324" s="7">
        <v>469.9</v>
      </c>
      <c r="M7324" s="7">
        <v>393.5</v>
      </c>
      <c r="N7324" s="7">
        <v>200.9</v>
      </c>
      <c r="O7324" s="7">
        <v>157.4</v>
      </c>
      <c r="P7324" s="7">
        <v>507.4</v>
      </c>
    </row>
    <row r="7325" spans="1:18" x14ac:dyDescent="0.2">
      <c r="A7325">
        <v>7324</v>
      </c>
      <c r="B7325" s="1">
        <v>40949</v>
      </c>
      <c r="C7325" t="s">
        <v>24</v>
      </c>
      <c r="D7325" s="7">
        <v>208</v>
      </c>
      <c r="E7325" s="7">
        <v>31</v>
      </c>
      <c r="F7325" s="7">
        <f t="shared" si="114"/>
        <v>6</v>
      </c>
      <c r="G7325" s="7" t="str">
        <f>LOOKUP(H7325,[1]startdates!$A$2:$A$10,[1]startdates!$B$2:$B$10)</f>
        <v>C</v>
      </c>
      <c r="H7325">
        <v>5</v>
      </c>
      <c r="I7325" s="7">
        <v>715.9</v>
      </c>
      <c r="J7325" s="7">
        <v>552.6</v>
      </c>
      <c r="K7325" s="7">
        <v>608.70000000000005</v>
      </c>
      <c r="L7325" s="7">
        <v>436.4</v>
      </c>
      <c r="M7325" s="7">
        <v>333.4</v>
      </c>
      <c r="N7325" s="7">
        <v>221.7</v>
      </c>
      <c r="O7325" s="7">
        <v>187.8</v>
      </c>
      <c r="P7325" s="7">
        <v>473</v>
      </c>
    </row>
    <row r="7326" spans="1:18" x14ac:dyDescent="0.2">
      <c r="A7326">
        <v>7325</v>
      </c>
      <c r="B7326" s="1">
        <v>40949</v>
      </c>
      <c r="C7326" t="s">
        <v>24</v>
      </c>
      <c r="D7326" s="7">
        <v>208</v>
      </c>
      <c r="E7326" s="7">
        <v>31</v>
      </c>
      <c r="F7326" s="7">
        <f t="shared" si="114"/>
        <v>6</v>
      </c>
      <c r="G7326" s="7" t="str">
        <f>LOOKUP(H7326,[1]startdates!$A$2:$A$10,[1]startdates!$B$2:$B$10)</f>
        <v>C</v>
      </c>
      <c r="H7326">
        <v>5</v>
      </c>
      <c r="I7326" s="7">
        <v>692.3</v>
      </c>
      <c r="L7326" s="7">
        <v>412.9</v>
      </c>
      <c r="M7326" s="7">
        <v>291.10000000000002</v>
      </c>
      <c r="N7326" s="7">
        <v>225.3</v>
      </c>
      <c r="O7326" s="7">
        <v>162</v>
      </c>
    </row>
    <row r="7327" spans="1:18" x14ac:dyDescent="0.2">
      <c r="A7327">
        <v>7326</v>
      </c>
      <c r="B7327" s="1">
        <v>40949</v>
      </c>
      <c r="C7327" t="s">
        <v>24</v>
      </c>
      <c r="D7327" s="7">
        <v>208</v>
      </c>
      <c r="E7327" s="7">
        <v>31</v>
      </c>
      <c r="F7327" s="7">
        <f t="shared" si="114"/>
        <v>6</v>
      </c>
      <c r="G7327" s="7" t="str">
        <f>LOOKUP(H7327,[1]startdates!$A$2:$A$10,[1]startdates!$B$2:$B$10)</f>
        <v>C</v>
      </c>
      <c r="H7327">
        <v>5</v>
      </c>
      <c r="I7327" s="7">
        <v>710.7</v>
      </c>
      <c r="M7327" s="7">
        <v>287.39999999999998</v>
      </c>
      <c r="N7327" s="7">
        <v>206.5</v>
      </c>
      <c r="O7327" s="7">
        <v>172.5</v>
      </c>
    </row>
    <row r="7328" spans="1:18" x14ac:dyDescent="0.2">
      <c r="A7328">
        <v>7327</v>
      </c>
      <c r="B7328" s="1">
        <v>40949</v>
      </c>
      <c r="C7328" t="s">
        <v>24</v>
      </c>
      <c r="D7328" s="7">
        <v>208</v>
      </c>
      <c r="E7328" s="7">
        <v>31</v>
      </c>
      <c r="F7328" s="7">
        <f t="shared" si="114"/>
        <v>6</v>
      </c>
      <c r="G7328" s="7" t="str">
        <f>LOOKUP(H7328,[1]startdates!$A$2:$A$10,[1]startdates!$B$2:$B$10)</f>
        <v>C</v>
      </c>
      <c r="H7328">
        <v>5</v>
      </c>
      <c r="M7328" s="7">
        <v>321</v>
      </c>
      <c r="N7328" s="7">
        <v>249.2</v>
      </c>
      <c r="O7328" s="7">
        <v>170.4</v>
      </c>
    </row>
    <row r="7329" spans="1:18" x14ac:dyDescent="0.2">
      <c r="A7329">
        <v>7328</v>
      </c>
      <c r="B7329" s="1">
        <v>40949</v>
      </c>
      <c r="C7329" t="s">
        <v>24</v>
      </c>
      <c r="D7329" s="7">
        <v>208</v>
      </c>
      <c r="E7329" s="7">
        <v>31</v>
      </c>
      <c r="F7329" s="7">
        <f t="shared" si="114"/>
        <v>6</v>
      </c>
      <c r="G7329" s="7" t="str">
        <f>LOOKUP(H7329,[1]startdates!$A$2:$A$10,[1]startdates!$B$2:$B$10)</f>
        <v>C</v>
      </c>
      <c r="H7329">
        <v>5</v>
      </c>
      <c r="M7329" s="7">
        <v>370.6</v>
      </c>
      <c r="N7329" s="7">
        <v>202.6</v>
      </c>
      <c r="O7329" s="7">
        <v>190.1</v>
      </c>
    </row>
    <row r="7330" spans="1:18" x14ac:dyDescent="0.2">
      <c r="A7330">
        <v>7329</v>
      </c>
      <c r="B7330" s="1">
        <v>40949</v>
      </c>
      <c r="C7330" t="s">
        <v>24</v>
      </c>
      <c r="D7330" s="7">
        <v>208</v>
      </c>
      <c r="E7330" s="7">
        <v>31</v>
      </c>
      <c r="F7330" s="7">
        <f t="shared" si="114"/>
        <v>6</v>
      </c>
      <c r="G7330" s="7" t="str">
        <f>LOOKUP(H7330,[1]startdates!$A$2:$A$10,[1]startdates!$B$2:$B$10)</f>
        <v>C</v>
      </c>
      <c r="H7330">
        <v>5</v>
      </c>
      <c r="N7330" s="7">
        <v>176.3</v>
      </c>
      <c r="O7330" s="7">
        <v>174.1</v>
      </c>
    </row>
    <row r="7331" spans="1:18" x14ac:dyDescent="0.2">
      <c r="A7331">
        <v>7330</v>
      </c>
      <c r="B7331" s="1">
        <v>40949</v>
      </c>
      <c r="C7331" t="s">
        <v>24</v>
      </c>
      <c r="D7331" s="7">
        <v>208</v>
      </c>
      <c r="E7331" s="7">
        <v>31</v>
      </c>
      <c r="F7331" s="7">
        <f t="shared" si="114"/>
        <v>6</v>
      </c>
      <c r="G7331" s="7" t="str">
        <f>LOOKUP(H7331,[1]startdates!$A$2:$A$10,[1]startdates!$B$2:$B$10)</f>
        <v>C</v>
      </c>
      <c r="H7331">
        <v>5</v>
      </c>
      <c r="O7331" s="7">
        <v>179.5</v>
      </c>
    </row>
    <row r="7332" spans="1:18" x14ac:dyDescent="0.2">
      <c r="A7332">
        <v>7331</v>
      </c>
      <c r="B7332" s="1">
        <v>40949</v>
      </c>
      <c r="C7332" t="s">
        <v>28</v>
      </c>
      <c r="D7332" s="7">
        <v>208</v>
      </c>
      <c r="E7332" s="7">
        <v>31</v>
      </c>
      <c r="F7332" s="7">
        <f t="shared" si="114"/>
        <v>6</v>
      </c>
      <c r="G7332" s="7" t="str">
        <f>LOOKUP(H7332,[1]startdates!$A$2:$A$10,[1]startdates!$B$2:$B$10)</f>
        <v>FMr</v>
      </c>
      <c r="H7332">
        <v>6</v>
      </c>
      <c r="I7332" s="7">
        <v>632.6</v>
      </c>
      <c r="K7332" s="7">
        <v>467.3</v>
      </c>
      <c r="L7332" s="7">
        <v>438.4</v>
      </c>
      <c r="M7332" s="7">
        <v>310.89999999999998</v>
      </c>
      <c r="N7332" s="7">
        <v>222</v>
      </c>
      <c r="O7332" s="7">
        <v>153.80000000000001</v>
      </c>
      <c r="P7332" s="7">
        <v>411.6</v>
      </c>
      <c r="Q7332" s="7">
        <v>315.5</v>
      </c>
      <c r="R7332" s="7">
        <v>275</v>
      </c>
    </row>
    <row r="7333" spans="1:18" x14ac:dyDescent="0.2">
      <c r="A7333">
        <v>7332</v>
      </c>
      <c r="B7333" s="1">
        <v>40949</v>
      </c>
      <c r="C7333" t="s">
        <v>28</v>
      </c>
      <c r="D7333" s="7">
        <v>208</v>
      </c>
      <c r="E7333" s="7">
        <v>31</v>
      </c>
      <c r="F7333" s="7">
        <f t="shared" si="114"/>
        <v>6</v>
      </c>
      <c r="G7333" s="7" t="str">
        <f>LOOKUP(H7333,[1]startdates!$A$2:$A$10,[1]startdates!$B$2:$B$10)</f>
        <v>FMr</v>
      </c>
      <c r="H7333">
        <v>6</v>
      </c>
      <c r="I7333" s="7">
        <v>609</v>
      </c>
      <c r="K7333" s="7">
        <v>490.2</v>
      </c>
      <c r="L7333" s="7">
        <v>446.2</v>
      </c>
      <c r="M7333" s="7">
        <v>351.7</v>
      </c>
      <c r="N7333" s="7">
        <v>209.3</v>
      </c>
      <c r="O7333" s="7">
        <v>163</v>
      </c>
      <c r="P7333" s="7">
        <v>476.9</v>
      </c>
    </row>
    <row r="7334" spans="1:18" x14ac:dyDescent="0.2">
      <c r="A7334">
        <v>7333</v>
      </c>
      <c r="B7334" s="1">
        <v>40949</v>
      </c>
      <c r="C7334" t="s">
        <v>28</v>
      </c>
      <c r="D7334" s="7">
        <v>208</v>
      </c>
      <c r="E7334" s="7">
        <v>31</v>
      </c>
      <c r="F7334" s="7">
        <f t="shared" si="114"/>
        <v>6</v>
      </c>
      <c r="G7334" s="7" t="str">
        <f>LOOKUP(H7334,[1]startdates!$A$2:$A$10,[1]startdates!$B$2:$B$10)</f>
        <v>FMr</v>
      </c>
      <c r="H7334">
        <v>6</v>
      </c>
      <c r="I7334" s="7">
        <v>659</v>
      </c>
      <c r="K7334" s="7">
        <v>441.7</v>
      </c>
      <c r="L7334" s="7">
        <v>410.7</v>
      </c>
      <c r="M7334" s="7">
        <v>354.9</v>
      </c>
      <c r="N7334" s="7">
        <v>233.8</v>
      </c>
      <c r="O7334" s="7">
        <v>140.30000000000001</v>
      </c>
      <c r="P7334" s="7">
        <v>495.7</v>
      </c>
    </row>
    <row r="7335" spans="1:18" x14ac:dyDescent="0.2">
      <c r="A7335">
        <v>7334</v>
      </c>
      <c r="B7335" s="1">
        <v>40949</v>
      </c>
      <c r="C7335" t="s">
        <v>28</v>
      </c>
      <c r="D7335" s="7">
        <v>208</v>
      </c>
      <c r="E7335" s="7">
        <v>31</v>
      </c>
      <c r="F7335" s="7">
        <f t="shared" si="114"/>
        <v>6</v>
      </c>
      <c r="G7335" s="7" t="str">
        <f>LOOKUP(H7335,[1]startdates!$A$2:$A$10,[1]startdates!$B$2:$B$10)</f>
        <v>FMr</v>
      </c>
      <c r="H7335">
        <v>6</v>
      </c>
      <c r="I7335" s="7">
        <v>482.7</v>
      </c>
      <c r="K7335" s="7">
        <v>528.1</v>
      </c>
      <c r="L7335" s="7">
        <v>430.3</v>
      </c>
      <c r="M7335" s="7">
        <v>317.89999999999998</v>
      </c>
      <c r="N7335" s="7">
        <v>224.4</v>
      </c>
      <c r="O7335" s="7">
        <v>155.4</v>
      </c>
      <c r="P7335" s="7">
        <v>464.5</v>
      </c>
    </row>
    <row r="7336" spans="1:18" x14ac:dyDescent="0.2">
      <c r="A7336">
        <v>7335</v>
      </c>
      <c r="B7336" s="1">
        <v>40949</v>
      </c>
      <c r="C7336" t="s">
        <v>28</v>
      </c>
      <c r="D7336" s="7">
        <v>208</v>
      </c>
      <c r="E7336" s="7">
        <v>31</v>
      </c>
      <c r="F7336" s="7">
        <f t="shared" si="114"/>
        <v>6</v>
      </c>
      <c r="G7336" s="7" t="str">
        <f>LOOKUP(H7336,[1]startdates!$A$2:$A$10,[1]startdates!$B$2:$B$10)</f>
        <v>FMr</v>
      </c>
      <c r="H7336">
        <v>6</v>
      </c>
      <c r="I7336" s="7">
        <v>548.6</v>
      </c>
      <c r="K7336" s="7">
        <v>509.2</v>
      </c>
      <c r="L7336" s="7">
        <v>408.7</v>
      </c>
      <c r="M7336" s="7">
        <v>333</v>
      </c>
      <c r="N7336" s="7">
        <v>196.3</v>
      </c>
      <c r="O7336" s="7">
        <v>150.4</v>
      </c>
    </row>
    <row r="7337" spans="1:18" x14ac:dyDescent="0.2">
      <c r="A7337">
        <v>7336</v>
      </c>
      <c r="B7337" s="1">
        <v>40949</v>
      </c>
      <c r="C7337" t="s">
        <v>28</v>
      </c>
      <c r="D7337" s="7">
        <v>208</v>
      </c>
      <c r="E7337" s="7">
        <v>31</v>
      </c>
      <c r="F7337" s="7">
        <f t="shared" ref="F7337:F7400" si="115">WEEKDAY(B7337)</f>
        <v>6</v>
      </c>
      <c r="G7337" s="7" t="str">
        <f>LOOKUP(H7337,[1]startdates!$A$2:$A$10,[1]startdates!$B$2:$B$10)</f>
        <v>FMr</v>
      </c>
      <c r="H7337">
        <v>6</v>
      </c>
      <c r="I7337" s="7">
        <v>632.6</v>
      </c>
      <c r="K7337" s="7">
        <v>591</v>
      </c>
      <c r="L7337" s="7">
        <v>426.6</v>
      </c>
      <c r="M7337" s="7">
        <v>308.8</v>
      </c>
      <c r="N7337" s="7">
        <v>234.2</v>
      </c>
      <c r="O7337" s="7">
        <v>127.8</v>
      </c>
    </row>
    <row r="7338" spans="1:18" x14ac:dyDescent="0.2">
      <c r="A7338">
        <v>7337</v>
      </c>
      <c r="B7338" s="1">
        <v>40949</v>
      </c>
      <c r="C7338" t="s">
        <v>28</v>
      </c>
      <c r="D7338" s="7">
        <v>208</v>
      </c>
      <c r="E7338" s="7">
        <v>31</v>
      </c>
      <c r="F7338" s="7">
        <f t="shared" si="115"/>
        <v>6</v>
      </c>
      <c r="G7338" s="7" t="str">
        <f>LOOKUP(H7338,[1]startdates!$A$2:$A$10,[1]startdates!$B$2:$B$10)</f>
        <v>FMr</v>
      </c>
      <c r="H7338">
        <v>6</v>
      </c>
      <c r="I7338" s="7">
        <v>544.9</v>
      </c>
      <c r="K7338" s="7">
        <v>507.6</v>
      </c>
      <c r="M7338" s="7">
        <v>341.3</v>
      </c>
      <c r="N7338" s="7">
        <v>224.9</v>
      </c>
      <c r="O7338" s="7">
        <v>153.4</v>
      </c>
    </row>
    <row r="7339" spans="1:18" x14ac:dyDescent="0.2">
      <c r="A7339">
        <v>7338</v>
      </c>
      <c r="B7339" s="1">
        <v>40949</v>
      </c>
      <c r="C7339" t="s">
        <v>28</v>
      </c>
      <c r="D7339" s="7">
        <v>208</v>
      </c>
      <c r="E7339" s="7">
        <v>31</v>
      </c>
      <c r="F7339" s="7">
        <f t="shared" si="115"/>
        <v>6</v>
      </c>
      <c r="G7339" s="7" t="str">
        <f>LOOKUP(H7339,[1]startdates!$A$2:$A$10,[1]startdates!$B$2:$B$10)</f>
        <v>FMr</v>
      </c>
      <c r="H7339">
        <v>6</v>
      </c>
      <c r="I7339" s="7">
        <v>619</v>
      </c>
      <c r="K7339" s="7">
        <v>475.5</v>
      </c>
      <c r="M7339" s="7">
        <v>311.39999999999998</v>
      </c>
      <c r="N7339" s="7">
        <v>222.4</v>
      </c>
      <c r="O7339" s="7">
        <v>163.4</v>
      </c>
    </row>
    <row r="7340" spans="1:18" x14ac:dyDescent="0.2">
      <c r="A7340">
        <v>7339</v>
      </c>
      <c r="B7340" s="1">
        <v>40949</v>
      </c>
      <c r="C7340" t="s">
        <v>28</v>
      </c>
      <c r="D7340" s="7">
        <v>208</v>
      </c>
      <c r="E7340" s="7">
        <v>31</v>
      </c>
      <c r="F7340" s="7">
        <f t="shared" si="115"/>
        <v>6</v>
      </c>
      <c r="G7340" s="7" t="str">
        <f>LOOKUP(H7340,[1]startdates!$A$2:$A$10,[1]startdates!$B$2:$B$10)</f>
        <v>FMr</v>
      </c>
      <c r="H7340">
        <v>6</v>
      </c>
      <c r="I7340" s="7">
        <v>471.3</v>
      </c>
      <c r="K7340" s="7">
        <v>592.9</v>
      </c>
      <c r="M7340" s="7">
        <v>333.8</v>
      </c>
      <c r="N7340" s="7">
        <v>237.1</v>
      </c>
      <c r="O7340" s="7">
        <v>161.4</v>
      </c>
    </row>
    <row r="7341" spans="1:18" x14ac:dyDescent="0.2">
      <c r="A7341">
        <v>7340</v>
      </c>
      <c r="B7341" s="1">
        <v>40949</v>
      </c>
      <c r="C7341" t="s">
        <v>28</v>
      </c>
      <c r="D7341" s="7">
        <v>208</v>
      </c>
      <c r="E7341" s="7">
        <v>31</v>
      </c>
      <c r="F7341" s="7">
        <f t="shared" si="115"/>
        <v>6</v>
      </c>
      <c r="G7341" s="7" t="str">
        <f>LOOKUP(H7341,[1]startdates!$A$2:$A$10,[1]startdates!$B$2:$B$10)</f>
        <v>FMr</v>
      </c>
      <c r="H7341">
        <v>6</v>
      </c>
      <c r="M7341" s="7">
        <v>354.6</v>
      </c>
      <c r="N7341" s="7">
        <v>217.6</v>
      </c>
      <c r="O7341" s="7">
        <v>154.1</v>
      </c>
    </row>
    <row r="7342" spans="1:18" x14ac:dyDescent="0.2">
      <c r="A7342">
        <v>7341</v>
      </c>
      <c r="B7342" s="1">
        <v>40949</v>
      </c>
      <c r="C7342" t="s">
        <v>28</v>
      </c>
      <c r="D7342" s="7">
        <v>208</v>
      </c>
      <c r="E7342" s="7">
        <v>31</v>
      </c>
      <c r="F7342" s="7">
        <f t="shared" si="115"/>
        <v>6</v>
      </c>
      <c r="G7342" s="7" t="str">
        <f>LOOKUP(H7342,[1]startdates!$A$2:$A$10,[1]startdates!$B$2:$B$10)</f>
        <v>FMr</v>
      </c>
      <c r="H7342">
        <v>6</v>
      </c>
      <c r="O7342" s="7">
        <v>169.7</v>
      </c>
    </row>
    <row r="7343" spans="1:18" x14ac:dyDescent="0.2">
      <c r="A7343">
        <v>7342</v>
      </c>
      <c r="B7343" s="1">
        <v>40949</v>
      </c>
      <c r="C7343" t="s">
        <v>24</v>
      </c>
      <c r="D7343" s="7">
        <v>208</v>
      </c>
      <c r="E7343" s="7">
        <v>31</v>
      </c>
      <c r="F7343" s="7">
        <f t="shared" si="115"/>
        <v>6</v>
      </c>
      <c r="G7343" s="7" t="str">
        <f>LOOKUP(H7343,[1]startdates!$A$2:$A$10,[1]startdates!$B$2:$B$10)</f>
        <v>FMr</v>
      </c>
      <c r="H7343">
        <v>7</v>
      </c>
      <c r="I7343" s="7">
        <v>596.5</v>
      </c>
      <c r="J7343" s="7">
        <v>511.1</v>
      </c>
      <c r="K7343" s="7">
        <v>600.79999999999995</v>
      </c>
      <c r="L7343" s="7">
        <v>451.7</v>
      </c>
      <c r="M7343" s="7">
        <v>369.1</v>
      </c>
      <c r="N7343" s="7">
        <v>236.1</v>
      </c>
      <c r="O7343" s="7">
        <v>171.9</v>
      </c>
      <c r="P7343" s="7">
        <v>485.8</v>
      </c>
      <c r="Q7343" s="7">
        <v>401.6</v>
      </c>
      <c r="R7343" s="7">
        <v>280.39999999999998</v>
      </c>
    </row>
    <row r="7344" spans="1:18" x14ac:dyDescent="0.2">
      <c r="A7344">
        <v>7343</v>
      </c>
      <c r="B7344" s="1">
        <v>40949</v>
      </c>
      <c r="C7344" t="s">
        <v>24</v>
      </c>
      <c r="D7344" s="7">
        <v>208</v>
      </c>
      <c r="E7344" s="7">
        <v>31</v>
      </c>
      <c r="F7344" s="7">
        <f t="shared" si="115"/>
        <v>6</v>
      </c>
      <c r="G7344" s="7" t="str">
        <f>LOOKUP(H7344,[1]startdates!$A$2:$A$10,[1]startdates!$B$2:$B$10)</f>
        <v>FMr</v>
      </c>
      <c r="H7344">
        <v>7</v>
      </c>
      <c r="I7344" s="7">
        <v>593.29999999999995</v>
      </c>
      <c r="J7344" s="7">
        <v>499</v>
      </c>
      <c r="K7344" s="7">
        <v>515.1</v>
      </c>
      <c r="L7344" s="7">
        <v>420.6</v>
      </c>
      <c r="M7344" s="7">
        <v>348.8</v>
      </c>
      <c r="N7344" s="7">
        <v>257.89999999999998</v>
      </c>
      <c r="O7344" s="7">
        <v>184.7</v>
      </c>
      <c r="R7344" s="7">
        <v>249.5</v>
      </c>
    </row>
    <row r="7345" spans="1:18" x14ac:dyDescent="0.2">
      <c r="A7345">
        <v>7344</v>
      </c>
      <c r="B7345" s="1">
        <v>40949</v>
      </c>
      <c r="C7345" t="s">
        <v>24</v>
      </c>
      <c r="D7345" s="7">
        <v>208</v>
      </c>
      <c r="E7345" s="7">
        <v>31</v>
      </c>
      <c r="F7345" s="7">
        <f t="shared" si="115"/>
        <v>6</v>
      </c>
      <c r="G7345" s="7" t="str">
        <f>LOOKUP(H7345,[1]startdates!$A$2:$A$10,[1]startdates!$B$2:$B$10)</f>
        <v>FMr</v>
      </c>
      <c r="H7345">
        <v>7</v>
      </c>
      <c r="I7345" s="7">
        <v>611.5</v>
      </c>
      <c r="K7345" s="7">
        <v>542.4</v>
      </c>
      <c r="L7345" s="7">
        <v>389.4</v>
      </c>
      <c r="M7345" s="7">
        <v>351.4</v>
      </c>
      <c r="N7345" s="7">
        <v>269.60000000000002</v>
      </c>
      <c r="O7345" s="7">
        <v>169.2</v>
      </c>
      <c r="R7345" s="7">
        <v>213.1</v>
      </c>
    </row>
    <row r="7346" spans="1:18" x14ac:dyDescent="0.2">
      <c r="A7346">
        <v>7345</v>
      </c>
      <c r="B7346" s="1">
        <v>40949</v>
      </c>
      <c r="C7346" t="s">
        <v>24</v>
      </c>
      <c r="D7346" s="7">
        <v>208</v>
      </c>
      <c r="E7346" s="7">
        <v>31</v>
      </c>
      <c r="F7346" s="7">
        <f t="shared" si="115"/>
        <v>6</v>
      </c>
      <c r="G7346" s="7" t="str">
        <f>LOOKUP(H7346,[1]startdates!$A$2:$A$10,[1]startdates!$B$2:$B$10)</f>
        <v>FMr</v>
      </c>
      <c r="H7346">
        <v>7</v>
      </c>
      <c r="I7346" s="7">
        <v>671.3</v>
      </c>
      <c r="K7346" s="7">
        <v>558.29999999999995</v>
      </c>
      <c r="L7346" s="7">
        <v>464</v>
      </c>
      <c r="M7346" s="7">
        <v>306.5</v>
      </c>
      <c r="N7346" s="7">
        <v>221.5</v>
      </c>
      <c r="O7346" s="7">
        <v>190</v>
      </c>
      <c r="R7346" s="7">
        <v>263.3</v>
      </c>
    </row>
    <row r="7347" spans="1:18" x14ac:dyDescent="0.2">
      <c r="A7347">
        <v>7346</v>
      </c>
      <c r="B7347" s="1">
        <v>40949</v>
      </c>
      <c r="C7347" t="s">
        <v>24</v>
      </c>
      <c r="D7347" s="7">
        <v>208</v>
      </c>
      <c r="E7347" s="7">
        <v>31</v>
      </c>
      <c r="F7347" s="7">
        <f t="shared" si="115"/>
        <v>6</v>
      </c>
      <c r="G7347" s="7" t="str">
        <f>LOOKUP(H7347,[1]startdates!$A$2:$A$10,[1]startdates!$B$2:$B$10)</f>
        <v>FMr</v>
      </c>
      <c r="H7347">
        <v>7</v>
      </c>
      <c r="I7347" s="7">
        <v>663.6</v>
      </c>
      <c r="K7347" s="7">
        <v>456.4</v>
      </c>
      <c r="N7347" s="7">
        <v>208.9</v>
      </c>
      <c r="O7347" s="7">
        <v>174.4</v>
      </c>
    </row>
    <row r="7348" spans="1:18" x14ac:dyDescent="0.2">
      <c r="A7348">
        <v>7347</v>
      </c>
      <c r="B7348" s="1">
        <v>40949</v>
      </c>
      <c r="C7348" t="s">
        <v>24</v>
      </c>
      <c r="D7348" s="7">
        <v>208</v>
      </c>
      <c r="E7348" s="7">
        <v>31</v>
      </c>
      <c r="F7348" s="7">
        <f t="shared" si="115"/>
        <v>6</v>
      </c>
      <c r="G7348" s="7" t="str">
        <f>LOOKUP(H7348,[1]startdates!$A$2:$A$10,[1]startdates!$B$2:$B$10)</f>
        <v>FMr</v>
      </c>
      <c r="H7348">
        <v>7</v>
      </c>
      <c r="I7348" s="7">
        <v>720.8</v>
      </c>
      <c r="K7348" s="7">
        <v>516.29999999999995</v>
      </c>
      <c r="N7348" s="7">
        <v>210.1</v>
      </c>
      <c r="O7348" s="7">
        <v>176</v>
      </c>
    </row>
    <row r="7349" spans="1:18" x14ac:dyDescent="0.2">
      <c r="A7349">
        <v>7348</v>
      </c>
      <c r="B7349" s="1">
        <v>40949</v>
      </c>
      <c r="C7349" t="s">
        <v>24</v>
      </c>
      <c r="D7349" s="7">
        <v>208</v>
      </c>
      <c r="E7349" s="7">
        <v>31</v>
      </c>
      <c r="F7349" s="7">
        <f t="shared" si="115"/>
        <v>6</v>
      </c>
      <c r="G7349" s="7" t="str">
        <f>LOOKUP(H7349,[1]startdates!$A$2:$A$10,[1]startdates!$B$2:$B$10)</f>
        <v>FMr</v>
      </c>
      <c r="H7349">
        <v>7</v>
      </c>
      <c r="I7349" s="7">
        <v>415.8</v>
      </c>
      <c r="N7349" s="7">
        <v>196.1</v>
      </c>
      <c r="O7349" s="7">
        <v>203.3</v>
      </c>
    </row>
    <row r="7350" spans="1:18" x14ac:dyDescent="0.2">
      <c r="A7350">
        <v>7349</v>
      </c>
      <c r="B7350" s="1">
        <v>40949</v>
      </c>
      <c r="C7350" t="s">
        <v>24</v>
      </c>
      <c r="D7350" s="7">
        <v>208</v>
      </c>
      <c r="E7350" s="7">
        <v>31</v>
      </c>
      <c r="F7350" s="7">
        <f t="shared" si="115"/>
        <v>6</v>
      </c>
      <c r="G7350" s="7" t="str">
        <f>LOOKUP(H7350,[1]startdates!$A$2:$A$10,[1]startdates!$B$2:$B$10)</f>
        <v>FMr</v>
      </c>
      <c r="H7350">
        <v>7</v>
      </c>
      <c r="I7350" s="7">
        <v>617.5</v>
      </c>
      <c r="N7350" s="7">
        <v>234.3</v>
      </c>
      <c r="O7350" s="7">
        <v>162.19999999999999</v>
      </c>
    </row>
    <row r="7351" spans="1:18" x14ac:dyDescent="0.2">
      <c r="A7351">
        <v>7350</v>
      </c>
      <c r="B7351" s="1">
        <v>40949</v>
      </c>
      <c r="C7351" t="s">
        <v>24</v>
      </c>
      <c r="D7351" s="7">
        <v>208</v>
      </c>
      <c r="E7351" s="7">
        <v>31</v>
      </c>
      <c r="F7351" s="7">
        <f t="shared" si="115"/>
        <v>6</v>
      </c>
      <c r="G7351" s="7" t="str">
        <f>LOOKUP(H7351,[1]startdates!$A$2:$A$10,[1]startdates!$B$2:$B$10)</f>
        <v>FMr</v>
      </c>
      <c r="H7351">
        <v>7</v>
      </c>
      <c r="I7351" s="7">
        <v>641</v>
      </c>
      <c r="N7351" s="7">
        <v>204.5</v>
      </c>
      <c r="O7351" s="7">
        <v>206.1</v>
      </c>
    </row>
    <row r="7352" spans="1:18" x14ac:dyDescent="0.2">
      <c r="A7352">
        <v>7351</v>
      </c>
      <c r="B7352" s="1">
        <v>40949</v>
      </c>
      <c r="C7352" t="s">
        <v>24</v>
      </c>
      <c r="D7352" s="7">
        <v>208</v>
      </c>
      <c r="E7352" s="7">
        <v>31</v>
      </c>
      <c r="F7352" s="7">
        <f t="shared" si="115"/>
        <v>6</v>
      </c>
      <c r="G7352" s="7" t="str">
        <f>LOOKUP(H7352,[1]startdates!$A$2:$A$10,[1]startdates!$B$2:$B$10)</f>
        <v>FMr</v>
      </c>
      <c r="H7352">
        <v>7</v>
      </c>
      <c r="I7352" s="7">
        <v>478.6</v>
      </c>
      <c r="N7352" s="7">
        <v>298.2</v>
      </c>
      <c r="O7352" s="7">
        <v>177.8</v>
      </c>
    </row>
    <row r="7353" spans="1:18" x14ac:dyDescent="0.2">
      <c r="A7353">
        <v>7352</v>
      </c>
      <c r="B7353" s="1">
        <v>40949</v>
      </c>
      <c r="C7353" t="s">
        <v>24</v>
      </c>
      <c r="D7353" s="7">
        <v>208</v>
      </c>
      <c r="E7353" s="7">
        <v>31</v>
      </c>
      <c r="F7353" s="7">
        <f t="shared" si="115"/>
        <v>6</v>
      </c>
      <c r="G7353" s="7" t="str">
        <f>LOOKUP(H7353,[1]startdates!$A$2:$A$10,[1]startdates!$B$2:$B$10)</f>
        <v>FMr</v>
      </c>
      <c r="H7353">
        <v>7</v>
      </c>
      <c r="I7353" s="7">
        <v>731.4</v>
      </c>
      <c r="N7353" s="7">
        <v>184.1</v>
      </c>
      <c r="O7353" s="7">
        <v>173.1</v>
      </c>
    </row>
    <row r="7354" spans="1:18" x14ac:dyDescent="0.2">
      <c r="A7354">
        <v>7353</v>
      </c>
      <c r="B7354" s="1">
        <v>40949</v>
      </c>
      <c r="C7354" t="s">
        <v>24</v>
      </c>
      <c r="D7354" s="7">
        <v>208</v>
      </c>
      <c r="E7354" s="7">
        <v>31</v>
      </c>
      <c r="F7354" s="7">
        <f t="shared" si="115"/>
        <v>6</v>
      </c>
      <c r="G7354" s="7" t="str">
        <f>LOOKUP(H7354,[1]startdates!$A$2:$A$10,[1]startdates!$B$2:$B$10)</f>
        <v>FMr</v>
      </c>
      <c r="H7354">
        <v>7</v>
      </c>
      <c r="I7354" s="7">
        <v>597.4</v>
      </c>
      <c r="O7354" s="7">
        <v>188.7</v>
      </c>
    </row>
    <row r="7355" spans="1:18" x14ac:dyDescent="0.2">
      <c r="A7355">
        <v>7354</v>
      </c>
      <c r="B7355" s="1">
        <v>40949</v>
      </c>
      <c r="C7355" t="s">
        <v>24</v>
      </c>
      <c r="D7355" s="7">
        <v>208</v>
      </c>
      <c r="E7355" s="7">
        <v>31</v>
      </c>
      <c r="F7355" s="7">
        <f t="shared" si="115"/>
        <v>6</v>
      </c>
      <c r="G7355" s="7" t="str">
        <f>LOOKUP(H7355,[1]startdates!$A$2:$A$10,[1]startdates!$B$2:$B$10)</f>
        <v>FMr</v>
      </c>
      <c r="H7355">
        <v>7</v>
      </c>
      <c r="O7355" s="7">
        <v>173.3</v>
      </c>
    </row>
    <row r="7356" spans="1:18" x14ac:dyDescent="0.2">
      <c r="A7356">
        <v>7355</v>
      </c>
      <c r="B7356" s="1">
        <v>40949</v>
      </c>
      <c r="C7356" t="s">
        <v>24</v>
      </c>
      <c r="D7356" s="7">
        <v>208</v>
      </c>
      <c r="E7356" s="7">
        <v>31</v>
      </c>
      <c r="F7356" s="7">
        <f t="shared" si="115"/>
        <v>6</v>
      </c>
      <c r="G7356" s="7" t="str">
        <f>LOOKUP(H7356,[1]startdates!$A$2:$A$10,[1]startdates!$B$2:$B$10)</f>
        <v>FMr</v>
      </c>
      <c r="H7356">
        <v>7</v>
      </c>
      <c r="O7356" s="7">
        <v>173.2</v>
      </c>
    </row>
    <row r="7357" spans="1:18" x14ac:dyDescent="0.2">
      <c r="A7357">
        <v>7356</v>
      </c>
      <c r="B7357" s="1">
        <v>40949</v>
      </c>
      <c r="C7357" t="s">
        <v>24</v>
      </c>
      <c r="D7357" s="7">
        <v>208</v>
      </c>
      <c r="E7357" s="7">
        <v>31</v>
      </c>
      <c r="F7357" s="7">
        <f t="shared" si="115"/>
        <v>6</v>
      </c>
      <c r="G7357" s="7" t="str">
        <f>LOOKUP(H7357,[1]startdates!$A$2:$A$10,[1]startdates!$B$2:$B$10)</f>
        <v>FMr</v>
      </c>
      <c r="H7357">
        <v>7</v>
      </c>
      <c r="O7357" s="7">
        <v>155</v>
      </c>
    </row>
    <row r="7358" spans="1:18" x14ac:dyDescent="0.2">
      <c r="A7358">
        <v>7357</v>
      </c>
      <c r="B7358" s="1">
        <v>40949</v>
      </c>
      <c r="C7358" t="s">
        <v>24</v>
      </c>
      <c r="D7358" s="7">
        <v>208</v>
      </c>
      <c r="E7358" s="7">
        <v>31</v>
      </c>
      <c r="F7358" s="7">
        <f t="shared" si="115"/>
        <v>6</v>
      </c>
      <c r="G7358" s="7" t="str">
        <f>LOOKUP(H7358,[1]startdates!$A$2:$A$10,[1]startdates!$B$2:$B$10)</f>
        <v>FMr</v>
      </c>
      <c r="H7358">
        <v>7</v>
      </c>
      <c r="O7358" s="7">
        <v>187.7</v>
      </c>
    </row>
    <row r="7359" spans="1:18" x14ac:dyDescent="0.2">
      <c r="A7359">
        <v>7358</v>
      </c>
      <c r="B7359" s="1">
        <v>40949</v>
      </c>
      <c r="C7359" t="s">
        <v>24</v>
      </c>
      <c r="D7359" s="7">
        <v>208</v>
      </c>
      <c r="E7359" s="7">
        <v>31</v>
      </c>
      <c r="F7359" s="7">
        <f t="shared" si="115"/>
        <v>6</v>
      </c>
      <c r="G7359" s="7" t="str">
        <f>LOOKUP(H7359,[1]startdates!$A$2:$A$10,[1]startdates!$B$2:$B$10)</f>
        <v>C</v>
      </c>
      <c r="H7359">
        <v>8</v>
      </c>
      <c r="I7359" s="7">
        <v>529.29999999999995</v>
      </c>
      <c r="J7359" s="7">
        <v>508.3</v>
      </c>
      <c r="K7359" s="7">
        <v>625.9</v>
      </c>
      <c r="L7359" s="7">
        <v>456.8</v>
      </c>
      <c r="M7359" s="7">
        <v>338.4</v>
      </c>
      <c r="N7359" s="7">
        <v>221.2</v>
      </c>
      <c r="O7359" s="7">
        <v>159.4</v>
      </c>
    </row>
    <row r="7360" spans="1:18" x14ac:dyDescent="0.2">
      <c r="A7360">
        <v>7359</v>
      </c>
      <c r="B7360" s="1">
        <v>40949</v>
      </c>
      <c r="C7360" t="s">
        <v>24</v>
      </c>
      <c r="D7360" s="7">
        <v>208</v>
      </c>
      <c r="E7360" s="7">
        <v>31</v>
      </c>
      <c r="F7360" s="7">
        <f t="shared" si="115"/>
        <v>6</v>
      </c>
      <c r="G7360" s="7" t="str">
        <f>LOOKUP(H7360,[1]startdates!$A$2:$A$10,[1]startdates!$B$2:$B$10)</f>
        <v>C</v>
      </c>
      <c r="H7360">
        <v>8</v>
      </c>
      <c r="I7360" s="7">
        <v>605.9</v>
      </c>
      <c r="J7360" s="7">
        <v>563.5</v>
      </c>
      <c r="K7360" s="7">
        <v>478.7</v>
      </c>
      <c r="L7360" s="7">
        <v>443.4</v>
      </c>
      <c r="M7360" s="7">
        <v>347.4</v>
      </c>
      <c r="N7360" s="7">
        <v>209.1</v>
      </c>
      <c r="O7360" s="7">
        <v>163.4</v>
      </c>
    </row>
    <row r="7361" spans="1:16" x14ac:dyDescent="0.2">
      <c r="A7361">
        <v>7360</v>
      </c>
      <c r="B7361" s="1">
        <v>40949</v>
      </c>
      <c r="C7361" t="s">
        <v>24</v>
      </c>
      <c r="D7361" s="7">
        <v>208</v>
      </c>
      <c r="E7361" s="7">
        <v>31</v>
      </c>
      <c r="F7361" s="7">
        <f t="shared" si="115"/>
        <v>6</v>
      </c>
      <c r="G7361" s="7" t="str">
        <f>LOOKUP(H7361,[1]startdates!$A$2:$A$10,[1]startdates!$B$2:$B$10)</f>
        <v>C</v>
      </c>
      <c r="H7361">
        <v>8</v>
      </c>
      <c r="I7361" s="7">
        <v>544.5</v>
      </c>
      <c r="J7361" s="7">
        <v>508.8</v>
      </c>
      <c r="K7361" s="7">
        <v>490.8</v>
      </c>
      <c r="L7361" s="7">
        <v>417.1</v>
      </c>
      <c r="M7361" s="7">
        <v>339.2</v>
      </c>
      <c r="N7361" s="7">
        <v>203.3</v>
      </c>
      <c r="O7361" s="7">
        <v>170.4</v>
      </c>
    </row>
    <row r="7362" spans="1:16" x14ac:dyDescent="0.2">
      <c r="A7362">
        <v>7361</v>
      </c>
      <c r="B7362" s="1">
        <v>40949</v>
      </c>
      <c r="C7362" t="s">
        <v>24</v>
      </c>
      <c r="D7362" s="7">
        <v>208</v>
      </c>
      <c r="E7362" s="7">
        <v>31</v>
      </c>
      <c r="F7362" s="7">
        <f t="shared" si="115"/>
        <v>6</v>
      </c>
      <c r="G7362" s="7" t="str">
        <f>LOOKUP(H7362,[1]startdates!$A$2:$A$10,[1]startdates!$B$2:$B$10)</f>
        <v>C</v>
      </c>
      <c r="H7362">
        <v>8</v>
      </c>
      <c r="I7362" s="7">
        <v>571.4</v>
      </c>
      <c r="J7362" s="7">
        <v>483.7</v>
      </c>
      <c r="M7362" s="7">
        <v>392.8</v>
      </c>
      <c r="N7362" s="7">
        <v>212.8</v>
      </c>
      <c r="O7362" s="7">
        <v>152.19999999999999</v>
      </c>
    </row>
    <row r="7363" spans="1:16" x14ac:dyDescent="0.2">
      <c r="A7363">
        <v>7362</v>
      </c>
      <c r="B7363" s="1">
        <v>40949</v>
      </c>
      <c r="C7363" t="s">
        <v>24</v>
      </c>
      <c r="D7363" s="7">
        <v>208</v>
      </c>
      <c r="E7363" s="7">
        <v>31</v>
      </c>
      <c r="F7363" s="7">
        <f t="shared" si="115"/>
        <v>6</v>
      </c>
      <c r="G7363" s="7" t="str">
        <f>LOOKUP(H7363,[1]startdates!$A$2:$A$10,[1]startdates!$B$2:$B$10)</f>
        <v>C</v>
      </c>
      <c r="H7363">
        <v>8</v>
      </c>
      <c r="I7363" s="7">
        <v>626.9</v>
      </c>
      <c r="J7363" s="7">
        <v>518.79999999999995</v>
      </c>
      <c r="M7363" s="7">
        <v>395.2</v>
      </c>
      <c r="N7363" s="7">
        <v>231.1</v>
      </c>
      <c r="O7363" s="7">
        <v>190.5</v>
      </c>
    </row>
    <row r="7364" spans="1:16" x14ac:dyDescent="0.2">
      <c r="A7364">
        <v>7363</v>
      </c>
      <c r="B7364" s="1">
        <v>40949</v>
      </c>
      <c r="C7364" t="s">
        <v>24</v>
      </c>
      <c r="D7364" s="7">
        <v>208</v>
      </c>
      <c r="E7364" s="7">
        <v>31</v>
      </c>
      <c r="F7364" s="7">
        <f t="shared" si="115"/>
        <v>6</v>
      </c>
      <c r="G7364" s="7" t="str">
        <f>LOOKUP(H7364,[1]startdates!$A$2:$A$10,[1]startdates!$B$2:$B$10)</f>
        <v>C</v>
      </c>
      <c r="H7364">
        <v>8</v>
      </c>
      <c r="I7364" s="7">
        <v>692.2</v>
      </c>
      <c r="J7364" s="7">
        <v>491.6</v>
      </c>
      <c r="M7364" s="7">
        <v>389.2</v>
      </c>
      <c r="N7364" s="7">
        <v>233.8</v>
      </c>
      <c r="O7364" s="7">
        <v>176.3</v>
      </c>
    </row>
    <row r="7365" spans="1:16" x14ac:dyDescent="0.2">
      <c r="A7365">
        <v>7364</v>
      </c>
      <c r="B7365" s="1">
        <v>40949</v>
      </c>
      <c r="C7365" t="s">
        <v>24</v>
      </c>
      <c r="D7365" s="7">
        <v>208</v>
      </c>
      <c r="E7365" s="7">
        <v>31</v>
      </c>
      <c r="F7365" s="7">
        <f t="shared" si="115"/>
        <v>6</v>
      </c>
      <c r="G7365" s="7" t="str">
        <f>LOOKUP(H7365,[1]startdates!$A$2:$A$10,[1]startdates!$B$2:$B$10)</f>
        <v>C</v>
      </c>
      <c r="H7365">
        <v>8</v>
      </c>
      <c r="I7365" s="7">
        <v>562</v>
      </c>
      <c r="J7365" s="7">
        <v>427.1</v>
      </c>
      <c r="M7365" s="7">
        <v>403.7</v>
      </c>
      <c r="N7365" s="7">
        <v>210.4</v>
      </c>
      <c r="O7365" s="7">
        <v>157.4</v>
      </c>
    </row>
    <row r="7366" spans="1:16" x14ac:dyDescent="0.2">
      <c r="A7366">
        <v>7365</v>
      </c>
      <c r="B7366" s="1">
        <v>40949</v>
      </c>
      <c r="C7366" t="s">
        <v>24</v>
      </c>
      <c r="D7366" s="7">
        <v>208</v>
      </c>
      <c r="E7366" s="7">
        <v>31</v>
      </c>
      <c r="F7366" s="7">
        <f t="shared" si="115"/>
        <v>6</v>
      </c>
      <c r="G7366" s="7" t="str">
        <f>LOOKUP(H7366,[1]startdates!$A$2:$A$10,[1]startdates!$B$2:$B$10)</f>
        <v>C</v>
      </c>
      <c r="H7366">
        <v>8</v>
      </c>
      <c r="I7366" s="7">
        <v>606</v>
      </c>
      <c r="J7366" s="7">
        <v>563.4</v>
      </c>
      <c r="M7366" s="7">
        <v>370.5</v>
      </c>
      <c r="N7366" s="7">
        <v>226.8</v>
      </c>
      <c r="O7366" s="7">
        <v>175</v>
      </c>
    </row>
    <row r="7367" spans="1:16" x14ac:dyDescent="0.2">
      <c r="A7367">
        <v>7366</v>
      </c>
      <c r="B7367" s="1">
        <v>40949</v>
      </c>
      <c r="C7367" t="s">
        <v>24</v>
      </c>
      <c r="D7367" s="7">
        <v>208</v>
      </c>
      <c r="E7367" s="7">
        <v>31</v>
      </c>
      <c r="F7367" s="7">
        <f t="shared" si="115"/>
        <v>6</v>
      </c>
      <c r="G7367" s="7" t="str">
        <f>LOOKUP(H7367,[1]startdates!$A$2:$A$10,[1]startdates!$B$2:$B$10)</f>
        <v>C</v>
      </c>
      <c r="H7367">
        <v>8</v>
      </c>
      <c r="I7367" s="7">
        <v>677.9</v>
      </c>
      <c r="J7367" s="7">
        <v>539.5</v>
      </c>
      <c r="M7367" s="7">
        <v>359.6</v>
      </c>
      <c r="N7367" s="7">
        <v>282.39999999999998</v>
      </c>
      <c r="O7367" s="7">
        <v>188.1</v>
      </c>
    </row>
    <row r="7368" spans="1:16" x14ac:dyDescent="0.2">
      <c r="A7368">
        <v>7367</v>
      </c>
      <c r="B7368" s="1">
        <v>40949</v>
      </c>
      <c r="C7368" t="s">
        <v>24</v>
      </c>
      <c r="D7368" s="7">
        <v>208</v>
      </c>
      <c r="E7368" s="7">
        <v>31</v>
      </c>
      <c r="F7368" s="7">
        <f t="shared" si="115"/>
        <v>6</v>
      </c>
      <c r="G7368" s="7" t="str">
        <f>LOOKUP(H7368,[1]startdates!$A$2:$A$10,[1]startdates!$B$2:$B$10)</f>
        <v>C</v>
      </c>
      <c r="H7368">
        <v>8</v>
      </c>
      <c r="I7368" s="7">
        <v>578</v>
      </c>
      <c r="M7368" s="7">
        <v>336.7</v>
      </c>
      <c r="N7368" s="7">
        <v>209.1</v>
      </c>
      <c r="O7368" s="7">
        <v>154.6</v>
      </c>
    </row>
    <row r="7369" spans="1:16" x14ac:dyDescent="0.2">
      <c r="A7369">
        <v>7368</v>
      </c>
      <c r="B7369" s="1">
        <v>40949</v>
      </c>
      <c r="C7369" t="s">
        <v>24</v>
      </c>
      <c r="D7369" s="7">
        <v>208</v>
      </c>
      <c r="E7369" s="7">
        <v>31</v>
      </c>
      <c r="F7369" s="7">
        <f t="shared" si="115"/>
        <v>6</v>
      </c>
      <c r="G7369" s="7" t="str">
        <f>LOOKUP(H7369,[1]startdates!$A$2:$A$10,[1]startdates!$B$2:$B$10)</f>
        <v>C</v>
      </c>
      <c r="H7369">
        <v>8</v>
      </c>
      <c r="I7369" s="7">
        <v>648.5</v>
      </c>
      <c r="M7369" s="7">
        <v>390.5</v>
      </c>
    </row>
    <row r="7370" spans="1:16" x14ac:dyDescent="0.2">
      <c r="A7370">
        <v>7369</v>
      </c>
      <c r="B7370" s="1">
        <v>40949</v>
      </c>
      <c r="C7370" t="s">
        <v>24</v>
      </c>
      <c r="D7370" s="7">
        <v>208</v>
      </c>
      <c r="E7370" s="7">
        <v>31</v>
      </c>
      <c r="F7370" s="7">
        <f t="shared" si="115"/>
        <v>6</v>
      </c>
      <c r="G7370" s="7" t="str">
        <f>LOOKUP(H7370,[1]startdates!$A$2:$A$10,[1]startdates!$B$2:$B$10)</f>
        <v>C</v>
      </c>
      <c r="H7370">
        <v>8</v>
      </c>
      <c r="I7370" s="7">
        <v>456.7</v>
      </c>
      <c r="M7370" s="7">
        <v>321.2</v>
      </c>
    </row>
    <row r="7371" spans="1:16" x14ac:dyDescent="0.2">
      <c r="A7371">
        <v>7370</v>
      </c>
      <c r="B7371" s="1">
        <v>40949</v>
      </c>
      <c r="C7371" t="s">
        <v>24</v>
      </c>
      <c r="D7371" s="7">
        <v>208</v>
      </c>
      <c r="E7371" s="7">
        <v>31</v>
      </c>
      <c r="F7371" s="7">
        <f t="shared" si="115"/>
        <v>6</v>
      </c>
      <c r="G7371" s="7" t="str">
        <f>LOOKUP(H7371,[1]startdates!$A$2:$A$10,[1]startdates!$B$2:$B$10)</f>
        <v>C</v>
      </c>
      <c r="H7371">
        <v>8</v>
      </c>
      <c r="M7371" s="7">
        <v>336.3</v>
      </c>
    </row>
    <row r="7372" spans="1:16" x14ac:dyDescent="0.2">
      <c r="A7372">
        <v>7371</v>
      </c>
      <c r="B7372" s="1">
        <v>40949</v>
      </c>
      <c r="C7372" t="s">
        <v>24</v>
      </c>
      <c r="D7372" s="7">
        <v>208</v>
      </c>
      <c r="E7372" s="7">
        <v>31</v>
      </c>
      <c r="F7372" s="7">
        <f t="shared" si="115"/>
        <v>6</v>
      </c>
      <c r="G7372" s="7" t="str">
        <f>LOOKUP(H7372,[1]startdates!$A$2:$A$10,[1]startdates!$B$2:$B$10)</f>
        <v>FMr</v>
      </c>
      <c r="H7372">
        <v>9</v>
      </c>
      <c r="I7372" s="7">
        <v>554.9</v>
      </c>
      <c r="J7372" s="7">
        <v>514.4</v>
      </c>
      <c r="K7372" s="7">
        <v>583.20000000000005</v>
      </c>
      <c r="L7372" s="7">
        <v>440.7</v>
      </c>
      <c r="M7372" s="7">
        <v>342.5</v>
      </c>
      <c r="N7372" s="7">
        <v>229</v>
      </c>
      <c r="O7372" s="7">
        <v>164.5</v>
      </c>
      <c r="P7372" s="7">
        <v>449.2</v>
      </c>
    </row>
    <row r="7373" spans="1:16" x14ac:dyDescent="0.2">
      <c r="A7373">
        <v>7372</v>
      </c>
      <c r="B7373" s="1">
        <v>40949</v>
      </c>
      <c r="C7373" t="s">
        <v>24</v>
      </c>
      <c r="D7373" s="7">
        <v>208</v>
      </c>
      <c r="E7373" s="7">
        <v>31</v>
      </c>
      <c r="F7373" s="7">
        <f t="shared" si="115"/>
        <v>6</v>
      </c>
      <c r="G7373" s="7" t="str">
        <f>LOOKUP(H7373,[1]startdates!$A$2:$A$10,[1]startdates!$B$2:$B$10)</f>
        <v>FMr</v>
      </c>
      <c r="H7373">
        <v>9</v>
      </c>
      <c r="I7373" s="7">
        <v>590.29999999999995</v>
      </c>
      <c r="K7373" s="7">
        <v>495.7</v>
      </c>
      <c r="L7373" s="7">
        <v>379.6</v>
      </c>
      <c r="M7373" s="7">
        <v>376.1</v>
      </c>
      <c r="N7373" s="7">
        <v>227.7</v>
      </c>
      <c r="O7373" s="7">
        <v>164.9</v>
      </c>
      <c r="P7373" s="7">
        <v>433.1</v>
      </c>
    </row>
    <row r="7374" spans="1:16" x14ac:dyDescent="0.2">
      <c r="A7374">
        <v>7373</v>
      </c>
      <c r="B7374" s="1">
        <v>40949</v>
      </c>
      <c r="C7374" t="s">
        <v>24</v>
      </c>
      <c r="D7374" s="7">
        <v>208</v>
      </c>
      <c r="E7374" s="7">
        <v>31</v>
      </c>
      <c r="F7374" s="7">
        <f t="shared" si="115"/>
        <v>6</v>
      </c>
      <c r="G7374" s="7" t="str">
        <f>LOOKUP(H7374,[1]startdates!$A$2:$A$10,[1]startdates!$B$2:$B$10)</f>
        <v>FMr</v>
      </c>
      <c r="H7374">
        <v>9</v>
      </c>
      <c r="I7374" s="7">
        <v>569.29999999999995</v>
      </c>
      <c r="K7374" s="7">
        <v>534</v>
      </c>
      <c r="L7374" s="7">
        <v>384.4</v>
      </c>
      <c r="M7374" s="7">
        <v>283.3</v>
      </c>
      <c r="N7374" s="7">
        <v>212.7</v>
      </c>
      <c r="O7374" s="7">
        <v>174.6</v>
      </c>
      <c r="P7374" s="7">
        <v>418.4</v>
      </c>
    </row>
    <row r="7375" spans="1:16" x14ac:dyDescent="0.2">
      <c r="A7375">
        <v>7374</v>
      </c>
      <c r="B7375" s="1">
        <v>40949</v>
      </c>
      <c r="C7375" t="s">
        <v>24</v>
      </c>
      <c r="D7375" s="7">
        <v>208</v>
      </c>
      <c r="E7375" s="7">
        <v>31</v>
      </c>
      <c r="F7375" s="7">
        <f t="shared" si="115"/>
        <v>6</v>
      </c>
      <c r="G7375" s="7" t="str">
        <f>LOOKUP(H7375,[1]startdates!$A$2:$A$10,[1]startdates!$B$2:$B$10)</f>
        <v>FMr</v>
      </c>
      <c r="H7375">
        <v>9</v>
      </c>
      <c r="I7375" s="7">
        <v>573.5</v>
      </c>
      <c r="K7375" s="7">
        <v>439</v>
      </c>
      <c r="M7375" s="7">
        <v>358.3</v>
      </c>
      <c r="N7375" s="7">
        <v>242.5</v>
      </c>
      <c r="O7375" s="7">
        <v>170.2</v>
      </c>
    </row>
    <row r="7376" spans="1:16" x14ac:dyDescent="0.2">
      <c r="A7376">
        <v>7375</v>
      </c>
      <c r="B7376" s="1">
        <v>40949</v>
      </c>
      <c r="C7376" t="s">
        <v>24</v>
      </c>
      <c r="D7376" s="7">
        <v>208</v>
      </c>
      <c r="E7376" s="7">
        <v>31</v>
      </c>
      <c r="F7376" s="7">
        <f t="shared" si="115"/>
        <v>6</v>
      </c>
      <c r="G7376" s="7" t="str">
        <f>LOOKUP(H7376,[1]startdates!$A$2:$A$10,[1]startdates!$B$2:$B$10)</f>
        <v>FMr</v>
      </c>
      <c r="H7376">
        <v>9</v>
      </c>
      <c r="I7376" s="7">
        <v>685.2</v>
      </c>
      <c r="K7376" s="7">
        <v>513.4</v>
      </c>
      <c r="M7376" s="7">
        <v>284.2</v>
      </c>
      <c r="N7376" s="7">
        <v>220.9</v>
      </c>
      <c r="O7376" s="7">
        <v>185.7</v>
      </c>
    </row>
    <row r="7377" spans="1:21" x14ac:dyDescent="0.2">
      <c r="A7377">
        <v>7376</v>
      </c>
      <c r="B7377" s="1">
        <v>40949</v>
      </c>
      <c r="C7377" t="s">
        <v>24</v>
      </c>
      <c r="D7377" s="7">
        <v>208</v>
      </c>
      <c r="E7377" s="7">
        <v>31</v>
      </c>
      <c r="F7377" s="7">
        <f t="shared" si="115"/>
        <v>6</v>
      </c>
      <c r="G7377" s="7" t="str">
        <f>LOOKUP(H7377,[1]startdates!$A$2:$A$10,[1]startdates!$B$2:$B$10)</f>
        <v>FMr</v>
      </c>
      <c r="H7377">
        <v>9</v>
      </c>
      <c r="I7377" s="7">
        <v>604.1</v>
      </c>
      <c r="M7377" s="7">
        <v>330.6</v>
      </c>
      <c r="N7377" s="7">
        <v>233.1</v>
      </c>
      <c r="O7377" s="7">
        <v>156.80000000000001</v>
      </c>
    </row>
    <row r="7378" spans="1:21" x14ac:dyDescent="0.2">
      <c r="A7378">
        <v>7377</v>
      </c>
      <c r="B7378" s="1">
        <v>40949</v>
      </c>
      <c r="C7378" t="s">
        <v>24</v>
      </c>
      <c r="D7378" s="7">
        <v>208</v>
      </c>
      <c r="E7378" s="7">
        <v>31</v>
      </c>
      <c r="F7378" s="7">
        <f t="shared" si="115"/>
        <v>6</v>
      </c>
      <c r="G7378" s="7" t="str">
        <f>LOOKUP(H7378,[1]startdates!$A$2:$A$10,[1]startdates!$B$2:$B$10)</f>
        <v>FMr</v>
      </c>
      <c r="H7378">
        <v>9</v>
      </c>
      <c r="I7378" s="7">
        <v>601.5</v>
      </c>
      <c r="M7378" s="7">
        <v>364.5</v>
      </c>
      <c r="N7378" s="7">
        <v>207.9</v>
      </c>
      <c r="O7378" s="7">
        <v>191.1</v>
      </c>
    </row>
    <row r="7379" spans="1:21" x14ac:dyDescent="0.2">
      <c r="A7379">
        <v>7378</v>
      </c>
      <c r="B7379" s="1">
        <v>40949</v>
      </c>
      <c r="C7379" t="s">
        <v>24</v>
      </c>
      <c r="D7379" s="7">
        <v>208</v>
      </c>
      <c r="E7379" s="7">
        <v>31</v>
      </c>
      <c r="F7379" s="7">
        <f t="shared" si="115"/>
        <v>6</v>
      </c>
      <c r="G7379" s="7" t="str">
        <f>LOOKUP(H7379,[1]startdates!$A$2:$A$10,[1]startdates!$B$2:$B$10)</f>
        <v>FMr</v>
      </c>
      <c r="H7379">
        <v>9</v>
      </c>
      <c r="I7379" s="7">
        <v>566.4</v>
      </c>
      <c r="M7379" s="7">
        <v>343</v>
      </c>
      <c r="N7379" s="7">
        <v>226.7</v>
      </c>
      <c r="O7379" s="7">
        <v>180</v>
      </c>
    </row>
    <row r="7380" spans="1:21" x14ac:dyDescent="0.2">
      <c r="A7380">
        <v>7379</v>
      </c>
      <c r="B7380" s="1">
        <v>40949</v>
      </c>
      <c r="C7380" t="s">
        <v>24</v>
      </c>
      <c r="D7380" s="7">
        <v>208</v>
      </c>
      <c r="E7380" s="7">
        <v>31</v>
      </c>
      <c r="F7380" s="7">
        <f t="shared" si="115"/>
        <v>6</v>
      </c>
      <c r="G7380" s="7" t="str">
        <f>LOOKUP(H7380,[1]startdates!$A$2:$A$10,[1]startdates!$B$2:$B$10)</f>
        <v>FMr</v>
      </c>
      <c r="H7380">
        <v>9</v>
      </c>
      <c r="N7380" s="7">
        <v>234.5</v>
      </c>
      <c r="O7380" s="7">
        <v>149.5</v>
      </c>
    </row>
    <row r="7381" spans="1:21" x14ac:dyDescent="0.2">
      <c r="A7381">
        <v>7380</v>
      </c>
      <c r="B7381" s="1">
        <v>40949</v>
      </c>
      <c r="C7381" t="s">
        <v>24</v>
      </c>
      <c r="D7381" s="7">
        <v>208</v>
      </c>
      <c r="E7381" s="7">
        <v>31</v>
      </c>
      <c r="F7381" s="7">
        <f t="shared" si="115"/>
        <v>6</v>
      </c>
      <c r="G7381" s="7" t="str">
        <f>LOOKUP(H7381,[1]startdates!$A$2:$A$10,[1]startdates!$B$2:$B$10)</f>
        <v>FMr</v>
      </c>
      <c r="H7381">
        <v>9</v>
      </c>
      <c r="N7381" s="7">
        <v>235.6</v>
      </c>
      <c r="O7381" s="7">
        <v>165.7</v>
      </c>
    </row>
    <row r="7382" spans="1:21" x14ac:dyDescent="0.2">
      <c r="A7382">
        <v>7381</v>
      </c>
      <c r="B7382" s="1">
        <v>40949</v>
      </c>
      <c r="C7382" t="s">
        <v>24</v>
      </c>
      <c r="D7382" s="7">
        <v>208</v>
      </c>
      <c r="E7382" s="7">
        <v>31</v>
      </c>
      <c r="F7382" s="7">
        <f t="shared" si="115"/>
        <v>6</v>
      </c>
      <c r="G7382" s="7" t="str">
        <f>LOOKUP(H7382,[1]startdates!$A$2:$A$10,[1]startdates!$B$2:$B$10)</f>
        <v>FMr</v>
      </c>
      <c r="H7382">
        <v>9</v>
      </c>
      <c r="O7382" s="7">
        <v>144</v>
      </c>
    </row>
    <row r="7383" spans="1:21" x14ac:dyDescent="0.2">
      <c r="A7383">
        <v>7382</v>
      </c>
      <c r="B7383" s="1">
        <v>40953</v>
      </c>
      <c r="C7383" t="s">
        <v>28</v>
      </c>
      <c r="D7383" s="7">
        <v>212</v>
      </c>
      <c r="E7383" s="7">
        <v>32</v>
      </c>
      <c r="F7383" s="7">
        <f t="shared" si="115"/>
        <v>3</v>
      </c>
      <c r="G7383" s="7" t="str">
        <f>LOOKUP(H7383,[1]startdates!$A$2:$A$10,[1]startdates!$B$2:$B$10)</f>
        <v>SMr</v>
      </c>
      <c r="H7383">
        <v>1</v>
      </c>
      <c r="I7383" s="7">
        <v>655.5</v>
      </c>
      <c r="J7383" s="7">
        <v>475.9</v>
      </c>
      <c r="K7383" s="7">
        <v>497.7</v>
      </c>
      <c r="L7383" s="7">
        <v>414.3</v>
      </c>
      <c r="M7383" s="7">
        <v>342</v>
      </c>
      <c r="N7383" s="7">
        <v>270.10000000000002</v>
      </c>
      <c r="O7383" s="7">
        <v>158.80000000000001</v>
      </c>
      <c r="Q7383" s="7">
        <v>327.8</v>
      </c>
      <c r="R7383" s="7">
        <v>237</v>
      </c>
      <c r="U7383" s="7">
        <v>492.2</v>
      </c>
    </row>
    <row r="7384" spans="1:21" x14ac:dyDescent="0.2">
      <c r="A7384">
        <v>7383</v>
      </c>
      <c r="B7384" s="1">
        <v>40953</v>
      </c>
      <c r="C7384" t="s">
        <v>28</v>
      </c>
      <c r="D7384" s="7">
        <v>212</v>
      </c>
      <c r="E7384" s="7">
        <v>32</v>
      </c>
      <c r="F7384" s="7">
        <f t="shared" si="115"/>
        <v>3</v>
      </c>
      <c r="G7384" s="7" t="str">
        <f>LOOKUP(H7384,[1]startdates!$A$2:$A$10,[1]startdates!$B$2:$B$10)</f>
        <v>SMr</v>
      </c>
      <c r="H7384">
        <v>1</v>
      </c>
      <c r="I7384" s="7">
        <v>558.6</v>
      </c>
      <c r="J7384" s="7">
        <v>586.1</v>
      </c>
      <c r="K7384" s="7">
        <v>526.70000000000005</v>
      </c>
      <c r="L7384" s="7">
        <v>395.6</v>
      </c>
      <c r="M7384" s="7">
        <v>311.2</v>
      </c>
      <c r="N7384" s="7">
        <v>238.7</v>
      </c>
      <c r="O7384" s="7">
        <v>145.9</v>
      </c>
      <c r="Q7384" s="7">
        <v>313.10000000000002</v>
      </c>
      <c r="U7384" s="7">
        <v>586.6</v>
      </c>
    </row>
    <row r="7385" spans="1:21" x14ac:dyDescent="0.2">
      <c r="A7385">
        <v>7384</v>
      </c>
      <c r="B7385" s="1">
        <v>40953</v>
      </c>
      <c r="C7385" t="s">
        <v>28</v>
      </c>
      <c r="D7385" s="7">
        <v>212</v>
      </c>
      <c r="E7385" s="7">
        <v>32</v>
      </c>
      <c r="F7385" s="7">
        <f t="shared" si="115"/>
        <v>3</v>
      </c>
      <c r="G7385" s="7" t="str">
        <f>LOOKUP(H7385,[1]startdates!$A$2:$A$10,[1]startdates!$B$2:$B$10)</f>
        <v>SMr</v>
      </c>
      <c r="H7385">
        <v>1</v>
      </c>
      <c r="I7385" s="7">
        <v>610</v>
      </c>
      <c r="J7385" s="7">
        <v>507</v>
      </c>
      <c r="K7385" s="7">
        <v>522.79999999999995</v>
      </c>
      <c r="L7385" s="7">
        <v>438.1</v>
      </c>
      <c r="M7385" s="7">
        <v>325.39999999999998</v>
      </c>
      <c r="N7385" s="7">
        <v>194.3</v>
      </c>
      <c r="O7385" s="7">
        <v>156.4</v>
      </c>
    </row>
    <row r="7386" spans="1:21" x14ac:dyDescent="0.2">
      <c r="A7386">
        <v>7385</v>
      </c>
      <c r="B7386" s="1">
        <v>40953</v>
      </c>
      <c r="C7386" t="s">
        <v>28</v>
      </c>
      <c r="D7386" s="7">
        <v>212</v>
      </c>
      <c r="E7386" s="7">
        <v>32</v>
      </c>
      <c r="F7386" s="7">
        <f t="shared" si="115"/>
        <v>3</v>
      </c>
      <c r="G7386" s="7" t="str">
        <f>LOOKUP(H7386,[1]startdates!$A$2:$A$10,[1]startdates!$B$2:$B$10)</f>
        <v>SMr</v>
      </c>
      <c r="H7386">
        <v>1</v>
      </c>
      <c r="I7386" s="7">
        <v>640.1</v>
      </c>
      <c r="J7386" s="7">
        <v>488.6</v>
      </c>
      <c r="L7386" s="7">
        <v>441.6</v>
      </c>
      <c r="M7386" s="7">
        <v>321.5</v>
      </c>
      <c r="N7386" s="7">
        <v>234</v>
      </c>
      <c r="O7386" s="7">
        <v>166.3</v>
      </c>
    </row>
    <row r="7387" spans="1:21" x14ac:dyDescent="0.2">
      <c r="A7387">
        <v>7386</v>
      </c>
      <c r="B7387" s="1">
        <v>40953</v>
      </c>
      <c r="C7387" t="s">
        <v>28</v>
      </c>
      <c r="D7387" s="7">
        <v>212</v>
      </c>
      <c r="E7387" s="7">
        <v>32</v>
      </c>
      <c r="F7387" s="7">
        <f t="shared" si="115"/>
        <v>3</v>
      </c>
      <c r="G7387" s="7" t="str">
        <f>LOOKUP(H7387,[1]startdates!$A$2:$A$10,[1]startdates!$B$2:$B$10)</f>
        <v>SMr</v>
      </c>
      <c r="H7387">
        <v>1</v>
      </c>
      <c r="I7387" s="7">
        <v>600.1</v>
      </c>
      <c r="J7387" s="7">
        <v>507.2</v>
      </c>
      <c r="L7387" s="7">
        <v>416.2</v>
      </c>
      <c r="M7387" s="7">
        <v>374.1</v>
      </c>
      <c r="N7387" s="7">
        <v>254.5</v>
      </c>
      <c r="O7387" s="7">
        <v>159.30000000000001</v>
      </c>
    </row>
    <row r="7388" spans="1:21" x14ac:dyDescent="0.2">
      <c r="A7388">
        <v>7387</v>
      </c>
      <c r="B7388" s="1">
        <v>40953</v>
      </c>
      <c r="C7388" t="s">
        <v>28</v>
      </c>
      <c r="D7388" s="7">
        <v>212</v>
      </c>
      <c r="E7388" s="7">
        <v>32</v>
      </c>
      <c r="F7388" s="7">
        <f t="shared" si="115"/>
        <v>3</v>
      </c>
      <c r="G7388" s="7" t="str">
        <f>LOOKUP(H7388,[1]startdates!$A$2:$A$10,[1]startdates!$B$2:$B$10)</f>
        <v>SMr</v>
      </c>
      <c r="H7388">
        <v>1</v>
      </c>
      <c r="I7388" s="7">
        <v>598.29999999999995</v>
      </c>
      <c r="M7388" s="7">
        <v>320.5</v>
      </c>
      <c r="N7388" s="7">
        <v>206.1</v>
      </c>
      <c r="O7388" s="7">
        <v>164.4</v>
      </c>
    </row>
    <row r="7389" spans="1:21" x14ac:dyDescent="0.2">
      <c r="A7389">
        <v>7388</v>
      </c>
      <c r="B7389" s="1">
        <v>40953</v>
      </c>
      <c r="C7389" t="s">
        <v>28</v>
      </c>
      <c r="D7389" s="7">
        <v>212</v>
      </c>
      <c r="E7389" s="7">
        <v>32</v>
      </c>
      <c r="F7389" s="7">
        <f t="shared" si="115"/>
        <v>3</v>
      </c>
      <c r="G7389" s="7" t="str">
        <f>LOOKUP(H7389,[1]startdates!$A$2:$A$10,[1]startdates!$B$2:$B$10)</f>
        <v>SMr</v>
      </c>
      <c r="H7389">
        <v>1</v>
      </c>
      <c r="I7389" s="7">
        <v>666.6</v>
      </c>
      <c r="M7389" s="7">
        <v>305.89999999999998</v>
      </c>
      <c r="N7389" s="7">
        <v>170.8</v>
      </c>
      <c r="O7389" s="7">
        <v>164</v>
      </c>
    </row>
    <row r="7390" spans="1:21" x14ac:dyDescent="0.2">
      <c r="A7390">
        <v>7389</v>
      </c>
      <c r="B7390" s="1">
        <v>40953</v>
      </c>
      <c r="C7390" t="s">
        <v>28</v>
      </c>
      <c r="D7390" s="7">
        <v>212</v>
      </c>
      <c r="E7390" s="7">
        <v>32</v>
      </c>
      <c r="F7390" s="7">
        <f t="shared" si="115"/>
        <v>3</v>
      </c>
      <c r="G7390" s="7" t="str">
        <f>LOOKUP(H7390,[1]startdates!$A$2:$A$10,[1]startdates!$B$2:$B$10)</f>
        <v>SMr</v>
      </c>
      <c r="H7390">
        <v>1</v>
      </c>
      <c r="I7390" s="7">
        <v>713</v>
      </c>
      <c r="M7390" s="7">
        <v>356.9</v>
      </c>
      <c r="N7390" s="7">
        <v>238.5</v>
      </c>
      <c r="O7390" s="7">
        <v>163.4</v>
      </c>
    </row>
    <row r="7391" spans="1:21" x14ac:dyDescent="0.2">
      <c r="A7391">
        <v>7390</v>
      </c>
      <c r="B7391" s="1">
        <v>40953</v>
      </c>
      <c r="C7391" t="s">
        <v>28</v>
      </c>
      <c r="D7391" s="7">
        <v>212</v>
      </c>
      <c r="E7391" s="7">
        <v>32</v>
      </c>
      <c r="F7391" s="7">
        <f t="shared" si="115"/>
        <v>3</v>
      </c>
      <c r="G7391" s="7" t="str">
        <f>LOOKUP(H7391,[1]startdates!$A$2:$A$10,[1]startdates!$B$2:$B$10)</f>
        <v>SMr</v>
      </c>
      <c r="H7391">
        <v>1</v>
      </c>
      <c r="I7391" s="7">
        <v>560.1</v>
      </c>
      <c r="M7391" s="7">
        <v>322</v>
      </c>
      <c r="N7391" s="7">
        <v>228.7</v>
      </c>
      <c r="O7391" s="7">
        <v>172.9</v>
      </c>
    </row>
    <row r="7392" spans="1:21" x14ac:dyDescent="0.2">
      <c r="A7392">
        <v>7391</v>
      </c>
      <c r="B7392" s="1">
        <v>40953</v>
      </c>
      <c r="C7392" t="s">
        <v>28</v>
      </c>
      <c r="D7392" s="7">
        <v>212</v>
      </c>
      <c r="E7392" s="7">
        <v>32</v>
      </c>
      <c r="F7392" s="7">
        <f t="shared" si="115"/>
        <v>3</v>
      </c>
      <c r="G7392" s="7" t="str">
        <f>LOOKUP(H7392,[1]startdates!$A$2:$A$10,[1]startdates!$B$2:$B$10)</f>
        <v>SMr</v>
      </c>
      <c r="H7392">
        <v>1</v>
      </c>
      <c r="I7392" s="7">
        <v>639.4</v>
      </c>
      <c r="M7392" s="7">
        <v>330</v>
      </c>
      <c r="N7392" s="7">
        <v>211.9</v>
      </c>
      <c r="O7392" s="7">
        <v>171.6</v>
      </c>
    </row>
    <row r="7393" spans="1:21" x14ac:dyDescent="0.2">
      <c r="A7393">
        <v>7392</v>
      </c>
      <c r="B7393" s="1">
        <v>40953</v>
      </c>
      <c r="C7393" t="s">
        <v>24</v>
      </c>
      <c r="D7393" s="7">
        <v>212</v>
      </c>
      <c r="E7393" s="7">
        <v>32</v>
      </c>
      <c r="F7393" s="7">
        <f t="shared" si="115"/>
        <v>3</v>
      </c>
      <c r="G7393" s="7" t="str">
        <f>LOOKUP(H7393,[1]startdates!$A$2:$A$10,[1]startdates!$B$2:$B$10)</f>
        <v>SMr</v>
      </c>
      <c r="H7393">
        <v>2</v>
      </c>
      <c r="I7393" s="7">
        <v>573.29999999999995</v>
      </c>
      <c r="J7393" s="7">
        <v>473.6</v>
      </c>
      <c r="K7393" s="7">
        <v>502.8</v>
      </c>
      <c r="L7393" s="7">
        <v>449.7</v>
      </c>
      <c r="M7393" s="7">
        <v>344.3</v>
      </c>
      <c r="N7393" s="7">
        <v>209.6</v>
      </c>
      <c r="O7393" s="7">
        <v>171.7</v>
      </c>
      <c r="P7393" s="7">
        <v>423.8</v>
      </c>
      <c r="Q7393" s="7">
        <v>380.2</v>
      </c>
      <c r="R7393" s="7">
        <v>273.60000000000002</v>
      </c>
      <c r="S7393" s="7">
        <v>258.10000000000002</v>
      </c>
      <c r="U7393" s="7">
        <v>415</v>
      </c>
    </row>
    <row r="7394" spans="1:21" x14ac:dyDescent="0.2">
      <c r="A7394">
        <v>7393</v>
      </c>
      <c r="B7394" s="1">
        <v>40953</v>
      </c>
      <c r="C7394" t="s">
        <v>24</v>
      </c>
      <c r="D7394" s="7">
        <v>212</v>
      </c>
      <c r="E7394" s="7">
        <v>32</v>
      </c>
      <c r="F7394" s="7">
        <f t="shared" si="115"/>
        <v>3</v>
      </c>
      <c r="G7394" s="7" t="str">
        <f>LOOKUP(H7394,[1]startdates!$A$2:$A$10,[1]startdates!$B$2:$B$10)</f>
        <v>SMr</v>
      </c>
      <c r="H7394">
        <v>2</v>
      </c>
      <c r="I7394" s="7">
        <v>520.70000000000005</v>
      </c>
      <c r="K7394" s="7">
        <v>499.5</v>
      </c>
      <c r="L7394" s="7">
        <v>454.6</v>
      </c>
      <c r="M7394" s="7">
        <v>343.7</v>
      </c>
      <c r="N7394" s="7">
        <v>245.4</v>
      </c>
      <c r="O7394" s="7">
        <v>175</v>
      </c>
      <c r="U7394" s="7">
        <v>497.4</v>
      </c>
    </row>
    <row r="7395" spans="1:21" x14ac:dyDescent="0.2">
      <c r="A7395">
        <v>7394</v>
      </c>
      <c r="B7395" s="1">
        <v>40953</v>
      </c>
      <c r="C7395" t="s">
        <v>24</v>
      </c>
      <c r="D7395" s="7">
        <v>212</v>
      </c>
      <c r="E7395" s="7">
        <v>32</v>
      </c>
      <c r="F7395" s="7">
        <f t="shared" si="115"/>
        <v>3</v>
      </c>
      <c r="G7395" s="7" t="str">
        <f>LOOKUP(H7395,[1]startdates!$A$2:$A$10,[1]startdates!$B$2:$B$10)</f>
        <v>SMr</v>
      </c>
      <c r="H7395">
        <v>2</v>
      </c>
      <c r="I7395" s="7">
        <v>499.9</v>
      </c>
      <c r="K7395" s="7">
        <v>521.70000000000005</v>
      </c>
      <c r="L7395" s="7">
        <v>433.2</v>
      </c>
      <c r="M7395" s="7">
        <v>329.7</v>
      </c>
      <c r="N7395" s="7">
        <v>264.5</v>
      </c>
      <c r="O7395" s="7">
        <v>159</v>
      </c>
      <c r="U7395" s="7">
        <v>468.4</v>
      </c>
    </row>
    <row r="7396" spans="1:21" x14ac:dyDescent="0.2">
      <c r="A7396">
        <v>7395</v>
      </c>
      <c r="B7396" s="1">
        <v>40953</v>
      </c>
      <c r="C7396" t="s">
        <v>24</v>
      </c>
      <c r="D7396" s="7">
        <v>212</v>
      </c>
      <c r="E7396" s="7">
        <v>32</v>
      </c>
      <c r="F7396" s="7">
        <f t="shared" si="115"/>
        <v>3</v>
      </c>
      <c r="G7396" s="7" t="str">
        <f>LOOKUP(H7396,[1]startdates!$A$2:$A$10,[1]startdates!$B$2:$B$10)</f>
        <v>SMr</v>
      </c>
      <c r="H7396">
        <v>2</v>
      </c>
      <c r="I7396" s="7">
        <v>571.9</v>
      </c>
      <c r="K7396" s="7">
        <v>512.79999999999995</v>
      </c>
      <c r="M7396" s="7">
        <v>312.89999999999998</v>
      </c>
      <c r="N7396" s="7">
        <v>230.6</v>
      </c>
      <c r="O7396" s="7">
        <v>191.3</v>
      </c>
    </row>
    <row r="7397" spans="1:21" x14ac:dyDescent="0.2">
      <c r="A7397">
        <v>7396</v>
      </c>
      <c r="B7397" s="1">
        <v>40953</v>
      </c>
      <c r="C7397" t="s">
        <v>24</v>
      </c>
      <c r="D7397" s="7">
        <v>212</v>
      </c>
      <c r="E7397" s="7">
        <v>32</v>
      </c>
      <c r="F7397" s="7">
        <f t="shared" si="115"/>
        <v>3</v>
      </c>
      <c r="G7397" s="7" t="str">
        <f>LOOKUP(H7397,[1]startdates!$A$2:$A$10,[1]startdates!$B$2:$B$10)</f>
        <v>SMr</v>
      </c>
      <c r="H7397">
        <v>2</v>
      </c>
      <c r="I7397" s="7">
        <v>550.29999999999995</v>
      </c>
      <c r="M7397" s="7">
        <v>283.89999999999998</v>
      </c>
      <c r="N7397" s="7">
        <v>265.10000000000002</v>
      </c>
      <c r="O7397" s="7">
        <v>166.8</v>
      </c>
    </row>
    <row r="7398" spans="1:21" x14ac:dyDescent="0.2">
      <c r="A7398">
        <v>7397</v>
      </c>
      <c r="B7398" s="1">
        <v>40953</v>
      </c>
      <c r="C7398" t="s">
        <v>24</v>
      </c>
      <c r="D7398" s="7">
        <v>212</v>
      </c>
      <c r="E7398" s="7">
        <v>32</v>
      </c>
      <c r="F7398" s="7">
        <f t="shared" si="115"/>
        <v>3</v>
      </c>
      <c r="G7398" s="7" t="str">
        <f>LOOKUP(H7398,[1]startdates!$A$2:$A$10,[1]startdates!$B$2:$B$10)</f>
        <v>SMr</v>
      </c>
      <c r="H7398">
        <v>2</v>
      </c>
      <c r="I7398" s="7">
        <v>582.20000000000005</v>
      </c>
      <c r="M7398" s="7">
        <v>294.7</v>
      </c>
      <c r="N7398" s="7">
        <v>244.4</v>
      </c>
      <c r="O7398" s="7">
        <v>145.9</v>
      </c>
    </row>
    <row r="7399" spans="1:21" x14ac:dyDescent="0.2">
      <c r="A7399">
        <v>7398</v>
      </c>
      <c r="B7399" s="1">
        <v>40953</v>
      </c>
      <c r="C7399" t="s">
        <v>24</v>
      </c>
      <c r="D7399" s="7">
        <v>212</v>
      </c>
      <c r="E7399" s="7">
        <v>32</v>
      </c>
      <c r="F7399" s="7">
        <f t="shared" si="115"/>
        <v>3</v>
      </c>
      <c r="G7399" s="7" t="str">
        <f>LOOKUP(H7399,[1]startdates!$A$2:$A$10,[1]startdates!$B$2:$B$10)</f>
        <v>SMr</v>
      </c>
      <c r="H7399">
        <v>2</v>
      </c>
      <c r="I7399" s="7">
        <v>538.5</v>
      </c>
      <c r="N7399" s="7">
        <v>224.6</v>
      </c>
      <c r="O7399" s="7">
        <v>163</v>
      </c>
    </row>
    <row r="7400" spans="1:21" x14ac:dyDescent="0.2">
      <c r="A7400">
        <v>7399</v>
      </c>
      <c r="B7400" s="1">
        <v>40953</v>
      </c>
      <c r="C7400" t="s">
        <v>24</v>
      </c>
      <c r="D7400" s="7">
        <v>212</v>
      </c>
      <c r="E7400" s="7">
        <v>32</v>
      </c>
      <c r="F7400" s="7">
        <f t="shared" si="115"/>
        <v>3</v>
      </c>
      <c r="G7400" s="7" t="str">
        <f>LOOKUP(H7400,[1]startdates!$A$2:$A$10,[1]startdates!$B$2:$B$10)</f>
        <v>SMr</v>
      </c>
      <c r="H7400">
        <v>2</v>
      </c>
      <c r="I7400" s="7">
        <v>559.9</v>
      </c>
      <c r="N7400" s="7">
        <v>232.9</v>
      </c>
      <c r="O7400" s="7">
        <v>170.2</v>
      </c>
    </row>
    <row r="7401" spans="1:21" x14ac:dyDescent="0.2">
      <c r="A7401">
        <v>7400</v>
      </c>
      <c r="B7401" s="1">
        <v>40953</v>
      </c>
      <c r="C7401" t="s">
        <v>24</v>
      </c>
      <c r="D7401" s="7">
        <v>212</v>
      </c>
      <c r="E7401" s="7">
        <v>32</v>
      </c>
      <c r="F7401" s="7">
        <f t="shared" ref="F7401:F7464" si="116">WEEKDAY(B7401)</f>
        <v>3</v>
      </c>
      <c r="G7401" s="7" t="str">
        <f>LOOKUP(H7401,[1]startdates!$A$2:$A$10,[1]startdates!$B$2:$B$10)</f>
        <v>SMr</v>
      </c>
      <c r="H7401">
        <v>2</v>
      </c>
      <c r="N7401" s="7">
        <v>232.4</v>
      </c>
      <c r="O7401" s="7">
        <v>140.6</v>
      </c>
    </row>
    <row r="7402" spans="1:21" x14ac:dyDescent="0.2">
      <c r="A7402">
        <v>7401</v>
      </c>
      <c r="B7402" s="1">
        <v>40953</v>
      </c>
      <c r="C7402" t="s">
        <v>24</v>
      </c>
      <c r="D7402" s="7">
        <v>212</v>
      </c>
      <c r="E7402" s="7">
        <v>32</v>
      </c>
      <c r="F7402" s="7">
        <f t="shared" si="116"/>
        <v>3</v>
      </c>
      <c r="G7402" s="7" t="str">
        <f>LOOKUP(H7402,[1]startdates!$A$2:$A$10,[1]startdates!$B$2:$B$10)</f>
        <v>SMr</v>
      </c>
      <c r="H7402">
        <v>2</v>
      </c>
      <c r="N7402" s="7">
        <v>256.89999999999998</v>
      </c>
      <c r="O7402" s="7">
        <v>154.9</v>
      </c>
    </row>
    <row r="7403" spans="1:21" x14ac:dyDescent="0.2">
      <c r="A7403">
        <v>7402</v>
      </c>
      <c r="B7403" s="1">
        <v>40953</v>
      </c>
      <c r="C7403" t="s">
        <v>28</v>
      </c>
      <c r="D7403" s="7">
        <v>212</v>
      </c>
      <c r="E7403" s="7">
        <v>32</v>
      </c>
      <c r="F7403" s="7">
        <f t="shared" si="116"/>
        <v>3</v>
      </c>
      <c r="G7403" s="7" t="str">
        <f>LOOKUP(H7403,[1]startdates!$A$2:$A$10,[1]startdates!$B$2:$B$10)</f>
        <v>C</v>
      </c>
      <c r="H7403">
        <v>3</v>
      </c>
      <c r="I7403" s="7">
        <v>591.79999999999995</v>
      </c>
      <c r="K7403" s="7">
        <v>460.3</v>
      </c>
      <c r="L7403" s="7">
        <v>404.5</v>
      </c>
      <c r="M7403" s="7">
        <v>336</v>
      </c>
      <c r="N7403" s="7">
        <v>250.6</v>
      </c>
      <c r="O7403" s="7">
        <v>160.4</v>
      </c>
      <c r="P7403" s="7">
        <v>415.3</v>
      </c>
      <c r="Q7403" s="7">
        <v>302.2</v>
      </c>
      <c r="R7403" s="7">
        <v>262.2</v>
      </c>
      <c r="S7403" s="7">
        <v>244.9</v>
      </c>
    </row>
    <row r="7404" spans="1:21" x14ac:dyDescent="0.2">
      <c r="A7404">
        <v>7403</v>
      </c>
      <c r="B7404" s="1">
        <v>40953</v>
      </c>
      <c r="C7404" t="s">
        <v>28</v>
      </c>
      <c r="D7404" s="7">
        <v>212</v>
      </c>
      <c r="E7404" s="7">
        <v>32</v>
      </c>
      <c r="F7404" s="7">
        <f t="shared" si="116"/>
        <v>3</v>
      </c>
      <c r="G7404" s="7" t="str">
        <f>LOOKUP(H7404,[1]startdates!$A$2:$A$10,[1]startdates!$B$2:$B$10)</f>
        <v>C</v>
      </c>
      <c r="H7404">
        <v>3</v>
      </c>
      <c r="I7404" s="7">
        <v>601</v>
      </c>
      <c r="K7404" s="7">
        <v>561.9</v>
      </c>
      <c r="L7404" s="7">
        <v>406.4</v>
      </c>
      <c r="M7404" s="7">
        <v>294.3</v>
      </c>
      <c r="N7404" s="7">
        <v>274.2</v>
      </c>
      <c r="O7404" s="7">
        <v>159.5</v>
      </c>
      <c r="P7404" s="7">
        <v>427</v>
      </c>
      <c r="Q7404" s="7">
        <v>327.3</v>
      </c>
    </row>
    <row r="7405" spans="1:21" x14ac:dyDescent="0.2">
      <c r="A7405">
        <v>7404</v>
      </c>
      <c r="B7405" s="1">
        <v>40953</v>
      </c>
      <c r="C7405" t="s">
        <v>28</v>
      </c>
      <c r="D7405" s="7">
        <v>212</v>
      </c>
      <c r="E7405" s="7">
        <v>32</v>
      </c>
      <c r="F7405" s="7">
        <f t="shared" si="116"/>
        <v>3</v>
      </c>
      <c r="G7405" s="7" t="str">
        <f>LOOKUP(H7405,[1]startdates!$A$2:$A$10,[1]startdates!$B$2:$B$10)</f>
        <v>C</v>
      </c>
      <c r="H7405">
        <v>3</v>
      </c>
      <c r="I7405" s="7">
        <v>563.4</v>
      </c>
      <c r="K7405" s="7">
        <v>536.1</v>
      </c>
      <c r="L7405" s="7">
        <v>440.5</v>
      </c>
      <c r="M7405" s="7">
        <v>362.6</v>
      </c>
      <c r="N7405" s="7">
        <v>239.3</v>
      </c>
      <c r="O7405" s="7">
        <v>169.4</v>
      </c>
      <c r="P7405" s="7">
        <v>438.9</v>
      </c>
      <c r="Q7405" s="7">
        <v>332.1</v>
      </c>
    </row>
    <row r="7406" spans="1:21" x14ac:dyDescent="0.2">
      <c r="A7406">
        <v>7405</v>
      </c>
      <c r="B7406" s="1">
        <v>40953</v>
      </c>
      <c r="C7406" t="s">
        <v>28</v>
      </c>
      <c r="D7406" s="7">
        <v>212</v>
      </c>
      <c r="E7406" s="7">
        <v>32</v>
      </c>
      <c r="F7406" s="7">
        <f t="shared" si="116"/>
        <v>3</v>
      </c>
      <c r="G7406" s="7" t="str">
        <f>LOOKUP(H7406,[1]startdates!$A$2:$A$10,[1]startdates!$B$2:$B$10)</f>
        <v>C</v>
      </c>
      <c r="H7406">
        <v>3</v>
      </c>
      <c r="I7406" s="7">
        <v>585.79999999999995</v>
      </c>
      <c r="K7406" s="7">
        <v>524.1</v>
      </c>
      <c r="L7406" s="7">
        <v>404.6</v>
      </c>
      <c r="M7406" s="7">
        <v>299.3</v>
      </c>
      <c r="N7406" s="7">
        <v>257.2</v>
      </c>
      <c r="O7406" s="7">
        <v>170.8</v>
      </c>
      <c r="P7406" s="7">
        <v>424.9</v>
      </c>
      <c r="Q7406" s="7">
        <v>340</v>
      </c>
    </row>
    <row r="7407" spans="1:21" x14ac:dyDescent="0.2">
      <c r="A7407">
        <v>7406</v>
      </c>
      <c r="B7407" s="1">
        <v>40953</v>
      </c>
      <c r="C7407" t="s">
        <v>28</v>
      </c>
      <c r="D7407" s="7">
        <v>212</v>
      </c>
      <c r="E7407" s="7">
        <v>32</v>
      </c>
      <c r="F7407" s="7">
        <f t="shared" si="116"/>
        <v>3</v>
      </c>
      <c r="G7407" s="7" t="str">
        <f>LOOKUP(H7407,[1]startdates!$A$2:$A$10,[1]startdates!$B$2:$B$10)</f>
        <v>C</v>
      </c>
      <c r="H7407">
        <v>3</v>
      </c>
      <c r="I7407" s="7">
        <v>520.29999999999995</v>
      </c>
      <c r="K7407" s="7">
        <v>546.9</v>
      </c>
      <c r="L7407" s="7">
        <v>418.8</v>
      </c>
      <c r="M7407" s="7">
        <v>381.4</v>
      </c>
      <c r="N7407" s="7">
        <v>222.5</v>
      </c>
      <c r="O7407" s="7">
        <v>148.19999999999999</v>
      </c>
      <c r="P7407" s="7">
        <v>439.7</v>
      </c>
    </row>
    <row r="7408" spans="1:21" x14ac:dyDescent="0.2">
      <c r="A7408">
        <v>7407</v>
      </c>
      <c r="B7408" s="1">
        <v>40953</v>
      </c>
      <c r="C7408" t="s">
        <v>28</v>
      </c>
      <c r="D7408" s="7">
        <v>212</v>
      </c>
      <c r="E7408" s="7">
        <v>32</v>
      </c>
      <c r="F7408" s="7">
        <f t="shared" si="116"/>
        <v>3</v>
      </c>
      <c r="G7408" s="7" t="str">
        <f>LOOKUP(H7408,[1]startdates!$A$2:$A$10,[1]startdates!$B$2:$B$10)</f>
        <v>C</v>
      </c>
      <c r="H7408">
        <v>3</v>
      </c>
      <c r="I7408" s="7">
        <v>520.70000000000005</v>
      </c>
      <c r="K7408" s="7">
        <v>472.1</v>
      </c>
      <c r="L7408" s="7">
        <v>435.7</v>
      </c>
      <c r="M7408" s="7">
        <v>338.5</v>
      </c>
      <c r="N7408" s="7">
        <v>285.39999999999998</v>
      </c>
      <c r="O7408" s="7">
        <v>169.5</v>
      </c>
      <c r="P7408" s="7">
        <v>395</v>
      </c>
    </row>
    <row r="7409" spans="1:21" x14ac:dyDescent="0.2">
      <c r="A7409">
        <v>7408</v>
      </c>
      <c r="B7409" s="1">
        <v>40953</v>
      </c>
      <c r="C7409" t="s">
        <v>28</v>
      </c>
      <c r="D7409" s="7">
        <v>212</v>
      </c>
      <c r="E7409" s="7">
        <v>32</v>
      </c>
      <c r="F7409" s="7">
        <f t="shared" si="116"/>
        <v>3</v>
      </c>
      <c r="G7409" s="7" t="str">
        <f>LOOKUP(H7409,[1]startdates!$A$2:$A$10,[1]startdates!$B$2:$B$10)</f>
        <v>C</v>
      </c>
      <c r="H7409">
        <v>3</v>
      </c>
      <c r="I7409" s="7">
        <v>578.5</v>
      </c>
      <c r="K7409" s="7">
        <v>520.6</v>
      </c>
      <c r="M7409" s="7">
        <v>331.7</v>
      </c>
      <c r="N7409" s="7">
        <v>249</v>
      </c>
      <c r="O7409" s="7">
        <v>159</v>
      </c>
    </row>
    <row r="7410" spans="1:21" x14ac:dyDescent="0.2">
      <c r="A7410">
        <v>7409</v>
      </c>
      <c r="B7410" s="1">
        <v>40953</v>
      </c>
      <c r="C7410" t="s">
        <v>28</v>
      </c>
      <c r="D7410" s="7">
        <v>212</v>
      </c>
      <c r="E7410" s="7">
        <v>32</v>
      </c>
      <c r="F7410" s="7">
        <f t="shared" si="116"/>
        <v>3</v>
      </c>
      <c r="G7410" s="7" t="str">
        <f>LOOKUP(H7410,[1]startdates!$A$2:$A$10,[1]startdates!$B$2:$B$10)</f>
        <v>C</v>
      </c>
      <c r="H7410">
        <v>3</v>
      </c>
      <c r="I7410" s="7">
        <v>633.20000000000005</v>
      </c>
      <c r="M7410" s="7">
        <v>343</v>
      </c>
      <c r="N7410" s="7">
        <v>211</v>
      </c>
      <c r="O7410" s="7">
        <v>151.4</v>
      </c>
    </row>
    <row r="7411" spans="1:21" x14ac:dyDescent="0.2">
      <c r="A7411">
        <v>7410</v>
      </c>
      <c r="B7411" s="1">
        <v>40953</v>
      </c>
      <c r="C7411" t="s">
        <v>28</v>
      </c>
      <c r="D7411" s="7">
        <v>212</v>
      </c>
      <c r="E7411" s="7">
        <v>32</v>
      </c>
      <c r="F7411" s="7">
        <f t="shared" si="116"/>
        <v>3</v>
      </c>
      <c r="G7411" s="7" t="str">
        <f>LOOKUP(H7411,[1]startdates!$A$2:$A$10,[1]startdates!$B$2:$B$10)</f>
        <v>C</v>
      </c>
      <c r="H7411">
        <v>3</v>
      </c>
      <c r="I7411" s="7">
        <v>607.79999999999995</v>
      </c>
      <c r="M7411" s="7">
        <v>364.6</v>
      </c>
      <c r="N7411" s="7">
        <v>200.3</v>
      </c>
      <c r="O7411" s="7">
        <v>166</v>
      </c>
    </row>
    <row r="7412" spans="1:21" x14ac:dyDescent="0.2">
      <c r="A7412">
        <v>7411</v>
      </c>
      <c r="B7412" s="1">
        <v>40953</v>
      </c>
      <c r="C7412" t="s">
        <v>28</v>
      </c>
      <c r="D7412" s="7">
        <v>212</v>
      </c>
      <c r="E7412" s="7">
        <v>32</v>
      </c>
      <c r="F7412" s="7">
        <f t="shared" si="116"/>
        <v>3</v>
      </c>
      <c r="G7412" s="7" t="str">
        <f>LOOKUP(H7412,[1]startdates!$A$2:$A$10,[1]startdates!$B$2:$B$10)</f>
        <v>C</v>
      </c>
      <c r="H7412">
        <v>3</v>
      </c>
      <c r="I7412" s="7">
        <v>599</v>
      </c>
      <c r="M7412" s="7">
        <v>382</v>
      </c>
      <c r="N7412" s="7">
        <v>242.9</v>
      </c>
      <c r="O7412" s="7">
        <v>174.9</v>
      </c>
    </row>
    <row r="7413" spans="1:21" x14ac:dyDescent="0.2">
      <c r="A7413">
        <v>7412</v>
      </c>
      <c r="B7413" s="1">
        <v>40953</v>
      </c>
      <c r="C7413" t="s">
        <v>24</v>
      </c>
      <c r="D7413" s="7">
        <v>212</v>
      </c>
      <c r="E7413" s="7">
        <v>32</v>
      </c>
      <c r="F7413" s="7">
        <f t="shared" si="116"/>
        <v>3</v>
      </c>
      <c r="G7413" s="7" t="str">
        <f>LOOKUP(H7413,[1]startdates!$A$2:$A$10,[1]startdates!$B$2:$B$10)</f>
        <v>SMr</v>
      </c>
      <c r="H7413">
        <v>4</v>
      </c>
      <c r="I7413" s="7">
        <v>634.79999999999995</v>
      </c>
      <c r="K7413" s="7">
        <v>429</v>
      </c>
      <c r="L7413" s="7">
        <v>400.8</v>
      </c>
      <c r="M7413" s="7">
        <v>386.4</v>
      </c>
      <c r="N7413" s="7">
        <v>236.6</v>
      </c>
      <c r="O7413" s="7">
        <v>146.69999999999999</v>
      </c>
      <c r="P7413" s="7">
        <v>422.9</v>
      </c>
      <c r="Q7413" s="7">
        <v>323.89999999999998</v>
      </c>
      <c r="R7413" s="7">
        <v>250.1</v>
      </c>
      <c r="S7413" s="7">
        <v>252.5</v>
      </c>
      <c r="U7413" s="7">
        <v>423.8</v>
      </c>
    </row>
    <row r="7414" spans="1:21" x14ac:dyDescent="0.2">
      <c r="A7414">
        <v>7413</v>
      </c>
      <c r="B7414" s="1">
        <v>40953</v>
      </c>
      <c r="C7414" t="s">
        <v>24</v>
      </c>
      <c r="D7414" s="7">
        <v>212</v>
      </c>
      <c r="E7414" s="7">
        <v>32</v>
      </c>
      <c r="F7414" s="7">
        <f t="shared" si="116"/>
        <v>3</v>
      </c>
      <c r="G7414" s="7" t="str">
        <f>LOOKUP(H7414,[1]startdates!$A$2:$A$10,[1]startdates!$B$2:$B$10)</f>
        <v>SMr</v>
      </c>
      <c r="H7414">
        <v>4</v>
      </c>
      <c r="I7414" s="7">
        <v>491.7</v>
      </c>
      <c r="K7414" s="7">
        <v>458.8</v>
      </c>
      <c r="L7414" s="7">
        <v>425.3</v>
      </c>
      <c r="M7414" s="7">
        <v>305.5</v>
      </c>
      <c r="N7414" s="7">
        <v>217.7</v>
      </c>
      <c r="O7414" s="7">
        <v>141.1</v>
      </c>
      <c r="P7414" s="7">
        <v>456.4</v>
      </c>
      <c r="Q7414" s="7">
        <v>332.4</v>
      </c>
      <c r="S7414" s="7">
        <v>241.6</v>
      </c>
      <c r="U7414" s="7">
        <v>486</v>
      </c>
    </row>
    <row r="7415" spans="1:21" x14ac:dyDescent="0.2">
      <c r="A7415">
        <v>7414</v>
      </c>
      <c r="B7415" s="1">
        <v>40953</v>
      </c>
      <c r="C7415" t="s">
        <v>24</v>
      </c>
      <c r="D7415" s="7">
        <v>212</v>
      </c>
      <c r="E7415" s="7">
        <v>32</v>
      </c>
      <c r="F7415" s="7">
        <f t="shared" si="116"/>
        <v>3</v>
      </c>
      <c r="G7415" s="7" t="str">
        <f>LOOKUP(H7415,[1]startdates!$A$2:$A$10,[1]startdates!$B$2:$B$10)</f>
        <v>SMr</v>
      </c>
      <c r="H7415">
        <v>4</v>
      </c>
      <c r="I7415" s="7">
        <v>593.9</v>
      </c>
      <c r="K7415" s="7">
        <v>472.1</v>
      </c>
      <c r="L7415" s="7">
        <v>395.6</v>
      </c>
      <c r="M7415" s="7">
        <v>304.8</v>
      </c>
      <c r="N7415" s="7">
        <v>259.3</v>
      </c>
      <c r="O7415" s="7">
        <v>173.7</v>
      </c>
      <c r="P7415" s="7">
        <v>452.1</v>
      </c>
      <c r="Q7415" s="7">
        <v>361.5</v>
      </c>
      <c r="U7415" s="7">
        <v>461</v>
      </c>
    </row>
    <row r="7416" spans="1:21" x14ac:dyDescent="0.2">
      <c r="A7416">
        <v>7415</v>
      </c>
      <c r="B7416" s="1">
        <v>40953</v>
      </c>
      <c r="C7416" t="s">
        <v>24</v>
      </c>
      <c r="D7416" s="7">
        <v>212</v>
      </c>
      <c r="E7416" s="7">
        <v>32</v>
      </c>
      <c r="F7416" s="7">
        <f t="shared" si="116"/>
        <v>3</v>
      </c>
      <c r="G7416" s="7" t="str">
        <f>LOOKUP(H7416,[1]startdates!$A$2:$A$10,[1]startdates!$B$2:$B$10)</f>
        <v>SMr</v>
      </c>
      <c r="H7416">
        <v>4</v>
      </c>
      <c r="I7416" s="7">
        <v>501.6</v>
      </c>
      <c r="K7416" s="7">
        <v>468.8</v>
      </c>
      <c r="M7416" s="7">
        <v>310.39999999999998</v>
      </c>
      <c r="N7416" s="7">
        <v>200.5</v>
      </c>
      <c r="O7416" s="7">
        <v>174.6</v>
      </c>
      <c r="P7416" s="7">
        <v>440.6</v>
      </c>
    </row>
    <row r="7417" spans="1:21" x14ac:dyDescent="0.2">
      <c r="A7417">
        <v>7416</v>
      </c>
      <c r="B7417" s="1">
        <v>40953</v>
      </c>
      <c r="C7417" t="s">
        <v>24</v>
      </c>
      <c r="D7417" s="7">
        <v>212</v>
      </c>
      <c r="E7417" s="7">
        <v>32</v>
      </c>
      <c r="F7417" s="7">
        <f t="shared" si="116"/>
        <v>3</v>
      </c>
      <c r="G7417" s="7" t="str">
        <f>LOOKUP(H7417,[1]startdates!$A$2:$A$10,[1]startdates!$B$2:$B$10)</f>
        <v>SMr</v>
      </c>
      <c r="H7417">
        <v>4</v>
      </c>
      <c r="I7417" s="7">
        <v>625.6</v>
      </c>
      <c r="K7417" s="7">
        <v>537.4</v>
      </c>
      <c r="M7417" s="7">
        <v>325.39999999999998</v>
      </c>
      <c r="N7417" s="7">
        <v>247.1</v>
      </c>
      <c r="O7417" s="7">
        <v>170.8</v>
      </c>
    </row>
    <row r="7418" spans="1:21" x14ac:dyDescent="0.2">
      <c r="A7418">
        <v>7417</v>
      </c>
      <c r="B7418" s="1">
        <v>40953</v>
      </c>
      <c r="C7418" t="s">
        <v>24</v>
      </c>
      <c r="D7418" s="7">
        <v>212</v>
      </c>
      <c r="E7418" s="7">
        <v>32</v>
      </c>
      <c r="F7418" s="7">
        <f t="shared" si="116"/>
        <v>3</v>
      </c>
      <c r="G7418" s="7" t="str">
        <f>LOOKUP(H7418,[1]startdates!$A$2:$A$10,[1]startdates!$B$2:$B$10)</f>
        <v>SMr</v>
      </c>
      <c r="H7418">
        <v>4</v>
      </c>
      <c r="I7418" s="7">
        <v>573.9</v>
      </c>
      <c r="M7418" s="7">
        <v>399.1</v>
      </c>
      <c r="N7418" s="7">
        <v>217.4</v>
      </c>
      <c r="O7418" s="7">
        <v>159.30000000000001</v>
      </c>
    </row>
    <row r="7419" spans="1:21" x14ac:dyDescent="0.2">
      <c r="A7419">
        <v>7418</v>
      </c>
      <c r="B7419" s="1">
        <v>40953</v>
      </c>
      <c r="C7419" t="s">
        <v>24</v>
      </c>
      <c r="D7419" s="7">
        <v>212</v>
      </c>
      <c r="E7419" s="7">
        <v>32</v>
      </c>
      <c r="F7419" s="7">
        <f t="shared" si="116"/>
        <v>3</v>
      </c>
      <c r="G7419" s="7" t="str">
        <f>LOOKUP(H7419,[1]startdates!$A$2:$A$10,[1]startdates!$B$2:$B$10)</f>
        <v>SMr</v>
      </c>
      <c r="H7419">
        <v>4</v>
      </c>
      <c r="I7419" s="7">
        <v>522.79999999999995</v>
      </c>
      <c r="N7419" s="7">
        <v>206.5</v>
      </c>
      <c r="O7419" s="7">
        <v>149</v>
      </c>
    </row>
    <row r="7420" spans="1:21" x14ac:dyDescent="0.2">
      <c r="A7420">
        <v>7419</v>
      </c>
      <c r="B7420" s="1">
        <v>40953</v>
      </c>
      <c r="C7420" t="s">
        <v>24</v>
      </c>
      <c r="D7420" s="7">
        <v>212</v>
      </c>
      <c r="E7420" s="7">
        <v>32</v>
      </c>
      <c r="F7420" s="7">
        <f t="shared" si="116"/>
        <v>3</v>
      </c>
      <c r="G7420" s="7" t="str">
        <f>LOOKUP(H7420,[1]startdates!$A$2:$A$10,[1]startdates!$B$2:$B$10)</f>
        <v>SMr</v>
      </c>
      <c r="H7420">
        <v>4</v>
      </c>
      <c r="I7420" s="7">
        <v>614</v>
      </c>
      <c r="N7420" s="7">
        <v>213.5</v>
      </c>
      <c r="O7420" s="7">
        <v>180.6</v>
      </c>
    </row>
    <row r="7421" spans="1:21" x14ac:dyDescent="0.2">
      <c r="A7421">
        <v>7420</v>
      </c>
      <c r="B7421" s="1">
        <v>40953</v>
      </c>
      <c r="C7421" t="s">
        <v>24</v>
      </c>
      <c r="D7421" s="7">
        <v>212</v>
      </c>
      <c r="E7421" s="7">
        <v>32</v>
      </c>
      <c r="F7421" s="7">
        <f t="shared" si="116"/>
        <v>3</v>
      </c>
      <c r="G7421" s="7" t="str">
        <f>LOOKUP(H7421,[1]startdates!$A$2:$A$10,[1]startdates!$B$2:$B$10)</f>
        <v>SMr</v>
      </c>
      <c r="H7421">
        <v>4</v>
      </c>
      <c r="N7421" s="7">
        <v>272.5</v>
      </c>
      <c r="O7421" s="7">
        <v>180.6</v>
      </c>
    </row>
    <row r="7422" spans="1:21" x14ac:dyDescent="0.2">
      <c r="A7422">
        <v>7421</v>
      </c>
      <c r="B7422" s="1">
        <v>40953</v>
      </c>
      <c r="C7422" t="s">
        <v>24</v>
      </c>
      <c r="D7422" s="7">
        <v>212</v>
      </c>
      <c r="E7422" s="7">
        <v>32</v>
      </c>
      <c r="F7422" s="7">
        <f t="shared" si="116"/>
        <v>3</v>
      </c>
      <c r="G7422" s="7" t="str">
        <f>LOOKUP(H7422,[1]startdates!$A$2:$A$10,[1]startdates!$B$2:$B$10)</f>
        <v>SMr</v>
      </c>
      <c r="H7422">
        <v>4</v>
      </c>
      <c r="N7422" s="7">
        <v>233</v>
      </c>
      <c r="O7422" s="7">
        <v>165.7</v>
      </c>
    </row>
    <row r="7423" spans="1:21" x14ac:dyDescent="0.2">
      <c r="A7423">
        <v>7422</v>
      </c>
      <c r="B7423" s="1">
        <v>40953</v>
      </c>
      <c r="C7423" t="s">
        <v>24</v>
      </c>
      <c r="D7423" s="7">
        <v>212</v>
      </c>
      <c r="E7423" s="7">
        <v>32</v>
      </c>
      <c r="F7423" s="7">
        <f t="shared" si="116"/>
        <v>3</v>
      </c>
      <c r="G7423" s="7" t="str">
        <f>LOOKUP(H7423,[1]startdates!$A$2:$A$10,[1]startdates!$B$2:$B$10)</f>
        <v>C</v>
      </c>
      <c r="H7423">
        <v>5</v>
      </c>
      <c r="I7423" s="7">
        <v>491.7</v>
      </c>
      <c r="J7423" s="7">
        <v>649.20000000000005</v>
      </c>
      <c r="K7423" s="7">
        <v>492.9</v>
      </c>
      <c r="L7423" s="7">
        <v>477.5</v>
      </c>
      <c r="M7423" s="7">
        <v>378.2</v>
      </c>
      <c r="N7423" s="7">
        <v>178.6</v>
      </c>
      <c r="O7423" s="7">
        <v>162.69999999999999</v>
      </c>
      <c r="P7423" s="7">
        <v>451.8</v>
      </c>
      <c r="Q7423" s="7">
        <v>354.2</v>
      </c>
    </row>
    <row r="7424" spans="1:21" x14ac:dyDescent="0.2">
      <c r="A7424">
        <v>7423</v>
      </c>
      <c r="B7424" s="1">
        <v>40953</v>
      </c>
      <c r="C7424" t="s">
        <v>24</v>
      </c>
      <c r="D7424" s="7">
        <v>212</v>
      </c>
      <c r="E7424" s="7">
        <v>32</v>
      </c>
      <c r="F7424" s="7">
        <f t="shared" si="116"/>
        <v>3</v>
      </c>
      <c r="G7424" s="7" t="str">
        <f>LOOKUP(H7424,[1]startdates!$A$2:$A$10,[1]startdates!$B$2:$B$10)</f>
        <v>C</v>
      </c>
      <c r="H7424">
        <v>5</v>
      </c>
      <c r="I7424" s="7">
        <v>551.20000000000005</v>
      </c>
      <c r="J7424" s="7">
        <v>544</v>
      </c>
      <c r="K7424" s="7">
        <v>413.4</v>
      </c>
      <c r="L7424" s="7">
        <v>397</v>
      </c>
      <c r="M7424" s="7">
        <v>316.8</v>
      </c>
      <c r="N7424" s="7">
        <v>253.4</v>
      </c>
      <c r="O7424" s="7">
        <v>175.6</v>
      </c>
      <c r="P7424" s="7">
        <v>516.1</v>
      </c>
      <c r="Q7424" s="7">
        <v>350.7</v>
      </c>
    </row>
    <row r="7425" spans="1:22" x14ac:dyDescent="0.2">
      <c r="A7425">
        <v>7424</v>
      </c>
      <c r="B7425" s="1">
        <v>40953</v>
      </c>
      <c r="C7425" t="s">
        <v>24</v>
      </c>
      <c r="D7425" s="7">
        <v>212</v>
      </c>
      <c r="E7425" s="7">
        <v>32</v>
      </c>
      <c r="F7425" s="7">
        <f t="shared" si="116"/>
        <v>3</v>
      </c>
      <c r="G7425" s="7" t="str">
        <f>LOOKUP(H7425,[1]startdates!$A$2:$A$10,[1]startdates!$B$2:$B$10)</f>
        <v>C</v>
      </c>
      <c r="H7425">
        <v>5</v>
      </c>
      <c r="I7425" s="7">
        <v>582.70000000000005</v>
      </c>
      <c r="J7425" s="7">
        <v>443.4</v>
      </c>
      <c r="K7425" s="7">
        <v>445.2</v>
      </c>
      <c r="L7425" s="7">
        <v>384.7</v>
      </c>
      <c r="M7425" s="7">
        <v>324.7</v>
      </c>
      <c r="N7425" s="7">
        <v>220.7</v>
      </c>
      <c r="O7425" s="7">
        <v>192.6</v>
      </c>
      <c r="Q7425" s="7">
        <v>368.2</v>
      </c>
    </row>
    <row r="7426" spans="1:22" x14ac:dyDescent="0.2">
      <c r="A7426">
        <v>7425</v>
      </c>
      <c r="B7426" s="1">
        <v>40953</v>
      </c>
      <c r="C7426" t="s">
        <v>24</v>
      </c>
      <c r="D7426" s="7">
        <v>212</v>
      </c>
      <c r="E7426" s="7">
        <v>32</v>
      </c>
      <c r="F7426" s="7">
        <f t="shared" si="116"/>
        <v>3</v>
      </c>
      <c r="G7426" s="7" t="str">
        <f>LOOKUP(H7426,[1]startdates!$A$2:$A$10,[1]startdates!$B$2:$B$10)</f>
        <v>C</v>
      </c>
      <c r="H7426">
        <v>5</v>
      </c>
      <c r="I7426" s="7">
        <v>611.9</v>
      </c>
      <c r="J7426" s="7">
        <v>664.2</v>
      </c>
      <c r="K7426" s="7">
        <v>553.29999999999995</v>
      </c>
      <c r="L7426" s="7">
        <v>434.6</v>
      </c>
      <c r="M7426" s="7">
        <v>327.9</v>
      </c>
      <c r="N7426" s="7">
        <v>224.9</v>
      </c>
      <c r="O7426" s="7">
        <v>179.8</v>
      </c>
    </row>
    <row r="7427" spans="1:22" x14ac:dyDescent="0.2">
      <c r="A7427">
        <v>7426</v>
      </c>
      <c r="B7427" s="1">
        <v>40953</v>
      </c>
      <c r="C7427" t="s">
        <v>24</v>
      </c>
      <c r="D7427" s="7">
        <v>212</v>
      </c>
      <c r="E7427" s="7">
        <v>32</v>
      </c>
      <c r="F7427" s="7">
        <f t="shared" si="116"/>
        <v>3</v>
      </c>
      <c r="G7427" s="7" t="str">
        <f>LOOKUP(H7427,[1]startdates!$A$2:$A$10,[1]startdates!$B$2:$B$10)</f>
        <v>C</v>
      </c>
      <c r="H7427">
        <v>5</v>
      </c>
      <c r="I7427" s="7">
        <v>611.9</v>
      </c>
      <c r="J7427" s="7">
        <v>524.4</v>
      </c>
      <c r="M7427" s="7">
        <v>303</v>
      </c>
      <c r="N7427" s="7">
        <v>270.39999999999998</v>
      </c>
      <c r="O7427" s="7">
        <v>173.4</v>
      </c>
    </row>
    <row r="7428" spans="1:22" x14ac:dyDescent="0.2">
      <c r="A7428">
        <v>7427</v>
      </c>
      <c r="B7428" s="1">
        <v>40953</v>
      </c>
      <c r="C7428" t="s">
        <v>24</v>
      </c>
      <c r="D7428" s="7">
        <v>212</v>
      </c>
      <c r="E7428" s="7">
        <v>32</v>
      </c>
      <c r="F7428" s="7">
        <f t="shared" si="116"/>
        <v>3</v>
      </c>
      <c r="G7428" s="7" t="str">
        <f>LOOKUP(H7428,[1]startdates!$A$2:$A$10,[1]startdates!$B$2:$B$10)</f>
        <v>C</v>
      </c>
      <c r="H7428">
        <v>5</v>
      </c>
      <c r="I7428" s="7">
        <v>623.1</v>
      </c>
      <c r="J7428" s="7">
        <v>482.2</v>
      </c>
      <c r="M7428" s="7">
        <v>337.8</v>
      </c>
      <c r="N7428" s="7">
        <v>218</v>
      </c>
      <c r="O7428" s="7">
        <v>168.3</v>
      </c>
    </row>
    <row r="7429" spans="1:22" x14ac:dyDescent="0.2">
      <c r="A7429">
        <v>7428</v>
      </c>
      <c r="B7429" s="1">
        <v>40953</v>
      </c>
      <c r="C7429" t="s">
        <v>24</v>
      </c>
      <c r="D7429" s="7">
        <v>212</v>
      </c>
      <c r="E7429" s="7">
        <v>32</v>
      </c>
      <c r="F7429" s="7">
        <f t="shared" si="116"/>
        <v>3</v>
      </c>
      <c r="G7429" s="7" t="str">
        <f>LOOKUP(H7429,[1]startdates!$A$2:$A$10,[1]startdates!$B$2:$B$10)</f>
        <v>C</v>
      </c>
      <c r="H7429">
        <v>5</v>
      </c>
      <c r="I7429" s="7">
        <v>604.5</v>
      </c>
      <c r="M7429" s="7">
        <v>322.8</v>
      </c>
      <c r="N7429" s="7">
        <v>180.6</v>
      </c>
      <c r="O7429" s="7">
        <v>169</v>
      </c>
    </row>
    <row r="7430" spans="1:22" x14ac:dyDescent="0.2">
      <c r="A7430">
        <v>7429</v>
      </c>
      <c r="B7430" s="1">
        <v>40953</v>
      </c>
      <c r="C7430" t="s">
        <v>24</v>
      </c>
      <c r="D7430" s="7">
        <v>212</v>
      </c>
      <c r="E7430" s="7">
        <v>32</v>
      </c>
      <c r="F7430" s="7">
        <f t="shared" si="116"/>
        <v>3</v>
      </c>
      <c r="G7430" s="7" t="str">
        <f>LOOKUP(H7430,[1]startdates!$A$2:$A$10,[1]startdates!$B$2:$B$10)</f>
        <v>C</v>
      </c>
      <c r="H7430">
        <v>5</v>
      </c>
      <c r="M7430" s="7">
        <v>360.6</v>
      </c>
      <c r="N7430" s="7">
        <v>195</v>
      </c>
      <c r="O7430" s="7">
        <v>171.6</v>
      </c>
    </row>
    <row r="7431" spans="1:22" x14ac:dyDescent="0.2">
      <c r="A7431">
        <v>7430</v>
      </c>
      <c r="B7431" s="1">
        <v>40953</v>
      </c>
      <c r="C7431" t="s">
        <v>24</v>
      </c>
      <c r="D7431" s="7">
        <v>212</v>
      </c>
      <c r="E7431" s="7">
        <v>32</v>
      </c>
      <c r="F7431" s="7">
        <f t="shared" si="116"/>
        <v>3</v>
      </c>
      <c r="G7431" s="7" t="str">
        <f>LOOKUP(H7431,[1]startdates!$A$2:$A$10,[1]startdates!$B$2:$B$10)</f>
        <v>C</v>
      </c>
      <c r="H7431">
        <v>5</v>
      </c>
      <c r="N7431" s="7">
        <v>201.1</v>
      </c>
      <c r="O7431" s="7">
        <v>164.4</v>
      </c>
    </row>
    <row r="7432" spans="1:22" x14ac:dyDescent="0.2">
      <c r="A7432">
        <v>7431</v>
      </c>
      <c r="B7432" s="1">
        <v>40953</v>
      </c>
      <c r="C7432" t="s">
        <v>24</v>
      </c>
      <c r="D7432" s="7">
        <v>212</v>
      </c>
      <c r="E7432" s="7">
        <v>32</v>
      </c>
      <c r="F7432" s="7">
        <f t="shared" si="116"/>
        <v>3</v>
      </c>
      <c r="G7432" s="7" t="str">
        <f>LOOKUP(H7432,[1]startdates!$A$2:$A$10,[1]startdates!$B$2:$B$10)</f>
        <v>C</v>
      </c>
      <c r="H7432">
        <v>5</v>
      </c>
      <c r="N7432" s="7">
        <v>227.7</v>
      </c>
      <c r="O7432" s="7">
        <v>192.2</v>
      </c>
    </row>
    <row r="7433" spans="1:22" x14ac:dyDescent="0.2">
      <c r="A7433">
        <v>7432</v>
      </c>
      <c r="B7433" s="1">
        <v>40953</v>
      </c>
      <c r="C7433" t="s">
        <v>28</v>
      </c>
      <c r="D7433" s="7">
        <v>212</v>
      </c>
      <c r="E7433" s="7">
        <v>32</v>
      </c>
      <c r="F7433" s="7">
        <f t="shared" si="116"/>
        <v>3</v>
      </c>
      <c r="G7433" s="7" t="str">
        <f>LOOKUP(H7433,[1]startdates!$A$2:$A$10,[1]startdates!$B$2:$B$10)</f>
        <v>FMr</v>
      </c>
      <c r="H7433">
        <v>6</v>
      </c>
      <c r="I7433" s="7">
        <v>557.70000000000005</v>
      </c>
      <c r="J7433" s="7">
        <v>481.6</v>
      </c>
      <c r="K7433" s="7">
        <v>456.4</v>
      </c>
      <c r="L7433" s="7">
        <v>422.8</v>
      </c>
      <c r="M7433" s="7">
        <v>345.8</v>
      </c>
      <c r="N7433" s="7">
        <v>273.5</v>
      </c>
      <c r="O7433" s="7">
        <v>143.19999999999999</v>
      </c>
      <c r="P7433" s="7">
        <v>422.9</v>
      </c>
      <c r="Q7433" s="7">
        <v>338.6</v>
      </c>
      <c r="R7433" s="7">
        <v>248</v>
      </c>
      <c r="S7433" s="7">
        <v>257.39999999999998</v>
      </c>
      <c r="V7433" s="7">
        <v>479.3</v>
      </c>
    </row>
    <row r="7434" spans="1:22" x14ac:dyDescent="0.2">
      <c r="A7434">
        <v>7433</v>
      </c>
      <c r="B7434" s="1">
        <v>40953</v>
      </c>
      <c r="C7434" t="s">
        <v>28</v>
      </c>
      <c r="D7434" s="7">
        <v>212</v>
      </c>
      <c r="E7434" s="7">
        <v>32</v>
      </c>
      <c r="F7434" s="7">
        <f t="shared" si="116"/>
        <v>3</v>
      </c>
      <c r="G7434" s="7" t="str">
        <f>LOOKUP(H7434,[1]startdates!$A$2:$A$10,[1]startdates!$B$2:$B$10)</f>
        <v>FMr</v>
      </c>
      <c r="H7434">
        <v>6</v>
      </c>
      <c r="I7434" s="7">
        <v>556.79999999999995</v>
      </c>
      <c r="K7434" s="7">
        <v>443.8</v>
      </c>
      <c r="L7434" s="7">
        <v>447.3</v>
      </c>
      <c r="M7434" s="7">
        <v>377.8</v>
      </c>
      <c r="N7434" s="7">
        <v>194.4</v>
      </c>
      <c r="O7434" s="7">
        <v>151.1</v>
      </c>
      <c r="R7434" s="7">
        <v>270.39999999999998</v>
      </c>
    </row>
    <row r="7435" spans="1:22" x14ac:dyDescent="0.2">
      <c r="A7435">
        <v>7434</v>
      </c>
      <c r="B7435" s="1">
        <v>40953</v>
      </c>
      <c r="C7435" t="s">
        <v>28</v>
      </c>
      <c r="D7435" s="7">
        <v>212</v>
      </c>
      <c r="E7435" s="7">
        <v>32</v>
      </c>
      <c r="F7435" s="7">
        <f t="shared" si="116"/>
        <v>3</v>
      </c>
      <c r="G7435" s="7" t="str">
        <f>LOOKUP(H7435,[1]startdates!$A$2:$A$10,[1]startdates!$B$2:$B$10)</f>
        <v>FMr</v>
      </c>
      <c r="H7435">
        <v>6</v>
      </c>
      <c r="I7435" s="7">
        <v>651.4</v>
      </c>
      <c r="K7435" s="7">
        <v>537.9</v>
      </c>
      <c r="L7435" s="7">
        <v>424.3</v>
      </c>
      <c r="M7435" s="7">
        <v>365.1</v>
      </c>
      <c r="N7435" s="7">
        <v>203.3</v>
      </c>
      <c r="O7435" s="7">
        <v>154.80000000000001</v>
      </c>
    </row>
    <row r="7436" spans="1:22" x14ac:dyDescent="0.2">
      <c r="A7436">
        <v>7435</v>
      </c>
      <c r="B7436" s="1">
        <v>40953</v>
      </c>
      <c r="C7436" t="s">
        <v>28</v>
      </c>
      <c r="D7436" s="7">
        <v>212</v>
      </c>
      <c r="E7436" s="7">
        <v>32</v>
      </c>
      <c r="F7436" s="7">
        <f t="shared" si="116"/>
        <v>3</v>
      </c>
      <c r="G7436" s="7" t="str">
        <f>LOOKUP(H7436,[1]startdates!$A$2:$A$10,[1]startdates!$B$2:$B$10)</f>
        <v>FMr</v>
      </c>
      <c r="H7436">
        <v>6</v>
      </c>
      <c r="I7436" s="7">
        <v>566.5</v>
      </c>
      <c r="K7436" s="7">
        <v>597.70000000000005</v>
      </c>
      <c r="L7436" s="7">
        <v>405.2</v>
      </c>
      <c r="M7436" s="7">
        <v>356.2</v>
      </c>
      <c r="N7436" s="7">
        <v>258.39999999999998</v>
      </c>
      <c r="O7436" s="7">
        <v>146.6</v>
      </c>
    </row>
    <row r="7437" spans="1:22" x14ac:dyDescent="0.2">
      <c r="A7437">
        <v>7436</v>
      </c>
      <c r="B7437" s="1">
        <v>40953</v>
      </c>
      <c r="C7437" t="s">
        <v>28</v>
      </c>
      <c r="D7437" s="7">
        <v>212</v>
      </c>
      <c r="E7437" s="7">
        <v>32</v>
      </c>
      <c r="F7437" s="7">
        <f t="shared" si="116"/>
        <v>3</v>
      </c>
      <c r="G7437" s="7" t="str">
        <f>LOOKUP(H7437,[1]startdates!$A$2:$A$10,[1]startdates!$B$2:$B$10)</f>
        <v>FMr</v>
      </c>
      <c r="H7437">
        <v>6</v>
      </c>
      <c r="I7437" s="7">
        <v>610.1</v>
      </c>
      <c r="K7437" s="7">
        <v>489.7</v>
      </c>
      <c r="L7437" s="7">
        <v>436.6</v>
      </c>
      <c r="M7437" s="7">
        <v>367.7</v>
      </c>
      <c r="N7437" s="7">
        <v>250.4</v>
      </c>
      <c r="O7437" s="7">
        <v>162.19999999999999</v>
      </c>
    </row>
    <row r="7438" spans="1:22" x14ac:dyDescent="0.2">
      <c r="A7438">
        <v>7437</v>
      </c>
      <c r="B7438" s="1">
        <v>40953</v>
      </c>
      <c r="C7438" t="s">
        <v>28</v>
      </c>
      <c r="D7438" s="7">
        <v>212</v>
      </c>
      <c r="E7438" s="7">
        <v>32</v>
      </c>
      <c r="F7438" s="7">
        <f t="shared" si="116"/>
        <v>3</v>
      </c>
      <c r="G7438" s="7" t="str">
        <f>LOOKUP(H7438,[1]startdates!$A$2:$A$10,[1]startdates!$B$2:$B$10)</f>
        <v>FMr</v>
      </c>
      <c r="H7438">
        <v>6</v>
      </c>
      <c r="I7438" s="7">
        <v>581.5</v>
      </c>
      <c r="K7438" s="7">
        <v>469.2</v>
      </c>
      <c r="M7438" s="7">
        <v>372.9</v>
      </c>
      <c r="N7438" s="7">
        <v>233.8</v>
      </c>
      <c r="O7438" s="7">
        <v>155.30000000000001</v>
      </c>
    </row>
    <row r="7439" spans="1:22" x14ac:dyDescent="0.2">
      <c r="A7439">
        <v>7438</v>
      </c>
      <c r="B7439" s="1">
        <v>40953</v>
      </c>
      <c r="C7439" t="s">
        <v>28</v>
      </c>
      <c r="D7439" s="7">
        <v>212</v>
      </c>
      <c r="E7439" s="7">
        <v>32</v>
      </c>
      <c r="F7439" s="7">
        <f t="shared" si="116"/>
        <v>3</v>
      </c>
      <c r="G7439" s="7" t="str">
        <f>LOOKUP(H7439,[1]startdates!$A$2:$A$10,[1]startdates!$B$2:$B$10)</f>
        <v>FMr</v>
      </c>
      <c r="H7439">
        <v>6</v>
      </c>
      <c r="I7439" s="7">
        <v>659.3</v>
      </c>
      <c r="K7439" s="7">
        <v>631.29999999999995</v>
      </c>
      <c r="M7439" s="7">
        <v>332.7</v>
      </c>
      <c r="N7439" s="7">
        <v>194.4</v>
      </c>
      <c r="O7439" s="7">
        <v>158.4</v>
      </c>
    </row>
    <row r="7440" spans="1:22" x14ac:dyDescent="0.2">
      <c r="A7440">
        <v>7439</v>
      </c>
      <c r="B7440" s="1">
        <v>40953</v>
      </c>
      <c r="C7440" t="s">
        <v>28</v>
      </c>
      <c r="D7440" s="7">
        <v>212</v>
      </c>
      <c r="E7440" s="7">
        <v>32</v>
      </c>
      <c r="F7440" s="7">
        <f t="shared" si="116"/>
        <v>3</v>
      </c>
      <c r="G7440" s="7" t="str">
        <f>LOOKUP(H7440,[1]startdates!$A$2:$A$10,[1]startdates!$B$2:$B$10)</f>
        <v>FMr</v>
      </c>
      <c r="H7440">
        <v>6</v>
      </c>
      <c r="I7440" s="7">
        <v>548.6</v>
      </c>
      <c r="M7440" s="7">
        <v>374.9</v>
      </c>
      <c r="N7440" s="7">
        <v>211.3</v>
      </c>
      <c r="O7440" s="7">
        <v>177.1</v>
      </c>
    </row>
    <row r="7441" spans="1:22" x14ac:dyDescent="0.2">
      <c r="A7441">
        <v>7440</v>
      </c>
      <c r="B7441" s="1">
        <v>40953</v>
      </c>
      <c r="C7441" t="s">
        <v>28</v>
      </c>
      <c r="D7441" s="7">
        <v>212</v>
      </c>
      <c r="E7441" s="7">
        <v>32</v>
      </c>
      <c r="F7441" s="7">
        <f t="shared" si="116"/>
        <v>3</v>
      </c>
      <c r="G7441" s="7" t="str">
        <f>LOOKUP(H7441,[1]startdates!$A$2:$A$10,[1]startdates!$B$2:$B$10)</f>
        <v>FMr</v>
      </c>
      <c r="H7441">
        <v>6</v>
      </c>
      <c r="I7441" s="7">
        <v>643.79999999999995</v>
      </c>
      <c r="M7441" s="7">
        <v>375.8</v>
      </c>
      <c r="N7441" s="7">
        <v>210.7</v>
      </c>
      <c r="O7441" s="7">
        <v>165.7</v>
      </c>
    </row>
    <row r="7442" spans="1:22" x14ac:dyDescent="0.2">
      <c r="A7442">
        <v>7441</v>
      </c>
      <c r="B7442" s="1">
        <v>40953</v>
      </c>
      <c r="C7442" t="s">
        <v>28</v>
      </c>
      <c r="D7442" s="7">
        <v>212</v>
      </c>
      <c r="E7442" s="7">
        <v>32</v>
      </c>
      <c r="F7442" s="7">
        <f t="shared" si="116"/>
        <v>3</v>
      </c>
      <c r="G7442" s="7" t="str">
        <f>LOOKUP(H7442,[1]startdates!$A$2:$A$10,[1]startdates!$B$2:$B$10)</f>
        <v>FMr</v>
      </c>
      <c r="H7442">
        <v>6</v>
      </c>
      <c r="I7442" s="7">
        <v>525.9</v>
      </c>
      <c r="M7442" s="7">
        <v>309</v>
      </c>
      <c r="N7442" s="7">
        <v>235.5</v>
      </c>
      <c r="O7442" s="7">
        <v>162.4</v>
      </c>
    </row>
    <row r="7443" spans="1:22" x14ac:dyDescent="0.2">
      <c r="A7443">
        <v>7442</v>
      </c>
      <c r="B7443" s="1">
        <v>40953</v>
      </c>
      <c r="C7443" t="s">
        <v>24</v>
      </c>
      <c r="D7443" s="7">
        <v>212</v>
      </c>
      <c r="E7443" s="7">
        <v>32</v>
      </c>
      <c r="F7443" s="7">
        <f t="shared" si="116"/>
        <v>3</v>
      </c>
      <c r="G7443" s="7" t="str">
        <f>LOOKUP(H7443,[1]startdates!$A$2:$A$10,[1]startdates!$B$2:$B$10)</f>
        <v>FMr</v>
      </c>
      <c r="H7443">
        <v>7</v>
      </c>
      <c r="I7443" s="7">
        <v>646.20000000000005</v>
      </c>
      <c r="J7443" s="7">
        <v>426.1</v>
      </c>
      <c r="K7443" s="7">
        <v>636</v>
      </c>
      <c r="L7443" s="7">
        <v>490.7</v>
      </c>
      <c r="M7443" s="7">
        <v>310.39999999999998</v>
      </c>
      <c r="N7443" s="7">
        <v>194.3</v>
      </c>
      <c r="O7443" s="7">
        <v>180.7</v>
      </c>
      <c r="P7443" s="7">
        <v>447.9</v>
      </c>
      <c r="Q7443" s="7">
        <v>359.5</v>
      </c>
      <c r="V7443" s="7">
        <v>582.20000000000005</v>
      </c>
    </row>
    <row r="7444" spans="1:22" x14ac:dyDescent="0.2">
      <c r="A7444">
        <v>7443</v>
      </c>
      <c r="B7444" s="1">
        <v>40953</v>
      </c>
      <c r="C7444" t="s">
        <v>24</v>
      </c>
      <c r="D7444" s="7">
        <v>212</v>
      </c>
      <c r="E7444" s="7">
        <v>32</v>
      </c>
      <c r="F7444" s="7">
        <f t="shared" si="116"/>
        <v>3</v>
      </c>
      <c r="G7444" s="7" t="str">
        <f>LOOKUP(H7444,[1]startdates!$A$2:$A$10,[1]startdates!$B$2:$B$10)</f>
        <v>FMr</v>
      </c>
      <c r="H7444">
        <v>7</v>
      </c>
      <c r="I7444" s="7">
        <v>586.79999999999995</v>
      </c>
      <c r="J7444" s="7">
        <v>474.1</v>
      </c>
      <c r="K7444" s="7">
        <v>578.20000000000005</v>
      </c>
      <c r="L7444" s="7">
        <v>419.2</v>
      </c>
      <c r="M7444" s="7">
        <v>348.4</v>
      </c>
      <c r="N7444" s="7">
        <v>238.9</v>
      </c>
      <c r="O7444" s="7">
        <v>175.5</v>
      </c>
      <c r="P7444" s="7">
        <v>461.1</v>
      </c>
      <c r="V7444" s="7">
        <v>412.6</v>
      </c>
    </row>
    <row r="7445" spans="1:22" x14ac:dyDescent="0.2">
      <c r="A7445">
        <v>7444</v>
      </c>
      <c r="B7445" s="1">
        <v>40953</v>
      </c>
      <c r="C7445" t="s">
        <v>24</v>
      </c>
      <c r="D7445" s="7">
        <v>212</v>
      </c>
      <c r="E7445" s="7">
        <v>32</v>
      </c>
      <c r="F7445" s="7">
        <f t="shared" si="116"/>
        <v>3</v>
      </c>
      <c r="G7445" s="7" t="str">
        <f>LOOKUP(H7445,[1]startdates!$A$2:$A$10,[1]startdates!$B$2:$B$10)</f>
        <v>FMr</v>
      </c>
      <c r="H7445">
        <v>7</v>
      </c>
      <c r="I7445" s="7">
        <v>563.29999999999995</v>
      </c>
      <c r="K7445" s="7">
        <v>438.3</v>
      </c>
      <c r="L7445" s="7">
        <v>406.7</v>
      </c>
      <c r="M7445" s="7">
        <v>355.4</v>
      </c>
      <c r="N7445" s="7">
        <v>234.3</v>
      </c>
      <c r="O7445" s="7">
        <v>178.1</v>
      </c>
    </row>
    <row r="7446" spans="1:22" x14ac:dyDescent="0.2">
      <c r="A7446">
        <v>7445</v>
      </c>
      <c r="B7446" s="1">
        <v>40953</v>
      </c>
      <c r="C7446" t="s">
        <v>24</v>
      </c>
      <c r="D7446" s="7">
        <v>212</v>
      </c>
      <c r="E7446" s="7">
        <v>32</v>
      </c>
      <c r="F7446" s="7">
        <f t="shared" si="116"/>
        <v>3</v>
      </c>
      <c r="G7446" s="7" t="str">
        <f>LOOKUP(H7446,[1]startdates!$A$2:$A$10,[1]startdates!$B$2:$B$10)</f>
        <v>FMr</v>
      </c>
      <c r="H7446">
        <v>7</v>
      </c>
      <c r="I7446" s="7">
        <v>582.1</v>
      </c>
      <c r="K7446" s="7">
        <v>504.4</v>
      </c>
      <c r="M7446" s="7">
        <v>333.8</v>
      </c>
      <c r="N7446" s="7">
        <v>226.1</v>
      </c>
      <c r="O7446" s="7">
        <v>153.6</v>
      </c>
    </row>
    <row r="7447" spans="1:22" x14ac:dyDescent="0.2">
      <c r="A7447">
        <v>7446</v>
      </c>
      <c r="B7447" s="1">
        <v>40953</v>
      </c>
      <c r="C7447" t="s">
        <v>24</v>
      </c>
      <c r="D7447" s="7">
        <v>212</v>
      </c>
      <c r="E7447" s="7">
        <v>32</v>
      </c>
      <c r="F7447" s="7">
        <f t="shared" si="116"/>
        <v>3</v>
      </c>
      <c r="G7447" s="7" t="str">
        <f>LOOKUP(H7447,[1]startdates!$A$2:$A$10,[1]startdates!$B$2:$B$10)</f>
        <v>FMr</v>
      </c>
      <c r="H7447">
        <v>7</v>
      </c>
      <c r="I7447" s="7">
        <v>639.70000000000005</v>
      </c>
      <c r="K7447" s="7">
        <v>471.4</v>
      </c>
      <c r="M7447" s="7">
        <v>315.7</v>
      </c>
      <c r="N7447" s="7">
        <v>252.5</v>
      </c>
      <c r="O7447" s="7">
        <v>157</v>
      </c>
    </row>
    <row r="7448" spans="1:22" x14ac:dyDescent="0.2">
      <c r="A7448">
        <v>7447</v>
      </c>
      <c r="B7448" s="1">
        <v>40953</v>
      </c>
      <c r="C7448" t="s">
        <v>24</v>
      </c>
      <c r="D7448" s="7">
        <v>212</v>
      </c>
      <c r="E7448" s="7">
        <v>32</v>
      </c>
      <c r="F7448" s="7">
        <f t="shared" si="116"/>
        <v>3</v>
      </c>
      <c r="G7448" s="7" t="str">
        <f>LOOKUP(H7448,[1]startdates!$A$2:$A$10,[1]startdates!$B$2:$B$10)</f>
        <v>FMr</v>
      </c>
      <c r="H7448">
        <v>7</v>
      </c>
      <c r="I7448" s="7">
        <v>579.6</v>
      </c>
      <c r="K7448" s="7">
        <v>592.9</v>
      </c>
      <c r="M7448" s="7">
        <v>368</v>
      </c>
      <c r="N7448" s="7">
        <v>262.2</v>
      </c>
      <c r="O7448" s="7">
        <v>145.6</v>
      </c>
    </row>
    <row r="7449" spans="1:22" x14ac:dyDescent="0.2">
      <c r="A7449">
        <v>7448</v>
      </c>
      <c r="B7449" s="1">
        <v>40953</v>
      </c>
      <c r="C7449" t="s">
        <v>24</v>
      </c>
      <c r="D7449" s="7">
        <v>212</v>
      </c>
      <c r="E7449" s="7">
        <v>32</v>
      </c>
      <c r="F7449" s="7">
        <f t="shared" si="116"/>
        <v>3</v>
      </c>
      <c r="G7449" s="7" t="str">
        <f>LOOKUP(H7449,[1]startdates!$A$2:$A$10,[1]startdates!$B$2:$B$10)</f>
        <v>FMr</v>
      </c>
      <c r="H7449">
        <v>7</v>
      </c>
      <c r="I7449" s="7">
        <v>596.6</v>
      </c>
      <c r="N7449" s="7">
        <v>230.7</v>
      </c>
      <c r="O7449" s="7">
        <v>145.6</v>
      </c>
    </row>
    <row r="7450" spans="1:22" x14ac:dyDescent="0.2">
      <c r="A7450">
        <v>7449</v>
      </c>
      <c r="B7450" s="1">
        <v>40953</v>
      </c>
      <c r="C7450" t="s">
        <v>24</v>
      </c>
      <c r="D7450" s="7">
        <v>212</v>
      </c>
      <c r="E7450" s="7">
        <v>32</v>
      </c>
      <c r="F7450" s="7">
        <f t="shared" si="116"/>
        <v>3</v>
      </c>
      <c r="G7450" s="7" t="str">
        <f>LOOKUP(H7450,[1]startdates!$A$2:$A$10,[1]startdates!$B$2:$B$10)</f>
        <v>FMr</v>
      </c>
      <c r="H7450">
        <v>7</v>
      </c>
      <c r="I7450" s="7">
        <v>622.29999999999995</v>
      </c>
      <c r="N7450" s="7">
        <v>244.5</v>
      </c>
      <c r="O7450" s="7">
        <v>165.5</v>
      </c>
    </row>
    <row r="7451" spans="1:22" x14ac:dyDescent="0.2">
      <c r="A7451">
        <v>7450</v>
      </c>
      <c r="B7451" s="1">
        <v>40953</v>
      </c>
      <c r="C7451" t="s">
        <v>24</v>
      </c>
      <c r="D7451" s="7">
        <v>212</v>
      </c>
      <c r="E7451" s="7">
        <v>32</v>
      </c>
      <c r="F7451" s="7">
        <f t="shared" si="116"/>
        <v>3</v>
      </c>
      <c r="G7451" s="7" t="str">
        <f>LOOKUP(H7451,[1]startdates!$A$2:$A$10,[1]startdates!$B$2:$B$10)</f>
        <v>FMr</v>
      </c>
      <c r="H7451">
        <v>7</v>
      </c>
      <c r="I7451" s="7">
        <v>507.7</v>
      </c>
      <c r="N7451" s="7">
        <v>222.4</v>
      </c>
      <c r="O7451" s="7">
        <v>151.1</v>
      </c>
    </row>
    <row r="7452" spans="1:22" x14ac:dyDescent="0.2">
      <c r="A7452">
        <v>7451</v>
      </c>
      <c r="B7452" s="1">
        <v>40953</v>
      </c>
      <c r="C7452" t="s">
        <v>24</v>
      </c>
      <c r="D7452" s="7">
        <v>212</v>
      </c>
      <c r="E7452" s="7">
        <v>32</v>
      </c>
      <c r="F7452" s="7">
        <f t="shared" si="116"/>
        <v>3</v>
      </c>
      <c r="G7452" s="7" t="str">
        <f>LOOKUP(H7452,[1]startdates!$A$2:$A$10,[1]startdates!$B$2:$B$10)</f>
        <v>FMr</v>
      </c>
      <c r="H7452">
        <v>7</v>
      </c>
      <c r="I7452" s="7">
        <v>578</v>
      </c>
      <c r="N7452" s="7">
        <v>233</v>
      </c>
      <c r="O7452" s="7">
        <v>179.8</v>
      </c>
    </row>
    <row r="7453" spans="1:22" x14ac:dyDescent="0.2">
      <c r="A7453">
        <v>7452</v>
      </c>
      <c r="B7453" s="1">
        <v>40953</v>
      </c>
      <c r="C7453" t="s">
        <v>24</v>
      </c>
      <c r="D7453" s="7">
        <v>212</v>
      </c>
      <c r="E7453" s="7">
        <v>32</v>
      </c>
      <c r="F7453" s="7">
        <f t="shared" si="116"/>
        <v>3</v>
      </c>
      <c r="G7453" s="7" t="str">
        <f>LOOKUP(H7453,[1]startdates!$A$2:$A$10,[1]startdates!$B$2:$B$10)</f>
        <v>FMr</v>
      </c>
      <c r="H7453">
        <v>7</v>
      </c>
      <c r="I7453" s="7">
        <v>629</v>
      </c>
    </row>
    <row r="7454" spans="1:22" x14ac:dyDescent="0.2">
      <c r="A7454">
        <v>7453</v>
      </c>
      <c r="B7454" s="1">
        <v>40953</v>
      </c>
      <c r="C7454" t="s">
        <v>28</v>
      </c>
      <c r="D7454" s="7">
        <v>212</v>
      </c>
      <c r="E7454" s="7">
        <v>32</v>
      </c>
      <c r="F7454" s="7">
        <f t="shared" si="116"/>
        <v>3</v>
      </c>
      <c r="G7454" s="7" t="str">
        <f>LOOKUP(H7454,[1]startdates!$A$2:$A$10,[1]startdates!$B$2:$B$10)</f>
        <v>C</v>
      </c>
      <c r="H7454">
        <v>8</v>
      </c>
      <c r="I7454" s="7">
        <v>565.5</v>
      </c>
      <c r="J7454" s="7">
        <v>532</v>
      </c>
      <c r="K7454" s="7">
        <v>505.7</v>
      </c>
      <c r="L7454" s="7">
        <v>425.1</v>
      </c>
      <c r="M7454" s="7">
        <v>315.7</v>
      </c>
      <c r="N7454" s="7">
        <v>279.89999999999998</v>
      </c>
      <c r="O7454" s="7">
        <v>158.1</v>
      </c>
      <c r="P7454" s="7">
        <v>420.3</v>
      </c>
      <c r="R7454" s="7">
        <v>238.9</v>
      </c>
    </row>
    <row r="7455" spans="1:22" x14ac:dyDescent="0.2">
      <c r="A7455">
        <v>7454</v>
      </c>
      <c r="B7455" s="1">
        <v>40953</v>
      </c>
      <c r="C7455" t="s">
        <v>28</v>
      </c>
      <c r="D7455" s="7">
        <v>212</v>
      </c>
      <c r="E7455" s="7">
        <v>32</v>
      </c>
      <c r="F7455" s="7">
        <f t="shared" si="116"/>
        <v>3</v>
      </c>
      <c r="G7455" s="7" t="str">
        <f>LOOKUP(H7455,[1]startdates!$A$2:$A$10,[1]startdates!$B$2:$B$10)</f>
        <v>C</v>
      </c>
      <c r="H7455">
        <v>8</v>
      </c>
      <c r="I7455" s="7">
        <v>524.1</v>
      </c>
      <c r="J7455" s="7">
        <v>533.5</v>
      </c>
      <c r="K7455" s="7">
        <v>573.6</v>
      </c>
      <c r="L7455" s="7">
        <v>411.7</v>
      </c>
      <c r="M7455" s="7">
        <v>305.10000000000002</v>
      </c>
      <c r="N7455" s="7">
        <v>257.39999999999998</v>
      </c>
      <c r="O7455" s="7">
        <v>166.5</v>
      </c>
      <c r="P7455" s="7">
        <v>486.7</v>
      </c>
      <c r="R7455" s="7">
        <v>273.2</v>
      </c>
    </row>
    <row r="7456" spans="1:22" x14ac:dyDescent="0.2">
      <c r="A7456">
        <v>7455</v>
      </c>
      <c r="B7456" s="1">
        <v>40953</v>
      </c>
      <c r="C7456" t="s">
        <v>28</v>
      </c>
      <c r="D7456" s="7">
        <v>212</v>
      </c>
      <c r="E7456" s="7">
        <v>32</v>
      </c>
      <c r="F7456" s="7">
        <f t="shared" si="116"/>
        <v>3</v>
      </c>
      <c r="G7456" s="7" t="str">
        <f>LOOKUP(H7456,[1]startdates!$A$2:$A$10,[1]startdates!$B$2:$B$10)</f>
        <v>C</v>
      </c>
      <c r="H7456">
        <v>8</v>
      </c>
      <c r="I7456" s="7">
        <v>648.9</v>
      </c>
      <c r="J7456" s="7">
        <v>557.20000000000005</v>
      </c>
      <c r="K7456" s="7">
        <v>529.20000000000005</v>
      </c>
      <c r="M7456" s="7">
        <v>369.7</v>
      </c>
      <c r="N7456" s="7">
        <v>195.3</v>
      </c>
      <c r="O7456" s="7">
        <v>179.8</v>
      </c>
    </row>
    <row r="7457" spans="1:18" x14ac:dyDescent="0.2">
      <c r="A7457">
        <v>7456</v>
      </c>
      <c r="B7457" s="1">
        <v>40953</v>
      </c>
      <c r="C7457" t="s">
        <v>28</v>
      </c>
      <c r="D7457" s="7">
        <v>212</v>
      </c>
      <c r="E7457" s="7">
        <v>32</v>
      </c>
      <c r="F7457" s="7">
        <f t="shared" si="116"/>
        <v>3</v>
      </c>
      <c r="G7457" s="7" t="str">
        <f>LOOKUP(H7457,[1]startdates!$A$2:$A$10,[1]startdates!$B$2:$B$10)</f>
        <v>C</v>
      </c>
      <c r="H7457">
        <v>8</v>
      </c>
      <c r="I7457" s="7">
        <v>603</v>
      </c>
      <c r="J7457" s="7">
        <v>546.9</v>
      </c>
      <c r="K7457" s="7">
        <v>662.8</v>
      </c>
      <c r="M7457" s="7">
        <v>323.7</v>
      </c>
      <c r="N7457" s="7">
        <v>207.5</v>
      </c>
      <c r="O7457" s="7">
        <v>157.4</v>
      </c>
    </row>
    <row r="7458" spans="1:18" x14ac:dyDescent="0.2">
      <c r="A7458">
        <v>7457</v>
      </c>
      <c r="B7458" s="1">
        <v>40953</v>
      </c>
      <c r="C7458" t="s">
        <v>28</v>
      </c>
      <c r="D7458" s="7">
        <v>212</v>
      </c>
      <c r="E7458" s="7">
        <v>32</v>
      </c>
      <c r="F7458" s="7">
        <f t="shared" si="116"/>
        <v>3</v>
      </c>
      <c r="G7458" s="7" t="str">
        <f>LOOKUP(H7458,[1]startdates!$A$2:$A$10,[1]startdates!$B$2:$B$10)</f>
        <v>C</v>
      </c>
      <c r="H7458">
        <v>8</v>
      </c>
      <c r="I7458" s="7">
        <v>721.7</v>
      </c>
      <c r="J7458" s="7">
        <v>505.1</v>
      </c>
      <c r="K7458" s="7">
        <v>532.29999999999995</v>
      </c>
      <c r="M7458" s="7">
        <v>348.1</v>
      </c>
      <c r="N7458" s="7">
        <v>250.2</v>
      </c>
      <c r="O7458" s="7">
        <v>166.7</v>
      </c>
    </row>
    <row r="7459" spans="1:18" x14ac:dyDescent="0.2">
      <c r="A7459">
        <v>7458</v>
      </c>
      <c r="B7459" s="1">
        <v>40953</v>
      </c>
      <c r="C7459" t="s">
        <v>28</v>
      </c>
      <c r="D7459" s="7">
        <v>212</v>
      </c>
      <c r="E7459" s="7">
        <v>32</v>
      </c>
      <c r="F7459" s="7">
        <f t="shared" si="116"/>
        <v>3</v>
      </c>
      <c r="G7459" s="7" t="str">
        <f>LOOKUP(H7459,[1]startdates!$A$2:$A$10,[1]startdates!$B$2:$B$10)</f>
        <v>C</v>
      </c>
      <c r="H7459">
        <v>8</v>
      </c>
      <c r="I7459" s="7">
        <v>611.5</v>
      </c>
      <c r="J7459" s="7">
        <v>574.5</v>
      </c>
      <c r="M7459" s="7">
        <v>329.7</v>
      </c>
      <c r="N7459" s="7">
        <v>254.3</v>
      </c>
      <c r="O7459" s="7">
        <v>173.1</v>
      </c>
    </row>
    <row r="7460" spans="1:18" x14ac:dyDescent="0.2">
      <c r="A7460">
        <v>7459</v>
      </c>
      <c r="B7460" s="1">
        <v>40953</v>
      </c>
      <c r="C7460" t="s">
        <v>28</v>
      </c>
      <c r="D7460" s="7">
        <v>212</v>
      </c>
      <c r="E7460" s="7">
        <v>32</v>
      </c>
      <c r="F7460" s="7">
        <f t="shared" si="116"/>
        <v>3</v>
      </c>
      <c r="G7460" s="7" t="str">
        <f>LOOKUP(H7460,[1]startdates!$A$2:$A$10,[1]startdates!$B$2:$B$10)</f>
        <v>C</v>
      </c>
      <c r="H7460">
        <v>8</v>
      </c>
      <c r="I7460" s="7">
        <v>589.20000000000005</v>
      </c>
      <c r="J7460" s="7">
        <v>515.9</v>
      </c>
      <c r="M7460" s="7">
        <v>360.9</v>
      </c>
      <c r="N7460" s="7">
        <v>231.7</v>
      </c>
      <c r="O7460" s="7">
        <v>180.6</v>
      </c>
    </row>
    <row r="7461" spans="1:18" x14ac:dyDescent="0.2">
      <c r="A7461">
        <v>7460</v>
      </c>
      <c r="B7461" s="1">
        <v>40953</v>
      </c>
      <c r="C7461" t="s">
        <v>28</v>
      </c>
      <c r="D7461" s="7">
        <v>212</v>
      </c>
      <c r="E7461" s="7">
        <v>32</v>
      </c>
      <c r="F7461" s="7">
        <f t="shared" si="116"/>
        <v>3</v>
      </c>
      <c r="G7461" s="7" t="str">
        <f>LOOKUP(H7461,[1]startdates!$A$2:$A$10,[1]startdates!$B$2:$B$10)</f>
        <v>C</v>
      </c>
      <c r="H7461">
        <v>8</v>
      </c>
      <c r="I7461" s="7">
        <v>620.70000000000005</v>
      </c>
      <c r="M7461" s="7">
        <v>343.9</v>
      </c>
      <c r="N7461" s="7">
        <v>206.5</v>
      </c>
      <c r="O7461" s="7">
        <v>171.3</v>
      </c>
    </row>
    <row r="7462" spans="1:18" x14ac:dyDescent="0.2">
      <c r="A7462">
        <v>7461</v>
      </c>
      <c r="B7462" s="1">
        <v>40953</v>
      </c>
      <c r="C7462" t="s">
        <v>28</v>
      </c>
      <c r="D7462" s="7">
        <v>212</v>
      </c>
      <c r="E7462" s="7">
        <v>32</v>
      </c>
      <c r="F7462" s="7">
        <f t="shared" si="116"/>
        <v>3</v>
      </c>
      <c r="G7462" s="7" t="str">
        <f>LOOKUP(H7462,[1]startdates!$A$2:$A$10,[1]startdates!$B$2:$B$10)</f>
        <v>C</v>
      </c>
      <c r="H7462">
        <v>8</v>
      </c>
      <c r="I7462" s="7">
        <v>639.20000000000005</v>
      </c>
      <c r="M7462" s="7">
        <v>371.3</v>
      </c>
      <c r="N7462" s="7">
        <v>196.1</v>
      </c>
      <c r="O7462" s="7">
        <v>170</v>
      </c>
    </row>
    <row r="7463" spans="1:18" x14ac:dyDescent="0.2">
      <c r="A7463">
        <v>7462</v>
      </c>
      <c r="B7463" s="1">
        <v>40953</v>
      </c>
      <c r="C7463" t="s">
        <v>28</v>
      </c>
      <c r="D7463" s="7">
        <v>212</v>
      </c>
      <c r="E7463" s="7">
        <v>32</v>
      </c>
      <c r="F7463" s="7">
        <f t="shared" si="116"/>
        <v>3</v>
      </c>
      <c r="G7463" s="7" t="str">
        <f>LOOKUP(H7463,[1]startdates!$A$2:$A$10,[1]startdates!$B$2:$B$10)</f>
        <v>C</v>
      </c>
      <c r="H7463">
        <v>8</v>
      </c>
      <c r="I7463" s="7">
        <v>628.79999999999995</v>
      </c>
      <c r="M7463" s="7">
        <v>336</v>
      </c>
      <c r="N7463" s="7">
        <v>265.3</v>
      </c>
      <c r="O7463" s="7">
        <v>149.5</v>
      </c>
    </row>
    <row r="7464" spans="1:18" x14ac:dyDescent="0.2">
      <c r="A7464">
        <v>7463</v>
      </c>
      <c r="B7464" s="1">
        <v>40953</v>
      </c>
      <c r="C7464" t="s">
        <v>24</v>
      </c>
      <c r="D7464" s="7">
        <v>212</v>
      </c>
      <c r="E7464" s="7">
        <v>32</v>
      </c>
      <c r="F7464" s="7">
        <f t="shared" si="116"/>
        <v>3</v>
      </c>
      <c r="G7464" s="7" t="str">
        <f>LOOKUP(H7464,[1]startdates!$A$2:$A$10,[1]startdates!$B$2:$B$10)</f>
        <v>FMr</v>
      </c>
      <c r="H7464">
        <v>9</v>
      </c>
      <c r="I7464" s="7">
        <v>552.4</v>
      </c>
      <c r="J7464" s="7">
        <v>408.9</v>
      </c>
      <c r="K7464" s="7">
        <v>467.2</v>
      </c>
      <c r="L7464" s="7">
        <v>428.1</v>
      </c>
      <c r="M7464" s="7">
        <v>339.2</v>
      </c>
      <c r="N7464" s="7">
        <v>292.7</v>
      </c>
      <c r="O7464" s="7">
        <v>174.6</v>
      </c>
      <c r="P7464" s="7">
        <v>416.1</v>
      </c>
      <c r="Q7464" s="7">
        <v>397.8</v>
      </c>
      <c r="R7464" s="7">
        <v>235.7</v>
      </c>
    </row>
    <row r="7465" spans="1:18" x14ac:dyDescent="0.2">
      <c r="A7465">
        <v>7464</v>
      </c>
      <c r="B7465" s="1">
        <v>40953</v>
      </c>
      <c r="C7465" t="s">
        <v>24</v>
      </c>
      <c r="D7465" s="7">
        <v>212</v>
      </c>
      <c r="E7465" s="7">
        <v>32</v>
      </c>
      <c r="F7465" s="7">
        <f t="shared" ref="F7465:F7528" si="117">WEEKDAY(B7465)</f>
        <v>3</v>
      </c>
      <c r="G7465" s="7" t="str">
        <f>LOOKUP(H7465,[1]startdates!$A$2:$A$10,[1]startdates!$B$2:$B$10)</f>
        <v>FMr</v>
      </c>
      <c r="H7465">
        <v>9</v>
      </c>
      <c r="I7465" s="7">
        <v>607.4</v>
      </c>
      <c r="K7465" s="7">
        <v>484.3</v>
      </c>
      <c r="L7465" s="7">
        <v>434.8</v>
      </c>
      <c r="M7465" s="7">
        <v>357.6</v>
      </c>
      <c r="N7465" s="7">
        <v>205.4</v>
      </c>
      <c r="O7465" s="7">
        <v>184.9</v>
      </c>
      <c r="P7465" s="7">
        <v>479.3</v>
      </c>
      <c r="R7465" s="7">
        <v>284</v>
      </c>
    </row>
    <row r="7466" spans="1:18" x14ac:dyDescent="0.2">
      <c r="A7466">
        <v>7465</v>
      </c>
      <c r="B7466" s="1">
        <v>40953</v>
      </c>
      <c r="C7466" t="s">
        <v>24</v>
      </c>
      <c r="D7466" s="7">
        <v>212</v>
      </c>
      <c r="E7466" s="7">
        <v>32</v>
      </c>
      <c r="F7466" s="7">
        <f t="shared" si="117"/>
        <v>3</v>
      </c>
      <c r="G7466" s="7" t="str">
        <f>LOOKUP(H7466,[1]startdates!$A$2:$A$10,[1]startdates!$B$2:$B$10)</f>
        <v>FMr</v>
      </c>
      <c r="H7466">
        <v>9</v>
      </c>
      <c r="I7466" s="7">
        <v>624.1</v>
      </c>
      <c r="K7466" s="7">
        <v>540.4</v>
      </c>
      <c r="L7466" s="7">
        <v>424.5</v>
      </c>
      <c r="M7466" s="7">
        <v>316.60000000000002</v>
      </c>
      <c r="N7466" s="7">
        <v>235.7</v>
      </c>
      <c r="O7466" s="7">
        <v>188.7</v>
      </c>
      <c r="P7466" s="7">
        <v>424.2</v>
      </c>
    </row>
    <row r="7467" spans="1:18" x14ac:dyDescent="0.2">
      <c r="A7467">
        <v>7466</v>
      </c>
      <c r="B7467" s="1">
        <v>40953</v>
      </c>
      <c r="C7467" t="s">
        <v>24</v>
      </c>
      <c r="D7467" s="7">
        <v>212</v>
      </c>
      <c r="E7467" s="7">
        <v>32</v>
      </c>
      <c r="F7467" s="7">
        <f t="shared" si="117"/>
        <v>3</v>
      </c>
      <c r="G7467" s="7" t="str">
        <f>LOOKUP(H7467,[1]startdates!$A$2:$A$10,[1]startdates!$B$2:$B$10)</f>
        <v>FMr</v>
      </c>
      <c r="H7467">
        <v>9</v>
      </c>
      <c r="I7467" s="7">
        <v>608.79999999999995</v>
      </c>
      <c r="K7467" s="7">
        <v>505.1</v>
      </c>
      <c r="M7467" s="7">
        <v>375.5</v>
      </c>
      <c r="N7467" s="7">
        <v>193.8</v>
      </c>
      <c r="O7467" s="7">
        <v>170.4</v>
      </c>
      <c r="P7467" s="7">
        <v>449.4</v>
      </c>
    </row>
    <row r="7468" spans="1:18" x14ac:dyDescent="0.2">
      <c r="A7468">
        <v>7467</v>
      </c>
      <c r="B7468" s="1">
        <v>40953</v>
      </c>
      <c r="C7468" t="s">
        <v>24</v>
      </c>
      <c r="D7468" s="7">
        <v>212</v>
      </c>
      <c r="E7468" s="7">
        <v>32</v>
      </c>
      <c r="F7468" s="7">
        <f t="shared" si="117"/>
        <v>3</v>
      </c>
      <c r="G7468" s="7" t="str">
        <f>LOOKUP(H7468,[1]startdates!$A$2:$A$10,[1]startdates!$B$2:$B$10)</f>
        <v>FMr</v>
      </c>
      <c r="H7468">
        <v>9</v>
      </c>
      <c r="I7468" s="7">
        <v>600.5</v>
      </c>
      <c r="K7468" s="7">
        <v>493.2</v>
      </c>
      <c r="M7468" s="7">
        <v>360.8</v>
      </c>
      <c r="N7468" s="7">
        <v>198.8</v>
      </c>
      <c r="O7468" s="7">
        <v>178.6</v>
      </c>
    </row>
    <row r="7469" spans="1:18" x14ac:dyDescent="0.2">
      <c r="A7469">
        <v>7468</v>
      </c>
      <c r="B7469" s="1">
        <v>40953</v>
      </c>
      <c r="C7469" t="s">
        <v>24</v>
      </c>
      <c r="D7469" s="7">
        <v>212</v>
      </c>
      <c r="E7469" s="7">
        <v>32</v>
      </c>
      <c r="F7469" s="7">
        <f t="shared" si="117"/>
        <v>3</v>
      </c>
      <c r="G7469" s="7" t="str">
        <f>LOOKUP(H7469,[1]startdates!$A$2:$A$10,[1]startdates!$B$2:$B$10)</f>
        <v>FMr</v>
      </c>
      <c r="H7469">
        <v>9</v>
      </c>
      <c r="I7469" s="7">
        <v>559.9</v>
      </c>
      <c r="K7469" s="7">
        <v>485.3</v>
      </c>
      <c r="M7469" s="7">
        <v>324.8</v>
      </c>
      <c r="N7469" s="7">
        <v>195.2</v>
      </c>
      <c r="O7469" s="7">
        <v>170.6</v>
      </c>
    </row>
    <row r="7470" spans="1:18" x14ac:dyDescent="0.2">
      <c r="A7470">
        <v>7469</v>
      </c>
      <c r="B7470" s="1">
        <v>40953</v>
      </c>
      <c r="C7470" t="s">
        <v>24</v>
      </c>
      <c r="D7470" s="7">
        <v>212</v>
      </c>
      <c r="E7470" s="7">
        <v>32</v>
      </c>
      <c r="F7470" s="7">
        <f t="shared" si="117"/>
        <v>3</v>
      </c>
      <c r="G7470" s="7" t="str">
        <f>LOOKUP(H7470,[1]startdates!$A$2:$A$10,[1]startdates!$B$2:$B$10)</f>
        <v>FMr</v>
      </c>
      <c r="H7470">
        <v>9</v>
      </c>
      <c r="I7470" s="7">
        <v>614.70000000000005</v>
      </c>
      <c r="M7470" s="7">
        <v>306.39999999999998</v>
      </c>
      <c r="N7470" s="7">
        <v>227</v>
      </c>
      <c r="O7470" s="7">
        <v>209.4</v>
      </c>
    </row>
    <row r="7471" spans="1:18" x14ac:dyDescent="0.2">
      <c r="A7471">
        <v>7470</v>
      </c>
      <c r="B7471" s="1">
        <v>40953</v>
      </c>
      <c r="C7471" t="s">
        <v>24</v>
      </c>
      <c r="D7471" s="7">
        <v>212</v>
      </c>
      <c r="E7471" s="7">
        <v>32</v>
      </c>
      <c r="F7471" s="7">
        <f t="shared" si="117"/>
        <v>3</v>
      </c>
      <c r="G7471" s="7" t="str">
        <f>LOOKUP(H7471,[1]startdates!$A$2:$A$10,[1]startdates!$B$2:$B$10)</f>
        <v>FMr</v>
      </c>
      <c r="H7471">
        <v>9</v>
      </c>
      <c r="I7471" s="7">
        <v>585.9</v>
      </c>
      <c r="M7471" s="7">
        <v>324.89999999999998</v>
      </c>
      <c r="N7471" s="7">
        <v>236.1</v>
      </c>
      <c r="O7471" s="7">
        <v>161.69999999999999</v>
      </c>
    </row>
    <row r="7472" spans="1:18" x14ac:dyDescent="0.2">
      <c r="A7472">
        <v>7471</v>
      </c>
      <c r="B7472" s="1">
        <v>40953</v>
      </c>
      <c r="C7472" t="s">
        <v>24</v>
      </c>
      <c r="D7472" s="7">
        <v>212</v>
      </c>
      <c r="E7472" s="7">
        <v>32</v>
      </c>
      <c r="F7472" s="7">
        <f t="shared" si="117"/>
        <v>3</v>
      </c>
      <c r="G7472" s="7" t="str">
        <f>LOOKUP(H7472,[1]startdates!$A$2:$A$10,[1]startdates!$B$2:$B$10)</f>
        <v>FMr</v>
      </c>
      <c r="H7472">
        <v>9</v>
      </c>
      <c r="I7472" s="7">
        <v>592.79999999999995</v>
      </c>
      <c r="M7472" s="7">
        <v>315.5</v>
      </c>
      <c r="N7472" s="7">
        <v>216.6</v>
      </c>
      <c r="O7472" s="7">
        <v>168.9</v>
      </c>
    </row>
    <row r="7473" spans="1:18" x14ac:dyDescent="0.2">
      <c r="A7473">
        <v>7472</v>
      </c>
      <c r="B7473" s="1">
        <v>40953</v>
      </c>
      <c r="C7473" t="s">
        <v>24</v>
      </c>
      <c r="D7473" s="7">
        <v>212</v>
      </c>
      <c r="E7473" s="7">
        <v>32</v>
      </c>
      <c r="F7473" s="7">
        <f t="shared" si="117"/>
        <v>3</v>
      </c>
      <c r="G7473" s="7" t="str">
        <f>LOOKUP(H7473,[1]startdates!$A$2:$A$10,[1]startdates!$B$2:$B$10)</f>
        <v>FMr</v>
      </c>
      <c r="H7473">
        <v>9</v>
      </c>
      <c r="I7473" s="7">
        <v>580.29999999999995</v>
      </c>
      <c r="M7473" s="7">
        <v>312.39999999999998</v>
      </c>
      <c r="N7473" s="7">
        <v>160.4</v>
      </c>
      <c r="O7473" s="7">
        <v>166.5</v>
      </c>
    </row>
    <row r="7474" spans="1:18" x14ac:dyDescent="0.2">
      <c r="A7474">
        <v>7473</v>
      </c>
      <c r="B7474" s="1">
        <v>40956</v>
      </c>
      <c r="C7474" t="s">
        <v>28</v>
      </c>
      <c r="D7474" s="7">
        <v>215</v>
      </c>
      <c r="E7474" s="7">
        <v>32</v>
      </c>
      <c r="F7474" s="7">
        <f t="shared" si="117"/>
        <v>6</v>
      </c>
      <c r="G7474" s="7" t="str">
        <f>LOOKUP(H7474,[1]startdates!$A$2:$A$10,[1]startdates!$B$2:$B$10)</f>
        <v>SMr</v>
      </c>
      <c r="H7474">
        <v>1</v>
      </c>
      <c r="I7474" s="7">
        <v>651.70000000000005</v>
      </c>
      <c r="J7474" s="7">
        <v>523</v>
      </c>
      <c r="K7474" s="7">
        <v>548.4</v>
      </c>
      <c r="L7474" s="7">
        <v>408.7</v>
      </c>
      <c r="M7474" s="7">
        <v>297.2</v>
      </c>
      <c r="N7474" s="7">
        <v>207.8</v>
      </c>
      <c r="O7474" s="7">
        <v>138.4</v>
      </c>
      <c r="P7474" s="7">
        <v>465.7</v>
      </c>
      <c r="Q7474" s="7">
        <v>304.60000000000002</v>
      </c>
      <c r="R7474" s="7">
        <v>247.1</v>
      </c>
    </row>
    <row r="7475" spans="1:18" x14ac:dyDescent="0.2">
      <c r="A7475">
        <v>7474</v>
      </c>
      <c r="B7475" s="1">
        <v>40956</v>
      </c>
      <c r="C7475" t="s">
        <v>28</v>
      </c>
      <c r="D7475" s="7">
        <v>215</v>
      </c>
      <c r="E7475" s="7">
        <v>32</v>
      </c>
      <c r="F7475" s="7">
        <f t="shared" si="117"/>
        <v>6</v>
      </c>
      <c r="G7475" s="7" t="str">
        <f>LOOKUP(H7475,[1]startdates!$A$2:$A$10,[1]startdates!$B$2:$B$10)</f>
        <v>SMr</v>
      </c>
      <c r="H7475">
        <v>1</v>
      </c>
      <c r="I7475" s="7">
        <v>517.70000000000005</v>
      </c>
      <c r="J7475" s="7">
        <v>440.3</v>
      </c>
      <c r="K7475" s="7">
        <v>483.1</v>
      </c>
      <c r="L7475" s="7">
        <v>397.8</v>
      </c>
      <c r="M7475" s="7">
        <v>361.1</v>
      </c>
      <c r="N7475" s="7">
        <v>184.9</v>
      </c>
      <c r="O7475" s="7">
        <v>173.7</v>
      </c>
      <c r="P7475" s="7">
        <v>452.1</v>
      </c>
      <c r="Q7475" s="7">
        <v>309.89999999999998</v>
      </c>
    </row>
    <row r="7476" spans="1:18" x14ac:dyDescent="0.2">
      <c r="A7476">
        <v>7475</v>
      </c>
      <c r="B7476" s="1">
        <v>40956</v>
      </c>
      <c r="C7476" t="s">
        <v>28</v>
      </c>
      <c r="D7476" s="7">
        <v>215</v>
      </c>
      <c r="E7476" s="7">
        <v>32</v>
      </c>
      <c r="F7476" s="7">
        <f t="shared" si="117"/>
        <v>6</v>
      </c>
      <c r="G7476" s="7" t="str">
        <f>LOOKUP(H7476,[1]startdates!$A$2:$A$10,[1]startdates!$B$2:$B$10)</f>
        <v>SMr</v>
      </c>
      <c r="H7476">
        <v>1</v>
      </c>
      <c r="I7476" s="7">
        <v>510.7</v>
      </c>
      <c r="J7476" s="7">
        <v>464.3</v>
      </c>
      <c r="K7476" s="7">
        <v>550.1</v>
      </c>
      <c r="L7476" s="7">
        <v>428.1</v>
      </c>
      <c r="M7476" s="7">
        <v>304.3</v>
      </c>
      <c r="N7476" s="7">
        <v>190.5</v>
      </c>
      <c r="O7476" s="7">
        <v>176</v>
      </c>
      <c r="P7476" s="7">
        <v>442.2</v>
      </c>
      <c r="Q7476" s="7">
        <v>358.8</v>
      </c>
    </row>
    <row r="7477" spans="1:18" x14ac:dyDescent="0.2">
      <c r="A7477">
        <v>7476</v>
      </c>
      <c r="B7477" s="1">
        <v>40956</v>
      </c>
      <c r="C7477" t="s">
        <v>28</v>
      </c>
      <c r="D7477" s="7">
        <v>215</v>
      </c>
      <c r="E7477" s="7">
        <v>32</v>
      </c>
      <c r="F7477" s="7">
        <f t="shared" si="117"/>
        <v>6</v>
      </c>
      <c r="G7477" s="7" t="str">
        <f>LOOKUP(H7477,[1]startdates!$A$2:$A$10,[1]startdates!$B$2:$B$10)</f>
        <v>SMr</v>
      </c>
      <c r="H7477">
        <v>1</v>
      </c>
      <c r="I7477" s="7">
        <v>686.8</v>
      </c>
      <c r="J7477" s="7">
        <v>510.2</v>
      </c>
      <c r="K7477" s="7">
        <v>542.1</v>
      </c>
      <c r="L7477" s="7">
        <v>440.5</v>
      </c>
      <c r="M7477" s="7">
        <v>358.3</v>
      </c>
      <c r="N7477" s="7">
        <v>204.2</v>
      </c>
      <c r="O7477" s="7">
        <v>181.3</v>
      </c>
      <c r="P7477" s="7">
        <v>438.3</v>
      </c>
    </row>
    <row r="7478" spans="1:18" x14ac:dyDescent="0.2">
      <c r="A7478">
        <v>7477</v>
      </c>
      <c r="B7478" s="1">
        <v>40956</v>
      </c>
      <c r="C7478" t="s">
        <v>28</v>
      </c>
      <c r="D7478" s="7">
        <v>215</v>
      </c>
      <c r="E7478" s="7">
        <v>32</v>
      </c>
      <c r="F7478" s="7">
        <f t="shared" si="117"/>
        <v>6</v>
      </c>
      <c r="G7478" s="7" t="str">
        <f>LOOKUP(H7478,[1]startdates!$A$2:$A$10,[1]startdates!$B$2:$B$10)</f>
        <v>SMr</v>
      </c>
      <c r="H7478">
        <v>1</v>
      </c>
      <c r="I7478" s="7">
        <v>540.20000000000005</v>
      </c>
      <c r="L7478" s="7">
        <v>390.3</v>
      </c>
      <c r="M7478" s="7">
        <v>342.4</v>
      </c>
      <c r="N7478" s="7">
        <v>210.4</v>
      </c>
      <c r="O7478" s="7">
        <v>155.69999999999999</v>
      </c>
      <c r="P7478" s="7">
        <v>462.9</v>
      </c>
    </row>
    <row r="7479" spans="1:18" x14ac:dyDescent="0.2">
      <c r="A7479">
        <v>7478</v>
      </c>
      <c r="B7479" s="1">
        <v>40956</v>
      </c>
      <c r="C7479" t="s">
        <v>28</v>
      </c>
      <c r="D7479" s="7">
        <v>215</v>
      </c>
      <c r="E7479" s="7">
        <v>32</v>
      </c>
      <c r="F7479" s="7">
        <f t="shared" si="117"/>
        <v>6</v>
      </c>
      <c r="G7479" s="7" t="str">
        <f>LOOKUP(H7479,[1]startdates!$A$2:$A$10,[1]startdates!$B$2:$B$10)</f>
        <v>SMr</v>
      </c>
      <c r="H7479">
        <v>1</v>
      </c>
      <c r="I7479" s="7">
        <v>542.4</v>
      </c>
      <c r="L7479" s="7">
        <v>426.5</v>
      </c>
      <c r="M7479" s="7">
        <v>300.2</v>
      </c>
      <c r="N7479" s="7">
        <v>201.3</v>
      </c>
      <c r="O7479" s="7">
        <v>171.6</v>
      </c>
      <c r="P7479" s="7">
        <v>437</v>
      </c>
    </row>
    <row r="7480" spans="1:18" x14ac:dyDescent="0.2">
      <c r="A7480">
        <v>7479</v>
      </c>
      <c r="B7480" s="1">
        <v>40956</v>
      </c>
      <c r="C7480" t="s">
        <v>28</v>
      </c>
      <c r="D7480" s="7">
        <v>215</v>
      </c>
      <c r="E7480" s="7">
        <v>32</v>
      </c>
      <c r="F7480" s="7">
        <f t="shared" si="117"/>
        <v>6</v>
      </c>
      <c r="G7480" s="7" t="str">
        <f>LOOKUP(H7480,[1]startdates!$A$2:$A$10,[1]startdates!$B$2:$B$10)</f>
        <v>SMr</v>
      </c>
      <c r="H7480">
        <v>1</v>
      </c>
      <c r="I7480" s="7">
        <v>541.79999999999995</v>
      </c>
      <c r="M7480" s="7">
        <v>344</v>
      </c>
      <c r="N7480" s="7">
        <v>210.4</v>
      </c>
      <c r="O7480" s="7">
        <v>157.6</v>
      </c>
    </row>
    <row r="7481" spans="1:18" x14ac:dyDescent="0.2">
      <c r="A7481">
        <v>7480</v>
      </c>
      <c r="B7481" s="1">
        <v>40956</v>
      </c>
      <c r="C7481" t="s">
        <v>28</v>
      </c>
      <c r="D7481" s="7">
        <v>215</v>
      </c>
      <c r="E7481" s="7">
        <v>32</v>
      </c>
      <c r="F7481" s="7">
        <f t="shared" si="117"/>
        <v>6</v>
      </c>
      <c r="G7481" s="7" t="str">
        <f>LOOKUP(H7481,[1]startdates!$A$2:$A$10,[1]startdates!$B$2:$B$10)</f>
        <v>SMr</v>
      </c>
      <c r="H7481">
        <v>1</v>
      </c>
      <c r="I7481" s="7">
        <v>615.9</v>
      </c>
      <c r="M7481" s="7">
        <v>333.9</v>
      </c>
      <c r="N7481" s="7">
        <v>199.7</v>
      </c>
      <c r="O7481" s="7">
        <v>155.69999999999999</v>
      </c>
    </row>
    <row r="7482" spans="1:18" x14ac:dyDescent="0.2">
      <c r="A7482">
        <v>7481</v>
      </c>
      <c r="B7482" s="1">
        <v>40956</v>
      </c>
      <c r="C7482" t="s">
        <v>28</v>
      </c>
      <c r="D7482" s="7">
        <v>215</v>
      </c>
      <c r="E7482" s="7">
        <v>32</v>
      </c>
      <c r="F7482" s="7">
        <f t="shared" si="117"/>
        <v>6</v>
      </c>
      <c r="G7482" s="7" t="str">
        <f>LOOKUP(H7482,[1]startdates!$A$2:$A$10,[1]startdates!$B$2:$B$10)</f>
        <v>SMr</v>
      </c>
      <c r="H7482">
        <v>1</v>
      </c>
      <c r="I7482" s="7">
        <v>474</v>
      </c>
      <c r="M7482" s="7">
        <v>340.4</v>
      </c>
      <c r="N7482" s="7">
        <v>221.7</v>
      </c>
      <c r="O7482" s="7">
        <v>166.7</v>
      </c>
    </row>
    <row r="7483" spans="1:18" x14ac:dyDescent="0.2">
      <c r="A7483">
        <v>7482</v>
      </c>
      <c r="B7483" s="1">
        <v>40956</v>
      </c>
      <c r="C7483" t="s">
        <v>28</v>
      </c>
      <c r="D7483" s="7">
        <v>215</v>
      </c>
      <c r="E7483" s="7">
        <v>32</v>
      </c>
      <c r="F7483" s="7">
        <f t="shared" si="117"/>
        <v>6</v>
      </c>
      <c r="G7483" s="7" t="str">
        <f>LOOKUP(H7483,[1]startdates!$A$2:$A$10,[1]startdates!$B$2:$B$10)</f>
        <v>SMr</v>
      </c>
      <c r="H7483">
        <v>1</v>
      </c>
      <c r="I7483" s="7">
        <v>585.4</v>
      </c>
      <c r="M7483" s="7">
        <v>352.4</v>
      </c>
      <c r="N7483" s="7">
        <v>202.8</v>
      </c>
      <c r="O7483" s="7">
        <v>140</v>
      </c>
    </row>
    <row r="7484" spans="1:18" x14ac:dyDescent="0.2">
      <c r="A7484">
        <v>7483</v>
      </c>
      <c r="B7484" s="1">
        <v>40956</v>
      </c>
      <c r="C7484" t="s">
        <v>24</v>
      </c>
      <c r="D7484" s="7">
        <v>215</v>
      </c>
      <c r="E7484" s="7">
        <v>32</v>
      </c>
      <c r="F7484" s="7">
        <f t="shared" si="117"/>
        <v>6</v>
      </c>
      <c r="G7484" s="7" t="str">
        <f>LOOKUP(H7484,[1]startdates!$A$2:$A$10,[1]startdates!$B$2:$B$10)</f>
        <v>SMr</v>
      </c>
      <c r="H7484">
        <v>2</v>
      </c>
      <c r="I7484" s="7">
        <v>580.4</v>
      </c>
      <c r="J7484" s="7">
        <v>476.4</v>
      </c>
      <c r="K7484" s="7">
        <v>478.6</v>
      </c>
      <c r="L7484" s="7">
        <v>442.8</v>
      </c>
      <c r="M7484" s="7">
        <v>337.9</v>
      </c>
      <c r="N7484" s="7">
        <v>239.8</v>
      </c>
      <c r="O7484" s="7">
        <v>184.7</v>
      </c>
      <c r="P7484" s="7">
        <v>504.8</v>
      </c>
      <c r="Q7484" s="7">
        <v>395.5</v>
      </c>
      <c r="R7484" s="7">
        <v>273.89999999999998</v>
      </c>
    </row>
    <row r="7485" spans="1:18" x14ac:dyDescent="0.2">
      <c r="A7485">
        <v>7484</v>
      </c>
      <c r="B7485" s="1">
        <v>40956</v>
      </c>
      <c r="C7485" t="s">
        <v>24</v>
      </c>
      <c r="D7485" s="7">
        <v>215</v>
      </c>
      <c r="E7485" s="7">
        <v>32</v>
      </c>
      <c r="F7485" s="7">
        <f t="shared" si="117"/>
        <v>6</v>
      </c>
      <c r="G7485" s="7" t="str">
        <f>LOOKUP(H7485,[1]startdates!$A$2:$A$10,[1]startdates!$B$2:$B$10)</f>
        <v>SMr</v>
      </c>
      <c r="H7485">
        <v>2</v>
      </c>
      <c r="I7485" s="7">
        <v>541.5</v>
      </c>
      <c r="K7485" s="7">
        <v>481.5</v>
      </c>
      <c r="L7485" s="7">
        <v>454.4</v>
      </c>
      <c r="M7485" s="7">
        <v>287.3</v>
      </c>
      <c r="N7485" s="7">
        <v>199.3</v>
      </c>
      <c r="O7485" s="7">
        <v>159.4</v>
      </c>
      <c r="P7485" s="7">
        <v>421.5</v>
      </c>
      <c r="R7485" s="7">
        <v>239.3</v>
      </c>
    </row>
    <row r="7486" spans="1:18" x14ac:dyDescent="0.2">
      <c r="A7486">
        <v>7485</v>
      </c>
      <c r="B7486" s="1">
        <v>40956</v>
      </c>
      <c r="C7486" t="s">
        <v>24</v>
      </c>
      <c r="D7486" s="7">
        <v>215</v>
      </c>
      <c r="E7486" s="7">
        <v>32</v>
      </c>
      <c r="F7486" s="7">
        <f t="shared" si="117"/>
        <v>6</v>
      </c>
      <c r="G7486" s="7" t="str">
        <f>LOOKUP(H7486,[1]startdates!$A$2:$A$10,[1]startdates!$B$2:$B$10)</f>
        <v>SMr</v>
      </c>
      <c r="H7486">
        <v>2</v>
      </c>
      <c r="I7486" s="7">
        <v>571</v>
      </c>
      <c r="K7486" s="7">
        <v>486.8</v>
      </c>
      <c r="M7486" s="7">
        <v>335.3</v>
      </c>
      <c r="N7486" s="7">
        <v>192.3</v>
      </c>
      <c r="O7486" s="7">
        <v>169.6</v>
      </c>
      <c r="P7486" s="7">
        <v>456.5</v>
      </c>
      <c r="R7486" s="7">
        <v>265.2</v>
      </c>
    </row>
    <row r="7487" spans="1:18" x14ac:dyDescent="0.2">
      <c r="A7487">
        <v>7486</v>
      </c>
      <c r="B7487" s="1">
        <v>40956</v>
      </c>
      <c r="C7487" t="s">
        <v>24</v>
      </c>
      <c r="D7487" s="7">
        <v>215</v>
      </c>
      <c r="E7487" s="7">
        <v>32</v>
      </c>
      <c r="F7487" s="7">
        <f t="shared" si="117"/>
        <v>6</v>
      </c>
      <c r="G7487" s="7" t="str">
        <f>LOOKUP(H7487,[1]startdates!$A$2:$A$10,[1]startdates!$B$2:$B$10)</f>
        <v>SMr</v>
      </c>
      <c r="H7487">
        <v>2</v>
      </c>
      <c r="I7487" s="7">
        <v>579.4</v>
      </c>
      <c r="K7487" s="7">
        <v>490.5</v>
      </c>
      <c r="M7487" s="7">
        <v>364.6</v>
      </c>
      <c r="N7487" s="7">
        <v>165.4</v>
      </c>
      <c r="O7487" s="7">
        <v>179.8</v>
      </c>
    </row>
    <row r="7488" spans="1:18" x14ac:dyDescent="0.2">
      <c r="A7488">
        <v>7487</v>
      </c>
      <c r="B7488" s="1">
        <v>40956</v>
      </c>
      <c r="C7488" t="s">
        <v>24</v>
      </c>
      <c r="D7488" s="7">
        <v>215</v>
      </c>
      <c r="E7488" s="7">
        <v>32</v>
      </c>
      <c r="F7488" s="7">
        <f t="shared" si="117"/>
        <v>6</v>
      </c>
      <c r="G7488" s="7" t="str">
        <f>LOOKUP(H7488,[1]startdates!$A$2:$A$10,[1]startdates!$B$2:$B$10)</f>
        <v>SMr</v>
      </c>
      <c r="H7488">
        <v>2</v>
      </c>
      <c r="I7488" s="7">
        <v>560.79999999999995</v>
      </c>
      <c r="K7488" s="7">
        <v>502.8</v>
      </c>
      <c r="M7488" s="7">
        <v>318.89999999999998</v>
      </c>
      <c r="N7488" s="7">
        <v>205.5</v>
      </c>
      <c r="O7488" s="7">
        <v>181.9</v>
      </c>
    </row>
    <row r="7489" spans="1:18" x14ac:dyDescent="0.2">
      <c r="A7489">
        <v>7488</v>
      </c>
      <c r="B7489" s="1">
        <v>40956</v>
      </c>
      <c r="C7489" t="s">
        <v>24</v>
      </c>
      <c r="D7489" s="7">
        <v>215</v>
      </c>
      <c r="E7489" s="7">
        <v>32</v>
      </c>
      <c r="F7489" s="7">
        <f t="shared" si="117"/>
        <v>6</v>
      </c>
      <c r="G7489" s="7" t="str">
        <f>LOOKUP(H7489,[1]startdates!$A$2:$A$10,[1]startdates!$B$2:$B$10)</f>
        <v>SMr</v>
      </c>
      <c r="H7489">
        <v>2</v>
      </c>
      <c r="I7489" s="7">
        <v>599.29999999999995</v>
      </c>
      <c r="K7489" s="7">
        <v>405.1</v>
      </c>
      <c r="M7489" s="7">
        <v>345.9</v>
      </c>
      <c r="N7489" s="7">
        <v>257.3</v>
      </c>
      <c r="O7489" s="7">
        <v>160</v>
      </c>
    </row>
    <row r="7490" spans="1:18" x14ac:dyDescent="0.2">
      <c r="A7490">
        <v>7489</v>
      </c>
      <c r="B7490" s="1">
        <v>40956</v>
      </c>
      <c r="C7490" t="s">
        <v>24</v>
      </c>
      <c r="D7490" s="7">
        <v>215</v>
      </c>
      <c r="E7490" s="7">
        <v>32</v>
      </c>
      <c r="F7490" s="7">
        <f t="shared" si="117"/>
        <v>6</v>
      </c>
      <c r="G7490" s="7" t="str">
        <f>LOOKUP(H7490,[1]startdates!$A$2:$A$10,[1]startdates!$B$2:$B$10)</f>
        <v>SMr</v>
      </c>
      <c r="H7490">
        <v>2</v>
      </c>
      <c r="I7490" s="7">
        <v>596.6</v>
      </c>
      <c r="K7490" s="7">
        <v>415</v>
      </c>
      <c r="N7490" s="7">
        <v>234.5</v>
      </c>
      <c r="O7490" s="7">
        <v>184.4</v>
      </c>
    </row>
    <row r="7491" spans="1:18" x14ac:dyDescent="0.2">
      <c r="A7491">
        <v>7490</v>
      </c>
      <c r="B7491" s="1">
        <v>40956</v>
      </c>
      <c r="C7491" t="s">
        <v>24</v>
      </c>
      <c r="D7491" s="7">
        <v>215</v>
      </c>
      <c r="E7491" s="7">
        <v>32</v>
      </c>
      <c r="F7491" s="7">
        <f t="shared" si="117"/>
        <v>6</v>
      </c>
      <c r="G7491" s="7" t="str">
        <f>LOOKUP(H7491,[1]startdates!$A$2:$A$10,[1]startdates!$B$2:$B$10)</f>
        <v>SMr</v>
      </c>
      <c r="H7491">
        <v>2</v>
      </c>
      <c r="I7491" s="7">
        <v>517.9</v>
      </c>
      <c r="N7491" s="7">
        <v>233.1</v>
      </c>
      <c r="O7491" s="7">
        <v>161.69999999999999</v>
      </c>
    </row>
    <row r="7492" spans="1:18" x14ac:dyDescent="0.2">
      <c r="A7492">
        <v>7491</v>
      </c>
      <c r="B7492" s="1">
        <v>40956</v>
      </c>
      <c r="C7492" t="s">
        <v>24</v>
      </c>
      <c r="D7492" s="7">
        <v>215</v>
      </c>
      <c r="E7492" s="7">
        <v>32</v>
      </c>
      <c r="F7492" s="7">
        <f t="shared" si="117"/>
        <v>6</v>
      </c>
      <c r="G7492" s="7" t="str">
        <f>LOOKUP(H7492,[1]startdates!$A$2:$A$10,[1]startdates!$B$2:$B$10)</f>
        <v>SMr</v>
      </c>
      <c r="H7492">
        <v>2</v>
      </c>
      <c r="N7492" s="7">
        <v>200.3</v>
      </c>
      <c r="O7492" s="7">
        <v>174.1</v>
      </c>
    </row>
    <row r="7493" spans="1:18" x14ac:dyDescent="0.2">
      <c r="A7493">
        <v>7492</v>
      </c>
      <c r="B7493" s="1">
        <v>40956</v>
      </c>
      <c r="C7493" t="s">
        <v>24</v>
      </c>
      <c r="D7493" s="7">
        <v>215</v>
      </c>
      <c r="E7493" s="7">
        <v>32</v>
      </c>
      <c r="F7493" s="7">
        <f t="shared" si="117"/>
        <v>6</v>
      </c>
      <c r="G7493" s="7" t="str">
        <f>LOOKUP(H7493,[1]startdates!$A$2:$A$10,[1]startdates!$B$2:$B$10)</f>
        <v>SMr</v>
      </c>
      <c r="H7493">
        <v>2</v>
      </c>
      <c r="N7493" s="7">
        <v>209.9</v>
      </c>
      <c r="O7493" s="7">
        <v>154.19999999999999</v>
      </c>
    </row>
    <row r="7494" spans="1:18" x14ac:dyDescent="0.2">
      <c r="A7494">
        <v>7493</v>
      </c>
      <c r="B7494" s="1">
        <v>40956</v>
      </c>
      <c r="C7494" t="s">
        <v>24</v>
      </c>
      <c r="D7494" s="7">
        <v>215</v>
      </c>
      <c r="E7494" s="7">
        <v>32</v>
      </c>
      <c r="F7494" s="7">
        <f t="shared" si="117"/>
        <v>6</v>
      </c>
      <c r="G7494" s="7" t="str">
        <f>LOOKUP(H7494,[1]startdates!$A$2:$A$10,[1]startdates!$B$2:$B$10)</f>
        <v>C</v>
      </c>
      <c r="H7494">
        <v>3</v>
      </c>
      <c r="I7494" s="7">
        <v>572.9</v>
      </c>
      <c r="K7494" s="7">
        <v>436</v>
      </c>
      <c r="L7494" s="7">
        <v>434.3</v>
      </c>
      <c r="M7494" s="7">
        <v>360.3</v>
      </c>
      <c r="N7494" s="7">
        <v>209.1</v>
      </c>
      <c r="O7494" s="7">
        <v>160.4</v>
      </c>
      <c r="P7494" s="7">
        <v>482</v>
      </c>
      <c r="Q7494" s="7">
        <v>325.89999999999998</v>
      </c>
      <c r="R7494" s="7">
        <v>258.8</v>
      </c>
    </row>
    <row r="7495" spans="1:18" x14ac:dyDescent="0.2">
      <c r="A7495">
        <v>7494</v>
      </c>
      <c r="B7495" s="1">
        <v>40956</v>
      </c>
      <c r="C7495" t="s">
        <v>24</v>
      </c>
      <c r="D7495" s="7">
        <v>215</v>
      </c>
      <c r="E7495" s="7">
        <v>32</v>
      </c>
      <c r="F7495" s="7">
        <f t="shared" si="117"/>
        <v>6</v>
      </c>
      <c r="G7495" s="7" t="str">
        <f>LOOKUP(H7495,[1]startdates!$A$2:$A$10,[1]startdates!$B$2:$B$10)</f>
        <v>C</v>
      </c>
      <c r="H7495">
        <v>3</v>
      </c>
      <c r="I7495" s="7">
        <v>528.6</v>
      </c>
      <c r="K7495" s="7">
        <v>517.1</v>
      </c>
      <c r="L7495" s="7">
        <v>437.4</v>
      </c>
      <c r="M7495" s="7">
        <v>357.8</v>
      </c>
      <c r="N7495" s="7">
        <v>240.2</v>
      </c>
      <c r="O7495" s="7">
        <v>171.6</v>
      </c>
      <c r="P7495" s="7">
        <v>421.3</v>
      </c>
      <c r="R7495" s="7">
        <v>265.8</v>
      </c>
    </row>
    <row r="7496" spans="1:18" x14ac:dyDescent="0.2">
      <c r="A7496">
        <v>7495</v>
      </c>
      <c r="B7496" s="1">
        <v>40956</v>
      </c>
      <c r="C7496" t="s">
        <v>24</v>
      </c>
      <c r="D7496" s="7">
        <v>215</v>
      </c>
      <c r="E7496" s="7">
        <v>32</v>
      </c>
      <c r="F7496" s="7">
        <f t="shared" si="117"/>
        <v>6</v>
      </c>
      <c r="G7496" s="7" t="str">
        <f>LOOKUP(H7496,[1]startdates!$A$2:$A$10,[1]startdates!$B$2:$B$10)</f>
        <v>C</v>
      </c>
      <c r="H7496">
        <v>3</v>
      </c>
      <c r="I7496" s="7">
        <v>555.9</v>
      </c>
      <c r="K7496" s="7">
        <v>463.9</v>
      </c>
      <c r="L7496" s="7">
        <v>433.4</v>
      </c>
      <c r="M7496" s="7">
        <v>342.1</v>
      </c>
      <c r="N7496" s="7">
        <v>273</v>
      </c>
      <c r="O7496" s="7">
        <v>183.8</v>
      </c>
      <c r="P7496" s="7">
        <v>423.3</v>
      </c>
      <c r="R7496" s="7">
        <v>237</v>
      </c>
    </row>
    <row r="7497" spans="1:18" x14ac:dyDescent="0.2">
      <c r="A7497">
        <v>7496</v>
      </c>
      <c r="B7497" s="1">
        <v>40956</v>
      </c>
      <c r="C7497" t="s">
        <v>24</v>
      </c>
      <c r="D7497" s="7">
        <v>215</v>
      </c>
      <c r="E7497" s="7">
        <v>32</v>
      </c>
      <c r="F7497" s="7">
        <f t="shared" si="117"/>
        <v>6</v>
      </c>
      <c r="G7497" s="7" t="str">
        <f>LOOKUP(H7497,[1]startdates!$A$2:$A$10,[1]startdates!$B$2:$B$10)</f>
        <v>C</v>
      </c>
      <c r="H7497">
        <v>3</v>
      </c>
      <c r="I7497" s="7">
        <v>544.9</v>
      </c>
      <c r="K7497" s="7">
        <v>442.1</v>
      </c>
      <c r="L7497" s="7">
        <v>385</v>
      </c>
      <c r="M7497" s="7">
        <v>316.60000000000002</v>
      </c>
      <c r="N7497" s="7">
        <v>225.8</v>
      </c>
      <c r="O7497" s="7">
        <v>180.4</v>
      </c>
      <c r="P7497" s="7">
        <v>472.8</v>
      </c>
    </row>
    <row r="7498" spans="1:18" x14ac:dyDescent="0.2">
      <c r="A7498">
        <v>7497</v>
      </c>
      <c r="B7498" s="1">
        <v>40956</v>
      </c>
      <c r="C7498" t="s">
        <v>24</v>
      </c>
      <c r="D7498" s="7">
        <v>215</v>
      </c>
      <c r="E7498" s="7">
        <v>32</v>
      </c>
      <c r="F7498" s="7">
        <f t="shared" si="117"/>
        <v>6</v>
      </c>
      <c r="G7498" s="7" t="str">
        <f>LOOKUP(H7498,[1]startdates!$A$2:$A$10,[1]startdates!$B$2:$B$10)</f>
        <v>C</v>
      </c>
      <c r="H7498">
        <v>3</v>
      </c>
      <c r="I7498" s="7">
        <v>575.29999999999995</v>
      </c>
      <c r="K7498" s="7">
        <v>479.3</v>
      </c>
      <c r="L7498" s="7">
        <v>434.7</v>
      </c>
      <c r="M7498" s="7">
        <v>288.7</v>
      </c>
      <c r="N7498" s="7">
        <v>232.7</v>
      </c>
      <c r="O7498" s="7">
        <v>174.6</v>
      </c>
    </row>
    <row r="7499" spans="1:18" x14ac:dyDescent="0.2">
      <c r="A7499">
        <v>7498</v>
      </c>
      <c r="B7499" s="1">
        <v>40956</v>
      </c>
      <c r="C7499" t="s">
        <v>24</v>
      </c>
      <c r="D7499" s="7">
        <v>215</v>
      </c>
      <c r="E7499" s="7">
        <v>32</v>
      </c>
      <c r="F7499" s="7">
        <f t="shared" si="117"/>
        <v>6</v>
      </c>
      <c r="G7499" s="7" t="str">
        <f>LOOKUP(H7499,[1]startdates!$A$2:$A$10,[1]startdates!$B$2:$B$10)</f>
        <v>C</v>
      </c>
      <c r="H7499">
        <v>3</v>
      </c>
      <c r="I7499" s="7">
        <v>606</v>
      </c>
      <c r="K7499" s="7">
        <v>437.5</v>
      </c>
      <c r="M7499" s="7">
        <v>348.1</v>
      </c>
      <c r="N7499" s="7">
        <v>210.6</v>
      </c>
      <c r="O7499" s="7">
        <v>180</v>
      </c>
    </row>
    <row r="7500" spans="1:18" x14ac:dyDescent="0.2">
      <c r="A7500">
        <v>7499</v>
      </c>
      <c r="B7500" s="1">
        <v>40956</v>
      </c>
      <c r="C7500" t="s">
        <v>24</v>
      </c>
      <c r="D7500" s="7">
        <v>215</v>
      </c>
      <c r="E7500" s="7">
        <v>32</v>
      </c>
      <c r="F7500" s="7">
        <f t="shared" si="117"/>
        <v>6</v>
      </c>
      <c r="G7500" s="7" t="str">
        <f>LOOKUP(H7500,[1]startdates!$A$2:$A$10,[1]startdates!$B$2:$B$10)</f>
        <v>C</v>
      </c>
      <c r="H7500">
        <v>3</v>
      </c>
      <c r="I7500" s="7">
        <v>567.9</v>
      </c>
      <c r="N7500" s="7">
        <v>234.8</v>
      </c>
      <c r="O7500" s="7">
        <v>151.69999999999999</v>
      </c>
    </row>
    <row r="7501" spans="1:18" x14ac:dyDescent="0.2">
      <c r="A7501">
        <v>7500</v>
      </c>
      <c r="B7501" s="1">
        <v>40956</v>
      </c>
      <c r="C7501" t="s">
        <v>24</v>
      </c>
      <c r="D7501" s="7">
        <v>215</v>
      </c>
      <c r="E7501" s="7">
        <v>32</v>
      </c>
      <c r="F7501" s="7">
        <f t="shared" si="117"/>
        <v>6</v>
      </c>
      <c r="G7501" s="7" t="str">
        <f>LOOKUP(H7501,[1]startdates!$A$2:$A$10,[1]startdates!$B$2:$B$10)</f>
        <v>C</v>
      </c>
      <c r="H7501">
        <v>3</v>
      </c>
      <c r="I7501" s="7">
        <v>500.9</v>
      </c>
      <c r="N7501" s="7">
        <v>201.8</v>
      </c>
      <c r="O7501" s="7">
        <v>151</v>
      </c>
    </row>
    <row r="7502" spans="1:18" x14ac:dyDescent="0.2">
      <c r="A7502">
        <v>7501</v>
      </c>
      <c r="B7502" s="1">
        <v>40956</v>
      </c>
      <c r="C7502" t="s">
        <v>24</v>
      </c>
      <c r="D7502" s="7">
        <v>215</v>
      </c>
      <c r="E7502" s="7">
        <v>32</v>
      </c>
      <c r="F7502" s="7">
        <f t="shared" si="117"/>
        <v>6</v>
      </c>
      <c r="G7502" s="7" t="str">
        <f>LOOKUP(H7502,[1]startdates!$A$2:$A$10,[1]startdates!$B$2:$B$10)</f>
        <v>C</v>
      </c>
      <c r="H7502">
        <v>3</v>
      </c>
      <c r="I7502" s="7">
        <v>609.20000000000005</v>
      </c>
      <c r="N7502" s="7">
        <v>231.3</v>
      </c>
      <c r="O7502" s="7">
        <v>185</v>
      </c>
    </row>
    <row r="7503" spans="1:18" x14ac:dyDescent="0.2">
      <c r="A7503">
        <v>7502</v>
      </c>
      <c r="B7503" s="1">
        <v>40956</v>
      </c>
      <c r="C7503" t="s">
        <v>24</v>
      </c>
      <c r="D7503" s="7">
        <v>215</v>
      </c>
      <c r="E7503" s="7">
        <v>32</v>
      </c>
      <c r="F7503" s="7">
        <f t="shared" si="117"/>
        <v>6</v>
      </c>
      <c r="G7503" s="7" t="str">
        <f>LOOKUP(H7503,[1]startdates!$A$2:$A$10,[1]startdates!$B$2:$B$10)</f>
        <v>C</v>
      </c>
      <c r="H7503">
        <v>3</v>
      </c>
      <c r="N7503" s="7">
        <v>218.7</v>
      </c>
      <c r="O7503" s="7">
        <v>186.6</v>
      </c>
    </row>
    <row r="7504" spans="1:18" x14ac:dyDescent="0.2">
      <c r="A7504">
        <v>7503</v>
      </c>
      <c r="B7504" s="1">
        <v>40956</v>
      </c>
      <c r="C7504" t="s">
        <v>24</v>
      </c>
      <c r="D7504" s="7">
        <v>215</v>
      </c>
      <c r="E7504" s="7">
        <v>32</v>
      </c>
      <c r="F7504" s="7">
        <f t="shared" si="117"/>
        <v>6</v>
      </c>
      <c r="G7504" s="7" t="str">
        <f>LOOKUP(H7504,[1]startdates!$A$2:$A$10,[1]startdates!$B$2:$B$10)</f>
        <v>C</v>
      </c>
      <c r="H7504">
        <v>3</v>
      </c>
      <c r="N7504" s="7">
        <v>258.8</v>
      </c>
    </row>
    <row r="7505" spans="1:19" x14ac:dyDescent="0.2">
      <c r="A7505">
        <v>7504</v>
      </c>
      <c r="B7505" s="1">
        <v>40956</v>
      </c>
      <c r="C7505" t="s">
        <v>24</v>
      </c>
      <c r="D7505" s="7">
        <v>215</v>
      </c>
      <c r="E7505" s="7">
        <v>32</v>
      </c>
      <c r="F7505" s="7">
        <f t="shared" si="117"/>
        <v>6</v>
      </c>
      <c r="G7505" s="7" t="str">
        <f>LOOKUP(H7505,[1]startdates!$A$2:$A$10,[1]startdates!$B$2:$B$10)</f>
        <v>SMr</v>
      </c>
      <c r="H7505">
        <v>4</v>
      </c>
      <c r="I7505" s="7">
        <v>613.20000000000005</v>
      </c>
      <c r="J7505" s="7">
        <v>501.3</v>
      </c>
      <c r="K7505" s="7">
        <v>536.79999999999995</v>
      </c>
      <c r="L7505" s="7">
        <v>492.6</v>
      </c>
      <c r="M7505" s="7">
        <v>385.3</v>
      </c>
      <c r="N7505" s="7">
        <v>283.5</v>
      </c>
      <c r="O7505" s="7">
        <v>172.4</v>
      </c>
      <c r="P7505" s="7">
        <v>438.1</v>
      </c>
      <c r="Q7505" s="7">
        <v>369.8</v>
      </c>
      <c r="S7505" s="7">
        <v>264.60000000000002</v>
      </c>
    </row>
    <row r="7506" spans="1:19" x14ac:dyDescent="0.2">
      <c r="A7506">
        <v>7505</v>
      </c>
      <c r="B7506" s="1">
        <v>40956</v>
      </c>
      <c r="C7506" t="s">
        <v>24</v>
      </c>
      <c r="D7506" s="7">
        <v>215</v>
      </c>
      <c r="E7506" s="7">
        <v>32</v>
      </c>
      <c r="F7506" s="7">
        <f t="shared" si="117"/>
        <v>6</v>
      </c>
      <c r="G7506" s="7" t="str">
        <f>LOOKUP(H7506,[1]startdates!$A$2:$A$10,[1]startdates!$B$2:$B$10)</f>
        <v>SMr</v>
      </c>
      <c r="H7506">
        <v>4</v>
      </c>
      <c r="I7506" s="7">
        <v>555.5</v>
      </c>
      <c r="K7506" s="7">
        <v>429.8</v>
      </c>
      <c r="L7506" s="7">
        <v>390.4</v>
      </c>
      <c r="M7506" s="7">
        <v>339.8</v>
      </c>
      <c r="N7506" s="7">
        <v>229.2</v>
      </c>
      <c r="O7506" s="7">
        <v>185.3</v>
      </c>
      <c r="P7506" s="7">
        <v>456.5</v>
      </c>
      <c r="Q7506" s="7">
        <v>343.5</v>
      </c>
    </row>
    <row r="7507" spans="1:19" x14ac:dyDescent="0.2">
      <c r="A7507">
        <v>7506</v>
      </c>
      <c r="B7507" s="1">
        <v>40956</v>
      </c>
      <c r="C7507" t="s">
        <v>24</v>
      </c>
      <c r="D7507" s="7">
        <v>215</v>
      </c>
      <c r="E7507" s="7">
        <v>32</v>
      </c>
      <c r="F7507" s="7">
        <f t="shared" si="117"/>
        <v>6</v>
      </c>
      <c r="G7507" s="7" t="str">
        <f>LOOKUP(H7507,[1]startdates!$A$2:$A$10,[1]startdates!$B$2:$B$10)</f>
        <v>SMr</v>
      </c>
      <c r="H7507">
        <v>4</v>
      </c>
      <c r="I7507" s="7">
        <v>524.9</v>
      </c>
      <c r="K7507" s="7">
        <v>450.2</v>
      </c>
      <c r="M7507" s="7">
        <v>313.3</v>
      </c>
      <c r="N7507" s="7">
        <v>294.5</v>
      </c>
      <c r="O7507" s="7">
        <v>190.9</v>
      </c>
      <c r="P7507" s="7">
        <v>473.3</v>
      </c>
    </row>
    <row r="7508" spans="1:19" x14ac:dyDescent="0.2">
      <c r="A7508">
        <v>7507</v>
      </c>
      <c r="B7508" s="1">
        <v>40956</v>
      </c>
      <c r="C7508" t="s">
        <v>24</v>
      </c>
      <c r="D7508" s="7">
        <v>215</v>
      </c>
      <c r="E7508" s="7">
        <v>32</v>
      </c>
      <c r="F7508" s="7">
        <f t="shared" si="117"/>
        <v>6</v>
      </c>
      <c r="G7508" s="7" t="str">
        <f>LOOKUP(H7508,[1]startdates!$A$2:$A$10,[1]startdates!$B$2:$B$10)</f>
        <v>SMr</v>
      </c>
      <c r="H7508">
        <v>4</v>
      </c>
      <c r="I7508" s="7">
        <v>574.5</v>
      </c>
      <c r="K7508" s="7">
        <v>530.5</v>
      </c>
      <c r="M7508" s="7">
        <v>394</v>
      </c>
      <c r="N7508" s="7">
        <v>252.8</v>
      </c>
      <c r="O7508" s="7">
        <v>167.9</v>
      </c>
      <c r="P7508" s="7">
        <v>419.9</v>
      </c>
    </row>
    <row r="7509" spans="1:19" x14ac:dyDescent="0.2">
      <c r="A7509">
        <v>7508</v>
      </c>
      <c r="B7509" s="1">
        <v>40956</v>
      </c>
      <c r="C7509" t="s">
        <v>24</v>
      </c>
      <c r="D7509" s="7">
        <v>215</v>
      </c>
      <c r="E7509" s="7">
        <v>32</v>
      </c>
      <c r="F7509" s="7">
        <f t="shared" si="117"/>
        <v>6</v>
      </c>
      <c r="G7509" s="7" t="str">
        <f>LOOKUP(H7509,[1]startdates!$A$2:$A$10,[1]startdates!$B$2:$B$10)</f>
        <v>SMr</v>
      </c>
      <c r="H7509">
        <v>4</v>
      </c>
      <c r="I7509" s="7">
        <v>546.70000000000005</v>
      </c>
      <c r="K7509" s="7">
        <v>454.7</v>
      </c>
      <c r="M7509" s="7">
        <v>367.5</v>
      </c>
      <c r="N7509" s="7">
        <v>273.2</v>
      </c>
      <c r="O7509" s="7">
        <v>179.8</v>
      </c>
    </row>
    <row r="7510" spans="1:19" x14ac:dyDescent="0.2">
      <c r="A7510">
        <v>7509</v>
      </c>
      <c r="B7510" s="1">
        <v>40956</v>
      </c>
      <c r="C7510" t="s">
        <v>24</v>
      </c>
      <c r="D7510" s="7">
        <v>215</v>
      </c>
      <c r="E7510" s="7">
        <v>32</v>
      </c>
      <c r="F7510" s="7">
        <f t="shared" si="117"/>
        <v>6</v>
      </c>
      <c r="G7510" s="7" t="str">
        <f>LOOKUP(H7510,[1]startdates!$A$2:$A$10,[1]startdates!$B$2:$B$10)</f>
        <v>SMr</v>
      </c>
      <c r="H7510">
        <v>4</v>
      </c>
      <c r="I7510" s="7">
        <v>585.1</v>
      </c>
      <c r="K7510" s="7">
        <v>434.2</v>
      </c>
      <c r="M7510" s="7">
        <v>388.1</v>
      </c>
      <c r="N7510" s="7">
        <v>265.3</v>
      </c>
      <c r="O7510" s="7">
        <v>180.1</v>
      </c>
    </row>
    <row r="7511" spans="1:19" x14ac:dyDescent="0.2">
      <c r="A7511">
        <v>7510</v>
      </c>
      <c r="B7511" s="1">
        <v>40956</v>
      </c>
      <c r="C7511" t="s">
        <v>24</v>
      </c>
      <c r="D7511" s="7">
        <v>215</v>
      </c>
      <c r="E7511" s="7">
        <v>32</v>
      </c>
      <c r="F7511" s="7">
        <f t="shared" si="117"/>
        <v>6</v>
      </c>
      <c r="G7511" s="7" t="str">
        <f>LOOKUP(H7511,[1]startdates!$A$2:$A$10,[1]startdates!$B$2:$B$10)</f>
        <v>SMr</v>
      </c>
      <c r="H7511">
        <v>4</v>
      </c>
      <c r="I7511" s="7">
        <v>586.70000000000005</v>
      </c>
      <c r="N7511" s="7">
        <v>192</v>
      </c>
      <c r="O7511" s="7">
        <v>169.7</v>
      </c>
    </row>
    <row r="7512" spans="1:19" x14ac:dyDescent="0.2">
      <c r="A7512">
        <v>7511</v>
      </c>
      <c r="B7512" s="1">
        <v>40956</v>
      </c>
      <c r="C7512" t="s">
        <v>24</v>
      </c>
      <c r="D7512" s="7">
        <v>215</v>
      </c>
      <c r="E7512" s="7">
        <v>32</v>
      </c>
      <c r="F7512" s="7">
        <f t="shared" si="117"/>
        <v>6</v>
      </c>
      <c r="G7512" s="7" t="str">
        <f>LOOKUP(H7512,[1]startdates!$A$2:$A$10,[1]startdates!$B$2:$B$10)</f>
        <v>SMr</v>
      </c>
      <c r="H7512">
        <v>4</v>
      </c>
      <c r="I7512" s="7">
        <v>498.3</v>
      </c>
      <c r="N7512" s="7">
        <v>231.8</v>
      </c>
      <c r="O7512" s="7">
        <v>173.1</v>
      </c>
    </row>
    <row r="7513" spans="1:19" x14ac:dyDescent="0.2">
      <c r="A7513">
        <v>7512</v>
      </c>
      <c r="B7513" s="1">
        <v>40956</v>
      </c>
      <c r="C7513" t="s">
        <v>24</v>
      </c>
      <c r="D7513" s="7">
        <v>215</v>
      </c>
      <c r="E7513" s="7">
        <v>32</v>
      </c>
      <c r="F7513" s="7">
        <f t="shared" si="117"/>
        <v>6</v>
      </c>
      <c r="G7513" s="7" t="str">
        <f>LOOKUP(H7513,[1]startdates!$A$2:$A$10,[1]startdates!$B$2:$B$10)</f>
        <v>SMr</v>
      </c>
      <c r="H7513">
        <v>4</v>
      </c>
      <c r="I7513" s="7">
        <v>551</v>
      </c>
      <c r="N7513" s="7">
        <v>185.4</v>
      </c>
      <c r="O7513" s="7">
        <v>170.2</v>
      </c>
    </row>
    <row r="7514" spans="1:19" x14ac:dyDescent="0.2">
      <c r="A7514">
        <v>7513</v>
      </c>
      <c r="B7514" s="1">
        <v>40956</v>
      </c>
      <c r="C7514" t="s">
        <v>24</v>
      </c>
      <c r="D7514" s="7">
        <v>215</v>
      </c>
      <c r="E7514" s="7">
        <v>32</v>
      </c>
      <c r="F7514" s="7">
        <f t="shared" si="117"/>
        <v>6</v>
      </c>
      <c r="G7514" s="7" t="str">
        <f>LOOKUP(H7514,[1]startdates!$A$2:$A$10,[1]startdates!$B$2:$B$10)</f>
        <v>SMr</v>
      </c>
      <c r="H7514">
        <v>4</v>
      </c>
      <c r="I7514" s="7">
        <v>548.9</v>
      </c>
      <c r="O7514" s="7">
        <v>173.7</v>
      </c>
    </row>
    <row r="7515" spans="1:19" x14ac:dyDescent="0.2">
      <c r="A7515">
        <v>7514</v>
      </c>
      <c r="B7515" s="1">
        <v>40956</v>
      </c>
      <c r="C7515" t="s">
        <v>24</v>
      </c>
      <c r="D7515" s="7">
        <v>215</v>
      </c>
      <c r="E7515" s="7">
        <v>32</v>
      </c>
      <c r="F7515" s="7">
        <f t="shared" si="117"/>
        <v>6</v>
      </c>
      <c r="G7515" s="7" t="str">
        <f>LOOKUP(H7515,[1]startdates!$A$2:$A$10,[1]startdates!$B$2:$B$10)</f>
        <v>SMr</v>
      </c>
      <c r="H7515">
        <v>4</v>
      </c>
      <c r="I7515" s="7">
        <v>633.29999999999995</v>
      </c>
    </row>
    <row r="7516" spans="1:19" x14ac:dyDescent="0.2">
      <c r="A7516">
        <v>7515</v>
      </c>
      <c r="B7516" s="1">
        <v>40956</v>
      </c>
      <c r="C7516" t="s">
        <v>24</v>
      </c>
      <c r="D7516" s="7">
        <v>215</v>
      </c>
      <c r="E7516" s="7">
        <v>32</v>
      </c>
      <c r="F7516" s="7">
        <f t="shared" si="117"/>
        <v>6</v>
      </c>
      <c r="G7516" s="7" t="str">
        <f>LOOKUP(H7516,[1]startdates!$A$2:$A$10,[1]startdates!$B$2:$B$10)</f>
        <v>C</v>
      </c>
      <c r="H7516">
        <v>5</v>
      </c>
      <c r="I7516" s="7">
        <v>601</v>
      </c>
      <c r="J7516" s="7">
        <v>607.9</v>
      </c>
      <c r="K7516" s="7">
        <v>585.1</v>
      </c>
      <c r="L7516" s="7">
        <v>412.4</v>
      </c>
      <c r="M7516" s="7">
        <v>361.8</v>
      </c>
      <c r="N7516" s="7">
        <v>276.8</v>
      </c>
      <c r="O7516" s="7">
        <v>153.1</v>
      </c>
      <c r="P7516" s="7">
        <v>469.7</v>
      </c>
      <c r="Q7516" s="7">
        <v>344.7</v>
      </c>
      <c r="R7516" s="7">
        <v>261.39999999999998</v>
      </c>
    </row>
    <row r="7517" spans="1:19" x14ac:dyDescent="0.2">
      <c r="A7517">
        <v>7516</v>
      </c>
      <c r="B7517" s="1">
        <v>40956</v>
      </c>
      <c r="C7517" t="s">
        <v>24</v>
      </c>
      <c r="D7517" s="7">
        <v>215</v>
      </c>
      <c r="E7517" s="7">
        <v>32</v>
      </c>
      <c r="F7517" s="7">
        <f t="shared" si="117"/>
        <v>6</v>
      </c>
      <c r="G7517" s="7" t="str">
        <f>LOOKUP(H7517,[1]startdates!$A$2:$A$10,[1]startdates!$B$2:$B$10)</f>
        <v>C</v>
      </c>
      <c r="H7517">
        <v>5</v>
      </c>
      <c r="I7517" s="7">
        <v>567.1</v>
      </c>
      <c r="J7517" s="7">
        <v>550.29999999999995</v>
      </c>
      <c r="K7517" s="7">
        <v>472.2</v>
      </c>
      <c r="L7517" s="7">
        <v>401.8</v>
      </c>
      <c r="M7517" s="7">
        <v>355.8</v>
      </c>
      <c r="N7517" s="7">
        <v>231.3</v>
      </c>
      <c r="O7517" s="7">
        <v>162.4</v>
      </c>
      <c r="P7517" s="7">
        <v>471.7</v>
      </c>
    </row>
    <row r="7518" spans="1:19" x14ac:dyDescent="0.2">
      <c r="A7518">
        <v>7517</v>
      </c>
      <c r="B7518" s="1">
        <v>40956</v>
      </c>
      <c r="C7518" t="s">
        <v>24</v>
      </c>
      <c r="D7518" s="7">
        <v>215</v>
      </c>
      <c r="E7518" s="7">
        <v>32</v>
      </c>
      <c r="F7518" s="7">
        <f t="shared" si="117"/>
        <v>6</v>
      </c>
      <c r="G7518" s="7" t="str">
        <f>LOOKUP(H7518,[1]startdates!$A$2:$A$10,[1]startdates!$B$2:$B$10)</f>
        <v>C</v>
      </c>
      <c r="H7518">
        <v>5</v>
      </c>
      <c r="I7518" s="7">
        <v>589.1</v>
      </c>
      <c r="J7518" s="7">
        <v>505.5</v>
      </c>
      <c r="K7518" s="7">
        <v>552.29999999999995</v>
      </c>
      <c r="L7518" s="7">
        <v>379.3</v>
      </c>
      <c r="M7518" s="7">
        <v>384.4</v>
      </c>
      <c r="N7518" s="7">
        <v>250.8</v>
      </c>
      <c r="O7518" s="7">
        <v>150.4</v>
      </c>
      <c r="P7518" s="7">
        <v>459.4</v>
      </c>
    </row>
    <row r="7519" spans="1:19" x14ac:dyDescent="0.2">
      <c r="A7519">
        <v>7518</v>
      </c>
      <c r="B7519" s="1">
        <v>40956</v>
      </c>
      <c r="C7519" t="s">
        <v>24</v>
      </c>
      <c r="D7519" s="7">
        <v>215</v>
      </c>
      <c r="E7519" s="7">
        <v>32</v>
      </c>
      <c r="F7519" s="7">
        <f t="shared" si="117"/>
        <v>6</v>
      </c>
      <c r="G7519" s="7" t="str">
        <f>LOOKUP(H7519,[1]startdates!$A$2:$A$10,[1]startdates!$B$2:$B$10)</f>
        <v>C</v>
      </c>
      <c r="H7519">
        <v>5</v>
      </c>
      <c r="I7519" s="7">
        <v>721.3</v>
      </c>
      <c r="K7519" s="7">
        <v>612.6</v>
      </c>
      <c r="M7519" s="7">
        <v>310.7</v>
      </c>
      <c r="N7519" s="7">
        <v>237.5</v>
      </c>
      <c r="O7519" s="7">
        <v>177.7</v>
      </c>
    </row>
    <row r="7520" spans="1:19" x14ac:dyDescent="0.2">
      <c r="A7520">
        <v>7519</v>
      </c>
      <c r="B7520" s="1">
        <v>40956</v>
      </c>
      <c r="C7520" t="s">
        <v>24</v>
      </c>
      <c r="D7520" s="7">
        <v>215</v>
      </c>
      <c r="E7520" s="7">
        <v>32</v>
      </c>
      <c r="F7520" s="7">
        <f t="shared" si="117"/>
        <v>6</v>
      </c>
      <c r="G7520" s="7" t="str">
        <f>LOOKUP(H7520,[1]startdates!$A$2:$A$10,[1]startdates!$B$2:$B$10)</f>
        <v>C</v>
      </c>
      <c r="H7520">
        <v>5</v>
      </c>
      <c r="I7520" s="7">
        <v>632.70000000000005</v>
      </c>
      <c r="K7520" s="7">
        <v>556.70000000000005</v>
      </c>
      <c r="M7520" s="7">
        <v>313</v>
      </c>
      <c r="N7520" s="7">
        <v>204.5</v>
      </c>
      <c r="O7520" s="7">
        <v>182.9</v>
      </c>
    </row>
    <row r="7521" spans="1:18" x14ac:dyDescent="0.2">
      <c r="A7521">
        <v>7520</v>
      </c>
      <c r="B7521" s="1">
        <v>40956</v>
      </c>
      <c r="C7521" t="s">
        <v>24</v>
      </c>
      <c r="D7521" s="7">
        <v>215</v>
      </c>
      <c r="E7521" s="7">
        <v>32</v>
      </c>
      <c r="F7521" s="7">
        <f t="shared" si="117"/>
        <v>6</v>
      </c>
      <c r="G7521" s="7" t="str">
        <f>LOOKUP(H7521,[1]startdates!$A$2:$A$10,[1]startdates!$B$2:$B$10)</f>
        <v>C</v>
      </c>
      <c r="H7521">
        <v>5</v>
      </c>
      <c r="I7521" s="7">
        <v>509.4</v>
      </c>
      <c r="K7521" s="7">
        <v>560.5</v>
      </c>
      <c r="M7521" s="7">
        <v>345.1</v>
      </c>
      <c r="N7521" s="7">
        <v>206</v>
      </c>
      <c r="O7521" s="7">
        <v>184.9</v>
      </c>
    </row>
    <row r="7522" spans="1:18" x14ac:dyDescent="0.2">
      <c r="A7522">
        <v>7521</v>
      </c>
      <c r="B7522" s="1">
        <v>40956</v>
      </c>
      <c r="C7522" t="s">
        <v>24</v>
      </c>
      <c r="D7522" s="7">
        <v>215</v>
      </c>
      <c r="E7522" s="7">
        <v>32</v>
      </c>
      <c r="F7522" s="7">
        <f t="shared" si="117"/>
        <v>6</v>
      </c>
      <c r="G7522" s="7" t="str">
        <f>LOOKUP(H7522,[1]startdates!$A$2:$A$10,[1]startdates!$B$2:$B$10)</f>
        <v>C</v>
      </c>
      <c r="H7522">
        <v>5</v>
      </c>
      <c r="I7522" s="7">
        <v>600.9</v>
      </c>
      <c r="M7522" s="7">
        <v>346.3</v>
      </c>
      <c r="N7522" s="7">
        <v>186.4</v>
      </c>
      <c r="O7522" s="7">
        <v>172.5</v>
      </c>
    </row>
    <row r="7523" spans="1:18" x14ac:dyDescent="0.2">
      <c r="A7523">
        <v>7522</v>
      </c>
      <c r="B7523" s="1">
        <v>40956</v>
      </c>
      <c r="C7523" t="s">
        <v>24</v>
      </c>
      <c r="D7523" s="7">
        <v>215</v>
      </c>
      <c r="E7523" s="7">
        <v>32</v>
      </c>
      <c r="F7523" s="7">
        <f t="shared" si="117"/>
        <v>6</v>
      </c>
      <c r="G7523" s="7" t="str">
        <f>LOOKUP(H7523,[1]startdates!$A$2:$A$10,[1]startdates!$B$2:$B$10)</f>
        <v>C</v>
      </c>
      <c r="H7523">
        <v>5</v>
      </c>
      <c r="I7523" s="7">
        <v>643.5</v>
      </c>
      <c r="M7523" s="7">
        <v>298.2</v>
      </c>
      <c r="N7523" s="7">
        <v>198.6</v>
      </c>
      <c r="O7523" s="7">
        <v>181.2</v>
      </c>
    </row>
    <row r="7524" spans="1:18" x14ac:dyDescent="0.2">
      <c r="A7524">
        <v>7523</v>
      </c>
      <c r="B7524" s="1">
        <v>40956</v>
      </c>
      <c r="C7524" t="s">
        <v>24</v>
      </c>
      <c r="D7524" s="7">
        <v>215</v>
      </c>
      <c r="E7524" s="7">
        <v>32</v>
      </c>
      <c r="F7524" s="7">
        <f t="shared" si="117"/>
        <v>6</v>
      </c>
      <c r="G7524" s="7" t="str">
        <f>LOOKUP(H7524,[1]startdates!$A$2:$A$10,[1]startdates!$B$2:$B$10)</f>
        <v>C</v>
      </c>
      <c r="H7524">
        <v>5</v>
      </c>
      <c r="I7524" s="7">
        <v>695</v>
      </c>
      <c r="M7524" s="7">
        <v>326.39999999999998</v>
      </c>
      <c r="N7524" s="7">
        <v>266</v>
      </c>
      <c r="O7524" s="7">
        <v>174.9</v>
      </c>
    </row>
    <row r="7525" spans="1:18" x14ac:dyDescent="0.2">
      <c r="A7525">
        <v>7524</v>
      </c>
      <c r="B7525" s="1">
        <v>40956</v>
      </c>
      <c r="C7525" t="s">
        <v>24</v>
      </c>
      <c r="D7525" s="7">
        <v>215</v>
      </c>
      <c r="E7525" s="7">
        <v>32</v>
      </c>
      <c r="F7525" s="7">
        <f t="shared" si="117"/>
        <v>6</v>
      </c>
      <c r="G7525" s="7" t="str">
        <f>LOOKUP(H7525,[1]startdates!$A$2:$A$10,[1]startdates!$B$2:$B$10)</f>
        <v>C</v>
      </c>
      <c r="H7525">
        <v>5</v>
      </c>
      <c r="N7525" s="7">
        <v>214.2</v>
      </c>
      <c r="O7525" s="7">
        <v>153.80000000000001</v>
      </c>
    </row>
    <row r="7526" spans="1:18" x14ac:dyDescent="0.2">
      <c r="A7526">
        <v>7525</v>
      </c>
      <c r="B7526" s="1">
        <v>40956</v>
      </c>
      <c r="C7526" t="s">
        <v>24</v>
      </c>
      <c r="D7526" s="7">
        <v>215</v>
      </c>
      <c r="E7526" s="7">
        <v>32</v>
      </c>
      <c r="F7526" s="7">
        <f t="shared" si="117"/>
        <v>6</v>
      </c>
      <c r="G7526" s="7" t="str">
        <f>LOOKUP(H7526,[1]startdates!$A$2:$A$10,[1]startdates!$B$2:$B$10)</f>
        <v>C</v>
      </c>
      <c r="H7526">
        <v>5</v>
      </c>
      <c r="N7526" s="7">
        <v>257.7</v>
      </c>
      <c r="O7526" s="7">
        <v>149</v>
      </c>
    </row>
    <row r="7527" spans="1:18" x14ac:dyDescent="0.2">
      <c r="A7527">
        <v>7526</v>
      </c>
      <c r="B7527" s="1">
        <v>40956</v>
      </c>
      <c r="C7527" t="s">
        <v>28</v>
      </c>
      <c r="D7527" s="7">
        <v>215</v>
      </c>
      <c r="E7527" s="7">
        <v>32</v>
      </c>
      <c r="F7527" s="7">
        <f t="shared" si="117"/>
        <v>6</v>
      </c>
      <c r="G7527" s="7" t="str">
        <f>LOOKUP(H7527,[1]startdates!$A$2:$A$10,[1]startdates!$B$2:$B$10)</f>
        <v>FMr</v>
      </c>
      <c r="H7527">
        <v>6</v>
      </c>
      <c r="I7527" s="7">
        <v>615.6</v>
      </c>
      <c r="J7527" s="7">
        <v>481.3</v>
      </c>
      <c r="K7527" s="7">
        <v>513.70000000000005</v>
      </c>
      <c r="L7527" s="7">
        <v>406.2</v>
      </c>
      <c r="M7527" s="7">
        <v>323.5</v>
      </c>
      <c r="N7527" s="7">
        <v>246.7</v>
      </c>
      <c r="O7527" s="7">
        <v>175.6</v>
      </c>
      <c r="P7527" s="7">
        <v>412.9</v>
      </c>
      <c r="R7527" s="7">
        <v>248.2</v>
      </c>
    </row>
    <row r="7528" spans="1:18" x14ac:dyDescent="0.2">
      <c r="A7528">
        <v>7527</v>
      </c>
      <c r="B7528" s="1">
        <v>40956</v>
      </c>
      <c r="C7528" t="s">
        <v>28</v>
      </c>
      <c r="D7528" s="7">
        <v>215</v>
      </c>
      <c r="E7528" s="7">
        <v>32</v>
      </c>
      <c r="F7528" s="7">
        <f t="shared" si="117"/>
        <v>6</v>
      </c>
      <c r="G7528" s="7" t="str">
        <f>LOOKUP(H7528,[1]startdates!$A$2:$A$10,[1]startdates!$B$2:$B$10)</f>
        <v>FMr</v>
      </c>
      <c r="H7528">
        <v>6</v>
      </c>
      <c r="I7528" s="7">
        <v>645.6</v>
      </c>
      <c r="K7528" s="7">
        <v>530.29999999999995</v>
      </c>
      <c r="L7528" s="7">
        <v>416.7</v>
      </c>
      <c r="M7528" s="7">
        <v>377</v>
      </c>
      <c r="N7528" s="7">
        <v>211.7</v>
      </c>
      <c r="O7528" s="7">
        <v>154.9</v>
      </c>
      <c r="P7528" s="7">
        <v>477.6</v>
      </c>
    </row>
    <row r="7529" spans="1:18" x14ac:dyDescent="0.2">
      <c r="A7529">
        <v>7528</v>
      </c>
      <c r="B7529" s="1">
        <v>40956</v>
      </c>
      <c r="C7529" t="s">
        <v>28</v>
      </c>
      <c r="D7529" s="7">
        <v>215</v>
      </c>
      <c r="E7529" s="7">
        <v>32</v>
      </c>
      <c r="F7529" s="7">
        <f t="shared" ref="F7529:F7592" si="118">WEEKDAY(B7529)</f>
        <v>6</v>
      </c>
      <c r="G7529" s="7" t="str">
        <f>LOOKUP(H7529,[1]startdates!$A$2:$A$10,[1]startdates!$B$2:$B$10)</f>
        <v>FMr</v>
      </c>
      <c r="H7529">
        <v>6</v>
      </c>
      <c r="I7529" s="7">
        <v>588.70000000000005</v>
      </c>
      <c r="K7529" s="7">
        <v>536.70000000000005</v>
      </c>
      <c r="M7529" s="7">
        <v>293.39999999999998</v>
      </c>
      <c r="N7529" s="7">
        <v>276.10000000000002</v>
      </c>
      <c r="O7529" s="7">
        <v>159</v>
      </c>
      <c r="P7529" s="7">
        <v>436</v>
      </c>
    </row>
    <row r="7530" spans="1:18" x14ac:dyDescent="0.2">
      <c r="A7530">
        <v>7529</v>
      </c>
      <c r="B7530" s="1">
        <v>40956</v>
      </c>
      <c r="C7530" t="s">
        <v>28</v>
      </c>
      <c r="D7530" s="7">
        <v>215</v>
      </c>
      <c r="E7530" s="7">
        <v>32</v>
      </c>
      <c r="F7530" s="7">
        <f t="shared" si="118"/>
        <v>6</v>
      </c>
      <c r="G7530" s="7" t="str">
        <f>LOOKUP(H7530,[1]startdates!$A$2:$A$10,[1]startdates!$B$2:$B$10)</f>
        <v>FMr</v>
      </c>
      <c r="H7530">
        <v>6</v>
      </c>
      <c r="I7530" s="7">
        <v>536.9</v>
      </c>
      <c r="K7530" s="7">
        <v>448.4</v>
      </c>
      <c r="M7530" s="7">
        <v>371.9</v>
      </c>
      <c r="N7530" s="7">
        <v>210.9</v>
      </c>
      <c r="O7530" s="7">
        <v>158.69999999999999</v>
      </c>
    </row>
    <row r="7531" spans="1:18" x14ac:dyDescent="0.2">
      <c r="A7531">
        <v>7530</v>
      </c>
      <c r="B7531" s="1">
        <v>40956</v>
      </c>
      <c r="C7531" t="s">
        <v>28</v>
      </c>
      <c r="D7531" s="7">
        <v>215</v>
      </c>
      <c r="E7531" s="7">
        <v>32</v>
      </c>
      <c r="F7531" s="7">
        <f t="shared" si="118"/>
        <v>6</v>
      </c>
      <c r="G7531" s="7" t="str">
        <f>LOOKUP(H7531,[1]startdates!$A$2:$A$10,[1]startdates!$B$2:$B$10)</f>
        <v>FMr</v>
      </c>
      <c r="H7531">
        <v>6</v>
      </c>
      <c r="I7531" s="7">
        <v>529.29999999999995</v>
      </c>
      <c r="K7531" s="7">
        <v>466.2</v>
      </c>
      <c r="M7531" s="7">
        <v>321.7</v>
      </c>
      <c r="N7531" s="7">
        <v>218.7</v>
      </c>
      <c r="O7531" s="7">
        <v>140.9</v>
      </c>
    </row>
    <row r="7532" spans="1:18" x14ac:dyDescent="0.2">
      <c r="A7532">
        <v>7531</v>
      </c>
      <c r="B7532" s="1">
        <v>40956</v>
      </c>
      <c r="C7532" t="s">
        <v>28</v>
      </c>
      <c r="D7532" s="7">
        <v>215</v>
      </c>
      <c r="E7532" s="7">
        <v>32</v>
      </c>
      <c r="F7532" s="7">
        <f t="shared" si="118"/>
        <v>6</v>
      </c>
      <c r="G7532" s="7" t="str">
        <f>LOOKUP(H7532,[1]startdates!$A$2:$A$10,[1]startdates!$B$2:$B$10)</f>
        <v>FMr</v>
      </c>
      <c r="H7532">
        <v>6</v>
      </c>
      <c r="I7532" s="7">
        <v>636.29999999999995</v>
      </c>
      <c r="K7532" s="7">
        <v>468.9</v>
      </c>
      <c r="M7532" s="7">
        <v>354.4</v>
      </c>
      <c r="N7532" s="7">
        <v>210.9</v>
      </c>
      <c r="O7532" s="7">
        <v>160.5</v>
      </c>
    </row>
    <row r="7533" spans="1:18" x14ac:dyDescent="0.2">
      <c r="A7533">
        <v>7532</v>
      </c>
      <c r="B7533" s="1">
        <v>40956</v>
      </c>
      <c r="C7533" t="s">
        <v>28</v>
      </c>
      <c r="D7533" s="7">
        <v>215</v>
      </c>
      <c r="E7533" s="7">
        <v>32</v>
      </c>
      <c r="F7533" s="7">
        <f t="shared" si="118"/>
        <v>6</v>
      </c>
      <c r="G7533" s="7" t="str">
        <f>LOOKUP(H7533,[1]startdates!$A$2:$A$10,[1]startdates!$B$2:$B$10)</f>
        <v>FMr</v>
      </c>
      <c r="H7533">
        <v>6</v>
      </c>
      <c r="I7533" s="7">
        <v>550.70000000000005</v>
      </c>
      <c r="K7533" s="7">
        <v>447.9</v>
      </c>
      <c r="M7533" s="7">
        <v>306.39999999999998</v>
      </c>
      <c r="N7533" s="7">
        <v>221.7</v>
      </c>
      <c r="O7533" s="7">
        <v>180.6</v>
      </c>
    </row>
    <row r="7534" spans="1:18" x14ac:dyDescent="0.2">
      <c r="A7534">
        <v>7533</v>
      </c>
      <c r="B7534" s="1">
        <v>40956</v>
      </c>
      <c r="C7534" t="s">
        <v>28</v>
      </c>
      <c r="D7534" s="7">
        <v>215</v>
      </c>
      <c r="E7534" s="7">
        <v>32</v>
      </c>
      <c r="F7534" s="7">
        <f t="shared" si="118"/>
        <v>6</v>
      </c>
      <c r="G7534" s="7" t="str">
        <f>LOOKUP(H7534,[1]startdates!$A$2:$A$10,[1]startdates!$B$2:$B$10)</f>
        <v>FMr</v>
      </c>
      <c r="H7534">
        <v>6</v>
      </c>
      <c r="I7534" s="7">
        <v>612.1</v>
      </c>
      <c r="K7534" s="7">
        <v>506.5</v>
      </c>
      <c r="N7534" s="7">
        <v>198.9</v>
      </c>
      <c r="O7534" s="7">
        <v>158.6</v>
      </c>
    </row>
    <row r="7535" spans="1:18" x14ac:dyDescent="0.2">
      <c r="A7535">
        <v>7534</v>
      </c>
      <c r="B7535" s="1">
        <v>40956</v>
      </c>
      <c r="C7535" t="s">
        <v>28</v>
      </c>
      <c r="D7535" s="7">
        <v>215</v>
      </c>
      <c r="E7535" s="7">
        <v>32</v>
      </c>
      <c r="F7535" s="7">
        <f t="shared" si="118"/>
        <v>6</v>
      </c>
      <c r="G7535" s="7" t="str">
        <f>LOOKUP(H7535,[1]startdates!$A$2:$A$10,[1]startdates!$B$2:$B$10)</f>
        <v>FMr</v>
      </c>
      <c r="H7535">
        <v>6</v>
      </c>
      <c r="I7535" s="7">
        <v>622.6</v>
      </c>
      <c r="K7535" s="7">
        <v>502.2</v>
      </c>
      <c r="N7535" s="7">
        <v>200.5</v>
      </c>
      <c r="O7535" s="7">
        <v>143.6</v>
      </c>
    </row>
    <row r="7536" spans="1:18" x14ac:dyDescent="0.2">
      <c r="A7536">
        <v>7535</v>
      </c>
      <c r="B7536" s="1">
        <v>40956</v>
      </c>
      <c r="C7536" t="s">
        <v>28</v>
      </c>
      <c r="D7536" s="7">
        <v>215</v>
      </c>
      <c r="E7536" s="7">
        <v>32</v>
      </c>
      <c r="F7536" s="7">
        <f t="shared" si="118"/>
        <v>6</v>
      </c>
      <c r="G7536" s="7" t="str">
        <f>LOOKUP(H7536,[1]startdates!$A$2:$A$10,[1]startdates!$B$2:$B$10)</f>
        <v>FMr</v>
      </c>
      <c r="H7536">
        <v>6</v>
      </c>
      <c r="I7536" s="7">
        <v>592.29999999999995</v>
      </c>
      <c r="K7536" s="7">
        <v>457.4</v>
      </c>
      <c r="N7536" s="7">
        <v>219.6</v>
      </c>
    </row>
    <row r="7537" spans="1:18" x14ac:dyDescent="0.2">
      <c r="A7537">
        <v>7536</v>
      </c>
      <c r="B7537" s="1">
        <v>40956</v>
      </c>
      <c r="C7537" t="s">
        <v>24</v>
      </c>
      <c r="D7537" s="7">
        <v>215</v>
      </c>
      <c r="E7537" s="7">
        <v>32</v>
      </c>
      <c r="F7537" s="7">
        <f t="shared" si="118"/>
        <v>6</v>
      </c>
      <c r="G7537" s="7" t="str">
        <f>LOOKUP(H7537,[1]startdates!$A$2:$A$10,[1]startdates!$B$2:$B$10)</f>
        <v>FMr</v>
      </c>
      <c r="H7537">
        <v>7</v>
      </c>
      <c r="I7537" s="7">
        <v>588.70000000000005</v>
      </c>
      <c r="J7537" s="7">
        <v>477</v>
      </c>
      <c r="K7537" s="7">
        <v>439.4</v>
      </c>
      <c r="L7537" s="7">
        <v>405.1</v>
      </c>
      <c r="M7537" s="7">
        <v>320.8</v>
      </c>
      <c r="N7537" s="7">
        <v>223.1</v>
      </c>
      <c r="O7537" s="7">
        <v>169.6</v>
      </c>
      <c r="P7537" s="7">
        <v>502.8</v>
      </c>
      <c r="Q7537" s="7">
        <v>400.6</v>
      </c>
      <c r="R7537" s="7">
        <v>276.7</v>
      </c>
    </row>
    <row r="7538" spans="1:18" x14ac:dyDescent="0.2">
      <c r="A7538">
        <v>7537</v>
      </c>
      <c r="B7538" s="1">
        <v>40956</v>
      </c>
      <c r="C7538" t="s">
        <v>24</v>
      </c>
      <c r="D7538" s="7">
        <v>215</v>
      </c>
      <c r="E7538" s="7">
        <v>32</v>
      </c>
      <c r="F7538" s="7">
        <f t="shared" si="118"/>
        <v>6</v>
      </c>
      <c r="G7538" s="7" t="str">
        <f>LOOKUP(H7538,[1]startdates!$A$2:$A$10,[1]startdates!$B$2:$B$10)</f>
        <v>FMr</v>
      </c>
      <c r="H7538">
        <v>7</v>
      </c>
      <c r="I7538" s="7">
        <v>630.29999999999995</v>
      </c>
      <c r="J7538" s="7">
        <v>442.6</v>
      </c>
      <c r="K7538" s="7">
        <v>457.7</v>
      </c>
      <c r="M7538" s="7">
        <v>288.60000000000002</v>
      </c>
      <c r="N7538" s="7">
        <v>222</v>
      </c>
      <c r="O7538" s="7">
        <v>168.3</v>
      </c>
      <c r="P7538" s="7">
        <v>452.9</v>
      </c>
      <c r="Q7538" s="7">
        <v>397.9</v>
      </c>
    </row>
    <row r="7539" spans="1:18" x14ac:dyDescent="0.2">
      <c r="A7539">
        <v>7538</v>
      </c>
      <c r="B7539" s="1">
        <v>40956</v>
      </c>
      <c r="C7539" t="s">
        <v>24</v>
      </c>
      <c r="D7539" s="7">
        <v>215</v>
      </c>
      <c r="E7539" s="7">
        <v>32</v>
      </c>
      <c r="F7539" s="7">
        <f t="shared" si="118"/>
        <v>6</v>
      </c>
      <c r="G7539" s="7" t="str">
        <f>LOOKUP(H7539,[1]startdates!$A$2:$A$10,[1]startdates!$B$2:$B$10)</f>
        <v>FMr</v>
      </c>
      <c r="H7539">
        <v>7</v>
      </c>
      <c r="I7539" s="7">
        <v>584.79999999999995</v>
      </c>
      <c r="J7539" s="7">
        <v>437</v>
      </c>
      <c r="K7539" s="7">
        <v>476.9</v>
      </c>
      <c r="M7539" s="7">
        <v>339.2</v>
      </c>
      <c r="N7539" s="7">
        <v>217.6</v>
      </c>
      <c r="O7539" s="7">
        <v>162</v>
      </c>
    </row>
    <row r="7540" spans="1:18" x14ac:dyDescent="0.2">
      <c r="A7540">
        <v>7539</v>
      </c>
      <c r="B7540" s="1">
        <v>40956</v>
      </c>
      <c r="C7540" t="s">
        <v>24</v>
      </c>
      <c r="D7540" s="7">
        <v>215</v>
      </c>
      <c r="E7540" s="7">
        <v>32</v>
      </c>
      <c r="F7540" s="7">
        <f t="shared" si="118"/>
        <v>6</v>
      </c>
      <c r="G7540" s="7" t="str">
        <f>LOOKUP(H7540,[1]startdates!$A$2:$A$10,[1]startdates!$B$2:$B$10)</f>
        <v>FMr</v>
      </c>
      <c r="H7540">
        <v>7</v>
      </c>
      <c r="I7540" s="7">
        <v>654.29999999999995</v>
      </c>
      <c r="J7540" s="7">
        <v>475.7</v>
      </c>
      <c r="K7540" s="7">
        <v>496</v>
      </c>
      <c r="N7540" s="7">
        <v>215.6</v>
      </c>
      <c r="O7540" s="7">
        <v>174.4</v>
      </c>
    </row>
    <row r="7541" spans="1:18" x14ac:dyDescent="0.2">
      <c r="A7541">
        <v>7540</v>
      </c>
      <c r="B7541" s="1">
        <v>40956</v>
      </c>
      <c r="C7541" t="s">
        <v>24</v>
      </c>
      <c r="D7541" s="7">
        <v>215</v>
      </c>
      <c r="E7541" s="7">
        <v>32</v>
      </c>
      <c r="F7541" s="7">
        <f t="shared" si="118"/>
        <v>6</v>
      </c>
      <c r="G7541" s="7" t="str">
        <f>LOOKUP(H7541,[1]startdates!$A$2:$A$10,[1]startdates!$B$2:$B$10)</f>
        <v>FMr</v>
      </c>
      <c r="H7541">
        <v>7</v>
      </c>
      <c r="I7541" s="7">
        <v>564.79999999999995</v>
      </c>
      <c r="K7541" s="7">
        <v>542</v>
      </c>
      <c r="N7541" s="7">
        <v>274.2</v>
      </c>
      <c r="O7541" s="7">
        <v>161.4</v>
      </c>
    </row>
    <row r="7542" spans="1:18" x14ac:dyDescent="0.2">
      <c r="A7542">
        <v>7541</v>
      </c>
      <c r="B7542" s="1">
        <v>40956</v>
      </c>
      <c r="C7542" t="s">
        <v>24</v>
      </c>
      <c r="D7542" s="7">
        <v>215</v>
      </c>
      <c r="E7542" s="7">
        <v>32</v>
      </c>
      <c r="F7542" s="7">
        <f t="shared" si="118"/>
        <v>6</v>
      </c>
      <c r="G7542" s="7" t="str">
        <f>LOOKUP(H7542,[1]startdates!$A$2:$A$10,[1]startdates!$B$2:$B$10)</f>
        <v>FMr</v>
      </c>
      <c r="H7542">
        <v>7</v>
      </c>
      <c r="I7542" s="7">
        <v>618.79999999999995</v>
      </c>
      <c r="K7542" s="7">
        <v>622.4</v>
      </c>
      <c r="N7542" s="7">
        <v>244.5</v>
      </c>
      <c r="O7542" s="7">
        <v>136.19999999999999</v>
      </c>
    </row>
    <row r="7543" spans="1:18" x14ac:dyDescent="0.2">
      <c r="A7543">
        <v>7542</v>
      </c>
      <c r="B7543" s="1">
        <v>40956</v>
      </c>
      <c r="C7543" t="s">
        <v>24</v>
      </c>
      <c r="D7543" s="7">
        <v>215</v>
      </c>
      <c r="E7543" s="7">
        <v>32</v>
      </c>
      <c r="F7543" s="7">
        <f t="shared" si="118"/>
        <v>6</v>
      </c>
      <c r="G7543" s="7" t="str">
        <f>LOOKUP(H7543,[1]startdates!$A$2:$A$10,[1]startdates!$B$2:$B$10)</f>
        <v>FMr</v>
      </c>
      <c r="H7543">
        <v>7</v>
      </c>
      <c r="I7543" s="7">
        <v>520.6</v>
      </c>
      <c r="K7543" s="7">
        <v>565.5</v>
      </c>
      <c r="N7543" s="7">
        <v>161.5</v>
      </c>
      <c r="O7543" s="7">
        <v>181.6</v>
      </c>
    </row>
    <row r="7544" spans="1:18" x14ac:dyDescent="0.2">
      <c r="A7544">
        <v>7543</v>
      </c>
      <c r="B7544" s="1">
        <v>40956</v>
      </c>
      <c r="C7544" t="s">
        <v>24</v>
      </c>
      <c r="D7544" s="7">
        <v>215</v>
      </c>
      <c r="E7544" s="7">
        <v>32</v>
      </c>
      <c r="F7544" s="7">
        <f t="shared" si="118"/>
        <v>6</v>
      </c>
      <c r="G7544" s="7" t="str">
        <f>LOOKUP(H7544,[1]startdates!$A$2:$A$10,[1]startdates!$B$2:$B$10)</f>
        <v>FMr</v>
      </c>
      <c r="H7544">
        <v>7</v>
      </c>
      <c r="I7544" s="7">
        <v>613.5</v>
      </c>
      <c r="K7544" s="7">
        <v>493.2</v>
      </c>
      <c r="N7544" s="7">
        <v>166.3</v>
      </c>
      <c r="O7544" s="7">
        <v>142.19999999999999</v>
      </c>
    </row>
    <row r="7545" spans="1:18" x14ac:dyDescent="0.2">
      <c r="A7545">
        <v>7544</v>
      </c>
      <c r="B7545" s="1">
        <v>40956</v>
      </c>
      <c r="C7545" t="s">
        <v>24</v>
      </c>
      <c r="D7545" s="7">
        <v>215</v>
      </c>
      <c r="E7545" s="7">
        <v>32</v>
      </c>
      <c r="F7545" s="7">
        <f t="shared" si="118"/>
        <v>6</v>
      </c>
      <c r="G7545" s="7" t="str">
        <f>LOOKUP(H7545,[1]startdates!$A$2:$A$10,[1]startdates!$B$2:$B$10)</f>
        <v>FMr</v>
      </c>
      <c r="H7545">
        <v>7</v>
      </c>
      <c r="I7545" s="7">
        <v>611.29999999999995</v>
      </c>
      <c r="K7545" s="7">
        <v>476.9</v>
      </c>
      <c r="N7545" s="7">
        <v>245.6</v>
      </c>
      <c r="O7545" s="7">
        <v>167.7</v>
      </c>
    </row>
    <row r="7546" spans="1:18" x14ac:dyDescent="0.2">
      <c r="A7546">
        <v>7545</v>
      </c>
      <c r="B7546" s="1">
        <v>40956</v>
      </c>
      <c r="C7546" t="s">
        <v>24</v>
      </c>
      <c r="D7546" s="7">
        <v>215</v>
      </c>
      <c r="E7546" s="7">
        <v>32</v>
      </c>
      <c r="F7546" s="7">
        <f t="shared" si="118"/>
        <v>6</v>
      </c>
      <c r="G7546" s="7" t="str">
        <f>LOOKUP(H7546,[1]startdates!$A$2:$A$10,[1]startdates!$B$2:$B$10)</f>
        <v>FMr</v>
      </c>
      <c r="H7546">
        <v>7</v>
      </c>
      <c r="I7546" s="7">
        <v>476.4</v>
      </c>
      <c r="N7546" s="7">
        <v>197.8</v>
      </c>
      <c r="O7546" s="7">
        <v>169.4</v>
      </c>
    </row>
    <row r="7547" spans="1:18" x14ac:dyDescent="0.2">
      <c r="A7547">
        <v>7546</v>
      </c>
      <c r="B7547" s="1">
        <v>40956</v>
      </c>
      <c r="C7547" t="s">
        <v>24</v>
      </c>
      <c r="D7547" s="7">
        <v>215</v>
      </c>
      <c r="E7547" s="7">
        <v>32</v>
      </c>
      <c r="F7547" s="7">
        <f t="shared" si="118"/>
        <v>6</v>
      </c>
      <c r="G7547" s="7" t="str">
        <f>LOOKUP(H7547,[1]startdates!$A$2:$A$10,[1]startdates!$B$2:$B$10)</f>
        <v>FMr</v>
      </c>
      <c r="H7547">
        <v>7</v>
      </c>
      <c r="I7547" s="7">
        <v>555.29999999999995</v>
      </c>
    </row>
    <row r="7548" spans="1:18" x14ac:dyDescent="0.2">
      <c r="A7548">
        <v>7547</v>
      </c>
      <c r="B7548" s="1">
        <v>40956</v>
      </c>
      <c r="C7548" t="s">
        <v>24</v>
      </c>
      <c r="D7548" s="7">
        <v>215</v>
      </c>
      <c r="E7548" s="7">
        <v>32</v>
      </c>
      <c r="F7548" s="7">
        <f t="shared" si="118"/>
        <v>6</v>
      </c>
      <c r="G7548" s="7" t="str">
        <f>LOOKUP(H7548,[1]startdates!$A$2:$A$10,[1]startdates!$B$2:$B$10)</f>
        <v>FMr</v>
      </c>
      <c r="H7548">
        <v>7</v>
      </c>
      <c r="I7548" s="7">
        <v>589.70000000000005</v>
      </c>
    </row>
    <row r="7549" spans="1:18" x14ac:dyDescent="0.2">
      <c r="A7549">
        <v>7548</v>
      </c>
      <c r="B7549" s="1">
        <v>40956</v>
      </c>
      <c r="C7549" t="s">
        <v>28</v>
      </c>
      <c r="D7549" s="7">
        <v>215</v>
      </c>
      <c r="E7549" s="7">
        <v>32</v>
      </c>
      <c r="F7549" s="7">
        <f t="shared" si="118"/>
        <v>6</v>
      </c>
      <c r="G7549" s="7" t="str">
        <f>LOOKUP(H7549,[1]startdates!$A$2:$A$10,[1]startdates!$B$2:$B$10)</f>
        <v>C</v>
      </c>
      <c r="H7549">
        <v>8</v>
      </c>
      <c r="I7549" s="7">
        <v>704.7</v>
      </c>
      <c r="J7549" s="7">
        <v>546.79999999999995</v>
      </c>
      <c r="K7549" s="7">
        <v>504.4</v>
      </c>
      <c r="L7549" s="7">
        <v>414.3</v>
      </c>
      <c r="M7549" s="7">
        <v>295.3</v>
      </c>
      <c r="N7549" s="7">
        <v>229</v>
      </c>
      <c r="O7549" s="7">
        <v>146.6</v>
      </c>
      <c r="P7549" s="7">
        <v>457.8</v>
      </c>
    </row>
    <row r="7550" spans="1:18" x14ac:dyDescent="0.2">
      <c r="A7550">
        <v>7549</v>
      </c>
      <c r="B7550" s="1">
        <v>40956</v>
      </c>
      <c r="C7550" t="s">
        <v>28</v>
      </c>
      <c r="D7550" s="7">
        <v>215</v>
      </c>
      <c r="E7550" s="7">
        <v>32</v>
      </c>
      <c r="F7550" s="7">
        <f t="shared" si="118"/>
        <v>6</v>
      </c>
      <c r="G7550" s="7" t="str">
        <f>LOOKUP(H7550,[1]startdates!$A$2:$A$10,[1]startdates!$B$2:$B$10)</f>
        <v>C</v>
      </c>
      <c r="H7550">
        <v>8</v>
      </c>
      <c r="I7550" s="7">
        <v>660.7</v>
      </c>
      <c r="J7550" s="7">
        <v>474.5</v>
      </c>
      <c r="K7550" s="7">
        <v>496.4</v>
      </c>
      <c r="L7550" s="7">
        <v>403.4</v>
      </c>
      <c r="M7550" s="7">
        <v>341.8</v>
      </c>
      <c r="N7550" s="7">
        <v>201.4</v>
      </c>
      <c r="O7550" s="7">
        <v>151.4</v>
      </c>
    </row>
    <row r="7551" spans="1:18" x14ac:dyDescent="0.2">
      <c r="A7551">
        <v>7550</v>
      </c>
      <c r="B7551" s="1">
        <v>40956</v>
      </c>
      <c r="C7551" t="s">
        <v>28</v>
      </c>
      <c r="D7551" s="7">
        <v>215</v>
      </c>
      <c r="E7551" s="7">
        <v>32</v>
      </c>
      <c r="F7551" s="7">
        <f t="shared" si="118"/>
        <v>6</v>
      </c>
      <c r="G7551" s="7" t="str">
        <f>LOOKUP(H7551,[1]startdates!$A$2:$A$10,[1]startdates!$B$2:$B$10)</f>
        <v>C</v>
      </c>
      <c r="H7551">
        <v>8</v>
      </c>
      <c r="I7551" s="7">
        <v>572.4</v>
      </c>
      <c r="J7551" s="7">
        <v>550.1</v>
      </c>
      <c r="K7551" s="7">
        <v>594.1</v>
      </c>
      <c r="L7551" s="7">
        <v>402</v>
      </c>
      <c r="M7551" s="7">
        <v>309.5</v>
      </c>
      <c r="N7551" s="7">
        <v>189.8</v>
      </c>
      <c r="O7551" s="7">
        <v>169.7</v>
      </c>
    </row>
    <row r="7552" spans="1:18" x14ac:dyDescent="0.2">
      <c r="A7552">
        <v>7551</v>
      </c>
      <c r="B7552" s="1">
        <v>40956</v>
      </c>
      <c r="C7552" t="s">
        <v>28</v>
      </c>
      <c r="D7552" s="7">
        <v>215</v>
      </c>
      <c r="E7552" s="7">
        <v>32</v>
      </c>
      <c r="F7552" s="7">
        <f t="shared" si="118"/>
        <v>6</v>
      </c>
      <c r="G7552" s="7" t="str">
        <f>LOOKUP(H7552,[1]startdates!$A$2:$A$10,[1]startdates!$B$2:$B$10)</f>
        <v>C</v>
      </c>
      <c r="H7552">
        <v>8</v>
      </c>
      <c r="I7552" s="7">
        <v>590.70000000000005</v>
      </c>
      <c r="J7552" s="7">
        <v>490.2</v>
      </c>
      <c r="K7552" s="7">
        <v>601.9</v>
      </c>
      <c r="M7552" s="7">
        <v>369.1</v>
      </c>
      <c r="N7552" s="7">
        <v>182.8</v>
      </c>
      <c r="O7552" s="7">
        <v>185.8</v>
      </c>
    </row>
    <row r="7553" spans="1:17" x14ac:dyDescent="0.2">
      <c r="A7553">
        <v>7552</v>
      </c>
      <c r="B7553" s="1">
        <v>40956</v>
      </c>
      <c r="C7553" t="s">
        <v>28</v>
      </c>
      <c r="D7553" s="7">
        <v>215</v>
      </c>
      <c r="E7553" s="7">
        <v>32</v>
      </c>
      <c r="F7553" s="7">
        <f t="shared" si="118"/>
        <v>6</v>
      </c>
      <c r="G7553" s="7" t="str">
        <f>LOOKUP(H7553,[1]startdates!$A$2:$A$10,[1]startdates!$B$2:$B$10)</f>
        <v>C</v>
      </c>
      <c r="H7553">
        <v>8</v>
      </c>
      <c r="I7553" s="7">
        <v>573.1</v>
      </c>
      <c r="J7553" s="7">
        <v>483.2</v>
      </c>
      <c r="K7553" s="7">
        <v>648.6</v>
      </c>
      <c r="M7553" s="7">
        <v>380.7</v>
      </c>
      <c r="N7553" s="7">
        <v>257.2</v>
      </c>
      <c r="O7553" s="7">
        <v>189.5</v>
      </c>
    </row>
    <row r="7554" spans="1:17" x14ac:dyDescent="0.2">
      <c r="A7554">
        <v>7553</v>
      </c>
      <c r="B7554" s="1">
        <v>40956</v>
      </c>
      <c r="C7554" t="s">
        <v>28</v>
      </c>
      <c r="D7554" s="7">
        <v>215</v>
      </c>
      <c r="E7554" s="7">
        <v>32</v>
      </c>
      <c r="F7554" s="7">
        <f t="shared" si="118"/>
        <v>6</v>
      </c>
      <c r="G7554" s="7" t="str">
        <f>LOOKUP(H7554,[1]startdates!$A$2:$A$10,[1]startdates!$B$2:$B$10)</f>
        <v>C</v>
      </c>
      <c r="H7554">
        <v>8</v>
      </c>
      <c r="I7554" s="7">
        <v>631</v>
      </c>
      <c r="J7554" s="7">
        <v>500.8</v>
      </c>
      <c r="M7554" s="7">
        <v>372</v>
      </c>
      <c r="N7554" s="7">
        <v>191</v>
      </c>
      <c r="O7554" s="7">
        <v>153.1</v>
      </c>
    </row>
    <row r="7555" spans="1:17" x14ac:dyDescent="0.2">
      <c r="A7555">
        <v>7554</v>
      </c>
      <c r="B7555" s="1">
        <v>40956</v>
      </c>
      <c r="C7555" t="s">
        <v>28</v>
      </c>
      <c r="D7555" s="7">
        <v>215</v>
      </c>
      <c r="E7555" s="7">
        <v>32</v>
      </c>
      <c r="F7555" s="7">
        <f t="shared" si="118"/>
        <v>6</v>
      </c>
      <c r="G7555" s="7" t="str">
        <f>LOOKUP(H7555,[1]startdates!$A$2:$A$10,[1]startdates!$B$2:$B$10)</f>
        <v>C</v>
      </c>
      <c r="H7555">
        <v>8</v>
      </c>
      <c r="I7555" s="7">
        <v>712.8</v>
      </c>
      <c r="J7555" s="7">
        <v>532.9</v>
      </c>
      <c r="M7555" s="7">
        <v>301.5</v>
      </c>
      <c r="N7555" s="7">
        <v>202.8</v>
      </c>
      <c r="O7555" s="7">
        <v>175.4</v>
      </c>
    </row>
    <row r="7556" spans="1:17" x14ac:dyDescent="0.2">
      <c r="A7556">
        <v>7555</v>
      </c>
      <c r="B7556" s="1">
        <v>40956</v>
      </c>
      <c r="C7556" t="s">
        <v>28</v>
      </c>
      <c r="D7556" s="7">
        <v>215</v>
      </c>
      <c r="E7556" s="7">
        <v>32</v>
      </c>
      <c r="F7556" s="7">
        <f t="shared" si="118"/>
        <v>6</v>
      </c>
      <c r="G7556" s="7" t="str">
        <f>LOOKUP(H7556,[1]startdates!$A$2:$A$10,[1]startdates!$B$2:$B$10)</f>
        <v>C</v>
      </c>
      <c r="H7556">
        <v>8</v>
      </c>
      <c r="I7556" s="7">
        <v>622.29999999999995</v>
      </c>
      <c r="N7556" s="7">
        <v>253.3</v>
      </c>
      <c r="O7556" s="7">
        <v>171.6</v>
      </c>
    </row>
    <row r="7557" spans="1:17" x14ac:dyDescent="0.2">
      <c r="A7557">
        <v>7556</v>
      </c>
      <c r="B7557" s="1">
        <v>40956</v>
      </c>
      <c r="C7557" t="s">
        <v>28</v>
      </c>
      <c r="D7557" s="7">
        <v>215</v>
      </c>
      <c r="E7557" s="7">
        <v>32</v>
      </c>
      <c r="F7557" s="7">
        <f t="shared" si="118"/>
        <v>6</v>
      </c>
      <c r="G7557" s="7" t="str">
        <f>LOOKUP(H7557,[1]startdates!$A$2:$A$10,[1]startdates!$B$2:$B$10)</f>
        <v>C</v>
      </c>
      <c r="H7557">
        <v>8</v>
      </c>
      <c r="I7557" s="7">
        <v>674.4</v>
      </c>
      <c r="N7557" s="7">
        <v>254.3</v>
      </c>
      <c r="O7557" s="7">
        <v>174.9</v>
      </c>
    </row>
    <row r="7558" spans="1:17" x14ac:dyDescent="0.2">
      <c r="A7558">
        <v>7557</v>
      </c>
      <c r="B7558" s="1">
        <v>40956</v>
      </c>
      <c r="C7558" t="s">
        <v>28</v>
      </c>
      <c r="D7558" s="7">
        <v>215</v>
      </c>
      <c r="E7558" s="7">
        <v>32</v>
      </c>
      <c r="F7558" s="7">
        <f t="shared" si="118"/>
        <v>6</v>
      </c>
      <c r="G7558" s="7" t="str">
        <f>LOOKUP(H7558,[1]startdates!$A$2:$A$10,[1]startdates!$B$2:$B$10)</f>
        <v>C</v>
      </c>
      <c r="H7558">
        <v>8</v>
      </c>
      <c r="I7558" s="7">
        <v>605.4</v>
      </c>
      <c r="N7558" s="7">
        <v>185.4</v>
      </c>
      <c r="O7558" s="7">
        <v>143.80000000000001</v>
      </c>
    </row>
    <row r="7559" spans="1:17" x14ac:dyDescent="0.2">
      <c r="A7559">
        <v>7558</v>
      </c>
      <c r="B7559" s="1">
        <v>40956</v>
      </c>
      <c r="C7559" t="s">
        <v>28</v>
      </c>
      <c r="D7559" s="7">
        <v>215</v>
      </c>
      <c r="E7559" s="7">
        <v>32</v>
      </c>
      <c r="F7559" s="7">
        <f t="shared" si="118"/>
        <v>6</v>
      </c>
      <c r="G7559" s="7" t="str">
        <f>LOOKUP(H7559,[1]startdates!$A$2:$A$10,[1]startdates!$B$2:$B$10)</f>
        <v>FMr</v>
      </c>
      <c r="H7559">
        <v>9</v>
      </c>
      <c r="I7559" s="7">
        <v>637.70000000000005</v>
      </c>
      <c r="J7559" s="7">
        <v>506.1</v>
      </c>
      <c r="K7559" s="7">
        <v>506.3</v>
      </c>
      <c r="L7559" s="7">
        <v>391.1</v>
      </c>
      <c r="M7559" s="7">
        <v>337.2</v>
      </c>
      <c r="N7559" s="7">
        <v>247.7</v>
      </c>
      <c r="O7559" s="7">
        <v>162.69999999999999</v>
      </c>
      <c r="P7559" s="7">
        <v>421.5</v>
      </c>
      <c r="Q7559" s="7">
        <v>333.1</v>
      </c>
    </row>
    <row r="7560" spans="1:17" x14ac:dyDescent="0.2">
      <c r="A7560">
        <v>7559</v>
      </c>
      <c r="B7560" s="1">
        <v>40956</v>
      </c>
      <c r="C7560" t="s">
        <v>28</v>
      </c>
      <c r="D7560" s="7">
        <v>215</v>
      </c>
      <c r="E7560" s="7">
        <v>32</v>
      </c>
      <c r="F7560" s="7">
        <f t="shared" si="118"/>
        <v>6</v>
      </c>
      <c r="G7560" s="7" t="str">
        <f>LOOKUP(H7560,[1]startdates!$A$2:$A$10,[1]startdates!$B$2:$B$10)</f>
        <v>FMr</v>
      </c>
      <c r="H7560">
        <v>9</v>
      </c>
      <c r="I7560" s="7">
        <v>576.5</v>
      </c>
      <c r="J7560" s="7">
        <v>508.9</v>
      </c>
      <c r="K7560" s="7">
        <v>460.5</v>
      </c>
      <c r="L7560" s="7">
        <v>414.3</v>
      </c>
      <c r="M7560" s="7">
        <v>330.6</v>
      </c>
      <c r="N7560" s="7">
        <v>235.5</v>
      </c>
      <c r="O7560" s="7">
        <v>153.1</v>
      </c>
      <c r="P7560" s="7">
        <v>394.5</v>
      </c>
      <c r="Q7560" s="7">
        <v>340.3</v>
      </c>
    </row>
    <row r="7561" spans="1:17" x14ac:dyDescent="0.2">
      <c r="A7561">
        <v>7560</v>
      </c>
      <c r="B7561" s="1">
        <v>40956</v>
      </c>
      <c r="C7561" t="s">
        <v>28</v>
      </c>
      <c r="D7561" s="7">
        <v>215</v>
      </c>
      <c r="E7561" s="7">
        <v>32</v>
      </c>
      <c r="F7561" s="7">
        <f t="shared" si="118"/>
        <v>6</v>
      </c>
      <c r="G7561" s="7" t="str">
        <f>LOOKUP(H7561,[1]startdates!$A$2:$A$10,[1]startdates!$B$2:$B$10)</f>
        <v>FMr</v>
      </c>
      <c r="H7561">
        <v>9</v>
      </c>
      <c r="I7561" s="7">
        <v>551.9</v>
      </c>
      <c r="K7561" s="7">
        <v>524</v>
      </c>
      <c r="L7561" s="7">
        <v>402.2</v>
      </c>
      <c r="M7561" s="7">
        <v>329.5</v>
      </c>
      <c r="N7561" s="7">
        <v>283.7</v>
      </c>
      <c r="O7561" s="7">
        <v>171.5</v>
      </c>
      <c r="Q7561" s="7">
        <v>356.2</v>
      </c>
    </row>
    <row r="7562" spans="1:17" x14ac:dyDescent="0.2">
      <c r="A7562">
        <v>7561</v>
      </c>
      <c r="B7562" s="1">
        <v>40956</v>
      </c>
      <c r="C7562" t="s">
        <v>28</v>
      </c>
      <c r="D7562" s="7">
        <v>215</v>
      </c>
      <c r="E7562" s="7">
        <v>32</v>
      </c>
      <c r="F7562" s="7">
        <f t="shared" si="118"/>
        <v>6</v>
      </c>
      <c r="G7562" s="7" t="str">
        <f>LOOKUP(H7562,[1]startdates!$A$2:$A$10,[1]startdates!$B$2:$B$10)</f>
        <v>FMr</v>
      </c>
      <c r="H7562">
        <v>9</v>
      </c>
      <c r="I7562" s="7">
        <v>565</v>
      </c>
      <c r="K7562" s="7">
        <v>498.3</v>
      </c>
      <c r="L7562" s="7">
        <v>400.1</v>
      </c>
      <c r="M7562" s="7">
        <v>308.3</v>
      </c>
      <c r="N7562" s="7">
        <v>198.3</v>
      </c>
      <c r="O7562" s="7">
        <v>178.6</v>
      </c>
    </row>
    <row r="7563" spans="1:17" x14ac:dyDescent="0.2">
      <c r="A7563">
        <v>7562</v>
      </c>
      <c r="B7563" s="1">
        <v>40956</v>
      </c>
      <c r="C7563" t="s">
        <v>28</v>
      </c>
      <c r="D7563" s="7">
        <v>215</v>
      </c>
      <c r="E7563" s="7">
        <v>32</v>
      </c>
      <c r="F7563" s="7">
        <f t="shared" si="118"/>
        <v>6</v>
      </c>
      <c r="G7563" s="7" t="str">
        <f>LOOKUP(H7563,[1]startdates!$A$2:$A$10,[1]startdates!$B$2:$B$10)</f>
        <v>FMr</v>
      </c>
      <c r="H7563">
        <v>9</v>
      </c>
      <c r="I7563" s="7">
        <v>514.29999999999995</v>
      </c>
      <c r="K7563" s="7">
        <v>490</v>
      </c>
      <c r="L7563" s="7">
        <v>373.7</v>
      </c>
      <c r="M7563" s="7">
        <v>375.1</v>
      </c>
      <c r="N7563" s="7">
        <v>206.1</v>
      </c>
      <c r="O7563" s="7">
        <v>178.2</v>
      </c>
    </row>
    <row r="7564" spans="1:17" x14ac:dyDescent="0.2">
      <c r="A7564">
        <v>7563</v>
      </c>
      <c r="B7564" s="1">
        <v>40956</v>
      </c>
      <c r="C7564" t="s">
        <v>28</v>
      </c>
      <c r="D7564" s="7">
        <v>215</v>
      </c>
      <c r="E7564" s="7">
        <v>32</v>
      </c>
      <c r="F7564" s="7">
        <f t="shared" si="118"/>
        <v>6</v>
      </c>
      <c r="G7564" s="7" t="str">
        <f>LOOKUP(H7564,[1]startdates!$A$2:$A$10,[1]startdates!$B$2:$B$10)</f>
        <v>FMr</v>
      </c>
      <c r="H7564">
        <v>9</v>
      </c>
      <c r="I7564" s="7">
        <v>573.1</v>
      </c>
      <c r="K7564" s="7">
        <v>512</v>
      </c>
      <c r="M7564" s="7">
        <v>382.9</v>
      </c>
      <c r="N7564" s="7">
        <v>215.6</v>
      </c>
      <c r="O7564" s="7">
        <v>187.7</v>
      </c>
    </row>
    <row r="7565" spans="1:17" x14ac:dyDescent="0.2">
      <c r="A7565">
        <v>7564</v>
      </c>
      <c r="B7565" s="1">
        <v>40956</v>
      </c>
      <c r="C7565" t="s">
        <v>28</v>
      </c>
      <c r="D7565" s="7">
        <v>215</v>
      </c>
      <c r="E7565" s="7">
        <v>32</v>
      </c>
      <c r="F7565" s="7">
        <f t="shared" si="118"/>
        <v>6</v>
      </c>
      <c r="G7565" s="7" t="str">
        <f>LOOKUP(H7565,[1]startdates!$A$2:$A$10,[1]startdates!$B$2:$B$10)</f>
        <v>FMr</v>
      </c>
      <c r="H7565">
        <v>9</v>
      </c>
      <c r="I7565" s="7">
        <v>625.4</v>
      </c>
      <c r="K7565" s="7">
        <v>433.7</v>
      </c>
      <c r="M7565" s="7">
        <v>354.9</v>
      </c>
      <c r="N7565" s="7">
        <v>215.1</v>
      </c>
      <c r="O7565" s="7">
        <v>178.1</v>
      </c>
    </row>
    <row r="7566" spans="1:17" x14ac:dyDescent="0.2">
      <c r="A7566">
        <v>7565</v>
      </c>
      <c r="B7566" s="1">
        <v>40956</v>
      </c>
      <c r="C7566" t="s">
        <v>28</v>
      </c>
      <c r="D7566" s="7">
        <v>215</v>
      </c>
      <c r="E7566" s="7">
        <v>32</v>
      </c>
      <c r="F7566" s="7">
        <f t="shared" si="118"/>
        <v>6</v>
      </c>
      <c r="G7566" s="7" t="str">
        <f>LOOKUP(H7566,[1]startdates!$A$2:$A$10,[1]startdates!$B$2:$B$10)</f>
        <v>FMr</v>
      </c>
      <c r="H7566">
        <v>9</v>
      </c>
      <c r="I7566" s="7">
        <v>530.20000000000005</v>
      </c>
      <c r="K7566" s="7">
        <v>454.7</v>
      </c>
      <c r="M7566" s="7">
        <v>357.6</v>
      </c>
      <c r="N7566" s="7">
        <v>252.9</v>
      </c>
      <c r="O7566" s="7">
        <v>165.3</v>
      </c>
    </row>
    <row r="7567" spans="1:17" x14ac:dyDescent="0.2">
      <c r="A7567">
        <v>7566</v>
      </c>
      <c r="B7567" s="1">
        <v>40956</v>
      </c>
      <c r="C7567" t="s">
        <v>28</v>
      </c>
      <c r="D7567" s="7">
        <v>215</v>
      </c>
      <c r="E7567" s="7">
        <v>32</v>
      </c>
      <c r="F7567" s="7">
        <f t="shared" si="118"/>
        <v>6</v>
      </c>
      <c r="G7567" s="7" t="str">
        <f>LOOKUP(H7567,[1]startdates!$A$2:$A$10,[1]startdates!$B$2:$B$10)</f>
        <v>FMr</v>
      </c>
      <c r="H7567">
        <v>9</v>
      </c>
      <c r="I7567" s="7">
        <v>511.8</v>
      </c>
      <c r="K7567" s="7">
        <v>570.5</v>
      </c>
      <c r="M7567" s="7">
        <v>379.9</v>
      </c>
      <c r="N7567" s="7">
        <v>210.9</v>
      </c>
      <c r="O7567" s="7">
        <v>152.6</v>
      </c>
    </row>
    <row r="7568" spans="1:17" x14ac:dyDescent="0.2">
      <c r="A7568">
        <v>7567</v>
      </c>
      <c r="B7568" s="1">
        <v>40956</v>
      </c>
      <c r="C7568" t="s">
        <v>28</v>
      </c>
      <c r="D7568" s="7">
        <v>215</v>
      </c>
      <c r="E7568" s="7">
        <v>32</v>
      </c>
      <c r="F7568" s="7">
        <f t="shared" si="118"/>
        <v>6</v>
      </c>
      <c r="G7568" s="7" t="str">
        <f>LOOKUP(H7568,[1]startdates!$A$2:$A$10,[1]startdates!$B$2:$B$10)</f>
        <v>FMr</v>
      </c>
      <c r="H7568">
        <v>9</v>
      </c>
      <c r="I7568" s="7">
        <v>523.6</v>
      </c>
      <c r="K7568" s="7">
        <v>519.79999999999995</v>
      </c>
      <c r="N7568" s="7">
        <v>283.60000000000002</v>
      </c>
      <c r="O7568" s="7">
        <v>181.6</v>
      </c>
    </row>
    <row r="7569" spans="1:21" x14ac:dyDescent="0.2">
      <c r="A7569">
        <v>7568</v>
      </c>
      <c r="B7569" s="1">
        <v>40960</v>
      </c>
      <c r="C7569" t="s">
        <v>28</v>
      </c>
      <c r="D7569" s="7">
        <v>219</v>
      </c>
      <c r="E7569" s="7">
        <v>33</v>
      </c>
      <c r="F7569" s="7">
        <f t="shared" si="118"/>
        <v>3</v>
      </c>
      <c r="G7569" s="7" t="str">
        <f>LOOKUP(H7569,[1]startdates!$A$2:$A$10,[1]startdates!$B$2:$B$10)</f>
        <v>SMr</v>
      </c>
      <c r="H7569">
        <v>1</v>
      </c>
      <c r="I7569" s="7">
        <v>585.9</v>
      </c>
      <c r="J7569" s="7">
        <v>467.9</v>
      </c>
      <c r="N7569" s="7">
        <v>222.4</v>
      </c>
      <c r="O7569" s="7">
        <v>174.9</v>
      </c>
    </row>
    <row r="7570" spans="1:21" x14ac:dyDescent="0.2">
      <c r="A7570">
        <v>7569</v>
      </c>
      <c r="B7570" s="1">
        <v>40960</v>
      </c>
      <c r="C7570" t="s">
        <v>28</v>
      </c>
      <c r="D7570" s="7">
        <v>219</v>
      </c>
      <c r="E7570" s="7">
        <v>33</v>
      </c>
      <c r="F7570" s="7">
        <f t="shared" si="118"/>
        <v>3</v>
      </c>
      <c r="G7570" s="7" t="str">
        <f>LOOKUP(H7570,[1]startdates!$A$2:$A$10,[1]startdates!$B$2:$B$10)</f>
        <v>SMr</v>
      </c>
      <c r="H7570">
        <v>1</v>
      </c>
      <c r="I7570" s="7">
        <v>618.4</v>
      </c>
      <c r="J7570" s="7">
        <v>606.1</v>
      </c>
      <c r="K7570" s="7">
        <v>512</v>
      </c>
      <c r="L7570" s="7">
        <v>425</v>
      </c>
      <c r="M7570" s="7">
        <v>334.3</v>
      </c>
      <c r="N7570" s="7">
        <v>206.1</v>
      </c>
      <c r="O7570" s="7">
        <v>143</v>
      </c>
      <c r="P7570" s="7">
        <v>459.9</v>
      </c>
      <c r="Q7570" s="7">
        <v>327.2</v>
      </c>
      <c r="U7570" s="7">
        <v>524.4</v>
      </c>
    </row>
    <row r="7571" spans="1:21" x14ac:dyDescent="0.2">
      <c r="A7571">
        <v>7570</v>
      </c>
      <c r="B7571" s="1">
        <v>40960</v>
      </c>
      <c r="C7571" t="s">
        <v>28</v>
      </c>
      <c r="D7571" s="7">
        <v>219</v>
      </c>
      <c r="E7571" s="7">
        <v>33</v>
      </c>
      <c r="F7571" s="7">
        <f t="shared" si="118"/>
        <v>3</v>
      </c>
      <c r="G7571" s="7" t="str">
        <f>LOOKUP(H7571,[1]startdates!$A$2:$A$10,[1]startdates!$B$2:$B$10)</f>
        <v>SMr</v>
      </c>
      <c r="H7571">
        <v>1</v>
      </c>
      <c r="I7571" s="7">
        <v>520</v>
      </c>
      <c r="J7571" s="7">
        <v>444.8</v>
      </c>
      <c r="K7571" s="7">
        <v>566.70000000000005</v>
      </c>
      <c r="L7571" s="7">
        <v>395.2</v>
      </c>
      <c r="M7571" s="7">
        <v>357.2</v>
      </c>
      <c r="N7571" s="7">
        <v>230.6</v>
      </c>
      <c r="O7571" s="7">
        <v>151</v>
      </c>
      <c r="P7571" s="7">
        <v>481</v>
      </c>
      <c r="Q7571" s="7">
        <v>309.5</v>
      </c>
      <c r="U7571" s="7">
        <v>428.8</v>
      </c>
    </row>
    <row r="7572" spans="1:21" x14ac:dyDescent="0.2">
      <c r="A7572">
        <v>7571</v>
      </c>
      <c r="B7572" s="1">
        <v>40960</v>
      </c>
      <c r="C7572" t="s">
        <v>28</v>
      </c>
      <c r="D7572" s="7">
        <v>219</v>
      </c>
      <c r="E7572" s="7">
        <v>33</v>
      </c>
      <c r="F7572" s="7">
        <f t="shared" si="118"/>
        <v>3</v>
      </c>
      <c r="G7572" s="7" t="str">
        <f>LOOKUP(H7572,[1]startdates!$A$2:$A$10,[1]startdates!$B$2:$B$10)</f>
        <v>SMr</v>
      </c>
      <c r="H7572">
        <v>1</v>
      </c>
      <c r="I7572" s="7">
        <v>593.9</v>
      </c>
      <c r="J7572" s="7">
        <v>528.5</v>
      </c>
      <c r="L7572" s="7">
        <v>425.3</v>
      </c>
      <c r="M7572" s="7">
        <v>325.5</v>
      </c>
      <c r="N7572" s="7">
        <v>214.4</v>
      </c>
      <c r="O7572" s="7">
        <v>155.30000000000001</v>
      </c>
      <c r="P7572" s="7">
        <v>401.5</v>
      </c>
    </row>
    <row r="7573" spans="1:21" x14ac:dyDescent="0.2">
      <c r="A7573">
        <v>7572</v>
      </c>
      <c r="B7573" s="1">
        <v>40960</v>
      </c>
      <c r="C7573" t="s">
        <v>28</v>
      </c>
      <c r="D7573" s="7">
        <v>219</v>
      </c>
      <c r="E7573" s="7">
        <v>33</v>
      </c>
      <c r="F7573" s="7">
        <f t="shared" si="118"/>
        <v>3</v>
      </c>
      <c r="G7573" s="7" t="str">
        <f>LOOKUP(H7573,[1]startdates!$A$2:$A$10,[1]startdates!$B$2:$B$10)</f>
        <v>SMr</v>
      </c>
      <c r="H7573">
        <v>1</v>
      </c>
      <c r="I7573" s="7">
        <v>576.79999999999995</v>
      </c>
      <c r="M7573" s="7">
        <v>304.5</v>
      </c>
      <c r="N7573" s="7">
        <v>198.3</v>
      </c>
      <c r="O7573" s="7">
        <v>158.4</v>
      </c>
      <c r="P7573" s="7">
        <v>418.1</v>
      </c>
    </row>
    <row r="7574" spans="1:21" x14ac:dyDescent="0.2">
      <c r="A7574">
        <v>7573</v>
      </c>
      <c r="B7574" s="1">
        <v>40960</v>
      </c>
      <c r="C7574" t="s">
        <v>28</v>
      </c>
      <c r="D7574" s="7">
        <v>219</v>
      </c>
      <c r="E7574" s="7">
        <v>33</v>
      </c>
      <c r="F7574" s="7">
        <f t="shared" si="118"/>
        <v>3</v>
      </c>
      <c r="G7574" s="7" t="str">
        <f>LOOKUP(H7574,[1]startdates!$A$2:$A$10,[1]startdates!$B$2:$B$10)</f>
        <v>SMr</v>
      </c>
      <c r="H7574">
        <v>1</v>
      </c>
      <c r="I7574" s="7">
        <v>695.1</v>
      </c>
      <c r="M7574" s="7">
        <v>348</v>
      </c>
      <c r="N7574" s="7">
        <v>261.39999999999998</v>
      </c>
      <c r="O7574" s="7">
        <v>145.9</v>
      </c>
    </row>
    <row r="7575" spans="1:21" x14ac:dyDescent="0.2">
      <c r="A7575">
        <v>7574</v>
      </c>
      <c r="B7575" s="1">
        <v>40960</v>
      </c>
      <c r="C7575" t="s">
        <v>28</v>
      </c>
      <c r="D7575" s="7">
        <v>219</v>
      </c>
      <c r="E7575" s="7">
        <v>33</v>
      </c>
      <c r="F7575" s="7">
        <f t="shared" si="118"/>
        <v>3</v>
      </c>
      <c r="G7575" s="7" t="str">
        <f>LOOKUP(H7575,[1]startdates!$A$2:$A$10,[1]startdates!$B$2:$B$10)</f>
        <v>SMr</v>
      </c>
      <c r="H7575">
        <v>1</v>
      </c>
      <c r="I7575" s="7">
        <v>503</v>
      </c>
      <c r="M7575" s="7">
        <v>343.5</v>
      </c>
      <c r="N7575" s="7">
        <v>216.8</v>
      </c>
      <c r="O7575" s="7">
        <v>173.7</v>
      </c>
    </row>
    <row r="7576" spans="1:21" x14ac:dyDescent="0.2">
      <c r="A7576">
        <v>7575</v>
      </c>
      <c r="B7576" s="1">
        <v>40960</v>
      </c>
      <c r="C7576" t="s">
        <v>28</v>
      </c>
      <c r="D7576" s="7">
        <v>219</v>
      </c>
      <c r="E7576" s="7">
        <v>33</v>
      </c>
      <c r="F7576" s="7">
        <f t="shared" si="118"/>
        <v>3</v>
      </c>
      <c r="G7576" s="7" t="str">
        <f>LOOKUP(H7576,[1]startdates!$A$2:$A$10,[1]startdates!$B$2:$B$10)</f>
        <v>SMr</v>
      </c>
      <c r="H7576">
        <v>1</v>
      </c>
      <c r="I7576" s="7">
        <v>676.2</v>
      </c>
      <c r="M7576" s="7">
        <v>357.5</v>
      </c>
      <c r="N7576" s="7">
        <v>192.2</v>
      </c>
      <c r="O7576" s="7">
        <v>160.4</v>
      </c>
    </row>
    <row r="7577" spans="1:21" x14ac:dyDescent="0.2">
      <c r="A7577">
        <v>7576</v>
      </c>
      <c r="B7577" s="1">
        <v>40960</v>
      </c>
      <c r="C7577" t="s">
        <v>28</v>
      </c>
      <c r="D7577" s="7">
        <v>219</v>
      </c>
      <c r="E7577" s="7">
        <v>33</v>
      </c>
      <c r="F7577" s="7">
        <f t="shared" si="118"/>
        <v>3</v>
      </c>
      <c r="G7577" s="7" t="str">
        <f>LOOKUP(H7577,[1]startdates!$A$2:$A$10,[1]startdates!$B$2:$B$10)</f>
        <v>SMr</v>
      </c>
      <c r="H7577">
        <v>1</v>
      </c>
      <c r="I7577" s="7">
        <v>585.4</v>
      </c>
      <c r="M7577" s="7">
        <v>329.1</v>
      </c>
      <c r="N7577" s="7">
        <v>250</v>
      </c>
      <c r="O7577" s="7">
        <v>153.19999999999999</v>
      </c>
    </row>
    <row r="7578" spans="1:21" x14ac:dyDescent="0.2">
      <c r="A7578">
        <v>7577</v>
      </c>
      <c r="B7578" s="1">
        <v>40960</v>
      </c>
      <c r="C7578" t="s">
        <v>28</v>
      </c>
      <c r="D7578" s="7">
        <v>219</v>
      </c>
      <c r="E7578" s="7">
        <v>33</v>
      </c>
      <c r="F7578" s="7">
        <f t="shared" si="118"/>
        <v>3</v>
      </c>
      <c r="G7578" s="7" t="str">
        <f>LOOKUP(H7578,[1]startdates!$A$2:$A$10,[1]startdates!$B$2:$B$10)</f>
        <v>SMr</v>
      </c>
      <c r="H7578">
        <v>1</v>
      </c>
      <c r="I7578" s="7">
        <v>471.8</v>
      </c>
      <c r="M7578" s="7">
        <v>345.3</v>
      </c>
      <c r="N7578" s="7">
        <v>202.2</v>
      </c>
      <c r="O7578" s="7">
        <v>177.7</v>
      </c>
    </row>
    <row r="7579" spans="1:21" x14ac:dyDescent="0.2">
      <c r="A7579">
        <v>7578</v>
      </c>
      <c r="B7579" s="1">
        <v>40960</v>
      </c>
      <c r="C7579" t="s">
        <v>28</v>
      </c>
      <c r="D7579" s="7">
        <v>219</v>
      </c>
      <c r="E7579" s="7">
        <v>33</v>
      </c>
      <c r="F7579" s="7">
        <f t="shared" si="118"/>
        <v>3</v>
      </c>
      <c r="G7579" s="7" t="str">
        <f>LOOKUP(H7579,[1]startdates!$A$2:$A$10,[1]startdates!$B$2:$B$10)</f>
        <v>SMr</v>
      </c>
      <c r="H7579">
        <v>1</v>
      </c>
      <c r="I7579" s="7">
        <v>571.5</v>
      </c>
      <c r="M7579" s="7">
        <v>311.39999999999998</v>
      </c>
    </row>
    <row r="7580" spans="1:21" x14ac:dyDescent="0.2">
      <c r="A7580">
        <v>7579</v>
      </c>
      <c r="B7580" s="1">
        <v>40960</v>
      </c>
      <c r="C7580" t="s">
        <v>28</v>
      </c>
      <c r="D7580" s="7">
        <v>219</v>
      </c>
      <c r="E7580" s="7">
        <v>33</v>
      </c>
      <c r="F7580" s="7">
        <f t="shared" si="118"/>
        <v>3</v>
      </c>
      <c r="G7580" s="7" t="str">
        <f>LOOKUP(H7580,[1]startdates!$A$2:$A$10,[1]startdates!$B$2:$B$10)</f>
        <v>SMr</v>
      </c>
      <c r="H7580">
        <v>2</v>
      </c>
      <c r="I7580" s="7">
        <v>554.9</v>
      </c>
      <c r="J7580" s="7">
        <v>470.3</v>
      </c>
      <c r="K7580" s="7">
        <v>496.9</v>
      </c>
      <c r="L7580" s="7">
        <v>397.3</v>
      </c>
      <c r="M7580" s="7">
        <v>326.8</v>
      </c>
      <c r="N7580" s="7">
        <v>251</v>
      </c>
      <c r="O7580" s="7">
        <v>172.6</v>
      </c>
      <c r="P7580" s="7">
        <v>437.6</v>
      </c>
      <c r="Q7580" s="7">
        <v>312.60000000000002</v>
      </c>
      <c r="S7580" s="7">
        <v>235.7</v>
      </c>
      <c r="U7580" s="7">
        <v>513.70000000000005</v>
      </c>
    </row>
    <row r="7581" spans="1:21" x14ac:dyDescent="0.2">
      <c r="A7581">
        <v>7580</v>
      </c>
      <c r="B7581" s="1">
        <v>40960</v>
      </c>
      <c r="C7581" t="s">
        <v>28</v>
      </c>
      <c r="D7581" s="7">
        <v>219</v>
      </c>
      <c r="E7581" s="7">
        <v>33</v>
      </c>
      <c r="F7581" s="7">
        <f t="shared" si="118"/>
        <v>3</v>
      </c>
      <c r="G7581" s="7" t="str">
        <f>LOOKUP(H7581,[1]startdates!$A$2:$A$10,[1]startdates!$B$2:$B$10)</f>
        <v>SMr</v>
      </c>
      <c r="H7581">
        <v>2</v>
      </c>
      <c r="I7581" s="7">
        <v>523.6</v>
      </c>
      <c r="K7581" s="7">
        <v>486</v>
      </c>
      <c r="L7581" s="7">
        <v>456.1</v>
      </c>
      <c r="M7581" s="7">
        <v>347</v>
      </c>
      <c r="N7581" s="7">
        <v>169.7</v>
      </c>
      <c r="O7581" s="7">
        <v>166.3</v>
      </c>
      <c r="P7581" s="7">
        <v>423.8</v>
      </c>
      <c r="Q7581" s="7">
        <v>324.3</v>
      </c>
      <c r="U7581" s="7">
        <v>423.8</v>
      </c>
    </row>
    <row r="7582" spans="1:21" x14ac:dyDescent="0.2">
      <c r="A7582">
        <v>7581</v>
      </c>
      <c r="B7582" s="1">
        <v>40960</v>
      </c>
      <c r="C7582" t="s">
        <v>28</v>
      </c>
      <c r="D7582" s="7">
        <v>219</v>
      </c>
      <c r="E7582" s="7">
        <v>33</v>
      </c>
      <c r="F7582" s="7">
        <f t="shared" si="118"/>
        <v>3</v>
      </c>
      <c r="G7582" s="7" t="str">
        <f>LOOKUP(H7582,[1]startdates!$A$2:$A$10,[1]startdates!$B$2:$B$10)</f>
        <v>SMr</v>
      </c>
      <c r="H7582">
        <v>2</v>
      </c>
      <c r="I7582" s="7">
        <v>566.79999999999995</v>
      </c>
      <c r="K7582" s="7">
        <v>467.6</v>
      </c>
      <c r="L7582" s="7">
        <v>413.7</v>
      </c>
      <c r="M7582" s="7">
        <v>303.7</v>
      </c>
      <c r="N7582" s="7">
        <v>195.2</v>
      </c>
      <c r="O7582" s="7">
        <v>170.2</v>
      </c>
      <c r="P7582" s="7">
        <v>428.1</v>
      </c>
      <c r="U7582" s="7">
        <v>436.3</v>
      </c>
    </row>
    <row r="7583" spans="1:21" x14ac:dyDescent="0.2">
      <c r="A7583">
        <v>7582</v>
      </c>
      <c r="B7583" s="1">
        <v>40960</v>
      </c>
      <c r="C7583" t="s">
        <v>28</v>
      </c>
      <c r="D7583" s="7">
        <v>219</v>
      </c>
      <c r="E7583" s="7">
        <v>33</v>
      </c>
      <c r="F7583" s="7">
        <f t="shared" si="118"/>
        <v>3</v>
      </c>
      <c r="G7583" s="7" t="str">
        <f>LOOKUP(H7583,[1]startdates!$A$2:$A$10,[1]startdates!$B$2:$B$10)</f>
        <v>SMr</v>
      </c>
      <c r="H7583">
        <v>2</v>
      </c>
      <c r="I7583" s="7">
        <v>535.5</v>
      </c>
      <c r="K7583" s="7">
        <v>456.8</v>
      </c>
      <c r="L7583" s="7">
        <v>392.2</v>
      </c>
      <c r="M7583" s="7">
        <v>305.5</v>
      </c>
      <c r="N7583" s="7">
        <v>203.3</v>
      </c>
      <c r="O7583" s="7">
        <v>155</v>
      </c>
      <c r="U7583" s="7">
        <v>510.8</v>
      </c>
    </row>
    <row r="7584" spans="1:21" x14ac:dyDescent="0.2">
      <c r="A7584">
        <v>7583</v>
      </c>
      <c r="B7584" s="1">
        <v>40960</v>
      </c>
      <c r="C7584" t="s">
        <v>28</v>
      </c>
      <c r="D7584" s="7">
        <v>219</v>
      </c>
      <c r="E7584" s="7">
        <v>33</v>
      </c>
      <c r="F7584" s="7">
        <f t="shared" si="118"/>
        <v>3</v>
      </c>
      <c r="G7584" s="7" t="str">
        <f>LOOKUP(H7584,[1]startdates!$A$2:$A$10,[1]startdates!$B$2:$B$10)</f>
        <v>SMr</v>
      </c>
      <c r="H7584">
        <v>2</v>
      </c>
      <c r="I7584" s="7">
        <v>498.2</v>
      </c>
      <c r="K7584" s="7">
        <v>532.9</v>
      </c>
      <c r="L7584" s="7">
        <v>416.5</v>
      </c>
      <c r="M7584" s="7">
        <v>373</v>
      </c>
      <c r="N7584" s="7">
        <v>208.3</v>
      </c>
      <c r="O7584" s="7">
        <v>151</v>
      </c>
    </row>
    <row r="7585" spans="1:18" x14ac:dyDescent="0.2">
      <c r="A7585">
        <v>7584</v>
      </c>
      <c r="B7585" s="1">
        <v>40960</v>
      </c>
      <c r="C7585" t="s">
        <v>28</v>
      </c>
      <c r="D7585" s="7">
        <v>219</v>
      </c>
      <c r="E7585" s="7">
        <v>33</v>
      </c>
      <c r="F7585" s="7">
        <f t="shared" si="118"/>
        <v>3</v>
      </c>
      <c r="G7585" s="7" t="str">
        <f>LOOKUP(H7585,[1]startdates!$A$2:$A$10,[1]startdates!$B$2:$B$10)</f>
        <v>SMr</v>
      </c>
      <c r="H7585">
        <v>2</v>
      </c>
      <c r="I7585" s="7">
        <v>560</v>
      </c>
      <c r="L7585" s="7">
        <v>408.5</v>
      </c>
      <c r="M7585" s="7">
        <v>352.2</v>
      </c>
      <c r="N7585" s="7">
        <v>230.5</v>
      </c>
      <c r="O7585" s="7">
        <v>168</v>
      </c>
    </row>
    <row r="7586" spans="1:18" x14ac:dyDescent="0.2">
      <c r="A7586">
        <v>7585</v>
      </c>
      <c r="B7586" s="1">
        <v>40960</v>
      </c>
      <c r="C7586" t="s">
        <v>28</v>
      </c>
      <c r="D7586" s="7">
        <v>219</v>
      </c>
      <c r="E7586" s="7">
        <v>33</v>
      </c>
      <c r="F7586" s="7">
        <f t="shared" si="118"/>
        <v>3</v>
      </c>
      <c r="G7586" s="7" t="str">
        <f>LOOKUP(H7586,[1]startdates!$A$2:$A$10,[1]startdates!$B$2:$B$10)</f>
        <v>SMr</v>
      </c>
      <c r="H7586">
        <v>2</v>
      </c>
      <c r="I7586" s="7">
        <v>503.4</v>
      </c>
      <c r="M7586" s="7">
        <v>328.1</v>
      </c>
      <c r="N7586" s="7">
        <v>234.9</v>
      </c>
      <c r="O7586" s="7">
        <v>165.7</v>
      </c>
    </row>
    <row r="7587" spans="1:18" x14ac:dyDescent="0.2">
      <c r="A7587">
        <v>7586</v>
      </c>
      <c r="B7587" s="1">
        <v>40960</v>
      </c>
      <c r="C7587" t="s">
        <v>28</v>
      </c>
      <c r="D7587" s="7">
        <v>219</v>
      </c>
      <c r="E7587" s="7">
        <v>33</v>
      </c>
      <c r="F7587" s="7">
        <f t="shared" si="118"/>
        <v>3</v>
      </c>
      <c r="G7587" s="7" t="str">
        <f>LOOKUP(H7587,[1]startdates!$A$2:$A$10,[1]startdates!$B$2:$B$10)</f>
        <v>SMr</v>
      </c>
      <c r="H7587">
        <v>2</v>
      </c>
      <c r="I7587" s="7">
        <v>578.79999999999995</v>
      </c>
      <c r="M7587" s="7">
        <v>317.39999999999998</v>
      </c>
      <c r="N7587" s="7">
        <v>243.1</v>
      </c>
      <c r="O7587" s="7">
        <v>173.2</v>
      </c>
    </row>
    <row r="7588" spans="1:18" x14ac:dyDescent="0.2">
      <c r="A7588">
        <v>7587</v>
      </c>
      <c r="B7588" s="1">
        <v>40960</v>
      </c>
      <c r="C7588" t="s">
        <v>28</v>
      </c>
      <c r="D7588" s="7">
        <v>219</v>
      </c>
      <c r="E7588" s="7">
        <v>33</v>
      </c>
      <c r="F7588" s="7">
        <f t="shared" si="118"/>
        <v>3</v>
      </c>
      <c r="G7588" s="7" t="str">
        <f>LOOKUP(H7588,[1]startdates!$A$2:$A$10,[1]startdates!$B$2:$B$10)</f>
        <v>SMr</v>
      </c>
      <c r="H7588">
        <v>2</v>
      </c>
      <c r="I7588" s="7">
        <v>556.6</v>
      </c>
      <c r="M7588" s="7">
        <v>296.5</v>
      </c>
      <c r="N7588" s="7">
        <v>222.4</v>
      </c>
      <c r="O7588" s="7">
        <v>151.4</v>
      </c>
    </row>
    <row r="7589" spans="1:18" x14ac:dyDescent="0.2">
      <c r="A7589">
        <v>7588</v>
      </c>
      <c r="B7589" s="1">
        <v>40960</v>
      </c>
      <c r="C7589" t="s">
        <v>28</v>
      </c>
      <c r="D7589" s="7">
        <v>219</v>
      </c>
      <c r="E7589" s="7">
        <v>33</v>
      </c>
      <c r="F7589" s="7">
        <f t="shared" si="118"/>
        <v>3</v>
      </c>
      <c r="G7589" s="7" t="str">
        <f>LOOKUP(H7589,[1]startdates!$A$2:$A$10,[1]startdates!$B$2:$B$10)</f>
        <v>SMr</v>
      </c>
      <c r="H7589">
        <v>2</v>
      </c>
      <c r="I7589" s="7">
        <v>560.9</v>
      </c>
      <c r="M7589" s="7">
        <v>294.5</v>
      </c>
      <c r="N7589" s="7">
        <v>192.7</v>
      </c>
      <c r="O7589" s="7">
        <v>182.2</v>
      </c>
    </row>
    <row r="7590" spans="1:18" x14ac:dyDescent="0.2">
      <c r="A7590">
        <v>7589</v>
      </c>
      <c r="B7590" s="1">
        <v>40960</v>
      </c>
      <c r="C7590" t="s">
        <v>28</v>
      </c>
      <c r="D7590" s="7">
        <v>219</v>
      </c>
      <c r="E7590" s="7">
        <v>33</v>
      </c>
      <c r="F7590" s="7">
        <f t="shared" si="118"/>
        <v>3</v>
      </c>
      <c r="G7590" s="7" t="str">
        <f>LOOKUP(H7590,[1]startdates!$A$2:$A$10,[1]startdates!$B$2:$B$10)</f>
        <v>SMr</v>
      </c>
      <c r="H7590">
        <v>2</v>
      </c>
      <c r="M7590" s="7">
        <v>309.39999999999998</v>
      </c>
    </row>
    <row r="7591" spans="1:18" x14ac:dyDescent="0.2">
      <c r="A7591">
        <v>7590</v>
      </c>
      <c r="B7591" s="1">
        <v>40960</v>
      </c>
      <c r="C7591" t="s">
        <v>24</v>
      </c>
      <c r="D7591" s="7">
        <v>219</v>
      </c>
      <c r="E7591" s="7">
        <v>33</v>
      </c>
      <c r="F7591" s="7">
        <f t="shared" si="118"/>
        <v>3</v>
      </c>
      <c r="G7591" s="7" t="str">
        <f>LOOKUP(H7591,[1]startdates!$A$2:$A$10,[1]startdates!$B$2:$B$10)</f>
        <v>C</v>
      </c>
      <c r="H7591">
        <v>3</v>
      </c>
      <c r="I7591" s="7">
        <v>625.20000000000005</v>
      </c>
      <c r="J7591" s="7">
        <v>531.29999999999995</v>
      </c>
      <c r="K7591" s="7">
        <v>475.3</v>
      </c>
      <c r="L7591" s="7">
        <v>428.8</v>
      </c>
      <c r="M7591" s="7">
        <v>367.5</v>
      </c>
      <c r="N7591" s="7">
        <v>221.4</v>
      </c>
      <c r="O7591" s="7">
        <v>182.8</v>
      </c>
      <c r="P7591" s="7">
        <v>442.6</v>
      </c>
      <c r="Q7591" s="7">
        <v>368.9</v>
      </c>
      <c r="R7591" s="7">
        <v>268.39999999999998</v>
      </c>
    </row>
    <row r="7592" spans="1:18" x14ac:dyDescent="0.2">
      <c r="A7592">
        <v>7591</v>
      </c>
      <c r="B7592" s="1">
        <v>40960</v>
      </c>
      <c r="C7592" t="s">
        <v>24</v>
      </c>
      <c r="D7592" s="7">
        <v>219</v>
      </c>
      <c r="E7592" s="7">
        <v>33</v>
      </c>
      <c r="F7592" s="7">
        <f t="shared" si="118"/>
        <v>3</v>
      </c>
      <c r="G7592" s="7" t="str">
        <f>LOOKUP(H7592,[1]startdates!$A$2:$A$10,[1]startdates!$B$2:$B$10)</f>
        <v>C</v>
      </c>
      <c r="H7592">
        <v>3</v>
      </c>
      <c r="I7592" s="7">
        <v>661.3</v>
      </c>
      <c r="J7592" s="7">
        <v>501.4</v>
      </c>
      <c r="K7592" s="7">
        <v>457.5</v>
      </c>
      <c r="L7592" s="7">
        <v>447.2</v>
      </c>
      <c r="M7592" s="7">
        <v>317.39999999999998</v>
      </c>
      <c r="N7592" s="7">
        <v>268.5</v>
      </c>
      <c r="O7592" s="7">
        <v>165</v>
      </c>
      <c r="P7592" s="7">
        <v>446.7</v>
      </c>
    </row>
    <row r="7593" spans="1:18" x14ac:dyDescent="0.2">
      <c r="A7593">
        <v>7592</v>
      </c>
      <c r="B7593" s="1">
        <v>40960</v>
      </c>
      <c r="C7593" t="s">
        <v>24</v>
      </c>
      <c r="D7593" s="7">
        <v>219</v>
      </c>
      <c r="E7593" s="7">
        <v>33</v>
      </c>
      <c r="F7593" s="7">
        <f t="shared" ref="F7593:F7656" si="119">WEEKDAY(B7593)</f>
        <v>3</v>
      </c>
      <c r="G7593" s="7" t="str">
        <f>LOOKUP(H7593,[1]startdates!$A$2:$A$10,[1]startdates!$B$2:$B$10)</f>
        <v>C</v>
      </c>
      <c r="H7593">
        <v>3</v>
      </c>
      <c r="I7593" s="7">
        <v>644</v>
      </c>
      <c r="K7593" s="7">
        <v>458.2</v>
      </c>
      <c r="L7593" s="7">
        <v>405.1</v>
      </c>
      <c r="M7593" s="7">
        <v>329.3</v>
      </c>
      <c r="N7593" s="7">
        <v>210.1</v>
      </c>
      <c r="O7593" s="7">
        <v>162.19999999999999</v>
      </c>
      <c r="P7593" s="7">
        <v>457.2</v>
      </c>
    </row>
    <row r="7594" spans="1:18" x14ac:dyDescent="0.2">
      <c r="A7594">
        <v>7593</v>
      </c>
      <c r="B7594" s="1">
        <v>40960</v>
      </c>
      <c r="C7594" t="s">
        <v>24</v>
      </c>
      <c r="D7594" s="7">
        <v>219</v>
      </c>
      <c r="E7594" s="7">
        <v>33</v>
      </c>
      <c r="F7594" s="7">
        <f t="shared" si="119"/>
        <v>3</v>
      </c>
      <c r="G7594" s="7" t="str">
        <f>LOOKUP(H7594,[1]startdates!$A$2:$A$10,[1]startdates!$B$2:$B$10)</f>
        <v>C</v>
      </c>
      <c r="H7594">
        <v>3</v>
      </c>
      <c r="I7594" s="7">
        <v>535.4</v>
      </c>
      <c r="K7594" s="7">
        <v>505.3</v>
      </c>
      <c r="L7594" s="7">
        <v>377.7</v>
      </c>
      <c r="M7594" s="7">
        <v>388.1</v>
      </c>
      <c r="N7594" s="7">
        <v>244.1</v>
      </c>
      <c r="O7594" s="7">
        <v>181.6</v>
      </c>
    </row>
    <row r="7595" spans="1:18" x14ac:dyDescent="0.2">
      <c r="A7595">
        <v>7594</v>
      </c>
      <c r="B7595" s="1">
        <v>40960</v>
      </c>
      <c r="C7595" t="s">
        <v>24</v>
      </c>
      <c r="D7595" s="7">
        <v>219</v>
      </c>
      <c r="E7595" s="7">
        <v>33</v>
      </c>
      <c r="F7595" s="7">
        <f t="shared" si="119"/>
        <v>3</v>
      </c>
      <c r="G7595" s="7" t="str">
        <f>LOOKUP(H7595,[1]startdates!$A$2:$A$10,[1]startdates!$B$2:$B$10)</f>
        <v>C</v>
      </c>
      <c r="H7595">
        <v>3</v>
      </c>
      <c r="I7595" s="7">
        <v>552.4</v>
      </c>
      <c r="K7595" s="7">
        <v>481.3</v>
      </c>
      <c r="M7595" s="7">
        <v>318</v>
      </c>
      <c r="N7595" s="7">
        <v>227.7</v>
      </c>
      <c r="O7595" s="7">
        <v>186.9</v>
      </c>
    </row>
    <row r="7596" spans="1:18" x14ac:dyDescent="0.2">
      <c r="A7596">
        <v>7595</v>
      </c>
      <c r="B7596" s="1">
        <v>40960</v>
      </c>
      <c r="C7596" t="s">
        <v>24</v>
      </c>
      <c r="D7596" s="7">
        <v>219</v>
      </c>
      <c r="E7596" s="7">
        <v>33</v>
      </c>
      <c r="F7596" s="7">
        <f t="shared" si="119"/>
        <v>3</v>
      </c>
      <c r="G7596" s="7" t="str">
        <f>LOOKUP(H7596,[1]startdates!$A$2:$A$10,[1]startdates!$B$2:$B$10)</f>
        <v>C</v>
      </c>
      <c r="H7596">
        <v>3</v>
      </c>
      <c r="I7596" s="7">
        <v>563.9</v>
      </c>
      <c r="K7596" s="7">
        <v>511.8</v>
      </c>
      <c r="M7596" s="7">
        <v>320.3</v>
      </c>
      <c r="N7596" s="7">
        <v>217.7</v>
      </c>
      <c r="O7596" s="7">
        <v>183.4</v>
      </c>
    </row>
    <row r="7597" spans="1:18" x14ac:dyDescent="0.2">
      <c r="A7597">
        <v>7596</v>
      </c>
      <c r="B7597" s="1">
        <v>40960</v>
      </c>
      <c r="C7597" t="s">
        <v>24</v>
      </c>
      <c r="D7597" s="7">
        <v>219</v>
      </c>
      <c r="E7597" s="7">
        <v>33</v>
      </c>
      <c r="F7597" s="7">
        <f t="shared" si="119"/>
        <v>3</v>
      </c>
      <c r="G7597" s="7" t="str">
        <f>LOOKUP(H7597,[1]startdates!$A$2:$A$10,[1]startdates!$B$2:$B$10)</f>
        <v>C</v>
      </c>
      <c r="H7597">
        <v>3</v>
      </c>
      <c r="I7597" s="7">
        <v>621.6</v>
      </c>
      <c r="K7597" s="7">
        <v>523</v>
      </c>
      <c r="M7597" s="7">
        <v>354.1</v>
      </c>
      <c r="N7597" s="7">
        <v>256.39999999999998</v>
      </c>
      <c r="O7597" s="7">
        <v>202.5</v>
      </c>
    </row>
    <row r="7598" spans="1:18" x14ac:dyDescent="0.2">
      <c r="A7598">
        <v>7597</v>
      </c>
      <c r="B7598" s="1">
        <v>40960</v>
      </c>
      <c r="C7598" t="s">
        <v>24</v>
      </c>
      <c r="D7598" s="7">
        <v>219</v>
      </c>
      <c r="E7598" s="7">
        <v>33</v>
      </c>
      <c r="F7598" s="7">
        <f t="shared" si="119"/>
        <v>3</v>
      </c>
      <c r="G7598" s="7" t="str">
        <f>LOOKUP(H7598,[1]startdates!$A$2:$A$10,[1]startdates!$B$2:$B$10)</f>
        <v>C</v>
      </c>
      <c r="H7598">
        <v>3</v>
      </c>
      <c r="I7598" s="7">
        <v>588.9</v>
      </c>
      <c r="K7598" s="7">
        <v>518.4</v>
      </c>
      <c r="M7598" s="7">
        <v>329</v>
      </c>
      <c r="N7598" s="7">
        <v>247.5</v>
      </c>
      <c r="O7598" s="7">
        <v>173.1</v>
      </c>
    </row>
    <row r="7599" spans="1:18" x14ac:dyDescent="0.2">
      <c r="A7599">
        <v>7598</v>
      </c>
      <c r="B7599" s="1">
        <v>40960</v>
      </c>
      <c r="C7599" t="s">
        <v>24</v>
      </c>
      <c r="D7599" s="7">
        <v>219</v>
      </c>
      <c r="E7599" s="7">
        <v>33</v>
      </c>
      <c r="F7599" s="7">
        <f t="shared" si="119"/>
        <v>3</v>
      </c>
      <c r="G7599" s="7" t="str">
        <f>LOOKUP(H7599,[1]startdates!$A$2:$A$10,[1]startdates!$B$2:$B$10)</f>
        <v>C</v>
      </c>
      <c r="H7599">
        <v>3</v>
      </c>
      <c r="I7599" s="7">
        <v>562.29999999999995</v>
      </c>
      <c r="M7599" s="7">
        <v>333.2</v>
      </c>
      <c r="N7599" s="7">
        <v>206.1</v>
      </c>
      <c r="O7599" s="7">
        <v>173.8</v>
      </c>
    </row>
    <row r="7600" spans="1:18" x14ac:dyDescent="0.2">
      <c r="A7600">
        <v>7599</v>
      </c>
      <c r="B7600" s="1">
        <v>40960</v>
      </c>
      <c r="C7600" t="s">
        <v>24</v>
      </c>
      <c r="D7600" s="7">
        <v>219</v>
      </c>
      <c r="E7600" s="7">
        <v>33</v>
      </c>
      <c r="F7600" s="7">
        <f t="shared" si="119"/>
        <v>3</v>
      </c>
      <c r="G7600" s="7" t="str">
        <f>LOOKUP(H7600,[1]startdates!$A$2:$A$10,[1]startdates!$B$2:$B$10)</f>
        <v>C</v>
      </c>
      <c r="H7600">
        <v>3</v>
      </c>
      <c r="I7600" s="7">
        <v>512.1</v>
      </c>
      <c r="N7600" s="7">
        <v>253.6</v>
      </c>
    </row>
    <row r="7601" spans="1:21" x14ac:dyDescent="0.2">
      <c r="A7601">
        <v>7600</v>
      </c>
      <c r="B7601" s="1">
        <v>40960</v>
      </c>
      <c r="C7601" t="s">
        <v>24</v>
      </c>
      <c r="D7601" s="7">
        <v>219</v>
      </c>
      <c r="E7601" s="7">
        <v>33</v>
      </c>
      <c r="F7601" s="7">
        <f t="shared" si="119"/>
        <v>3</v>
      </c>
      <c r="G7601" s="7" t="str">
        <f>LOOKUP(H7601,[1]startdates!$A$2:$A$10,[1]startdates!$B$2:$B$10)</f>
        <v>SMr</v>
      </c>
      <c r="H7601">
        <v>4</v>
      </c>
      <c r="I7601" s="7">
        <v>581.70000000000005</v>
      </c>
      <c r="J7601" s="7">
        <v>495.3</v>
      </c>
      <c r="K7601" s="7">
        <v>419.3</v>
      </c>
      <c r="L7601" s="7">
        <v>482</v>
      </c>
      <c r="M7601" s="7">
        <v>394.7</v>
      </c>
      <c r="N7601" s="7">
        <v>259</v>
      </c>
      <c r="O7601" s="7">
        <v>167</v>
      </c>
      <c r="P7601" s="7">
        <v>458.5</v>
      </c>
      <c r="Q7601" s="7">
        <v>387.3</v>
      </c>
      <c r="R7601" s="7">
        <v>270.39999999999998</v>
      </c>
      <c r="U7601" s="7">
        <v>521.20000000000005</v>
      </c>
    </row>
    <row r="7602" spans="1:21" x14ac:dyDescent="0.2">
      <c r="A7602">
        <v>7601</v>
      </c>
      <c r="B7602" s="1">
        <v>40960</v>
      </c>
      <c r="C7602" t="s">
        <v>24</v>
      </c>
      <c r="D7602" s="7">
        <v>219</v>
      </c>
      <c r="E7602" s="7">
        <v>33</v>
      </c>
      <c r="F7602" s="7">
        <f t="shared" si="119"/>
        <v>3</v>
      </c>
      <c r="G7602" s="7" t="str">
        <f>LOOKUP(H7602,[1]startdates!$A$2:$A$10,[1]startdates!$B$2:$B$10)</f>
        <v>SMr</v>
      </c>
      <c r="H7602">
        <v>4</v>
      </c>
      <c r="I7602" s="7">
        <v>591.4</v>
      </c>
      <c r="K7602" s="7">
        <v>491.5</v>
      </c>
      <c r="L7602" s="7">
        <v>415.8</v>
      </c>
      <c r="M7602" s="7">
        <v>357.3</v>
      </c>
      <c r="N7602" s="7">
        <v>205.8</v>
      </c>
      <c r="O7602" s="7">
        <v>174.6</v>
      </c>
      <c r="P7602" s="7">
        <v>474.2</v>
      </c>
      <c r="Q7602" s="7">
        <v>319.5</v>
      </c>
      <c r="U7602" s="7">
        <v>530.70000000000005</v>
      </c>
    </row>
    <row r="7603" spans="1:21" x14ac:dyDescent="0.2">
      <c r="A7603">
        <v>7602</v>
      </c>
      <c r="B7603" s="1">
        <v>40960</v>
      </c>
      <c r="C7603" t="s">
        <v>24</v>
      </c>
      <c r="D7603" s="7">
        <v>219</v>
      </c>
      <c r="E7603" s="7">
        <v>33</v>
      </c>
      <c r="F7603" s="7">
        <f t="shared" si="119"/>
        <v>3</v>
      </c>
      <c r="G7603" s="7" t="str">
        <f>LOOKUP(H7603,[1]startdates!$A$2:$A$10,[1]startdates!$B$2:$B$10)</f>
        <v>SMr</v>
      </c>
      <c r="H7603">
        <v>4</v>
      </c>
      <c r="I7603" s="7">
        <v>500.8</v>
      </c>
      <c r="K7603" s="7">
        <v>427.4</v>
      </c>
      <c r="L7603" s="7">
        <v>429.4</v>
      </c>
      <c r="M7603" s="7">
        <v>321.5</v>
      </c>
      <c r="N7603" s="7">
        <v>208.3</v>
      </c>
      <c r="O7603" s="7">
        <v>170</v>
      </c>
      <c r="P7603" s="7">
        <v>448</v>
      </c>
      <c r="U7603" s="7">
        <v>384.5</v>
      </c>
    </row>
    <row r="7604" spans="1:21" x14ac:dyDescent="0.2">
      <c r="A7604">
        <v>7603</v>
      </c>
      <c r="B7604" s="1">
        <v>40960</v>
      </c>
      <c r="C7604" t="s">
        <v>24</v>
      </c>
      <c r="D7604" s="7">
        <v>219</v>
      </c>
      <c r="E7604" s="7">
        <v>33</v>
      </c>
      <c r="F7604" s="7">
        <f t="shared" si="119"/>
        <v>3</v>
      </c>
      <c r="G7604" s="7" t="str">
        <f>LOOKUP(H7604,[1]startdates!$A$2:$A$10,[1]startdates!$B$2:$B$10)</f>
        <v>SMr</v>
      </c>
      <c r="H7604">
        <v>4</v>
      </c>
      <c r="I7604" s="7">
        <v>546.79999999999995</v>
      </c>
      <c r="K7604" s="7">
        <v>586.79999999999995</v>
      </c>
      <c r="M7604" s="7">
        <v>342.9</v>
      </c>
      <c r="N7604" s="7">
        <v>227.3</v>
      </c>
      <c r="O7604" s="7">
        <v>175.4</v>
      </c>
      <c r="U7604" s="7">
        <v>462.7</v>
      </c>
    </row>
    <row r="7605" spans="1:21" x14ac:dyDescent="0.2">
      <c r="A7605">
        <v>7604</v>
      </c>
      <c r="B7605" s="1">
        <v>40960</v>
      </c>
      <c r="C7605" t="s">
        <v>24</v>
      </c>
      <c r="D7605" s="7">
        <v>219</v>
      </c>
      <c r="E7605" s="7">
        <v>33</v>
      </c>
      <c r="F7605" s="7">
        <f t="shared" si="119"/>
        <v>3</v>
      </c>
      <c r="G7605" s="7" t="str">
        <f>LOOKUP(H7605,[1]startdates!$A$2:$A$10,[1]startdates!$B$2:$B$10)</f>
        <v>SMr</v>
      </c>
      <c r="H7605">
        <v>4</v>
      </c>
      <c r="I7605" s="7">
        <v>560.6</v>
      </c>
      <c r="M7605" s="7">
        <v>301.89999999999998</v>
      </c>
      <c r="N7605" s="7">
        <v>238.1</v>
      </c>
      <c r="O7605" s="7">
        <v>171.9</v>
      </c>
    </row>
    <row r="7606" spans="1:21" x14ac:dyDescent="0.2">
      <c r="A7606">
        <v>7605</v>
      </c>
      <c r="B7606" s="1">
        <v>40960</v>
      </c>
      <c r="C7606" t="s">
        <v>24</v>
      </c>
      <c r="D7606" s="7">
        <v>219</v>
      </c>
      <c r="E7606" s="7">
        <v>33</v>
      </c>
      <c r="F7606" s="7">
        <f t="shared" si="119"/>
        <v>3</v>
      </c>
      <c r="G7606" s="7" t="str">
        <f>LOOKUP(H7606,[1]startdates!$A$2:$A$10,[1]startdates!$B$2:$B$10)</f>
        <v>SMr</v>
      </c>
      <c r="H7606">
        <v>4</v>
      </c>
      <c r="I7606" s="7">
        <v>622.4</v>
      </c>
      <c r="M7606" s="7">
        <v>334.2</v>
      </c>
      <c r="N7606" s="7">
        <v>191.1</v>
      </c>
      <c r="O7606" s="7">
        <v>165.3</v>
      </c>
    </row>
    <row r="7607" spans="1:21" x14ac:dyDescent="0.2">
      <c r="A7607">
        <v>7606</v>
      </c>
      <c r="B7607" s="1">
        <v>40960</v>
      </c>
      <c r="C7607" t="s">
        <v>24</v>
      </c>
      <c r="D7607" s="7">
        <v>219</v>
      </c>
      <c r="E7607" s="7">
        <v>33</v>
      </c>
      <c r="F7607" s="7">
        <f t="shared" si="119"/>
        <v>3</v>
      </c>
      <c r="G7607" s="7" t="str">
        <f>LOOKUP(H7607,[1]startdates!$A$2:$A$10,[1]startdates!$B$2:$B$10)</f>
        <v>SMr</v>
      </c>
      <c r="H7607">
        <v>4</v>
      </c>
      <c r="I7607" s="7">
        <v>575.1</v>
      </c>
      <c r="N7607" s="7">
        <v>256.5</v>
      </c>
      <c r="O7607" s="7">
        <v>168.2</v>
      </c>
    </row>
    <row r="7608" spans="1:21" x14ac:dyDescent="0.2">
      <c r="A7608">
        <v>7607</v>
      </c>
      <c r="B7608" s="1">
        <v>40960</v>
      </c>
      <c r="C7608" t="s">
        <v>24</v>
      </c>
      <c r="D7608" s="7">
        <v>219</v>
      </c>
      <c r="E7608" s="7">
        <v>33</v>
      </c>
      <c r="F7608" s="7">
        <f t="shared" si="119"/>
        <v>3</v>
      </c>
      <c r="G7608" s="7" t="str">
        <f>LOOKUP(H7608,[1]startdates!$A$2:$A$10,[1]startdates!$B$2:$B$10)</f>
        <v>SMr</v>
      </c>
      <c r="H7608">
        <v>4</v>
      </c>
      <c r="I7608" s="7">
        <v>614.70000000000005</v>
      </c>
      <c r="N7608" s="7">
        <v>192.9</v>
      </c>
      <c r="O7608" s="7">
        <v>160.69999999999999</v>
      </c>
    </row>
    <row r="7609" spans="1:21" x14ac:dyDescent="0.2">
      <c r="A7609">
        <v>7608</v>
      </c>
      <c r="B7609" s="1">
        <v>40960</v>
      </c>
      <c r="C7609" t="s">
        <v>24</v>
      </c>
      <c r="D7609" s="7">
        <v>219</v>
      </c>
      <c r="E7609" s="7">
        <v>33</v>
      </c>
      <c r="F7609" s="7">
        <f t="shared" si="119"/>
        <v>3</v>
      </c>
      <c r="G7609" s="7" t="str">
        <f>LOOKUP(H7609,[1]startdates!$A$2:$A$10,[1]startdates!$B$2:$B$10)</f>
        <v>SMr</v>
      </c>
      <c r="H7609">
        <v>4</v>
      </c>
      <c r="I7609" s="7">
        <v>540.4</v>
      </c>
      <c r="N7609" s="7">
        <v>245.7</v>
      </c>
      <c r="O7609" s="7">
        <v>160.4</v>
      </c>
    </row>
    <row r="7610" spans="1:21" x14ac:dyDescent="0.2">
      <c r="A7610">
        <v>7609</v>
      </c>
      <c r="B7610" s="1">
        <v>40960</v>
      </c>
      <c r="C7610" t="s">
        <v>24</v>
      </c>
      <c r="D7610" s="7">
        <v>219</v>
      </c>
      <c r="E7610" s="7">
        <v>33</v>
      </c>
      <c r="F7610" s="7">
        <f t="shared" si="119"/>
        <v>3</v>
      </c>
      <c r="G7610" s="7" t="str">
        <f>LOOKUP(H7610,[1]startdates!$A$2:$A$10,[1]startdates!$B$2:$B$10)</f>
        <v>SMr</v>
      </c>
      <c r="H7610">
        <v>4</v>
      </c>
      <c r="I7610" s="7">
        <v>589.79999999999995</v>
      </c>
      <c r="N7610" s="7">
        <v>219.2</v>
      </c>
      <c r="O7610" s="7">
        <v>157.30000000000001</v>
      </c>
    </row>
    <row r="7611" spans="1:21" x14ac:dyDescent="0.2">
      <c r="A7611">
        <v>7610</v>
      </c>
      <c r="B7611" s="1">
        <v>40960</v>
      </c>
      <c r="C7611" t="s">
        <v>24</v>
      </c>
      <c r="D7611" s="7">
        <v>219</v>
      </c>
      <c r="E7611" s="7">
        <v>33</v>
      </c>
      <c r="F7611" s="7">
        <f t="shared" si="119"/>
        <v>3</v>
      </c>
      <c r="G7611" s="7" t="str">
        <f>LOOKUP(H7611,[1]startdates!$A$2:$A$10,[1]startdates!$B$2:$B$10)</f>
        <v>SMr</v>
      </c>
      <c r="H7611">
        <v>4</v>
      </c>
      <c r="O7611" s="7">
        <v>158.6</v>
      </c>
    </row>
    <row r="7612" spans="1:21" x14ac:dyDescent="0.2">
      <c r="A7612">
        <v>7611</v>
      </c>
      <c r="B7612" s="1">
        <v>40960</v>
      </c>
      <c r="C7612" t="s">
        <v>24</v>
      </c>
      <c r="D7612" s="7">
        <v>219</v>
      </c>
      <c r="E7612" s="7">
        <v>33</v>
      </c>
      <c r="F7612" s="7">
        <f t="shared" si="119"/>
        <v>3</v>
      </c>
      <c r="G7612" s="7" t="str">
        <f>LOOKUP(H7612,[1]startdates!$A$2:$A$10,[1]startdates!$B$2:$B$10)</f>
        <v>C</v>
      </c>
      <c r="H7612">
        <v>5</v>
      </c>
      <c r="I7612" s="7">
        <v>651.70000000000005</v>
      </c>
      <c r="J7612" s="7">
        <v>563.5</v>
      </c>
      <c r="K7612" s="7">
        <v>589.20000000000005</v>
      </c>
      <c r="L7612" s="7">
        <v>463.4</v>
      </c>
      <c r="M7612" s="7">
        <v>343.8</v>
      </c>
      <c r="N7612" s="7">
        <v>210.4</v>
      </c>
      <c r="O7612" s="7">
        <v>173.7</v>
      </c>
      <c r="P7612" s="7">
        <v>420.8</v>
      </c>
    </row>
    <row r="7613" spans="1:21" x14ac:dyDescent="0.2">
      <c r="A7613">
        <v>7612</v>
      </c>
      <c r="B7613" s="1">
        <v>40960</v>
      </c>
      <c r="C7613" t="s">
        <v>24</v>
      </c>
      <c r="D7613" s="7">
        <v>219</v>
      </c>
      <c r="E7613" s="7">
        <v>33</v>
      </c>
      <c r="F7613" s="7">
        <f t="shared" si="119"/>
        <v>3</v>
      </c>
      <c r="G7613" s="7" t="str">
        <f>LOOKUP(H7613,[1]startdates!$A$2:$A$10,[1]startdates!$B$2:$B$10)</f>
        <v>C</v>
      </c>
      <c r="H7613">
        <v>5</v>
      </c>
      <c r="I7613" s="7">
        <v>652</v>
      </c>
      <c r="J7613" s="7">
        <v>515.79999999999995</v>
      </c>
      <c r="K7613" s="7">
        <v>543.5</v>
      </c>
      <c r="L7613" s="7">
        <v>451.3</v>
      </c>
      <c r="M7613" s="7">
        <v>334.3</v>
      </c>
      <c r="N7613" s="7">
        <v>246.9</v>
      </c>
      <c r="O7613" s="7">
        <v>165.3</v>
      </c>
      <c r="P7613" s="7">
        <v>443.4</v>
      </c>
    </row>
    <row r="7614" spans="1:21" x14ac:dyDescent="0.2">
      <c r="A7614">
        <v>7613</v>
      </c>
      <c r="B7614" s="1">
        <v>40960</v>
      </c>
      <c r="C7614" t="s">
        <v>24</v>
      </c>
      <c r="D7614" s="7">
        <v>219</v>
      </c>
      <c r="E7614" s="7">
        <v>33</v>
      </c>
      <c r="F7614" s="7">
        <f t="shared" si="119"/>
        <v>3</v>
      </c>
      <c r="G7614" s="7" t="str">
        <f>LOOKUP(H7614,[1]startdates!$A$2:$A$10,[1]startdates!$B$2:$B$10)</f>
        <v>C</v>
      </c>
      <c r="H7614">
        <v>5</v>
      </c>
      <c r="I7614" s="7">
        <v>698.2</v>
      </c>
      <c r="J7614" s="7">
        <v>463.6</v>
      </c>
      <c r="K7614" s="7">
        <v>529.20000000000005</v>
      </c>
      <c r="L7614" s="7">
        <v>434.3</v>
      </c>
      <c r="M7614" s="7">
        <v>376.4</v>
      </c>
      <c r="O7614" s="7">
        <v>159.80000000000001</v>
      </c>
    </row>
    <row r="7615" spans="1:21" x14ac:dyDescent="0.2">
      <c r="A7615">
        <v>7614</v>
      </c>
      <c r="B7615" s="1">
        <v>40960</v>
      </c>
      <c r="C7615" t="s">
        <v>24</v>
      </c>
      <c r="D7615" s="7">
        <v>219</v>
      </c>
      <c r="E7615" s="7">
        <v>33</v>
      </c>
      <c r="F7615" s="7">
        <f t="shared" si="119"/>
        <v>3</v>
      </c>
      <c r="G7615" s="7" t="str">
        <f>LOOKUP(H7615,[1]startdates!$A$2:$A$10,[1]startdates!$B$2:$B$10)</f>
        <v>C</v>
      </c>
      <c r="H7615">
        <v>5</v>
      </c>
      <c r="I7615" s="7">
        <v>563.1</v>
      </c>
      <c r="J7615" s="7">
        <v>551.1</v>
      </c>
      <c r="K7615" s="7">
        <v>623.9</v>
      </c>
      <c r="L7615" s="7">
        <v>421.5</v>
      </c>
      <c r="M7615" s="7">
        <v>326.5</v>
      </c>
      <c r="O7615" s="7">
        <v>181.1</v>
      </c>
    </row>
    <row r="7616" spans="1:21" x14ac:dyDescent="0.2">
      <c r="A7616">
        <v>7615</v>
      </c>
      <c r="B7616" s="1">
        <v>40960</v>
      </c>
      <c r="C7616" t="s">
        <v>24</v>
      </c>
      <c r="D7616" s="7">
        <v>219</v>
      </c>
      <c r="E7616" s="7">
        <v>33</v>
      </c>
      <c r="F7616" s="7">
        <f t="shared" si="119"/>
        <v>3</v>
      </c>
      <c r="G7616" s="7" t="str">
        <f>LOOKUP(H7616,[1]startdates!$A$2:$A$10,[1]startdates!$B$2:$B$10)</f>
        <v>C</v>
      </c>
      <c r="H7616">
        <v>5</v>
      </c>
      <c r="I7616" s="7">
        <v>644.1</v>
      </c>
      <c r="J7616" s="7">
        <v>458.7</v>
      </c>
      <c r="K7616" s="7">
        <v>525.29999999999995</v>
      </c>
      <c r="L7616" s="7">
        <v>449.4</v>
      </c>
      <c r="M7616" s="7">
        <v>294.5</v>
      </c>
      <c r="O7616" s="7">
        <v>187.8</v>
      </c>
    </row>
    <row r="7617" spans="1:22" x14ac:dyDescent="0.2">
      <c r="A7617">
        <v>7616</v>
      </c>
      <c r="B7617" s="1">
        <v>40960</v>
      </c>
      <c r="C7617" t="s">
        <v>24</v>
      </c>
      <c r="D7617" s="7">
        <v>219</v>
      </c>
      <c r="E7617" s="7">
        <v>33</v>
      </c>
      <c r="F7617" s="7">
        <f t="shared" si="119"/>
        <v>3</v>
      </c>
      <c r="G7617" s="7" t="str">
        <f>LOOKUP(H7617,[1]startdates!$A$2:$A$10,[1]startdates!$B$2:$B$10)</f>
        <v>C</v>
      </c>
      <c r="H7617">
        <v>5</v>
      </c>
      <c r="I7617" s="7">
        <v>720.9</v>
      </c>
      <c r="O7617" s="7">
        <v>186.3</v>
      </c>
    </row>
    <row r="7618" spans="1:22" x14ac:dyDescent="0.2">
      <c r="A7618">
        <v>7617</v>
      </c>
      <c r="B7618" s="1">
        <v>40960</v>
      </c>
      <c r="C7618" t="s">
        <v>24</v>
      </c>
      <c r="D7618" s="7">
        <v>219</v>
      </c>
      <c r="E7618" s="7">
        <v>33</v>
      </c>
      <c r="F7618" s="7">
        <f t="shared" si="119"/>
        <v>3</v>
      </c>
      <c r="G7618" s="7" t="str">
        <f>LOOKUP(H7618,[1]startdates!$A$2:$A$10,[1]startdates!$B$2:$B$10)</f>
        <v>C</v>
      </c>
      <c r="H7618">
        <v>5</v>
      </c>
      <c r="I7618" s="7">
        <v>602</v>
      </c>
      <c r="O7618" s="7">
        <v>195.7</v>
      </c>
    </row>
    <row r="7619" spans="1:22" x14ac:dyDescent="0.2">
      <c r="A7619">
        <v>7618</v>
      </c>
      <c r="B7619" s="1">
        <v>40960</v>
      </c>
      <c r="C7619" t="s">
        <v>24</v>
      </c>
      <c r="D7619" s="7">
        <v>219</v>
      </c>
      <c r="E7619" s="7">
        <v>33</v>
      </c>
      <c r="F7619" s="7">
        <f t="shared" si="119"/>
        <v>3</v>
      </c>
      <c r="G7619" s="7" t="str">
        <f>LOOKUP(H7619,[1]startdates!$A$2:$A$10,[1]startdates!$B$2:$B$10)</f>
        <v>C</v>
      </c>
      <c r="H7619">
        <v>5</v>
      </c>
      <c r="I7619" s="7">
        <v>405.8</v>
      </c>
      <c r="O7619" s="7">
        <v>182.8</v>
      </c>
    </row>
    <row r="7620" spans="1:22" x14ac:dyDescent="0.2">
      <c r="A7620">
        <v>7619</v>
      </c>
      <c r="B7620" s="1">
        <v>40960</v>
      </c>
      <c r="C7620" t="s">
        <v>24</v>
      </c>
      <c r="D7620" s="7">
        <v>219</v>
      </c>
      <c r="E7620" s="7">
        <v>33</v>
      </c>
      <c r="F7620" s="7">
        <f t="shared" si="119"/>
        <v>3</v>
      </c>
      <c r="G7620" s="7" t="str">
        <f>LOOKUP(H7620,[1]startdates!$A$2:$A$10,[1]startdates!$B$2:$B$10)</f>
        <v>C</v>
      </c>
      <c r="H7620">
        <v>5</v>
      </c>
      <c r="I7620" s="7">
        <v>620.70000000000005</v>
      </c>
      <c r="O7620" s="7">
        <v>184.9</v>
      </c>
    </row>
    <row r="7621" spans="1:22" x14ac:dyDescent="0.2">
      <c r="A7621">
        <v>7620</v>
      </c>
      <c r="B7621" s="1">
        <v>40960</v>
      </c>
      <c r="C7621" t="s">
        <v>24</v>
      </c>
      <c r="D7621" s="7">
        <v>219</v>
      </c>
      <c r="E7621" s="7">
        <v>33</v>
      </c>
      <c r="F7621" s="7">
        <f t="shared" si="119"/>
        <v>3</v>
      </c>
      <c r="G7621" s="7" t="str">
        <f>LOOKUP(H7621,[1]startdates!$A$2:$A$10,[1]startdates!$B$2:$B$10)</f>
        <v>C</v>
      </c>
      <c r="H7621">
        <v>5</v>
      </c>
      <c r="I7621" s="7">
        <v>564.9</v>
      </c>
      <c r="O7621" s="7">
        <v>174.6</v>
      </c>
    </row>
    <row r="7622" spans="1:22" x14ac:dyDescent="0.2">
      <c r="A7622">
        <v>7621</v>
      </c>
      <c r="B7622" s="1">
        <v>40960</v>
      </c>
      <c r="C7622" t="s">
        <v>24</v>
      </c>
      <c r="D7622" s="7">
        <v>219</v>
      </c>
      <c r="E7622" s="7">
        <v>33</v>
      </c>
      <c r="F7622" s="7">
        <f t="shared" si="119"/>
        <v>3</v>
      </c>
      <c r="G7622" s="7" t="str">
        <f>LOOKUP(H7622,[1]startdates!$A$2:$A$10,[1]startdates!$B$2:$B$10)</f>
        <v>FMr</v>
      </c>
      <c r="H7622">
        <v>6</v>
      </c>
      <c r="I7622" s="7">
        <v>606.1</v>
      </c>
      <c r="J7622" s="7">
        <v>510.4</v>
      </c>
      <c r="K7622" s="7">
        <v>420.7</v>
      </c>
      <c r="M7622" s="7">
        <v>354.6</v>
      </c>
      <c r="N7622" s="7">
        <v>216.1</v>
      </c>
      <c r="O7622" s="7">
        <v>160.80000000000001</v>
      </c>
      <c r="Q7622" s="7">
        <v>336.5</v>
      </c>
      <c r="R7622" s="7">
        <v>273.89999999999998</v>
      </c>
      <c r="V7622" s="7">
        <v>462.9</v>
      </c>
    </row>
    <row r="7623" spans="1:22" x14ac:dyDescent="0.2">
      <c r="A7623">
        <v>7622</v>
      </c>
      <c r="B7623" s="1">
        <v>40960</v>
      </c>
      <c r="C7623" t="s">
        <v>24</v>
      </c>
      <c r="D7623" s="7">
        <v>219</v>
      </c>
      <c r="E7623" s="7">
        <v>33</v>
      </c>
      <c r="F7623" s="7">
        <f t="shared" si="119"/>
        <v>3</v>
      </c>
      <c r="G7623" s="7" t="str">
        <f>LOOKUP(H7623,[1]startdates!$A$2:$A$10,[1]startdates!$B$2:$B$10)</f>
        <v>FMr</v>
      </c>
      <c r="H7623">
        <v>6</v>
      </c>
      <c r="I7623" s="7">
        <v>682.3</v>
      </c>
      <c r="K7623" s="7">
        <v>471.8</v>
      </c>
      <c r="M7623" s="7">
        <v>362.4</v>
      </c>
      <c r="N7623" s="7">
        <v>195.2</v>
      </c>
      <c r="O7623" s="7">
        <v>159</v>
      </c>
      <c r="Q7623" s="7">
        <v>398.5</v>
      </c>
      <c r="R7623" s="7">
        <v>294.7</v>
      </c>
    </row>
    <row r="7624" spans="1:22" x14ac:dyDescent="0.2">
      <c r="A7624">
        <v>7623</v>
      </c>
      <c r="B7624" s="1">
        <v>40960</v>
      </c>
      <c r="C7624" t="s">
        <v>24</v>
      </c>
      <c r="D7624" s="7">
        <v>219</v>
      </c>
      <c r="E7624" s="7">
        <v>33</v>
      </c>
      <c r="F7624" s="7">
        <f t="shared" si="119"/>
        <v>3</v>
      </c>
      <c r="G7624" s="7" t="str">
        <f>LOOKUP(H7624,[1]startdates!$A$2:$A$10,[1]startdates!$B$2:$B$10)</f>
        <v>FMr</v>
      </c>
      <c r="H7624">
        <v>6</v>
      </c>
      <c r="I7624" s="7">
        <v>618.79999999999995</v>
      </c>
      <c r="K7624" s="7">
        <v>498.7</v>
      </c>
      <c r="M7624" s="7">
        <v>385.5</v>
      </c>
      <c r="N7624" s="7">
        <v>242.5</v>
      </c>
      <c r="O7624" s="7">
        <v>151.80000000000001</v>
      </c>
      <c r="R7624" s="7">
        <v>326.8</v>
      </c>
    </row>
    <row r="7625" spans="1:22" x14ac:dyDescent="0.2">
      <c r="A7625">
        <v>7624</v>
      </c>
      <c r="B7625" s="1">
        <v>40960</v>
      </c>
      <c r="C7625" t="s">
        <v>24</v>
      </c>
      <c r="D7625" s="7">
        <v>219</v>
      </c>
      <c r="E7625" s="7">
        <v>33</v>
      </c>
      <c r="F7625" s="7">
        <f t="shared" si="119"/>
        <v>3</v>
      </c>
      <c r="G7625" s="7" t="str">
        <f>LOOKUP(H7625,[1]startdates!$A$2:$A$10,[1]startdates!$B$2:$B$10)</f>
        <v>FMr</v>
      </c>
      <c r="H7625">
        <v>6</v>
      </c>
      <c r="I7625" s="7">
        <v>600.5</v>
      </c>
      <c r="K7625" s="7">
        <v>466.7</v>
      </c>
      <c r="M7625" s="7">
        <v>335.1</v>
      </c>
      <c r="N7625" s="7">
        <v>217.2</v>
      </c>
      <c r="O7625" s="7">
        <v>165.5</v>
      </c>
    </row>
    <row r="7626" spans="1:22" x14ac:dyDescent="0.2">
      <c r="A7626">
        <v>7625</v>
      </c>
      <c r="B7626" s="1">
        <v>40960</v>
      </c>
      <c r="C7626" t="s">
        <v>24</v>
      </c>
      <c r="D7626" s="7">
        <v>219</v>
      </c>
      <c r="E7626" s="7">
        <v>33</v>
      </c>
      <c r="F7626" s="7">
        <f t="shared" si="119"/>
        <v>3</v>
      </c>
      <c r="G7626" s="7" t="str">
        <f>LOOKUP(H7626,[1]startdates!$A$2:$A$10,[1]startdates!$B$2:$B$10)</f>
        <v>FMr</v>
      </c>
      <c r="H7626">
        <v>6</v>
      </c>
      <c r="I7626" s="7">
        <v>608.70000000000005</v>
      </c>
      <c r="K7626" s="7">
        <v>501.2</v>
      </c>
      <c r="M7626" s="7">
        <v>324.10000000000002</v>
      </c>
      <c r="N7626" s="7">
        <v>249.5</v>
      </c>
      <c r="O7626" s="7">
        <v>162.19999999999999</v>
      </c>
    </row>
    <row r="7627" spans="1:22" x14ac:dyDescent="0.2">
      <c r="A7627">
        <v>7626</v>
      </c>
      <c r="B7627" s="1">
        <v>40960</v>
      </c>
      <c r="C7627" t="s">
        <v>24</v>
      </c>
      <c r="D7627" s="7">
        <v>219</v>
      </c>
      <c r="E7627" s="7">
        <v>33</v>
      </c>
      <c r="F7627" s="7">
        <f t="shared" si="119"/>
        <v>3</v>
      </c>
      <c r="G7627" s="7" t="str">
        <f>LOOKUP(H7627,[1]startdates!$A$2:$A$10,[1]startdates!$B$2:$B$10)</f>
        <v>FMr</v>
      </c>
      <c r="H7627">
        <v>6</v>
      </c>
      <c r="I7627" s="7">
        <v>589.1</v>
      </c>
      <c r="K7627" s="7">
        <v>528</v>
      </c>
      <c r="N7627" s="7">
        <v>251.5</v>
      </c>
      <c r="O7627" s="7">
        <v>148</v>
      </c>
    </row>
    <row r="7628" spans="1:22" x14ac:dyDescent="0.2">
      <c r="A7628">
        <v>7627</v>
      </c>
      <c r="B7628" s="1">
        <v>40960</v>
      </c>
      <c r="C7628" t="s">
        <v>24</v>
      </c>
      <c r="D7628" s="7">
        <v>219</v>
      </c>
      <c r="E7628" s="7">
        <v>33</v>
      </c>
      <c r="F7628" s="7">
        <f t="shared" si="119"/>
        <v>3</v>
      </c>
      <c r="G7628" s="7" t="str">
        <f>LOOKUP(H7628,[1]startdates!$A$2:$A$10,[1]startdates!$B$2:$B$10)</f>
        <v>FMr</v>
      </c>
      <c r="H7628">
        <v>6</v>
      </c>
      <c r="I7628" s="7">
        <v>583.4</v>
      </c>
      <c r="N7628" s="7">
        <v>240.4</v>
      </c>
      <c r="O7628" s="7">
        <v>174.9</v>
      </c>
    </row>
    <row r="7629" spans="1:22" x14ac:dyDescent="0.2">
      <c r="A7629">
        <v>7628</v>
      </c>
      <c r="B7629" s="1">
        <v>40960</v>
      </c>
      <c r="C7629" t="s">
        <v>24</v>
      </c>
      <c r="D7629" s="7">
        <v>219</v>
      </c>
      <c r="E7629" s="7">
        <v>33</v>
      </c>
      <c r="F7629" s="7">
        <f t="shared" si="119"/>
        <v>3</v>
      </c>
      <c r="G7629" s="7" t="str">
        <f>LOOKUP(H7629,[1]startdates!$A$2:$A$10,[1]startdates!$B$2:$B$10)</f>
        <v>FMr</v>
      </c>
      <c r="H7629">
        <v>6</v>
      </c>
      <c r="I7629" s="7">
        <v>554.29999999999995</v>
      </c>
      <c r="N7629" s="7">
        <v>224</v>
      </c>
      <c r="O7629" s="7">
        <v>194.4</v>
      </c>
    </row>
    <row r="7630" spans="1:22" x14ac:dyDescent="0.2">
      <c r="A7630">
        <v>7629</v>
      </c>
      <c r="B7630" s="1">
        <v>40960</v>
      </c>
      <c r="C7630" t="s">
        <v>24</v>
      </c>
      <c r="D7630" s="7">
        <v>219</v>
      </c>
      <c r="E7630" s="7">
        <v>33</v>
      </c>
      <c r="F7630" s="7">
        <f t="shared" si="119"/>
        <v>3</v>
      </c>
      <c r="G7630" s="7" t="str">
        <f>LOOKUP(H7630,[1]startdates!$A$2:$A$10,[1]startdates!$B$2:$B$10)</f>
        <v>FMr</v>
      </c>
      <c r="H7630">
        <v>6</v>
      </c>
      <c r="I7630" s="7">
        <v>640.5</v>
      </c>
      <c r="N7630" s="7">
        <v>227.7</v>
      </c>
      <c r="O7630" s="7">
        <v>164.4</v>
      </c>
    </row>
    <row r="7631" spans="1:22" x14ac:dyDescent="0.2">
      <c r="A7631">
        <v>7630</v>
      </c>
      <c r="B7631" s="1">
        <v>40960</v>
      </c>
      <c r="C7631" t="s">
        <v>24</v>
      </c>
      <c r="D7631" s="7">
        <v>219</v>
      </c>
      <c r="E7631" s="7">
        <v>33</v>
      </c>
      <c r="F7631" s="7">
        <f t="shared" si="119"/>
        <v>3</v>
      </c>
      <c r="G7631" s="7" t="str">
        <f>LOOKUP(H7631,[1]startdates!$A$2:$A$10,[1]startdates!$B$2:$B$10)</f>
        <v>FMr</v>
      </c>
      <c r="H7631">
        <v>6</v>
      </c>
      <c r="N7631" s="7">
        <v>203.3</v>
      </c>
      <c r="O7631" s="7">
        <v>169.7</v>
      </c>
    </row>
    <row r="7632" spans="1:22" x14ac:dyDescent="0.2">
      <c r="A7632">
        <v>7631</v>
      </c>
      <c r="B7632" s="1">
        <v>40960</v>
      </c>
      <c r="C7632" t="s">
        <v>28</v>
      </c>
      <c r="D7632" s="7">
        <v>219</v>
      </c>
      <c r="E7632" s="7">
        <v>33</v>
      </c>
      <c r="F7632" s="7">
        <f t="shared" si="119"/>
        <v>3</v>
      </c>
      <c r="G7632" s="7" t="str">
        <f>LOOKUP(H7632,[1]startdates!$A$2:$A$10,[1]startdates!$B$2:$B$10)</f>
        <v>FMr</v>
      </c>
      <c r="H7632">
        <v>7</v>
      </c>
      <c r="I7632" s="7">
        <v>626.4</v>
      </c>
      <c r="J7632" s="7">
        <v>512.79999999999995</v>
      </c>
      <c r="K7632" s="7">
        <v>605.79999999999995</v>
      </c>
      <c r="L7632" s="7">
        <v>406</v>
      </c>
      <c r="M7632" s="7">
        <v>300.3</v>
      </c>
      <c r="N7632" s="7">
        <v>215.5</v>
      </c>
      <c r="O7632" s="7">
        <v>188.6</v>
      </c>
      <c r="P7632" s="7">
        <v>404.5</v>
      </c>
      <c r="Q7632" s="7">
        <v>327.9</v>
      </c>
      <c r="R7632" s="7">
        <v>252.4</v>
      </c>
      <c r="V7632" s="7">
        <v>462.6</v>
      </c>
    </row>
    <row r="7633" spans="1:18" x14ac:dyDescent="0.2">
      <c r="A7633">
        <v>7632</v>
      </c>
      <c r="B7633" s="1">
        <v>40960</v>
      </c>
      <c r="C7633" t="s">
        <v>28</v>
      </c>
      <c r="D7633" s="7">
        <v>219</v>
      </c>
      <c r="E7633" s="7">
        <v>33</v>
      </c>
      <c r="F7633" s="7">
        <f t="shared" si="119"/>
        <v>3</v>
      </c>
      <c r="G7633" s="7" t="str">
        <f>LOOKUP(H7633,[1]startdates!$A$2:$A$10,[1]startdates!$B$2:$B$10)</f>
        <v>FMr</v>
      </c>
      <c r="H7633">
        <v>7</v>
      </c>
      <c r="I7633" s="7">
        <v>680.3</v>
      </c>
      <c r="J7633" s="7">
        <v>510.9</v>
      </c>
      <c r="K7633" s="7">
        <v>520.9</v>
      </c>
      <c r="L7633" s="7">
        <v>394.8</v>
      </c>
      <c r="M7633" s="7">
        <v>364</v>
      </c>
      <c r="N7633" s="7">
        <v>191.1</v>
      </c>
      <c r="O7633" s="7">
        <v>171.2</v>
      </c>
      <c r="P7633" s="7">
        <v>426.1</v>
      </c>
      <c r="Q7633" s="7">
        <v>329.3</v>
      </c>
    </row>
    <row r="7634" spans="1:18" x14ac:dyDescent="0.2">
      <c r="A7634">
        <v>7633</v>
      </c>
      <c r="B7634" s="1">
        <v>40960</v>
      </c>
      <c r="C7634" t="s">
        <v>28</v>
      </c>
      <c r="D7634" s="7">
        <v>219</v>
      </c>
      <c r="E7634" s="7">
        <v>33</v>
      </c>
      <c r="F7634" s="7">
        <f t="shared" si="119"/>
        <v>3</v>
      </c>
      <c r="G7634" s="7" t="str">
        <f>LOOKUP(H7634,[1]startdates!$A$2:$A$10,[1]startdates!$B$2:$B$10)</f>
        <v>FMr</v>
      </c>
      <c r="H7634">
        <v>7</v>
      </c>
      <c r="I7634" s="7">
        <v>682.6</v>
      </c>
      <c r="K7634" s="7">
        <v>517.1</v>
      </c>
      <c r="M7634" s="7">
        <v>334.9</v>
      </c>
      <c r="N7634" s="7">
        <v>238.7</v>
      </c>
      <c r="O7634" s="7">
        <v>169.4</v>
      </c>
      <c r="P7634" s="7">
        <v>426</v>
      </c>
    </row>
    <row r="7635" spans="1:18" x14ac:dyDescent="0.2">
      <c r="A7635">
        <v>7634</v>
      </c>
      <c r="B7635" s="1">
        <v>40960</v>
      </c>
      <c r="C7635" t="s">
        <v>28</v>
      </c>
      <c r="D7635" s="7">
        <v>219</v>
      </c>
      <c r="E7635" s="7">
        <v>33</v>
      </c>
      <c r="F7635" s="7">
        <f t="shared" si="119"/>
        <v>3</v>
      </c>
      <c r="G7635" s="7" t="str">
        <f>LOOKUP(H7635,[1]startdates!$A$2:$A$10,[1]startdates!$B$2:$B$10)</f>
        <v>FMr</v>
      </c>
      <c r="H7635">
        <v>7</v>
      </c>
      <c r="I7635" s="7">
        <v>622.29999999999995</v>
      </c>
      <c r="K7635" s="7">
        <v>526.9</v>
      </c>
      <c r="M7635" s="7">
        <v>310.10000000000002</v>
      </c>
      <c r="N7635" s="7">
        <v>177.3</v>
      </c>
      <c r="O7635" s="7">
        <v>149</v>
      </c>
      <c r="P7635" s="7">
        <v>434</v>
      </c>
    </row>
    <row r="7636" spans="1:18" x14ac:dyDescent="0.2">
      <c r="A7636">
        <v>7635</v>
      </c>
      <c r="B7636" s="1">
        <v>40960</v>
      </c>
      <c r="C7636" t="s">
        <v>28</v>
      </c>
      <c r="D7636" s="7">
        <v>219</v>
      </c>
      <c r="E7636" s="7">
        <v>33</v>
      </c>
      <c r="F7636" s="7">
        <f t="shared" si="119"/>
        <v>3</v>
      </c>
      <c r="G7636" s="7" t="str">
        <f>LOOKUP(H7636,[1]startdates!$A$2:$A$10,[1]startdates!$B$2:$B$10)</f>
        <v>FMr</v>
      </c>
      <c r="H7636">
        <v>7</v>
      </c>
      <c r="I7636" s="7">
        <v>603.29999999999995</v>
      </c>
      <c r="K7636" s="7">
        <v>553.79999999999995</v>
      </c>
      <c r="M7636" s="7">
        <v>363.4</v>
      </c>
      <c r="N7636" s="7">
        <v>269.60000000000002</v>
      </c>
      <c r="O7636" s="7">
        <v>145.9</v>
      </c>
    </row>
    <row r="7637" spans="1:18" x14ac:dyDescent="0.2">
      <c r="A7637">
        <v>7636</v>
      </c>
      <c r="B7637" s="1">
        <v>40960</v>
      </c>
      <c r="C7637" t="s">
        <v>28</v>
      </c>
      <c r="D7637" s="7">
        <v>219</v>
      </c>
      <c r="E7637" s="7">
        <v>33</v>
      </c>
      <c r="F7637" s="7">
        <f t="shared" si="119"/>
        <v>3</v>
      </c>
      <c r="G7637" s="7" t="str">
        <f>LOOKUP(H7637,[1]startdates!$A$2:$A$10,[1]startdates!$B$2:$B$10)</f>
        <v>FMr</v>
      </c>
      <c r="H7637">
        <v>7</v>
      </c>
      <c r="I7637" s="7">
        <v>647.4</v>
      </c>
      <c r="M7637" s="7">
        <v>358.3</v>
      </c>
      <c r="N7637" s="7">
        <v>180.4</v>
      </c>
      <c r="O7637" s="7">
        <v>174.9</v>
      </c>
    </row>
    <row r="7638" spans="1:18" x14ac:dyDescent="0.2">
      <c r="A7638">
        <v>7637</v>
      </c>
      <c r="B7638" s="1">
        <v>40960</v>
      </c>
      <c r="C7638" t="s">
        <v>28</v>
      </c>
      <c r="D7638" s="7">
        <v>219</v>
      </c>
      <c r="E7638" s="7">
        <v>33</v>
      </c>
      <c r="F7638" s="7">
        <f t="shared" si="119"/>
        <v>3</v>
      </c>
      <c r="G7638" s="7" t="str">
        <f>LOOKUP(H7638,[1]startdates!$A$2:$A$10,[1]startdates!$B$2:$B$10)</f>
        <v>FMr</v>
      </c>
      <c r="H7638">
        <v>7</v>
      </c>
      <c r="I7638" s="7">
        <v>551.1</v>
      </c>
      <c r="M7638" s="7">
        <v>321.60000000000002</v>
      </c>
      <c r="N7638" s="7">
        <v>221.2</v>
      </c>
      <c r="O7638" s="7">
        <v>173.1</v>
      </c>
    </row>
    <row r="7639" spans="1:18" x14ac:dyDescent="0.2">
      <c r="A7639">
        <v>7638</v>
      </c>
      <c r="B7639" s="1">
        <v>40960</v>
      </c>
      <c r="C7639" t="s">
        <v>28</v>
      </c>
      <c r="D7639" s="7">
        <v>219</v>
      </c>
      <c r="E7639" s="7">
        <v>33</v>
      </c>
      <c r="F7639" s="7">
        <f t="shared" si="119"/>
        <v>3</v>
      </c>
      <c r="G7639" s="7" t="str">
        <f>LOOKUP(H7639,[1]startdates!$A$2:$A$10,[1]startdates!$B$2:$B$10)</f>
        <v>FMr</v>
      </c>
      <c r="H7639">
        <v>7</v>
      </c>
      <c r="I7639" s="7">
        <v>584.70000000000005</v>
      </c>
      <c r="M7639" s="7">
        <v>379.8</v>
      </c>
      <c r="N7639" s="7">
        <v>215.5</v>
      </c>
      <c r="O7639" s="7">
        <v>167.7</v>
      </c>
    </row>
    <row r="7640" spans="1:18" x14ac:dyDescent="0.2">
      <c r="A7640">
        <v>7639</v>
      </c>
      <c r="B7640" s="1">
        <v>40960</v>
      </c>
      <c r="C7640" t="s">
        <v>28</v>
      </c>
      <c r="D7640" s="7">
        <v>219</v>
      </c>
      <c r="E7640" s="7">
        <v>33</v>
      </c>
      <c r="F7640" s="7">
        <f t="shared" si="119"/>
        <v>3</v>
      </c>
      <c r="G7640" s="7" t="str">
        <f>LOOKUP(H7640,[1]startdates!$A$2:$A$10,[1]startdates!$B$2:$B$10)</f>
        <v>FMr</v>
      </c>
      <c r="H7640">
        <v>7</v>
      </c>
      <c r="I7640" s="7">
        <v>583.9</v>
      </c>
      <c r="M7640" s="7">
        <v>332.7</v>
      </c>
      <c r="N7640" s="7">
        <v>279.10000000000002</v>
      </c>
      <c r="O7640" s="7">
        <v>149</v>
      </c>
    </row>
    <row r="7641" spans="1:18" x14ac:dyDescent="0.2">
      <c r="A7641">
        <v>7640</v>
      </c>
      <c r="B7641" s="1">
        <v>40960</v>
      </c>
      <c r="C7641" t="s">
        <v>28</v>
      </c>
      <c r="D7641" s="7">
        <v>219</v>
      </c>
      <c r="E7641" s="7">
        <v>33</v>
      </c>
      <c r="F7641" s="7">
        <f t="shared" si="119"/>
        <v>3</v>
      </c>
      <c r="G7641" s="7" t="str">
        <f>LOOKUP(H7641,[1]startdates!$A$2:$A$10,[1]startdates!$B$2:$B$10)</f>
        <v>FMr</v>
      </c>
      <c r="H7641">
        <v>7</v>
      </c>
      <c r="I7641" s="7">
        <v>590.4</v>
      </c>
      <c r="M7641" s="7">
        <v>343.5</v>
      </c>
      <c r="O7641" s="7">
        <v>164</v>
      </c>
    </row>
    <row r="7642" spans="1:18" x14ac:dyDescent="0.2">
      <c r="A7642">
        <v>7641</v>
      </c>
      <c r="B7642" s="1">
        <v>40960</v>
      </c>
      <c r="C7642" t="s">
        <v>28</v>
      </c>
      <c r="D7642" s="7">
        <v>219</v>
      </c>
      <c r="E7642" s="7">
        <v>33</v>
      </c>
      <c r="F7642" s="7">
        <f t="shared" si="119"/>
        <v>3</v>
      </c>
      <c r="G7642" s="7" t="str">
        <f>LOOKUP(H7642,[1]startdates!$A$2:$A$10,[1]startdates!$B$2:$B$10)</f>
        <v>FMr</v>
      </c>
      <c r="H7642">
        <v>7</v>
      </c>
      <c r="M7642" s="7">
        <v>382.7</v>
      </c>
    </row>
    <row r="7643" spans="1:18" x14ac:dyDescent="0.2">
      <c r="A7643">
        <v>7642</v>
      </c>
      <c r="B7643" s="1">
        <v>40960</v>
      </c>
      <c r="C7643" t="s">
        <v>28</v>
      </c>
      <c r="D7643" s="7">
        <v>219</v>
      </c>
      <c r="E7643" s="7">
        <v>33</v>
      </c>
      <c r="F7643" s="7">
        <f t="shared" si="119"/>
        <v>3</v>
      </c>
      <c r="G7643" s="7" t="str">
        <f>LOOKUP(H7643,[1]startdates!$A$2:$A$10,[1]startdates!$B$2:$B$10)</f>
        <v>C</v>
      </c>
      <c r="H7643">
        <v>8</v>
      </c>
      <c r="I7643" s="7">
        <v>613.4</v>
      </c>
      <c r="J7643" s="7">
        <v>556.79999999999995</v>
      </c>
      <c r="K7643" s="7">
        <v>550.70000000000005</v>
      </c>
      <c r="L7643" s="7">
        <v>421.3</v>
      </c>
      <c r="M7643" s="7">
        <v>387</v>
      </c>
      <c r="N7643" s="7">
        <v>254.1</v>
      </c>
      <c r="O7643" s="7">
        <v>149.1</v>
      </c>
      <c r="P7643" s="7">
        <v>456.1</v>
      </c>
      <c r="Q7643" s="7">
        <v>315.5</v>
      </c>
      <c r="R7643" s="7">
        <v>258.10000000000002</v>
      </c>
    </row>
    <row r="7644" spans="1:18" x14ac:dyDescent="0.2">
      <c r="A7644">
        <v>7643</v>
      </c>
      <c r="B7644" s="1">
        <v>40960</v>
      </c>
      <c r="C7644" t="s">
        <v>28</v>
      </c>
      <c r="D7644" s="7">
        <v>219</v>
      </c>
      <c r="E7644" s="7">
        <v>33</v>
      </c>
      <c r="F7644" s="7">
        <f t="shared" si="119"/>
        <v>3</v>
      </c>
      <c r="G7644" s="7" t="str">
        <f>LOOKUP(H7644,[1]startdates!$A$2:$A$10,[1]startdates!$B$2:$B$10)</f>
        <v>C</v>
      </c>
      <c r="H7644">
        <v>8</v>
      </c>
      <c r="I7644" s="7">
        <v>617.5</v>
      </c>
      <c r="J7644" s="7">
        <v>507</v>
      </c>
      <c r="K7644" s="7">
        <v>502</v>
      </c>
      <c r="L7644" s="7">
        <v>409.5</v>
      </c>
      <c r="M7644" s="7">
        <v>385.9</v>
      </c>
      <c r="N7644" s="7">
        <v>197.6</v>
      </c>
      <c r="O7644" s="7">
        <v>141.1</v>
      </c>
    </row>
    <row r="7645" spans="1:18" x14ac:dyDescent="0.2">
      <c r="A7645">
        <v>7644</v>
      </c>
      <c r="B7645" s="1">
        <v>40960</v>
      </c>
      <c r="C7645" t="s">
        <v>28</v>
      </c>
      <c r="D7645" s="7">
        <v>219</v>
      </c>
      <c r="E7645" s="7">
        <v>33</v>
      </c>
      <c r="F7645" s="7">
        <f t="shared" si="119"/>
        <v>3</v>
      </c>
      <c r="G7645" s="7" t="str">
        <f>LOOKUP(H7645,[1]startdates!$A$2:$A$10,[1]startdates!$B$2:$B$10)</f>
        <v>C</v>
      </c>
      <c r="H7645">
        <v>8</v>
      </c>
      <c r="I7645" s="7">
        <v>607.70000000000005</v>
      </c>
      <c r="J7645" s="7">
        <v>491.7</v>
      </c>
      <c r="K7645" s="7">
        <v>567.20000000000005</v>
      </c>
      <c r="L7645" s="7">
        <v>452.9</v>
      </c>
      <c r="M7645" s="7">
        <v>372.4</v>
      </c>
      <c r="N7645" s="7">
        <v>191.2</v>
      </c>
      <c r="O7645" s="7">
        <v>169.4</v>
      </c>
    </row>
    <row r="7646" spans="1:18" x14ac:dyDescent="0.2">
      <c r="A7646">
        <v>7645</v>
      </c>
      <c r="B7646" s="1">
        <v>40960</v>
      </c>
      <c r="C7646" t="s">
        <v>28</v>
      </c>
      <c r="D7646" s="7">
        <v>219</v>
      </c>
      <c r="E7646" s="7">
        <v>33</v>
      </c>
      <c r="F7646" s="7">
        <f t="shared" si="119"/>
        <v>3</v>
      </c>
      <c r="G7646" s="7" t="str">
        <f>LOOKUP(H7646,[1]startdates!$A$2:$A$10,[1]startdates!$B$2:$B$10)</f>
        <v>C</v>
      </c>
      <c r="H7646">
        <v>8</v>
      </c>
      <c r="I7646" s="7">
        <v>551</v>
      </c>
      <c r="J7646" s="7">
        <v>556</v>
      </c>
      <c r="K7646" s="7">
        <v>525.70000000000005</v>
      </c>
      <c r="L7646" s="7">
        <v>419.7</v>
      </c>
      <c r="M7646" s="7">
        <v>314.2</v>
      </c>
      <c r="N7646" s="7">
        <v>204.2</v>
      </c>
      <c r="O7646" s="7">
        <v>165.5</v>
      </c>
    </row>
    <row r="7647" spans="1:18" x14ac:dyDescent="0.2">
      <c r="A7647">
        <v>7646</v>
      </c>
      <c r="B7647" s="1">
        <v>40960</v>
      </c>
      <c r="C7647" t="s">
        <v>28</v>
      </c>
      <c r="D7647" s="7">
        <v>219</v>
      </c>
      <c r="E7647" s="7">
        <v>33</v>
      </c>
      <c r="F7647" s="7">
        <f t="shared" si="119"/>
        <v>3</v>
      </c>
      <c r="G7647" s="7" t="str">
        <f>LOOKUP(H7647,[1]startdates!$A$2:$A$10,[1]startdates!$B$2:$B$10)</f>
        <v>C</v>
      </c>
      <c r="H7647">
        <v>8</v>
      </c>
      <c r="I7647" s="7">
        <v>588.79999999999995</v>
      </c>
      <c r="J7647" s="7">
        <v>493.6</v>
      </c>
      <c r="K7647" s="7">
        <v>613.5</v>
      </c>
      <c r="M7647" s="7">
        <v>359.7</v>
      </c>
      <c r="N7647" s="7">
        <v>217.4</v>
      </c>
      <c r="O7647" s="7">
        <v>169.7</v>
      </c>
    </row>
    <row r="7648" spans="1:18" x14ac:dyDescent="0.2">
      <c r="A7648">
        <v>7647</v>
      </c>
      <c r="B7648" s="1">
        <v>40960</v>
      </c>
      <c r="C7648" t="s">
        <v>28</v>
      </c>
      <c r="D7648" s="7">
        <v>219</v>
      </c>
      <c r="E7648" s="7">
        <v>33</v>
      </c>
      <c r="F7648" s="7">
        <f t="shared" si="119"/>
        <v>3</v>
      </c>
      <c r="G7648" s="7" t="str">
        <f>LOOKUP(H7648,[1]startdates!$A$2:$A$10,[1]startdates!$B$2:$B$10)</f>
        <v>C</v>
      </c>
      <c r="H7648">
        <v>8</v>
      </c>
      <c r="I7648" s="7">
        <v>615.79999999999995</v>
      </c>
      <c r="J7648" s="7">
        <v>573.5</v>
      </c>
      <c r="K7648" s="7">
        <v>573.1</v>
      </c>
      <c r="M7648" s="7">
        <v>298.2</v>
      </c>
      <c r="N7648" s="7">
        <v>179.3</v>
      </c>
      <c r="O7648" s="7">
        <v>158.1</v>
      </c>
    </row>
    <row r="7649" spans="1:22" x14ac:dyDescent="0.2">
      <c r="A7649">
        <v>7648</v>
      </c>
      <c r="B7649" s="1">
        <v>40960</v>
      </c>
      <c r="C7649" t="s">
        <v>28</v>
      </c>
      <c r="D7649" s="7">
        <v>219</v>
      </c>
      <c r="E7649" s="7">
        <v>33</v>
      </c>
      <c r="F7649" s="7">
        <f t="shared" si="119"/>
        <v>3</v>
      </c>
      <c r="G7649" s="7" t="str">
        <f>LOOKUP(H7649,[1]startdates!$A$2:$A$10,[1]startdates!$B$2:$B$10)</f>
        <v>C</v>
      </c>
      <c r="H7649">
        <v>8</v>
      </c>
      <c r="I7649" s="7">
        <v>614.79999999999995</v>
      </c>
      <c r="J7649" s="7">
        <v>533.6</v>
      </c>
      <c r="M7649" s="7">
        <v>315.5</v>
      </c>
      <c r="N7649" s="7">
        <v>247.7</v>
      </c>
      <c r="O7649" s="7">
        <v>179.8</v>
      </c>
    </row>
    <row r="7650" spans="1:22" x14ac:dyDescent="0.2">
      <c r="A7650">
        <v>7649</v>
      </c>
      <c r="B7650" s="1">
        <v>40960</v>
      </c>
      <c r="C7650" t="s">
        <v>28</v>
      </c>
      <c r="D7650" s="7">
        <v>219</v>
      </c>
      <c r="E7650" s="7">
        <v>33</v>
      </c>
      <c r="F7650" s="7">
        <f t="shared" si="119"/>
        <v>3</v>
      </c>
      <c r="G7650" s="7" t="str">
        <f>LOOKUP(H7650,[1]startdates!$A$2:$A$10,[1]startdates!$B$2:$B$10)</f>
        <v>C</v>
      </c>
      <c r="H7650">
        <v>8</v>
      </c>
      <c r="I7650" s="7">
        <v>643.9</v>
      </c>
      <c r="M7650" s="7">
        <v>327.10000000000002</v>
      </c>
      <c r="N7650" s="7">
        <v>232</v>
      </c>
      <c r="O7650" s="7">
        <v>166.1</v>
      </c>
    </row>
    <row r="7651" spans="1:22" x14ac:dyDescent="0.2">
      <c r="A7651">
        <v>7650</v>
      </c>
      <c r="B7651" s="1">
        <v>40960</v>
      </c>
      <c r="C7651" t="s">
        <v>28</v>
      </c>
      <c r="D7651" s="7">
        <v>219</v>
      </c>
      <c r="E7651" s="7">
        <v>33</v>
      </c>
      <c r="F7651" s="7">
        <f t="shared" si="119"/>
        <v>3</v>
      </c>
      <c r="G7651" s="7" t="str">
        <f>LOOKUP(H7651,[1]startdates!$A$2:$A$10,[1]startdates!$B$2:$B$10)</f>
        <v>C</v>
      </c>
      <c r="H7651">
        <v>8</v>
      </c>
      <c r="I7651" s="7">
        <v>693.8</v>
      </c>
      <c r="M7651" s="7">
        <v>346.3</v>
      </c>
      <c r="N7651" s="7">
        <v>277</v>
      </c>
      <c r="O7651" s="7">
        <v>160.5</v>
      </c>
    </row>
    <row r="7652" spans="1:22" x14ac:dyDescent="0.2">
      <c r="A7652">
        <v>7651</v>
      </c>
      <c r="B7652" s="1">
        <v>40960</v>
      </c>
      <c r="C7652" t="s">
        <v>28</v>
      </c>
      <c r="D7652" s="7">
        <v>219</v>
      </c>
      <c r="E7652" s="7">
        <v>33</v>
      </c>
      <c r="F7652" s="7">
        <f t="shared" si="119"/>
        <v>3</v>
      </c>
      <c r="G7652" s="7" t="str">
        <f>LOOKUP(H7652,[1]startdates!$A$2:$A$10,[1]startdates!$B$2:$B$10)</f>
        <v>C</v>
      </c>
      <c r="H7652">
        <v>8</v>
      </c>
      <c r="I7652" s="7">
        <v>659.3</v>
      </c>
      <c r="N7652" s="7">
        <v>219.2</v>
      </c>
      <c r="O7652" s="7">
        <v>169.2</v>
      </c>
    </row>
    <row r="7653" spans="1:22" x14ac:dyDescent="0.2">
      <c r="A7653">
        <v>7652</v>
      </c>
      <c r="B7653" s="1">
        <v>40960</v>
      </c>
      <c r="C7653" t="s">
        <v>24</v>
      </c>
      <c r="D7653" s="7">
        <v>219</v>
      </c>
      <c r="E7653" s="7">
        <v>33</v>
      </c>
      <c r="F7653" s="7">
        <f t="shared" si="119"/>
        <v>3</v>
      </c>
      <c r="G7653" s="7" t="str">
        <f>LOOKUP(H7653,[1]startdates!$A$2:$A$10,[1]startdates!$B$2:$B$10)</f>
        <v>FMr</v>
      </c>
      <c r="H7653">
        <v>9</v>
      </c>
      <c r="I7653" s="7">
        <v>612.6</v>
      </c>
      <c r="J7653" s="7">
        <v>497</v>
      </c>
      <c r="K7653" s="7">
        <v>537.79999999999995</v>
      </c>
      <c r="L7653" s="7">
        <v>420.6</v>
      </c>
      <c r="M7653" s="7">
        <v>363.9</v>
      </c>
      <c r="N7653" s="7">
        <v>222</v>
      </c>
      <c r="O7653" s="7">
        <v>167</v>
      </c>
      <c r="P7653" s="7">
        <v>543.6</v>
      </c>
      <c r="Q7653" s="7">
        <v>343.1</v>
      </c>
      <c r="V7653" s="7">
        <v>489.3</v>
      </c>
    </row>
    <row r="7654" spans="1:22" x14ac:dyDescent="0.2">
      <c r="A7654">
        <v>7653</v>
      </c>
      <c r="B7654" s="1">
        <v>40960</v>
      </c>
      <c r="C7654" t="s">
        <v>24</v>
      </c>
      <c r="D7654" s="7">
        <v>219</v>
      </c>
      <c r="E7654" s="7">
        <v>33</v>
      </c>
      <c r="F7654" s="7">
        <f t="shared" si="119"/>
        <v>3</v>
      </c>
      <c r="G7654" s="7" t="str">
        <f>LOOKUP(H7654,[1]startdates!$A$2:$A$10,[1]startdates!$B$2:$B$10)</f>
        <v>FMr</v>
      </c>
      <c r="H7654">
        <v>9</v>
      </c>
      <c r="I7654" s="7">
        <v>578.20000000000005</v>
      </c>
      <c r="K7654" s="7">
        <v>439.7</v>
      </c>
      <c r="L7654" s="7">
        <v>402.2</v>
      </c>
      <c r="M7654" s="7">
        <v>384.3</v>
      </c>
      <c r="N7654" s="7">
        <v>183.1</v>
      </c>
      <c r="O7654" s="7">
        <v>156.30000000000001</v>
      </c>
      <c r="P7654" s="7">
        <v>511.5</v>
      </c>
      <c r="Q7654" s="7">
        <v>316.10000000000002</v>
      </c>
    </row>
    <row r="7655" spans="1:22" x14ac:dyDescent="0.2">
      <c r="A7655">
        <v>7654</v>
      </c>
      <c r="B7655" s="1">
        <v>40960</v>
      </c>
      <c r="C7655" t="s">
        <v>24</v>
      </c>
      <c r="D7655" s="7">
        <v>219</v>
      </c>
      <c r="E7655" s="7">
        <v>33</v>
      </c>
      <c r="F7655" s="7">
        <f t="shared" si="119"/>
        <v>3</v>
      </c>
      <c r="G7655" s="7" t="str">
        <f>LOOKUP(H7655,[1]startdates!$A$2:$A$10,[1]startdates!$B$2:$B$10)</f>
        <v>FMr</v>
      </c>
      <c r="H7655">
        <v>9</v>
      </c>
      <c r="I7655" s="7">
        <v>573.6</v>
      </c>
      <c r="K7655" s="7">
        <v>475.3</v>
      </c>
      <c r="L7655" s="7">
        <v>400.5</v>
      </c>
      <c r="M7655" s="7">
        <v>393.1</v>
      </c>
      <c r="N7655" s="7">
        <v>203.7</v>
      </c>
      <c r="O7655" s="7">
        <v>166.3</v>
      </c>
    </row>
    <row r="7656" spans="1:22" x14ac:dyDescent="0.2">
      <c r="A7656">
        <v>7655</v>
      </c>
      <c r="B7656" s="1">
        <v>40960</v>
      </c>
      <c r="C7656" t="s">
        <v>24</v>
      </c>
      <c r="D7656" s="7">
        <v>219</v>
      </c>
      <c r="E7656" s="7">
        <v>33</v>
      </c>
      <c r="F7656" s="7">
        <f t="shared" si="119"/>
        <v>3</v>
      </c>
      <c r="G7656" s="7" t="str">
        <f>LOOKUP(H7656,[1]startdates!$A$2:$A$10,[1]startdates!$B$2:$B$10)</f>
        <v>FMr</v>
      </c>
      <c r="H7656">
        <v>9</v>
      </c>
      <c r="I7656" s="7">
        <v>634.20000000000005</v>
      </c>
      <c r="K7656" s="7">
        <v>504.4</v>
      </c>
      <c r="M7656" s="7">
        <v>345.7</v>
      </c>
      <c r="N7656" s="7">
        <v>191.3</v>
      </c>
      <c r="O7656" s="7">
        <v>186.6</v>
      </c>
    </row>
    <row r="7657" spans="1:22" x14ac:dyDescent="0.2">
      <c r="A7657">
        <v>7656</v>
      </c>
      <c r="B7657" s="1">
        <v>40960</v>
      </c>
      <c r="C7657" t="s">
        <v>24</v>
      </c>
      <c r="D7657" s="7">
        <v>219</v>
      </c>
      <c r="E7657" s="7">
        <v>33</v>
      </c>
      <c r="F7657" s="7">
        <f t="shared" ref="F7657:F7720" si="120">WEEKDAY(B7657)</f>
        <v>3</v>
      </c>
      <c r="G7657" s="7" t="str">
        <f>LOOKUP(H7657,[1]startdates!$A$2:$A$10,[1]startdates!$B$2:$B$10)</f>
        <v>FMr</v>
      </c>
      <c r="H7657">
        <v>9</v>
      </c>
      <c r="I7657" s="7">
        <v>494.1</v>
      </c>
      <c r="K7657" s="7">
        <v>479.2</v>
      </c>
      <c r="M7657" s="7">
        <v>283.5</v>
      </c>
      <c r="N7657" s="7">
        <v>218</v>
      </c>
      <c r="O7657" s="7">
        <v>185.8</v>
      </c>
    </row>
    <row r="7658" spans="1:22" x14ac:dyDescent="0.2">
      <c r="A7658">
        <v>7657</v>
      </c>
      <c r="B7658" s="1">
        <v>40960</v>
      </c>
      <c r="C7658" t="s">
        <v>24</v>
      </c>
      <c r="D7658" s="7">
        <v>219</v>
      </c>
      <c r="E7658" s="7">
        <v>33</v>
      </c>
      <c r="F7658" s="7">
        <f t="shared" si="120"/>
        <v>3</v>
      </c>
      <c r="G7658" s="7" t="str">
        <f>LOOKUP(H7658,[1]startdates!$A$2:$A$10,[1]startdates!$B$2:$B$10)</f>
        <v>FMr</v>
      </c>
      <c r="H7658">
        <v>9</v>
      </c>
      <c r="K7658" s="7">
        <v>443.1</v>
      </c>
      <c r="M7658" s="7">
        <v>308.8</v>
      </c>
      <c r="N7658" s="7">
        <v>206.2</v>
      </c>
      <c r="O7658" s="7">
        <v>192.2</v>
      </c>
    </row>
    <row r="7659" spans="1:22" x14ac:dyDescent="0.2">
      <c r="A7659">
        <v>7658</v>
      </c>
      <c r="B7659" s="1">
        <v>40960</v>
      </c>
      <c r="C7659" t="s">
        <v>24</v>
      </c>
      <c r="D7659" s="7">
        <v>219</v>
      </c>
      <c r="E7659" s="7">
        <v>33</v>
      </c>
      <c r="F7659" s="7">
        <f t="shared" si="120"/>
        <v>3</v>
      </c>
      <c r="G7659" s="7" t="str">
        <f>LOOKUP(H7659,[1]startdates!$A$2:$A$10,[1]startdates!$B$2:$B$10)</f>
        <v>FMr</v>
      </c>
      <c r="H7659">
        <v>9</v>
      </c>
      <c r="K7659" s="7">
        <v>462.4</v>
      </c>
      <c r="N7659" s="7">
        <v>229</v>
      </c>
      <c r="O7659" s="7">
        <v>192.9</v>
      </c>
    </row>
    <row r="7660" spans="1:22" x14ac:dyDescent="0.2">
      <c r="A7660">
        <v>7659</v>
      </c>
      <c r="B7660" s="1">
        <v>40960</v>
      </c>
      <c r="C7660" t="s">
        <v>24</v>
      </c>
      <c r="D7660" s="7">
        <v>219</v>
      </c>
      <c r="E7660" s="7">
        <v>33</v>
      </c>
      <c r="F7660" s="7">
        <f t="shared" si="120"/>
        <v>3</v>
      </c>
      <c r="G7660" s="7" t="str">
        <f>LOOKUP(H7660,[1]startdates!$A$2:$A$10,[1]startdates!$B$2:$B$10)</f>
        <v>FMr</v>
      </c>
      <c r="H7660">
        <v>9</v>
      </c>
      <c r="K7660" s="7">
        <v>466</v>
      </c>
      <c r="N7660" s="7">
        <v>226</v>
      </c>
      <c r="O7660" s="7">
        <v>200.9</v>
      </c>
    </row>
    <row r="7661" spans="1:22" x14ac:dyDescent="0.2">
      <c r="A7661">
        <v>7660</v>
      </c>
      <c r="B7661" s="1">
        <v>40960</v>
      </c>
      <c r="C7661" t="s">
        <v>24</v>
      </c>
      <c r="D7661" s="7">
        <v>219</v>
      </c>
      <c r="E7661" s="7">
        <v>33</v>
      </c>
      <c r="F7661" s="7">
        <f t="shared" si="120"/>
        <v>3</v>
      </c>
      <c r="G7661" s="7" t="str">
        <f>LOOKUP(H7661,[1]startdates!$A$2:$A$10,[1]startdates!$B$2:$B$10)</f>
        <v>FMr</v>
      </c>
      <c r="H7661">
        <v>9</v>
      </c>
      <c r="K7661" s="7">
        <v>500.7</v>
      </c>
      <c r="N7661" s="7">
        <v>192.1</v>
      </c>
      <c r="O7661" s="7">
        <v>179.7</v>
      </c>
    </row>
    <row r="7662" spans="1:22" x14ac:dyDescent="0.2">
      <c r="A7662">
        <v>7661</v>
      </c>
      <c r="B7662" s="1">
        <v>40960</v>
      </c>
      <c r="C7662" t="s">
        <v>24</v>
      </c>
      <c r="D7662" s="7">
        <v>219</v>
      </c>
      <c r="E7662" s="7">
        <v>33</v>
      </c>
      <c r="F7662" s="7">
        <f t="shared" si="120"/>
        <v>3</v>
      </c>
      <c r="G7662" s="7" t="str">
        <f>LOOKUP(H7662,[1]startdates!$A$2:$A$10,[1]startdates!$B$2:$B$10)</f>
        <v>FMr</v>
      </c>
      <c r="H7662">
        <v>9</v>
      </c>
      <c r="N7662" s="7">
        <v>228.9</v>
      </c>
      <c r="O7662" s="7">
        <v>160.69999999999999</v>
      </c>
    </row>
    <row r="7663" spans="1:22" x14ac:dyDescent="0.2">
      <c r="A7663">
        <v>7662</v>
      </c>
      <c r="B7663" s="1">
        <v>40963</v>
      </c>
      <c r="C7663" t="s">
        <v>28</v>
      </c>
      <c r="D7663" s="7">
        <v>222</v>
      </c>
      <c r="E7663" s="7">
        <v>33</v>
      </c>
      <c r="F7663" s="7">
        <f t="shared" si="120"/>
        <v>6</v>
      </c>
      <c r="G7663" s="7" t="str">
        <f>LOOKUP(H7663,[1]startdates!$A$2:$A$10,[1]startdates!$B$2:$B$10)</f>
        <v>SMr</v>
      </c>
      <c r="H7663">
        <v>1</v>
      </c>
      <c r="J7663" s="7">
        <v>547.5</v>
      </c>
      <c r="K7663" s="7">
        <v>531.29999999999995</v>
      </c>
      <c r="L7663" s="7">
        <v>622.20000000000005</v>
      </c>
      <c r="M7663" s="7">
        <v>356.7</v>
      </c>
      <c r="N7663" s="7">
        <v>189.5</v>
      </c>
      <c r="O7663" s="7">
        <v>188.7</v>
      </c>
      <c r="P7663" s="7">
        <v>417.9</v>
      </c>
    </row>
    <row r="7664" spans="1:22" x14ac:dyDescent="0.2">
      <c r="A7664">
        <v>7663</v>
      </c>
      <c r="B7664" s="1">
        <v>40963</v>
      </c>
      <c r="C7664" t="s">
        <v>28</v>
      </c>
      <c r="D7664" s="7">
        <v>222</v>
      </c>
      <c r="E7664" s="7">
        <v>33</v>
      </c>
      <c r="F7664" s="7">
        <f t="shared" si="120"/>
        <v>6</v>
      </c>
      <c r="G7664" s="7" t="str">
        <f>LOOKUP(H7664,[1]startdates!$A$2:$A$10,[1]startdates!$B$2:$B$10)</f>
        <v>SMr</v>
      </c>
      <c r="H7664">
        <v>1</v>
      </c>
      <c r="J7664" s="7">
        <v>465.8</v>
      </c>
      <c r="K7664" s="7">
        <v>520.70000000000005</v>
      </c>
      <c r="L7664" s="7">
        <v>596.5</v>
      </c>
      <c r="M7664" s="7">
        <v>337.2</v>
      </c>
      <c r="N7664" s="7">
        <v>185.7</v>
      </c>
      <c r="O7664" s="7">
        <v>140.69999999999999</v>
      </c>
      <c r="P7664" s="7">
        <v>456.4</v>
      </c>
    </row>
    <row r="7665" spans="1:18" x14ac:dyDescent="0.2">
      <c r="A7665">
        <v>7664</v>
      </c>
      <c r="B7665" s="1">
        <v>40963</v>
      </c>
      <c r="C7665" t="s">
        <v>28</v>
      </c>
      <c r="D7665" s="7">
        <v>222</v>
      </c>
      <c r="E7665" s="7">
        <v>33</v>
      </c>
      <c r="F7665" s="7">
        <f t="shared" si="120"/>
        <v>6</v>
      </c>
      <c r="G7665" s="7" t="str">
        <f>LOOKUP(H7665,[1]startdates!$A$2:$A$10,[1]startdates!$B$2:$B$10)</f>
        <v>SMr</v>
      </c>
      <c r="H7665">
        <v>1</v>
      </c>
      <c r="J7665" s="7">
        <v>508.7</v>
      </c>
      <c r="K7665" s="7">
        <v>491.3</v>
      </c>
      <c r="L7665" s="7">
        <v>410.4</v>
      </c>
      <c r="M7665" s="7">
        <v>344.6</v>
      </c>
      <c r="N7665" s="7">
        <v>198.9</v>
      </c>
      <c r="O7665" s="7">
        <v>162</v>
      </c>
      <c r="P7665" s="7">
        <v>454.6</v>
      </c>
    </row>
    <row r="7666" spans="1:18" x14ac:dyDescent="0.2">
      <c r="A7666">
        <v>7665</v>
      </c>
      <c r="B7666" s="1">
        <v>40963</v>
      </c>
      <c r="C7666" t="s">
        <v>28</v>
      </c>
      <c r="D7666" s="7">
        <v>222</v>
      </c>
      <c r="E7666" s="7">
        <v>33</v>
      </c>
      <c r="F7666" s="7">
        <f t="shared" si="120"/>
        <v>6</v>
      </c>
      <c r="G7666" s="7" t="str">
        <f>LOOKUP(H7666,[1]startdates!$A$2:$A$10,[1]startdates!$B$2:$B$10)</f>
        <v>SMr</v>
      </c>
      <c r="H7666">
        <v>1</v>
      </c>
      <c r="J7666" s="7">
        <v>537.4</v>
      </c>
      <c r="K7666" s="7">
        <v>441.3</v>
      </c>
      <c r="M7666" s="7">
        <v>379.8</v>
      </c>
      <c r="N7666" s="7">
        <v>231.7</v>
      </c>
      <c r="O7666" s="7">
        <v>166.6</v>
      </c>
    </row>
    <row r="7667" spans="1:18" x14ac:dyDescent="0.2">
      <c r="A7667">
        <v>7666</v>
      </c>
      <c r="B7667" s="1">
        <v>40963</v>
      </c>
      <c r="C7667" t="s">
        <v>28</v>
      </c>
      <c r="D7667" s="7">
        <v>222</v>
      </c>
      <c r="E7667" s="7">
        <v>33</v>
      </c>
      <c r="F7667" s="7">
        <f t="shared" si="120"/>
        <v>6</v>
      </c>
      <c r="G7667" s="7" t="str">
        <f>LOOKUP(H7667,[1]startdates!$A$2:$A$10,[1]startdates!$B$2:$B$10)</f>
        <v>SMr</v>
      </c>
      <c r="H7667">
        <v>1</v>
      </c>
      <c r="J7667" s="7">
        <v>503.3</v>
      </c>
      <c r="K7667" s="7">
        <v>549.20000000000005</v>
      </c>
      <c r="M7667" s="7">
        <v>352.2</v>
      </c>
      <c r="N7667" s="7">
        <v>201</v>
      </c>
      <c r="O7667" s="7">
        <v>166.6</v>
      </c>
    </row>
    <row r="7668" spans="1:18" x14ac:dyDescent="0.2">
      <c r="A7668">
        <v>7667</v>
      </c>
      <c r="B7668" s="1">
        <v>40963</v>
      </c>
      <c r="C7668" t="s">
        <v>28</v>
      </c>
      <c r="D7668" s="7">
        <v>222</v>
      </c>
      <c r="E7668" s="7">
        <v>33</v>
      </c>
      <c r="F7668" s="7">
        <f t="shared" si="120"/>
        <v>6</v>
      </c>
      <c r="G7668" s="7" t="str">
        <f>LOOKUP(H7668,[1]startdates!$A$2:$A$10,[1]startdates!$B$2:$B$10)</f>
        <v>SMr</v>
      </c>
      <c r="H7668">
        <v>1</v>
      </c>
      <c r="M7668" s="7">
        <v>351.9</v>
      </c>
      <c r="N7668" s="7">
        <v>221.7</v>
      </c>
      <c r="O7668" s="7">
        <v>163</v>
      </c>
    </row>
    <row r="7669" spans="1:18" x14ac:dyDescent="0.2">
      <c r="A7669">
        <v>7668</v>
      </c>
      <c r="B7669" s="1">
        <v>40963</v>
      </c>
      <c r="C7669" t="s">
        <v>28</v>
      </c>
      <c r="D7669" s="7">
        <v>222</v>
      </c>
      <c r="E7669" s="7">
        <v>33</v>
      </c>
      <c r="F7669" s="7">
        <f t="shared" si="120"/>
        <v>6</v>
      </c>
      <c r="G7669" s="7" t="str">
        <f>LOOKUP(H7669,[1]startdates!$A$2:$A$10,[1]startdates!$B$2:$B$10)</f>
        <v>SMr</v>
      </c>
      <c r="H7669">
        <v>1</v>
      </c>
      <c r="M7669" s="7">
        <v>387</v>
      </c>
      <c r="N7669" s="7">
        <v>266.89999999999998</v>
      </c>
      <c r="O7669" s="7">
        <v>152.19999999999999</v>
      </c>
    </row>
    <row r="7670" spans="1:18" x14ac:dyDescent="0.2">
      <c r="A7670">
        <v>7669</v>
      </c>
      <c r="B7670" s="1">
        <v>40963</v>
      </c>
      <c r="C7670" t="s">
        <v>28</v>
      </c>
      <c r="D7670" s="7">
        <v>222</v>
      </c>
      <c r="E7670" s="7">
        <v>33</v>
      </c>
      <c r="F7670" s="7">
        <f t="shared" si="120"/>
        <v>6</v>
      </c>
      <c r="G7670" s="7" t="str">
        <f>LOOKUP(H7670,[1]startdates!$A$2:$A$10,[1]startdates!$B$2:$B$10)</f>
        <v>SMr</v>
      </c>
      <c r="H7670">
        <v>1</v>
      </c>
      <c r="M7670" s="7">
        <v>327.9</v>
      </c>
      <c r="N7670" s="7">
        <v>227.6</v>
      </c>
      <c r="O7670" s="7">
        <v>139.9</v>
      </c>
    </row>
    <row r="7671" spans="1:18" x14ac:dyDescent="0.2">
      <c r="A7671">
        <v>7670</v>
      </c>
      <c r="B7671" s="1">
        <v>40963</v>
      </c>
      <c r="C7671" t="s">
        <v>28</v>
      </c>
      <c r="D7671" s="7">
        <v>222</v>
      </c>
      <c r="E7671" s="7">
        <v>33</v>
      </c>
      <c r="F7671" s="7">
        <f t="shared" si="120"/>
        <v>6</v>
      </c>
      <c r="G7671" s="7" t="str">
        <f>LOOKUP(H7671,[1]startdates!$A$2:$A$10,[1]startdates!$B$2:$B$10)</f>
        <v>SMr</v>
      </c>
      <c r="H7671">
        <v>1</v>
      </c>
      <c r="M7671" s="7">
        <v>372.6</v>
      </c>
      <c r="N7671" s="7">
        <v>174.1</v>
      </c>
      <c r="O7671" s="7">
        <v>141.1</v>
      </c>
    </row>
    <row r="7672" spans="1:18" x14ac:dyDescent="0.2">
      <c r="A7672">
        <v>7671</v>
      </c>
      <c r="B7672" s="1">
        <v>40963</v>
      </c>
      <c r="C7672" t="s">
        <v>28</v>
      </c>
      <c r="D7672" s="7">
        <v>222</v>
      </c>
      <c r="E7672" s="7">
        <v>33</v>
      </c>
      <c r="F7672" s="7">
        <f t="shared" si="120"/>
        <v>6</v>
      </c>
      <c r="G7672" s="7" t="str">
        <f>LOOKUP(H7672,[1]startdates!$A$2:$A$10,[1]startdates!$B$2:$B$10)</f>
        <v>SMr</v>
      </c>
      <c r="H7672">
        <v>1</v>
      </c>
      <c r="M7672" s="7">
        <v>357.4</v>
      </c>
      <c r="N7672" s="7">
        <v>243.4</v>
      </c>
      <c r="O7672" s="7">
        <v>156.30000000000001</v>
      </c>
    </row>
    <row r="7673" spans="1:18" x14ac:dyDescent="0.2">
      <c r="A7673">
        <v>7672</v>
      </c>
      <c r="B7673" s="1">
        <v>40963</v>
      </c>
      <c r="C7673" t="s">
        <v>28</v>
      </c>
      <c r="D7673" s="7">
        <v>222</v>
      </c>
      <c r="E7673" s="7">
        <v>33</v>
      </c>
      <c r="F7673" s="7">
        <f t="shared" si="120"/>
        <v>6</v>
      </c>
      <c r="G7673" s="7" t="str">
        <f>LOOKUP(H7673,[1]startdates!$A$2:$A$10,[1]startdates!$B$2:$B$10)</f>
        <v>SMr</v>
      </c>
      <c r="H7673">
        <v>2</v>
      </c>
      <c r="I7673" s="7">
        <v>538.1</v>
      </c>
      <c r="J7673" s="7">
        <v>467.6</v>
      </c>
      <c r="K7673" s="7">
        <v>512.4</v>
      </c>
      <c r="L7673" s="7">
        <v>425</v>
      </c>
      <c r="M7673" s="7">
        <v>349.5</v>
      </c>
      <c r="N7673" s="7">
        <v>220.9</v>
      </c>
      <c r="O7673" s="7">
        <v>142.30000000000001</v>
      </c>
      <c r="P7673" s="7">
        <v>402.8</v>
      </c>
      <c r="Q7673" s="7">
        <v>321.7</v>
      </c>
      <c r="R7673" s="7">
        <v>288.8</v>
      </c>
    </row>
    <row r="7674" spans="1:18" x14ac:dyDescent="0.2">
      <c r="A7674">
        <v>7673</v>
      </c>
      <c r="B7674" s="1">
        <v>40963</v>
      </c>
      <c r="C7674" t="s">
        <v>28</v>
      </c>
      <c r="D7674" s="7">
        <v>222</v>
      </c>
      <c r="E7674" s="7">
        <v>33</v>
      </c>
      <c r="F7674" s="7">
        <f t="shared" si="120"/>
        <v>6</v>
      </c>
      <c r="G7674" s="7" t="str">
        <f>LOOKUP(H7674,[1]startdates!$A$2:$A$10,[1]startdates!$B$2:$B$10)</f>
        <v>SMr</v>
      </c>
      <c r="H7674">
        <v>2</v>
      </c>
      <c r="I7674" s="7">
        <v>586.6</v>
      </c>
      <c r="K7674" s="7">
        <v>483.2</v>
      </c>
      <c r="L7674" s="7">
        <v>421.3</v>
      </c>
      <c r="M7674" s="7">
        <v>349.8</v>
      </c>
      <c r="N7674" s="7">
        <v>171.7</v>
      </c>
      <c r="O7674" s="7">
        <v>165.7</v>
      </c>
      <c r="P7674" s="7">
        <v>425</v>
      </c>
      <c r="Q7674" s="7">
        <v>321</v>
      </c>
    </row>
    <row r="7675" spans="1:18" x14ac:dyDescent="0.2">
      <c r="A7675">
        <v>7674</v>
      </c>
      <c r="B7675" s="1">
        <v>40963</v>
      </c>
      <c r="C7675" t="s">
        <v>28</v>
      </c>
      <c r="D7675" s="7">
        <v>222</v>
      </c>
      <c r="E7675" s="7">
        <v>33</v>
      </c>
      <c r="F7675" s="7">
        <f t="shared" si="120"/>
        <v>6</v>
      </c>
      <c r="G7675" s="7" t="str">
        <f>LOOKUP(H7675,[1]startdates!$A$2:$A$10,[1]startdates!$B$2:$B$10)</f>
        <v>SMr</v>
      </c>
      <c r="H7675">
        <v>2</v>
      </c>
      <c r="I7675" s="7">
        <v>626.20000000000005</v>
      </c>
      <c r="K7675" s="7">
        <v>467.6</v>
      </c>
      <c r="M7675" s="7">
        <v>377.2</v>
      </c>
      <c r="N7675" s="7">
        <v>185.8</v>
      </c>
      <c r="O7675" s="7">
        <v>151</v>
      </c>
      <c r="Q7675" s="7">
        <v>326.2</v>
      </c>
    </row>
    <row r="7676" spans="1:18" x14ac:dyDescent="0.2">
      <c r="A7676">
        <v>7675</v>
      </c>
      <c r="B7676" s="1">
        <v>40963</v>
      </c>
      <c r="C7676" t="s">
        <v>28</v>
      </c>
      <c r="D7676" s="7">
        <v>222</v>
      </c>
      <c r="E7676" s="7">
        <v>33</v>
      </c>
      <c r="F7676" s="7">
        <f t="shared" si="120"/>
        <v>6</v>
      </c>
      <c r="G7676" s="7" t="str">
        <f>LOOKUP(H7676,[1]startdates!$A$2:$A$10,[1]startdates!$B$2:$B$10)</f>
        <v>SMr</v>
      </c>
      <c r="H7676">
        <v>2</v>
      </c>
      <c r="I7676" s="7">
        <v>481</v>
      </c>
      <c r="K7676" s="7">
        <v>537.6</v>
      </c>
      <c r="M7676" s="7">
        <v>334.7</v>
      </c>
      <c r="N7676" s="7">
        <v>263.3</v>
      </c>
      <c r="O7676" s="7">
        <v>173.1</v>
      </c>
      <c r="Q7676" s="7">
        <v>336.7</v>
      </c>
    </row>
    <row r="7677" spans="1:18" x14ac:dyDescent="0.2">
      <c r="A7677">
        <v>7676</v>
      </c>
      <c r="B7677" s="1">
        <v>40963</v>
      </c>
      <c r="C7677" t="s">
        <v>28</v>
      </c>
      <c r="D7677" s="7">
        <v>222</v>
      </c>
      <c r="E7677" s="7">
        <v>33</v>
      </c>
      <c r="F7677" s="7">
        <f t="shared" si="120"/>
        <v>6</v>
      </c>
      <c r="G7677" s="7" t="str">
        <f>LOOKUP(H7677,[1]startdates!$A$2:$A$10,[1]startdates!$B$2:$B$10)</f>
        <v>SMr</v>
      </c>
      <c r="H7677">
        <v>2</v>
      </c>
      <c r="I7677" s="7">
        <v>546.29999999999995</v>
      </c>
      <c r="K7677" s="7">
        <v>476.6</v>
      </c>
      <c r="M7677" s="7">
        <v>375.2</v>
      </c>
      <c r="N7677" s="7">
        <v>216.8</v>
      </c>
      <c r="O7677" s="7">
        <v>152.4</v>
      </c>
      <c r="Q7677" s="7">
        <v>322.8</v>
      </c>
    </row>
    <row r="7678" spans="1:18" x14ac:dyDescent="0.2">
      <c r="A7678">
        <v>7677</v>
      </c>
      <c r="B7678" s="1">
        <v>40963</v>
      </c>
      <c r="C7678" t="s">
        <v>28</v>
      </c>
      <c r="D7678" s="7">
        <v>222</v>
      </c>
      <c r="E7678" s="7">
        <v>33</v>
      </c>
      <c r="F7678" s="7">
        <f t="shared" si="120"/>
        <v>6</v>
      </c>
      <c r="G7678" s="7" t="str">
        <f>LOOKUP(H7678,[1]startdates!$A$2:$A$10,[1]startdates!$B$2:$B$10)</f>
        <v>SMr</v>
      </c>
      <c r="H7678">
        <v>2</v>
      </c>
      <c r="I7678" s="7">
        <v>529.29999999999995</v>
      </c>
      <c r="M7678" s="7">
        <v>371.5</v>
      </c>
      <c r="N7678" s="7">
        <v>275.39999999999998</v>
      </c>
      <c r="O7678" s="7">
        <v>164.9</v>
      </c>
    </row>
    <row r="7679" spans="1:18" x14ac:dyDescent="0.2">
      <c r="A7679">
        <v>7678</v>
      </c>
      <c r="B7679" s="1">
        <v>40963</v>
      </c>
      <c r="C7679" t="s">
        <v>28</v>
      </c>
      <c r="D7679" s="7">
        <v>222</v>
      </c>
      <c r="E7679" s="7">
        <v>33</v>
      </c>
      <c r="F7679" s="7">
        <f t="shared" si="120"/>
        <v>6</v>
      </c>
      <c r="G7679" s="7" t="str">
        <f>LOOKUP(H7679,[1]startdates!$A$2:$A$10,[1]startdates!$B$2:$B$10)</f>
        <v>SMr</v>
      </c>
      <c r="H7679">
        <v>2</v>
      </c>
      <c r="I7679" s="7">
        <v>604</v>
      </c>
      <c r="M7679" s="7">
        <v>376.8</v>
      </c>
      <c r="N7679" s="7">
        <v>183.2</v>
      </c>
      <c r="O7679" s="7">
        <v>162.4</v>
      </c>
    </row>
    <row r="7680" spans="1:18" x14ac:dyDescent="0.2">
      <c r="A7680">
        <v>7679</v>
      </c>
      <c r="B7680" s="1">
        <v>40963</v>
      </c>
      <c r="C7680" t="s">
        <v>28</v>
      </c>
      <c r="D7680" s="7">
        <v>222</v>
      </c>
      <c r="E7680" s="7">
        <v>33</v>
      </c>
      <c r="F7680" s="7">
        <f t="shared" si="120"/>
        <v>6</v>
      </c>
      <c r="G7680" s="7" t="str">
        <f>LOOKUP(H7680,[1]startdates!$A$2:$A$10,[1]startdates!$B$2:$B$10)</f>
        <v>SMr</v>
      </c>
      <c r="H7680">
        <v>2</v>
      </c>
      <c r="I7680" s="7">
        <v>587.79999999999995</v>
      </c>
      <c r="M7680" s="7">
        <v>357.3</v>
      </c>
      <c r="N7680" s="7">
        <v>200.1</v>
      </c>
      <c r="O7680" s="7">
        <v>161.69999999999999</v>
      </c>
    </row>
    <row r="7681" spans="1:19" x14ac:dyDescent="0.2">
      <c r="A7681">
        <v>7680</v>
      </c>
      <c r="B7681" s="1">
        <v>40963</v>
      </c>
      <c r="C7681" t="s">
        <v>28</v>
      </c>
      <c r="D7681" s="7">
        <v>222</v>
      </c>
      <c r="E7681" s="7">
        <v>33</v>
      </c>
      <c r="F7681" s="7">
        <f t="shared" si="120"/>
        <v>6</v>
      </c>
      <c r="G7681" s="7" t="str">
        <f>LOOKUP(H7681,[1]startdates!$A$2:$A$10,[1]startdates!$B$2:$B$10)</f>
        <v>SMr</v>
      </c>
      <c r="H7681">
        <v>2</v>
      </c>
      <c r="I7681" s="7">
        <v>535.4</v>
      </c>
      <c r="M7681" s="7">
        <v>300.39999999999998</v>
      </c>
      <c r="N7681" s="7">
        <v>198.3</v>
      </c>
      <c r="O7681" s="7">
        <v>161.5</v>
      </c>
    </row>
    <row r="7682" spans="1:19" x14ac:dyDescent="0.2">
      <c r="A7682">
        <v>7681</v>
      </c>
      <c r="B7682" s="1">
        <v>40963</v>
      </c>
      <c r="C7682" t="s">
        <v>28</v>
      </c>
      <c r="D7682" s="7">
        <v>222</v>
      </c>
      <c r="E7682" s="7">
        <v>33</v>
      </c>
      <c r="F7682" s="7">
        <f t="shared" si="120"/>
        <v>6</v>
      </c>
      <c r="G7682" s="7" t="str">
        <f>LOOKUP(H7682,[1]startdates!$A$2:$A$10,[1]startdates!$B$2:$B$10)</f>
        <v>SMr</v>
      </c>
      <c r="H7682">
        <v>2</v>
      </c>
      <c r="I7682" s="7">
        <v>566.1</v>
      </c>
      <c r="M7682" s="7">
        <v>315.89999999999998</v>
      </c>
      <c r="O7682" s="7">
        <v>158.69999999999999</v>
      </c>
    </row>
    <row r="7683" spans="1:19" x14ac:dyDescent="0.2">
      <c r="A7683">
        <v>7682</v>
      </c>
      <c r="B7683" s="1">
        <v>40963</v>
      </c>
      <c r="C7683" t="s">
        <v>24</v>
      </c>
      <c r="D7683" s="7">
        <v>222</v>
      </c>
      <c r="E7683" s="7">
        <v>33</v>
      </c>
      <c r="F7683" s="7">
        <f t="shared" si="120"/>
        <v>6</v>
      </c>
      <c r="G7683" s="7" t="str">
        <f>LOOKUP(H7683,[1]startdates!$A$2:$A$10,[1]startdates!$B$2:$B$10)</f>
        <v>C</v>
      </c>
      <c r="H7683">
        <v>3</v>
      </c>
      <c r="I7683" s="7">
        <v>619.70000000000005</v>
      </c>
      <c r="J7683" s="7">
        <v>432.3</v>
      </c>
      <c r="K7683" s="7">
        <v>429.3</v>
      </c>
      <c r="L7683" s="7">
        <v>474.4</v>
      </c>
      <c r="M7683" s="7">
        <v>370</v>
      </c>
      <c r="N7683" s="7">
        <v>219.2</v>
      </c>
      <c r="O7683" s="7">
        <v>164.2</v>
      </c>
      <c r="P7683" s="7">
        <v>408.7</v>
      </c>
      <c r="Q7683" s="7">
        <v>314.7</v>
      </c>
      <c r="R7683" s="7">
        <v>277.7</v>
      </c>
      <c r="S7683" s="7">
        <v>235.9</v>
      </c>
    </row>
    <row r="7684" spans="1:19" x14ac:dyDescent="0.2">
      <c r="A7684">
        <v>7683</v>
      </c>
      <c r="B7684" s="1">
        <v>40963</v>
      </c>
      <c r="C7684" t="s">
        <v>24</v>
      </c>
      <c r="D7684" s="7">
        <v>222</v>
      </c>
      <c r="E7684" s="7">
        <v>33</v>
      </c>
      <c r="F7684" s="7">
        <f t="shared" si="120"/>
        <v>6</v>
      </c>
      <c r="G7684" s="7" t="str">
        <f>LOOKUP(H7684,[1]startdates!$A$2:$A$10,[1]startdates!$B$2:$B$10)</f>
        <v>C</v>
      </c>
      <c r="H7684">
        <v>3</v>
      </c>
      <c r="I7684" s="7">
        <v>555</v>
      </c>
      <c r="J7684" s="7">
        <v>476.1</v>
      </c>
      <c r="K7684" s="7">
        <v>396.9</v>
      </c>
      <c r="L7684" s="7">
        <v>421.7</v>
      </c>
      <c r="M7684" s="7">
        <v>382.3</v>
      </c>
      <c r="N7684" s="7">
        <v>237.5</v>
      </c>
      <c r="O7684" s="7">
        <v>159.30000000000001</v>
      </c>
      <c r="P7684" s="7">
        <v>467.6</v>
      </c>
      <c r="S7684" s="7">
        <v>256.39999999999998</v>
      </c>
    </row>
    <row r="7685" spans="1:19" x14ac:dyDescent="0.2">
      <c r="A7685">
        <v>7684</v>
      </c>
      <c r="B7685" s="1">
        <v>40963</v>
      </c>
      <c r="C7685" t="s">
        <v>24</v>
      </c>
      <c r="D7685" s="7">
        <v>222</v>
      </c>
      <c r="E7685" s="7">
        <v>33</v>
      </c>
      <c r="F7685" s="7">
        <f t="shared" si="120"/>
        <v>6</v>
      </c>
      <c r="G7685" s="7" t="str">
        <f>LOOKUP(H7685,[1]startdates!$A$2:$A$10,[1]startdates!$B$2:$B$10)</f>
        <v>C</v>
      </c>
      <c r="H7685">
        <v>3</v>
      </c>
      <c r="I7685" s="7">
        <v>535.1</v>
      </c>
      <c r="J7685" s="7">
        <v>514</v>
      </c>
      <c r="K7685" s="7">
        <v>539.5</v>
      </c>
      <c r="M7685" s="7">
        <v>397.6</v>
      </c>
      <c r="N7685" s="7">
        <v>224.6</v>
      </c>
      <c r="O7685" s="7">
        <v>163</v>
      </c>
      <c r="P7685" s="7">
        <v>461.8</v>
      </c>
    </row>
    <row r="7686" spans="1:19" x14ac:dyDescent="0.2">
      <c r="A7686">
        <v>7685</v>
      </c>
      <c r="B7686" s="1">
        <v>40963</v>
      </c>
      <c r="C7686" t="s">
        <v>24</v>
      </c>
      <c r="D7686" s="7">
        <v>222</v>
      </c>
      <c r="E7686" s="7">
        <v>33</v>
      </c>
      <c r="F7686" s="7">
        <f t="shared" si="120"/>
        <v>6</v>
      </c>
      <c r="G7686" s="7" t="str">
        <f>LOOKUP(H7686,[1]startdates!$A$2:$A$10,[1]startdates!$B$2:$B$10)</f>
        <v>C</v>
      </c>
      <c r="H7686">
        <v>3</v>
      </c>
      <c r="I7686" s="7">
        <v>559.6</v>
      </c>
      <c r="K7686" s="7">
        <v>441.9</v>
      </c>
      <c r="M7686" s="7">
        <v>346.8</v>
      </c>
      <c r="N7686" s="7">
        <v>258.10000000000002</v>
      </c>
      <c r="O7686" s="7">
        <v>167.7</v>
      </c>
    </row>
    <row r="7687" spans="1:19" x14ac:dyDescent="0.2">
      <c r="A7687">
        <v>7686</v>
      </c>
      <c r="B7687" s="1">
        <v>40963</v>
      </c>
      <c r="C7687" t="s">
        <v>24</v>
      </c>
      <c r="D7687" s="7">
        <v>222</v>
      </c>
      <c r="E7687" s="7">
        <v>33</v>
      </c>
      <c r="F7687" s="7">
        <f t="shared" si="120"/>
        <v>6</v>
      </c>
      <c r="G7687" s="7" t="str">
        <f>LOOKUP(H7687,[1]startdates!$A$2:$A$10,[1]startdates!$B$2:$B$10)</f>
        <v>C</v>
      </c>
      <c r="H7687">
        <v>3</v>
      </c>
      <c r="I7687" s="7">
        <v>547.1</v>
      </c>
      <c r="K7687" s="7">
        <v>533.29999999999995</v>
      </c>
      <c r="M7687" s="7">
        <v>321.10000000000002</v>
      </c>
      <c r="N7687" s="7">
        <v>240.4</v>
      </c>
      <c r="O7687" s="7">
        <v>168</v>
      </c>
    </row>
    <row r="7688" spans="1:19" x14ac:dyDescent="0.2">
      <c r="A7688">
        <v>7687</v>
      </c>
      <c r="B7688" s="1">
        <v>40963</v>
      </c>
      <c r="C7688" t="s">
        <v>24</v>
      </c>
      <c r="D7688" s="7">
        <v>222</v>
      </c>
      <c r="E7688" s="7">
        <v>33</v>
      </c>
      <c r="F7688" s="7">
        <f t="shared" si="120"/>
        <v>6</v>
      </c>
      <c r="G7688" s="7" t="str">
        <f>LOOKUP(H7688,[1]startdates!$A$2:$A$10,[1]startdates!$B$2:$B$10)</f>
        <v>C</v>
      </c>
      <c r="H7688">
        <v>3</v>
      </c>
      <c r="I7688" s="7">
        <v>572.1</v>
      </c>
      <c r="K7688" s="7">
        <v>553.20000000000005</v>
      </c>
      <c r="N7688" s="7">
        <v>212.5</v>
      </c>
      <c r="O7688" s="7">
        <v>145.1</v>
      </c>
    </row>
    <row r="7689" spans="1:19" x14ac:dyDescent="0.2">
      <c r="A7689">
        <v>7688</v>
      </c>
      <c r="B7689" s="1">
        <v>40963</v>
      </c>
      <c r="C7689" t="s">
        <v>24</v>
      </c>
      <c r="D7689" s="7">
        <v>222</v>
      </c>
      <c r="E7689" s="7">
        <v>33</v>
      </c>
      <c r="F7689" s="7">
        <f t="shared" si="120"/>
        <v>6</v>
      </c>
      <c r="G7689" s="7" t="str">
        <f>LOOKUP(H7689,[1]startdates!$A$2:$A$10,[1]startdates!$B$2:$B$10)</f>
        <v>C</v>
      </c>
      <c r="H7689">
        <v>3</v>
      </c>
      <c r="I7689" s="7">
        <v>603.1</v>
      </c>
      <c r="N7689" s="7">
        <v>213.5</v>
      </c>
      <c r="O7689" s="7">
        <v>149.9</v>
      </c>
    </row>
    <row r="7690" spans="1:19" x14ac:dyDescent="0.2">
      <c r="A7690">
        <v>7689</v>
      </c>
      <c r="B7690" s="1">
        <v>40963</v>
      </c>
      <c r="C7690" t="s">
        <v>24</v>
      </c>
      <c r="D7690" s="7">
        <v>222</v>
      </c>
      <c r="E7690" s="7">
        <v>33</v>
      </c>
      <c r="F7690" s="7">
        <f t="shared" si="120"/>
        <v>6</v>
      </c>
      <c r="G7690" s="7" t="str">
        <f>LOOKUP(H7690,[1]startdates!$A$2:$A$10,[1]startdates!$B$2:$B$10)</f>
        <v>C</v>
      </c>
      <c r="H7690">
        <v>3</v>
      </c>
      <c r="I7690" s="7">
        <v>570.4</v>
      </c>
      <c r="N7690" s="7">
        <v>179.7</v>
      </c>
      <c r="O7690" s="7">
        <v>158.30000000000001</v>
      </c>
    </row>
    <row r="7691" spans="1:19" x14ac:dyDescent="0.2">
      <c r="A7691">
        <v>7690</v>
      </c>
      <c r="B7691" s="1">
        <v>40963</v>
      </c>
      <c r="C7691" t="s">
        <v>24</v>
      </c>
      <c r="D7691" s="7">
        <v>222</v>
      </c>
      <c r="E7691" s="7">
        <v>33</v>
      </c>
      <c r="F7691" s="7">
        <f t="shared" si="120"/>
        <v>6</v>
      </c>
      <c r="G7691" s="7" t="str">
        <f>LOOKUP(H7691,[1]startdates!$A$2:$A$10,[1]startdates!$B$2:$B$10)</f>
        <v>C</v>
      </c>
      <c r="H7691">
        <v>3</v>
      </c>
      <c r="I7691" s="7">
        <v>636.70000000000005</v>
      </c>
      <c r="N7691" s="7">
        <v>201</v>
      </c>
      <c r="O7691" s="7">
        <v>165.3</v>
      </c>
    </row>
    <row r="7692" spans="1:19" x14ac:dyDescent="0.2">
      <c r="A7692">
        <v>7691</v>
      </c>
      <c r="B7692" s="1">
        <v>40963</v>
      </c>
      <c r="C7692" t="s">
        <v>24</v>
      </c>
      <c r="D7692" s="7">
        <v>222</v>
      </c>
      <c r="E7692" s="7">
        <v>33</v>
      </c>
      <c r="F7692" s="7">
        <f t="shared" si="120"/>
        <v>6</v>
      </c>
      <c r="G7692" s="7" t="str">
        <f>LOOKUP(H7692,[1]startdates!$A$2:$A$10,[1]startdates!$B$2:$B$10)</f>
        <v>C</v>
      </c>
      <c r="H7692">
        <v>3</v>
      </c>
      <c r="N7692" s="7">
        <v>220.9</v>
      </c>
      <c r="O7692" s="7">
        <v>176.3</v>
      </c>
    </row>
    <row r="7693" spans="1:19" x14ac:dyDescent="0.2">
      <c r="A7693">
        <v>7692</v>
      </c>
      <c r="B7693" s="1">
        <v>40963</v>
      </c>
      <c r="C7693" t="s">
        <v>28</v>
      </c>
      <c r="D7693" s="7">
        <v>222</v>
      </c>
      <c r="E7693" s="7">
        <v>33</v>
      </c>
      <c r="F7693" s="7">
        <f t="shared" si="120"/>
        <v>6</v>
      </c>
      <c r="G7693" s="7" t="str">
        <f>LOOKUP(H7693,[1]startdates!$A$2:$A$10,[1]startdates!$B$2:$B$10)</f>
        <v>SMr</v>
      </c>
      <c r="H7693">
        <v>4</v>
      </c>
      <c r="I7693" s="7">
        <v>606.4</v>
      </c>
      <c r="J7693" s="7">
        <v>511.8</v>
      </c>
      <c r="K7693" s="7">
        <v>531</v>
      </c>
      <c r="L7693" s="7">
        <v>425.9</v>
      </c>
      <c r="M7693" s="7">
        <v>312.89999999999998</v>
      </c>
      <c r="N7693" s="7">
        <v>247.4</v>
      </c>
      <c r="O7693" s="7">
        <v>163.1</v>
      </c>
      <c r="P7693" s="7">
        <v>479.7</v>
      </c>
      <c r="Q7693" s="7">
        <v>346.3</v>
      </c>
    </row>
    <row r="7694" spans="1:19" x14ac:dyDescent="0.2">
      <c r="A7694">
        <v>7693</v>
      </c>
      <c r="B7694" s="1">
        <v>40963</v>
      </c>
      <c r="C7694" t="s">
        <v>28</v>
      </c>
      <c r="D7694" s="7">
        <v>222</v>
      </c>
      <c r="E7694" s="7">
        <v>33</v>
      </c>
      <c r="F7694" s="7">
        <f t="shared" si="120"/>
        <v>6</v>
      </c>
      <c r="G7694" s="7" t="str">
        <f>LOOKUP(H7694,[1]startdates!$A$2:$A$10,[1]startdates!$B$2:$B$10)</f>
        <v>SMr</v>
      </c>
      <c r="H7694">
        <v>4</v>
      </c>
      <c r="I7694" s="7">
        <v>607.70000000000005</v>
      </c>
      <c r="K7694" s="7">
        <v>451.3</v>
      </c>
      <c r="L7694" s="7">
        <v>401.5</v>
      </c>
      <c r="M7694" s="7">
        <v>303.10000000000002</v>
      </c>
      <c r="N7694" s="7">
        <v>239.6</v>
      </c>
      <c r="O7694" s="7">
        <v>157.6</v>
      </c>
      <c r="P7694" s="7">
        <v>408.9</v>
      </c>
      <c r="Q7694" s="7">
        <v>325.5</v>
      </c>
    </row>
    <row r="7695" spans="1:19" x14ac:dyDescent="0.2">
      <c r="A7695">
        <v>7694</v>
      </c>
      <c r="B7695" s="1">
        <v>40963</v>
      </c>
      <c r="C7695" t="s">
        <v>28</v>
      </c>
      <c r="D7695" s="7">
        <v>222</v>
      </c>
      <c r="E7695" s="7">
        <v>33</v>
      </c>
      <c r="F7695" s="7">
        <f t="shared" si="120"/>
        <v>6</v>
      </c>
      <c r="G7695" s="7" t="str">
        <f>LOOKUP(H7695,[1]startdates!$A$2:$A$10,[1]startdates!$B$2:$B$10)</f>
        <v>SMr</v>
      </c>
      <c r="H7695">
        <v>4</v>
      </c>
      <c r="I7695" s="7">
        <v>545.70000000000005</v>
      </c>
      <c r="K7695" s="7">
        <v>483.2</v>
      </c>
      <c r="L7695" s="7">
        <v>423.3</v>
      </c>
      <c r="M7695" s="7">
        <v>314.8</v>
      </c>
      <c r="N7695" s="7">
        <v>186.3</v>
      </c>
      <c r="O7695" s="7">
        <v>164.4</v>
      </c>
      <c r="P7695" s="7">
        <v>405</v>
      </c>
    </row>
    <row r="7696" spans="1:19" x14ac:dyDescent="0.2">
      <c r="A7696">
        <v>7695</v>
      </c>
      <c r="B7696" s="1">
        <v>40963</v>
      </c>
      <c r="C7696" t="s">
        <v>28</v>
      </c>
      <c r="D7696" s="7">
        <v>222</v>
      </c>
      <c r="E7696" s="7">
        <v>33</v>
      </c>
      <c r="F7696" s="7">
        <f t="shared" si="120"/>
        <v>6</v>
      </c>
      <c r="G7696" s="7" t="str">
        <f>LOOKUP(H7696,[1]startdates!$A$2:$A$10,[1]startdates!$B$2:$B$10)</f>
        <v>SMr</v>
      </c>
      <c r="H7696">
        <v>4</v>
      </c>
      <c r="I7696" s="7">
        <v>514.70000000000005</v>
      </c>
      <c r="K7696" s="7">
        <v>481.2</v>
      </c>
      <c r="L7696" s="7">
        <v>404.5</v>
      </c>
      <c r="M7696" s="7">
        <v>367.5</v>
      </c>
      <c r="N7696" s="7">
        <v>204.2</v>
      </c>
      <c r="O7696" s="7">
        <v>182.3</v>
      </c>
      <c r="P7696" s="7">
        <v>415.3</v>
      </c>
    </row>
    <row r="7697" spans="1:18" x14ac:dyDescent="0.2">
      <c r="A7697">
        <v>7696</v>
      </c>
      <c r="B7697" s="1">
        <v>40963</v>
      </c>
      <c r="C7697" t="s">
        <v>28</v>
      </c>
      <c r="D7697" s="7">
        <v>222</v>
      </c>
      <c r="E7697" s="7">
        <v>33</v>
      </c>
      <c r="F7697" s="7">
        <f t="shared" si="120"/>
        <v>6</v>
      </c>
      <c r="G7697" s="7" t="str">
        <f>LOOKUP(H7697,[1]startdates!$A$2:$A$10,[1]startdates!$B$2:$B$10)</f>
        <v>SMr</v>
      </c>
      <c r="H7697">
        <v>4</v>
      </c>
      <c r="I7697" s="7">
        <v>581.1</v>
      </c>
      <c r="K7697" s="7">
        <v>527.29999999999995</v>
      </c>
      <c r="L7697" s="7">
        <v>415.6</v>
      </c>
      <c r="M7697" s="7">
        <v>328.4</v>
      </c>
      <c r="N7697" s="7">
        <v>213.3</v>
      </c>
      <c r="O7697" s="7">
        <v>168.2</v>
      </c>
    </row>
    <row r="7698" spans="1:18" x14ac:dyDescent="0.2">
      <c r="A7698">
        <v>7697</v>
      </c>
      <c r="B7698" s="1">
        <v>40963</v>
      </c>
      <c r="C7698" t="s">
        <v>28</v>
      </c>
      <c r="D7698" s="7">
        <v>222</v>
      </c>
      <c r="E7698" s="7">
        <v>33</v>
      </c>
      <c r="F7698" s="7">
        <f t="shared" si="120"/>
        <v>6</v>
      </c>
      <c r="G7698" s="7" t="str">
        <f>LOOKUP(H7698,[1]startdates!$A$2:$A$10,[1]startdates!$B$2:$B$10)</f>
        <v>SMr</v>
      </c>
      <c r="H7698">
        <v>4</v>
      </c>
      <c r="I7698" s="7">
        <v>614.1</v>
      </c>
      <c r="K7698" s="7">
        <v>460.5</v>
      </c>
      <c r="M7698" s="7">
        <v>318.89999999999998</v>
      </c>
      <c r="N7698" s="7">
        <v>199.3</v>
      </c>
      <c r="O7698" s="7">
        <v>190.9</v>
      </c>
    </row>
    <row r="7699" spans="1:18" x14ac:dyDescent="0.2">
      <c r="A7699">
        <v>7698</v>
      </c>
      <c r="B7699" s="1">
        <v>40963</v>
      </c>
      <c r="C7699" t="s">
        <v>28</v>
      </c>
      <c r="D7699" s="7">
        <v>222</v>
      </c>
      <c r="E7699" s="7">
        <v>33</v>
      </c>
      <c r="F7699" s="7">
        <f t="shared" si="120"/>
        <v>6</v>
      </c>
      <c r="G7699" s="7" t="str">
        <f>LOOKUP(H7699,[1]startdates!$A$2:$A$10,[1]startdates!$B$2:$B$10)</f>
        <v>SMr</v>
      </c>
      <c r="H7699">
        <v>4</v>
      </c>
      <c r="I7699" s="7">
        <v>539.29999999999995</v>
      </c>
      <c r="K7699" s="7">
        <v>482.5</v>
      </c>
      <c r="M7699" s="7">
        <v>300.5</v>
      </c>
      <c r="N7699" s="7">
        <v>278.39999999999998</v>
      </c>
      <c r="O7699" s="7">
        <v>168.1</v>
      </c>
    </row>
    <row r="7700" spans="1:18" x14ac:dyDescent="0.2">
      <c r="A7700">
        <v>7699</v>
      </c>
      <c r="B7700" s="1">
        <v>40963</v>
      </c>
      <c r="C7700" t="s">
        <v>28</v>
      </c>
      <c r="D7700" s="7">
        <v>222</v>
      </c>
      <c r="E7700" s="7">
        <v>33</v>
      </c>
      <c r="F7700" s="7">
        <f t="shared" si="120"/>
        <v>6</v>
      </c>
      <c r="G7700" s="7" t="str">
        <f>LOOKUP(H7700,[1]startdates!$A$2:$A$10,[1]startdates!$B$2:$B$10)</f>
        <v>SMr</v>
      </c>
      <c r="H7700">
        <v>4</v>
      </c>
      <c r="I7700" s="7">
        <v>579.9</v>
      </c>
      <c r="M7700" s="7">
        <v>326.2</v>
      </c>
      <c r="N7700" s="7">
        <v>232.2</v>
      </c>
      <c r="O7700" s="7">
        <v>163.4</v>
      </c>
    </row>
    <row r="7701" spans="1:18" x14ac:dyDescent="0.2">
      <c r="A7701">
        <v>7700</v>
      </c>
      <c r="B7701" s="1">
        <v>40963</v>
      </c>
      <c r="C7701" t="s">
        <v>28</v>
      </c>
      <c r="D7701" s="7">
        <v>222</v>
      </c>
      <c r="E7701" s="7">
        <v>33</v>
      </c>
      <c r="F7701" s="7">
        <f t="shared" si="120"/>
        <v>6</v>
      </c>
      <c r="G7701" s="7" t="str">
        <f>LOOKUP(H7701,[1]startdates!$A$2:$A$10,[1]startdates!$B$2:$B$10)</f>
        <v>SMr</v>
      </c>
      <c r="H7701">
        <v>4</v>
      </c>
      <c r="I7701" s="7">
        <v>608.1</v>
      </c>
      <c r="M7701" s="7">
        <v>352.5</v>
      </c>
      <c r="N7701" s="7">
        <v>217</v>
      </c>
      <c r="O7701" s="7">
        <v>145.30000000000001</v>
      </c>
    </row>
    <row r="7702" spans="1:18" x14ac:dyDescent="0.2">
      <c r="A7702">
        <v>7701</v>
      </c>
      <c r="B7702" s="1">
        <v>40963</v>
      </c>
      <c r="C7702" t="s">
        <v>28</v>
      </c>
      <c r="D7702" s="7">
        <v>222</v>
      </c>
      <c r="E7702" s="7">
        <v>33</v>
      </c>
      <c r="F7702" s="7">
        <f t="shared" si="120"/>
        <v>6</v>
      </c>
      <c r="G7702" s="7" t="str">
        <f>LOOKUP(H7702,[1]startdates!$A$2:$A$10,[1]startdates!$B$2:$B$10)</f>
        <v>SMr</v>
      </c>
      <c r="H7702">
        <v>4</v>
      </c>
      <c r="I7702" s="7">
        <v>568.20000000000005</v>
      </c>
      <c r="M7702" s="7">
        <v>354.1</v>
      </c>
      <c r="N7702" s="7">
        <v>236.8</v>
      </c>
      <c r="O7702" s="7">
        <v>133.4</v>
      </c>
    </row>
    <row r="7703" spans="1:18" x14ac:dyDescent="0.2">
      <c r="A7703">
        <v>7702</v>
      </c>
      <c r="B7703" s="1">
        <v>40963</v>
      </c>
      <c r="C7703" t="s">
        <v>28</v>
      </c>
      <c r="D7703" s="7">
        <v>222</v>
      </c>
      <c r="E7703" s="7">
        <v>33</v>
      </c>
      <c r="F7703" s="7">
        <f t="shared" si="120"/>
        <v>6</v>
      </c>
      <c r="G7703" s="7" t="str">
        <f>LOOKUP(H7703,[1]startdates!$A$2:$A$10,[1]startdates!$B$2:$B$10)</f>
        <v>SMr</v>
      </c>
      <c r="H7703">
        <v>4</v>
      </c>
      <c r="M7703" s="7">
        <v>303.60000000000002</v>
      </c>
    </row>
    <row r="7704" spans="1:18" x14ac:dyDescent="0.2">
      <c r="A7704">
        <v>7703</v>
      </c>
      <c r="B7704" s="1">
        <v>40963</v>
      </c>
      <c r="C7704" t="s">
        <v>24</v>
      </c>
      <c r="D7704" s="7">
        <v>222</v>
      </c>
      <c r="E7704" s="7">
        <v>33</v>
      </c>
      <c r="F7704" s="7">
        <f t="shared" si="120"/>
        <v>6</v>
      </c>
      <c r="G7704" s="7" t="str">
        <f>LOOKUP(H7704,[1]startdates!$A$2:$A$10,[1]startdates!$B$2:$B$10)</f>
        <v>C</v>
      </c>
      <c r="H7704">
        <v>5</v>
      </c>
      <c r="I7704" s="7">
        <v>515.4</v>
      </c>
      <c r="J7704" s="7">
        <v>550.29999999999995</v>
      </c>
      <c r="K7704" s="7">
        <v>611.29999999999995</v>
      </c>
      <c r="M7704" s="7">
        <v>368.8</v>
      </c>
      <c r="N7704" s="7">
        <v>157.30000000000001</v>
      </c>
      <c r="O7704" s="7">
        <v>171.2</v>
      </c>
      <c r="P7704" s="7">
        <v>498.7</v>
      </c>
      <c r="R7704" s="7">
        <v>274.89999999999998</v>
      </c>
    </row>
    <row r="7705" spans="1:18" x14ac:dyDescent="0.2">
      <c r="A7705">
        <v>7704</v>
      </c>
      <c r="B7705" s="1">
        <v>40963</v>
      </c>
      <c r="C7705" t="s">
        <v>24</v>
      </c>
      <c r="D7705" s="7">
        <v>222</v>
      </c>
      <c r="E7705" s="7">
        <v>33</v>
      </c>
      <c r="F7705" s="7">
        <f t="shared" si="120"/>
        <v>6</v>
      </c>
      <c r="G7705" s="7" t="str">
        <f>LOOKUP(H7705,[1]startdates!$A$2:$A$10,[1]startdates!$B$2:$B$10)</f>
        <v>C</v>
      </c>
      <c r="H7705">
        <v>5</v>
      </c>
      <c r="I7705" s="7">
        <v>693</v>
      </c>
      <c r="J7705" s="7">
        <v>519.29999999999995</v>
      </c>
      <c r="K7705" s="7">
        <v>606.70000000000005</v>
      </c>
      <c r="M7705" s="7">
        <v>329.7</v>
      </c>
      <c r="N7705" s="7">
        <v>174.1</v>
      </c>
      <c r="O7705" s="7">
        <v>195.7</v>
      </c>
      <c r="R7705" s="7">
        <v>259.39999999999998</v>
      </c>
    </row>
    <row r="7706" spans="1:18" x14ac:dyDescent="0.2">
      <c r="A7706">
        <v>7705</v>
      </c>
      <c r="B7706" s="1">
        <v>40963</v>
      </c>
      <c r="C7706" t="s">
        <v>24</v>
      </c>
      <c r="D7706" s="7">
        <v>222</v>
      </c>
      <c r="E7706" s="7">
        <v>33</v>
      </c>
      <c r="F7706" s="7">
        <f t="shared" si="120"/>
        <v>6</v>
      </c>
      <c r="G7706" s="7" t="str">
        <f>LOOKUP(H7706,[1]startdates!$A$2:$A$10,[1]startdates!$B$2:$B$10)</f>
        <v>C</v>
      </c>
      <c r="H7706">
        <v>5</v>
      </c>
      <c r="I7706" s="7">
        <v>614.20000000000005</v>
      </c>
      <c r="J7706" s="7">
        <v>585.79999999999995</v>
      </c>
      <c r="K7706" s="7">
        <v>473.8</v>
      </c>
      <c r="M7706" s="7">
        <v>324.2</v>
      </c>
      <c r="N7706" s="7">
        <v>214</v>
      </c>
      <c r="O7706" s="7">
        <v>151</v>
      </c>
      <c r="R7706" s="7">
        <v>312.60000000000002</v>
      </c>
    </row>
    <row r="7707" spans="1:18" x14ac:dyDescent="0.2">
      <c r="A7707">
        <v>7706</v>
      </c>
      <c r="B7707" s="1">
        <v>40963</v>
      </c>
      <c r="C7707" t="s">
        <v>24</v>
      </c>
      <c r="D7707" s="7">
        <v>222</v>
      </c>
      <c r="E7707" s="7">
        <v>33</v>
      </c>
      <c r="F7707" s="7">
        <f t="shared" si="120"/>
        <v>6</v>
      </c>
      <c r="G7707" s="7" t="str">
        <f>LOOKUP(H7707,[1]startdates!$A$2:$A$10,[1]startdates!$B$2:$B$10)</f>
        <v>C</v>
      </c>
      <c r="H7707">
        <v>5</v>
      </c>
      <c r="I7707" s="7">
        <v>598.4</v>
      </c>
      <c r="K7707" s="7">
        <v>615.9</v>
      </c>
      <c r="M7707" s="7">
        <v>339.9</v>
      </c>
      <c r="N7707" s="7">
        <v>206.5</v>
      </c>
      <c r="O7707" s="7">
        <v>153.1</v>
      </c>
    </row>
    <row r="7708" spans="1:18" x14ac:dyDescent="0.2">
      <c r="A7708">
        <v>7707</v>
      </c>
      <c r="B7708" s="1">
        <v>40963</v>
      </c>
      <c r="C7708" t="s">
        <v>24</v>
      </c>
      <c r="D7708" s="7">
        <v>222</v>
      </c>
      <c r="E7708" s="7">
        <v>33</v>
      </c>
      <c r="F7708" s="7">
        <f t="shared" si="120"/>
        <v>6</v>
      </c>
      <c r="G7708" s="7" t="str">
        <f>LOOKUP(H7708,[1]startdates!$A$2:$A$10,[1]startdates!$B$2:$B$10)</f>
        <v>C</v>
      </c>
      <c r="H7708">
        <v>5</v>
      </c>
      <c r="I7708" s="7">
        <v>660.5</v>
      </c>
      <c r="M7708" s="7">
        <v>350.5</v>
      </c>
      <c r="N7708" s="7">
        <v>231.2</v>
      </c>
      <c r="O7708" s="7">
        <v>174.4</v>
      </c>
    </row>
    <row r="7709" spans="1:18" x14ac:dyDescent="0.2">
      <c r="A7709">
        <v>7708</v>
      </c>
      <c r="B7709" s="1">
        <v>40963</v>
      </c>
      <c r="C7709" t="s">
        <v>24</v>
      </c>
      <c r="D7709" s="7">
        <v>222</v>
      </c>
      <c r="E7709" s="7">
        <v>33</v>
      </c>
      <c r="F7709" s="7">
        <f t="shared" si="120"/>
        <v>6</v>
      </c>
      <c r="G7709" s="7" t="str">
        <f>LOOKUP(H7709,[1]startdates!$A$2:$A$10,[1]startdates!$B$2:$B$10)</f>
        <v>C</v>
      </c>
      <c r="H7709">
        <v>5</v>
      </c>
      <c r="I7709" s="7">
        <v>629.4</v>
      </c>
      <c r="M7709" s="7">
        <v>350.5</v>
      </c>
      <c r="N7709" s="7">
        <v>222.4</v>
      </c>
      <c r="O7709" s="7">
        <v>159</v>
      </c>
    </row>
    <row r="7710" spans="1:18" x14ac:dyDescent="0.2">
      <c r="A7710">
        <v>7709</v>
      </c>
      <c r="B7710" s="1">
        <v>40963</v>
      </c>
      <c r="C7710" t="s">
        <v>24</v>
      </c>
      <c r="D7710" s="7">
        <v>222</v>
      </c>
      <c r="E7710" s="7">
        <v>33</v>
      </c>
      <c r="F7710" s="7">
        <f t="shared" si="120"/>
        <v>6</v>
      </c>
      <c r="G7710" s="7" t="str">
        <f>LOOKUP(H7710,[1]startdates!$A$2:$A$10,[1]startdates!$B$2:$B$10)</f>
        <v>C</v>
      </c>
      <c r="H7710">
        <v>5</v>
      </c>
      <c r="I7710" s="7">
        <v>644.70000000000005</v>
      </c>
      <c r="N7710" s="7">
        <v>159</v>
      </c>
      <c r="O7710" s="7">
        <v>171.9</v>
      </c>
    </row>
    <row r="7711" spans="1:18" x14ac:dyDescent="0.2">
      <c r="A7711">
        <v>7710</v>
      </c>
      <c r="B7711" s="1">
        <v>40963</v>
      </c>
      <c r="C7711" t="s">
        <v>24</v>
      </c>
      <c r="D7711" s="7">
        <v>222</v>
      </c>
      <c r="E7711" s="7">
        <v>33</v>
      </c>
      <c r="F7711" s="7">
        <f t="shared" si="120"/>
        <v>6</v>
      </c>
      <c r="G7711" s="7" t="str">
        <f>LOOKUP(H7711,[1]startdates!$A$2:$A$10,[1]startdates!$B$2:$B$10)</f>
        <v>C</v>
      </c>
      <c r="H7711">
        <v>5</v>
      </c>
      <c r="I7711" s="7">
        <v>550.4</v>
      </c>
      <c r="N7711" s="7">
        <v>253.2</v>
      </c>
      <c r="O7711" s="7">
        <v>177.9</v>
      </c>
    </row>
    <row r="7712" spans="1:18" x14ac:dyDescent="0.2">
      <c r="A7712">
        <v>7711</v>
      </c>
      <c r="B7712" s="1">
        <v>40963</v>
      </c>
      <c r="C7712" t="s">
        <v>24</v>
      </c>
      <c r="D7712" s="7">
        <v>222</v>
      </c>
      <c r="E7712" s="7">
        <v>33</v>
      </c>
      <c r="F7712" s="7">
        <f t="shared" si="120"/>
        <v>6</v>
      </c>
      <c r="G7712" s="7" t="str">
        <f>LOOKUP(H7712,[1]startdates!$A$2:$A$10,[1]startdates!$B$2:$B$10)</f>
        <v>C</v>
      </c>
      <c r="H7712">
        <v>5</v>
      </c>
      <c r="I7712" s="7">
        <v>653.9</v>
      </c>
      <c r="N7712" s="7">
        <v>224.9</v>
      </c>
      <c r="O7712" s="7">
        <v>160.69999999999999</v>
      </c>
    </row>
    <row r="7713" spans="1:19" x14ac:dyDescent="0.2">
      <c r="A7713">
        <v>7712</v>
      </c>
      <c r="B7713" s="1">
        <v>40963</v>
      </c>
      <c r="C7713" t="s">
        <v>24</v>
      </c>
      <c r="D7713" s="7">
        <v>222</v>
      </c>
      <c r="E7713" s="7">
        <v>33</v>
      </c>
      <c r="F7713" s="7">
        <f t="shared" si="120"/>
        <v>6</v>
      </c>
      <c r="G7713" s="7" t="str">
        <f>LOOKUP(H7713,[1]startdates!$A$2:$A$10,[1]startdates!$B$2:$B$10)</f>
        <v>C</v>
      </c>
      <c r="H7713">
        <v>5</v>
      </c>
      <c r="N7713" s="7">
        <v>174.1</v>
      </c>
      <c r="O7713" s="7">
        <v>163.4</v>
      </c>
    </row>
    <row r="7714" spans="1:19" x14ac:dyDescent="0.2">
      <c r="A7714">
        <v>7713</v>
      </c>
      <c r="B7714" s="1">
        <v>40963</v>
      </c>
      <c r="C7714" t="s">
        <v>24</v>
      </c>
      <c r="D7714" s="7">
        <v>222</v>
      </c>
      <c r="E7714" s="7">
        <v>33</v>
      </c>
      <c r="F7714" s="7">
        <f t="shared" si="120"/>
        <v>6</v>
      </c>
      <c r="G7714" s="7" t="str">
        <f>LOOKUP(H7714,[1]startdates!$A$2:$A$10,[1]startdates!$B$2:$B$10)</f>
        <v>C</v>
      </c>
      <c r="H7714">
        <v>5</v>
      </c>
      <c r="O7714" s="7">
        <v>184.5</v>
      </c>
    </row>
    <row r="7715" spans="1:19" x14ac:dyDescent="0.2">
      <c r="A7715">
        <v>7714</v>
      </c>
      <c r="B7715" s="1">
        <v>40963</v>
      </c>
      <c r="C7715" t="s">
        <v>24</v>
      </c>
      <c r="D7715" s="7">
        <v>222</v>
      </c>
      <c r="E7715" s="7">
        <v>33</v>
      </c>
      <c r="F7715" s="7">
        <f t="shared" si="120"/>
        <v>6</v>
      </c>
      <c r="G7715" s="7" t="str">
        <f>LOOKUP(H7715,[1]startdates!$A$2:$A$10,[1]startdates!$B$2:$B$10)</f>
        <v>C</v>
      </c>
      <c r="H7715">
        <v>5</v>
      </c>
      <c r="O7715" s="7">
        <v>187.8</v>
      </c>
    </row>
    <row r="7716" spans="1:19" x14ac:dyDescent="0.2">
      <c r="A7716">
        <v>7715</v>
      </c>
      <c r="B7716" s="1">
        <v>40963</v>
      </c>
      <c r="C7716" t="s">
        <v>24</v>
      </c>
      <c r="D7716" s="7">
        <v>222</v>
      </c>
      <c r="E7716" s="7">
        <v>33</v>
      </c>
      <c r="F7716" s="7">
        <f t="shared" si="120"/>
        <v>6</v>
      </c>
      <c r="G7716" s="7" t="str">
        <f>LOOKUP(H7716,[1]startdates!$A$2:$A$10,[1]startdates!$B$2:$B$10)</f>
        <v>FMr</v>
      </c>
      <c r="H7716">
        <v>6</v>
      </c>
      <c r="I7716" s="7">
        <v>600.29999999999995</v>
      </c>
      <c r="J7716" s="7">
        <v>517</v>
      </c>
      <c r="K7716" s="7">
        <v>506.7</v>
      </c>
      <c r="L7716" s="7">
        <v>404.9</v>
      </c>
      <c r="M7716" s="7">
        <v>336.7</v>
      </c>
      <c r="N7716" s="7">
        <v>247.4</v>
      </c>
      <c r="O7716" s="7">
        <v>161.5</v>
      </c>
      <c r="P7716" s="7">
        <v>532.29999999999995</v>
      </c>
      <c r="S7716" s="7">
        <v>258.7</v>
      </c>
    </row>
    <row r="7717" spans="1:19" x14ac:dyDescent="0.2">
      <c r="A7717">
        <v>7716</v>
      </c>
      <c r="B7717" s="1">
        <v>40963</v>
      </c>
      <c r="C7717" t="s">
        <v>24</v>
      </c>
      <c r="D7717" s="7">
        <v>222</v>
      </c>
      <c r="E7717" s="7">
        <v>33</v>
      </c>
      <c r="F7717" s="7">
        <f t="shared" si="120"/>
        <v>6</v>
      </c>
      <c r="G7717" s="7" t="str">
        <f>LOOKUP(H7717,[1]startdates!$A$2:$A$10,[1]startdates!$B$2:$B$10)</f>
        <v>FMr</v>
      </c>
      <c r="H7717">
        <v>6</v>
      </c>
      <c r="I7717" s="7">
        <v>675.1</v>
      </c>
      <c r="J7717" s="7">
        <v>505.1</v>
      </c>
      <c r="K7717" s="7">
        <v>515.4</v>
      </c>
      <c r="M7717" s="7">
        <v>399.5</v>
      </c>
      <c r="N7717" s="7">
        <v>282.7</v>
      </c>
      <c r="O7717" s="7">
        <v>146.19999999999999</v>
      </c>
    </row>
    <row r="7718" spans="1:19" x14ac:dyDescent="0.2">
      <c r="A7718">
        <v>7717</v>
      </c>
      <c r="B7718" s="1">
        <v>40963</v>
      </c>
      <c r="C7718" t="s">
        <v>24</v>
      </c>
      <c r="D7718" s="7">
        <v>222</v>
      </c>
      <c r="E7718" s="7">
        <v>33</v>
      </c>
      <c r="F7718" s="7">
        <f t="shared" si="120"/>
        <v>6</v>
      </c>
      <c r="G7718" s="7" t="str">
        <f>LOOKUP(H7718,[1]startdates!$A$2:$A$10,[1]startdates!$B$2:$B$10)</f>
        <v>FMr</v>
      </c>
      <c r="H7718">
        <v>6</v>
      </c>
      <c r="I7718" s="7">
        <v>542.20000000000005</v>
      </c>
      <c r="K7718" s="7">
        <v>494.7</v>
      </c>
      <c r="M7718" s="7">
        <v>325.7</v>
      </c>
      <c r="N7718" s="7">
        <v>240.2</v>
      </c>
      <c r="O7718" s="7">
        <v>164.4</v>
      </c>
    </row>
    <row r="7719" spans="1:19" x14ac:dyDescent="0.2">
      <c r="A7719">
        <v>7718</v>
      </c>
      <c r="B7719" s="1">
        <v>40963</v>
      </c>
      <c r="C7719" t="s">
        <v>24</v>
      </c>
      <c r="D7719" s="7">
        <v>222</v>
      </c>
      <c r="E7719" s="7">
        <v>33</v>
      </c>
      <c r="F7719" s="7">
        <f t="shared" si="120"/>
        <v>6</v>
      </c>
      <c r="G7719" s="7" t="str">
        <f>LOOKUP(H7719,[1]startdates!$A$2:$A$10,[1]startdates!$B$2:$B$10)</f>
        <v>FMr</v>
      </c>
      <c r="H7719">
        <v>6</v>
      </c>
      <c r="I7719" s="7">
        <v>614.6</v>
      </c>
      <c r="K7719" s="7">
        <v>393.5</v>
      </c>
      <c r="N7719" s="7">
        <v>216.6</v>
      </c>
      <c r="O7719" s="7">
        <v>151.5</v>
      </c>
    </row>
    <row r="7720" spans="1:19" x14ac:dyDescent="0.2">
      <c r="A7720">
        <v>7719</v>
      </c>
      <c r="B7720" s="1">
        <v>40963</v>
      </c>
      <c r="C7720" t="s">
        <v>24</v>
      </c>
      <c r="D7720" s="7">
        <v>222</v>
      </c>
      <c r="E7720" s="7">
        <v>33</v>
      </c>
      <c r="F7720" s="7">
        <f t="shared" si="120"/>
        <v>6</v>
      </c>
      <c r="G7720" s="7" t="str">
        <f>LOOKUP(H7720,[1]startdates!$A$2:$A$10,[1]startdates!$B$2:$B$10)</f>
        <v>FMr</v>
      </c>
      <c r="H7720">
        <v>6</v>
      </c>
      <c r="I7720" s="7">
        <v>563.1</v>
      </c>
      <c r="K7720" s="7">
        <v>449.9</v>
      </c>
      <c r="N7720" s="7">
        <v>211.7</v>
      </c>
      <c r="O7720" s="7">
        <v>203.7</v>
      </c>
    </row>
    <row r="7721" spans="1:19" x14ac:dyDescent="0.2">
      <c r="A7721">
        <v>7720</v>
      </c>
      <c r="B7721" s="1">
        <v>40963</v>
      </c>
      <c r="C7721" t="s">
        <v>24</v>
      </c>
      <c r="D7721" s="7">
        <v>222</v>
      </c>
      <c r="E7721" s="7">
        <v>33</v>
      </c>
      <c r="F7721" s="7">
        <f t="shared" ref="F7721:F7784" si="121">WEEKDAY(B7721)</f>
        <v>6</v>
      </c>
      <c r="G7721" s="7" t="str">
        <f>LOOKUP(H7721,[1]startdates!$A$2:$A$10,[1]startdates!$B$2:$B$10)</f>
        <v>FMr</v>
      </c>
      <c r="H7721">
        <v>6</v>
      </c>
      <c r="I7721" s="7">
        <v>649.5</v>
      </c>
      <c r="K7721" s="7">
        <v>490.3</v>
      </c>
      <c r="N7721" s="7">
        <v>258.8</v>
      </c>
      <c r="O7721" s="7">
        <v>158.80000000000001</v>
      </c>
    </row>
    <row r="7722" spans="1:19" x14ac:dyDescent="0.2">
      <c r="A7722">
        <v>7721</v>
      </c>
      <c r="B7722" s="1">
        <v>40963</v>
      </c>
      <c r="C7722" t="s">
        <v>24</v>
      </c>
      <c r="D7722" s="7">
        <v>222</v>
      </c>
      <c r="E7722" s="7">
        <v>33</v>
      </c>
      <c r="F7722" s="7">
        <f t="shared" si="121"/>
        <v>6</v>
      </c>
      <c r="G7722" s="7" t="str">
        <f>LOOKUP(H7722,[1]startdates!$A$2:$A$10,[1]startdates!$B$2:$B$10)</f>
        <v>FMr</v>
      </c>
      <c r="H7722">
        <v>6</v>
      </c>
      <c r="I7722" s="7">
        <v>692.3</v>
      </c>
      <c r="K7722" s="7">
        <v>435.7</v>
      </c>
      <c r="N7722" s="7">
        <v>255</v>
      </c>
      <c r="O7722" s="7">
        <v>155</v>
      </c>
    </row>
    <row r="7723" spans="1:19" x14ac:dyDescent="0.2">
      <c r="A7723">
        <v>7722</v>
      </c>
      <c r="B7723" s="1">
        <v>40963</v>
      </c>
      <c r="C7723" t="s">
        <v>24</v>
      </c>
      <c r="D7723" s="7">
        <v>222</v>
      </c>
      <c r="E7723" s="7">
        <v>33</v>
      </c>
      <c r="F7723" s="7">
        <f t="shared" si="121"/>
        <v>6</v>
      </c>
      <c r="G7723" s="7" t="str">
        <f>LOOKUP(H7723,[1]startdates!$A$2:$A$10,[1]startdates!$B$2:$B$10)</f>
        <v>FMr</v>
      </c>
      <c r="H7723">
        <v>6</v>
      </c>
      <c r="I7723" s="7">
        <v>548.6</v>
      </c>
      <c r="K7723" s="7">
        <v>602.70000000000005</v>
      </c>
      <c r="N7723" s="7">
        <v>194.4</v>
      </c>
      <c r="O7723" s="7">
        <v>172.1</v>
      </c>
    </row>
    <row r="7724" spans="1:19" x14ac:dyDescent="0.2">
      <c r="A7724">
        <v>7723</v>
      </c>
      <c r="B7724" s="1">
        <v>40963</v>
      </c>
      <c r="C7724" t="s">
        <v>24</v>
      </c>
      <c r="D7724" s="7">
        <v>222</v>
      </c>
      <c r="E7724" s="7">
        <v>33</v>
      </c>
      <c r="F7724" s="7">
        <f t="shared" si="121"/>
        <v>6</v>
      </c>
      <c r="G7724" s="7" t="str">
        <f>LOOKUP(H7724,[1]startdates!$A$2:$A$10,[1]startdates!$B$2:$B$10)</f>
        <v>FMr</v>
      </c>
      <c r="H7724">
        <v>6</v>
      </c>
      <c r="I7724" s="7">
        <v>612.9</v>
      </c>
      <c r="K7724" s="7">
        <v>518.1</v>
      </c>
      <c r="N7724" s="7">
        <v>234.9</v>
      </c>
      <c r="O7724" s="7">
        <v>166.1</v>
      </c>
    </row>
    <row r="7725" spans="1:19" x14ac:dyDescent="0.2">
      <c r="A7725">
        <v>7724</v>
      </c>
      <c r="B7725" s="1">
        <v>40963</v>
      </c>
      <c r="C7725" t="s">
        <v>24</v>
      </c>
      <c r="D7725" s="7">
        <v>222</v>
      </c>
      <c r="E7725" s="7">
        <v>33</v>
      </c>
      <c r="F7725" s="7">
        <f t="shared" si="121"/>
        <v>6</v>
      </c>
      <c r="G7725" s="7" t="str">
        <f>LOOKUP(H7725,[1]startdates!$A$2:$A$10,[1]startdates!$B$2:$B$10)</f>
        <v>FMr</v>
      </c>
      <c r="H7725">
        <v>6</v>
      </c>
      <c r="O7725" s="7">
        <v>173.7</v>
      </c>
    </row>
    <row r="7726" spans="1:19" x14ac:dyDescent="0.2">
      <c r="A7726">
        <v>7725</v>
      </c>
      <c r="B7726" s="1">
        <v>40963</v>
      </c>
      <c r="C7726" t="s">
        <v>28</v>
      </c>
      <c r="D7726" s="7">
        <v>222</v>
      </c>
      <c r="E7726" s="7">
        <v>33</v>
      </c>
      <c r="F7726" s="7">
        <f t="shared" si="121"/>
        <v>6</v>
      </c>
      <c r="G7726" s="7" t="str">
        <f>LOOKUP(H7726,[1]startdates!$A$2:$A$10,[1]startdates!$B$2:$B$10)</f>
        <v>FMr</v>
      </c>
      <c r="H7726">
        <v>7</v>
      </c>
      <c r="I7726" s="7">
        <v>603.4</v>
      </c>
      <c r="J7726" s="7">
        <v>484.4</v>
      </c>
      <c r="K7726" s="7">
        <v>517</v>
      </c>
      <c r="L7726" s="7">
        <v>474.3</v>
      </c>
      <c r="M7726" s="7">
        <v>303.3</v>
      </c>
      <c r="N7726" s="7">
        <v>198.8</v>
      </c>
      <c r="O7726" s="7">
        <v>148.4</v>
      </c>
      <c r="P7726" s="7">
        <v>439.5</v>
      </c>
      <c r="Q7726" s="7">
        <v>247.1</v>
      </c>
      <c r="S7726" s="7">
        <v>250.9</v>
      </c>
    </row>
    <row r="7727" spans="1:19" x14ac:dyDescent="0.2">
      <c r="A7727">
        <v>7726</v>
      </c>
      <c r="B7727" s="1">
        <v>40963</v>
      </c>
      <c r="C7727" t="s">
        <v>28</v>
      </c>
      <c r="D7727" s="7">
        <v>222</v>
      </c>
      <c r="E7727" s="7">
        <v>33</v>
      </c>
      <c r="F7727" s="7">
        <f t="shared" si="121"/>
        <v>6</v>
      </c>
      <c r="G7727" s="7" t="str">
        <f>LOOKUP(H7727,[1]startdates!$A$2:$A$10,[1]startdates!$B$2:$B$10)</f>
        <v>FMr</v>
      </c>
      <c r="H7727">
        <v>7</v>
      </c>
      <c r="I7727" s="7">
        <v>526.29999999999995</v>
      </c>
      <c r="J7727" s="7">
        <v>468.1</v>
      </c>
      <c r="K7727" s="7">
        <v>532.1</v>
      </c>
      <c r="L7727" s="7">
        <v>393.2</v>
      </c>
      <c r="M7727" s="7">
        <v>301.7</v>
      </c>
      <c r="N7727" s="7">
        <v>232.1</v>
      </c>
      <c r="O7727" s="7">
        <v>185.2</v>
      </c>
      <c r="P7727" s="7">
        <v>443</v>
      </c>
      <c r="Q7727" s="7">
        <v>255.3</v>
      </c>
    </row>
    <row r="7728" spans="1:19" x14ac:dyDescent="0.2">
      <c r="A7728">
        <v>7727</v>
      </c>
      <c r="B7728" s="1">
        <v>40963</v>
      </c>
      <c r="C7728" t="s">
        <v>28</v>
      </c>
      <c r="D7728" s="7">
        <v>222</v>
      </c>
      <c r="E7728" s="7">
        <v>33</v>
      </c>
      <c r="F7728" s="7">
        <f t="shared" si="121"/>
        <v>6</v>
      </c>
      <c r="G7728" s="7" t="str">
        <f>LOOKUP(H7728,[1]startdates!$A$2:$A$10,[1]startdates!$B$2:$B$10)</f>
        <v>FMr</v>
      </c>
      <c r="H7728">
        <v>7</v>
      </c>
      <c r="I7728" s="7">
        <v>587.79999999999995</v>
      </c>
      <c r="K7728" s="7">
        <v>533.6</v>
      </c>
      <c r="L7728" s="7">
        <v>467.6</v>
      </c>
      <c r="M7728" s="7">
        <v>320.5</v>
      </c>
      <c r="N7728" s="7">
        <v>214.7</v>
      </c>
      <c r="O7728" s="7">
        <v>165</v>
      </c>
      <c r="P7728" s="7">
        <v>438.2</v>
      </c>
    </row>
    <row r="7729" spans="1:18" x14ac:dyDescent="0.2">
      <c r="A7729">
        <v>7728</v>
      </c>
      <c r="B7729" s="1">
        <v>40963</v>
      </c>
      <c r="C7729" t="s">
        <v>28</v>
      </c>
      <c r="D7729" s="7">
        <v>222</v>
      </c>
      <c r="E7729" s="7">
        <v>33</v>
      </c>
      <c r="F7729" s="7">
        <f t="shared" si="121"/>
        <v>6</v>
      </c>
      <c r="G7729" s="7" t="str">
        <f>LOOKUP(H7729,[1]startdates!$A$2:$A$10,[1]startdates!$B$2:$B$10)</f>
        <v>FMr</v>
      </c>
      <c r="H7729">
        <v>7</v>
      </c>
      <c r="I7729" s="7">
        <v>616.6</v>
      </c>
      <c r="K7729" s="7">
        <v>548.6</v>
      </c>
      <c r="L7729" s="7">
        <v>450.3</v>
      </c>
      <c r="M7729" s="7">
        <v>317.7</v>
      </c>
      <c r="N7729" s="7">
        <v>222.5</v>
      </c>
      <c r="O7729" s="7">
        <v>151.69999999999999</v>
      </c>
    </row>
    <row r="7730" spans="1:18" x14ac:dyDescent="0.2">
      <c r="A7730">
        <v>7729</v>
      </c>
      <c r="B7730" s="1">
        <v>40963</v>
      </c>
      <c r="C7730" t="s">
        <v>28</v>
      </c>
      <c r="D7730" s="7">
        <v>222</v>
      </c>
      <c r="E7730" s="7">
        <v>33</v>
      </c>
      <c r="F7730" s="7">
        <f t="shared" si="121"/>
        <v>6</v>
      </c>
      <c r="G7730" s="7" t="str">
        <f>LOOKUP(H7730,[1]startdates!$A$2:$A$10,[1]startdates!$B$2:$B$10)</f>
        <v>FMr</v>
      </c>
      <c r="H7730">
        <v>7</v>
      </c>
      <c r="I7730" s="7">
        <v>573.29999999999995</v>
      </c>
      <c r="K7730" s="7">
        <v>544.9</v>
      </c>
      <c r="L7730" s="7">
        <v>423.3</v>
      </c>
      <c r="M7730" s="7">
        <v>326.5</v>
      </c>
      <c r="N7730" s="7">
        <v>223.9</v>
      </c>
      <c r="O7730" s="7">
        <v>150.19999999999999</v>
      </c>
    </row>
    <row r="7731" spans="1:18" x14ac:dyDescent="0.2">
      <c r="A7731">
        <v>7730</v>
      </c>
      <c r="B7731" s="1">
        <v>40963</v>
      </c>
      <c r="C7731" t="s">
        <v>28</v>
      </c>
      <c r="D7731" s="7">
        <v>222</v>
      </c>
      <c r="E7731" s="7">
        <v>33</v>
      </c>
      <c r="F7731" s="7">
        <f t="shared" si="121"/>
        <v>6</v>
      </c>
      <c r="G7731" s="7" t="str">
        <f>LOOKUP(H7731,[1]startdates!$A$2:$A$10,[1]startdates!$B$2:$B$10)</f>
        <v>FMr</v>
      </c>
      <c r="H7731">
        <v>7</v>
      </c>
      <c r="I7731" s="7">
        <v>586.79999999999995</v>
      </c>
      <c r="K7731" s="7">
        <v>513.5</v>
      </c>
      <c r="L7731" s="7">
        <v>394.2</v>
      </c>
      <c r="M7731" s="7">
        <v>359</v>
      </c>
      <c r="N7731" s="7">
        <v>173.1</v>
      </c>
      <c r="O7731" s="7">
        <v>153.30000000000001</v>
      </c>
    </row>
    <row r="7732" spans="1:18" x14ac:dyDescent="0.2">
      <c r="A7732">
        <v>7731</v>
      </c>
      <c r="B7732" s="1">
        <v>40963</v>
      </c>
      <c r="C7732" t="s">
        <v>28</v>
      </c>
      <c r="D7732" s="7">
        <v>222</v>
      </c>
      <c r="E7732" s="7">
        <v>33</v>
      </c>
      <c r="F7732" s="7">
        <f t="shared" si="121"/>
        <v>6</v>
      </c>
      <c r="G7732" s="7" t="str">
        <f>LOOKUP(H7732,[1]startdates!$A$2:$A$10,[1]startdates!$B$2:$B$10)</f>
        <v>FMr</v>
      </c>
      <c r="H7732">
        <v>7</v>
      </c>
      <c r="I7732" s="7">
        <v>558.29999999999995</v>
      </c>
      <c r="M7732" s="7">
        <v>317.10000000000002</v>
      </c>
      <c r="N7732" s="7">
        <v>192.2</v>
      </c>
      <c r="O7732" s="7">
        <v>173.1</v>
      </c>
    </row>
    <row r="7733" spans="1:18" x14ac:dyDescent="0.2">
      <c r="A7733">
        <v>7732</v>
      </c>
      <c r="B7733" s="1">
        <v>40963</v>
      </c>
      <c r="C7733" t="s">
        <v>28</v>
      </c>
      <c r="D7733" s="7">
        <v>222</v>
      </c>
      <c r="E7733" s="7">
        <v>33</v>
      </c>
      <c r="F7733" s="7">
        <f t="shared" si="121"/>
        <v>6</v>
      </c>
      <c r="G7733" s="7" t="str">
        <f>LOOKUP(H7733,[1]startdates!$A$2:$A$10,[1]startdates!$B$2:$B$10)</f>
        <v>FMr</v>
      </c>
      <c r="H7733">
        <v>7</v>
      </c>
      <c r="I7733" s="7">
        <v>632.6</v>
      </c>
      <c r="M7733" s="7">
        <v>310.5</v>
      </c>
      <c r="N7733" s="7">
        <v>210.9</v>
      </c>
      <c r="O7733" s="7">
        <v>153.1</v>
      </c>
    </row>
    <row r="7734" spans="1:18" x14ac:dyDescent="0.2">
      <c r="A7734">
        <v>7733</v>
      </c>
      <c r="B7734" s="1">
        <v>40963</v>
      </c>
      <c r="C7734" t="s">
        <v>28</v>
      </c>
      <c r="D7734" s="7">
        <v>222</v>
      </c>
      <c r="E7734" s="7">
        <v>33</v>
      </c>
      <c r="F7734" s="7">
        <f t="shared" si="121"/>
        <v>6</v>
      </c>
      <c r="G7734" s="7" t="str">
        <f>LOOKUP(H7734,[1]startdates!$A$2:$A$10,[1]startdates!$B$2:$B$10)</f>
        <v>FMr</v>
      </c>
      <c r="H7734">
        <v>7</v>
      </c>
      <c r="I7734" s="7">
        <v>649.70000000000005</v>
      </c>
      <c r="M7734" s="7">
        <v>301.39999999999998</v>
      </c>
      <c r="N7734" s="7">
        <v>197.3</v>
      </c>
      <c r="O7734" s="7">
        <v>144.9</v>
      </c>
    </row>
    <row r="7735" spans="1:18" x14ac:dyDescent="0.2">
      <c r="A7735">
        <v>7734</v>
      </c>
      <c r="B7735" s="1">
        <v>40963</v>
      </c>
      <c r="C7735" t="s">
        <v>28</v>
      </c>
      <c r="D7735" s="7">
        <v>222</v>
      </c>
      <c r="E7735" s="7">
        <v>33</v>
      </c>
      <c r="F7735" s="7">
        <f t="shared" si="121"/>
        <v>6</v>
      </c>
      <c r="G7735" s="7" t="str">
        <f>LOOKUP(H7735,[1]startdates!$A$2:$A$10,[1]startdates!$B$2:$B$10)</f>
        <v>FMr</v>
      </c>
      <c r="H7735">
        <v>7</v>
      </c>
      <c r="I7735" s="7">
        <v>627</v>
      </c>
      <c r="M7735" s="7">
        <v>291.3</v>
      </c>
      <c r="N7735" s="7">
        <v>235.7</v>
      </c>
      <c r="O7735" s="7">
        <v>141.6</v>
      </c>
    </row>
    <row r="7736" spans="1:18" x14ac:dyDescent="0.2">
      <c r="A7736">
        <v>7735</v>
      </c>
      <c r="B7736" s="1">
        <v>40963</v>
      </c>
      <c r="C7736" t="s">
        <v>24</v>
      </c>
      <c r="D7736" s="7">
        <v>222</v>
      </c>
      <c r="E7736" s="7">
        <v>33</v>
      </c>
      <c r="F7736" s="7">
        <f t="shared" si="121"/>
        <v>6</v>
      </c>
      <c r="G7736" s="7" t="str">
        <f>LOOKUP(H7736,[1]startdates!$A$2:$A$10,[1]startdates!$B$2:$B$10)</f>
        <v>C</v>
      </c>
      <c r="H7736">
        <v>8</v>
      </c>
      <c r="I7736" s="7">
        <v>520.70000000000005</v>
      </c>
      <c r="J7736" s="7">
        <v>510.2</v>
      </c>
      <c r="K7736" s="7">
        <v>560.4</v>
      </c>
      <c r="L7736" s="7">
        <v>420.4</v>
      </c>
      <c r="M7736" s="7">
        <v>328.7</v>
      </c>
      <c r="N7736" s="7">
        <v>234</v>
      </c>
      <c r="O7736" s="7">
        <v>185</v>
      </c>
      <c r="R7736" s="7">
        <v>257.39999999999998</v>
      </c>
    </row>
    <row r="7737" spans="1:18" x14ac:dyDescent="0.2">
      <c r="A7737">
        <v>7736</v>
      </c>
      <c r="B7737" s="1">
        <v>40963</v>
      </c>
      <c r="C7737" t="s">
        <v>24</v>
      </c>
      <c r="D7737" s="7">
        <v>222</v>
      </c>
      <c r="E7737" s="7">
        <v>33</v>
      </c>
      <c r="F7737" s="7">
        <f t="shared" si="121"/>
        <v>6</v>
      </c>
      <c r="G7737" s="7" t="str">
        <f>LOOKUP(H7737,[1]startdates!$A$2:$A$10,[1]startdates!$B$2:$B$10)</f>
        <v>C</v>
      </c>
      <c r="H7737">
        <v>8</v>
      </c>
      <c r="I7737" s="7">
        <v>693.3</v>
      </c>
      <c r="J7737" s="7">
        <v>551.70000000000005</v>
      </c>
      <c r="K7737" s="7">
        <v>484</v>
      </c>
      <c r="L7737" s="7">
        <v>420.1</v>
      </c>
      <c r="M7737" s="7">
        <v>296.8</v>
      </c>
      <c r="N7737" s="7">
        <v>233</v>
      </c>
      <c r="O7737" s="7">
        <v>162.4</v>
      </c>
      <c r="R7737" s="7">
        <v>267.10000000000002</v>
      </c>
    </row>
    <row r="7738" spans="1:18" x14ac:dyDescent="0.2">
      <c r="A7738">
        <v>7737</v>
      </c>
      <c r="B7738" s="1">
        <v>40963</v>
      </c>
      <c r="C7738" t="s">
        <v>24</v>
      </c>
      <c r="D7738" s="7">
        <v>222</v>
      </c>
      <c r="E7738" s="7">
        <v>33</v>
      </c>
      <c r="F7738" s="7">
        <f t="shared" si="121"/>
        <v>6</v>
      </c>
      <c r="G7738" s="7" t="str">
        <f>LOOKUP(H7738,[1]startdates!$A$2:$A$10,[1]startdates!$B$2:$B$10)</f>
        <v>C</v>
      </c>
      <c r="H7738">
        <v>8</v>
      </c>
      <c r="I7738" s="7">
        <v>614.20000000000005</v>
      </c>
      <c r="J7738" s="7">
        <v>595.79999999999995</v>
      </c>
      <c r="K7738" s="7">
        <v>515.79999999999995</v>
      </c>
      <c r="L7738" s="7">
        <v>433.1</v>
      </c>
      <c r="M7738" s="7">
        <v>332.7</v>
      </c>
      <c r="N7738" s="7">
        <v>244</v>
      </c>
      <c r="O7738" s="7">
        <v>170.6</v>
      </c>
    </row>
    <row r="7739" spans="1:18" x14ac:dyDescent="0.2">
      <c r="A7739">
        <v>7738</v>
      </c>
      <c r="B7739" s="1">
        <v>40963</v>
      </c>
      <c r="C7739" t="s">
        <v>24</v>
      </c>
      <c r="D7739" s="7">
        <v>222</v>
      </c>
      <c r="E7739" s="7">
        <v>33</v>
      </c>
      <c r="F7739" s="7">
        <f t="shared" si="121"/>
        <v>6</v>
      </c>
      <c r="G7739" s="7" t="str">
        <f>LOOKUP(H7739,[1]startdates!$A$2:$A$10,[1]startdates!$B$2:$B$10)</f>
        <v>C</v>
      </c>
      <c r="H7739">
        <v>8</v>
      </c>
      <c r="I7739" s="7">
        <v>664.8</v>
      </c>
      <c r="J7739" s="7">
        <v>508.7</v>
      </c>
      <c r="K7739" s="7">
        <v>498.3</v>
      </c>
      <c r="L7739" s="7">
        <v>379.4</v>
      </c>
      <c r="M7739" s="7">
        <v>306.5</v>
      </c>
      <c r="N7739" s="7">
        <v>228.7</v>
      </c>
      <c r="O7739" s="7">
        <v>185.3</v>
      </c>
    </row>
    <row r="7740" spans="1:18" x14ac:dyDescent="0.2">
      <c r="A7740">
        <v>7739</v>
      </c>
      <c r="B7740" s="1">
        <v>40963</v>
      </c>
      <c r="C7740" t="s">
        <v>24</v>
      </c>
      <c r="D7740" s="7">
        <v>222</v>
      </c>
      <c r="E7740" s="7">
        <v>33</v>
      </c>
      <c r="F7740" s="7">
        <f t="shared" si="121"/>
        <v>6</v>
      </c>
      <c r="G7740" s="7" t="str">
        <f>LOOKUP(H7740,[1]startdates!$A$2:$A$10,[1]startdates!$B$2:$B$10)</f>
        <v>C</v>
      </c>
      <c r="H7740">
        <v>8</v>
      </c>
      <c r="I7740" s="7">
        <v>680.7</v>
      </c>
      <c r="J7740" s="7">
        <v>459.6</v>
      </c>
      <c r="K7740" s="7">
        <v>579.79999999999995</v>
      </c>
      <c r="M7740" s="7">
        <v>366.3</v>
      </c>
      <c r="N7740" s="7">
        <v>207.3</v>
      </c>
      <c r="O7740" s="7">
        <v>177.2</v>
      </c>
    </row>
    <row r="7741" spans="1:18" x14ac:dyDescent="0.2">
      <c r="A7741">
        <v>7740</v>
      </c>
      <c r="B7741" s="1">
        <v>40963</v>
      </c>
      <c r="C7741" t="s">
        <v>24</v>
      </c>
      <c r="D7741" s="7">
        <v>222</v>
      </c>
      <c r="E7741" s="7">
        <v>33</v>
      </c>
      <c r="F7741" s="7">
        <f t="shared" si="121"/>
        <v>6</v>
      </c>
      <c r="G7741" s="7" t="str">
        <f>LOOKUP(H7741,[1]startdates!$A$2:$A$10,[1]startdates!$B$2:$B$10)</f>
        <v>C</v>
      </c>
      <c r="H7741">
        <v>8</v>
      </c>
      <c r="I7741" s="7">
        <v>534.70000000000005</v>
      </c>
      <c r="J7741" s="7">
        <v>593.9</v>
      </c>
      <c r="M7741" s="7">
        <v>297.3</v>
      </c>
      <c r="N7741" s="7">
        <v>216.8</v>
      </c>
      <c r="O7741" s="7">
        <v>164</v>
      </c>
    </row>
    <row r="7742" spans="1:18" x14ac:dyDescent="0.2">
      <c r="A7742">
        <v>7741</v>
      </c>
      <c r="B7742" s="1">
        <v>40963</v>
      </c>
      <c r="C7742" t="s">
        <v>24</v>
      </c>
      <c r="D7742" s="7">
        <v>222</v>
      </c>
      <c r="E7742" s="7">
        <v>33</v>
      </c>
      <c r="F7742" s="7">
        <f t="shared" si="121"/>
        <v>6</v>
      </c>
      <c r="G7742" s="7" t="str">
        <f>LOOKUP(H7742,[1]startdates!$A$2:$A$10,[1]startdates!$B$2:$B$10)</f>
        <v>C</v>
      </c>
      <c r="H7742">
        <v>8</v>
      </c>
      <c r="I7742" s="7">
        <v>671.8</v>
      </c>
      <c r="M7742" s="7">
        <v>350.7</v>
      </c>
      <c r="N7742" s="7">
        <v>213.5</v>
      </c>
      <c r="O7742" s="7">
        <v>176.5</v>
      </c>
    </row>
    <row r="7743" spans="1:18" x14ac:dyDescent="0.2">
      <c r="A7743">
        <v>7742</v>
      </c>
      <c r="B7743" s="1">
        <v>40963</v>
      </c>
      <c r="C7743" t="s">
        <v>24</v>
      </c>
      <c r="D7743" s="7">
        <v>222</v>
      </c>
      <c r="E7743" s="7">
        <v>33</v>
      </c>
      <c r="F7743" s="7">
        <f t="shared" si="121"/>
        <v>6</v>
      </c>
      <c r="G7743" s="7" t="str">
        <f>LOOKUP(H7743,[1]startdates!$A$2:$A$10,[1]startdates!$B$2:$B$10)</f>
        <v>C</v>
      </c>
      <c r="H7743">
        <v>8</v>
      </c>
      <c r="N7743" s="7">
        <v>238.9</v>
      </c>
      <c r="O7743" s="7">
        <v>180.7</v>
      </c>
    </row>
    <row r="7744" spans="1:18" x14ac:dyDescent="0.2">
      <c r="A7744">
        <v>7743</v>
      </c>
      <c r="B7744" s="1">
        <v>40963</v>
      </c>
      <c r="C7744" t="s">
        <v>24</v>
      </c>
      <c r="D7744" s="7">
        <v>222</v>
      </c>
      <c r="E7744" s="7">
        <v>33</v>
      </c>
      <c r="F7744" s="7">
        <f t="shared" si="121"/>
        <v>6</v>
      </c>
      <c r="G7744" s="7" t="str">
        <f>LOOKUP(H7744,[1]startdates!$A$2:$A$10,[1]startdates!$B$2:$B$10)</f>
        <v>C</v>
      </c>
      <c r="H7744">
        <v>8</v>
      </c>
      <c r="N7744" s="7">
        <v>181.8</v>
      </c>
      <c r="O7744" s="7">
        <v>160.69999999999999</v>
      </c>
    </row>
    <row r="7745" spans="1:21" x14ac:dyDescent="0.2">
      <c r="A7745">
        <v>7744</v>
      </c>
      <c r="B7745" s="1">
        <v>40963</v>
      </c>
      <c r="C7745" t="s">
        <v>24</v>
      </c>
      <c r="D7745" s="7">
        <v>222</v>
      </c>
      <c r="E7745" s="7">
        <v>33</v>
      </c>
      <c r="F7745" s="7">
        <f t="shared" si="121"/>
        <v>6</v>
      </c>
      <c r="G7745" s="7" t="str">
        <f>LOOKUP(H7745,[1]startdates!$A$2:$A$10,[1]startdates!$B$2:$B$10)</f>
        <v>C</v>
      </c>
      <c r="H7745">
        <v>8</v>
      </c>
      <c r="N7745" s="7">
        <v>207.4</v>
      </c>
      <c r="O7745" s="7">
        <v>156.80000000000001</v>
      </c>
    </row>
    <row r="7746" spans="1:21" x14ac:dyDescent="0.2">
      <c r="A7746">
        <v>7745</v>
      </c>
      <c r="B7746" s="1">
        <v>40963</v>
      </c>
      <c r="C7746" t="s">
        <v>24</v>
      </c>
      <c r="D7746" s="7">
        <v>222</v>
      </c>
      <c r="E7746" s="7">
        <v>33</v>
      </c>
      <c r="F7746" s="7">
        <f t="shared" si="121"/>
        <v>6</v>
      </c>
      <c r="G7746" s="7" t="str">
        <f>LOOKUP(H7746,[1]startdates!$A$2:$A$10,[1]startdates!$B$2:$B$10)</f>
        <v>FMr</v>
      </c>
      <c r="H7746">
        <v>9</v>
      </c>
      <c r="I7746" s="7">
        <v>595.1</v>
      </c>
      <c r="J7746" s="7">
        <v>439.5</v>
      </c>
      <c r="K7746" s="7">
        <v>557.70000000000005</v>
      </c>
      <c r="L7746" s="7">
        <v>410.9</v>
      </c>
      <c r="M7746" s="7">
        <v>385.2</v>
      </c>
      <c r="N7746" s="7">
        <v>200.5</v>
      </c>
      <c r="O7746" s="7">
        <v>176.8</v>
      </c>
      <c r="P7746" s="7">
        <v>444.4</v>
      </c>
      <c r="Q7746" s="7">
        <v>372.7</v>
      </c>
      <c r="R7746" s="7">
        <v>303.89999999999998</v>
      </c>
    </row>
    <row r="7747" spans="1:21" x14ac:dyDescent="0.2">
      <c r="A7747">
        <v>7746</v>
      </c>
      <c r="B7747" s="1">
        <v>40963</v>
      </c>
      <c r="C7747" t="s">
        <v>24</v>
      </c>
      <c r="D7747" s="7">
        <v>222</v>
      </c>
      <c r="E7747" s="7">
        <v>33</v>
      </c>
      <c r="F7747" s="7">
        <f t="shared" si="121"/>
        <v>6</v>
      </c>
      <c r="G7747" s="7" t="str">
        <f>LOOKUP(H7747,[1]startdates!$A$2:$A$10,[1]startdates!$B$2:$B$10)</f>
        <v>FMr</v>
      </c>
      <c r="H7747">
        <v>9</v>
      </c>
      <c r="I7747" s="7">
        <v>629</v>
      </c>
      <c r="K7747" s="7">
        <v>533.5</v>
      </c>
      <c r="L7747" s="7">
        <v>422.4</v>
      </c>
      <c r="M7747" s="7">
        <v>374.9</v>
      </c>
      <c r="N7747" s="7">
        <v>194.3</v>
      </c>
      <c r="O7747" s="7">
        <v>172.6</v>
      </c>
      <c r="P7747" s="7">
        <v>416.6</v>
      </c>
      <c r="Q7747" s="7">
        <v>409.1</v>
      </c>
    </row>
    <row r="7748" spans="1:21" x14ac:dyDescent="0.2">
      <c r="A7748">
        <v>7747</v>
      </c>
      <c r="B7748" s="1">
        <v>40963</v>
      </c>
      <c r="C7748" t="s">
        <v>24</v>
      </c>
      <c r="D7748" s="7">
        <v>222</v>
      </c>
      <c r="E7748" s="7">
        <v>33</v>
      </c>
      <c r="F7748" s="7">
        <f t="shared" si="121"/>
        <v>6</v>
      </c>
      <c r="G7748" s="7" t="str">
        <f>LOOKUP(H7748,[1]startdates!$A$2:$A$10,[1]startdates!$B$2:$B$10)</f>
        <v>FMr</v>
      </c>
      <c r="H7748">
        <v>9</v>
      </c>
      <c r="I7748" s="7">
        <v>577</v>
      </c>
      <c r="K7748" s="7">
        <v>476.9</v>
      </c>
      <c r="L7748" s="7">
        <v>404.5</v>
      </c>
      <c r="M7748" s="7">
        <v>359.4</v>
      </c>
      <c r="N7748" s="7">
        <v>234.5</v>
      </c>
      <c r="O7748" s="7">
        <v>168.6</v>
      </c>
      <c r="P7748" s="7">
        <v>412.5</v>
      </c>
    </row>
    <row r="7749" spans="1:21" x14ac:dyDescent="0.2">
      <c r="A7749">
        <v>7748</v>
      </c>
      <c r="B7749" s="1">
        <v>40963</v>
      </c>
      <c r="C7749" t="s">
        <v>24</v>
      </c>
      <c r="D7749" s="7">
        <v>222</v>
      </c>
      <c r="E7749" s="7">
        <v>33</v>
      </c>
      <c r="F7749" s="7">
        <f t="shared" si="121"/>
        <v>6</v>
      </c>
      <c r="G7749" s="7" t="str">
        <f>LOOKUP(H7749,[1]startdates!$A$2:$A$10,[1]startdates!$B$2:$B$10)</f>
        <v>FMr</v>
      </c>
      <c r="H7749">
        <v>9</v>
      </c>
      <c r="I7749" s="7">
        <v>587.70000000000005</v>
      </c>
      <c r="K7749" s="7">
        <v>466.9</v>
      </c>
      <c r="L7749" s="7">
        <v>410.4</v>
      </c>
      <c r="M7749" s="7">
        <v>343.8</v>
      </c>
      <c r="N7749" s="7">
        <v>239.3</v>
      </c>
      <c r="O7749" s="7">
        <v>180.7</v>
      </c>
      <c r="P7749" s="7">
        <v>445.2</v>
      </c>
    </row>
    <row r="7750" spans="1:21" x14ac:dyDescent="0.2">
      <c r="A7750">
        <v>7749</v>
      </c>
      <c r="B7750" s="1">
        <v>40963</v>
      </c>
      <c r="C7750" t="s">
        <v>24</v>
      </c>
      <c r="D7750" s="7">
        <v>222</v>
      </c>
      <c r="E7750" s="7">
        <v>33</v>
      </c>
      <c r="F7750" s="7">
        <f t="shared" si="121"/>
        <v>6</v>
      </c>
      <c r="G7750" s="7" t="str">
        <f>LOOKUP(H7750,[1]startdates!$A$2:$A$10,[1]startdates!$B$2:$B$10)</f>
        <v>FMr</v>
      </c>
      <c r="H7750">
        <v>9</v>
      </c>
      <c r="I7750" s="7">
        <v>555.1</v>
      </c>
      <c r="K7750" s="7">
        <v>461.2</v>
      </c>
      <c r="M7750" s="7">
        <v>369.7</v>
      </c>
      <c r="N7750" s="7">
        <v>252.6</v>
      </c>
      <c r="O7750" s="7">
        <v>197.9</v>
      </c>
      <c r="P7750" s="7">
        <v>454.2</v>
      </c>
    </row>
    <row r="7751" spans="1:21" x14ac:dyDescent="0.2">
      <c r="A7751">
        <v>7750</v>
      </c>
      <c r="B7751" s="1">
        <v>40963</v>
      </c>
      <c r="C7751" t="s">
        <v>24</v>
      </c>
      <c r="D7751" s="7">
        <v>222</v>
      </c>
      <c r="E7751" s="7">
        <v>33</v>
      </c>
      <c r="F7751" s="7">
        <f t="shared" si="121"/>
        <v>6</v>
      </c>
      <c r="G7751" s="7" t="str">
        <f>LOOKUP(H7751,[1]startdates!$A$2:$A$10,[1]startdates!$B$2:$B$10)</f>
        <v>FMr</v>
      </c>
      <c r="H7751">
        <v>9</v>
      </c>
      <c r="I7751" s="7">
        <v>719.3</v>
      </c>
      <c r="K7751" s="7">
        <v>494.8</v>
      </c>
      <c r="M7751" s="7">
        <v>347.4</v>
      </c>
      <c r="N7751" s="7">
        <v>242.1</v>
      </c>
      <c r="O7751" s="7">
        <v>163.4</v>
      </c>
    </row>
    <row r="7752" spans="1:21" x14ac:dyDescent="0.2">
      <c r="A7752">
        <v>7751</v>
      </c>
      <c r="B7752" s="1">
        <v>40963</v>
      </c>
      <c r="C7752" t="s">
        <v>24</v>
      </c>
      <c r="D7752" s="7">
        <v>222</v>
      </c>
      <c r="E7752" s="7">
        <v>33</v>
      </c>
      <c r="F7752" s="7">
        <f t="shared" si="121"/>
        <v>6</v>
      </c>
      <c r="G7752" s="7" t="str">
        <f>LOOKUP(H7752,[1]startdates!$A$2:$A$10,[1]startdates!$B$2:$B$10)</f>
        <v>FMr</v>
      </c>
      <c r="H7752">
        <v>9</v>
      </c>
      <c r="I7752" s="7">
        <v>614.9</v>
      </c>
      <c r="K7752" s="7">
        <v>530.20000000000005</v>
      </c>
      <c r="N7752" s="7">
        <v>193.2</v>
      </c>
      <c r="O7752" s="7">
        <v>192.7</v>
      </c>
    </row>
    <row r="7753" spans="1:21" x14ac:dyDescent="0.2">
      <c r="A7753">
        <v>7752</v>
      </c>
      <c r="B7753" s="1">
        <v>40963</v>
      </c>
      <c r="C7753" t="s">
        <v>24</v>
      </c>
      <c r="D7753" s="7">
        <v>222</v>
      </c>
      <c r="E7753" s="7">
        <v>33</v>
      </c>
      <c r="F7753" s="7">
        <f t="shared" si="121"/>
        <v>6</v>
      </c>
      <c r="G7753" s="7" t="str">
        <f>LOOKUP(H7753,[1]startdates!$A$2:$A$10,[1]startdates!$B$2:$B$10)</f>
        <v>FMr</v>
      </c>
      <c r="H7753">
        <v>9</v>
      </c>
      <c r="I7753" s="7">
        <v>585.79999999999995</v>
      </c>
      <c r="N7753" s="7">
        <v>257.39999999999998</v>
      </c>
      <c r="O7753" s="7">
        <v>174.6</v>
      </c>
    </row>
    <row r="7754" spans="1:21" x14ac:dyDescent="0.2">
      <c r="A7754">
        <v>7753</v>
      </c>
      <c r="B7754" s="1">
        <v>40963</v>
      </c>
      <c r="C7754" t="s">
        <v>24</v>
      </c>
      <c r="D7754" s="7">
        <v>222</v>
      </c>
      <c r="E7754" s="7">
        <v>33</v>
      </c>
      <c r="F7754" s="7">
        <f t="shared" si="121"/>
        <v>6</v>
      </c>
      <c r="G7754" s="7" t="str">
        <f>LOOKUP(H7754,[1]startdates!$A$2:$A$10,[1]startdates!$B$2:$B$10)</f>
        <v>FMr</v>
      </c>
      <c r="H7754">
        <v>9</v>
      </c>
      <c r="I7754" s="7">
        <v>523.4</v>
      </c>
      <c r="N7754" s="7">
        <v>205.7</v>
      </c>
      <c r="O7754" s="7">
        <v>172.6</v>
      </c>
    </row>
    <row r="7755" spans="1:21" x14ac:dyDescent="0.2">
      <c r="A7755">
        <v>7754</v>
      </c>
      <c r="B7755" s="1">
        <v>40963</v>
      </c>
      <c r="C7755" t="s">
        <v>24</v>
      </c>
      <c r="D7755" s="7">
        <v>222</v>
      </c>
      <c r="E7755" s="7">
        <v>33</v>
      </c>
      <c r="F7755" s="7">
        <f t="shared" si="121"/>
        <v>6</v>
      </c>
      <c r="G7755" s="7" t="str">
        <f>LOOKUP(H7755,[1]startdates!$A$2:$A$10,[1]startdates!$B$2:$B$10)</f>
        <v>FMr</v>
      </c>
      <c r="H7755">
        <v>9</v>
      </c>
      <c r="I7755" s="7">
        <v>476.7</v>
      </c>
      <c r="N7755" s="7">
        <v>223.1</v>
      </c>
    </row>
    <row r="7756" spans="1:21" x14ac:dyDescent="0.2">
      <c r="A7756">
        <v>7755</v>
      </c>
      <c r="B7756" s="1">
        <v>40963</v>
      </c>
      <c r="C7756" t="s">
        <v>24</v>
      </c>
      <c r="D7756" s="7">
        <v>222</v>
      </c>
      <c r="E7756" s="7">
        <v>33</v>
      </c>
      <c r="F7756" s="7">
        <f t="shared" si="121"/>
        <v>6</v>
      </c>
      <c r="G7756" s="7" t="str">
        <f>LOOKUP(H7756,[1]startdates!$A$2:$A$10,[1]startdates!$B$2:$B$10)</f>
        <v>FMr</v>
      </c>
      <c r="H7756">
        <v>9</v>
      </c>
      <c r="I7756" s="7">
        <v>617.79999999999995</v>
      </c>
    </row>
    <row r="7757" spans="1:21" x14ac:dyDescent="0.2">
      <c r="A7757">
        <v>7756</v>
      </c>
      <c r="B7757" s="1">
        <v>40963</v>
      </c>
      <c r="C7757" t="s">
        <v>24</v>
      </c>
      <c r="D7757" s="7">
        <v>222</v>
      </c>
      <c r="E7757" s="7">
        <v>33</v>
      </c>
      <c r="F7757" s="7">
        <f t="shared" si="121"/>
        <v>6</v>
      </c>
      <c r="G7757" s="7" t="str">
        <f>LOOKUP(H7757,[1]startdates!$A$2:$A$10,[1]startdates!$B$2:$B$10)</f>
        <v>FMr</v>
      </c>
      <c r="H7757">
        <v>9</v>
      </c>
      <c r="I7757" s="7">
        <v>627.5</v>
      </c>
    </row>
    <row r="7758" spans="1:21" x14ac:dyDescent="0.2">
      <c r="A7758">
        <v>7757</v>
      </c>
      <c r="B7758" s="1">
        <v>40967</v>
      </c>
      <c r="C7758" t="s">
        <v>28</v>
      </c>
      <c r="D7758" s="7">
        <v>226</v>
      </c>
      <c r="E7758" s="7">
        <v>34</v>
      </c>
      <c r="F7758" s="7">
        <f t="shared" si="121"/>
        <v>3</v>
      </c>
      <c r="G7758" s="7" t="str">
        <f>LOOKUP(H7758,[1]startdates!$A$2:$A$10,[1]startdates!$B$2:$B$10)</f>
        <v>SMr</v>
      </c>
      <c r="H7758">
        <v>1</v>
      </c>
      <c r="I7758" s="7">
        <v>584.70000000000005</v>
      </c>
      <c r="J7758" s="7">
        <v>397.8</v>
      </c>
      <c r="K7758" s="7">
        <v>497</v>
      </c>
      <c r="L7758" s="7">
        <v>472.9</v>
      </c>
      <c r="M7758" s="7">
        <v>354.1</v>
      </c>
      <c r="N7758" s="7">
        <v>217.3</v>
      </c>
      <c r="O7758" s="7">
        <v>184.1</v>
      </c>
      <c r="Q7758" s="7">
        <v>346.6</v>
      </c>
      <c r="R7758" s="7">
        <v>257.60000000000002</v>
      </c>
      <c r="U7758" s="7">
        <v>467.8</v>
      </c>
    </row>
    <row r="7759" spans="1:21" x14ac:dyDescent="0.2">
      <c r="A7759">
        <v>7758</v>
      </c>
      <c r="B7759" s="1">
        <v>40967</v>
      </c>
      <c r="C7759" t="s">
        <v>28</v>
      </c>
      <c r="D7759" s="7">
        <v>226</v>
      </c>
      <c r="E7759" s="7">
        <v>34</v>
      </c>
      <c r="F7759" s="7">
        <f t="shared" si="121"/>
        <v>3</v>
      </c>
      <c r="G7759" s="7" t="str">
        <f>LOOKUP(H7759,[1]startdates!$A$2:$A$10,[1]startdates!$B$2:$B$10)</f>
        <v>SMr</v>
      </c>
      <c r="H7759">
        <v>1</v>
      </c>
      <c r="I7759" s="7">
        <v>584.1</v>
      </c>
      <c r="J7759" s="7">
        <v>483.5</v>
      </c>
      <c r="K7759" s="7">
        <v>468.3</v>
      </c>
      <c r="L7759" s="7">
        <v>403.7</v>
      </c>
      <c r="M7759" s="7">
        <v>357.1</v>
      </c>
      <c r="N7759" s="7">
        <v>219.7</v>
      </c>
      <c r="O7759" s="7">
        <v>166.7</v>
      </c>
      <c r="U7759" s="7">
        <v>443.6</v>
      </c>
    </row>
    <row r="7760" spans="1:21" x14ac:dyDescent="0.2">
      <c r="A7760">
        <v>7759</v>
      </c>
      <c r="B7760" s="1">
        <v>40967</v>
      </c>
      <c r="C7760" t="s">
        <v>28</v>
      </c>
      <c r="D7760" s="7">
        <v>226</v>
      </c>
      <c r="E7760" s="7">
        <v>34</v>
      </c>
      <c r="F7760" s="7">
        <f t="shared" si="121"/>
        <v>3</v>
      </c>
      <c r="G7760" s="7" t="str">
        <f>LOOKUP(H7760,[1]startdates!$A$2:$A$10,[1]startdates!$B$2:$B$10)</f>
        <v>SMr</v>
      </c>
      <c r="H7760">
        <v>1</v>
      </c>
      <c r="I7760" s="7">
        <v>583.5</v>
      </c>
      <c r="J7760" s="7">
        <v>469.4</v>
      </c>
      <c r="M7760" s="7">
        <v>377.2</v>
      </c>
      <c r="N7760" s="7">
        <v>240</v>
      </c>
      <c r="O7760" s="7">
        <v>181.1</v>
      </c>
    </row>
    <row r="7761" spans="1:21" x14ac:dyDescent="0.2">
      <c r="A7761">
        <v>7760</v>
      </c>
      <c r="B7761" s="1">
        <v>40967</v>
      </c>
      <c r="C7761" t="s">
        <v>28</v>
      </c>
      <c r="D7761" s="7">
        <v>226</v>
      </c>
      <c r="E7761" s="7">
        <v>34</v>
      </c>
      <c r="F7761" s="7">
        <f t="shared" si="121"/>
        <v>3</v>
      </c>
      <c r="G7761" s="7" t="str">
        <f>LOOKUP(H7761,[1]startdates!$A$2:$A$10,[1]startdates!$B$2:$B$10)</f>
        <v>SMr</v>
      </c>
      <c r="H7761">
        <v>1</v>
      </c>
      <c r="I7761" s="7">
        <v>690</v>
      </c>
      <c r="J7761" s="7">
        <v>507.7</v>
      </c>
      <c r="M7761" s="7">
        <v>315.5</v>
      </c>
      <c r="N7761" s="7">
        <v>206</v>
      </c>
      <c r="O7761" s="7">
        <v>180.4</v>
      </c>
    </row>
    <row r="7762" spans="1:21" x14ac:dyDescent="0.2">
      <c r="A7762">
        <v>7761</v>
      </c>
      <c r="B7762" s="1">
        <v>40967</v>
      </c>
      <c r="C7762" t="s">
        <v>28</v>
      </c>
      <c r="D7762" s="7">
        <v>226</v>
      </c>
      <c r="E7762" s="7">
        <v>34</v>
      </c>
      <c r="F7762" s="7">
        <f t="shared" si="121"/>
        <v>3</v>
      </c>
      <c r="G7762" s="7" t="str">
        <f>LOOKUP(H7762,[1]startdates!$A$2:$A$10,[1]startdates!$B$2:$B$10)</f>
        <v>SMr</v>
      </c>
      <c r="H7762">
        <v>1</v>
      </c>
      <c r="I7762" s="7">
        <v>603</v>
      </c>
      <c r="J7762" s="7">
        <v>464.8</v>
      </c>
      <c r="M7762" s="7">
        <v>320.60000000000002</v>
      </c>
      <c r="N7762" s="7">
        <v>190.9</v>
      </c>
      <c r="O7762" s="7">
        <v>165</v>
      </c>
    </row>
    <row r="7763" spans="1:21" x14ac:dyDescent="0.2">
      <c r="A7763">
        <v>7762</v>
      </c>
      <c r="B7763" s="1">
        <v>40967</v>
      </c>
      <c r="C7763" t="s">
        <v>28</v>
      </c>
      <c r="D7763" s="7">
        <v>226</v>
      </c>
      <c r="E7763" s="7">
        <v>34</v>
      </c>
      <c r="F7763" s="7">
        <f t="shared" si="121"/>
        <v>3</v>
      </c>
      <c r="G7763" s="7" t="str">
        <f>LOOKUP(H7763,[1]startdates!$A$2:$A$10,[1]startdates!$B$2:$B$10)</f>
        <v>SMr</v>
      </c>
      <c r="H7763">
        <v>1</v>
      </c>
      <c r="I7763" s="7">
        <v>613.29999999999995</v>
      </c>
      <c r="J7763" s="7">
        <v>455.3</v>
      </c>
      <c r="M7763" s="7">
        <v>358</v>
      </c>
      <c r="N7763" s="7">
        <v>218.1</v>
      </c>
      <c r="O7763" s="7">
        <v>184.1</v>
      </c>
    </row>
    <row r="7764" spans="1:21" x14ac:dyDescent="0.2">
      <c r="A7764">
        <v>7763</v>
      </c>
      <c r="B7764" s="1">
        <v>40967</v>
      </c>
      <c r="C7764" t="s">
        <v>28</v>
      </c>
      <c r="D7764" s="7">
        <v>226</v>
      </c>
      <c r="E7764" s="7">
        <v>34</v>
      </c>
      <c r="F7764" s="7">
        <f t="shared" si="121"/>
        <v>3</v>
      </c>
      <c r="G7764" s="7" t="str">
        <f>LOOKUP(H7764,[1]startdates!$A$2:$A$10,[1]startdates!$B$2:$B$10)</f>
        <v>SMr</v>
      </c>
      <c r="H7764">
        <v>1</v>
      </c>
      <c r="I7764" s="7">
        <v>656.4</v>
      </c>
      <c r="J7764" s="7">
        <v>515.70000000000005</v>
      </c>
      <c r="M7764" s="7">
        <v>347.3</v>
      </c>
      <c r="N7764" s="7">
        <v>183.4</v>
      </c>
      <c r="O7764" s="7">
        <v>177.3</v>
      </c>
    </row>
    <row r="7765" spans="1:21" x14ac:dyDescent="0.2">
      <c r="A7765">
        <v>7764</v>
      </c>
      <c r="B7765" s="1">
        <v>40967</v>
      </c>
      <c r="C7765" t="s">
        <v>28</v>
      </c>
      <c r="D7765" s="7">
        <v>226</v>
      </c>
      <c r="E7765" s="7">
        <v>34</v>
      </c>
      <c r="F7765" s="7">
        <f t="shared" si="121"/>
        <v>3</v>
      </c>
      <c r="G7765" s="7" t="str">
        <f>LOOKUP(H7765,[1]startdates!$A$2:$A$10,[1]startdates!$B$2:$B$10)</f>
        <v>SMr</v>
      </c>
      <c r="H7765">
        <v>1</v>
      </c>
      <c r="I7765" s="7">
        <v>570</v>
      </c>
      <c r="J7765" s="7">
        <v>465.7</v>
      </c>
      <c r="M7765" s="7">
        <v>332.3</v>
      </c>
      <c r="N7765" s="7">
        <v>193.3</v>
      </c>
      <c r="O7765" s="7">
        <v>176</v>
      </c>
    </row>
    <row r="7766" spans="1:21" x14ac:dyDescent="0.2">
      <c r="A7766">
        <v>7765</v>
      </c>
      <c r="B7766" s="1">
        <v>40967</v>
      </c>
      <c r="C7766" t="s">
        <v>28</v>
      </c>
      <c r="D7766" s="7">
        <v>226</v>
      </c>
      <c r="E7766" s="7">
        <v>34</v>
      </c>
      <c r="F7766" s="7">
        <f t="shared" si="121"/>
        <v>3</v>
      </c>
      <c r="G7766" s="7" t="str">
        <f>LOOKUP(H7766,[1]startdates!$A$2:$A$10,[1]startdates!$B$2:$B$10)</f>
        <v>SMr</v>
      </c>
      <c r="H7766">
        <v>1</v>
      </c>
      <c r="I7766" s="7">
        <v>578.5</v>
      </c>
      <c r="J7766" s="7">
        <v>488.3</v>
      </c>
      <c r="N7766" s="7">
        <v>217</v>
      </c>
      <c r="O7766" s="7">
        <v>171.9</v>
      </c>
    </row>
    <row r="7767" spans="1:21" x14ac:dyDescent="0.2">
      <c r="A7767">
        <v>7766</v>
      </c>
      <c r="B7767" s="1">
        <v>40967</v>
      </c>
      <c r="C7767" t="s">
        <v>28</v>
      </c>
      <c r="D7767" s="7">
        <v>226</v>
      </c>
      <c r="E7767" s="7">
        <v>34</v>
      </c>
      <c r="F7767" s="7">
        <f t="shared" si="121"/>
        <v>3</v>
      </c>
      <c r="G7767" s="7" t="str">
        <f>LOOKUP(H7767,[1]startdates!$A$2:$A$10,[1]startdates!$B$2:$B$10)</f>
        <v>SMr</v>
      </c>
      <c r="H7767">
        <v>1</v>
      </c>
      <c r="I7767" s="7">
        <v>611.5</v>
      </c>
      <c r="N7767" s="7">
        <v>249.5</v>
      </c>
      <c r="O7767" s="7">
        <v>187.9</v>
      </c>
    </row>
    <row r="7768" spans="1:21" x14ac:dyDescent="0.2">
      <c r="A7768">
        <v>7767</v>
      </c>
      <c r="B7768" s="1">
        <v>40967</v>
      </c>
      <c r="C7768" t="s">
        <v>28</v>
      </c>
      <c r="D7768" s="7">
        <v>226</v>
      </c>
      <c r="E7768" s="7">
        <v>34</v>
      </c>
      <c r="F7768" s="7">
        <f t="shared" si="121"/>
        <v>3</v>
      </c>
      <c r="G7768" s="7" t="str">
        <f>LOOKUP(H7768,[1]startdates!$A$2:$A$10,[1]startdates!$B$2:$B$10)</f>
        <v>SMr</v>
      </c>
      <c r="H7768">
        <v>1</v>
      </c>
      <c r="I7768" s="7">
        <v>445</v>
      </c>
    </row>
    <row r="7769" spans="1:21" x14ac:dyDescent="0.2">
      <c r="A7769">
        <v>7768</v>
      </c>
      <c r="B7769" s="1">
        <v>40967</v>
      </c>
      <c r="C7769" t="s">
        <v>28</v>
      </c>
      <c r="D7769" s="7">
        <v>226</v>
      </c>
      <c r="E7769" s="7">
        <v>34</v>
      </c>
      <c r="F7769" s="7">
        <f t="shared" si="121"/>
        <v>3</v>
      </c>
      <c r="G7769" s="7" t="str">
        <f>LOOKUP(H7769,[1]startdates!$A$2:$A$10,[1]startdates!$B$2:$B$10)</f>
        <v>SMr</v>
      </c>
      <c r="H7769">
        <v>1</v>
      </c>
      <c r="I7769" s="7">
        <v>602.6</v>
      </c>
    </row>
    <row r="7770" spans="1:21" x14ac:dyDescent="0.2">
      <c r="A7770">
        <v>7769</v>
      </c>
      <c r="B7770" s="1">
        <v>40967</v>
      </c>
      <c r="C7770" t="s">
        <v>28</v>
      </c>
      <c r="D7770" s="7">
        <v>226</v>
      </c>
      <c r="E7770" s="7">
        <v>34</v>
      </c>
      <c r="F7770" s="7">
        <f t="shared" si="121"/>
        <v>3</v>
      </c>
      <c r="G7770" s="7" t="str">
        <f>LOOKUP(H7770,[1]startdates!$A$2:$A$10,[1]startdates!$B$2:$B$10)</f>
        <v>SMr</v>
      </c>
      <c r="H7770">
        <v>2</v>
      </c>
      <c r="I7770" s="7">
        <v>572.79999999999995</v>
      </c>
      <c r="J7770" s="7">
        <v>447.1</v>
      </c>
      <c r="K7770" s="7">
        <v>549.5</v>
      </c>
      <c r="L7770" s="7">
        <v>412.4</v>
      </c>
      <c r="M7770" s="7">
        <v>361.2</v>
      </c>
      <c r="N7770" s="7">
        <v>209.3</v>
      </c>
      <c r="O7770" s="7">
        <v>184.1</v>
      </c>
      <c r="P7770" s="7">
        <v>489.3</v>
      </c>
      <c r="U7770" s="7">
        <v>406.1</v>
      </c>
    </row>
    <row r="7771" spans="1:21" x14ac:dyDescent="0.2">
      <c r="A7771">
        <v>7770</v>
      </c>
      <c r="B7771" s="1">
        <v>40967</v>
      </c>
      <c r="C7771" t="s">
        <v>28</v>
      </c>
      <c r="D7771" s="7">
        <v>226</v>
      </c>
      <c r="E7771" s="7">
        <v>34</v>
      </c>
      <c r="F7771" s="7">
        <f t="shared" si="121"/>
        <v>3</v>
      </c>
      <c r="G7771" s="7" t="str">
        <f>LOOKUP(H7771,[1]startdates!$A$2:$A$10,[1]startdates!$B$2:$B$10)</f>
        <v>SMr</v>
      </c>
      <c r="H7771">
        <v>2</v>
      </c>
      <c r="I7771" s="7">
        <v>450.7</v>
      </c>
      <c r="K7771" s="7">
        <v>487</v>
      </c>
      <c r="L7771" s="7">
        <v>442.2</v>
      </c>
      <c r="M7771" s="7">
        <v>346.3</v>
      </c>
      <c r="N7771" s="7">
        <v>222.4</v>
      </c>
      <c r="O7771" s="7">
        <v>145.6</v>
      </c>
      <c r="P7771" s="7">
        <v>408.8</v>
      </c>
      <c r="U7771" s="7">
        <v>515.9</v>
      </c>
    </row>
    <row r="7772" spans="1:21" x14ac:dyDescent="0.2">
      <c r="A7772">
        <v>7771</v>
      </c>
      <c r="B7772" s="1">
        <v>40967</v>
      </c>
      <c r="C7772" t="s">
        <v>28</v>
      </c>
      <c r="D7772" s="7">
        <v>226</v>
      </c>
      <c r="E7772" s="7">
        <v>34</v>
      </c>
      <c r="F7772" s="7">
        <f t="shared" si="121"/>
        <v>3</v>
      </c>
      <c r="G7772" s="7" t="str">
        <f>LOOKUP(H7772,[1]startdates!$A$2:$A$10,[1]startdates!$B$2:$B$10)</f>
        <v>SMr</v>
      </c>
      <c r="H7772">
        <v>2</v>
      </c>
      <c r="I7772" s="7">
        <v>480.6</v>
      </c>
      <c r="K7772" s="7">
        <v>494.1</v>
      </c>
      <c r="L7772" s="7">
        <v>430.2</v>
      </c>
      <c r="M7772" s="7">
        <v>351.5</v>
      </c>
      <c r="N7772" s="7">
        <v>169.2</v>
      </c>
      <c r="O7772" s="7">
        <v>156.6</v>
      </c>
      <c r="P7772" s="7">
        <v>452.7</v>
      </c>
      <c r="U7772" s="7">
        <v>421.9</v>
      </c>
    </row>
    <row r="7773" spans="1:21" x14ac:dyDescent="0.2">
      <c r="A7773">
        <v>7772</v>
      </c>
      <c r="B7773" s="1">
        <v>40967</v>
      </c>
      <c r="C7773" t="s">
        <v>28</v>
      </c>
      <c r="D7773" s="7">
        <v>226</v>
      </c>
      <c r="E7773" s="7">
        <v>34</v>
      </c>
      <c r="F7773" s="7">
        <f t="shared" si="121"/>
        <v>3</v>
      </c>
      <c r="G7773" s="7" t="str">
        <f>LOOKUP(H7773,[1]startdates!$A$2:$A$10,[1]startdates!$B$2:$B$10)</f>
        <v>SMr</v>
      </c>
      <c r="H7773">
        <v>2</v>
      </c>
      <c r="I7773" s="7">
        <v>631.5</v>
      </c>
      <c r="K7773" s="7">
        <v>526.79999999999995</v>
      </c>
      <c r="L7773" s="7">
        <v>401.4</v>
      </c>
      <c r="M7773" s="7">
        <v>372</v>
      </c>
      <c r="N7773" s="7">
        <v>204.6</v>
      </c>
      <c r="O7773" s="7">
        <v>174.9</v>
      </c>
      <c r="P7773" s="7">
        <v>445.2</v>
      </c>
      <c r="U7773" s="7">
        <v>488.7</v>
      </c>
    </row>
    <row r="7774" spans="1:21" x14ac:dyDescent="0.2">
      <c r="A7774">
        <v>7773</v>
      </c>
      <c r="B7774" s="1">
        <v>40967</v>
      </c>
      <c r="C7774" t="s">
        <v>28</v>
      </c>
      <c r="D7774" s="7">
        <v>226</v>
      </c>
      <c r="E7774" s="7">
        <v>34</v>
      </c>
      <c r="F7774" s="7">
        <f t="shared" si="121"/>
        <v>3</v>
      </c>
      <c r="G7774" s="7" t="str">
        <f>LOOKUP(H7774,[1]startdates!$A$2:$A$10,[1]startdates!$B$2:$B$10)</f>
        <v>SMr</v>
      </c>
      <c r="H7774">
        <v>2</v>
      </c>
      <c r="I7774" s="7">
        <v>551.9</v>
      </c>
      <c r="L7774" s="7">
        <v>407.8</v>
      </c>
      <c r="M7774" s="7">
        <v>350.5</v>
      </c>
      <c r="N7774" s="7">
        <v>284</v>
      </c>
      <c r="O7774" s="7">
        <v>169.7</v>
      </c>
      <c r="P7774" s="7">
        <v>408.1</v>
      </c>
    </row>
    <row r="7775" spans="1:21" x14ac:dyDescent="0.2">
      <c r="A7775">
        <v>7774</v>
      </c>
      <c r="B7775" s="1">
        <v>40967</v>
      </c>
      <c r="C7775" t="s">
        <v>28</v>
      </c>
      <c r="D7775" s="7">
        <v>226</v>
      </c>
      <c r="E7775" s="7">
        <v>34</v>
      </c>
      <c r="F7775" s="7">
        <f t="shared" si="121"/>
        <v>3</v>
      </c>
      <c r="G7775" s="7" t="str">
        <f>LOOKUP(H7775,[1]startdates!$A$2:$A$10,[1]startdates!$B$2:$B$10)</f>
        <v>SMr</v>
      </c>
      <c r="H7775">
        <v>2</v>
      </c>
      <c r="I7775" s="7">
        <v>572.9</v>
      </c>
      <c r="L7775" s="7">
        <v>463.2</v>
      </c>
      <c r="M7775" s="7">
        <v>377.9</v>
      </c>
      <c r="N7775" s="7">
        <v>230.7</v>
      </c>
      <c r="O7775" s="7">
        <v>151.80000000000001</v>
      </c>
    </row>
    <row r="7776" spans="1:21" x14ac:dyDescent="0.2">
      <c r="A7776">
        <v>7775</v>
      </c>
      <c r="B7776" s="1">
        <v>40967</v>
      </c>
      <c r="C7776" t="s">
        <v>28</v>
      </c>
      <c r="D7776" s="7">
        <v>226</v>
      </c>
      <c r="E7776" s="7">
        <v>34</v>
      </c>
      <c r="F7776" s="7">
        <f t="shared" si="121"/>
        <v>3</v>
      </c>
      <c r="G7776" s="7" t="str">
        <f>LOOKUP(H7776,[1]startdates!$A$2:$A$10,[1]startdates!$B$2:$B$10)</f>
        <v>SMr</v>
      </c>
      <c r="H7776">
        <v>2</v>
      </c>
      <c r="I7776" s="7">
        <v>534.9</v>
      </c>
      <c r="M7776" s="7">
        <v>378.8</v>
      </c>
      <c r="N7776" s="7">
        <v>264</v>
      </c>
      <c r="O7776" s="7">
        <v>176.9</v>
      </c>
    </row>
    <row r="7777" spans="1:21" x14ac:dyDescent="0.2">
      <c r="A7777">
        <v>7776</v>
      </c>
      <c r="B7777" s="1">
        <v>40967</v>
      </c>
      <c r="C7777" t="s">
        <v>28</v>
      </c>
      <c r="D7777" s="7">
        <v>226</v>
      </c>
      <c r="E7777" s="7">
        <v>34</v>
      </c>
      <c r="F7777" s="7">
        <f t="shared" si="121"/>
        <v>3</v>
      </c>
      <c r="G7777" s="7" t="str">
        <f>LOOKUP(H7777,[1]startdates!$A$2:$A$10,[1]startdates!$B$2:$B$10)</f>
        <v>SMr</v>
      </c>
      <c r="H7777">
        <v>2</v>
      </c>
      <c r="I7777" s="7">
        <v>487.4</v>
      </c>
      <c r="M7777" s="7">
        <v>331.5</v>
      </c>
      <c r="N7777" s="7">
        <v>230.7</v>
      </c>
      <c r="O7777" s="7">
        <v>166.8</v>
      </c>
    </row>
    <row r="7778" spans="1:21" x14ac:dyDescent="0.2">
      <c r="A7778">
        <v>7777</v>
      </c>
      <c r="B7778" s="1">
        <v>40967</v>
      </c>
      <c r="C7778" t="s">
        <v>28</v>
      </c>
      <c r="D7778" s="7">
        <v>226</v>
      </c>
      <c r="E7778" s="7">
        <v>34</v>
      </c>
      <c r="F7778" s="7">
        <f t="shared" si="121"/>
        <v>3</v>
      </c>
      <c r="G7778" s="7" t="str">
        <f>LOOKUP(H7778,[1]startdates!$A$2:$A$10,[1]startdates!$B$2:$B$10)</f>
        <v>SMr</v>
      </c>
      <c r="H7778">
        <v>2</v>
      </c>
      <c r="I7778" s="7">
        <v>566.4</v>
      </c>
      <c r="M7778" s="7">
        <v>341.4</v>
      </c>
      <c r="N7778" s="7">
        <v>264</v>
      </c>
      <c r="O7778" s="7">
        <v>173.5</v>
      </c>
    </row>
    <row r="7779" spans="1:21" x14ac:dyDescent="0.2">
      <c r="A7779">
        <v>7778</v>
      </c>
      <c r="B7779" s="1">
        <v>40967</v>
      </c>
      <c r="C7779" t="s">
        <v>28</v>
      </c>
      <c r="D7779" s="7">
        <v>226</v>
      </c>
      <c r="E7779" s="7">
        <v>34</v>
      </c>
      <c r="F7779" s="7">
        <f t="shared" si="121"/>
        <v>3</v>
      </c>
      <c r="G7779" s="7" t="str">
        <f>LOOKUP(H7779,[1]startdates!$A$2:$A$10,[1]startdates!$B$2:$B$10)</f>
        <v>SMr</v>
      </c>
      <c r="H7779">
        <v>2</v>
      </c>
      <c r="I7779" s="7">
        <v>551.1</v>
      </c>
      <c r="M7779" s="7">
        <v>340.3</v>
      </c>
      <c r="N7779" s="7">
        <v>213.5</v>
      </c>
      <c r="O7779" s="7">
        <v>185.8</v>
      </c>
    </row>
    <row r="7780" spans="1:21" x14ac:dyDescent="0.2">
      <c r="A7780">
        <v>7779</v>
      </c>
      <c r="B7780" s="1">
        <v>40967</v>
      </c>
      <c r="C7780" t="s">
        <v>28</v>
      </c>
      <c r="D7780" s="7">
        <v>226</v>
      </c>
      <c r="E7780" s="7">
        <v>34</v>
      </c>
      <c r="F7780" s="7">
        <f t="shared" si="121"/>
        <v>3</v>
      </c>
      <c r="G7780" s="7" t="str">
        <f>LOOKUP(H7780,[1]startdates!$A$2:$A$10,[1]startdates!$B$2:$B$10)</f>
        <v>SMr</v>
      </c>
      <c r="H7780">
        <v>2</v>
      </c>
      <c r="N7780" s="7">
        <v>245.2</v>
      </c>
    </row>
    <row r="7781" spans="1:21" x14ac:dyDescent="0.2">
      <c r="A7781">
        <v>7780</v>
      </c>
      <c r="B7781" s="1">
        <v>40967</v>
      </c>
      <c r="C7781" t="s">
        <v>28</v>
      </c>
      <c r="D7781" s="7">
        <v>226</v>
      </c>
      <c r="E7781" s="7">
        <v>34</v>
      </c>
      <c r="F7781" s="7">
        <f t="shared" si="121"/>
        <v>3</v>
      </c>
      <c r="G7781" s="7" t="str">
        <f>LOOKUP(H7781,[1]startdates!$A$2:$A$10,[1]startdates!$B$2:$B$10)</f>
        <v>SMr</v>
      </c>
      <c r="H7781">
        <v>2</v>
      </c>
      <c r="N7781" s="7">
        <v>248</v>
      </c>
    </row>
    <row r="7782" spans="1:21" x14ac:dyDescent="0.2">
      <c r="A7782">
        <v>7781</v>
      </c>
      <c r="B7782" s="1">
        <v>40967</v>
      </c>
      <c r="C7782" t="s">
        <v>28</v>
      </c>
      <c r="D7782" s="7">
        <v>226</v>
      </c>
      <c r="E7782" s="7">
        <v>34</v>
      </c>
      <c r="F7782" s="7">
        <f t="shared" si="121"/>
        <v>3</v>
      </c>
      <c r="G7782" s="7" t="str">
        <f>LOOKUP(H7782,[1]startdates!$A$2:$A$10,[1]startdates!$B$2:$B$10)</f>
        <v>C</v>
      </c>
      <c r="H7782">
        <v>3</v>
      </c>
      <c r="I7782" s="7">
        <v>552.1</v>
      </c>
      <c r="J7782" s="7">
        <v>536.5</v>
      </c>
      <c r="K7782" s="7">
        <v>475.8</v>
      </c>
      <c r="L7782" s="7">
        <v>392.8</v>
      </c>
      <c r="M7782" s="7">
        <v>335.1</v>
      </c>
      <c r="N7782" s="7">
        <v>256</v>
      </c>
      <c r="O7782" s="7">
        <v>168.6</v>
      </c>
      <c r="Q7782" s="7">
        <v>344.4</v>
      </c>
      <c r="R7782" s="7">
        <v>235.5</v>
      </c>
    </row>
    <row r="7783" spans="1:21" x14ac:dyDescent="0.2">
      <c r="A7783">
        <v>7782</v>
      </c>
      <c r="B7783" s="1">
        <v>40967</v>
      </c>
      <c r="C7783" t="s">
        <v>28</v>
      </c>
      <c r="D7783" s="7">
        <v>226</v>
      </c>
      <c r="E7783" s="7">
        <v>34</v>
      </c>
      <c r="F7783" s="7">
        <f t="shared" si="121"/>
        <v>3</v>
      </c>
      <c r="G7783" s="7" t="str">
        <f>LOOKUP(H7783,[1]startdates!$A$2:$A$10,[1]startdates!$B$2:$B$10)</f>
        <v>C</v>
      </c>
      <c r="H7783">
        <v>3</v>
      </c>
      <c r="I7783" s="7">
        <v>548.4</v>
      </c>
      <c r="J7783" s="7">
        <v>515.70000000000005</v>
      </c>
      <c r="K7783" s="7">
        <v>585.4</v>
      </c>
      <c r="L7783" s="7">
        <v>432.8</v>
      </c>
      <c r="M7783" s="7">
        <v>320.8</v>
      </c>
      <c r="N7783" s="7">
        <v>269.10000000000002</v>
      </c>
      <c r="O7783" s="7">
        <v>138.6</v>
      </c>
      <c r="Q7783" s="7">
        <v>306.39999999999998</v>
      </c>
      <c r="R7783" s="7">
        <v>258.10000000000002</v>
      </c>
    </row>
    <row r="7784" spans="1:21" x14ac:dyDescent="0.2">
      <c r="A7784">
        <v>7783</v>
      </c>
      <c r="B7784" s="1">
        <v>40967</v>
      </c>
      <c r="C7784" t="s">
        <v>28</v>
      </c>
      <c r="D7784" s="7">
        <v>226</v>
      </c>
      <c r="E7784" s="7">
        <v>34</v>
      </c>
      <c r="F7784" s="7">
        <f t="shared" si="121"/>
        <v>3</v>
      </c>
      <c r="G7784" s="7" t="str">
        <f>LOOKUP(H7784,[1]startdates!$A$2:$A$10,[1]startdates!$B$2:$B$10)</f>
        <v>C</v>
      </c>
      <c r="H7784">
        <v>3</v>
      </c>
      <c r="I7784" s="7">
        <v>623.29999999999995</v>
      </c>
      <c r="K7784" s="7">
        <v>545.1</v>
      </c>
      <c r="L7784" s="7">
        <v>401</v>
      </c>
      <c r="M7784" s="7">
        <v>296.39999999999998</v>
      </c>
      <c r="N7784" s="7">
        <v>207.9</v>
      </c>
      <c r="O7784" s="7">
        <v>155.69999999999999</v>
      </c>
      <c r="R7784" s="7">
        <v>245.1</v>
      </c>
    </row>
    <row r="7785" spans="1:21" x14ac:dyDescent="0.2">
      <c r="A7785">
        <v>7784</v>
      </c>
      <c r="B7785" s="1">
        <v>40967</v>
      </c>
      <c r="C7785" t="s">
        <v>28</v>
      </c>
      <c r="D7785" s="7">
        <v>226</v>
      </c>
      <c r="E7785" s="7">
        <v>34</v>
      </c>
      <c r="F7785" s="7">
        <f t="shared" ref="F7785:F7848" si="122">WEEKDAY(B7785)</f>
        <v>3</v>
      </c>
      <c r="G7785" s="7" t="str">
        <f>LOOKUP(H7785,[1]startdates!$A$2:$A$10,[1]startdates!$B$2:$B$10)</f>
        <v>C</v>
      </c>
      <c r="H7785">
        <v>3</v>
      </c>
      <c r="I7785" s="7">
        <v>626.20000000000005</v>
      </c>
      <c r="K7785" s="7">
        <v>488.1</v>
      </c>
      <c r="M7785" s="7">
        <v>379.5</v>
      </c>
      <c r="N7785" s="7">
        <v>243.7</v>
      </c>
      <c r="O7785" s="7">
        <v>167.5</v>
      </c>
      <c r="R7785" s="7">
        <v>236.7</v>
      </c>
    </row>
    <row r="7786" spans="1:21" x14ac:dyDescent="0.2">
      <c r="A7786">
        <v>7785</v>
      </c>
      <c r="B7786" s="1">
        <v>40967</v>
      </c>
      <c r="C7786" t="s">
        <v>28</v>
      </c>
      <c r="D7786" s="7">
        <v>226</v>
      </c>
      <c r="E7786" s="7">
        <v>34</v>
      </c>
      <c r="F7786" s="7">
        <f t="shared" si="122"/>
        <v>3</v>
      </c>
      <c r="G7786" s="7" t="str">
        <f>LOOKUP(H7786,[1]startdates!$A$2:$A$10,[1]startdates!$B$2:$B$10)</f>
        <v>C</v>
      </c>
      <c r="H7786">
        <v>3</v>
      </c>
      <c r="I7786" s="7">
        <v>596.6</v>
      </c>
      <c r="M7786" s="7">
        <v>311</v>
      </c>
      <c r="N7786" s="7">
        <v>198.2</v>
      </c>
      <c r="O7786" s="7">
        <v>179.7</v>
      </c>
    </row>
    <row r="7787" spans="1:21" x14ac:dyDescent="0.2">
      <c r="A7787">
        <v>7786</v>
      </c>
      <c r="B7787" s="1">
        <v>40967</v>
      </c>
      <c r="C7787" t="s">
        <v>28</v>
      </c>
      <c r="D7787" s="7">
        <v>226</v>
      </c>
      <c r="E7787" s="7">
        <v>34</v>
      </c>
      <c r="F7787" s="7">
        <f t="shared" si="122"/>
        <v>3</v>
      </c>
      <c r="G7787" s="7" t="str">
        <f>LOOKUP(H7787,[1]startdates!$A$2:$A$10,[1]startdates!$B$2:$B$10)</f>
        <v>C</v>
      </c>
      <c r="H7787">
        <v>3</v>
      </c>
      <c r="I7787" s="7">
        <v>555.1</v>
      </c>
      <c r="M7787" s="7">
        <v>334.6</v>
      </c>
      <c r="N7787" s="7">
        <v>200.5</v>
      </c>
      <c r="O7787" s="7">
        <v>166.8</v>
      </c>
    </row>
    <row r="7788" spans="1:21" x14ac:dyDescent="0.2">
      <c r="A7788">
        <v>7787</v>
      </c>
      <c r="B7788" s="1">
        <v>40967</v>
      </c>
      <c r="C7788" t="s">
        <v>28</v>
      </c>
      <c r="D7788" s="7">
        <v>226</v>
      </c>
      <c r="E7788" s="7">
        <v>34</v>
      </c>
      <c r="F7788" s="7">
        <f t="shared" si="122"/>
        <v>3</v>
      </c>
      <c r="G7788" s="7" t="str">
        <f>LOOKUP(H7788,[1]startdates!$A$2:$A$10,[1]startdates!$B$2:$B$10)</f>
        <v>C</v>
      </c>
      <c r="H7788">
        <v>3</v>
      </c>
      <c r="I7788" s="7">
        <v>625.1</v>
      </c>
      <c r="M7788" s="7">
        <v>378.1</v>
      </c>
      <c r="N7788" s="7">
        <v>258.89999999999998</v>
      </c>
      <c r="O7788" s="7">
        <v>161.4</v>
      </c>
    </row>
    <row r="7789" spans="1:21" x14ac:dyDescent="0.2">
      <c r="A7789">
        <v>7788</v>
      </c>
      <c r="B7789" s="1">
        <v>40967</v>
      </c>
      <c r="C7789" t="s">
        <v>28</v>
      </c>
      <c r="D7789" s="7">
        <v>226</v>
      </c>
      <c r="E7789" s="7">
        <v>34</v>
      </c>
      <c r="F7789" s="7">
        <f t="shared" si="122"/>
        <v>3</v>
      </c>
      <c r="G7789" s="7" t="str">
        <f>LOOKUP(H7789,[1]startdates!$A$2:$A$10,[1]startdates!$B$2:$B$10)</f>
        <v>C</v>
      </c>
      <c r="H7789">
        <v>3</v>
      </c>
      <c r="I7789" s="7">
        <v>548.6</v>
      </c>
      <c r="M7789" s="7">
        <v>376.1</v>
      </c>
      <c r="N7789" s="7">
        <v>240.9</v>
      </c>
      <c r="O7789" s="7">
        <v>181.9</v>
      </c>
    </row>
    <row r="7790" spans="1:21" x14ac:dyDescent="0.2">
      <c r="A7790">
        <v>7789</v>
      </c>
      <c r="B7790" s="1">
        <v>40967</v>
      </c>
      <c r="C7790" t="s">
        <v>28</v>
      </c>
      <c r="D7790" s="7">
        <v>226</v>
      </c>
      <c r="E7790" s="7">
        <v>34</v>
      </c>
      <c r="F7790" s="7">
        <f t="shared" si="122"/>
        <v>3</v>
      </c>
      <c r="G7790" s="7" t="str">
        <f>LOOKUP(H7790,[1]startdates!$A$2:$A$10,[1]startdates!$B$2:$B$10)</f>
        <v>C</v>
      </c>
      <c r="H7790">
        <v>3</v>
      </c>
      <c r="I7790" s="7">
        <v>551.70000000000005</v>
      </c>
      <c r="N7790" s="7">
        <v>233.8</v>
      </c>
      <c r="O7790" s="7">
        <v>159</v>
      </c>
    </row>
    <row r="7791" spans="1:21" x14ac:dyDescent="0.2">
      <c r="A7791">
        <v>7790</v>
      </c>
      <c r="B7791" s="1">
        <v>40967</v>
      </c>
      <c r="C7791" t="s">
        <v>28</v>
      </c>
      <c r="D7791" s="7">
        <v>226</v>
      </c>
      <c r="E7791" s="7">
        <v>34</v>
      </c>
      <c r="F7791" s="7">
        <f t="shared" si="122"/>
        <v>3</v>
      </c>
      <c r="G7791" s="7" t="str">
        <f>LOOKUP(H7791,[1]startdates!$A$2:$A$10,[1]startdates!$B$2:$B$10)</f>
        <v>C</v>
      </c>
      <c r="H7791">
        <v>3</v>
      </c>
      <c r="I7791" s="7">
        <v>500.6</v>
      </c>
      <c r="N7791" s="7">
        <v>219.2</v>
      </c>
      <c r="O7791" s="7">
        <v>165.7</v>
      </c>
    </row>
    <row r="7792" spans="1:21" x14ac:dyDescent="0.2">
      <c r="A7792">
        <v>7791</v>
      </c>
      <c r="B7792" s="1">
        <v>40967</v>
      </c>
      <c r="C7792" t="s">
        <v>28</v>
      </c>
      <c r="D7792" s="7">
        <v>226</v>
      </c>
      <c r="E7792" s="7">
        <v>34</v>
      </c>
      <c r="F7792" s="7">
        <f t="shared" si="122"/>
        <v>3</v>
      </c>
      <c r="G7792" s="7" t="str">
        <f>LOOKUP(H7792,[1]startdates!$A$2:$A$10,[1]startdates!$B$2:$B$10)</f>
        <v>SMr</v>
      </c>
      <c r="H7792">
        <v>4</v>
      </c>
      <c r="I7792" s="7">
        <v>663.8</v>
      </c>
      <c r="J7792" s="7">
        <v>431.1</v>
      </c>
      <c r="K7792" s="7">
        <v>451.3</v>
      </c>
      <c r="L7792" s="7">
        <v>414.7</v>
      </c>
      <c r="M7792" s="7">
        <v>303.2</v>
      </c>
      <c r="N7792" s="7">
        <v>196.1</v>
      </c>
      <c r="O7792" s="7">
        <v>181.3</v>
      </c>
      <c r="P7792" s="7">
        <v>430.6</v>
      </c>
      <c r="Q7792" s="7">
        <v>350.2</v>
      </c>
      <c r="R7792" s="7">
        <v>250.6</v>
      </c>
      <c r="U7792" s="7">
        <v>481.6</v>
      </c>
    </row>
    <row r="7793" spans="1:21" x14ac:dyDescent="0.2">
      <c r="A7793">
        <v>7792</v>
      </c>
      <c r="B7793" s="1">
        <v>40967</v>
      </c>
      <c r="C7793" t="s">
        <v>28</v>
      </c>
      <c r="D7793" s="7">
        <v>226</v>
      </c>
      <c r="E7793" s="7">
        <v>34</v>
      </c>
      <c r="F7793" s="7">
        <f t="shared" si="122"/>
        <v>3</v>
      </c>
      <c r="G7793" s="7" t="str">
        <f>LOOKUP(H7793,[1]startdates!$A$2:$A$10,[1]startdates!$B$2:$B$10)</f>
        <v>SMr</v>
      </c>
      <c r="H7793">
        <v>4</v>
      </c>
      <c r="I7793" s="7">
        <v>578.4</v>
      </c>
      <c r="K7793" s="7">
        <v>461.7</v>
      </c>
      <c r="L7793" s="7">
        <v>424.4</v>
      </c>
      <c r="M7793" s="7">
        <v>382.2</v>
      </c>
      <c r="N7793" s="7">
        <v>283.39999999999998</v>
      </c>
      <c r="O7793" s="7">
        <v>173.1</v>
      </c>
      <c r="P7793" s="7">
        <v>456.4</v>
      </c>
      <c r="Q7793" s="7">
        <v>381.9</v>
      </c>
      <c r="U7793" s="7">
        <v>459.9</v>
      </c>
    </row>
    <row r="7794" spans="1:21" x14ac:dyDescent="0.2">
      <c r="A7794">
        <v>7793</v>
      </c>
      <c r="B7794" s="1">
        <v>40967</v>
      </c>
      <c r="C7794" t="s">
        <v>28</v>
      </c>
      <c r="D7794" s="7">
        <v>226</v>
      </c>
      <c r="E7794" s="7">
        <v>34</v>
      </c>
      <c r="F7794" s="7">
        <f t="shared" si="122"/>
        <v>3</v>
      </c>
      <c r="G7794" s="7" t="str">
        <f>LOOKUP(H7794,[1]startdates!$A$2:$A$10,[1]startdates!$B$2:$B$10)</f>
        <v>SMr</v>
      </c>
      <c r="H7794">
        <v>4</v>
      </c>
      <c r="I7794" s="7">
        <v>562.4</v>
      </c>
      <c r="K7794" s="7">
        <v>537.9</v>
      </c>
      <c r="L7794" s="7">
        <v>425.6</v>
      </c>
      <c r="M7794" s="7">
        <v>318.3</v>
      </c>
      <c r="N7794" s="7">
        <v>252.9</v>
      </c>
      <c r="O7794" s="7">
        <v>163.4</v>
      </c>
      <c r="Q7794" s="7">
        <v>384.7</v>
      </c>
      <c r="U7794" s="7">
        <v>493.7</v>
      </c>
    </row>
    <row r="7795" spans="1:21" x14ac:dyDescent="0.2">
      <c r="A7795">
        <v>7794</v>
      </c>
      <c r="B7795" s="1">
        <v>40967</v>
      </c>
      <c r="C7795" t="s">
        <v>28</v>
      </c>
      <c r="D7795" s="7">
        <v>226</v>
      </c>
      <c r="E7795" s="7">
        <v>34</v>
      </c>
      <c r="F7795" s="7">
        <f t="shared" si="122"/>
        <v>3</v>
      </c>
      <c r="G7795" s="7" t="str">
        <f>LOOKUP(H7795,[1]startdates!$A$2:$A$10,[1]startdates!$B$2:$B$10)</f>
        <v>SMr</v>
      </c>
      <c r="H7795">
        <v>4</v>
      </c>
      <c r="I7795" s="7">
        <v>471.3</v>
      </c>
      <c r="K7795" s="7">
        <v>488.5</v>
      </c>
      <c r="M7795" s="7">
        <v>311.89999999999998</v>
      </c>
      <c r="N7795" s="7">
        <v>195.7</v>
      </c>
      <c r="O7795" s="7">
        <v>185.7</v>
      </c>
      <c r="Q7795" s="7">
        <v>341.1</v>
      </c>
      <c r="U7795" s="7">
        <v>438.3</v>
      </c>
    </row>
    <row r="7796" spans="1:21" x14ac:dyDescent="0.2">
      <c r="A7796">
        <v>7795</v>
      </c>
      <c r="B7796" s="1">
        <v>40967</v>
      </c>
      <c r="C7796" t="s">
        <v>28</v>
      </c>
      <c r="D7796" s="7">
        <v>226</v>
      </c>
      <c r="E7796" s="7">
        <v>34</v>
      </c>
      <c r="F7796" s="7">
        <f t="shared" si="122"/>
        <v>3</v>
      </c>
      <c r="G7796" s="7" t="str">
        <f>LOOKUP(H7796,[1]startdates!$A$2:$A$10,[1]startdates!$B$2:$B$10)</f>
        <v>SMr</v>
      </c>
      <c r="H7796">
        <v>4</v>
      </c>
      <c r="I7796" s="7">
        <v>622.1</v>
      </c>
      <c r="M7796" s="7">
        <v>328.7</v>
      </c>
      <c r="N7796" s="7">
        <v>265.39999999999998</v>
      </c>
      <c r="O7796" s="7">
        <v>161.69999999999999</v>
      </c>
    </row>
    <row r="7797" spans="1:21" x14ac:dyDescent="0.2">
      <c r="A7797">
        <v>7796</v>
      </c>
      <c r="B7797" s="1">
        <v>40967</v>
      </c>
      <c r="C7797" t="s">
        <v>28</v>
      </c>
      <c r="D7797" s="7">
        <v>226</v>
      </c>
      <c r="E7797" s="7">
        <v>34</v>
      </c>
      <c r="F7797" s="7">
        <f t="shared" si="122"/>
        <v>3</v>
      </c>
      <c r="G7797" s="7" t="str">
        <f>LOOKUP(H7797,[1]startdates!$A$2:$A$10,[1]startdates!$B$2:$B$10)</f>
        <v>SMr</v>
      </c>
      <c r="H7797">
        <v>4</v>
      </c>
      <c r="I7797" s="7">
        <v>494</v>
      </c>
      <c r="M7797" s="7">
        <v>366.5</v>
      </c>
      <c r="N7797" s="7">
        <v>215.5</v>
      </c>
      <c r="O7797" s="7">
        <v>163.5</v>
      </c>
    </row>
    <row r="7798" spans="1:21" x14ac:dyDescent="0.2">
      <c r="A7798">
        <v>7797</v>
      </c>
      <c r="B7798" s="1">
        <v>40967</v>
      </c>
      <c r="C7798" t="s">
        <v>28</v>
      </c>
      <c r="D7798" s="7">
        <v>226</v>
      </c>
      <c r="E7798" s="7">
        <v>34</v>
      </c>
      <c r="F7798" s="7">
        <f t="shared" si="122"/>
        <v>3</v>
      </c>
      <c r="G7798" s="7" t="str">
        <f>LOOKUP(H7798,[1]startdates!$A$2:$A$10,[1]startdates!$B$2:$B$10)</f>
        <v>SMr</v>
      </c>
      <c r="H7798">
        <v>4</v>
      </c>
      <c r="I7798" s="7">
        <v>574.5</v>
      </c>
      <c r="M7798" s="7">
        <v>313.5</v>
      </c>
      <c r="N7798" s="7">
        <v>215.6</v>
      </c>
      <c r="O7798" s="7">
        <v>149</v>
      </c>
    </row>
    <row r="7799" spans="1:21" x14ac:dyDescent="0.2">
      <c r="A7799">
        <v>7798</v>
      </c>
      <c r="B7799" s="1">
        <v>40967</v>
      </c>
      <c r="C7799" t="s">
        <v>28</v>
      </c>
      <c r="D7799" s="7">
        <v>226</v>
      </c>
      <c r="E7799" s="7">
        <v>34</v>
      </c>
      <c r="F7799" s="7">
        <f t="shared" si="122"/>
        <v>3</v>
      </c>
      <c r="G7799" s="7" t="str">
        <f>LOOKUP(H7799,[1]startdates!$A$2:$A$10,[1]startdates!$B$2:$B$10)</f>
        <v>SMr</v>
      </c>
      <c r="H7799">
        <v>4</v>
      </c>
      <c r="I7799" s="7">
        <v>553.6</v>
      </c>
      <c r="M7799" s="7">
        <v>306.3</v>
      </c>
      <c r="N7799" s="7">
        <v>193.8</v>
      </c>
      <c r="O7799" s="7">
        <v>159.80000000000001</v>
      </c>
    </row>
    <row r="7800" spans="1:21" x14ac:dyDescent="0.2">
      <c r="A7800">
        <v>7799</v>
      </c>
      <c r="B7800" s="1">
        <v>40967</v>
      </c>
      <c r="C7800" t="s">
        <v>28</v>
      </c>
      <c r="D7800" s="7">
        <v>226</v>
      </c>
      <c r="E7800" s="7">
        <v>34</v>
      </c>
      <c r="F7800" s="7">
        <f t="shared" si="122"/>
        <v>3</v>
      </c>
      <c r="G7800" s="7" t="str">
        <f>LOOKUP(H7800,[1]startdates!$A$2:$A$10,[1]startdates!$B$2:$B$10)</f>
        <v>SMr</v>
      </c>
      <c r="H7800">
        <v>4</v>
      </c>
      <c r="I7800" s="7">
        <v>644.1</v>
      </c>
      <c r="M7800" s="7">
        <v>331.5</v>
      </c>
      <c r="N7800" s="7">
        <v>207.4</v>
      </c>
      <c r="O7800" s="7">
        <v>152.6</v>
      </c>
    </row>
    <row r="7801" spans="1:21" x14ac:dyDescent="0.2">
      <c r="A7801">
        <v>7800</v>
      </c>
      <c r="B7801" s="1">
        <v>40967</v>
      </c>
      <c r="C7801" t="s">
        <v>28</v>
      </c>
      <c r="D7801" s="7">
        <v>226</v>
      </c>
      <c r="E7801" s="7">
        <v>34</v>
      </c>
      <c r="F7801" s="7">
        <f t="shared" si="122"/>
        <v>3</v>
      </c>
      <c r="G7801" s="7" t="str">
        <f>LOOKUP(H7801,[1]startdates!$A$2:$A$10,[1]startdates!$B$2:$B$10)</f>
        <v>SMr</v>
      </c>
      <c r="H7801">
        <v>4</v>
      </c>
      <c r="I7801" s="7">
        <v>673.7</v>
      </c>
      <c r="M7801" s="7">
        <v>321</v>
      </c>
      <c r="O7801" s="7">
        <v>173.3</v>
      </c>
    </row>
    <row r="7802" spans="1:21" x14ac:dyDescent="0.2">
      <c r="A7802">
        <v>7801</v>
      </c>
      <c r="B7802" s="1">
        <v>40967</v>
      </c>
      <c r="C7802" t="s">
        <v>24</v>
      </c>
      <c r="D7802" s="7">
        <v>226</v>
      </c>
      <c r="E7802" s="7">
        <v>34</v>
      </c>
      <c r="F7802" s="7">
        <f t="shared" si="122"/>
        <v>3</v>
      </c>
      <c r="G7802" s="7" t="str">
        <f>LOOKUP(H7802,[1]startdates!$A$2:$A$10,[1]startdates!$B$2:$B$10)</f>
        <v>C</v>
      </c>
      <c r="H7802">
        <v>5</v>
      </c>
      <c r="I7802" s="7">
        <v>707.5</v>
      </c>
      <c r="J7802" s="7">
        <v>562.20000000000005</v>
      </c>
      <c r="K7802" s="7">
        <v>593</v>
      </c>
      <c r="L7802" s="7">
        <v>438.5</v>
      </c>
      <c r="M7802" s="7">
        <v>309.5</v>
      </c>
      <c r="N7802" s="7">
        <v>221.4</v>
      </c>
      <c r="O7802" s="7">
        <v>189.5</v>
      </c>
      <c r="Q7802" s="7">
        <v>368.2</v>
      </c>
    </row>
    <row r="7803" spans="1:21" x14ac:dyDescent="0.2">
      <c r="A7803">
        <v>7802</v>
      </c>
      <c r="B7803" s="1">
        <v>40967</v>
      </c>
      <c r="C7803" t="s">
        <v>24</v>
      </c>
      <c r="D7803" s="7">
        <v>226</v>
      </c>
      <c r="E7803" s="7">
        <v>34</v>
      </c>
      <c r="F7803" s="7">
        <f t="shared" si="122"/>
        <v>3</v>
      </c>
      <c r="G7803" s="7" t="str">
        <f>LOOKUP(H7803,[1]startdates!$A$2:$A$10,[1]startdates!$B$2:$B$10)</f>
        <v>C</v>
      </c>
      <c r="H7803">
        <v>5</v>
      </c>
      <c r="I7803" s="7">
        <v>653.5</v>
      </c>
      <c r="J7803" s="7">
        <v>511.2</v>
      </c>
      <c r="K7803" s="7">
        <v>627.20000000000005</v>
      </c>
      <c r="L7803" s="7">
        <v>415.3</v>
      </c>
      <c r="M7803" s="7">
        <v>327.7</v>
      </c>
      <c r="N7803" s="7">
        <v>231.7</v>
      </c>
      <c r="O7803" s="7">
        <v>197.8</v>
      </c>
    </row>
    <row r="7804" spans="1:21" x14ac:dyDescent="0.2">
      <c r="A7804">
        <v>7803</v>
      </c>
      <c r="B7804" s="1">
        <v>40967</v>
      </c>
      <c r="C7804" t="s">
        <v>24</v>
      </c>
      <c r="D7804" s="7">
        <v>226</v>
      </c>
      <c r="E7804" s="7">
        <v>34</v>
      </c>
      <c r="F7804" s="7">
        <f t="shared" si="122"/>
        <v>3</v>
      </c>
      <c r="G7804" s="7" t="str">
        <f>LOOKUP(H7804,[1]startdates!$A$2:$A$10,[1]startdates!$B$2:$B$10)</f>
        <v>C</v>
      </c>
      <c r="H7804">
        <v>5</v>
      </c>
      <c r="I7804" s="7">
        <v>636.29999999999995</v>
      </c>
      <c r="J7804" s="7">
        <v>577.20000000000005</v>
      </c>
      <c r="K7804" s="7">
        <v>362.6</v>
      </c>
      <c r="L7804" s="7">
        <v>402</v>
      </c>
      <c r="M7804" s="7">
        <v>308.8</v>
      </c>
      <c r="N7804" s="7">
        <v>227.7</v>
      </c>
      <c r="O7804" s="7">
        <v>157.30000000000001</v>
      </c>
    </row>
    <row r="7805" spans="1:21" x14ac:dyDescent="0.2">
      <c r="A7805">
        <v>7804</v>
      </c>
      <c r="B7805" s="1">
        <v>40967</v>
      </c>
      <c r="C7805" t="s">
        <v>24</v>
      </c>
      <c r="D7805" s="7">
        <v>226</v>
      </c>
      <c r="E7805" s="7">
        <v>34</v>
      </c>
      <c r="F7805" s="7">
        <f t="shared" si="122"/>
        <v>3</v>
      </c>
      <c r="G7805" s="7" t="str">
        <f>LOOKUP(H7805,[1]startdates!$A$2:$A$10,[1]startdates!$B$2:$B$10)</f>
        <v>C</v>
      </c>
      <c r="H7805">
        <v>5</v>
      </c>
      <c r="I7805" s="7">
        <v>625.1</v>
      </c>
      <c r="J7805" s="7">
        <v>553.1</v>
      </c>
      <c r="K7805" s="7">
        <v>411.7</v>
      </c>
      <c r="M7805" s="7">
        <v>312.89999999999998</v>
      </c>
      <c r="N7805" s="7">
        <v>217.2</v>
      </c>
      <c r="O7805" s="7">
        <v>173.1</v>
      </c>
    </row>
    <row r="7806" spans="1:21" x14ac:dyDescent="0.2">
      <c r="A7806">
        <v>7805</v>
      </c>
      <c r="B7806" s="1">
        <v>40967</v>
      </c>
      <c r="C7806" t="s">
        <v>24</v>
      </c>
      <c r="D7806" s="7">
        <v>226</v>
      </c>
      <c r="E7806" s="7">
        <v>34</v>
      </c>
      <c r="F7806" s="7">
        <f t="shared" si="122"/>
        <v>3</v>
      </c>
      <c r="G7806" s="7" t="str">
        <f>LOOKUP(H7806,[1]startdates!$A$2:$A$10,[1]startdates!$B$2:$B$10)</f>
        <v>C</v>
      </c>
      <c r="H7806">
        <v>5</v>
      </c>
      <c r="I7806" s="7">
        <v>587.79999999999995</v>
      </c>
      <c r="J7806" s="7">
        <v>513.9</v>
      </c>
      <c r="M7806" s="7">
        <v>328.7</v>
      </c>
      <c r="N7806" s="7">
        <v>197.9</v>
      </c>
      <c r="O7806" s="7">
        <v>151</v>
      </c>
    </row>
    <row r="7807" spans="1:21" x14ac:dyDescent="0.2">
      <c r="A7807">
        <v>7806</v>
      </c>
      <c r="B7807" s="1">
        <v>40967</v>
      </c>
      <c r="C7807" t="s">
        <v>24</v>
      </c>
      <c r="D7807" s="7">
        <v>226</v>
      </c>
      <c r="E7807" s="7">
        <v>34</v>
      </c>
      <c r="F7807" s="7">
        <f t="shared" si="122"/>
        <v>3</v>
      </c>
      <c r="G7807" s="7" t="str">
        <f>LOOKUP(H7807,[1]startdates!$A$2:$A$10,[1]startdates!$B$2:$B$10)</f>
        <v>C</v>
      </c>
      <c r="H7807">
        <v>5</v>
      </c>
      <c r="I7807" s="7">
        <v>637.70000000000005</v>
      </c>
      <c r="M7807" s="7">
        <v>318.3</v>
      </c>
      <c r="N7807" s="7">
        <v>232</v>
      </c>
      <c r="O7807" s="7">
        <v>169</v>
      </c>
    </row>
    <row r="7808" spans="1:21" x14ac:dyDescent="0.2">
      <c r="A7808">
        <v>7807</v>
      </c>
      <c r="B7808" s="1">
        <v>40967</v>
      </c>
      <c r="C7808" t="s">
        <v>24</v>
      </c>
      <c r="D7808" s="7">
        <v>226</v>
      </c>
      <c r="E7808" s="7">
        <v>34</v>
      </c>
      <c r="F7808" s="7">
        <f t="shared" si="122"/>
        <v>3</v>
      </c>
      <c r="G7808" s="7" t="str">
        <f>LOOKUP(H7808,[1]startdates!$A$2:$A$10,[1]startdates!$B$2:$B$10)</f>
        <v>C</v>
      </c>
      <c r="H7808">
        <v>5</v>
      </c>
      <c r="I7808" s="7">
        <v>665.5</v>
      </c>
      <c r="M7808" s="7">
        <v>324.3</v>
      </c>
      <c r="N7808" s="7">
        <v>213.1</v>
      </c>
      <c r="O7808" s="7">
        <v>164.5</v>
      </c>
    </row>
    <row r="7809" spans="1:22" x14ac:dyDescent="0.2">
      <c r="A7809">
        <v>7808</v>
      </c>
      <c r="B7809" s="1">
        <v>40967</v>
      </c>
      <c r="C7809" t="s">
        <v>24</v>
      </c>
      <c r="D7809" s="7">
        <v>226</v>
      </c>
      <c r="E7809" s="7">
        <v>34</v>
      </c>
      <c r="F7809" s="7">
        <f t="shared" si="122"/>
        <v>3</v>
      </c>
      <c r="G7809" s="7" t="str">
        <f>LOOKUP(H7809,[1]startdates!$A$2:$A$10,[1]startdates!$B$2:$B$10)</f>
        <v>C</v>
      </c>
      <c r="H7809">
        <v>5</v>
      </c>
      <c r="I7809" s="7">
        <v>686.8</v>
      </c>
      <c r="N7809" s="7">
        <v>192.9</v>
      </c>
      <c r="O7809" s="7">
        <v>195.7</v>
      </c>
    </row>
    <row r="7810" spans="1:22" x14ac:dyDescent="0.2">
      <c r="A7810">
        <v>7809</v>
      </c>
      <c r="B7810" s="1">
        <v>40967</v>
      </c>
      <c r="C7810" t="s">
        <v>24</v>
      </c>
      <c r="D7810" s="7">
        <v>226</v>
      </c>
      <c r="E7810" s="7">
        <v>34</v>
      </c>
      <c r="F7810" s="7">
        <f t="shared" si="122"/>
        <v>3</v>
      </c>
      <c r="G7810" s="7" t="str">
        <f>LOOKUP(H7810,[1]startdates!$A$2:$A$10,[1]startdates!$B$2:$B$10)</f>
        <v>C</v>
      </c>
      <c r="H7810">
        <v>5</v>
      </c>
      <c r="I7810" s="7">
        <v>643.29999999999995</v>
      </c>
      <c r="N7810" s="7">
        <v>194.4</v>
      </c>
      <c r="O7810" s="7">
        <v>177.1</v>
      </c>
    </row>
    <row r="7811" spans="1:22" x14ac:dyDescent="0.2">
      <c r="A7811">
        <v>7810</v>
      </c>
      <c r="B7811" s="1">
        <v>40967</v>
      </c>
      <c r="C7811" t="s">
        <v>24</v>
      </c>
      <c r="D7811" s="7">
        <v>226</v>
      </c>
      <c r="E7811" s="7">
        <v>34</v>
      </c>
      <c r="F7811" s="7">
        <f t="shared" si="122"/>
        <v>3</v>
      </c>
      <c r="G7811" s="7" t="str">
        <f>LOOKUP(H7811,[1]startdates!$A$2:$A$10,[1]startdates!$B$2:$B$10)</f>
        <v>C</v>
      </c>
      <c r="H7811">
        <v>5</v>
      </c>
      <c r="I7811" s="7">
        <v>678</v>
      </c>
      <c r="N7811" s="7">
        <v>170.8</v>
      </c>
      <c r="O7811" s="7">
        <v>170.4</v>
      </c>
    </row>
    <row r="7812" spans="1:22" x14ac:dyDescent="0.2">
      <c r="A7812">
        <v>7811</v>
      </c>
      <c r="B7812" s="1">
        <v>40967</v>
      </c>
      <c r="C7812" t="s">
        <v>24</v>
      </c>
      <c r="D7812" s="7">
        <v>226</v>
      </c>
      <c r="E7812" s="7">
        <v>34</v>
      </c>
      <c r="F7812" s="7">
        <f t="shared" si="122"/>
        <v>3</v>
      </c>
      <c r="G7812" s="7" t="str">
        <f>LOOKUP(H7812,[1]startdates!$A$2:$A$10,[1]startdates!$B$2:$B$10)</f>
        <v>FMr</v>
      </c>
      <c r="H7812">
        <v>6</v>
      </c>
      <c r="I7812" s="7">
        <v>664</v>
      </c>
      <c r="J7812" s="7">
        <v>425.3</v>
      </c>
      <c r="K7812" s="7">
        <v>496.5</v>
      </c>
      <c r="L7812" s="7">
        <v>425.9</v>
      </c>
      <c r="M7812" s="7">
        <v>311.8</v>
      </c>
      <c r="N7812" s="7">
        <v>223.6</v>
      </c>
      <c r="O7812" s="7">
        <v>166.5</v>
      </c>
      <c r="Q7812" s="7">
        <v>342.4</v>
      </c>
    </row>
    <row r="7813" spans="1:22" x14ac:dyDescent="0.2">
      <c r="A7813">
        <v>7812</v>
      </c>
      <c r="B7813" s="1">
        <v>40967</v>
      </c>
      <c r="C7813" t="s">
        <v>24</v>
      </c>
      <c r="D7813" s="7">
        <v>226</v>
      </c>
      <c r="E7813" s="7">
        <v>34</v>
      </c>
      <c r="F7813" s="7">
        <f t="shared" si="122"/>
        <v>3</v>
      </c>
      <c r="G7813" s="7" t="str">
        <f>LOOKUP(H7813,[1]startdates!$A$2:$A$10,[1]startdates!$B$2:$B$10)</f>
        <v>FMr</v>
      </c>
      <c r="H7813">
        <v>6</v>
      </c>
      <c r="I7813" s="7">
        <v>654</v>
      </c>
      <c r="K7813" s="7">
        <v>485.1</v>
      </c>
      <c r="L7813" s="7">
        <v>406.8</v>
      </c>
      <c r="M7813" s="7">
        <v>279.10000000000002</v>
      </c>
      <c r="N7813" s="7">
        <v>201.8</v>
      </c>
      <c r="O7813" s="7">
        <v>199.6</v>
      </c>
    </row>
    <row r="7814" spans="1:22" x14ac:dyDescent="0.2">
      <c r="A7814">
        <v>7813</v>
      </c>
      <c r="B7814" s="1">
        <v>40967</v>
      </c>
      <c r="C7814" t="s">
        <v>24</v>
      </c>
      <c r="D7814" s="7">
        <v>226</v>
      </c>
      <c r="E7814" s="7">
        <v>34</v>
      </c>
      <c r="F7814" s="7">
        <f t="shared" si="122"/>
        <v>3</v>
      </c>
      <c r="G7814" s="7" t="str">
        <f>LOOKUP(H7814,[1]startdates!$A$2:$A$10,[1]startdates!$B$2:$B$10)</f>
        <v>FMr</v>
      </c>
      <c r="H7814">
        <v>6</v>
      </c>
      <c r="I7814" s="7">
        <v>549.5</v>
      </c>
      <c r="K7814" s="7">
        <v>426.9</v>
      </c>
      <c r="L7814" s="7">
        <v>415.3</v>
      </c>
      <c r="M7814" s="7">
        <v>383.1</v>
      </c>
      <c r="N7814" s="7">
        <v>163.1</v>
      </c>
      <c r="O7814" s="7">
        <v>159</v>
      </c>
    </row>
    <row r="7815" spans="1:22" x14ac:dyDescent="0.2">
      <c r="A7815">
        <v>7814</v>
      </c>
      <c r="B7815" s="1">
        <v>40967</v>
      </c>
      <c r="C7815" t="s">
        <v>24</v>
      </c>
      <c r="D7815" s="7">
        <v>226</v>
      </c>
      <c r="E7815" s="7">
        <v>34</v>
      </c>
      <c r="F7815" s="7">
        <f t="shared" si="122"/>
        <v>3</v>
      </c>
      <c r="G7815" s="7" t="str">
        <f>LOOKUP(H7815,[1]startdates!$A$2:$A$10,[1]startdates!$B$2:$B$10)</f>
        <v>FMr</v>
      </c>
      <c r="H7815">
        <v>6</v>
      </c>
      <c r="I7815" s="7">
        <v>618.70000000000005</v>
      </c>
      <c r="K7815" s="7">
        <v>428.4</v>
      </c>
      <c r="L7815" s="7">
        <v>415.3</v>
      </c>
      <c r="M7815" s="7">
        <v>299.2</v>
      </c>
      <c r="N7815" s="7">
        <v>165.7</v>
      </c>
      <c r="O7815" s="7">
        <v>153.19999999999999</v>
      </c>
    </row>
    <row r="7816" spans="1:22" x14ac:dyDescent="0.2">
      <c r="A7816">
        <v>7815</v>
      </c>
      <c r="B7816" s="1">
        <v>40967</v>
      </c>
      <c r="C7816" t="s">
        <v>24</v>
      </c>
      <c r="D7816" s="7">
        <v>226</v>
      </c>
      <c r="E7816" s="7">
        <v>34</v>
      </c>
      <c r="F7816" s="7">
        <f t="shared" si="122"/>
        <v>3</v>
      </c>
      <c r="G7816" s="7" t="str">
        <f>LOOKUP(H7816,[1]startdates!$A$2:$A$10,[1]startdates!$B$2:$B$10)</f>
        <v>FMr</v>
      </c>
      <c r="H7816">
        <v>6</v>
      </c>
      <c r="I7816" s="7">
        <v>655.29999999999995</v>
      </c>
      <c r="K7816" s="7">
        <v>509.8</v>
      </c>
      <c r="M7816" s="7">
        <v>363.3</v>
      </c>
      <c r="N7816" s="7">
        <v>196.7</v>
      </c>
      <c r="O7816" s="7">
        <v>170.2</v>
      </c>
    </row>
    <row r="7817" spans="1:22" x14ac:dyDescent="0.2">
      <c r="A7817">
        <v>7816</v>
      </c>
      <c r="B7817" s="1">
        <v>40967</v>
      </c>
      <c r="C7817" t="s">
        <v>24</v>
      </c>
      <c r="D7817" s="7">
        <v>226</v>
      </c>
      <c r="E7817" s="7">
        <v>34</v>
      </c>
      <c r="F7817" s="7">
        <f t="shared" si="122"/>
        <v>3</v>
      </c>
      <c r="G7817" s="7" t="str">
        <f>LOOKUP(H7817,[1]startdates!$A$2:$A$10,[1]startdates!$B$2:$B$10)</f>
        <v>FMr</v>
      </c>
      <c r="H7817">
        <v>6</v>
      </c>
      <c r="I7817" s="7">
        <v>631</v>
      </c>
      <c r="K7817" s="7">
        <v>494.7</v>
      </c>
      <c r="M7817" s="7">
        <v>314.60000000000002</v>
      </c>
      <c r="N7817" s="7">
        <v>241.5</v>
      </c>
      <c r="O7817" s="7">
        <v>159.80000000000001</v>
      </c>
    </row>
    <row r="7818" spans="1:22" x14ac:dyDescent="0.2">
      <c r="A7818">
        <v>7817</v>
      </c>
      <c r="B7818" s="1">
        <v>40967</v>
      </c>
      <c r="C7818" t="s">
        <v>24</v>
      </c>
      <c r="D7818" s="7">
        <v>226</v>
      </c>
      <c r="E7818" s="7">
        <v>34</v>
      </c>
      <c r="F7818" s="7">
        <f t="shared" si="122"/>
        <v>3</v>
      </c>
      <c r="G7818" s="7" t="str">
        <f>LOOKUP(H7818,[1]startdates!$A$2:$A$10,[1]startdates!$B$2:$B$10)</f>
        <v>FMr</v>
      </c>
      <c r="H7818">
        <v>6</v>
      </c>
      <c r="I7818" s="7">
        <v>556.9</v>
      </c>
      <c r="K7818" s="7">
        <v>514.20000000000005</v>
      </c>
      <c r="M7818" s="7">
        <v>339.5</v>
      </c>
      <c r="N7818" s="7">
        <v>234.3</v>
      </c>
      <c r="O7818" s="7">
        <v>163.1</v>
      </c>
    </row>
    <row r="7819" spans="1:22" x14ac:dyDescent="0.2">
      <c r="A7819">
        <v>7818</v>
      </c>
      <c r="B7819" s="1">
        <v>40967</v>
      </c>
      <c r="C7819" t="s">
        <v>24</v>
      </c>
      <c r="D7819" s="7">
        <v>226</v>
      </c>
      <c r="E7819" s="7">
        <v>34</v>
      </c>
      <c r="F7819" s="7">
        <f t="shared" si="122"/>
        <v>3</v>
      </c>
      <c r="G7819" s="7" t="str">
        <f>LOOKUP(H7819,[1]startdates!$A$2:$A$10,[1]startdates!$B$2:$B$10)</f>
        <v>FMr</v>
      </c>
      <c r="H7819">
        <v>6</v>
      </c>
      <c r="M7819" s="7">
        <v>287.2</v>
      </c>
      <c r="N7819" s="7">
        <v>256.89999999999998</v>
      </c>
      <c r="O7819" s="7">
        <v>175.6</v>
      </c>
    </row>
    <row r="7820" spans="1:22" x14ac:dyDescent="0.2">
      <c r="A7820">
        <v>7819</v>
      </c>
      <c r="B7820" s="1">
        <v>40967</v>
      </c>
      <c r="C7820" t="s">
        <v>24</v>
      </c>
      <c r="D7820" s="7">
        <v>226</v>
      </c>
      <c r="E7820" s="7">
        <v>34</v>
      </c>
      <c r="F7820" s="7">
        <f t="shared" si="122"/>
        <v>3</v>
      </c>
      <c r="G7820" s="7" t="str">
        <f>LOOKUP(H7820,[1]startdates!$A$2:$A$10,[1]startdates!$B$2:$B$10)</f>
        <v>FMr</v>
      </c>
      <c r="H7820">
        <v>6</v>
      </c>
      <c r="N7820" s="7">
        <v>245.8</v>
      </c>
      <c r="O7820" s="7">
        <v>179.8</v>
      </c>
    </row>
    <row r="7821" spans="1:22" x14ac:dyDescent="0.2">
      <c r="A7821">
        <v>7820</v>
      </c>
      <c r="B7821" s="1">
        <v>40967</v>
      </c>
      <c r="C7821" t="s">
        <v>24</v>
      </c>
      <c r="D7821" s="7">
        <v>226</v>
      </c>
      <c r="E7821" s="7">
        <v>34</v>
      </c>
      <c r="F7821" s="7">
        <f t="shared" si="122"/>
        <v>3</v>
      </c>
      <c r="G7821" s="7" t="str">
        <f>LOOKUP(H7821,[1]startdates!$A$2:$A$10,[1]startdates!$B$2:$B$10)</f>
        <v>FMr</v>
      </c>
      <c r="H7821">
        <v>6</v>
      </c>
      <c r="N7821" s="7">
        <v>202.6</v>
      </c>
      <c r="O7821" s="7">
        <v>151</v>
      </c>
    </row>
    <row r="7822" spans="1:22" x14ac:dyDescent="0.2">
      <c r="A7822">
        <v>7821</v>
      </c>
      <c r="B7822" s="1">
        <v>40967</v>
      </c>
      <c r="C7822" t="s">
        <v>28</v>
      </c>
      <c r="D7822" s="7">
        <v>226</v>
      </c>
      <c r="E7822" s="7">
        <v>34</v>
      </c>
      <c r="F7822" s="7">
        <f t="shared" si="122"/>
        <v>3</v>
      </c>
      <c r="G7822" s="7" t="str">
        <f>LOOKUP(H7822,[1]startdates!$A$2:$A$10,[1]startdates!$B$2:$B$10)</f>
        <v>FMr</v>
      </c>
      <c r="H7822">
        <v>7</v>
      </c>
      <c r="I7822" s="7">
        <v>510.2</v>
      </c>
      <c r="J7822" s="7">
        <v>476.7</v>
      </c>
      <c r="K7822" s="7">
        <v>484.5</v>
      </c>
      <c r="L7822" s="7">
        <v>421.7</v>
      </c>
      <c r="M7822" s="7">
        <v>362.3</v>
      </c>
      <c r="N7822" s="7">
        <v>220.3</v>
      </c>
      <c r="O7822" s="7">
        <v>143.4</v>
      </c>
      <c r="P7822" s="7">
        <v>448.9</v>
      </c>
      <c r="Q7822" s="7">
        <v>360.5</v>
      </c>
      <c r="R7822" s="7">
        <v>253.8</v>
      </c>
      <c r="V7822" s="7">
        <v>504.3</v>
      </c>
    </row>
    <row r="7823" spans="1:22" x14ac:dyDescent="0.2">
      <c r="A7823">
        <v>7822</v>
      </c>
      <c r="B7823" s="1">
        <v>40967</v>
      </c>
      <c r="C7823" t="s">
        <v>28</v>
      </c>
      <c r="D7823" s="7">
        <v>226</v>
      </c>
      <c r="E7823" s="7">
        <v>34</v>
      </c>
      <c r="F7823" s="7">
        <f t="shared" si="122"/>
        <v>3</v>
      </c>
      <c r="G7823" s="7" t="str">
        <f>LOOKUP(H7823,[1]startdates!$A$2:$A$10,[1]startdates!$B$2:$B$10)</f>
        <v>FMr</v>
      </c>
      <c r="H7823">
        <v>7</v>
      </c>
      <c r="I7823" s="7">
        <v>578.79999999999995</v>
      </c>
      <c r="J7823" s="7">
        <v>441.3</v>
      </c>
      <c r="K7823" s="7">
        <v>475</v>
      </c>
      <c r="L7823" s="7">
        <v>395.7</v>
      </c>
      <c r="M7823" s="7">
        <v>334.6</v>
      </c>
      <c r="N7823" s="7">
        <v>264.60000000000002</v>
      </c>
      <c r="O7823" s="7">
        <v>169.2</v>
      </c>
      <c r="P7823" s="7">
        <v>474.2</v>
      </c>
      <c r="Q7823" s="7">
        <v>358.4</v>
      </c>
    </row>
    <row r="7824" spans="1:22" x14ac:dyDescent="0.2">
      <c r="A7824">
        <v>7823</v>
      </c>
      <c r="B7824" s="1">
        <v>40967</v>
      </c>
      <c r="C7824" t="s">
        <v>28</v>
      </c>
      <c r="D7824" s="7">
        <v>226</v>
      </c>
      <c r="E7824" s="7">
        <v>34</v>
      </c>
      <c r="F7824" s="7">
        <f t="shared" si="122"/>
        <v>3</v>
      </c>
      <c r="G7824" s="7" t="str">
        <f>LOOKUP(H7824,[1]startdates!$A$2:$A$10,[1]startdates!$B$2:$B$10)</f>
        <v>FMr</v>
      </c>
      <c r="H7824">
        <v>7</v>
      </c>
      <c r="I7824" s="7">
        <v>604.6</v>
      </c>
      <c r="K7824" s="7">
        <v>471.5</v>
      </c>
      <c r="M7824" s="7">
        <v>316.8</v>
      </c>
      <c r="N7824" s="7">
        <v>210</v>
      </c>
      <c r="O7824" s="7">
        <v>158.5</v>
      </c>
      <c r="Q7824" s="7">
        <v>385.3</v>
      </c>
    </row>
    <row r="7825" spans="1:18" x14ac:dyDescent="0.2">
      <c r="A7825">
        <v>7824</v>
      </c>
      <c r="B7825" s="1">
        <v>40967</v>
      </c>
      <c r="C7825" t="s">
        <v>28</v>
      </c>
      <c r="D7825" s="7">
        <v>226</v>
      </c>
      <c r="E7825" s="7">
        <v>34</v>
      </c>
      <c r="F7825" s="7">
        <f t="shared" si="122"/>
        <v>3</v>
      </c>
      <c r="G7825" s="7" t="str">
        <f>LOOKUP(H7825,[1]startdates!$A$2:$A$10,[1]startdates!$B$2:$B$10)</f>
        <v>FMr</v>
      </c>
      <c r="H7825">
        <v>7</v>
      </c>
      <c r="I7825" s="7">
        <v>652.1</v>
      </c>
      <c r="K7825" s="7">
        <v>600.4</v>
      </c>
      <c r="M7825" s="7">
        <v>301</v>
      </c>
      <c r="N7825" s="7">
        <v>238.1</v>
      </c>
      <c r="O7825" s="7">
        <v>158.80000000000001</v>
      </c>
      <c r="Q7825" s="7">
        <v>342.4</v>
      </c>
    </row>
    <row r="7826" spans="1:18" x14ac:dyDescent="0.2">
      <c r="A7826">
        <v>7825</v>
      </c>
      <c r="B7826" s="1">
        <v>40967</v>
      </c>
      <c r="C7826" t="s">
        <v>28</v>
      </c>
      <c r="D7826" s="7">
        <v>226</v>
      </c>
      <c r="E7826" s="7">
        <v>34</v>
      </c>
      <c r="F7826" s="7">
        <f t="shared" si="122"/>
        <v>3</v>
      </c>
      <c r="G7826" s="7" t="str">
        <f>LOOKUP(H7826,[1]startdates!$A$2:$A$10,[1]startdates!$B$2:$B$10)</f>
        <v>FMr</v>
      </c>
      <c r="H7826">
        <v>7</v>
      </c>
      <c r="I7826" s="7">
        <v>567.1</v>
      </c>
      <c r="K7826" s="7">
        <v>504.7</v>
      </c>
      <c r="M7826" s="7">
        <v>296.8</v>
      </c>
      <c r="N7826" s="7">
        <v>224</v>
      </c>
      <c r="O7826" s="7">
        <v>158.5</v>
      </c>
    </row>
    <row r="7827" spans="1:18" x14ac:dyDescent="0.2">
      <c r="A7827">
        <v>7826</v>
      </c>
      <c r="B7827" s="1">
        <v>40967</v>
      </c>
      <c r="C7827" t="s">
        <v>28</v>
      </c>
      <c r="D7827" s="7">
        <v>226</v>
      </c>
      <c r="E7827" s="7">
        <v>34</v>
      </c>
      <c r="F7827" s="7">
        <f t="shared" si="122"/>
        <v>3</v>
      </c>
      <c r="G7827" s="7" t="str">
        <f>LOOKUP(H7827,[1]startdates!$A$2:$A$10,[1]startdates!$B$2:$B$10)</f>
        <v>FMr</v>
      </c>
      <c r="H7827">
        <v>7</v>
      </c>
      <c r="I7827" s="7">
        <v>586.20000000000005</v>
      </c>
      <c r="K7827" s="7">
        <v>490.7</v>
      </c>
      <c r="M7827" s="7">
        <v>379.2</v>
      </c>
      <c r="N7827" s="7">
        <v>178.7</v>
      </c>
      <c r="O7827" s="7">
        <v>144.30000000000001</v>
      </c>
    </row>
    <row r="7828" spans="1:18" x14ac:dyDescent="0.2">
      <c r="A7828">
        <v>7827</v>
      </c>
      <c r="B7828" s="1">
        <v>40967</v>
      </c>
      <c r="C7828" t="s">
        <v>28</v>
      </c>
      <c r="D7828" s="7">
        <v>226</v>
      </c>
      <c r="E7828" s="7">
        <v>34</v>
      </c>
      <c r="F7828" s="7">
        <f t="shared" si="122"/>
        <v>3</v>
      </c>
      <c r="G7828" s="7" t="str">
        <f>LOOKUP(H7828,[1]startdates!$A$2:$A$10,[1]startdates!$B$2:$B$10)</f>
        <v>FMr</v>
      </c>
      <c r="H7828">
        <v>7</v>
      </c>
      <c r="I7828" s="7">
        <v>586.29999999999995</v>
      </c>
      <c r="M7828" s="7">
        <v>334.4</v>
      </c>
      <c r="N7828" s="7">
        <v>262.10000000000002</v>
      </c>
      <c r="O7828" s="7">
        <v>164</v>
      </c>
    </row>
    <row r="7829" spans="1:18" x14ac:dyDescent="0.2">
      <c r="A7829">
        <v>7828</v>
      </c>
      <c r="B7829" s="1">
        <v>40967</v>
      </c>
      <c r="C7829" t="s">
        <v>28</v>
      </c>
      <c r="D7829" s="7">
        <v>226</v>
      </c>
      <c r="E7829" s="7">
        <v>34</v>
      </c>
      <c r="F7829" s="7">
        <f t="shared" si="122"/>
        <v>3</v>
      </c>
      <c r="G7829" s="7" t="str">
        <f>LOOKUP(H7829,[1]startdates!$A$2:$A$10,[1]startdates!$B$2:$B$10)</f>
        <v>FMr</v>
      </c>
      <c r="H7829">
        <v>7</v>
      </c>
      <c r="I7829" s="7">
        <v>556.6</v>
      </c>
      <c r="M7829" s="7">
        <v>380.7</v>
      </c>
      <c r="N7829" s="7">
        <v>245.7</v>
      </c>
      <c r="O7829" s="7">
        <v>156.19999999999999</v>
      </c>
    </row>
    <row r="7830" spans="1:18" x14ac:dyDescent="0.2">
      <c r="A7830">
        <v>7829</v>
      </c>
      <c r="B7830" s="1">
        <v>40967</v>
      </c>
      <c r="C7830" t="s">
        <v>28</v>
      </c>
      <c r="D7830" s="7">
        <v>226</v>
      </c>
      <c r="E7830" s="7">
        <v>34</v>
      </c>
      <c r="F7830" s="7">
        <f t="shared" si="122"/>
        <v>3</v>
      </c>
      <c r="G7830" s="7" t="str">
        <f>LOOKUP(H7830,[1]startdates!$A$2:$A$10,[1]startdates!$B$2:$B$10)</f>
        <v>FMr</v>
      </c>
      <c r="H7830">
        <v>7</v>
      </c>
      <c r="I7830" s="7">
        <v>580.6</v>
      </c>
      <c r="M7830" s="7">
        <v>333.4</v>
      </c>
      <c r="N7830" s="7">
        <v>181.3</v>
      </c>
      <c r="O7830" s="7">
        <v>145.9</v>
      </c>
    </row>
    <row r="7831" spans="1:18" x14ac:dyDescent="0.2">
      <c r="A7831">
        <v>7830</v>
      </c>
      <c r="B7831" s="1">
        <v>40967</v>
      </c>
      <c r="C7831" t="s">
        <v>28</v>
      </c>
      <c r="D7831" s="7">
        <v>226</v>
      </c>
      <c r="E7831" s="7">
        <v>34</v>
      </c>
      <c r="F7831" s="7">
        <f t="shared" si="122"/>
        <v>3</v>
      </c>
      <c r="G7831" s="7" t="str">
        <f>LOOKUP(H7831,[1]startdates!$A$2:$A$10,[1]startdates!$B$2:$B$10)</f>
        <v>FMr</v>
      </c>
      <c r="H7831">
        <v>7</v>
      </c>
      <c r="I7831" s="7">
        <v>587.29999999999995</v>
      </c>
      <c r="M7831" s="7">
        <v>319.10000000000002</v>
      </c>
      <c r="N7831" s="7">
        <v>206.5</v>
      </c>
      <c r="O7831" s="7">
        <v>173.8</v>
      </c>
    </row>
    <row r="7832" spans="1:18" x14ac:dyDescent="0.2">
      <c r="A7832">
        <v>7831</v>
      </c>
      <c r="B7832" s="1">
        <v>40967</v>
      </c>
      <c r="C7832" t="s">
        <v>24</v>
      </c>
      <c r="D7832" s="7">
        <v>226</v>
      </c>
      <c r="E7832" s="7">
        <v>34</v>
      </c>
      <c r="F7832" s="7">
        <f t="shared" si="122"/>
        <v>3</v>
      </c>
      <c r="G7832" s="7" t="str">
        <f>LOOKUP(H7832,[1]startdates!$A$2:$A$10,[1]startdates!$B$2:$B$10)</f>
        <v>C</v>
      </c>
      <c r="H7832">
        <v>8</v>
      </c>
      <c r="I7832" s="7">
        <v>646.4</v>
      </c>
      <c r="J7832" s="7">
        <v>575.9</v>
      </c>
      <c r="K7832" s="7">
        <v>620.70000000000005</v>
      </c>
      <c r="L7832" s="7">
        <v>407.4</v>
      </c>
      <c r="M7832" s="7">
        <v>384.9</v>
      </c>
      <c r="N7832" s="7">
        <v>250.7</v>
      </c>
      <c r="O7832" s="7">
        <v>174.4</v>
      </c>
      <c r="P7832" s="7">
        <v>448.5</v>
      </c>
      <c r="R7832" s="7">
        <v>281.8</v>
      </c>
    </row>
    <row r="7833" spans="1:18" x14ac:dyDescent="0.2">
      <c r="A7833">
        <v>7832</v>
      </c>
      <c r="B7833" s="1">
        <v>40967</v>
      </c>
      <c r="C7833" t="s">
        <v>24</v>
      </c>
      <c r="D7833" s="7">
        <v>226</v>
      </c>
      <c r="E7833" s="7">
        <v>34</v>
      </c>
      <c r="F7833" s="7">
        <f t="shared" si="122"/>
        <v>3</v>
      </c>
      <c r="G7833" s="7" t="str">
        <f>LOOKUP(H7833,[1]startdates!$A$2:$A$10,[1]startdates!$B$2:$B$10)</f>
        <v>C</v>
      </c>
      <c r="H7833">
        <v>8</v>
      </c>
      <c r="I7833" s="7">
        <v>644.79999999999995</v>
      </c>
      <c r="J7833" s="7">
        <v>424.9</v>
      </c>
      <c r="K7833" s="7">
        <v>554.6</v>
      </c>
      <c r="L7833" s="7">
        <v>427</v>
      </c>
      <c r="M7833" s="7">
        <v>342.3</v>
      </c>
      <c r="N7833" s="7">
        <v>217.5</v>
      </c>
      <c r="O7833" s="7">
        <v>176.9</v>
      </c>
      <c r="P7833" s="7">
        <v>468.1</v>
      </c>
    </row>
    <row r="7834" spans="1:18" x14ac:dyDescent="0.2">
      <c r="A7834">
        <v>7833</v>
      </c>
      <c r="B7834" s="1">
        <v>40967</v>
      </c>
      <c r="C7834" t="s">
        <v>24</v>
      </c>
      <c r="D7834" s="7">
        <v>226</v>
      </c>
      <c r="E7834" s="7">
        <v>34</v>
      </c>
      <c r="F7834" s="7">
        <f t="shared" si="122"/>
        <v>3</v>
      </c>
      <c r="G7834" s="7" t="str">
        <f>LOOKUP(H7834,[1]startdates!$A$2:$A$10,[1]startdates!$B$2:$B$10)</f>
        <v>C</v>
      </c>
      <c r="H7834">
        <v>8</v>
      </c>
      <c r="I7834" s="7">
        <v>601.1</v>
      </c>
      <c r="J7834" s="7">
        <v>540.6</v>
      </c>
      <c r="K7834" s="7">
        <v>494.6</v>
      </c>
      <c r="M7834" s="7">
        <v>380.7</v>
      </c>
      <c r="N7834" s="7">
        <v>180.6</v>
      </c>
      <c r="O7834" s="7">
        <v>193.3</v>
      </c>
    </row>
    <row r="7835" spans="1:18" x14ac:dyDescent="0.2">
      <c r="A7835">
        <v>7834</v>
      </c>
      <c r="B7835" s="1">
        <v>40967</v>
      </c>
      <c r="C7835" t="s">
        <v>24</v>
      </c>
      <c r="D7835" s="7">
        <v>226</v>
      </c>
      <c r="E7835" s="7">
        <v>34</v>
      </c>
      <c r="F7835" s="7">
        <f t="shared" si="122"/>
        <v>3</v>
      </c>
      <c r="G7835" s="7" t="str">
        <f>LOOKUP(H7835,[1]startdates!$A$2:$A$10,[1]startdates!$B$2:$B$10)</f>
        <v>C</v>
      </c>
      <c r="H7835">
        <v>8</v>
      </c>
      <c r="I7835" s="7">
        <v>610.4</v>
      </c>
      <c r="J7835" s="7">
        <v>494.8</v>
      </c>
      <c r="K7835" s="7">
        <v>553.20000000000005</v>
      </c>
      <c r="M7835" s="7">
        <v>323.5</v>
      </c>
      <c r="N7835" s="7">
        <v>197.8</v>
      </c>
      <c r="O7835" s="7">
        <v>162</v>
      </c>
    </row>
    <row r="7836" spans="1:18" x14ac:dyDescent="0.2">
      <c r="A7836">
        <v>7835</v>
      </c>
      <c r="B7836" s="1">
        <v>40967</v>
      </c>
      <c r="C7836" t="s">
        <v>24</v>
      </c>
      <c r="D7836" s="7">
        <v>226</v>
      </c>
      <c r="E7836" s="7">
        <v>34</v>
      </c>
      <c r="F7836" s="7">
        <f t="shared" si="122"/>
        <v>3</v>
      </c>
      <c r="G7836" s="7" t="str">
        <f>LOOKUP(H7836,[1]startdates!$A$2:$A$10,[1]startdates!$B$2:$B$10)</f>
        <v>C</v>
      </c>
      <c r="H7836">
        <v>8</v>
      </c>
      <c r="I7836" s="7">
        <v>645.1</v>
      </c>
      <c r="J7836" s="7">
        <v>515.4</v>
      </c>
      <c r="K7836" s="7">
        <v>583</v>
      </c>
      <c r="M7836" s="7">
        <v>359.5</v>
      </c>
      <c r="N7836" s="7">
        <v>204.2</v>
      </c>
      <c r="O7836" s="7">
        <v>201.1</v>
      </c>
    </row>
    <row r="7837" spans="1:18" x14ac:dyDescent="0.2">
      <c r="A7837">
        <v>7836</v>
      </c>
      <c r="B7837" s="1">
        <v>40967</v>
      </c>
      <c r="C7837" t="s">
        <v>24</v>
      </c>
      <c r="D7837" s="7">
        <v>226</v>
      </c>
      <c r="E7837" s="7">
        <v>34</v>
      </c>
      <c r="F7837" s="7">
        <f t="shared" si="122"/>
        <v>3</v>
      </c>
      <c r="G7837" s="7" t="str">
        <f>LOOKUP(H7837,[1]startdates!$A$2:$A$10,[1]startdates!$B$2:$B$10)</f>
        <v>C</v>
      </c>
      <c r="H7837">
        <v>8</v>
      </c>
      <c r="I7837" s="7">
        <v>688</v>
      </c>
      <c r="J7837" s="7">
        <v>494.4</v>
      </c>
      <c r="K7837" s="7">
        <v>632.6</v>
      </c>
      <c r="M7837" s="7">
        <v>266.7</v>
      </c>
      <c r="N7837" s="7">
        <v>183.1</v>
      </c>
      <c r="O7837" s="7">
        <v>171.3</v>
      </c>
    </row>
    <row r="7838" spans="1:18" x14ac:dyDescent="0.2">
      <c r="A7838">
        <v>7837</v>
      </c>
      <c r="B7838" s="1">
        <v>40967</v>
      </c>
      <c r="C7838" t="s">
        <v>24</v>
      </c>
      <c r="D7838" s="7">
        <v>226</v>
      </c>
      <c r="E7838" s="7">
        <v>34</v>
      </c>
      <c r="F7838" s="7">
        <f t="shared" si="122"/>
        <v>3</v>
      </c>
      <c r="G7838" s="7" t="str">
        <f>LOOKUP(H7838,[1]startdates!$A$2:$A$10,[1]startdates!$B$2:$B$10)</f>
        <v>C</v>
      </c>
      <c r="H7838">
        <v>8</v>
      </c>
      <c r="I7838" s="7">
        <v>570.70000000000005</v>
      </c>
      <c r="J7838" s="7">
        <v>648.4</v>
      </c>
      <c r="M7838" s="7">
        <v>302.2</v>
      </c>
      <c r="N7838" s="7">
        <v>211.5</v>
      </c>
      <c r="O7838" s="7">
        <v>174.4</v>
      </c>
    </row>
    <row r="7839" spans="1:18" x14ac:dyDescent="0.2">
      <c r="A7839">
        <v>7838</v>
      </c>
      <c r="B7839" s="1">
        <v>40967</v>
      </c>
      <c r="C7839" t="s">
        <v>24</v>
      </c>
      <c r="D7839" s="7">
        <v>226</v>
      </c>
      <c r="E7839" s="7">
        <v>34</v>
      </c>
      <c r="F7839" s="7">
        <f t="shared" si="122"/>
        <v>3</v>
      </c>
      <c r="G7839" s="7" t="str">
        <f>LOOKUP(H7839,[1]startdates!$A$2:$A$10,[1]startdates!$B$2:$B$10)</f>
        <v>C</v>
      </c>
      <c r="H7839">
        <v>8</v>
      </c>
      <c r="I7839" s="7">
        <v>579.5</v>
      </c>
      <c r="J7839" s="7">
        <v>580.70000000000005</v>
      </c>
      <c r="M7839" s="7">
        <v>329.7</v>
      </c>
      <c r="N7839" s="7">
        <v>218.9</v>
      </c>
      <c r="O7839" s="7">
        <v>167</v>
      </c>
    </row>
    <row r="7840" spans="1:18" x14ac:dyDescent="0.2">
      <c r="A7840">
        <v>7839</v>
      </c>
      <c r="B7840" s="1">
        <v>40967</v>
      </c>
      <c r="C7840" t="s">
        <v>24</v>
      </c>
      <c r="D7840" s="7">
        <v>226</v>
      </c>
      <c r="E7840" s="7">
        <v>34</v>
      </c>
      <c r="F7840" s="7">
        <f t="shared" si="122"/>
        <v>3</v>
      </c>
      <c r="G7840" s="7" t="str">
        <f>LOOKUP(H7840,[1]startdates!$A$2:$A$10,[1]startdates!$B$2:$B$10)</f>
        <v>C</v>
      </c>
      <c r="H7840">
        <v>8</v>
      </c>
      <c r="I7840" s="7">
        <v>672.4</v>
      </c>
      <c r="N7840" s="7">
        <v>239.7</v>
      </c>
      <c r="O7840" s="7">
        <v>162</v>
      </c>
    </row>
    <row r="7841" spans="1:23" x14ac:dyDescent="0.2">
      <c r="A7841">
        <v>7840</v>
      </c>
      <c r="B7841" s="1">
        <v>40967</v>
      </c>
      <c r="C7841" t="s">
        <v>24</v>
      </c>
      <c r="D7841" s="7">
        <v>226</v>
      </c>
      <c r="E7841" s="7">
        <v>34</v>
      </c>
      <c r="F7841" s="7">
        <f t="shared" si="122"/>
        <v>3</v>
      </c>
      <c r="G7841" s="7" t="str">
        <f>LOOKUP(H7841,[1]startdates!$A$2:$A$10,[1]startdates!$B$2:$B$10)</f>
        <v>C</v>
      </c>
      <c r="H7841">
        <v>8</v>
      </c>
      <c r="N7841" s="7">
        <v>222.9</v>
      </c>
      <c r="O7841" s="7">
        <v>158.4</v>
      </c>
    </row>
    <row r="7842" spans="1:23" x14ac:dyDescent="0.2">
      <c r="A7842">
        <v>7841</v>
      </c>
      <c r="B7842" s="1">
        <v>40967</v>
      </c>
      <c r="C7842" t="s">
        <v>24</v>
      </c>
      <c r="D7842" s="7">
        <v>226</v>
      </c>
      <c r="E7842" s="7">
        <v>34</v>
      </c>
      <c r="F7842" s="7">
        <f t="shared" si="122"/>
        <v>3</v>
      </c>
      <c r="G7842" s="7" t="str">
        <f>LOOKUP(H7842,[1]startdates!$A$2:$A$10,[1]startdates!$B$2:$B$10)</f>
        <v>FMr</v>
      </c>
      <c r="H7842">
        <v>9</v>
      </c>
      <c r="I7842" s="7">
        <v>527.5</v>
      </c>
      <c r="J7842" s="7">
        <v>452.9</v>
      </c>
      <c r="K7842" s="7">
        <v>421.3</v>
      </c>
      <c r="L7842" s="7">
        <v>437.1</v>
      </c>
      <c r="M7842" s="7">
        <v>389</v>
      </c>
      <c r="N7842" s="7">
        <v>265.5</v>
      </c>
      <c r="O7842" s="7">
        <v>176.5</v>
      </c>
      <c r="P7842" s="7">
        <v>487.4</v>
      </c>
      <c r="R7842" s="7">
        <v>255.2</v>
      </c>
      <c r="V7842" s="7">
        <v>504.7</v>
      </c>
    </row>
    <row r="7843" spans="1:23" x14ac:dyDescent="0.2">
      <c r="A7843">
        <v>7842</v>
      </c>
      <c r="B7843" s="1">
        <v>40967</v>
      </c>
      <c r="C7843" t="s">
        <v>24</v>
      </c>
      <c r="D7843" s="7">
        <v>226</v>
      </c>
      <c r="E7843" s="7">
        <v>34</v>
      </c>
      <c r="F7843" s="7">
        <f t="shared" si="122"/>
        <v>3</v>
      </c>
      <c r="G7843" s="7" t="str">
        <f>LOOKUP(H7843,[1]startdates!$A$2:$A$10,[1]startdates!$B$2:$B$10)</f>
        <v>FMr</v>
      </c>
      <c r="H7843">
        <v>9</v>
      </c>
      <c r="I7843" s="7">
        <v>697.4</v>
      </c>
      <c r="J7843" s="7">
        <v>514.9</v>
      </c>
      <c r="K7843" s="7">
        <v>451.7</v>
      </c>
      <c r="L7843" s="7">
        <v>416.2</v>
      </c>
      <c r="M7843" s="7">
        <v>325.3</v>
      </c>
      <c r="N7843" s="7">
        <v>249.5</v>
      </c>
      <c r="O7843" s="7">
        <v>184.9</v>
      </c>
      <c r="P7843" s="7">
        <v>514.1</v>
      </c>
      <c r="V7843" s="7">
        <v>457.7</v>
      </c>
    </row>
    <row r="7844" spans="1:23" x14ac:dyDescent="0.2">
      <c r="A7844">
        <v>7843</v>
      </c>
      <c r="B7844" s="1">
        <v>40967</v>
      </c>
      <c r="C7844" t="s">
        <v>24</v>
      </c>
      <c r="D7844" s="7">
        <v>226</v>
      </c>
      <c r="E7844" s="7">
        <v>34</v>
      </c>
      <c r="F7844" s="7">
        <f t="shared" si="122"/>
        <v>3</v>
      </c>
      <c r="G7844" s="7" t="str">
        <f>LOOKUP(H7844,[1]startdates!$A$2:$A$10,[1]startdates!$B$2:$B$10)</f>
        <v>FMr</v>
      </c>
      <c r="H7844">
        <v>9</v>
      </c>
      <c r="I7844" s="7">
        <v>547.1</v>
      </c>
      <c r="K7844" s="7">
        <v>410</v>
      </c>
      <c r="L7844" s="7">
        <v>424.3</v>
      </c>
      <c r="M7844" s="7">
        <v>301.3</v>
      </c>
      <c r="N7844" s="7">
        <v>229</v>
      </c>
      <c r="O7844" s="7">
        <v>194.5</v>
      </c>
    </row>
    <row r="7845" spans="1:23" x14ac:dyDescent="0.2">
      <c r="A7845">
        <v>7844</v>
      </c>
      <c r="B7845" s="1">
        <v>40967</v>
      </c>
      <c r="C7845" t="s">
        <v>24</v>
      </c>
      <c r="D7845" s="7">
        <v>226</v>
      </c>
      <c r="E7845" s="7">
        <v>34</v>
      </c>
      <c r="F7845" s="7">
        <f t="shared" si="122"/>
        <v>3</v>
      </c>
      <c r="G7845" s="7" t="str">
        <f>LOOKUP(H7845,[1]startdates!$A$2:$A$10,[1]startdates!$B$2:$B$10)</f>
        <v>FMr</v>
      </c>
      <c r="H7845">
        <v>9</v>
      </c>
      <c r="I7845" s="7">
        <v>495.8</v>
      </c>
      <c r="K7845" s="7">
        <v>538.9</v>
      </c>
      <c r="M7845" s="7">
        <v>358.4</v>
      </c>
      <c r="N7845" s="7">
        <v>200.4</v>
      </c>
      <c r="O7845" s="7">
        <v>181.3</v>
      </c>
    </row>
    <row r="7846" spans="1:23" x14ac:dyDescent="0.2">
      <c r="A7846">
        <v>7845</v>
      </c>
      <c r="B7846" s="1">
        <v>40967</v>
      </c>
      <c r="C7846" t="s">
        <v>24</v>
      </c>
      <c r="D7846" s="7">
        <v>226</v>
      </c>
      <c r="E7846" s="7">
        <v>34</v>
      </c>
      <c r="F7846" s="7">
        <f t="shared" si="122"/>
        <v>3</v>
      </c>
      <c r="G7846" s="7" t="str">
        <f>LOOKUP(H7846,[1]startdates!$A$2:$A$10,[1]startdates!$B$2:$B$10)</f>
        <v>FMr</v>
      </c>
      <c r="H7846">
        <v>9</v>
      </c>
      <c r="I7846" s="7">
        <v>534</v>
      </c>
      <c r="K7846" s="7">
        <v>480</v>
      </c>
      <c r="M7846" s="7">
        <v>366</v>
      </c>
      <c r="N7846" s="7">
        <v>216</v>
      </c>
      <c r="O7846" s="7">
        <v>177.7</v>
      </c>
    </row>
    <row r="7847" spans="1:23" x14ac:dyDescent="0.2">
      <c r="A7847">
        <v>7846</v>
      </c>
      <c r="B7847" s="1">
        <v>40967</v>
      </c>
      <c r="C7847" t="s">
        <v>24</v>
      </c>
      <c r="D7847" s="7">
        <v>226</v>
      </c>
      <c r="E7847" s="7">
        <v>34</v>
      </c>
      <c r="F7847" s="7">
        <f t="shared" si="122"/>
        <v>3</v>
      </c>
      <c r="G7847" s="7" t="str">
        <f>LOOKUP(H7847,[1]startdates!$A$2:$A$10,[1]startdates!$B$2:$B$10)</f>
        <v>FMr</v>
      </c>
      <c r="H7847">
        <v>9</v>
      </c>
      <c r="I7847" s="7">
        <v>575</v>
      </c>
      <c r="K7847" s="7">
        <v>504.8</v>
      </c>
      <c r="N7847" s="7">
        <v>260.89999999999998</v>
      </c>
      <c r="O7847" s="7">
        <v>178.4</v>
      </c>
    </row>
    <row r="7848" spans="1:23" x14ac:dyDescent="0.2">
      <c r="A7848">
        <v>7847</v>
      </c>
      <c r="B7848" s="1">
        <v>40967</v>
      </c>
      <c r="C7848" t="s">
        <v>24</v>
      </c>
      <c r="D7848" s="7">
        <v>226</v>
      </c>
      <c r="E7848" s="7">
        <v>34</v>
      </c>
      <c r="F7848" s="7">
        <f t="shared" si="122"/>
        <v>3</v>
      </c>
      <c r="G7848" s="7" t="str">
        <f>LOOKUP(H7848,[1]startdates!$A$2:$A$10,[1]startdates!$B$2:$B$10)</f>
        <v>FMr</v>
      </c>
      <c r="H7848">
        <v>9</v>
      </c>
      <c r="I7848" s="7">
        <v>585.79999999999995</v>
      </c>
      <c r="K7848" s="7">
        <v>464</v>
      </c>
      <c r="N7848" s="7">
        <v>217.4</v>
      </c>
      <c r="O7848" s="7">
        <v>171.9</v>
      </c>
    </row>
    <row r="7849" spans="1:23" x14ac:dyDescent="0.2">
      <c r="A7849">
        <v>7848</v>
      </c>
      <c r="B7849" s="1">
        <v>40967</v>
      </c>
      <c r="C7849" t="s">
        <v>24</v>
      </c>
      <c r="D7849" s="7">
        <v>226</v>
      </c>
      <c r="E7849" s="7">
        <v>34</v>
      </c>
      <c r="F7849" s="7">
        <f t="shared" ref="F7849:F7912" si="123">WEEKDAY(B7849)</f>
        <v>3</v>
      </c>
      <c r="G7849" s="7" t="str">
        <f>LOOKUP(H7849,[1]startdates!$A$2:$A$10,[1]startdates!$B$2:$B$10)</f>
        <v>FMr</v>
      </c>
      <c r="H7849">
        <v>9</v>
      </c>
      <c r="I7849" s="7">
        <v>585.6</v>
      </c>
      <c r="N7849" s="7">
        <v>234.3</v>
      </c>
      <c r="O7849" s="7">
        <v>189.5</v>
      </c>
    </row>
    <row r="7850" spans="1:23" x14ac:dyDescent="0.2">
      <c r="A7850">
        <v>7849</v>
      </c>
      <c r="B7850" s="1">
        <v>40967</v>
      </c>
      <c r="C7850" t="s">
        <v>24</v>
      </c>
      <c r="D7850" s="7">
        <v>226</v>
      </c>
      <c r="E7850" s="7">
        <v>34</v>
      </c>
      <c r="F7850" s="7">
        <f t="shared" si="123"/>
        <v>3</v>
      </c>
      <c r="G7850" s="7" t="str">
        <f>LOOKUP(H7850,[1]startdates!$A$2:$A$10,[1]startdates!$B$2:$B$10)</f>
        <v>FMr</v>
      </c>
      <c r="H7850">
        <v>9</v>
      </c>
      <c r="I7850" s="7">
        <v>563.29999999999995</v>
      </c>
      <c r="N7850" s="7">
        <v>214.7</v>
      </c>
      <c r="O7850" s="7">
        <v>159</v>
      </c>
    </row>
    <row r="7851" spans="1:23" x14ac:dyDescent="0.2">
      <c r="A7851">
        <v>7850</v>
      </c>
      <c r="B7851" s="1">
        <v>40967</v>
      </c>
      <c r="C7851" t="s">
        <v>24</v>
      </c>
      <c r="D7851" s="7">
        <v>226</v>
      </c>
      <c r="E7851" s="7">
        <v>34</v>
      </c>
      <c r="F7851" s="7">
        <f t="shared" si="123"/>
        <v>3</v>
      </c>
      <c r="G7851" s="7" t="str">
        <f>LOOKUP(H7851,[1]startdates!$A$2:$A$10,[1]startdates!$B$2:$B$10)</f>
        <v>FMr</v>
      </c>
      <c r="H7851">
        <v>9</v>
      </c>
      <c r="I7851" s="7">
        <v>567.70000000000005</v>
      </c>
      <c r="N7851" s="7">
        <v>197.3</v>
      </c>
      <c r="O7851" s="7">
        <v>201.8</v>
      </c>
    </row>
    <row r="7852" spans="1:23" ht="16" thickBot="1" x14ac:dyDescent="0.25">
      <c r="A7852">
        <v>7851</v>
      </c>
      <c r="B7852" s="6">
        <v>40967</v>
      </c>
      <c r="C7852" s="8" t="s">
        <v>24</v>
      </c>
      <c r="D7852" s="7">
        <v>226</v>
      </c>
      <c r="E7852" s="7">
        <v>34</v>
      </c>
      <c r="F7852" s="7">
        <f t="shared" si="123"/>
        <v>3</v>
      </c>
      <c r="G7852" s="9" t="str">
        <f>LOOKUP(H7852,[1]startdates!$A$2:$A$10,[1]startdates!$B$2:$B$10)</f>
        <v>FMr</v>
      </c>
      <c r="H7852" s="5">
        <v>9</v>
      </c>
      <c r="I7852" s="9">
        <v>672</v>
      </c>
      <c r="J7852" s="9"/>
      <c r="K7852" s="9"/>
      <c r="L7852" s="9"/>
      <c r="M7852" s="9"/>
      <c r="N7852" s="9"/>
      <c r="O7852" s="9"/>
      <c r="P7852" s="9"/>
      <c r="Q7852" s="9"/>
      <c r="R7852" s="9"/>
      <c r="S7852" s="9"/>
      <c r="T7852" s="9"/>
      <c r="U7852" s="9"/>
      <c r="V7852" s="9"/>
      <c r="W7852" s="5"/>
    </row>
    <row r="7853" spans="1:23" ht="16" thickTop="1" x14ac:dyDescent="0.2">
      <c r="A7853">
        <v>7852</v>
      </c>
      <c r="B7853" s="1">
        <v>40981</v>
      </c>
      <c r="C7853" t="s">
        <v>28</v>
      </c>
      <c r="D7853" s="7">
        <v>241</v>
      </c>
      <c r="E7853" s="7">
        <v>36</v>
      </c>
      <c r="F7853" s="7">
        <f t="shared" si="123"/>
        <v>3</v>
      </c>
      <c r="G7853" s="7" t="str">
        <f>LOOKUP(H7853,[1]startdates!$A$2:$A$10,[1]startdates!$B$2:$B$10)</f>
        <v>SMr</v>
      </c>
      <c r="H7853">
        <v>1</v>
      </c>
      <c r="I7853" s="7">
        <v>620.79999999999995</v>
      </c>
      <c r="J7853" s="7">
        <v>474.1</v>
      </c>
      <c r="K7853" s="7">
        <v>519.20000000000005</v>
      </c>
      <c r="L7853" s="7">
        <v>409.3</v>
      </c>
      <c r="M7853" s="7">
        <v>307</v>
      </c>
      <c r="N7853" s="7">
        <v>206.2</v>
      </c>
      <c r="O7853" s="7">
        <v>156</v>
      </c>
      <c r="P7853" s="7">
        <v>477.8</v>
      </c>
      <c r="Q7853" s="7">
        <v>343.8</v>
      </c>
      <c r="R7853" s="7">
        <v>261.60000000000002</v>
      </c>
      <c r="U7853" s="7">
        <v>486</v>
      </c>
    </row>
    <row r="7854" spans="1:23" x14ac:dyDescent="0.2">
      <c r="A7854">
        <v>7853</v>
      </c>
      <c r="B7854" s="1">
        <v>40981</v>
      </c>
      <c r="C7854" t="s">
        <v>28</v>
      </c>
      <c r="D7854" s="7">
        <v>241</v>
      </c>
      <c r="E7854" s="7">
        <v>36</v>
      </c>
      <c r="F7854" s="7">
        <f t="shared" si="123"/>
        <v>3</v>
      </c>
      <c r="G7854" s="7" t="str">
        <f>LOOKUP(H7854,[1]startdates!$A$2:$A$10,[1]startdates!$B$2:$B$10)</f>
        <v>SMr</v>
      </c>
      <c r="H7854">
        <v>1</v>
      </c>
      <c r="I7854" s="7">
        <v>620.4</v>
      </c>
      <c r="J7854" s="7">
        <v>479.5</v>
      </c>
      <c r="K7854" s="7">
        <v>455.4</v>
      </c>
      <c r="L7854" s="7">
        <v>422.1</v>
      </c>
      <c r="M7854" s="7">
        <v>319.2</v>
      </c>
      <c r="N7854" s="7">
        <v>197.3</v>
      </c>
      <c r="O7854" s="7">
        <v>154.80000000000001</v>
      </c>
      <c r="Q7854" s="7">
        <v>385.4</v>
      </c>
      <c r="U7854" s="7">
        <v>428.1</v>
      </c>
    </row>
    <row r="7855" spans="1:23" x14ac:dyDescent="0.2">
      <c r="A7855">
        <v>7854</v>
      </c>
      <c r="B7855" s="1">
        <v>40981</v>
      </c>
      <c r="C7855" t="s">
        <v>28</v>
      </c>
      <c r="D7855" s="7">
        <v>241</v>
      </c>
      <c r="E7855" s="7">
        <v>36</v>
      </c>
      <c r="F7855" s="7">
        <f t="shared" si="123"/>
        <v>3</v>
      </c>
      <c r="G7855" s="7" t="str">
        <f>LOOKUP(H7855,[1]startdates!$A$2:$A$10,[1]startdates!$B$2:$B$10)</f>
        <v>SMr</v>
      </c>
      <c r="H7855">
        <v>1</v>
      </c>
      <c r="I7855" s="7">
        <v>626.29999999999995</v>
      </c>
      <c r="J7855" s="7">
        <v>501.4</v>
      </c>
      <c r="K7855" s="7">
        <v>540.70000000000005</v>
      </c>
      <c r="L7855" s="7">
        <v>407</v>
      </c>
      <c r="M7855" s="7">
        <v>347.3</v>
      </c>
      <c r="N7855" s="7">
        <v>221.7</v>
      </c>
      <c r="O7855" s="7">
        <v>167.5</v>
      </c>
      <c r="U7855" s="7">
        <v>473.9</v>
      </c>
    </row>
    <row r="7856" spans="1:23" x14ac:dyDescent="0.2">
      <c r="A7856">
        <v>7855</v>
      </c>
      <c r="B7856" s="1">
        <v>40981</v>
      </c>
      <c r="C7856" t="s">
        <v>28</v>
      </c>
      <c r="D7856" s="7">
        <v>241</v>
      </c>
      <c r="E7856" s="7">
        <v>36</v>
      </c>
      <c r="F7856" s="7">
        <f t="shared" si="123"/>
        <v>3</v>
      </c>
      <c r="G7856" s="7" t="str">
        <f>LOOKUP(H7856,[1]startdates!$A$2:$A$10,[1]startdates!$B$2:$B$10)</f>
        <v>SMr</v>
      </c>
      <c r="H7856">
        <v>1</v>
      </c>
      <c r="I7856" s="7">
        <v>714.4</v>
      </c>
      <c r="J7856" s="7">
        <v>496.4</v>
      </c>
      <c r="L7856" s="7">
        <v>407</v>
      </c>
      <c r="M7856" s="7">
        <v>334.1</v>
      </c>
      <c r="N7856" s="7">
        <v>220.2</v>
      </c>
      <c r="O7856" s="7">
        <v>178.1</v>
      </c>
    </row>
    <row r="7857" spans="1:21" x14ac:dyDescent="0.2">
      <c r="A7857">
        <v>7856</v>
      </c>
      <c r="B7857" s="1">
        <v>40981</v>
      </c>
      <c r="C7857" t="s">
        <v>28</v>
      </c>
      <c r="D7857" s="7">
        <v>241</v>
      </c>
      <c r="E7857" s="7">
        <v>36</v>
      </c>
      <c r="F7857" s="7">
        <f t="shared" si="123"/>
        <v>3</v>
      </c>
      <c r="G7857" s="7" t="str">
        <f>LOOKUP(H7857,[1]startdates!$A$2:$A$10,[1]startdates!$B$2:$B$10)</f>
        <v>SMr</v>
      </c>
      <c r="H7857">
        <v>1</v>
      </c>
      <c r="I7857" s="7">
        <v>541.1</v>
      </c>
      <c r="J7857" s="7">
        <v>483</v>
      </c>
      <c r="L7857" s="7">
        <v>397.4</v>
      </c>
      <c r="M7857" s="7">
        <v>296.8</v>
      </c>
      <c r="N7857" s="7">
        <v>279.2</v>
      </c>
      <c r="O7857" s="7">
        <v>151</v>
      </c>
    </row>
    <row r="7858" spans="1:21" x14ac:dyDescent="0.2">
      <c r="A7858">
        <v>7857</v>
      </c>
      <c r="B7858" s="1">
        <v>40981</v>
      </c>
      <c r="C7858" t="s">
        <v>28</v>
      </c>
      <c r="D7858" s="7">
        <v>241</v>
      </c>
      <c r="E7858" s="7">
        <v>36</v>
      </c>
      <c r="F7858" s="7">
        <f t="shared" si="123"/>
        <v>3</v>
      </c>
      <c r="G7858" s="7" t="str">
        <f>LOOKUP(H7858,[1]startdates!$A$2:$A$10,[1]startdates!$B$2:$B$10)</f>
        <v>SMr</v>
      </c>
      <c r="H7858">
        <v>1</v>
      </c>
      <c r="I7858" s="7">
        <v>722.4</v>
      </c>
      <c r="L7858" s="7">
        <v>436</v>
      </c>
      <c r="M7858" s="7">
        <v>347</v>
      </c>
      <c r="N7858" s="7">
        <v>248.2</v>
      </c>
      <c r="O7858" s="7">
        <v>158.1</v>
      </c>
    </row>
    <row r="7859" spans="1:21" x14ac:dyDescent="0.2">
      <c r="A7859">
        <v>7858</v>
      </c>
      <c r="B7859" s="1">
        <v>40981</v>
      </c>
      <c r="C7859" t="s">
        <v>28</v>
      </c>
      <c r="D7859" s="7">
        <v>241</v>
      </c>
      <c r="E7859" s="7">
        <v>36</v>
      </c>
      <c r="F7859" s="7">
        <f t="shared" si="123"/>
        <v>3</v>
      </c>
      <c r="G7859" s="7" t="str">
        <f>LOOKUP(H7859,[1]startdates!$A$2:$A$10,[1]startdates!$B$2:$B$10)</f>
        <v>SMr</v>
      </c>
      <c r="H7859">
        <v>1</v>
      </c>
      <c r="I7859" s="7">
        <v>669.9</v>
      </c>
      <c r="M7859" s="7">
        <v>346.6</v>
      </c>
      <c r="N7859" s="7">
        <v>208.4</v>
      </c>
      <c r="O7859" s="7">
        <v>159.80000000000001</v>
      </c>
    </row>
    <row r="7860" spans="1:21" x14ac:dyDescent="0.2">
      <c r="A7860">
        <v>7859</v>
      </c>
      <c r="B7860" s="1">
        <v>40981</v>
      </c>
      <c r="C7860" t="s">
        <v>28</v>
      </c>
      <c r="D7860" s="7">
        <v>241</v>
      </c>
      <c r="E7860" s="7">
        <v>36</v>
      </c>
      <c r="F7860" s="7">
        <f t="shared" si="123"/>
        <v>3</v>
      </c>
      <c r="G7860" s="7" t="str">
        <f>LOOKUP(H7860,[1]startdates!$A$2:$A$10,[1]startdates!$B$2:$B$10)</f>
        <v>SMr</v>
      </c>
      <c r="H7860">
        <v>1</v>
      </c>
      <c r="I7860" s="7">
        <v>700.7</v>
      </c>
      <c r="M7860" s="7">
        <v>334.3</v>
      </c>
      <c r="N7860" s="7">
        <v>227.3</v>
      </c>
      <c r="O7860" s="7">
        <v>147.30000000000001</v>
      </c>
    </row>
    <row r="7861" spans="1:21" x14ac:dyDescent="0.2">
      <c r="A7861">
        <v>7860</v>
      </c>
      <c r="B7861" s="1">
        <v>40981</v>
      </c>
      <c r="C7861" t="s">
        <v>28</v>
      </c>
      <c r="D7861" s="7">
        <v>241</v>
      </c>
      <c r="E7861" s="7">
        <v>36</v>
      </c>
      <c r="F7861" s="7">
        <f t="shared" si="123"/>
        <v>3</v>
      </c>
      <c r="G7861" s="7" t="str">
        <f>LOOKUP(H7861,[1]startdates!$A$2:$A$10,[1]startdates!$B$2:$B$10)</f>
        <v>SMr</v>
      </c>
      <c r="H7861">
        <v>1</v>
      </c>
      <c r="I7861" s="7">
        <v>635</v>
      </c>
      <c r="M7861" s="7">
        <v>365.6</v>
      </c>
      <c r="N7861" s="7">
        <v>257.7</v>
      </c>
      <c r="O7861" s="7">
        <v>199.7</v>
      </c>
    </row>
    <row r="7862" spans="1:21" x14ac:dyDescent="0.2">
      <c r="A7862">
        <v>7861</v>
      </c>
      <c r="B7862" s="1">
        <v>40981</v>
      </c>
      <c r="C7862" t="s">
        <v>28</v>
      </c>
      <c r="D7862" s="7">
        <v>241</v>
      </c>
      <c r="E7862" s="7">
        <v>36</v>
      </c>
      <c r="F7862" s="7">
        <f t="shared" si="123"/>
        <v>3</v>
      </c>
      <c r="G7862" s="7" t="str">
        <f>LOOKUP(H7862,[1]startdates!$A$2:$A$10,[1]startdates!$B$2:$B$10)</f>
        <v>SMr</v>
      </c>
      <c r="H7862">
        <v>1</v>
      </c>
      <c r="M7862" s="7">
        <v>330.9</v>
      </c>
      <c r="N7862" s="7">
        <v>229.9</v>
      </c>
      <c r="O7862" s="7">
        <v>170.2</v>
      </c>
    </row>
    <row r="7863" spans="1:21" x14ac:dyDescent="0.2">
      <c r="A7863">
        <v>7862</v>
      </c>
      <c r="B7863" s="1">
        <v>40981</v>
      </c>
      <c r="C7863" t="s">
        <v>28</v>
      </c>
      <c r="D7863" s="7">
        <v>241</v>
      </c>
      <c r="E7863" s="7">
        <v>36</v>
      </c>
      <c r="F7863" s="7">
        <f t="shared" si="123"/>
        <v>3</v>
      </c>
      <c r="G7863" s="7" t="str">
        <f>LOOKUP(H7863,[1]startdates!$A$2:$A$10,[1]startdates!$B$2:$B$10)</f>
        <v>SMr</v>
      </c>
      <c r="H7863">
        <v>1</v>
      </c>
      <c r="M7863" s="7">
        <v>325.89999999999998</v>
      </c>
    </row>
    <row r="7864" spans="1:21" x14ac:dyDescent="0.2">
      <c r="A7864">
        <v>7863</v>
      </c>
      <c r="B7864" s="1">
        <v>40981</v>
      </c>
      <c r="C7864" t="s">
        <v>24</v>
      </c>
      <c r="D7864" s="7">
        <v>241</v>
      </c>
      <c r="E7864" s="7">
        <v>36</v>
      </c>
      <c r="F7864" s="7">
        <f t="shared" si="123"/>
        <v>3</v>
      </c>
      <c r="G7864" s="7" t="str">
        <f>LOOKUP(H7864,[1]startdates!$A$2:$A$10,[1]startdates!$B$2:$B$10)</f>
        <v>SMr</v>
      </c>
      <c r="H7864">
        <v>2</v>
      </c>
      <c r="I7864" s="7">
        <v>692.8</v>
      </c>
      <c r="J7864" s="7">
        <v>476</v>
      </c>
      <c r="K7864" s="7">
        <v>559.6</v>
      </c>
      <c r="L7864" s="7">
        <v>423.8</v>
      </c>
      <c r="M7864" s="7">
        <v>372.9</v>
      </c>
      <c r="N7864" s="7">
        <v>217.7</v>
      </c>
      <c r="O7864" s="7">
        <v>197.8</v>
      </c>
      <c r="P7864" s="7">
        <v>412.4</v>
      </c>
      <c r="Q7864" s="7">
        <v>390.4</v>
      </c>
      <c r="R7864" s="7">
        <v>280.39999999999998</v>
      </c>
      <c r="U7864" s="7">
        <v>342.5</v>
      </c>
    </row>
    <row r="7865" spans="1:21" x14ac:dyDescent="0.2">
      <c r="A7865">
        <v>7864</v>
      </c>
      <c r="B7865" s="1">
        <v>40981</v>
      </c>
      <c r="C7865" t="s">
        <v>24</v>
      </c>
      <c r="D7865" s="7">
        <v>241</v>
      </c>
      <c r="E7865" s="7">
        <v>36</v>
      </c>
      <c r="F7865" s="7">
        <f t="shared" si="123"/>
        <v>3</v>
      </c>
      <c r="G7865" s="7" t="str">
        <f>LOOKUP(H7865,[1]startdates!$A$2:$A$10,[1]startdates!$B$2:$B$10)</f>
        <v>SMr</v>
      </c>
      <c r="H7865">
        <v>2</v>
      </c>
      <c r="I7865" s="7">
        <v>659.1</v>
      </c>
      <c r="J7865" s="7">
        <v>489.7</v>
      </c>
      <c r="K7865" s="7">
        <v>402</v>
      </c>
      <c r="L7865" s="7">
        <v>445.9</v>
      </c>
      <c r="M7865" s="7">
        <v>357.4</v>
      </c>
      <c r="N7865" s="7">
        <v>212</v>
      </c>
      <c r="O7865" s="7">
        <v>186.3</v>
      </c>
      <c r="P7865" s="7">
        <v>452.9</v>
      </c>
      <c r="R7865" s="7">
        <v>324.7</v>
      </c>
      <c r="U7865" s="7">
        <v>488.9</v>
      </c>
    </row>
    <row r="7866" spans="1:21" x14ac:dyDescent="0.2">
      <c r="A7866">
        <v>7865</v>
      </c>
      <c r="B7866" s="1">
        <v>40981</v>
      </c>
      <c r="C7866" t="s">
        <v>24</v>
      </c>
      <c r="D7866" s="7">
        <v>241</v>
      </c>
      <c r="E7866" s="7">
        <v>36</v>
      </c>
      <c r="F7866" s="7">
        <f t="shared" si="123"/>
        <v>3</v>
      </c>
      <c r="G7866" s="7" t="str">
        <f>LOOKUP(H7866,[1]startdates!$A$2:$A$10,[1]startdates!$B$2:$B$10)</f>
        <v>SMr</v>
      </c>
      <c r="H7866">
        <v>2</v>
      </c>
      <c r="I7866" s="7">
        <v>609.70000000000005</v>
      </c>
      <c r="K7866" s="7">
        <v>371.9</v>
      </c>
      <c r="M7866" s="7">
        <v>368.9</v>
      </c>
      <c r="N7866" s="7">
        <v>221.7</v>
      </c>
      <c r="O7866" s="7">
        <v>183.1</v>
      </c>
      <c r="P7866" s="7">
        <v>479.5</v>
      </c>
      <c r="U7866" s="7">
        <v>354.7</v>
      </c>
    </row>
    <row r="7867" spans="1:21" x14ac:dyDescent="0.2">
      <c r="A7867">
        <v>7866</v>
      </c>
      <c r="B7867" s="1">
        <v>40981</v>
      </c>
      <c r="C7867" t="s">
        <v>24</v>
      </c>
      <c r="D7867" s="7">
        <v>241</v>
      </c>
      <c r="E7867" s="7">
        <v>36</v>
      </c>
      <c r="F7867" s="7">
        <f t="shared" si="123"/>
        <v>3</v>
      </c>
      <c r="G7867" s="7" t="str">
        <f>LOOKUP(H7867,[1]startdates!$A$2:$A$10,[1]startdates!$B$2:$B$10)</f>
        <v>SMr</v>
      </c>
      <c r="H7867">
        <v>2</v>
      </c>
      <c r="I7867" s="7">
        <v>562.29999999999995</v>
      </c>
      <c r="K7867" s="7">
        <v>492.2</v>
      </c>
      <c r="M7867" s="7">
        <v>319.7</v>
      </c>
      <c r="N7867" s="7">
        <v>217.3</v>
      </c>
      <c r="O7867" s="7">
        <v>168.2</v>
      </c>
      <c r="P7867" s="7">
        <v>458.3</v>
      </c>
      <c r="U7867" s="7">
        <v>425</v>
      </c>
    </row>
    <row r="7868" spans="1:21" x14ac:dyDescent="0.2">
      <c r="A7868">
        <v>7867</v>
      </c>
      <c r="B7868" s="1">
        <v>40981</v>
      </c>
      <c r="C7868" t="s">
        <v>24</v>
      </c>
      <c r="D7868" s="7">
        <v>241</v>
      </c>
      <c r="E7868" s="7">
        <v>36</v>
      </c>
      <c r="F7868" s="7">
        <f t="shared" si="123"/>
        <v>3</v>
      </c>
      <c r="G7868" s="7" t="str">
        <f>LOOKUP(H7868,[1]startdates!$A$2:$A$10,[1]startdates!$B$2:$B$10)</f>
        <v>SMr</v>
      </c>
      <c r="H7868">
        <v>2</v>
      </c>
      <c r="I7868" s="7">
        <v>605.5</v>
      </c>
      <c r="K7868" s="7">
        <v>418</v>
      </c>
      <c r="M7868" s="7">
        <v>314.3</v>
      </c>
      <c r="N7868" s="7">
        <v>243.2</v>
      </c>
      <c r="O7868" s="7">
        <v>167.5</v>
      </c>
      <c r="P7868" s="7">
        <v>430.3</v>
      </c>
      <c r="U7868" s="7">
        <v>328.9</v>
      </c>
    </row>
    <row r="7869" spans="1:21" x14ac:dyDescent="0.2">
      <c r="A7869">
        <v>7868</v>
      </c>
      <c r="B7869" s="1">
        <v>40981</v>
      </c>
      <c r="C7869" t="s">
        <v>24</v>
      </c>
      <c r="D7869" s="7">
        <v>241</v>
      </c>
      <c r="E7869" s="7">
        <v>36</v>
      </c>
      <c r="F7869" s="7">
        <f t="shared" si="123"/>
        <v>3</v>
      </c>
      <c r="G7869" s="7" t="str">
        <f>LOOKUP(H7869,[1]startdates!$A$2:$A$10,[1]startdates!$B$2:$B$10)</f>
        <v>SMr</v>
      </c>
      <c r="H7869">
        <v>2</v>
      </c>
      <c r="I7869" s="7">
        <v>581.29999999999995</v>
      </c>
      <c r="M7869" s="7">
        <v>371</v>
      </c>
      <c r="N7869" s="7">
        <v>238</v>
      </c>
      <c r="O7869" s="7">
        <v>171.9</v>
      </c>
    </row>
    <row r="7870" spans="1:21" x14ac:dyDescent="0.2">
      <c r="A7870">
        <v>7869</v>
      </c>
      <c r="B7870" s="1">
        <v>40981</v>
      </c>
      <c r="C7870" t="s">
        <v>24</v>
      </c>
      <c r="D7870" s="7">
        <v>241</v>
      </c>
      <c r="E7870" s="7">
        <v>36</v>
      </c>
      <c r="F7870" s="7">
        <f t="shared" si="123"/>
        <v>3</v>
      </c>
      <c r="G7870" s="7" t="str">
        <f>LOOKUP(H7870,[1]startdates!$A$2:$A$10,[1]startdates!$B$2:$B$10)</f>
        <v>SMr</v>
      </c>
      <c r="H7870">
        <v>2</v>
      </c>
      <c r="I7870" s="7">
        <v>665.3</v>
      </c>
      <c r="M7870" s="7">
        <v>357.1</v>
      </c>
      <c r="N7870" s="7">
        <v>200.3</v>
      </c>
      <c r="O7870" s="7">
        <v>184.1</v>
      </c>
    </row>
    <row r="7871" spans="1:21" x14ac:dyDescent="0.2">
      <c r="A7871">
        <v>7870</v>
      </c>
      <c r="B7871" s="1">
        <v>40981</v>
      </c>
      <c r="C7871" t="s">
        <v>24</v>
      </c>
      <c r="D7871" s="7">
        <v>241</v>
      </c>
      <c r="E7871" s="7">
        <v>36</v>
      </c>
      <c r="F7871" s="7">
        <f t="shared" si="123"/>
        <v>3</v>
      </c>
      <c r="G7871" s="7" t="str">
        <f>LOOKUP(H7871,[1]startdates!$A$2:$A$10,[1]startdates!$B$2:$B$10)</f>
        <v>SMr</v>
      </c>
      <c r="H7871">
        <v>2</v>
      </c>
      <c r="I7871" s="7">
        <v>676.9</v>
      </c>
      <c r="N7871" s="7">
        <v>208.5</v>
      </c>
      <c r="O7871" s="7">
        <v>188.1</v>
      </c>
    </row>
    <row r="7872" spans="1:21" x14ac:dyDescent="0.2">
      <c r="A7872">
        <v>7871</v>
      </c>
      <c r="B7872" s="1">
        <v>40981</v>
      </c>
      <c r="C7872" t="s">
        <v>24</v>
      </c>
      <c r="D7872" s="7">
        <v>241</v>
      </c>
      <c r="E7872" s="7">
        <v>36</v>
      </c>
      <c r="F7872" s="7">
        <f t="shared" si="123"/>
        <v>3</v>
      </c>
      <c r="G7872" s="7" t="str">
        <f>LOOKUP(H7872,[1]startdates!$A$2:$A$10,[1]startdates!$B$2:$B$10)</f>
        <v>SMr</v>
      </c>
      <c r="H7872">
        <v>2</v>
      </c>
      <c r="N7872" s="7">
        <v>268.60000000000002</v>
      </c>
      <c r="O7872" s="7">
        <v>181.3</v>
      </c>
    </row>
    <row r="7873" spans="1:21" x14ac:dyDescent="0.2">
      <c r="A7873">
        <v>7872</v>
      </c>
      <c r="B7873" s="1">
        <v>40981</v>
      </c>
      <c r="C7873" t="s">
        <v>24</v>
      </c>
      <c r="D7873" s="7">
        <v>241</v>
      </c>
      <c r="E7873" s="7">
        <v>36</v>
      </c>
      <c r="F7873" s="7">
        <f t="shared" si="123"/>
        <v>3</v>
      </c>
      <c r="G7873" s="7" t="str">
        <f>LOOKUP(H7873,[1]startdates!$A$2:$A$10,[1]startdates!$B$2:$B$10)</f>
        <v>SMr</v>
      </c>
      <c r="H7873">
        <v>2</v>
      </c>
      <c r="N7873" s="7">
        <v>209.4</v>
      </c>
      <c r="O7873" s="7">
        <v>181.6</v>
      </c>
    </row>
    <row r="7874" spans="1:21" x14ac:dyDescent="0.2">
      <c r="A7874">
        <v>7873</v>
      </c>
      <c r="B7874" s="1">
        <v>40981</v>
      </c>
      <c r="C7874" t="s">
        <v>24</v>
      </c>
      <c r="D7874" s="7">
        <v>241</v>
      </c>
      <c r="E7874" s="7">
        <v>36</v>
      </c>
      <c r="F7874" s="7">
        <f t="shared" si="123"/>
        <v>3</v>
      </c>
      <c r="G7874" s="7" t="str">
        <f>LOOKUP(H7874,[1]startdates!$A$2:$A$10,[1]startdates!$B$2:$B$10)</f>
        <v>C</v>
      </c>
      <c r="H7874">
        <v>3</v>
      </c>
      <c r="I7874" s="7">
        <v>622.6</v>
      </c>
      <c r="J7874" s="7">
        <v>431.5</v>
      </c>
      <c r="K7874" s="7">
        <v>519.29999999999995</v>
      </c>
      <c r="L7874" s="7">
        <v>462.4</v>
      </c>
      <c r="M7874" s="7">
        <v>372.7</v>
      </c>
      <c r="N7874" s="7">
        <v>281</v>
      </c>
      <c r="O7874" s="7">
        <v>183.8</v>
      </c>
      <c r="P7874" s="7">
        <v>405.8</v>
      </c>
      <c r="Q7874" s="7">
        <v>364.1</v>
      </c>
      <c r="R7874" s="7">
        <v>288.10000000000002</v>
      </c>
    </row>
    <row r="7875" spans="1:21" x14ac:dyDescent="0.2">
      <c r="A7875">
        <v>7874</v>
      </c>
      <c r="B7875" s="1">
        <v>40981</v>
      </c>
      <c r="C7875" t="s">
        <v>24</v>
      </c>
      <c r="D7875" s="7">
        <v>241</v>
      </c>
      <c r="E7875" s="7">
        <v>36</v>
      </c>
      <c r="F7875" s="7">
        <f t="shared" si="123"/>
        <v>3</v>
      </c>
      <c r="G7875" s="7" t="str">
        <f>LOOKUP(H7875,[1]startdates!$A$2:$A$10,[1]startdates!$B$2:$B$10)</f>
        <v>C</v>
      </c>
      <c r="H7875">
        <v>3</v>
      </c>
      <c r="I7875" s="7">
        <v>553.6</v>
      </c>
      <c r="J7875" s="7">
        <v>502</v>
      </c>
      <c r="K7875" s="7">
        <v>430.9</v>
      </c>
      <c r="L7875" s="7">
        <v>468.9</v>
      </c>
      <c r="M7875" s="7">
        <v>385.8</v>
      </c>
      <c r="N7875" s="7">
        <v>228.5</v>
      </c>
      <c r="O7875" s="7">
        <v>197.9</v>
      </c>
      <c r="P7875" s="7">
        <v>497.8</v>
      </c>
      <c r="R7875" s="7">
        <v>327.9</v>
      </c>
    </row>
    <row r="7876" spans="1:21" x14ac:dyDescent="0.2">
      <c r="A7876">
        <v>7875</v>
      </c>
      <c r="B7876" s="1">
        <v>40981</v>
      </c>
      <c r="C7876" t="s">
        <v>24</v>
      </c>
      <c r="D7876" s="7">
        <v>241</v>
      </c>
      <c r="E7876" s="7">
        <v>36</v>
      </c>
      <c r="F7876" s="7">
        <f t="shared" si="123"/>
        <v>3</v>
      </c>
      <c r="G7876" s="7" t="str">
        <f>LOOKUP(H7876,[1]startdates!$A$2:$A$10,[1]startdates!$B$2:$B$10)</f>
        <v>C</v>
      </c>
      <c r="H7876">
        <v>3</v>
      </c>
      <c r="I7876" s="7">
        <v>598</v>
      </c>
      <c r="J7876" s="7">
        <v>476</v>
      </c>
      <c r="K7876" s="7">
        <v>536.1</v>
      </c>
      <c r="L7876" s="7">
        <v>420.2</v>
      </c>
      <c r="M7876" s="7">
        <v>389.9</v>
      </c>
      <c r="N7876" s="7">
        <v>273.7</v>
      </c>
      <c r="O7876" s="7">
        <v>162.4</v>
      </c>
      <c r="P7876" s="7">
        <v>451.3</v>
      </c>
      <c r="R7876" s="7">
        <v>289.5</v>
      </c>
    </row>
    <row r="7877" spans="1:21" x14ac:dyDescent="0.2">
      <c r="A7877">
        <v>7876</v>
      </c>
      <c r="B7877" s="1">
        <v>40981</v>
      </c>
      <c r="C7877" t="s">
        <v>24</v>
      </c>
      <c r="D7877" s="7">
        <v>241</v>
      </c>
      <c r="E7877" s="7">
        <v>36</v>
      </c>
      <c r="F7877" s="7">
        <f t="shared" si="123"/>
        <v>3</v>
      </c>
      <c r="G7877" s="7" t="str">
        <f>LOOKUP(H7877,[1]startdates!$A$2:$A$10,[1]startdates!$B$2:$B$10)</f>
        <v>C</v>
      </c>
      <c r="H7877">
        <v>3</v>
      </c>
      <c r="I7877" s="7">
        <v>599.4</v>
      </c>
      <c r="J7877" s="7">
        <v>521.20000000000005</v>
      </c>
      <c r="K7877" s="7">
        <v>486.3</v>
      </c>
      <c r="L7877" s="7">
        <v>424.7</v>
      </c>
      <c r="M7877" s="7">
        <v>323.5</v>
      </c>
      <c r="N7877" s="7">
        <v>227.4</v>
      </c>
      <c r="O7877" s="7">
        <v>160.4</v>
      </c>
      <c r="R7877" s="7">
        <v>270.60000000000002</v>
      </c>
    </row>
    <row r="7878" spans="1:21" x14ac:dyDescent="0.2">
      <c r="A7878">
        <v>7877</v>
      </c>
      <c r="B7878" s="1">
        <v>40981</v>
      </c>
      <c r="C7878" t="s">
        <v>24</v>
      </c>
      <c r="D7878" s="7">
        <v>241</v>
      </c>
      <c r="E7878" s="7">
        <v>36</v>
      </c>
      <c r="F7878" s="7">
        <f t="shared" si="123"/>
        <v>3</v>
      </c>
      <c r="G7878" s="7" t="str">
        <f>LOOKUP(H7878,[1]startdates!$A$2:$A$10,[1]startdates!$B$2:$B$10)</f>
        <v>C</v>
      </c>
      <c r="H7878">
        <v>3</v>
      </c>
      <c r="I7878" s="7">
        <v>538.70000000000005</v>
      </c>
      <c r="J7878" s="7">
        <v>464.4</v>
      </c>
      <c r="L7878" s="7">
        <v>489.3</v>
      </c>
      <c r="M7878" s="7">
        <v>350.8</v>
      </c>
      <c r="N7878" s="7">
        <v>263.60000000000002</v>
      </c>
      <c r="O7878" s="7">
        <v>172.1</v>
      </c>
    </row>
    <row r="7879" spans="1:21" x14ac:dyDescent="0.2">
      <c r="A7879">
        <v>7878</v>
      </c>
      <c r="B7879" s="1">
        <v>40981</v>
      </c>
      <c r="C7879" t="s">
        <v>24</v>
      </c>
      <c r="D7879" s="7">
        <v>241</v>
      </c>
      <c r="E7879" s="7">
        <v>36</v>
      </c>
      <c r="F7879" s="7">
        <f t="shared" si="123"/>
        <v>3</v>
      </c>
      <c r="G7879" s="7" t="str">
        <f>LOOKUP(H7879,[1]startdates!$A$2:$A$10,[1]startdates!$B$2:$B$10)</f>
        <v>C</v>
      </c>
      <c r="H7879">
        <v>3</v>
      </c>
      <c r="I7879" s="7">
        <v>653.70000000000005</v>
      </c>
      <c r="L7879" s="7">
        <v>408.7</v>
      </c>
      <c r="M7879" s="7">
        <v>322.7</v>
      </c>
      <c r="N7879" s="7">
        <v>236.9</v>
      </c>
      <c r="O7879" s="7">
        <v>168.1</v>
      </c>
    </row>
    <row r="7880" spans="1:21" x14ac:dyDescent="0.2">
      <c r="A7880">
        <v>7879</v>
      </c>
      <c r="B7880" s="1">
        <v>40981</v>
      </c>
      <c r="C7880" t="s">
        <v>24</v>
      </c>
      <c r="D7880" s="7">
        <v>241</v>
      </c>
      <c r="E7880" s="7">
        <v>36</v>
      </c>
      <c r="F7880" s="7">
        <f t="shared" si="123"/>
        <v>3</v>
      </c>
      <c r="G7880" s="7" t="str">
        <f>LOOKUP(H7880,[1]startdates!$A$2:$A$10,[1]startdates!$B$2:$B$10)</f>
        <v>C</v>
      </c>
      <c r="H7880">
        <v>3</v>
      </c>
      <c r="I7880" s="7">
        <v>634.1</v>
      </c>
      <c r="L7880" s="7">
        <v>396.5</v>
      </c>
      <c r="M7880" s="7">
        <v>390.3</v>
      </c>
      <c r="N7880" s="7">
        <v>246.3</v>
      </c>
      <c r="O7880" s="7">
        <v>169.4</v>
      </c>
    </row>
    <row r="7881" spans="1:21" x14ac:dyDescent="0.2">
      <c r="A7881">
        <v>7880</v>
      </c>
      <c r="B7881" s="1">
        <v>40981</v>
      </c>
      <c r="C7881" t="s">
        <v>24</v>
      </c>
      <c r="D7881" s="7">
        <v>241</v>
      </c>
      <c r="E7881" s="7">
        <v>36</v>
      </c>
      <c r="F7881" s="7">
        <f t="shared" si="123"/>
        <v>3</v>
      </c>
      <c r="G7881" s="7" t="str">
        <f>LOOKUP(H7881,[1]startdates!$A$2:$A$10,[1]startdates!$B$2:$B$10)</f>
        <v>C</v>
      </c>
      <c r="H7881">
        <v>3</v>
      </c>
      <c r="I7881" s="7">
        <v>596.5</v>
      </c>
      <c r="L7881" s="7">
        <v>453.1</v>
      </c>
      <c r="M7881" s="7">
        <v>314.7</v>
      </c>
      <c r="N7881" s="7">
        <v>261.5</v>
      </c>
      <c r="O7881" s="7">
        <v>166.5</v>
      </c>
    </row>
    <row r="7882" spans="1:21" x14ac:dyDescent="0.2">
      <c r="A7882">
        <v>7881</v>
      </c>
      <c r="B7882" s="1">
        <v>40981</v>
      </c>
      <c r="C7882" t="s">
        <v>24</v>
      </c>
      <c r="D7882" s="7">
        <v>241</v>
      </c>
      <c r="E7882" s="7">
        <v>36</v>
      </c>
      <c r="F7882" s="7">
        <f t="shared" si="123"/>
        <v>3</v>
      </c>
      <c r="G7882" s="7" t="str">
        <f>LOOKUP(H7882,[1]startdates!$A$2:$A$10,[1]startdates!$B$2:$B$10)</f>
        <v>C</v>
      </c>
      <c r="H7882">
        <v>3</v>
      </c>
      <c r="I7882" s="7">
        <v>527.4</v>
      </c>
      <c r="L7882" s="7">
        <v>432.2</v>
      </c>
      <c r="N7882" s="7">
        <v>242.5</v>
      </c>
      <c r="O7882" s="7">
        <v>155.4</v>
      </c>
    </row>
    <row r="7883" spans="1:21" x14ac:dyDescent="0.2">
      <c r="A7883">
        <v>7882</v>
      </c>
      <c r="B7883" s="1">
        <v>40981</v>
      </c>
      <c r="C7883" t="s">
        <v>24</v>
      </c>
      <c r="D7883" s="7">
        <v>241</v>
      </c>
      <c r="E7883" s="7">
        <v>36</v>
      </c>
      <c r="F7883" s="7">
        <f t="shared" si="123"/>
        <v>3</v>
      </c>
      <c r="G7883" s="7" t="str">
        <f>LOOKUP(H7883,[1]startdates!$A$2:$A$10,[1]startdates!$B$2:$B$10)</f>
        <v>C</v>
      </c>
      <c r="H7883">
        <v>3</v>
      </c>
      <c r="I7883" s="7">
        <v>586.29999999999995</v>
      </c>
      <c r="N7883" s="7">
        <v>218.7</v>
      </c>
      <c r="O7883" s="7">
        <v>162.19999999999999</v>
      </c>
    </row>
    <row r="7884" spans="1:21" x14ac:dyDescent="0.2">
      <c r="A7884">
        <v>7883</v>
      </c>
      <c r="B7884" s="1">
        <v>40981</v>
      </c>
      <c r="C7884" t="s">
        <v>24</v>
      </c>
      <c r="D7884" s="7">
        <v>241</v>
      </c>
      <c r="E7884" s="7">
        <v>36</v>
      </c>
      <c r="F7884" s="7">
        <f t="shared" si="123"/>
        <v>3</v>
      </c>
      <c r="G7884" s="7" t="str">
        <f>LOOKUP(H7884,[1]startdates!$A$2:$A$10,[1]startdates!$B$2:$B$10)</f>
        <v>C</v>
      </c>
      <c r="H7884">
        <v>3</v>
      </c>
      <c r="I7884" s="7">
        <v>510.9</v>
      </c>
      <c r="O7884" s="7">
        <v>181.3</v>
      </c>
    </row>
    <row r="7885" spans="1:21" x14ac:dyDescent="0.2">
      <c r="A7885">
        <v>7884</v>
      </c>
      <c r="B7885" s="1">
        <v>40981</v>
      </c>
      <c r="C7885" t="s">
        <v>24</v>
      </c>
      <c r="D7885" s="7">
        <v>241</v>
      </c>
      <c r="E7885" s="7">
        <v>36</v>
      </c>
      <c r="F7885" s="7">
        <f t="shared" si="123"/>
        <v>3</v>
      </c>
      <c r="G7885" s="7" t="str">
        <f>LOOKUP(H7885,[1]startdates!$A$2:$A$10,[1]startdates!$B$2:$B$10)</f>
        <v>C</v>
      </c>
      <c r="H7885">
        <v>3</v>
      </c>
      <c r="I7885" s="7">
        <v>505.5</v>
      </c>
    </row>
    <row r="7886" spans="1:21" x14ac:dyDescent="0.2">
      <c r="A7886">
        <v>7885</v>
      </c>
      <c r="B7886" s="1">
        <v>40981</v>
      </c>
      <c r="C7886" t="s">
        <v>24</v>
      </c>
      <c r="D7886" s="7">
        <v>241</v>
      </c>
      <c r="E7886" s="7">
        <v>36</v>
      </c>
      <c r="F7886" s="7">
        <f t="shared" si="123"/>
        <v>3</v>
      </c>
      <c r="G7886" s="7" t="str">
        <f>LOOKUP(H7886,[1]startdates!$A$2:$A$10,[1]startdates!$B$2:$B$10)</f>
        <v>C</v>
      </c>
      <c r="H7886">
        <v>3</v>
      </c>
      <c r="I7886" s="7">
        <v>554.20000000000005</v>
      </c>
    </row>
    <row r="7887" spans="1:21" x14ac:dyDescent="0.2">
      <c r="A7887">
        <v>7886</v>
      </c>
      <c r="B7887" s="1">
        <v>40981</v>
      </c>
      <c r="C7887" t="s">
        <v>24</v>
      </c>
      <c r="D7887" s="7">
        <v>241</v>
      </c>
      <c r="E7887" s="7">
        <v>36</v>
      </c>
      <c r="F7887" s="7">
        <f t="shared" si="123"/>
        <v>3</v>
      </c>
      <c r="G7887" s="7" t="str">
        <f>LOOKUP(H7887,[1]startdates!$A$2:$A$10,[1]startdates!$B$2:$B$10)</f>
        <v>C</v>
      </c>
      <c r="H7887">
        <v>3</v>
      </c>
      <c r="I7887" s="7">
        <v>621.70000000000005</v>
      </c>
    </row>
    <row r="7888" spans="1:21" x14ac:dyDescent="0.2">
      <c r="A7888">
        <v>7887</v>
      </c>
      <c r="B7888" s="1">
        <v>40981</v>
      </c>
      <c r="C7888" t="s">
        <v>24</v>
      </c>
      <c r="D7888" s="7">
        <v>241</v>
      </c>
      <c r="E7888" s="7">
        <v>36</v>
      </c>
      <c r="F7888" s="7">
        <f t="shared" si="123"/>
        <v>3</v>
      </c>
      <c r="G7888" s="7" t="str">
        <f>LOOKUP(H7888,[1]startdates!$A$2:$A$10,[1]startdates!$B$2:$B$10)</f>
        <v>SMr</v>
      </c>
      <c r="H7888">
        <v>4</v>
      </c>
      <c r="I7888" s="7">
        <v>391</v>
      </c>
      <c r="J7888" s="7">
        <v>526.5</v>
      </c>
      <c r="K7888" s="7">
        <v>555</v>
      </c>
      <c r="L7888" s="7">
        <v>441.3</v>
      </c>
      <c r="M7888" s="7">
        <v>305.60000000000002</v>
      </c>
      <c r="N7888" s="7">
        <v>216.8</v>
      </c>
      <c r="O7888" s="7">
        <v>178.7</v>
      </c>
      <c r="Q7888" s="7">
        <v>390.2</v>
      </c>
      <c r="R7888" s="7">
        <v>237.5</v>
      </c>
      <c r="U7888" s="7">
        <v>477.9</v>
      </c>
    </row>
    <row r="7889" spans="1:21" x14ac:dyDescent="0.2">
      <c r="A7889">
        <v>7888</v>
      </c>
      <c r="B7889" s="1">
        <v>40981</v>
      </c>
      <c r="C7889" t="s">
        <v>24</v>
      </c>
      <c r="D7889" s="7">
        <v>241</v>
      </c>
      <c r="E7889" s="7">
        <v>36</v>
      </c>
      <c r="F7889" s="7">
        <f t="shared" si="123"/>
        <v>3</v>
      </c>
      <c r="G7889" s="7" t="str">
        <f>LOOKUP(H7889,[1]startdates!$A$2:$A$10,[1]startdates!$B$2:$B$10)</f>
        <v>SMr</v>
      </c>
      <c r="H7889">
        <v>4</v>
      </c>
      <c r="I7889" s="7">
        <v>360.2</v>
      </c>
      <c r="K7889" s="7">
        <v>503.4</v>
      </c>
      <c r="M7889" s="7">
        <v>366.3</v>
      </c>
      <c r="N7889" s="7">
        <v>188.7</v>
      </c>
      <c r="O7889" s="7">
        <v>172.1</v>
      </c>
      <c r="Q7889" s="7">
        <v>336.6</v>
      </c>
      <c r="U7889" s="7">
        <v>465.1</v>
      </c>
    </row>
    <row r="7890" spans="1:21" x14ac:dyDescent="0.2">
      <c r="A7890">
        <v>7889</v>
      </c>
      <c r="B7890" s="1">
        <v>40981</v>
      </c>
      <c r="C7890" t="s">
        <v>24</v>
      </c>
      <c r="D7890" s="7">
        <v>241</v>
      </c>
      <c r="E7890" s="7">
        <v>36</v>
      </c>
      <c r="F7890" s="7">
        <f t="shared" si="123"/>
        <v>3</v>
      </c>
      <c r="G7890" s="7" t="str">
        <f>LOOKUP(H7890,[1]startdates!$A$2:$A$10,[1]startdates!$B$2:$B$10)</f>
        <v>SMr</v>
      </c>
      <c r="H7890">
        <v>4</v>
      </c>
      <c r="I7890" s="7">
        <v>631.1</v>
      </c>
      <c r="K7890" s="7">
        <v>483.1</v>
      </c>
      <c r="M7890" s="7">
        <v>327.5</v>
      </c>
      <c r="N7890" s="7">
        <v>248.4</v>
      </c>
      <c r="O7890" s="7">
        <v>199.1</v>
      </c>
      <c r="U7890" s="7">
        <v>529.79999999999995</v>
      </c>
    </row>
    <row r="7891" spans="1:21" x14ac:dyDescent="0.2">
      <c r="A7891">
        <v>7890</v>
      </c>
      <c r="B7891" s="1">
        <v>40981</v>
      </c>
      <c r="C7891" t="s">
        <v>24</v>
      </c>
      <c r="D7891" s="7">
        <v>241</v>
      </c>
      <c r="E7891" s="7">
        <v>36</v>
      </c>
      <c r="F7891" s="7">
        <f t="shared" si="123"/>
        <v>3</v>
      </c>
      <c r="G7891" s="7" t="str">
        <f>LOOKUP(H7891,[1]startdates!$A$2:$A$10,[1]startdates!$B$2:$B$10)</f>
        <v>SMr</v>
      </c>
      <c r="H7891">
        <v>4</v>
      </c>
      <c r="I7891" s="7">
        <v>618.79999999999995</v>
      </c>
      <c r="K7891" s="7">
        <v>529.79999999999995</v>
      </c>
      <c r="M7891" s="7">
        <v>316.3</v>
      </c>
      <c r="N7891" s="7">
        <v>244.8</v>
      </c>
      <c r="O7891" s="7">
        <v>179.5</v>
      </c>
      <c r="U7891" s="7">
        <v>525.4</v>
      </c>
    </row>
    <row r="7892" spans="1:21" x14ac:dyDescent="0.2">
      <c r="A7892">
        <v>7891</v>
      </c>
      <c r="B7892" s="1">
        <v>40981</v>
      </c>
      <c r="C7892" t="s">
        <v>24</v>
      </c>
      <c r="D7892" s="7">
        <v>241</v>
      </c>
      <c r="E7892" s="7">
        <v>36</v>
      </c>
      <c r="F7892" s="7">
        <f t="shared" si="123"/>
        <v>3</v>
      </c>
      <c r="G7892" s="7" t="str">
        <f>LOOKUP(H7892,[1]startdates!$A$2:$A$10,[1]startdates!$B$2:$B$10)</f>
        <v>SMr</v>
      </c>
      <c r="H7892">
        <v>4</v>
      </c>
      <c r="I7892" s="7">
        <v>620.70000000000005</v>
      </c>
      <c r="K7892" s="7">
        <v>486.8</v>
      </c>
      <c r="N7892" s="7">
        <v>228.4</v>
      </c>
      <c r="O7892" s="7">
        <v>170.8</v>
      </c>
      <c r="U7892" s="7">
        <v>440</v>
      </c>
    </row>
    <row r="7893" spans="1:21" x14ac:dyDescent="0.2">
      <c r="A7893">
        <v>7892</v>
      </c>
      <c r="B7893" s="1">
        <v>40981</v>
      </c>
      <c r="C7893" t="s">
        <v>24</v>
      </c>
      <c r="D7893" s="7">
        <v>241</v>
      </c>
      <c r="E7893" s="7">
        <v>36</v>
      </c>
      <c r="F7893" s="7">
        <f t="shared" si="123"/>
        <v>3</v>
      </c>
      <c r="G7893" s="7" t="str">
        <f>LOOKUP(H7893,[1]startdates!$A$2:$A$10,[1]startdates!$B$2:$B$10)</f>
        <v>SMr</v>
      </c>
      <c r="H7893">
        <v>4</v>
      </c>
      <c r="I7893" s="7">
        <v>545.6</v>
      </c>
      <c r="K7893" s="7">
        <v>497.9</v>
      </c>
      <c r="N7893" s="7">
        <v>221.7</v>
      </c>
      <c r="O7893" s="7">
        <v>174.6</v>
      </c>
      <c r="U7893" s="7">
        <v>552.9</v>
      </c>
    </row>
    <row r="7894" spans="1:21" x14ac:dyDescent="0.2">
      <c r="A7894">
        <v>7893</v>
      </c>
      <c r="B7894" s="1">
        <v>40981</v>
      </c>
      <c r="C7894" t="s">
        <v>24</v>
      </c>
      <c r="D7894" s="7">
        <v>241</v>
      </c>
      <c r="E7894" s="7">
        <v>36</v>
      </c>
      <c r="F7894" s="7">
        <f t="shared" si="123"/>
        <v>3</v>
      </c>
      <c r="G7894" s="7" t="str">
        <f>LOOKUP(H7894,[1]startdates!$A$2:$A$10,[1]startdates!$B$2:$B$10)</f>
        <v>SMr</v>
      </c>
      <c r="H7894">
        <v>4</v>
      </c>
      <c r="I7894" s="7">
        <v>590.20000000000005</v>
      </c>
      <c r="N7894" s="7">
        <v>198.2</v>
      </c>
      <c r="O7894" s="7">
        <v>152.6</v>
      </c>
      <c r="U7894" s="7">
        <v>508.3</v>
      </c>
    </row>
    <row r="7895" spans="1:21" x14ac:dyDescent="0.2">
      <c r="A7895">
        <v>7894</v>
      </c>
      <c r="B7895" s="1">
        <v>40981</v>
      </c>
      <c r="C7895" t="s">
        <v>24</v>
      </c>
      <c r="D7895" s="7">
        <v>241</v>
      </c>
      <c r="E7895" s="7">
        <v>36</v>
      </c>
      <c r="F7895" s="7">
        <f t="shared" si="123"/>
        <v>3</v>
      </c>
      <c r="G7895" s="7" t="str">
        <f>LOOKUP(H7895,[1]startdates!$A$2:$A$10,[1]startdates!$B$2:$B$10)</f>
        <v>SMr</v>
      </c>
      <c r="H7895">
        <v>4</v>
      </c>
      <c r="I7895" s="7">
        <v>635.79999999999995</v>
      </c>
      <c r="N7895" s="7">
        <v>235.5</v>
      </c>
      <c r="O7895" s="7">
        <v>171.2</v>
      </c>
    </row>
    <row r="7896" spans="1:21" x14ac:dyDescent="0.2">
      <c r="A7896">
        <v>7895</v>
      </c>
      <c r="B7896" s="1">
        <v>40981</v>
      </c>
      <c r="C7896" t="s">
        <v>24</v>
      </c>
      <c r="D7896" s="7">
        <v>241</v>
      </c>
      <c r="E7896" s="7">
        <v>36</v>
      </c>
      <c r="F7896" s="7">
        <f t="shared" si="123"/>
        <v>3</v>
      </c>
      <c r="G7896" s="7" t="str">
        <f>LOOKUP(H7896,[1]startdates!$A$2:$A$10,[1]startdates!$B$2:$B$10)</f>
        <v>SMr</v>
      </c>
      <c r="H7896">
        <v>4</v>
      </c>
      <c r="I7896" s="7">
        <v>625</v>
      </c>
      <c r="N7896" s="7">
        <v>255.3</v>
      </c>
      <c r="O7896" s="7">
        <v>204.6</v>
      </c>
    </row>
    <row r="7897" spans="1:21" x14ac:dyDescent="0.2">
      <c r="A7897">
        <v>7896</v>
      </c>
      <c r="B7897" s="1">
        <v>40981</v>
      </c>
      <c r="C7897" t="s">
        <v>24</v>
      </c>
      <c r="D7897" s="7">
        <v>241</v>
      </c>
      <c r="E7897" s="7">
        <v>36</v>
      </c>
      <c r="F7897" s="7">
        <f t="shared" si="123"/>
        <v>3</v>
      </c>
      <c r="G7897" s="7" t="str">
        <f>LOOKUP(H7897,[1]startdates!$A$2:$A$10,[1]startdates!$B$2:$B$10)</f>
        <v>SMr</v>
      </c>
      <c r="H7897">
        <v>4</v>
      </c>
      <c r="I7897" s="7">
        <v>566.4</v>
      </c>
      <c r="O7897" s="7">
        <v>186.3</v>
      </c>
    </row>
    <row r="7898" spans="1:21" x14ac:dyDescent="0.2">
      <c r="A7898">
        <v>7897</v>
      </c>
      <c r="B7898" s="1">
        <v>40981</v>
      </c>
      <c r="C7898" t="s">
        <v>28</v>
      </c>
      <c r="D7898" s="7">
        <v>241</v>
      </c>
      <c r="E7898" s="7">
        <v>36</v>
      </c>
      <c r="F7898" s="7">
        <f t="shared" si="123"/>
        <v>3</v>
      </c>
      <c r="G7898" s="7" t="str">
        <f>LOOKUP(H7898,[1]startdates!$A$2:$A$10,[1]startdates!$B$2:$B$10)</f>
        <v>C</v>
      </c>
      <c r="H7898">
        <v>5</v>
      </c>
      <c r="I7898" s="7">
        <v>526</v>
      </c>
      <c r="J7898" s="7">
        <v>555.79999999999995</v>
      </c>
      <c r="K7898" s="7">
        <v>500.6</v>
      </c>
      <c r="L7898" s="7">
        <v>436.1</v>
      </c>
      <c r="M7898" s="7">
        <v>331.1</v>
      </c>
      <c r="N7898" s="7">
        <v>279.7</v>
      </c>
      <c r="O7898" s="7">
        <v>185.4</v>
      </c>
      <c r="P7898" s="7">
        <v>479.3</v>
      </c>
      <c r="Q7898" s="7">
        <v>350.5</v>
      </c>
      <c r="R7898" s="7">
        <v>268.39999999999998</v>
      </c>
    </row>
    <row r="7899" spans="1:21" x14ac:dyDescent="0.2">
      <c r="A7899">
        <v>7898</v>
      </c>
      <c r="B7899" s="1">
        <v>40981</v>
      </c>
      <c r="C7899" t="s">
        <v>28</v>
      </c>
      <c r="D7899" s="7">
        <v>241</v>
      </c>
      <c r="E7899" s="7">
        <v>36</v>
      </c>
      <c r="F7899" s="7">
        <f t="shared" si="123"/>
        <v>3</v>
      </c>
      <c r="G7899" s="7" t="str">
        <f>LOOKUP(H7899,[1]startdates!$A$2:$A$10,[1]startdates!$B$2:$B$10)</f>
        <v>C</v>
      </c>
      <c r="H7899">
        <v>5</v>
      </c>
      <c r="I7899" s="7">
        <v>622</v>
      </c>
      <c r="J7899" s="7">
        <v>540.79999999999995</v>
      </c>
      <c r="K7899" s="7">
        <v>482.4</v>
      </c>
      <c r="L7899" s="7">
        <v>395.5</v>
      </c>
      <c r="M7899" s="7">
        <v>315.5</v>
      </c>
      <c r="N7899" s="7">
        <v>256.39999999999998</v>
      </c>
      <c r="O7899" s="7">
        <v>158.80000000000001</v>
      </c>
      <c r="Q7899" s="7">
        <v>363.1</v>
      </c>
    </row>
    <row r="7900" spans="1:21" x14ac:dyDescent="0.2">
      <c r="A7900">
        <v>7899</v>
      </c>
      <c r="B7900" s="1">
        <v>40981</v>
      </c>
      <c r="C7900" t="s">
        <v>28</v>
      </c>
      <c r="D7900" s="7">
        <v>241</v>
      </c>
      <c r="E7900" s="7">
        <v>36</v>
      </c>
      <c r="F7900" s="7">
        <f t="shared" si="123"/>
        <v>3</v>
      </c>
      <c r="G7900" s="7" t="str">
        <f>LOOKUP(H7900,[1]startdates!$A$2:$A$10,[1]startdates!$B$2:$B$10)</f>
        <v>C</v>
      </c>
      <c r="H7900">
        <v>5</v>
      </c>
      <c r="I7900" s="7">
        <v>706.3</v>
      </c>
      <c r="K7900" s="7">
        <v>511.7</v>
      </c>
      <c r="L7900" s="7">
        <v>411.1</v>
      </c>
      <c r="M7900" s="7">
        <v>357.9</v>
      </c>
      <c r="N7900" s="7">
        <v>184</v>
      </c>
      <c r="O7900" s="7">
        <v>147.30000000000001</v>
      </c>
      <c r="Q7900" s="7">
        <v>351.7</v>
      </c>
    </row>
    <row r="7901" spans="1:21" x14ac:dyDescent="0.2">
      <c r="A7901">
        <v>7900</v>
      </c>
      <c r="B7901" s="1">
        <v>40981</v>
      </c>
      <c r="C7901" t="s">
        <v>28</v>
      </c>
      <c r="D7901" s="7">
        <v>241</v>
      </c>
      <c r="E7901" s="7">
        <v>36</v>
      </c>
      <c r="F7901" s="7">
        <f t="shared" si="123"/>
        <v>3</v>
      </c>
      <c r="G7901" s="7" t="str">
        <f>LOOKUP(H7901,[1]startdates!$A$2:$A$10,[1]startdates!$B$2:$B$10)</f>
        <v>C</v>
      </c>
      <c r="H7901">
        <v>5</v>
      </c>
      <c r="I7901" s="7">
        <v>657.5</v>
      </c>
      <c r="K7901" s="7">
        <v>446</v>
      </c>
      <c r="L7901" s="7">
        <v>398.4</v>
      </c>
      <c r="M7901" s="7">
        <v>299.5</v>
      </c>
      <c r="N7901" s="7">
        <v>216.6</v>
      </c>
      <c r="O7901" s="7">
        <v>171.6</v>
      </c>
    </row>
    <row r="7902" spans="1:21" x14ac:dyDescent="0.2">
      <c r="A7902">
        <v>7901</v>
      </c>
      <c r="B7902" s="1">
        <v>40981</v>
      </c>
      <c r="C7902" t="s">
        <v>28</v>
      </c>
      <c r="D7902" s="7">
        <v>241</v>
      </c>
      <c r="E7902" s="7">
        <v>36</v>
      </c>
      <c r="F7902" s="7">
        <f t="shared" si="123"/>
        <v>3</v>
      </c>
      <c r="G7902" s="7" t="str">
        <f>LOOKUP(H7902,[1]startdates!$A$2:$A$10,[1]startdates!$B$2:$B$10)</f>
        <v>C</v>
      </c>
      <c r="H7902">
        <v>5</v>
      </c>
      <c r="I7902" s="7">
        <v>652.6</v>
      </c>
      <c r="L7902" s="7">
        <v>477.6</v>
      </c>
      <c r="M7902" s="7">
        <v>320.8</v>
      </c>
      <c r="N7902" s="7">
        <v>204.2</v>
      </c>
      <c r="O7902" s="7">
        <v>171.9</v>
      </c>
    </row>
    <row r="7903" spans="1:21" x14ac:dyDescent="0.2">
      <c r="A7903">
        <v>7902</v>
      </c>
      <c r="B7903" s="1">
        <v>40981</v>
      </c>
      <c r="C7903" t="s">
        <v>28</v>
      </c>
      <c r="D7903" s="7">
        <v>241</v>
      </c>
      <c r="E7903" s="7">
        <v>36</v>
      </c>
      <c r="F7903" s="7">
        <f t="shared" si="123"/>
        <v>3</v>
      </c>
      <c r="G7903" s="7" t="str">
        <f>LOOKUP(H7903,[1]startdates!$A$2:$A$10,[1]startdates!$B$2:$B$10)</f>
        <v>C</v>
      </c>
      <c r="H7903">
        <v>5</v>
      </c>
      <c r="I7903" s="7">
        <v>569.29999999999995</v>
      </c>
      <c r="L7903" s="7">
        <v>431.4</v>
      </c>
      <c r="M7903" s="7">
        <v>376.1</v>
      </c>
      <c r="N7903" s="7">
        <v>195.1</v>
      </c>
      <c r="O7903" s="7">
        <v>167.1</v>
      </c>
    </row>
    <row r="7904" spans="1:21" x14ac:dyDescent="0.2">
      <c r="A7904">
        <v>7903</v>
      </c>
      <c r="B7904" s="1">
        <v>40981</v>
      </c>
      <c r="C7904" t="s">
        <v>28</v>
      </c>
      <c r="D7904" s="7">
        <v>241</v>
      </c>
      <c r="E7904" s="7">
        <v>36</v>
      </c>
      <c r="F7904" s="7">
        <f t="shared" si="123"/>
        <v>3</v>
      </c>
      <c r="G7904" s="7" t="str">
        <f>LOOKUP(H7904,[1]startdates!$A$2:$A$10,[1]startdates!$B$2:$B$10)</f>
        <v>C</v>
      </c>
      <c r="H7904">
        <v>5</v>
      </c>
      <c r="I7904" s="7">
        <v>600.5</v>
      </c>
      <c r="L7904" s="7">
        <v>453.3</v>
      </c>
      <c r="M7904" s="7">
        <v>319.89999999999998</v>
      </c>
      <c r="N7904" s="7">
        <v>227.1</v>
      </c>
      <c r="O7904" s="7">
        <v>146.6</v>
      </c>
    </row>
    <row r="7905" spans="1:22" x14ac:dyDescent="0.2">
      <c r="A7905">
        <v>7904</v>
      </c>
      <c r="B7905" s="1">
        <v>40981</v>
      </c>
      <c r="C7905" t="s">
        <v>28</v>
      </c>
      <c r="D7905" s="7">
        <v>241</v>
      </c>
      <c r="E7905" s="7">
        <v>36</v>
      </c>
      <c r="F7905" s="7">
        <f t="shared" si="123"/>
        <v>3</v>
      </c>
      <c r="G7905" s="7" t="str">
        <f>LOOKUP(H7905,[1]startdates!$A$2:$A$10,[1]startdates!$B$2:$B$10)</f>
        <v>C</v>
      </c>
      <c r="H7905">
        <v>5</v>
      </c>
      <c r="I7905" s="7">
        <v>585.5</v>
      </c>
      <c r="L7905" s="7">
        <v>411</v>
      </c>
      <c r="M7905" s="7">
        <v>349.5</v>
      </c>
      <c r="N7905" s="7">
        <v>253.2</v>
      </c>
      <c r="O7905" s="7">
        <v>164.9</v>
      </c>
    </row>
    <row r="7906" spans="1:22" x14ac:dyDescent="0.2">
      <c r="A7906">
        <v>7905</v>
      </c>
      <c r="B7906" s="1">
        <v>40981</v>
      </c>
      <c r="C7906" t="s">
        <v>28</v>
      </c>
      <c r="D7906" s="7">
        <v>241</v>
      </c>
      <c r="E7906" s="7">
        <v>36</v>
      </c>
      <c r="F7906" s="7">
        <f t="shared" si="123"/>
        <v>3</v>
      </c>
      <c r="G7906" s="7" t="str">
        <f>LOOKUP(H7906,[1]startdates!$A$2:$A$10,[1]startdates!$B$2:$B$10)</f>
        <v>C</v>
      </c>
      <c r="H7906">
        <v>5</v>
      </c>
      <c r="I7906" s="7">
        <v>595.6</v>
      </c>
      <c r="M7906" s="7">
        <v>378.9</v>
      </c>
      <c r="N7906" s="7">
        <v>268</v>
      </c>
      <c r="O7906" s="7">
        <v>162</v>
      </c>
    </row>
    <row r="7907" spans="1:22" x14ac:dyDescent="0.2">
      <c r="A7907">
        <v>7906</v>
      </c>
      <c r="B7907" s="1">
        <v>40981</v>
      </c>
      <c r="C7907" t="s">
        <v>28</v>
      </c>
      <c r="D7907" s="7">
        <v>241</v>
      </c>
      <c r="E7907" s="7">
        <v>36</v>
      </c>
      <c r="F7907" s="7">
        <f t="shared" si="123"/>
        <v>3</v>
      </c>
      <c r="G7907" s="7" t="str">
        <f>LOOKUP(H7907,[1]startdates!$A$2:$A$10,[1]startdates!$B$2:$B$10)</f>
        <v>C</v>
      </c>
      <c r="H7907">
        <v>5</v>
      </c>
      <c r="I7907" s="7">
        <v>570.20000000000005</v>
      </c>
      <c r="M7907" s="7">
        <v>352.3</v>
      </c>
      <c r="N7907" s="7">
        <v>218.9</v>
      </c>
      <c r="O7907" s="7">
        <v>150.19999999999999</v>
      </c>
    </row>
    <row r="7908" spans="1:22" x14ac:dyDescent="0.2">
      <c r="A7908">
        <v>7907</v>
      </c>
      <c r="B7908" s="1">
        <v>40981</v>
      </c>
      <c r="C7908" t="s">
        <v>28</v>
      </c>
      <c r="D7908" s="7">
        <v>241</v>
      </c>
      <c r="E7908" s="7">
        <v>36</v>
      </c>
      <c r="F7908" s="7">
        <f t="shared" si="123"/>
        <v>3</v>
      </c>
      <c r="G7908" s="7" t="str">
        <f>LOOKUP(H7908,[1]startdates!$A$2:$A$10,[1]startdates!$B$2:$B$10)</f>
        <v>FMr</v>
      </c>
      <c r="H7908">
        <v>6</v>
      </c>
      <c r="I7908" s="7">
        <v>625.20000000000005</v>
      </c>
      <c r="J7908" s="7">
        <v>508.9</v>
      </c>
      <c r="K7908" s="7">
        <v>494.8</v>
      </c>
      <c r="L7908" s="7">
        <v>423.4</v>
      </c>
      <c r="M7908" s="7">
        <v>316.8</v>
      </c>
      <c r="N7908" s="7">
        <v>185.3</v>
      </c>
      <c r="O7908" s="7">
        <v>170</v>
      </c>
      <c r="P7908" s="7">
        <v>406.7</v>
      </c>
      <c r="Q7908" s="7">
        <v>350.2</v>
      </c>
      <c r="R7908" s="7">
        <v>278.89999999999998</v>
      </c>
    </row>
    <row r="7909" spans="1:22" x14ac:dyDescent="0.2">
      <c r="A7909">
        <v>7908</v>
      </c>
      <c r="B7909" s="1">
        <v>40981</v>
      </c>
      <c r="C7909" t="s">
        <v>28</v>
      </c>
      <c r="D7909" s="7">
        <v>241</v>
      </c>
      <c r="E7909" s="7">
        <v>36</v>
      </c>
      <c r="F7909" s="7">
        <f t="shared" si="123"/>
        <v>3</v>
      </c>
      <c r="G7909" s="7" t="str">
        <f>LOOKUP(H7909,[1]startdates!$A$2:$A$10,[1]startdates!$B$2:$B$10)</f>
        <v>FMr</v>
      </c>
      <c r="H7909">
        <v>6</v>
      </c>
      <c r="I7909" s="7">
        <v>591.29999999999995</v>
      </c>
      <c r="K7909" s="7">
        <v>462.2</v>
      </c>
      <c r="L7909" s="7">
        <v>416.1</v>
      </c>
      <c r="M7909" s="7">
        <v>355.5</v>
      </c>
      <c r="N7909" s="7">
        <v>256.39999999999998</v>
      </c>
      <c r="O7909" s="7">
        <v>162.69999999999999</v>
      </c>
      <c r="P7909" s="7">
        <v>390.6</v>
      </c>
    </row>
    <row r="7910" spans="1:22" x14ac:dyDescent="0.2">
      <c r="A7910">
        <v>7909</v>
      </c>
      <c r="B7910" s="1">
        <v>40981</v>
      </c>
      <c r="C7910" t="s">
        <v>28</v>
      </c>
      <c r="D7910" s="7">
        <v>241</v>
      </c>
      <c r="E7910" s="7">
        <v>36</v>
      </c>
      <c r="F7910" s="7">
        <f t="shared" si="123"/>
        <v>3</v>
      </c>
      <c r="G7910" s="7" t="str">
        <f>LOOKUP(H7910,[1]startdates!$A$2:$A$10,[1]startdates!$B$2:$B$10)</f>
        <v>FMr</v>
      </c>
      <c r="H7910">
        <v>6</v>
      </c>
      <c r="I7910" s="7">
        <v>592.9</v>
      </c>
      <c r="K7910" s="7">
        <v>595.1</v>
      </c>
      <c r="L7910" s="7">
        <v>409.8</v>
      </c>
      <c r="M7910" s="7">
        <v>320.60000000000002</v>
      </c>
      <c r="N7910" s="7">
        <v>243.4</v>
      </c>
      <c r="O7910" s="7">
        <v>141.1</v>
      </c>
      <c r="P7910" s="7">
        <v>411.1</v>
      </c>
    </row>
    <row r="7911" spans="1:22" x14ac:dyDescent="0.2">
      <c r="A7911">
        <v>7910</v>
      </c>
      <c r="B7911" s="1">
        <v>40981</v>
      </c>
      <c r="C7911" t="s">
        <v>28</v>
      </c>
      <c r="D7911" s="7">
        <v>241</v>
      </c>
      <c r="E7911" s="7">
        <v>36</v>
      </c>
      <c r="F7911" s="7">
        <f t="shared" si="123"/>
        <v>3</v>
      </c>
      <c r="G7911" s="7" t="str">
        <f>LOOKUP(H7911,[1]startdates!$A$2:$A$10,[1]startdates!$B$2:$B$10)</f>
        <v>FMr</v>
      </c>
      <c r="H7911">
        <v>6</v>
      </c>
      <c r="I7911" s="7">
        <v>494.1</v>
      </c>
      <c r="K7911" s="7">
        <v>470.8</v>
      </c>
      <c r="L7911" s="7">
        <v>414.3</v>
      </c>
      <c r="M7911" s="7">
        <v>328.1</v>
      </c>
      <c r="N7911" s="7">
        <v>222.6</v>
      </c>
      <c r="O7911" s="7">
        <v>136.30000000000001</v>
      </c>
    </row>
    <row r="7912" spans="1:22" x14ac:dyDescent="0.2">
      <c r="A7912">
        <v>7911</v>
      </c>
      <c r="B7912" s="1">
        <v>40981</v>
      </c>
      <c r="C7912" t="s">
        <v>28</v>
      </c>
      <c r="D7912" s="7">
        <v>241</v>
      </c>
      <c r="E7912" s="7">
        <v>36</v>
      </c>
      <c r="F7912" s="7">
        <f t="shared" si="123"/>
        <v>3</v>
      </c>
      <c r="G7912" s="7" t="str">
        <f>LOOKUP(H7912,[1]startdates!$A$2:$A$10,[1]startdates!$B$2:$B$10)</f>
        <v>FMr</v>
      </c>
      <c r="H7912">
        <v>6</v>
      </c>
      <c r="I7912" s="7">
        <v>629.5</v>
      </c>
      <c r="K7912" s="7">
        <v>495.1</v>
      </c>
      <c r="L7912" s="7">
        <v>396.2</v>
      </c>
      <c r="M7912" s="7">
        <v>376.7</v>
      </c>
      <c r="N7912" s="7">
        <v>226.5</v>
      </c>
      <c r="O7912" s="7">
        <v>146</v>
      </c>
    </row>
    <row r="7913" spans="1:22" x14ac:dyDescent="0.2">
      <c r="A7913">
        <v>7912</v>
      </c>
      <c r="B7913" s="1">
        <v>40981</v>
      </c>
      <c r="C7913" t="s">
        <v>28</v>
      </c>
      <c r="D7913" s="7">
        <v>241</v>
      </c>
      <c r="E7913" s="7">
        <v>36</v>
      </c>
      <c r="F7913" s="7">
        <f t="shared" ref="F7913:F7976" si="124">WEEKDAY(B7913)</f>
        <v>3</v>
      </c>
      <c r="G7913" s="7" t="str">
        <f>LOOKUP(H7913,[1]startdates!$A$2:$A$10,[1]startdates!$B$2:$B$10)</f>
        <v>FMr</v>
      </c>
      <c r="H7913">
        <v>6</v>
      </c>
      <c r="I7913" s="7">
        <v>530.20000000000005</v>
      </c>
      <c r="K7913" s="7">
        <v>470.9</v>
      </c>
      <c r="L7913" s="7">
        <v>390.9</v>
      </c>
      <c r="M7913" s="7">
        <v>339.4</v>
      </c>
      <c r="N7913" s="7">
        <v>232.2</v>
      </c>
      <c r="O7913" s="7">
        <v>151.80000000000001</v>
      </c>
    </row>
    <row r="7914" spans="1:22" x14ac:dyDescent="0.2">
      <c r="A7914">
        <v>7913</v>
      </c>
      <c r="B7914" s="1">
        <v>40981</v>
      </c>
      <c r="C7914" t="s">
        <v>28</v>
      </c>
      <c r="D7914" s="7">
        <v>241</v>
      </c>
      <c r="E7914" s="7">
        <v>36</v>
      </c>
      <c r="F7914" s="7">
        <f t="shared" si="124"/>
        <v>3</v>
      </c>
      <c r="G7914" s="7" t="str">
        <f>LOOKUP(H7914,[1]startdates!$A$2:$A$10,[1]startdates!$B$2:$B$10)</f>
        <v>FMr</v>
      </c>
      <c r="H7914">
        <v>6</v>
      </c>
      <c r="I7914" s="7">
        <v>533.29999999999995</v>
      </c>
      <c r="K7914" s="7">
        <v>584</v>
      </c>
      <c r="L7914" s="7">
        <v>395.6</v>
      </c>
      <c r="M7914" s="7">
        <v>341.3</v>
      </c>
      <c r="N7914" s="7">
        <v>219.7</v>
      </c>
      <c r="O7914" s="7">
        <v>151.80000000000001</v>
      </c>
    </row>
    <row r="7915" spans="1:22" x14ac:dyDescent="0.2">
      <c r="A7915">
        <v>7914</v>
      </c>
      <c r="B7915" s="1">
        <v>40981</v>
      </c>
      <c r="C7915" t="s">
        <v>28</v>
      </c>
      <c r="D7915" s="7">
        <v>241</v>
      </c>
      <c r="E7915" s="7">
        <v>36</v>
      </c>
      <c r="F7915" s="7">
        <f t="shared" si="124"/>
        <v>3</v>
      </c>
      <c r="G7915" s="7" t="str">
        <f>LOOKUP(H7915,[1]startdates!$A$2:$A$10,[1]startdates!$B$2:$B$10)</f>
        <v>FMr</v>
      </c>
      <c r="H7915">
        <v>6</v>
      </c>
      <c r="I7915" s="7">
        <v>716</v>
      </c>
      <c r="K7915" s="7">
        <v>478.8</v>
      </c>
      <c r="M7915" s="7">
        <v>363.6</v>
      </c>
      <c r="N7915" s="7">
        <v>201.3</v>
      </c>
      <c r="O7915" s="7">
        <v>159</v>
      </c>
    </row>
    <row r="7916" spans="1:22" x14ac:dyDescent="0.2">
      <c r="A7916">
        <v>7915</v>
      </c>
      <c r="B7916" s="1">
        <v>40981</v>
      </c>
      <c r="C7916" t="s">
        <v>28</v>
      </c>
      <c r="D7916" s="7">
        <v>241</v>
      </c>
      <c r="E7916" s="7">
        <v>36</v>
      </c>
      <c r="F7916" s="7">
        <f t="shared" si="124"/>
        <v>3</v>
      </c>
      <c r="G7916" s="7" t="str">
        <f>LOOKUP(H7916,[1]startdates!$A$2:$A$10,[1]startdates!$B$2:$B$10)</f>
        <v>FMr</v>
      </c>
      <c r="H7916">
        <v>6</v>
      </c>
      <c r="I7916" s="7">
        <v>635.4</v>
      </c>
      <c r="M7916" s="7">
        <v>310.10000000000002</v>
      </c>
      <c r="N7916" s="7">
        <v>192.7</v>
      </c>
      <c r="O7916" s="7">
        <v>157.4</v>
      </c>
    </row>
    <row r="7917" spans="1:22" x14ac:dyDescent="0.2">
      <c r="A7917">
        <v>7916</v>
      </c>
      <c r="B7917" s="1">
        <v>40981</v>
      </c>
      <c r="C7917" t="s">
        <v>28</v>
      </c>
      <c r="D7917" s="7">
        <v>241</v>
      </c>
      <c r="E7917" s="7">
        <v>36</v>
      </c>
      <c r="F7917" s="7">
        <f t="shared" si="124"/>
        <v>3</v>
      </c>
      <c r="G7917" s="7" t="str">
        <f>LOOKUP(H7917,[1]startdates!$A$2:$A$10,[1]startdates!$B$2:$B$10)</f>
        <v>FMr</v>
      </c>
      <c r="H7917">
        <v>6</v>
      </c>
      <c r="I7917" s="7">
        <v>630.4</v>
      </c>
      <c r="M7917" s="7">
        <v>370</v>
      </c>
      <c r="O7917" s="7">
        <v>151.4</v>
      </c>
    </row>
    <row r="7918" spans="1:22" x14ac:dyDescent="0.2">
      <c r="A7918">
        <v>7917</v>
      </c>
      <c r="B7918" s="1">
        <v>40981</v>
      </c>
      <c r="C7918" t="s">
        <v>24</v>
      </c>
      <c r="D7918" s="7">
        <v>241</v>
      </c>
      <c r="E7918" s="7">
        <v>36</v>
      </c>
      <c r="F7918" s="7">
        <f t="shared" si="124"/>
        <v>3</v>
      </c>
      <c r="G7918" s="7" t="str">
        <f>LOOKUP(H7918,[1]startdates!$A$2:$A$10,[1]startdates!$B$2:$B$10)</f>
        <v>FMr</v>
      </c>
      <c r="H7918">
        <v>7</v>
      </c>
      <c r="I7918" s="7">
        <v>624.29999999999995</v>
      </c>
      <c r="J7918" s="7">
        <v>487.4</v>
      </c>
      <c r="K7918" s="7">
        <v>498.4</v>
      </c>
      <c r="L7918" s="7">
        <v>408.7</v>
      </c>
      <c r="M7918" s="7">
        <v>335.8</v>
      </c>
      <c r="N7918" s="7">
        <v>195.7</v>
      </c>
      <c r="O7918" s="7">
        <v>171.3</v>
      </c>
      <c r="P7918" s="7">
        <v>496.9</v>
      </c>
      <c r="Q7918" s="7">
        <v>353.9</v>
      </c>
      <c r="V7918" s="7">
        <v>437.5</v>
      </c>
    </row>
    <row r="7919" spans="1:22" x14ac:dyDescent="0.2">
      <c r="A7919">
        <v>7918</v>
      </c>
      <c r="B7919" s="1">
        <v>40981</v>
      </c>
      <c r="C7919" t="s">
        <v>24</v>
      </c>
      <c r="D7919" s="7">
        <v>241</v>
      </c>
      <c r="E7919" s="7">
        <v>36</v>
      </c>
      <c r="F7919" s="7">
        <f t="shared" si="124"/>
        <v>3</v>
      </c>
      <c r="G7919" s="7" t="str">
        <f>LOOKUP(H7919,[1]startdates!$A$2:$A$10,[1]startdates!$B$2:$B$10)</f>
        <v>FMr</v>
      </c>
      <c r="H7919">
        <v>7</v>
      </c>
      <c r="I7919" s="7">
        <v>632.6</v>
      </c>
      <c r="J7919" s="7">
        <v>479</v>
      </c>
      <c r="K7919" s="7">
        <v>494.7</v>
      </c>
      <c r="M7919" s="7">
        <v>373.3</v>
      </c>
      <c r="N7919" s="7">
        <v>244.4</v>
      </c>
      <c r="O7919" s="7">
        <v>163</v>
      </c>
      <c r="P7919" s="7">
        <v>414.3</v>
      </c>
      <c r="Q7919" s="7">
        <v>397.3</v>
      </c>
      <c r="V7919" s="7">
        <v>491.7</v>
      </c>
    </row>
    <row r="7920" spans="1:22" x14ac:dyDescent="0.2">
      <c r="A7920">
        <v>7919</v>
      </c>
      <c r="B7920" s="1">
        <v>40981</v>
      </c>
      <c r="C7920" t="s">
        <v>24</v>
      </c>
      <c r="D7920" s="7">
        <v>241</v>
      </c>
      <c r="E7920" s="7">
        <v>36</v>
      </c>
      <c r="F7920" s="7">
        <f t="shared" si="124"/>
        <v>3</v>
      </c>
      <c r="G7920" s="7" t="str">
        <f>LOOKUP(H7920,[1]startdates!$A$2:$A$10,[1]startdates!$B$2:$B$10)</f>
        <v>FMr</v>
      </c>
      <c r="H7920">
        <v>7</v>
      </c>
      <c r="I7920" s="7">
        <v>591.4</v>
      </c>
      <c r="K7920" s="7">
        <v>547.29999999999995</v>
      </c>
      <c r="M7920" s="7">
        <v>370.7</v>
      </c>
      <c r="N7920" s="7">
        <v>198.3</v>
      </c>
      <c r="O7920" s="7">
        <v>170.6</v>
      </c>
      <c r="Q7920" s="7">
        <v>341.5</v>
      </c>
    </row>
    <row r="7921" spans="1:17" x14ac:dyDescent="0.2">
      <c r="A7921">
        <v>7920</v>
      </c>
      <c r="B7921" s="1">
        <v>40981</v>
      </c>
      <c r="C7921" t="s">
        <v>24</v>
      </c>
      <c r="D7921" s="7">
        <v>241</v>
      </c>
      <c r="E7921" s="7">
        <v>36</v>
      </c>
      <c r="F7921" s="7">
        <f t="shared" si="124"/>
        <v>3</v>
      </c>
      <c r="G7921" s="7" t="str">
        <f>LOOKUP(H7921,[1]startdates!$A$2:$A$10,[1]startdates!$B$2:$B$10)</f>
        <v>FMr</v>
      </c>
      <c r="H7921">
        <v>7</v>
      </c>
      <c r="I7921" s="7">
        <v>596.5</v>
      </c>
      <c r="K7921" s="7">
        <v>538.1</v>
      </c>
      <c r="M7921" s="7">
        <v>370.7</v>
      </c>
      <c r="N7921" s="7">
        <v>228.5</v>
      </c>
      <c r="O7921" s="7">
        <v>161.5</v>
      </c>
      <c r="Q7921" s="7">
        <v>402.2</v>
      </c>
    </row>
    <row r="7922" spans="1:17" x14ac:dyDescent="0.2">
      <c r="A7922">
        <v>7921</v>
      </c>
      <c r="B7922" s="1">
        <v>40981</v>
      </c>
      <c r="C7922" t="s">
        <v>24</v>
      </c>
      <c r="D7922" s="7">
        <v>241</v>
      </c>
      <c r="E7922" s="7">
        <v>36</v>
      </c>
      <c r="F7922" s="7">
        <f t="shared" si="124"/>
        <v>3</v>
      </c>
      <c r="G7922" s="7" t="str">
        <f>LOOKUP(H7922,[1]startdates!$A$2:$A$10,[1]startdates!$B$2:$B$10)</f>
        <v>FMr</v>
      </c>
      <c r="H7922">
        <v>7</v>
      </c>
      <c r="I7922" s="7">
        <v>626</v>
      </c>
      <c r="K7922" s="7">
        <v>478.6</v>
      </c>
      <c r="M7922" s="7">
        <v>327.7</v>
      </c>
      <c r="N7922" s="7">
        <v>242.2</v>
      </c>
      <c r="O7922" s="7">
        <v>146.6</v>
      </c>
    </row>
    <row r="7923" spans="1:17" x14ac:dyDescent="0.2">
      <c r="A7923">
        <v>7922</v>
      </c>
      <c r="B7923" s="1">
        <v>40981</v>
      </c>
      <c r="C7923" t="s">
        <v>24</v>
      </c>
      <c r="D7923" s="7">
        <v>241</v>
      </c>
      <c r="E7923" s="7">
        <v>36</v>
      </c>
      <c r="F7923" s="7">
        <f t="shared" si="124"/>
        <v>3</v>
      </c>
      <c r="G7923" s="7" t="str">
        <f>LOOKUP(H7923,[1]startdates!$A$2:$A$10,[1]startdates!$B$2:$B$10)</f>
        <v>FMr</v>
      </c>
      <c r="H7923">
        <v>7</v>
      </c>
      <c r="I7923" s="7">
        <v>625.20000000000005</v>
      </c>
      <c r="K7923" s="7">
        <v>548.4</v>
      </c>
      <c r="M7923" s="7">
        <v>361.1</v>
      </c>
      <c r="N7923" s="7">
        <v>221.4</v>
      </c>
      <c r="O7923" s="7">
        <v>165.5</v>
      </c>
    </row>
    <row r="7924" spans="1:17" x14ac:dyDescent="0.2">
      <c r="A7924">
        <v>7923</v>
      </c>
      <c r="B7924" s="1">
        <v>40981</v>
      </c>
      <c r="C7924" t="s">
        <v>24</v>
      </c>
      <c r="D7924" s="7">
        <v>241</v>
      </c>
      <c r="E7924" s="7">
        <v>36</v>
      </c>
      <c r="F7924" s="7">
        <f t="shared" si="124"/>
        <v>3</v>
      </c>
      <c r="G7924" s="7" t="str">
        <f>LOOKUP(H7924,[1]startdates!$A$2:$A$10,[1]startdates!$B$2:$B$10)</f>
        <v>FMr</v>
      </c>
      <c r="H7924">
        <v>7</v>
      </c>
      <c r="I7924" s="7">
        <v>684.6</v>
      </c>
      <c r="K7924" s="7">
        <v>480</v>
      </c>
      <c r="M7924" s="7">
        <v>360.9</v>
      </c>
      <c r="N7924" s="7">
        <v>243.2</v>
      </c>
      <c r="O7924" s="7">
        <v>177.1</v>
      </c>
    </row>
    <row r="7925" spans="1:17" x14ac:dyDescent="0.2">
      <c r="A7925">
        <v>7924</v>
      </c>
      <c r="B7925" s="1">
        <v>40981</v>
      </c>
      <c r="C7925" t="s">
        <v>24</v>
      </c>
      <c r="D7925" s="7">
        <v>241</v>
      </c>
      <c r="E7925" s="7">
        <v>36</v>
      </c>
      <c r="F7925" s="7">
        <f t="shared" si="124"/>
        <v>3</v>
      </c>
      <c r="G7925" s="7" t="str">
        <f>LOOKUP(H7925,[1]startdates!$A$2:$A$10,[1]startdates!$B$2:$B$10)</f>
        <v>FMr</v>
      </c>
      <c r="H7925">
        <v>7</v>
      </c>
      <c r="I7925" s="7">
        <v>496</v>
      </c>
      <c r="M7925" s="7">
        <v>294.7</v>
      </c>
      <c r="N7925" s="7">
        <v>239.6</v>
      </c>
      <c r="O7925" s="7">
        <v>182.5</v>
      </c>
    </row>
    <row r="7926" spans="1:17" x14ac:dyDescent="0.2">
      <c r="A7926">
        <v>7925</v>
      </c>
      <c r="B7926" s="1">
        <v>40981</v>
      </c>
      <c r="C7926" t="s">
        <v>24</v>
      </c>
      <c r="D7926" s="7">
        <v>241</v>
      </c>
      <c r="E7926" s="7">
        <v>36</v>
      </c>
      <c r="F7926" s="7">
        <f t="shared" si="124"/>
        <v>3</v>
      </c>
      <c r="G7926" s="7" t="str">
        <f>LOOKUP(H7926,[1]startdates!$A$2:$A$10,[1]startdates!$B$2:$B$10)</f>
        <v>FMr</v>
      </c>
      <c r="H7926">
        <v>7</v>
      </c>
      <c r="I7926" s="7">
        <v>642.1</v>
      </c>
      <c r="O7926" s="7">
        <v>173.8</v>
      </c>
    </row>
    <row r="7927" spans="1:17" x14ac:dyDescent="0.2">
      <c r="A7927">
        <v>7926</v>
      </c>
      <c r="B7927" s="1">
        <v>40981</v>
      </c>
      <c r="C7927" t="s">
        <v>24</v>
      </c>
      <c r="D7927" s="7">
        <v>241</v>
      </c>
      <c r="E7927" s="7">
        <v>36</v>
      </c>
      <c r="F7927" s="7">
        <f t="shared" si="124"/>
        <v>3</v>
      </c>
      <c r="G7927" s="7" t="str">
        <f>LOOKUP(H7927,[1]startdates!$A$2:$A$10,[1]startdates!$B$2:$B$10)</f>
        <v>FMr</v>
      </c>
      <c r="H7927">
        <v>7</v>
      </c>
      <c r="I7927" s="7">
        <v>572.5</v>
      </c>
    </row>
    <row r="7928" spans="1:17" x14ac:dyDescent="0.2">
      <c r="A7928">
        <v>7927</v>
      </c>
      <c r="B7928" s="1">
        <v>40981</v>
      </c>
      <c r="C7928" t="s">
        <v>24</v>
      </c>
      <c r="D7928" s="7">
        <v>241</v>
      </c>
      <c r="E7928" s="7">
        <v>36</v>
      </c>
      <c r="F7928" s="7">
        <f t="shared" si="124"/>
        <v>3</v>
      </c>
      <c r="G7928" s="7" t="str">
        <f>LOOKUP(H7928,[1]startdates!$A$2:$A$10,[1]startdates!$B$2:$B$10)</f>
        <v>FMr</v>
      </c>
      <c r="H7928">
        <v>7</v>
      </c>
      <c r="I7928" s="7">
        <v>659.1</v>
      </c>
    </row>
    <row r="7929" spans="1:17" x14ac:dyDescent="0.2">
      <c r="A7929">
        <v>7928</v>
      </c>
      <c r="B7929" s="1">
        <v>40981</v>
      </c>
      <c r="C7929" t="s">
        <v>24</v>
      </c>
      <c r="D7929" s="7">
        <v>241</v>
      </c>
      <c r="E7929" s="7">
        <v>36</v>
      </c>
      <c r="F7929" s="7">
        <f t="shared" si="124"/>
        <v>3</v>
      </c>
      <c r="G7929" s="7" t="str">
        <f>LOOKUP(H7929,[1]startdates!$A$2:$A$10,[1]startdates!$B$2:$B$10)</f>
        <v>C</v>
      </c>
      <c r="H7929">
        <v>8</v>
      </c>
      <c r="I7929" s="7">
        <v>666.8</v>
      </c>
      <c r="J7929" s="7">
        <v>495.6</v>
      </c>
      <c r="K7929" s="7">
        <v>585.20000000000005</v>
      </c>
      <c r="L7929" s="7">
        <v>449.7</v>
      </c>
      <c r="M7929" s="7">
        <v>380.1</v>
      </c>
      <c r="N7929" s="7">
        <v>212.4</v>
      </c>
      <c r="O7929" s="7">
        <v>162.19999999999999</v>
      </c>
    </row>
    <row r="7930" spans="1:17" x14ac:dyDescent="0.2">
      <c r="A7930">
        <v>7929</v>
      </c>
      <c r="B7930" s="1">
        <v>40981</v>
      </c>
      <c r="C7930" t="s">
        <v>24</v>
      </c>
      <c r="D7930" s="7">
        <v>241</v>
      </c>
      <c r="E7930" s="7">
        <v>36</v>
      </c>
      <c r="F7930" s="7">
        <f t="shared" si="124"/>
        <v>3</v>
      </c>
      <c r="G7930" s="7" t="str">
        <f>LOOKUP(H7930,[1]startdates!$A$2:$A$10,[1]startdates!$B$2:$B$10)</f>
        <v>C</v>
      </c>
      <c r="H7930">
        <v>8</v>
      </c>
      <c r="I7930" s="7">
        <v>666.9</v>
      </c>
      <c r="J7930" s="7">
        <v>572.9</v>
      </c>
      <c r="K7930" s="7">
        <v>490.4</v>
      </c>
      <c r="L7930" s="7">
        <v>404</v>
      </c>
      <c r="M7930" s="7">
        <v>318.7</v>
      </c>
      <c r="N7930" s="7">
        <v>230.6</v>
      </c>
      <c r="O7930" s="7">
        <v>176</v>
      </c>
    </row>
    <row r="7931" spans="1:17" x14ac:dyDescent="0.2">
      <c r="A7931">
        <v>7930</v>
      </c>
      <c r="B7931" s="1">
        <v>40981</v>
      </c>
      <c r="C7931" t="s">
        <v>24</v>
      </c>
      <c r="D7931" s="7">
        <v>241</v>
      </c>
      <c r="E7931" s="7">
        <v>36</v>
      </c>
      <c r="F7931" s="7">
        <f t="shared" si="124"/>
        <v>3</v>
      </c>
      <c r="G7931" s="7" t="str">
        <f>LOOKUP(H7931,[1]startdates!$A$2:$A$10,[1]startdates!$B$2:$B$10)</f>
        <v>C</v>
      </c>
      <c r="H7931">
        <v>8</v>
      </c>
      <c r="I7931" s="7">
        <v>602</v>
      </c>
      <c r="J7931" s="7">
        <v>540.29999999999995</v>
      </c>
      <c r="K7931" s="7">
        <v>585.70000000000005</v>
      </c>
      <c r="L7931" s="7">
        <v>435.2</v>
      </c>
      <c r="M7931" s="7">
        <v>352.4</v>
      </c>
      <c r="N7931" s="7">
        <v>242.1</v>
      </c>
      <c r="O7931" s="7">
        <v>164.7</v>
      </c>
    </row>
    <row r="7932" spans="1:17" x14ac:dyDescent="0.2">
      <c r="A7932">
        <v>7931</v>
      </c>
      <c r="B7932" s="1">
        <v>40981</v>
      </c>
      <c r="C7932" t="s">
        <v>24</v>
      </c>
      <c r="D7932" s="7">
        <v>241</v>
      </c>
      <c r="E7932" s="7">
        <v>36</v>
      </c>
      <c r="F7932" s="7">
        <f t="shared" si="124"/>
        <v>3</v>
      </c>
      <c r="G7932" s="7" t="str">
        <f>LOOKUP(H7932,[1]startdates!$A$2:$A$10,[1]startdates!$B$2:$B$10)</f>
        <v>C</v>
      </c>
      <c r="H7932">
        <v>8</v>
      </c>
      <c r="I7932" s="7">
        <v>647.29999999999995</v>
      </c>
      <c r="J7932" s="7">
        <v>498.4</v>
      </c>
      <c r="K7932" s="7">
        <v>531.29999999999995</v>
      </c>
      <c r="L7932" s="7">
        <v>445.7</v>
      </c>
      <c r="M7932" s="7">
        <v>350.7</v>
      </c>
      <c r="N7932" s="7">
        <v>237.7</v>
      </c>
      <c r="O7932" s="7">
        <v>181</v>
      </c>
    </row>
    <row r="7933" spans="1:17" x14ac:dyDescent="0.2">
      <c r="A7933">
        <v>7932</v>
      </c>
      <c r="B7933" s="1">
        <v>40981</v>
      </c>
      <c r="C7933" t="s">
        <v>24</v>
      </c>
      <c r="D7933" s="7">
        <v>241</v>
      </c>
      <c r="E7933" s="7">
        <v>36</v>
      </c>
      <c r="F7933" s="7">
        <f t="shared" si="124"/>
        <v>3</v>
      </c>
      <c r="G7933" s="7" t="str">
        <f>LOOKUP(H7933,[1]startdates!$A$2:$A$10,[1]startdates!$B$2:$B$10)</f>
        <v>C</v>
      </c>
      <c r="H7933">
        <v>8</v>
      </c>
      <c r="I7933" s="7">
        <v>551.6</v>
      </c>
      <c r="J7933" s="7">
        <v>528</v>
      </c>
      <c r="K7933" s="7">
        <v>542.79999999999995</v>
      </c>
      <c r="M7933" s="7">
        <v>359.6</v>
      </c>
      <c r="N7933" s="7">
        <v>231.9</v>
      </c>
      <c r="O7933" s="7">
        <v>168</v>
      </c>
    </row>
    <row r="7934" spans="1:17" x14ac:dyDescent="0.2">
      <c r="A7934">
        <v>7933</v>
      </c>
      <c r="B7934" s="1">
        <v>40981</v>
      </c>
      <c r="C7934" t="s">
        <v>24</v>
      </c>
      <c r="D7934" s="7">
        <v>241</v>
      </c>
      <c r="E7934" s="7">
        <v>36</v>
      </c>
      <c r="F7934" s="7">
        <f t="shared" si="124"/>
        <v>3</v>
      </c>
      <c r="G7934" s="7" t="str">
        <f>LOOKUP(H7934,[1]startdates!$A$2:$A$10,[1]startdates!$B$2:$B$10)</f>
        <v>C</v>
      </c>
      <c r="H7934">
        <v>8</v>
      </c>
      <c r="I7934" s="7">
        <v>684.4</v>
      </c>
      <c r="J7934" s="7">
        <v>549.20000000000005</v>
      </c>
      <c r="M7934" s="7">
        <v>382.7</v>
      </c>
      <c r="N7934" s="7">
        <v>224.9</v>
      </c>
      <c r="O7934" s="7">
        <v>166.5</v>
      </c>
    </row>
    <row r="7935" spans="1:17" x14ac:dyDescent="0.2">
      <c r="A7935">
        <v>7934</v>
      </c>
      <c r="B7935" s="1">
        <v>40981</v>
      </c>
      <c r="C7935" t="s">
        <v>24</v>
      </c>
      <c r="D7935" s="7">
        <v>241</v>
      </c>
      <c r="E7935" s="7">
        <v>36</v>
      </c>
      <c r="F7935" s="7">
        <f t="shared" si="124"/>
        <v>3</v>
      </c>
      <c r="G7935" s="7" t="str">
        <f>LOOKUP(H7935,[1]startdates!$A$2:$A$10,[1]startdates!$B$2:$B$10)</f>
        <v>C</v>
      </c>
      <c r="H7935">
        <v>8</v>
      </c>
      <c r="I7935" s="7">
        <v>602.6</v>
      </c>
      <c r="J7935" s="7">
        <v>541.5</v>
      </c>
      <c r="M7935" s="7">
        <v>357.4</v>
      </c>
      <c r="N7935" s="7">
        <v>241.5</v>
      </c>
      <c r="O7935" s="7">
        <v>164.7</v>
      </c>
    </row>
    <row r="7936" spans="1:17" x14ac:dyDescent="0.2">
      <c r="A7936">
        <v>7935</v>
      </c>
      <c r="B7936" s="1">
        <v>40981</v>
      </c>
      <c r="C7936" t="s">
        <v>24</v>
      </c>
      <c r="D7936" s="7">
        <v>241</v>
      </c>
      <c r="E7936" s="7">
        <v>36</v>
      </c>
      <c r="F7936" s="7">
        <f t="shared" si="124"/>
        <v>3</v>
      </c>
      <c r="G7936" s="7" t="str">
        <f>LOOKUP(H7936,[1]startdates!$A$2:$A$10,[1]startdates!$B$2:$B$10)</f>
        <v>C</v>
      </c>
      <c r="H7936">
        <v>8</v>
      </c>
      <c r="I7936" s="7">
        <v>619.29999999999995</v>
      </c>
      <c r="N7936" s="7">
        <v>213.5</v>
      </c>
      <c r="O7936" s="7">
        <v>141.1</v>
      </c>
    </row>
    <row r="7937" spans="1:21" x14ac:dyDescent="0.2">
      <c r="A7937">
        <v>7936</v>
      </c>
      <c r="B7937" s="1">
        <v>40981</v>
      </c>
      <c r="C7937" t="s">
        <v>24</v>
      </c>
      <c r="D7937" s="7">
        <v>241</v>
      </c>
      <c r="E7937" s="7">
        <v>36</v>
      </c>
      <c r="F7937" s="7">
        <f t="shared" si="124"/>
        <v>3</v>
      </c>
      <c r="G7937" s="7" t="str">
        <f>LOOKUP(H7937,[1]startdates!$A$2:$A$10,[1]startdates!$B$2:$B$10)</f>
        <v>C</v>
      </c>
      <c r="H7937">
        <v>8</v>
      </c>
      <c r="N7937" s="7">
        <v>165.7</v>
      </c>
      <c r="O7937" s="7">
        <v>190.1</v>
      </c>
    </row>
    <row r="7938" spans="1:21" x14ac:dyDescent="0.2">
      <c r="A7938">
        <v>7937</v>
      </c>
      <c r="B7938" s="1">
        <v>40981</v>
      </c>
      <c r="C7938" t="s">
        <v>24</v>
      </c>
      <c r="D7938" s="7">
        <v>241</v>
      </c>
      <c r="E7938" s="7">
        <v>36</v>
      </c>
      <c r="F7938" s="7">
        <f t="shared" si="124"/>
        <v>3</v>
      </c>
      <c r="G7938" s="7" t="str">
        <f>LOOKUP(H7938,[1]startdates!$A$2:$A$10,[1]startdates!$B$2:$B$10)</f>
        <v>C</v>
      </c>
      <c r="H7938">
        <v>8</v>
      </c>
      <c r="N7938" s="7">
        <v>223.1</v>
      </c>
    </row>
    <row r="7939" spans="1:21" x14ac:dyDescent="0.2">
      <c r="A7939">
        <v>7938</v>
      </c>
      <c r="B7939" s="1">
        <v>40981</v>
      </c>
      <c r="C7939" t="s">
        <v>24</v>
      </c>
      <c r="D7939" s="7">
        <v>241</v>
      </c>
      <c r="E7939" s="7">
        <v>36</v>
      </c>
      <c r="F7939" s="7">
        <f t="shared" si="124"/>
        <v>3</v>
      </c>
      <c r="G7939" s="7" t="str">
        <f>LOOKUP(H7939,[1]startdates!$A$2:$A$10,[1]startdates!$B$2:$B$10)</f>
        <v>C</v>
      </c>
      <c r="H7939">
        <v>8</v>
      </c>
      <c r="N7939" s="7">
        <v>229.3</v>
      </c>
    </row>
    <row r="7940" spans="1:21" x14ac:dyDescent="0.2">
      <c r="A7940">
        <v>7939</v>
      </c>
      <c r="B7940" s="1">
        <v>40981</v>
      </c>
      <c r="C7940" t="s">
        <v>28</v>
      </c>
      <c r="D7940" s="7">
        <v>241</v>
      </c>
      <c r="E7940" s="7">
        <v>36</v>
      </c>
      <c r="F7940" s="7">
        <f t="shared" si="124"/>
        <v>3</v>
      </c>
      <c r="G7940" s="7" t="str">
        <f>LOOKUP(H7940,[1]startdates!$A$2:$A$10,[1]startdates!$B$2:$B$10)</f>
        <v>FMr</v>
      </c>
      <c r="H7940">
        <v>9</v>
      </c>
      <c r="I7940" s="7">
        <v>551.9</v>
      </c>
      <c r="J7940" s="7">
        <v>452.1</v>
      </c>
      <c r="K7940" s="7">
        <v>466.8</v>
      </c>
      <c r="L7940" s="7">
        <v>420.8</v>
      </c>
      <c r="M7940" s="7">
        <v>343.8</v>
      </c>
      <c r="N7940" s="7">
        <v>265.5</v>
      </c>
      <c r="O7940" s="7">
        <v>163.4</v>
      </c>
      <c r="P7940" s="7">
        <v>402.2</v>
      </c>
      <c r="Q7940" s="7">
        <v>312.2</v>
      </c>
      <c r="R7940" s="7">
        <v>257.89999999999998</v>
      </c>
    </row>
    <row r="7941" spans="1:21" x14ac:dyDescent="0.2">
      <c r="A7941">
        <v>7940</v>
      </c>
      <c r="B7941" s="1">
        <v>40981</v>
      </c>
      <c r="C7941" t="s">
        <v>28</v>
      </c>
      <c r="D7941" s="7">
        <v>241</v>
      </c>
      <c r="E7941" s="7">
        <v>36</v>
      </c>
      <c r="F7941" s="7">
        <f t="shared" si="124"/>
        <v>3</v>
      </c>
      <c r="G7941" s="7" t="str">
        <f>LOOKUP(H7941,[1]startdates!$A$2:$A$10,[1]startdates!$B$2:$B$10)</f>
        <v>FMr</v>
      </c>
      <c r="H7941">
        <v>9</v>
      </c>
      <c r="I7941" s="7">
        <v>556.20000000000005</v>
      </c>
      <c r="J7941" s="7">
        <v>506.7</v>
      </c>
      <c r="K7941" s="7">
        <v>516.1</v>
      </c>
      <c r="L7941" s="7">
        <v>444.6</v>
      </c>
      <c r="M7941" s="7">
        <v>349.5</v>
      </c>
      <c r="N7941" s="7">
        <v>267.39999999999998</v>
      </c>
      <c r="O7941" s="7">
        <v>150.30000000000001</v>
      </c>
      <c r="P7941" s="7">
        <v>428.9</v>
      </c>
    </row>
    <row r="7942" spans="1:21" x14ac:dyDescent="0.2">
      <c r="A7942">
        <v>7941</v>
      </c>
      <c r="B7942" s="1">
        <v>40981</v>
      </c>
      <c r="C7942" t="s">
        <v>28</v>
      </c>
      <c r="D7942" s="7">
        <v>241</v>
      </c>
      <c r="E7942" s="7">
        <v>36</v>
      </c>
      <c r="F7942" s="7">
        <f t="shared" si="124"/>
        <v>3</v>
      </c>
      <c r="G7942" s="7" t="str">
        <f>LOOKUP(H7942,[1]startdates!$A$2:$A$10,[1]startdates!$B$2:$B$10)</f>
        <v>FMr</v>
      </c>
      <c r="H7942">
        <v>9</v>
      </c>
      <c r="I7942" s="7">
        <v>560.5</v>
      </c>
      <c r="K7942" s="7">
        <v>412.4</v>
      </c>
      <c r="L7942" s="7">
        <v>394.2</v>
      </c>
      <c r="M7942" s="7">
        <v>371.7</v>
      </c>
      <c r="N7942" s="7">
        <v>212.8</v>
      </c>
      <c r="O7942" s="7">
        <v>158.4</v>
      </c>
      <c r="P7942" s="7">
        <v>498.9</v>
      </c>
    </row>
    <row r="7943" spans="1:21" x14ac:dyDescent="0.2">
      <c r="A7943">
        <v>7942</v>
      </c>
      <c r="B7943" s="1">
        <v>40981</v>
      </c>
      <c r="C7943" t="s">
        <v>28</v>
      </c>
      <c r="D7943" s="7">
        <v>241</v>
      </c>
      <c r="E7943" s="7">
        <v>36</v>
      </c>
      <c r="F7943" s="7">
        <f t="shared" si="124"/>
        <v>3</v>
      </c>
      <c r="G7943" s="7" t="str">
        <f>LOOKUP(H7943,[1]startdates!$A$2:$A$10,[1]startdates!$B$2:$B$10)</f>
        <v>FMr</v>
      </c>
      <c r="H7943">
        <v>9</v>
      </c>
      <c r="I7943" s="7">
        <v>536.4</v>
      </c>
      <c r="K7943" s="7">
        <v>517.1</v>
      </c>
      <c r="L7943" s="7">
        <v>427.5</v>
      </c>
      <c r="M7943" s="7">
        <v>370.6</v>
      </c>
      <c r="N7943" s="7">
        <v>215.5</v>
      </c>
      <c r="O7943" s="7">
        <v>173.1</v>
      </c>
    </row>
    <row r="7944" spans="1:21" x14ac:dyDescent="0.2">
      <c r="A7944">
        <v>7943</v>
      </c>
      <c r="B7944" s="1">
        <v>40981</v>
      </c>
      <c r="C7944" t="s">
        <v>28</v>
      </c>
      <c r="D7944" s="7">
        <v>241</v>
      </c>
      <c r="E7944" s="7">
        <v>36</v>
      </c>
      <c r="F7944" s="7">
        <f t="shared" si="124"/>
        <v>3</v>
      </c>
      <c r="G7944" s="7" t="str">
        <f>LOOKUP(H7944,[1]startdates!$A$2:$A$10,[1]startdates!$B$2:$B$10)</f>
        <v>FMr</v>
      </c>
      <c r="H7944">
        <v>9</v>
      </c>
      <c r="I7944" s="7">
        <v>489.1</v>
      </c>
      <c r="K7944" s="7">
        <v>523.1</v>
      </c>
      <c r="L7944" s="7">
        <v>409.4</v>
      </c>
      <c r="M7944" s="7">
        <v>363.7</v>
      </c>
      <c r="N7944" s="7">
        <v>276.7</v>
      </c>
      <c r="O7944" s="7">
        <v>151.1</v>
      </c>
    </row>
    <row r="7945" spans="1:21" x14ac:dyDescent="0.2">
      <c r="A7945">
        <v>7944</v>
      </c>
      <c r="B7945" s="1">
        <v>40981</v>
      </c>
      <c r="C7945" t="s">
        <v>28</v>
      </c>
      <c r="D7945" s="7">
        <v>241</v>
      </c>
      <c r="E7945" s="7">
        <v>36</v>
      </c>
      <c r="F7945" s="7">
        <f t="shared" si="124"/>
        <v>3</v>
      </c>
      <c r="G7945" s="7" t="str">
        <f>LOOKUP(H7945,[1]startdates!$A$2:$A$10,[1]startdates!$B$2:$B$10)</f>
        <v>FMr</v>
      </c>
      <c r="H7945">
        <v>9</v>
      </c>
      <c r="I7945" s="7">
        <v>591.1</v>
      </c>
      <c r="K7945" s="7">
        <v>456.4</v>
      </c>
      <c r="M7945" s="7">
        <v>333.6</v>
      </c>
      <c r="N7945" s="7">
        <v>234.9</v>
      </c>
      <c r="O7945" s="7">
        <v>156.19999999999999</v>
      </c>
    </row>
    <row r="7946" spans="1:21" x14ac:dyDescent="0.2">
      <c r="A7946">
        <v>7945</v>
      </c>
      <c r="B7946" s="1">
        <v>40981</v>
      </c>
      <c r="C7946" t="s">
        <v>28</v>
      </c>
      <c r="D7946" s="7">
        <v>241</v>
      </c>
      <c r="E7946" s="7">
        <v>36</v>
      </c>
      <c r="F7946" s="7">
        <f t="shared" si="124"/>
        <v>3</v>
      </c>
      <c r="G7946" s="7" t="str">
        <f>LOOKUP(H7946,[1]startdates!$A$2:$A$10,[1]startdates!$B$2:$B$10)</f>
        <v>FMr</v>
      </c>
      <c r="H7946">
        <v>9</v>
      </c>
      <c r="I7946" s="7">
        <v>596.5</v>
      </c>
      <c r="K7946" s="7">
        <v>548.9</v>
      </c>
      <c r="M7946" s="7">
        <v>366.2</v>
      </c>
      <c r="N7946" s="7">
        <v>250.7</v>
      </c>
      <c r="O7946" s="7">
        <v>193.2</v>
      </c>
    </row>
    <row r="7947" spans="1:21" x14ac:dyDescent="0.2">
      <c r="A7947">
        <v>7946</v>
      </c>
      <c r="B7947" s="1">
        <v>40981</v>
      </c>
      <c r="C7947" t="s">
        <v>28</v>
      </c>
      <c r="D7947" s="7">
        <v>241</v>
      </c>
      <c r="E7947" s="7">
        <v>36</v>
      </c>
      <c r="F7947" s="7">
        <f t="shared" si="124"/>
        <v>3</v>
      </c>
      <c r="G7947" s="7" t="str">
        <f>LOOKUP(H7947,[1]startdates!$A$2:$A$10,[1]startdates!$B$2:$B$10)</f>
        <v>FMr</v>
      </c>
      <c r="H7947">
        <v>9</v>
      </c>
      <c r="I7947" s="7">
        <v>642.29999999999995</v>
      </c>
      <c r="K7947" s="7">
        <v>461.5</v>
      </c>
      <c r="M7947" s="7">
        <v>349.3</v>
      </c>
      <c r="N7947" s="7">
        <v>260.7</v>
      </c>
      <c r="O7947" s="7">
        <v>185.3</v>
      </c>
    </row>
    <row r="7948" spans="1:21" x14ac:dyDescent="0.2">
      <c r="A7948">
        <v>7947</v>
      </c>
      <c r="B7948" s="1">
        <v>40981</v>
      </c>
      <c r="C7948" t="s">
        <v>28</v>
      </c>
      <c r="D7948" s="7">
        <v>241</v>
      </c>
      <c r="E7948" s="7">
        <v>36</v>
      </c>
      <c r="F7948" s="7">
        <f t="shared" si="124"/>
        <v>3</v>
      </c>
      <c r="G7948" s="7" t="str">
        <f>LOOKUP(H7948,[1]startdates!$A$2:$A$10,[1]startdates!$B$2:$B$10)</f>
        <v>FMr</v>
      </c>
      <c r="H7948">
        <v>9</v>
      </c>
      <c r="I7948" s="7">
        <v>551.6</v>
      </c>
      <c r="M7948" s="7">
        <v>331.6</v>
      </c>
      <c r="N7948" s="7">
        <v>181.9</v>
      </c>
      <c r="O7948" s="7">
        <v>163</v>
      </c>
    </row>
    <row r="7949" spans="1:21" x14ac:dyDescent="0.2">
      <c r="A7949">
        <v>7948</v>
      </c>
      <c r="B7949" s="1">
        <v>40981</v>
      </c>
      <c r="C7949" t="s">
        <v>28</v>
      </c>
      <c r="D7949" s="7">
        <v>241</v>
      </c>
      <c r="E7949" s="7">
        <v>36</v>
      </c>
      <c r="F7949" s="7">
        <f t="shared" si="124"/>
        <v>3</v>
      </c>
      <c r="G7949" s="7" t="str">
        <f>LOOKUP(H7949,[1]startdates!$A$2:$A$10,[1]startdates!$B$2:$B$10)</f>
        <v>FMr</v>
      </c>
      <c r="H7949">
        <v>9</v>
      </c>
      <c r="I7949" s="7">
        <v>604.5</v>
      </c>
      <c r="M7949" s="7">
        <v>330</v>
      </c>
      <c r="N7949" s="7">
        <v>219.2</v>
      </c>
      <c r="O7949" s="7">
        <v>182.2</v>
      </c>
    </row>
    <row r="7950" spans="1:21" x14ac:dyDescent="0.2">
      <c r="A7950">
        <v>7949</v>
      </c>
      <c r="B7950" s="1">
        <v>40995</v>
      </c>
      <c r="C7950" t="s">
        <v>24</v>
      </c>
      <c r="D7950" s="7">
        <v>255</v>
      </c>
      <c r="E7950" s="7">
        <v>38</v>
      </c>
      <c r="F7950" s="7">
        <f t="shared" si="124"/>
        <v>3</v>
      </c>
      <c r="G7950" s="7" t="str">
        <f>LOOKUP(H7950,[1]startdates!$A$2:$A$10,[1]startdates!$B$2:$B$10)</f>
        <v>SMr</v>
      </c>
      <c r="H7950">
        <v>1</v>
      </c>
      <c r="I7950" s="7">
        <v>624.20000000000005</v>
      </c>
      <c r="J7950" s="7">
        <v>474.5</v>
      </c>
      <c r="K7950" s="7">
        <v>585.4</v>
      </c>
      <c r="L7950" s="7">
        <v>390.4</v>
      </c>
      <c r="M7950" s="7">
        <v>339.4</v>
      </c>
      <c r="N7950" s="7">
        <v>221.5</v>
      </c>
      <c r="O7950" s="7">
        <v>187</v>
      </c>
      <c r="Q7950" s="7">
        <v>354.4</v>
      </c>
      <c r="U7950" s="7">
        <v>560.6</v>
      </c>
    </row>
    <row r="7951" spans="1:21" x14ac:dyDescent="0.2">
      <c r="A7951">
        <v>7950</v>
      </c>
      <c r="B7951" s="1">
        <v>40995</v>
      </c>
      <c r="C7951" t="s">
        <v>24</v>
      </c>
      <c r="D7951" s="7">
        <v>255</v>
      </c>
      <c r="E7951" s="7">
        <v>38</v>
      </c>
      <c r="F7951" s="7">
        <f t="shared" si="124"/>
        <v>3</v>
      </c>
      <c r="G7951" s="7" t="str">
        <f>LOOKUP(H7951,[1]startdates!$A$2:$A$10,[1]startdates!$B$2:$B$10)</f>
        <v>SMr</v>
      </c>
      <c r="H7951">
        <v>1</v>
      </c>
      <c r="I7951" s="7">
        <v>670.3</v>
      </c>
      <c r="J7951" s="7">
        <v>572.1</v>
      </c>
      <c r="K7951" s="7">
        <v>500.7</v>
      </c>
      <c r="L7951" s="7">
        <v>435.4</v>
      </c>
      <c r="M7951" s="7">
        <v>347.9</v>
      </c>
      <c r="N7951" s="7">
        <v>214.7</v>
      </c>
      <c r="O7951" s="7">
        <v>189.3</v>
      </c>
      <c r="Q7951" s="7">
        <v>358.8</v>
      </c>
      <c r="U7951" s="7">
        <v>438.5</v>
      </c>
    </row>
    <row r="7952" spans="1:21" x14ac:dyDescent="0.2">
      <c r="A7952">
        <v>7951</v>
      </c>
      <c r="B7952" s="1">
        <v>40995</v>
      </c>
      <c r="C7952" t="s">
        <v>24</v>
      </c>
      <c r="D7952" s="7">
        <v>255</v>
      </c>
      <c r="E7952" s="7">
        <v>38</v>
      </c>
      <c r="F7952" s="7">
        <f t="shared" si="124"/>
        <v>3</v>
      </c>
      <c r="G7952" s="7" t="str">
        <f>LOOKUP(H7952,[1]startdates!$A$2:$A$10,[1]startdates!$B$2:$B$10)</f>
        <v>SMr</v>
      </c>
      <c r="H7952">
        <v>1</v>
      </c>
      <c r="I7952" s="7">
        <v>624.9</v>
      </c>
      <c r="J7952" s="7">
        <v>540.1</v>
      </c>
      <c r="L7952" s="7">
        <v>481.8</v>
      </c>
      <c r="M7952" s="7">
        <v>367.2</v>
      </c>
      <c r="N7952" s="7">
        <v>249.2</v>
      </c>
      <c r="O7952" s="7">
        <v>208.6</v>
      </c>
    </row>
    <row r="7953" spans="1:21" x14ac:dyDescent="0.2">
      <c r="A7953">
        <v>7952</v>
      </c>
      <c r="B7953" s="1">
        <v>40995</v>
      </c>
      <c r="C7953" t="s">
        <v>24</v>
      </c>
      <c r="D7953" s="7">
        <v>255</v>
      </c>
      <c r="E7953" s="7">
        <v>38</v>
      </c>
      <c r="F7953" s="7">
        <f t="shared" si="124"/>
        <v>3</v>
      </c>
      <c r="G7953" s="7" t="str">
        <f>LOOKUP(H7953,[1]startdates!$A$2:$A$10,[1]startdates!$B$2:$B$10)</f>
        <v>SMr</v>
      </c>
      <c r="H7953">
        <v>1</v>
      </c>
      <c r="I7953" s="7">
        <v>789.9</v>
      </c>
      <c r="J7953" s="7">
        <v>565.4</v>
      </c>
      <c r="L7953" s="7">
        <v>391.4</v>
      </c>
      <c r="M7953" s="7">
        <v>337.2</v>
      </c>
      <c r="N7953" s="7">
        <v>234.9</v>
      </c>
      <c r="O7953" s="7">
        <v>197.1</v>
      </c>
    </row>
    <row r="7954" spans="1:21" x14ac:dyDescent="0.2">
      <c r="A7954">
        <v>7953</v>
      </c>
      <c r="B7954" s="1">
        <v>40995</v>
      </c>
      <c r="C7954" t="s">
        <v>24</v>
      </c>
      <c r="D7954" s="7">
        <v>255</v>
      </c>
      <c r="E7954" s="7">
        <v>38</v>
      </c>
      <c r="F7954" s="7">
        <f t="shared" si="124"/>
        <v>3</v>
      </c>
      <c r="G7954" s="7" t="str">
        <f>LOOKUP(H7954,[1]startdates!$A$2:$A$10,[1]startdates!$B$2:$B$10)</f>
        <v>SMr</v>
      </c>
      <c r="H7954">
        <v>1</v>
      </c>
      <c r="I7954" s="7">
        <v>724.5</v>
      </c>
      <c r="J7954" s="7">
        <v>517.9</v>
      </c>
      <c r="L7954" s="7">
        <v>414.5</v>
      </c>
      <c r="M7954" s="7">
        <v>288</v>
      </c>
      <c r="N7954" s="7">
        <v>190.5</v>
      </c>
      <c r="O7954" s="7">
        <v>168</v>
      </c>
    </row>
    <row r="7955" spans="1:21" x14ac:dyDescent="0.2">
      <c r="A7955">
        <v>7954</v>
      </c>
      <c r="B7955" s="1">
        <v>40995</v>
      </c>
      <c r="C7955" t="s">
        <v>24</v>
      </c>
      <c r="D7955" s="7">
        <v>255</v>
      </c>
      <c r="E7955" s="7">
        <v>38</v>
      </c>
      <c r="F7955" s="7">
        <f t="shared" si="124"/>
        <v>3</v>
      </c>
      <c r="G7955" s="7" t="str">
        <f>LOOKUP(H7955,[1]startdates!$A$2:$A$10,[1]startdates!$B$2:$B$10)</f>
        <v>SMr</v>
      </c>
      <c r="H7955">
        <v>1</v>
      </c>
      <c r="I7955" s="7">
        <v>789.5</v>
      </c>
      <c r="L7955" s="7">
        <v>462.8</v>
      </c>
      <c r="M7955" s="7">
        <v>331.2</v>
      </c>
      <c r="N7955" s="7">
        <v>221.4</v>
      </c>
      <c r="O7955" s="7">
        <v>184.1</v>
      </c>
    </row>
    <row r="7956" spans="1:21" x14ac:dyDescent="0.2">
      <c r="A7956">
        <v>7955</v>
      </c>
      <c r="B7956" s="1">
        <v>40995</v>
      </c>
      <c r="C7956" t="s">
        <v>24</v>
      </c>
      <c r="D7956" s="7">
        <v>255</v>
      </c>
      <c r="E7956" s="7">
        <v>38</v>
      </c>
      <c r="F7956" s="7">
        <f t="shared" si="124"/>
        <v>3</v>
      </c>
      <c r="G7956" s="7" t="str">
        <f>LOOKUP(H7956,[1]startdates!$A$2:$A$10,[1]startdates!$B$2:$B$10)</f>
        <v>SMr</v>
      </c>
      <c r="H7956">
        <v>1</v>
      </c>
      <c r="I7956" s="7">
        <v>781.1</v>
      </c>
      <c r="M7956" s="7">
        <v>319.2</v>
      </c>
      <c r="N7956" s="7">
        <v>245.2</v>
      </c>
      <c r="O7956" s="7">
        <v>162.19999999999999</v>
      </c>
    </row>
    <row r="7957" spans="1:21" x14ac:dyDescent="0.2">
      <c r="A7957">
        <v>7956</v>
      </c>
      <c r="B7957" s="1">
        <v>40995</v>
      </c>
      <c r="C7957" t="s">
        <v>24</v>
      </c>
      <c r="D7957" s="7">
        <v>255</v>
      </c>
      <c r="E7957" s="7">
        <v>38</v>
      </c>
      <c r="F7957" s="7">
        <f t="shared" si="124"/>
        <v>3</v>
      </c>
      <c r="G7957" s="7" t="str">
        <f>LOOKUP(H7957,[1]startdates!$A$2:$A$10,[1]startdates!$B$2:$B$10)</f>
        <v>SMr</v>
      </c>
      <c r="H7957">
        <v>1</v>
      </c>
      <c r="I7957" s="7">
        <v>646.4</v>
      </c>
      <c r="M7957" s="7">
        <v>332.1</v>
      </c>
      <c r="N7957" s="7">
        <v>238.1</v>
      </c>
      <c r="O7957" s="7">
        <v>215.7</v>
      </c>
    </row>
    <row r="7958" spans="1:21" x14ac:dyDescent="0.2">
      <c r="A7958">
        <v>7957</v>
      </c>
      <c r="B7958" s="1">
        <v>40995</v>
      </c>
      <c r="C7958" t="s">
        <v>24</v>
      </c>
      <c r="D7958" s="7">
        <v>255</v>
      </c>
      <c r="E7958" s="7">
        <v>38</v>
      </c>
      <c r="F7958" s="7">
        <f t="shared" si="124"/>
        <v>3</v>
      </c>
      <c r="G7958" s="7" t="str">
        <f>LOOKUP(H7958,[1]startdates!$A$2:$A$10,[1]startdates!$B$2:$B$10)</f>
        <v>SMr</v>
      </c>
      <c r="H7958">
        <v>1</v>
      </c>
      <c r="I7958" s="7">
        <v>698.9</v>
      </c>
      <c r="M7958" s="7">
        <v>319.10000000000002</v>
      </c>
      <c r="N7958" s="7">
        <v>215.5</v>
      </c>
      <c r="O7958" s="7">
        <v>198.3</v>
      </c>
    </row>
    <row r="7959" spans="1:21" x14ac:dyDescent="0.2">
      <c r="A7959">
        <v>7958</v>
      </c>
      <c r="B7959" s="1">
        <v>40995</v>
      </c>
      <c r="C7959" t="s">
        <v>24</v>
      </c>
      <c r="D7959" s="7">
        <v>255</v>
      </c>
      <c r="E7959" s="7">
        <v>38</v>
      </c>
      <c r="F7959" s="7">
        <f t="shared" si="124"/>
        <v>3</v>
      </c>
      <c r="G7959" s="7" t="str">
        <f>LOOKUP(H7959,[1]startdates!$A$2:$A$10,[1]startdates!$B$2:$B$10)</f>
        <v>SMr</v>
      </c>
      <c r="H7959">
        <v>1</v>
      </c>
      <c r="I7959" s="7">
        <v>659.3</v>
      </c>
      <c r="N7959" s="7">
        <v>186.3</v>
      </c>
      <c r="O7959" s="7">
        <v>167.9</v>
      </c>
    </row>
    <row r="7960" spans="1:21" x14ac:dyDescent="0.2">
      <c r="A7960">
        <v>7959</v>
      </c>
      <c r="B7960" s="1">
        <v>40995</v>
      </c>
      <c r="C7960" t="s">
        <v>28</v>
      </c>
      <c r="D7960" s="7">
        <v>255</v>
      </c>
      <c r="E7960" s="7">
        <v>38</v>
      </c>
      <c r="F7960" s="7">
        <f t="shared" si="124"/>
        <v>3</v>
      </c>
      <c r="G7960" s="7" t="str">
        <f>LOOKUP(H7960,[1]startdates!$A$2:$A$10,[1]startdates!$B$2:$B$10)</f>
        <v>SMr</v>
      </c>
      <c r="H7960">
        <v>2</v>
      </c>
      <c r="I7960" s="7">
        <v>595.29999999999995</v>
      </c>
      <c r="J7960" s="7">
        <v>504.2</v>
      </c>
      <c r="K7960" s="7">
        <v>475.1</v>
      </c>
      <c r="L7960" s="7">
        <v>410.2</v>
      </c>
      <c r="M7960" s="7">
        <v>387</v>
      </c>
      <c r="N7960" s="7">
        <v>231.8</v>
      </c>
      <c r="O7960" s="7">
        <v>192.6</v>
      </c>
      <c r="P7960" s="7">
        <v>438.2</v>
      </c>
      <c r="Q7960" s="7">
        <v>317.10000000000002</v>
      </c>
      <c r="R7960" s="7">
        <v>239.3</v>
      </c>
      <c r="S7960" s="7">
        <v>228.5</v>
      </c>
      <c r="U7960" s="7">
        <v>509.6</v>
      </c>
    </row>
    <row r="7961" spans="1:21" x14ac:dyDescent="0.2">
      <c r="A7961">
        <v>7960</v>
      </c>
      <c r="B7961" s="1">
        <v>40995</v>
      </c>
      <c r="C7961" t="s">
        <v>28</v>
      </c>
      <c r="D7961" s="7">
        <v>255</v>
      </c>
      <c r="E7961" s="7">
        <v>38</v>
      </c>
      <c r="F7961" s="7">
        <f t="shared" si="124"/>
        <v>3</v>
      </c>
      <c r="G7961" s="7" t="str">
        <f>LOOKUP(H7961,[1]startdates!$A$2:$A$10,[1]startdates!$B$2:$B$10)</f>
        <v>SMr</v>
      </c>
      <c r="H7961">
        <v>2</v>
      </c>
      <c r="I7961" s="7">
        <v>499.5</v>
      </c>
      <c r="K7961" s="7">
        <v>405.2</v>
      </c>
      <c r="L7961" s="7">
        <v>409</v>
      </c>
      <c r="M7961" s="7">
        <v>335.4</v>
      </c>
      <c r="N7961" s="7">
        <v>232.4</v>
      </c>
      <c r="O7961" s="7">
        <v>154.9</v>
      </c>
      <c r="P7961" s="7">
        <v>477.8</v>
      </c>
      <c r="Q7961" s="7">
        <v>304.60000000000002</v>
      </c>
      <c r="S7961" s="7">
        <v>230.5</v>
      </c>
      <c r="U7961" s="7">
        <v>429.6</v>
      </c>
    </row>
    <row r="7962" spans="1:21" x14ac:dyDescent="0.2">
      <c r="A7962">
        <v>7961</v>
      </c>
      <c r="B7962" s="1">
        <v>40995</v>
      </c>
      <c r="C7962" t="s">
        <v>28</v>
      </c>
      <c r="D7962" s="7">
        <v>255</v>
      </c>
      <c r="E7962" s="7">
        <v>38</v>
      </c>
      <c r="F7962" s="7">
        <f t="shared" si="124"/>
        <v>3</v>
      </c>
      <c r="G7962" s="7" t="str">
        <f>LOOKUP(H7962,[1]startdates!$A$2:$A$10,[1]startdates!$B$2:$B$10)</f>
        <v>SMr</v>
      </c>
      <c r="H7962">
        <v>2</v>
      </c>
      <c r="I7962" s="7">
        <v>570.9</v>
      </c>
      <c r="K7962" s="7">
        <v>544.29999999999995</v>
      </c>
      <c r="L7962" s="7">
        <v>411.5</v>
      </c>
      <c r="M7962" s="7">
        <v>322.89999999999998</v>
      </c>
      <c r="N7962" s="7">
        <v>219.6</v>
      </c>
      <c r="O7962" s="7">
        <v>184.1</v>
      </c>
      <c r="Q7962" s="7">
        <v>323.89999999999998</v>
      </c>
      <c r="U7962" s="7">
        <v>407.7</v>
      </c>
    </row>
    <row r="7963" spans="1:21" x14ac:dyDescent="0.2">
      <c r="A7963">
        <v>7962</v>
      </c>
      <c r="B7963" s="1">
        <v>40995</v>
      </c>
      <c r="C7963" t="s">
        <v>28</v>
      </c>
      <c r="D7963" s="7">
        <v>255</v>
      </c>
      <c r="E7963" s="7">
        <v>38</v>
      </c>
      <c r="F7963" s="7">
        <f t="shared" si="124"/>
        <v>3</v>
      </c>
      <c r="G7963" s="7" t="str">
        <f>LOOKUP(H7963,[1]startdates!$A$2:$A$10,[1]startdates!$B$2:$B$10)</f>
        <v>SMr</v>
      </c>
      <c r="H7963">
        <v>2</v>
      </c>
      <c r="I7963" s="7">
        <v>516.1</v>
      </c>
      <c r="K7963" s="7">
        <v>476.7</v>
      </c>
      <c r="L7963" s="7">
        <v>396.8</v>
      </c>
      <c r="M7963" s="7">
        <v>349.1</v>
      </c>
      <c r="N7963" s="7">
        <v>221.7</v>
      </c>
      <c r="O7963" s="7">
        <v>164.7</v>
      </c>
      <c r="Q7963" s="7">
        <v>372.4</v>
      </c>
      <c r="U7963" s="7">
        <v>407.2</v>
      </c>
    </row>
    <row r="7964" spans="1:21" x14ac:dyDescent="0.2">
      <c r="A7964">
        <v>7963</v>
      </c>
      <c r="B7964" s="1">
        <v>40995</v>
      </c>
      <c r="C7964" t="s">
        <v>28</v>
      </c>
      <c r="D7964" s="7">
        <v>255</v>
      </c>
      <c r="E7964" s="7">
        <v>38</v>
      </c>
      <c r="F7964" s="7">
        <f t="shared" si="124"/>
        <v>3</v>
      </c>
      <c r="G7964" s="7" t="str">
        <f>LOOKUP(H7964,[1]startdates!$A$2:$A$10,[1]startdates!$B$2:$B$10)</f>
        <v>SMr</v>
      </c>
      <c r="H7964">
        <v>2</v>
      </c>
      <c r="I7964" s="7">
        <v>543</v>
      </c>
      <c r="K7964" s="7">
        <v>469.9</v>
      </c>
      <c r="L7964" s="7">
        <v>445.2</v>
      </c>
      <c r="M7964" s="7">
        <v>387</v>
      </c>
      <c r="N7964" s="7">
        <v>222.5</v>
      </c>
      <c r="O7964" s="7">
        <v>186.3</v>
      </c>
      <c r="U7964" s="7">
        <v>553.70000000000005</v>
      </c>
    </row>
    <row r="7965" spans="1:21" x14ac:dyDescent="0.2">
      <c r="A7965">
        <v>7964</v>
      </c>
      <c r="B7965" s="1">
        <v>40995</v>
      </c>
      <c r="C7965" t="s">
        <v>28</v>
      </c>
      <c r="D7965" s="7">
        <v>255</v>
      </c>
      <c r="E7965" s="7">
        <v>38</v>
      </c>
      <c r="F7965" s="7">
        <f t="shared" si="124"/>
        <v>3</v>
      </c>
      <c r="G7965" s="7" t="str">
        <f>LOOKUP(H7965,[1]startdates!$A$2:$A$10,[1]startdates!$B$2:$B$10)</f>
        <v>SMr</v>
      </c>
      <c r="H7965">
        <v>2</v>
      </c>
      <c r="I7965" s="7">
        <v>452</v>
      </c>
      <c r="K7965" s="7">
        <v>487.7</v>
      </c>
      <c r="M7965" s="7">
        <v>335.4</v>
      </c>
      <c r="N7965" s="7">
        <v>193.3</v>
      </c>
      <c r="O7965" s="7">
        <v>160.5</v>
      </c>
    </row>
    <row r="7966" spans="1:21" x14ac:dyDescent="0.2">
      <c r="A7966">
        <v>7965</v>
      </c>
      <c r="B7966" s="1">
        <v>40995</v>
      </c>
      <c r="C7966" t="s">
        <v>28</v>
      </c>
      <c r="D7966" s="7">
        <v>255</v>
      </c>
      <c r="E7966" s="7">
        <v>38</v>
      </c>
      <c r="F7966" s="7">
        <f t="shared" si="124"/>
        <v>3</v>
      </c>
      <c r="G7966" s="7" t="str">
        <f>LOOKUP(H7966,[1]startdates!$A$2:$A$10,[1]startdates!$B$2:$B$10)</f>
        <v>SMr</v>
      </c>
      <c r="H7966">
        <v>2</v>
      </c>
      <c r="I7966" s="7">
        <v>506.7</v>
      </c>
      <c r="M7966" s="7">
        <v>322.89999999999998</v>
      </c>
      <c r="N7966" s="7">
        <v>233.1</v>
      </c>
      <c r="O7966" s="7">
        <v>162.69999999999999</v>
      </c>
    </row>
    <row r="7967" spans="1:21" x14ac:dyDescent="0.2">
      <c r="A7967">
        <v>7966</v>
      </c>
      <c r="B7967" s="1">
        <v>40995</v>
      </c>
      <c r="C7967" t="s">
        <v>28</v>
      </c>
      <c r="D7967" s="7">
        <v>255</v>
      </c>
      <c r="E7967" s="7">
        <v>38</v>
      </c>
      <c r="F7967" s="7">
        <f t="shared" si="124"/>
        <v>3</v>
      </c>
      <c r="G7967" s="7" t="str">
        <f>LOOKUP(H7967,[1]startdates!$A$2:$A$10,[1]startdates!$B$2:$B$10)</f>
        <v>SMr</v>
      </c>
      <c r="H7967">
        <v>2</v>
      </c>
      <c r="I7967" s="7">
        <v>573</v>
      </c>
      <c r="M7967" s="7">
        <v>349.1</v>
      </c>
      <c r="N7967" s="7">
        <v>194.3</v>
      </c>
      <c r="O7967" s="7">
        <v>178.7</v>
      </c>
    </row>
    <row r="7968" spans="1:21" x14ac:dyDescent="0.2">
      <c r="A7968">
        <v>7967</v>
      </c>
      <c r="B7968" s="1">
        <v>40995</v>
      </c>
      <c r="C7968" t="s">
        <v>28</v>
      </c>
      <c r="D7968" s="7">
        <v>255</v>
      </c>
      <c r="E7968" s="7">
        <v>38</v>
      </c>
      <c r="F7968" s="7">
        <f t="shared" si="124"/>
        <v>3</v>
      </c>
      <c r="G7968" s="7" t="str">
        <f>LOOKUP(H7968,[1]startdates!$A$2:$A$10,[1]startdates!$B$2:$B$10)</f>
        <v>SMr</v>
      </c>
      <c r="H7968">
        <v>2</v>
      </c>
      <c r="I7968" s="7">
        <v>500.6</v>
      </c>
      <c r="M7968" s="7">
        <v>325.5</v>
      </c>
      <c r="N7968" s="7">
        <v>261.8</v>
      </c>
      <c r="O7968" s="7">
        <v>177</v>
      </c>
    </row>
    <row r="7969" spans="1:21" x14ac:dyDescent="0.2">
      <c r="A7969">
        <v>7968</v>
      </c>
      <c r="B7969" s="1">
        <v>40995</v>
      </c>
      <c r="C7969" t="s">
        <v>28</v>
      </c>
      <c r="D7969" s="7">
        <v>255</v>
      </c>
      <c r="E7969" s="7">
        <v>38</v>
      </c>
      <c r="F7969" s="7">
        <f t="shared" si="124"/>
        <v>3</v>
      </c>
      <c r="G7969" s="7" t="str">
        <f>LOOKUP(H7969,[1]startdates!$A$2:$A$10,[1]startdates!$B$2:$B$10)</f>
        <v>SMr</v>
      </c>
      <c r="H7969">
        <v>2</v>
      </c>
      <c r="I7969" s="7">
        <v>596.1</v>
      </c>
      <c r="M7969" s="7">
        <v>373.8</v>
      </c>
      <c r="N7969" s="7">
        <v>227.9</v>
      </c>
      <c r="O7969" s="7">
        <v>187.5</v>
      </c>
    </row>
    <row r="7970" spans="1:21" x14ac:dyDescent="0.2">
      <c r="A7970">
        <v>7969</v>
      </c>
      <c r="B7970" s="1">
        <v>40995</v>
      </c>
      <c r="C7970" t="s">
        <v>28</v>
      </c>
      <c r="D7970" s="7">
        <v>255</v>
      </c>
      <c r="E7970" s="7">
        <v>38</v>
      </c>
      <c r="F7970" s="7">
        <f t="shared" si="124"/>
        <v>3</v>
      </c>
      <c r="G7970" s="7" t="str">
        <f>LOOKUP(H7970,[1]startdates!$A$2:$A$10,[1]startdates!$B$2:$B$10)</f>
        <v>SMr</v>
      </c>
      <c r="H7970">
        <v>2</v>
      </c>
      <c r="M7970" s="7">
        <v>324.8</v>
      </c>
    </row>
    <row r="7971" spans="1:21" x14ac:dyDescent="0.2">
      <c r="A7971">
        <v>7970</v>
      </c>
      <c r="B7971" s="1">
        <v>40995</v>
      </c>
      <c r="C7971" t="s">
        <v>28</v>
      </c>
      <c r="D7971" s="7">
        <v>255</v>
      </c>
      <c r="E7971" s="7">
        <v>38</v>
      </c>
      <c r="F7971" s="7">
        <f t="shared" si="124"/>
        <v>3</v>
      </c>
      <c r="G7971" s="7" t="str">
        <f>LOOKUP(H7971,[1]startdates!$A$2:$A$10,[1]startdates!$B$2:$B$10)</f>
        <v>SMr</v>
      </c>
      <c r="H7971">
        <v>2</v>
      </c>
      <c r="M7971" s="7">
        <v>352.4</v>
      </c>
    </row>
    <row r="7972" spans="1:21" x14ac:dyDescent="0.2">
      <c r="A7972">
        <v>7971</v>
      </c>
      <c r="B7972" s="1">
        <v>40995</v>
      </c>
      <c r="C7972" t="s">
        <v>28</v>
      </c>
      <c r="D7972" s="7">
        <v>255</v>
      </c>
      <c r="E7972" s="7">
        <v>38</v>
      </c>
      <c r="F7972" s="7">
        <f t="shared" si="124"/>
        <v>3</v>
      </c>
      <c r="G7972" s="7" t="str">
        <f>LOOKUP(H7972,[1]startdates!$A$2:$A$10,[1]startdates!$B$2:$B$10)</f>
        <v>SMr</v>
      </c>
      <c r="H7972">
        <v>2</v>
      </c>
      <c r="M7972" s="7">
        <v>372.1</v>
      </c>
    </row>
    <row r="7973" spans="1:21" x14ac:dyDescent="0.2">
      <c r="A7973">
        <v>7972</v>
      </c>
      <c r="B7973" s="1">
        <v>40995</v>
      </c>
      <c r="C7973" t="s">
        <v>28</v>
      </c>
      <c r="D7973" s="7">
        <v>255</v>
      </c>
      <c r="E7973" s="7">
        <v>38</v>
      </c>
      <c r="F7973" s="7">
        <f t="shared" si="124"/>
        <v>3</v>
      </c>
      <c r="G7973" s="7" t="str">
        <f>LOOKUP(H7973,[1]startdates!$A$2:$A$10,[1]startdates!$B$2:$B$10)</f>
        <v>SMr</v>
      </c>
      <c r="H7973">
        <v>2</v>
      </c>
      <c r="M7973" s="7">
        <v>314.60000000000002</v>
      </c>
    </row>
    <row r="7974" spans="1:21" x14ac:dyDescent="0.2">
      <c r="A7974">
        <v>7973</v>
      </c>
      <c r="B7974" s="1">
        <v>40995</v>
      </c>
      <c r="C7974" t="s">
        <v>24</v>
      </c>
      <c r="D7974" s="7">
        <v>255</v>
      </c>
      <c r="E7974" s="7">
        <v>38</v>
      </c>
      <c r="F7974" s="7">
        <f t="shared" si="124"/>
        <v>3</v>
      </c>
      <c r="G7974" s="7" t="str">
        <f>LOOKUP(H7974,[1]startdates!$A$2:$A$10,[1]startdates!$B$2:$B$10)</f>
        <v>C</v>
      </c>
      <c r="H7974">
        <v>3</v>
      </c>
      <c r="I7974" s="7">
        <v>600.5</v>
      </c>
      <c r="J7974" s="7">
        <v>509.5</v>
      </c>
      <c r="K7974" s="7">
        <v>466</v>
      </c>
      <c r="L7974" s="7">
        <v>434.9</v>
      </c>
      <c r="M7974" s="7">
        <v>382.9</v>
      </c>
      <c r="N7974" s="7">
        <v>259.5</v>
      </c>
      <c r="O7974" s="7">
        <v>193</v>
      </c>
    </row>
    <row r="7975" spans="1:21" x14ac:dyDescent="0.2">
      <c r="A7975">
        <v>7974</v>
      </c>
      <c r="B7975" s="1">
        <v>40995</v>
      </c>
      <c r="C7975" t="s">
        <v>24</v>
      </c>
      <c r="D7975" s="7">
        <v>255</v>
      </c>
      <c r="E7975" s="7">
        <v>38</v>
      </c>
      <c r="F7975" s="7">
        <f t="shared" si="124"/>
        <v>3</v>
      </c>
      <c r="G7975" s="7" t="str">
        <f>LOOKUP(H7975,[1]startdates!$A$2:$A$10,[1]startdates!$B$2:$B$10)</f>
        <v>C</v>
      </c>
      <c r="H7975">
        <v>3</v>
      </c>
      <c r="I7975" s="7">
        <v>661</v>
      </c>
      <c r="J7975" s="7">
        <v>557.9</v>
      </c>
      <c r="K7975" s="7">
        <v>590.70000000000005</v>
      </c>
      <c r="L7975" s="7">
        <v>453</v>
      </c>
      <c r="M7975" s="7">
        <v>396.4</v>
      </c>
      <c r="N7975" s="7">
        <v>260.8</v>
      </c>
      <c r="O7975" s="7">
        <v>178.6</v>
      </c>
    </row>
    <row r="7976" spans="1:21" x14ac:dyDescent="0.2">
      <c r="A7976">
        <v>7975</v>
      </c>
      <c r="B7976" s="1">
        <v>40995</v>
      </c>
      <c r="C7976" t="s">
        <v>24</v>
      </c>
      <c r="D7976" s="7">
        <v>255</v>
      </c>
      <c r="E7976" s="7">
        <v>38</v>
      </c>
      <c r="F7976" s="7">
        <f t="shared" si="124"/>
        <v>3</v>
      </c>
      <c r="G7976" s="7" t="str">
        <f>LOOKUP(H7976,[1]startdates!$A$2:$A$10,[1]startdates!$B$2:$B$10)</f>
        <v>C</v>
      </c>
      <c r="H7976">
        <v>3</v>
      </c>
      <c r="I7976" s="7">
        <v>669.4</v>
      </c>
      <c r="J7976" s="7">
        <v>540.1</v>
      </c>
      <c r="K7976" s="7">
        <v>490.4</v>
      </c>
      <c r="M7976" s="7">
        <v>374.1</v>
      </c>
      <c r="N7976" s="7">
        <v>243.8</v>
      </c>
      <c r="O7976" s="7">
        <v>174.4</v>
      </c>
    </row>
    <row r="7977" spans="1:21" x14ac:dyDescent="0.2">
      <c r="A7977">
        <v>7976</v>
      </c>
      <c r="B7977" s="1">
        <v>40995</v>
      </c>
      <c r="C7977" t="s">
        <v>24</v>
      </c>
      <c r="D7977" s="7">
        <v>255</v>
      </c>
      <c r="E7977" s="7">
        <v>38</v>
      </c>
      <c r="F7977" s="7">
        <f t="shared" ref="F7977:F8040" si="125">WEEKDAY(B7977)</f>
        <v>3</v>
      </c>
      <c r="G7977" s="7" t="str">
        <f>LOOKUP(H7977,[1]startdates!$A$2:$A$10,[1]startdates!$B$2:$B$10)</f>
        <v>C</v>
      </c>
      <c r="H7977">
        <v>3</v>
      </c>
      <c r="I7977" s="7">
        <v>578</v>
      </c>
      <c r="J7977" s="7">
        <v>612.29999999999995</v>
      </c>
      <c r="N7977" s="7">
        <v>248.4</v>
      </c>
      <c r="O7977" s="7">
        <v>166.5</v>
      </c>
    </row>
    <row r="7978" spans="1:21" x14ac:dyDescent="0.2">
      <c r="A7978">
        <v>7977</v>
      </c>
      <c r="B7978" s="1">
        <v>40995</v>
      </c>
      <c r="C7978" t="s">
        <v>24</v>
      </c>
      <c r="D7978" s="7">
        <v>255</v>
      </c>
      <c r="E7978" s="7">
        <v>38</v>
      </c>
      <c r="F7978" s="7">
        <f t="shared" si="125"/>
        <v>3</v>
      </c>
      <c r="G7978" s="7" t="str">
        <f>LOOKUP(H7978,[1]startdates!$A$2:$A$10,[1]startdates!$B$2:$B$10)</f>
        <v>C</v>
      </c>
      <c r="H7978">
        <v>3</v>
      </c>
      <c r="I7978" s="7">
        <v>574.4</v>
      </c>
      <c r="N7978" s="7">
        <v>253.9</v>
      </c>
      <c r="O7978" s="7">
        <v>182.8</v>
      </c>
    </row>
    <row r="7979" spans="1:21" x14ac:dyDescent="0.2">
      <c r="A7979">
        <v>7978</v>
      </c>
      <c r="B7979" s="1">
        <v>40995</v>
      </c>
      <c r="C7979" t="s">
        <v>24</v>
      </c>
      <c r="D7979" s="7">
        <v>255</v>
      </c>
      <c r="E7979" s="7">
        <v>38</v>
      </c>
      <c r="F7979" s="7">
        <f t="shared" si="125"/>
        <v>3</v>
      </c>
      <c r="G7979" s="7" t="str">
        <f>LOOKUP(H7979,[1]startdates!$A$2:$A$10,[1]startdates!$B$2:$B$10)</f>
        <v>C</v>
      </c>
      <c r="H7979">
        <v>3</v>
      </c>
      <c r="I7979" s="7">
        <v>712.2</v>
      </c>
      <c r="N7979" s="7">
        <v>240.4</v>
      </c>
      <c r="O7979" s="7">
        <v>184.1</v>
      </c>
    </row>
    <row r="7980" spans="1:21" x14ac:dyDescent="0.2">
      <c r="A7980">
        <v>7979</v>
      </c>
      <c r="B7980" s="1">
        <v>40995</v>
      </c>
      <c r="C7980" t="s">
        <v>24</v>
      </c>
      <c r="D7980" s="7">
        <v>255</v>
      </c>
      <c r="E7980" s="7">
        <v>38</v>
      </c>
      <c r="F7980" s="7">
        <f t="shared" si="125"/>
        <v>3</v>
      </c>
      <c r="G7980" s="7" t="str">
        <f>LOOKUP(H7980,[1]startdates!$A$2:$A$10,[1]startdates!$B$2:$B$10)</f>
        <v>C</v>
      </c>
      <c r="H7980">
        <v>3</v>
      </c>
      <c r="I7980" s="7">
        <v>562.9</v>
      </c>
      <c r="N7980" s="7">
        <v>269.7</v>
      </c>
      <c r="O7980" s="7">
        <v>184.9</v>
      </c>
    </row>
    <row r="7981" spans="1:21" x14ac:dyDescent="0.2">
      <c r="A7981">
        <v>7980</v>
      </c>
      <c r="B7981" s="1">
        <v>40995</v>
      </c>
      <c r="C7981" t="s">
        <v>24</v>
      </c>
      <c r="D7981" s="7">
        <v>255</v>
      </c>
      <c r="E7981" s="7">
        <v>38</v>
      </c>
      <c r="F7981" s="7">
        <f t="shared" si="125"/>
        <v>3</v>
      </c>
      <c r="G7981" s="7" t="str">
        <f>LOOKUP(H7981,[1]startdates!$A$2:$A$10,[1]startdates!$B$2:$B$10)</f>
        <v>C</v>
      </c>
      <c r="H7981">
        <v>3</v>
      </c>
      <c r="N7981" s="7">
        <v>251.3</v>
      </c>
      <c r="O7981" s="7">
        <v>181.8</v>
      </c>
    </row>
    <row r="7982" spans="1:21" x14ac:dyDescent="0.2">
      <c r="A7982">
        <v>7981</v>
      </c>
      <c r="B7982" s="1">
        <v>40995</v>
      </c>
      <c r="C7982" t="s">
        <v>24</v>
      </c>
      <c r="D7982" s="7">
        <v>255</v>
      </c>
      <c r="E7982" s="7">
        <v>38</v>
      </c>
      <c r="F7982" s="7">
        <f t="shared" si="125"/>
        <v>3</v>
      </c>
      <c r="G7982" s="7" t="str">
        <f>LOOKUP(H7982,[1]startdates!$A$2:$A$10,[1]startdates!$B$2:$B$10)</f>
        <v>C</v>
      </c>
      <c r="H7982">
        <v>3</v>
      </c>
      <c r="N7982" s="7">
        <v>229.9</v>
      </c>
      <c r="O7982" s="7">
        <v>207.7</v>
      </c>
    </row>
    <row r="7983" spans="1:21" x14ac:dyDescent="0.2">
      <c r="A7983">
        <v>7982</v>
      </c>
      <c r="B7983" s="1">
        <v>40995</v>
      </c>
      <c r="C7983" t="s">
        <v>24</v>
      </c>
      <c r="D7983" s="7">
        <v>255</v>
      </c>
      <c r="E7983" s="7">
        <v>38</v>
      </c>
      <c r="F7983" s="7">
        <f t="shared" si="125"/>
        <v>3</v>
      </c>
      <c r="G7983" s="7" t="str">
        <f>LOOKUP(H7983,[1]startdates!$A$2:$A$10,[1]startdates!$B$2:$B$10)</f>
        <v>C</v>
      </c>
      <c r="H7983">
        <v>3</v>
      </c>
      <c r="N7983" s="7">
        <v>221</v>
      </c>
      <c r="O7983" s="7">
        <v>166.5</v>
      </c>
    </row>
    <row r="7984" spans="1:21" x14ac:dyDescent="0.2">
      <c r="A7984">
        <v>7983</v>
      </c>
      <c r="B7984" s="1">
        <v>40995</v>
      </c>
      <c r="C7984" t="s">
        <v>28</v>
      </c>
      <c r="D7984" s="7">
        <v>255</v>
      </c>
      <c r="E7984" s="7">
        <v>38</v>
      </c>
      <c r="F7984" s="7">
        <f t="shared" si="125"/>
        <v>3</v>
      </c>
      <c r="G7984" s="7" t="str">
        <f>LOOKUP(H7984,[1]startdates!$A$2:$A$10,[1]startdates!$B$2:$B$10)</f>
        <v>SMr</v>
      </c>
      <c r="H7984">
        <v>4</v>
      </c>
      <c r="I7984" s="7">
        <v>595</v>
      </c>
      <c r="J7984" s="7">
        <v>602.9</v>
      </c>
      <c r="K7984" s="7">
        <v>557.4</v>
      </c>
      <c r="L7984" s="7">
        <v>462.4</v>
      </c>
      <c r="M7984" s="7">
        <v>340.3</v>
      </c>
      <c r="N7984" s="7">
        <v>239.5</v>
      </c>
      <c r="O7984" s="7">
        <v>158.1</v>
      </c>
      <c r="Q7984" s="7">
        <v>316.3</v>
      </c>
      <c r="U7984" s="7">
        <v>571</v>
      </c>
    </row>
    <row r="7985" spans="1:21" x14ac:dyDescent="0.2">
      <c r="A7985">
        <v>7984</v>
      </c>
      <c r="B7985" s="1">
        <v>40995</v>
      </c>
      <c r="C7985" t="s">
        <v>28</v>
      </c>
      <c r="D7985" s="7">
        <v>255</v>
      </c>
      <c r="E7985" s="7">
        <v>38</v>
      </c>
      <c r="F7985" s="7">
        <f t="shared" si="125"/>
        <v>3</v>
      </c>
      <c r="G7985" s="7" t="str">
        <f>LOOKUP(H7985,[1]startdates!$A$2:$A$10,[1]startdates!$B$2:$B$10)</f>
        <v>SMr</v>
      </c>
      <c r="H7985">
        <v>4</v>
      </c>
      <c r="I7985" s="7">
        <v>607.20000000000005</v>
      </c>
      <c r="K7985" s="7">
        <v>545.20000000000005</v>
      </c>
      <c r="L7985" s="7">
        <v>429.7</v>
      </c>
      <c r="M7985" s="7">
        <v>321.3</v>
      </c>
      <c r="N7985" s="7">
        <v>205.2</v>
      </c>
      <c r="O7985" s="7">
        <v>166.7</v>
      </c>
      <c r="Q7985" s="7">
        <v>373.3</v>
      </c>
      <c r="U7985" s="7">
        <v>492</v>
      </c>
    </row>
    <row r="7986" spans="1:21" x14ac:dyDescent="0.2">
      <c r="A7986">
        <v>7985</v>
      </c>
      <c r="B7986" s="1">
        <v>40995</v>
      </c>
      <c r="C7986" t="s">
        <v>28</v>
      </c>
      <c r="D7986" s="7">
        <v>255</v>
      </c>
      <c r="E7986" s="7">
        <v>38</v>
      </c>
      <c r="F7986" s="7">
        <f t="shared" si="125"/>
        <v>3</v>
      </c>
      <c r="G7986" s="7" t="str">
        <f>LOOKUP(H7986,[1]startdates!$A$2:$A$10,[1]startdates!$B$2:$B$10)</f>
        <v>SMr</v>
      </c>
      <c r="H7986">
        <v>4</v>
      </c>
      <c r="I7986" s="7">
        <v>620</v>
      </c>
      <c r="K7986" s="7">
        <v>535.1</v>
      </c>
      <c r="L7986" s="7">
        <v>424.2</v>
      </c>
      <c r="M7986" s="7">
        <v>386.9</v>
      </c>
      <c r="N7986" s="7">
        <v>238.1</v>
      </c>
      <c r="O7986" s="7">
        <v>155.30000000000001</v>
      </c>
      <c r="U7986" s="7">
        <v>515.9</v>
      </c>
    </row>
    <row r="7987" spans="1:21" x14ac:dyDescent="0.2">
      <c r="A7987">
        <v>7986</v>
      </c>
      <c r="B7987" s="1">
        <v>40995</v>
      </c>
      <c r="C7987" t="s">
        <v>28</v>
      </c>
      <c r="D7987" s="7">
        <v>255</v>
      </c>
      <c r="E7987" s="7">
        <v>38</v>
      </c>
      <c r="F7987" s="7">
        <f t="shared" si="125"/>
        <v>3</v>
      </c>
      <c r="G7987" s="7" t="str">
        <f>LOOKUP(H7987,[1]startdates!$A$2:$A$10,[1]startdates!$B$2:$B$10)</f>
        <v>SMr</v>
      </c>
      <c r="H7987">
        <v>4</v>
      </c>
      <c r="I7987" s="7">
        <v>501.5</v>
      </c>
      <c r="K7987" s="7">
        <v>464.8</v>
      </c>
      <c r="L7987" s="7">
        <v>418.7</v>
      </c>
      <c r="M7987" s="7">
        <v>364.6</v>
      </c>
      <c r="N7987" s="7">
        <v>232.1</v>
      </c>
      <c r="O7987" s="7">
        <v>170</v>
      </c>
      <c r="U7987" s="7">
        <v>558.5</v>
      </c>
    </row>
    <row r="7988" spans="1:21" x14ac:dyDescent="0.2">
      <c r="A7988">
        <v>7987</v>
      </c>
      <c r="B7988" s="1">
        <v>40995</v>
      </c>
      <c r="C7988" t="s">
        <v>28</v>
      </c>
      <c r="D7988" s="7">
        <v>255</v>
      </c>
      <c r="E7988" s="7">
        <v>38</v>
      </c>
      <c r="F7988" s="7">
        <f t="shared" si="125"/>
        <v>3</v>
      </c>
      <c r="G7988" s="7" t="str">
        <f>LOOKUP(H7988,[1]startdates!$A$2:$A$10,[1]startdates!$B$2:$B$10)</f>
        <v>SMr</v>
      </c>
      <c r="H7988">
        <v>4</v>
      </c>
      <c r="I7988" s="7">
        <v>477.7</v>
      </c>
      <c r="K7988" s="7">
        <v>607.79999999999995</v>
      </c>
      <c r="M7988" s="7">
        <v>365.1</v>
      </c>
      <c r="N7988" s="7">
        <v>236.1</v>
      </c>
      <c r="O7988" s="7">
        <v>155.69999999999999</v>
      </c>
      <c r="U7988" s="7">
        <v>492.2</v>
      </c>
    </row>
    <row r="7989" spans="1:21" x14ac:dyDescent="0.2">
      <c r="A7989">
        <v>7988</v>
      </c>
      <c r="B7989" s="1">
        <v>40995</v>
      </c>
      <c r="C7989" t="s">
        <v>28</v>
      </c>
      <c r="D7989" s="7">
        <v>255</v>
      </c>
      <c r="E7989" s="7">
        <v>38</v>
      </c>
      <c r="F7989" s="7">
        <f t="shared" si="125"/>
        <v>3</v>
      </c>
      <c r="G7989" s="7" t="str">
        <f>LOOKUP(H7989,[1]startdates!$A$2:$A$10,[1]startdates!$B$2:$B$10)</f>
        <v>SMr</v>
      </c>
      <c r="H7989">
        <v>4</v>
      </c>
      <c r="I7989" s="7">
        <v>588.79999999999995</v>
      </c>
      <c r="K7989" s="7">
        <v>560.5</v>
      </c>
      <c r="M7989" s="7">
        <v>350.1</v>
      </c>
      <c r="N7989" s="7">
        <v>197.1</v>
      </c>
      <c r="O7989" s="7">
        <v>181.1</v>
      </c>
    </row>
    <row r="7990" spans="1:21" x14ac:dyDescent="0.2">
      <c r="A7990">
        <v>7989</v>
      </c>
      <c r="B7990" s="1">
        <v>40995</v>
      </c>
      <c r="C7990" t="s">
        <v>28</v>
      </c>
      <c r="D7990" s="7">
        <v>255</v>
      </c>
      <c r="E7990" s="7">
        <v>38</v>
      </c>
      <c r="F7990" s="7">
        <f t="shared" si="125"/>
        <v>3</v>
      </c>
      <c r="G7990" s="7" t="str">
        <f>LOOKUP(H7990,[1]startdates!$A$2:$A$10,[1]startdates!$B$2:$B$10)</f>
        <v>SMr</v>
      </c>
      <c r="H7990">
        <v>4</v>
      </c>
      <c r="I7990" s="7">
        <v>593.9</v>
      </c>
      <c r="M7990" s="7">
        <v>312.5</v>
      </c>
      <c r="N7990" s="7">
        <v>197.9</v>
      </c>
      <c r="O7990" s="7">
        <v>168</v>
      </c>
    </row>
    <row r="7991" spans="1:21" x14ac:dyDescent="0.2">
      <c r="A7991">
        <v>7990</v>
      </c>
      <c r="B7991" s="1">
        <v>40995</v>
      </c>
      <c r="C7991" t="s">
        <v>28</v>
      </c>
      <c r="D7991" s="7">
        <v>255</v>
      </c>
      <c r="E7991" s="7">
        <v>38</v>
      </c>
      <c r="F7991" s="7">
        <f t="shared" si="125"/>
        <v>3</v>
      </c>
      <c r="G7991" s="7" t="str">
        <f>LOOKUP(H7991,[1]startdates!$A$2:$A$10,[1]startdates!$B$2:$B$10)</f>
        <v>SMr</v>
      </c>
      <c r="H7991">
        <v>4</v>
      </c>
      <c r="I7991" s="7">
        <v>684.1</v>
      </c>
      <c r="M7991" s="7">
        <v>341.1</v>
      </c>
      <c r="N7991" s="7">
        <v>168.5</v>
      </c>
      <c r="O7991" s="7">
        <v>169.6</v>
      </c>
    </row>
    <row r="7992" spans="1:21" x14ac:dyDescent="0.2">
      <c r="A7992">
        <v>7991</v>
      </c>
      <c r="B7992" s="1">
        <v>40995</v>
      </c>
      <c r="C7992" t="s">
        <v>28</v>
      </c>
      <c r="D7992" s="7">
        <v>255</v>
      </c>
      <c r="E7992" s="7">
        <v>38</v>
      </c>
      <c r="F7992" s="7">
        <f t="shared" si="125"/>
        <v>3</v>
      </c>
      <c r="G7992" s="7" t="str">
        <f>LOOKUP(H7992,[1]startdates!$A$2:$A$10,[1]startdates!$B$2:$B$10)</f>
        <v>SMr</v>
      </c>
      <c r="H7992">
        <v>4</v>
      </c>
      <c r="I7992" s="7">
        <v>494.5</v>
      </c>
      <c r="M7992" s="7">
        <v>334.3</v>
      </c>
      <c r="N7992" s="7">
        <v>240.1</v>
      </c>
      <c r="O7992" s="7">
        <v>176.2</v>
      </c>
    </row>
    <row r="7993" spans="1:21" x14ac:dyDescent="0.2">
      <c r="A7993">
        <v>7992</v>
      </c>
      <c r="B7993" s="1">
        <v>40995</v>
      </c>
      <c r="C7993" t="s">
        <v>28</v>
      </c>
      <c r="D7993" s="7">
        <v>255</v>
      </c>
      <c r="E7993" s="7">
        <v>38</v>
      </c>
      <c r="F7993" s="7">
        <f t="shared" si="125"/>
        <v>3</v>
      </c>
      <c r="G7993" s="7" t="str">
        <f>LOOKUP(H7993,[1]startdates!$A$2:$A$10,[1]startdates!$B$2:$B$10)</f>
        <v>SMr</v>
      </c>
      <c r="H7993">
        <v>4</v>
      </c>
      <c r="I7993" s="7">
        <v>669.4</v>
      </c>
      <c r="M7993" s="7">
        <v>352.9</v>
      </c>
      <c r="N7993" s="7">
        <v>217.3</v>
      </c>
    </row>
    <row r="7994" spans="1:21" x14ac:dyDescent="0.2">
      <c r="A7994">
        <v>7993</v>
      </c>
      <c r="B7994" s="1">
        <v>40995</v>
      </c>
      <c r="C7994" t="s">
        <v>24</v>
      </c>
      <c r="D7994" s="7">
        <v>255</v>
      </c>
      <c r="E7994" s="7">
        <v>38</v>
      </c>
      <c r="F7994" s="7">
        <f t="shared" si="125"/>
        <v>3</v>
      </c>
      <c r="G7994" s="7" t="str">
        <f>LOOKUP(H7994,[1]startdates!$A$2:$A$10,[1]startdates!$B$2:$B$10)</f>
        <v>C</v>
      </c>
      <c r="H7994">
        <v>5</v>
      </c>
      <c r="I7994" s="7">
        <v>677.4</v>
      </c>
      <c r="J7994" s="7">
        <v>534.29999999999995</v>
      </c>
      <c r="K7994" s="7">
        <v>542.1</v>
      </c>
      <c r="L7994" s="7">
        <v>508.8</v>
      </c>
      <c r="M7994" s="7">
        <v>325.8</v>
      </c>
      <c r="N7994" s="7">
        <v>218.9</v>
      </c>
      <c r="O7994" s="7">
        <v>204.1</v>
      </c>
      <c r="P7994" s="7">
        <v>466.7</v>
      </c>
      <c r="R7994" s="7">
        <v>292</v>
      </c>
    </row>
    <row r="7995" spans="1:21" x14ac:dyDescent="0.2">
      <c r="A7995">
        <v>7994</v>
      </c>
      <c r="B7995" s="1">
        <v>40995</v>
      </c>
      <c r="C7995" t="s">
        <v>24</v>
      </c>
      <c r="D7995" s="7">
        <v>255</v>
      </c>
      <c r="E7995" s="7">
        <v>38</v>
      </c>
      <c r="F7995" s="7">
        <f t="shared" si="125"/>
        <v>3</v>
      </c>
      <c r="G7995" s="7" t="str">
        <f>LOOKUP(H7995,[1]startdates!$A$2:$A$10,[1]startdates!$B$2:$B$10)</f>
        <v>C</v>
      </c>
      <c r="H7995">
        <v>5</v>
      </c>
      <c r="I7995" s="7">
        <v>604.29999999999995</v>
      </c>
      <c r="J7995" s="7">
        <v>547.4</v>
      </c>
      <c r="K7995" s="7">
        <v>592.6</v>
      </c>
      <c r="L7995" s="7">
        <v>408.8</v>
      </c>
      <c r="M7995" s="7">
        <v>327.9</v>
      </c>
      <c r="N7995" s="7">
        <v>195.7</v>
      </c>
      <c r="O7995" s="7">
        <v>170.6</v>
      </c>
      <c r="P7995" s="7">
        <v>453.1</v>
      </c>
    </row>
    <row r="7996" spans="1:21" x14ac:dyDescent="0.2">
      <c r="A7996">
        <v>7995</v>
      </c>
      <c r="B7996" s="1">
        <v>40995</v>
      </c>
      <c r="C7996" t="s">
        <v>24</v>
      </c>
      <c r="D7996" s="7">
        <v>255</v>
      </c>
      <c r="E7996" s="7">
        <v>38</v>
      </c>
      <c r="F7996" s="7">
        <f t="shared" si="125"/>
        <v>3</v>
      </c>
      <c r="G7996" s="7" t="str">
        <f>LOOKUP(H7996,[1]startdates!$A$2:$A$10,[1]startdates!$B$2:$B$10)</f>
        <v>C</v>
      </c>
      <c r="H7996">
        <v>5</v>
      </c>
      <c r="I7996" s="7">
        <v>700.7</v>
      </c>
      <c r="J7996" s="7">
        <v>491</v>
      </c>
      <c r="K7996" s="7">
        <v>581.9</v>
      </c>
      <c r="L7996" s="7">
        <v>398.2</v>
      </c>
      <c r="M7996" s="7">
        <v>380.4</v>
      </c>
      <c r="N7996" s="7">
        <v>207.7</v>
      </c>
      <c r="O7996" s="7">
        <v>162.4</v>
      </c>
      <c r="P7996" s="7">
        <v>414.9</v>
      </c>
    </row>
    <row r="7997" spans="1:21" x14ac:dyDescent="0.2">
      <c r="A7997">
        <v>7996</v>
      </c>
      <c r="B7997" s="1">
        <v>40995</v>
      </c>
      <c r="C7997" t="s">
        <v>24</v>
      </c>
      <c r="D7997" s="7">
        <v>255</v>
      </c>
      <c r="E7997" s="7">
        <v>38</v>
      </c>
      <c r="F7997" s="7">
        <f t="shared" si="125"/>
        <v>3</v>
      </c>
      <c r="G7997" s="7" t="str">
        <f>LOOKUP(H7997,[1]startdates!$A$2:$A$10,[1]startdates!$B$2:$B$10)</f>
        <v>C</v>
      </c>
      <c r="H7997">
        <v>5</v>
      </c>
      <c r="I7997" s="7">
        <v>611.6</v>
      </c>
      <c r="J7997" s="7">
        <v>582.20000000000005</v>
      </c>
      <c r="K7997" s="7">
        <v>585</v>
      </c>
      <c r="L7997" s="7">
        <v>392.4</v>
      </c>
      <c r="M7997" s="7">
        <v>361.1</v>
      </c>
      <c r="N7997" s="7">
        <v>223.1</v>
      </c>
      <c r="O7997" s="7">
        <v>173.1</v>
      </c>
    </row>
    <row r="7998" spans="1:21" x14ac:dyDescent="0.2">
      <c r="A7998">
        <v>7997</v>
      </c>
      <c r="B7998" s="1">
        <v>40995</v>
      </c>
      <c r="C7998" t="s">
        <v>24</v>
      </c>
      <c r="D7998" s="7">
        <v>255</v>
      </c>
      <c r="E7998" s="7">
        <v>38</v>
      </c>
      <c r="F7998" s="7">
        <f t="shared" si="125"/>
        <v>3</v>
      </c>
      <c r="G7998" s="7" t="str">
        <f>LOOKUP(H7998,[1]startdates!$A$2:$A$10,[1]startdates!$B$2:$B$10)</f>
        <v>C</v>
      </c>
      <c r="H7998">
        <v>5</v>
      </c>
      <c r="I7998" s="7">
        <v>644.70000000000005</v>
      </c>
      <c r="J7998" s="7">
        <v>462.6</v>
      </c>
      <c r="K7998" s="7">
        <v>574</v>
      </c>
      <c r="N7998" s="7">
        <v>278.60000000000002</v>
      </c>
      <c r="O7998" s="7">
        <v>214.2</v>
      </c>
    </row>
    <row r="7999" spans="1:21" x14ac:dyDescent="0.2">
      <c r="A7999">
        <v>7998</v>
      </c>
      <c r="B7999" s="1">
        <v>40995</v>
      </c>
      <c r="C7999" t="s">
        <v>24</v>
      </c>
      <c r="D7999" s="7">
        <v>255</v>
      </c>
      <c r="E7999" s="7">
        <v>38</v>
      </c>
      <c r="F7999" s="7">
        <f t="shared" si="125"/>
        <v>3</v>
      </c>
      <c r="G7999" s="7" t="str">
        <f>LOOKUP(H7999,[1]startdates!$A$2:$A$10,[1]startdates!$B$2:$B$10)</f>
        <v>C</v>
      </c>
      <c r="H7999">
        <v>5</v>
      </c>
      <c r="I7999" s="7">
        <v>711.9</v>
      </c>
      <c r="K7999" s="7">
        <v>584</v>
      </c>
      <c r="N7999" s="7">
        <v>221.7</v>
      </c>
      <c r="O7999" s="7">
        <v>187.5</v>
      </c>
    </row>
    <row r="8000" spans="1:21" x14ac:dyDescent="0.2">
      <c r="A8000">
        <v>7999</v>
      </c>
      <c r="B8000" s="1">
        <v>40995</v>
      </c>
      <c r="C8000" t="s">
        <v>24</v>
      </c>
      <c r="D8000" s="7">
        <v>255</v>
      </c>
      <c r="E8000" s="7">
        <v>38</v>
      </c>
      <c r="F8000" s="7">
        <f t="shared" si="125"/>
        <v>3</v>
      </c>
      <c r="G8000" s="7" t="str">
        <f>LOOKUP(H8000,[1]startdates!$A$2:$A$10,[1]startdates!$B$2:$B$10)</f>
        <v>C</v>
      </c>
      <c r="H8000">
        <v>5</v>
      </c>
      <c r="I8000" s="7">
        <v>590.29999999999995</v>
      </c>
      <c r="N8000" s="7">
        <v>245.1</v>
      </c>
      <c r="O8000" s="7">
        <v>175.8</v>
      </c>
    </row>
    <row r="8001" spans="1:22" x14ac:dyDescent="0.2">
      <c r="A8001">
        <v>8000</v>
      </c>
      <c r="B8001" s="1">
        <v>40995</v>
      </c>
      <c r="C8001" t="s">
        <v>24</v>
      </c>
      <c r="D8001" s="7">
        <v>255</v>
      </c>
      <c r="E8001" s="7">
        <v>38</v>
      </c>
      <c r="F8001" s="7">
        <f t="shared" si="125"/>
        <v>3</v>
      </c>
      <c r="G8001" s="7" t="str">
        <f>LOOKUP(H8001,[1]startdates!$A$2:$A$10,[1]startdates!$B$2:$B$10)</f>
        <v>C</v>
      </c>
      <c r="H8001">
        <v>5</v>
      </c>
      <c r="I8001" s="7">
        <v>631</v>
      </c>
      <c r="N8001" s="7">
        <v>234</v>
      </c>
      <c r="O8001" s="7">
        <v>170</v>
      </c>
    </row>
    <row r="8002" spans="1:22" x14ac:dyDescent="0.2">
      <c r="A8002">
        <v>8001</v>
      </c>
      <c r="B8002" s="1">
        <v>40995</v>
      </c>
      <c r="C8002" t="s">
        <v>24</v>
      </c>
      <c r="D8002" s="7">
        <v>255</v>
      </c>
      <c r="E8002" s="7">
        <v>38</v>
      </c>
      <c r="F8002" s="7">
        <f t="shared" si="125"/>
        <v>3</v>
      </c>
      <c r="G8002" s="7" t="str">
        <f>LOOKUP(H8002,[1]startdates!$A$2:$A$10,[1]startdates!$B$2:$B$10)</f>
        <v>C</v>
      </c>
      <c r="H8002">
        <v>5</v>
      </c>
      <c r="N8002" s="7">
        <v>211.9</v>
      </c>
      <c r="O8002" s="7">
        <v>191.3</v>
      </c>
    </row>
    <row r="8003" spans="1:22" x14ac:dyDescent="0.2">
      <c r="A8003">
        <v>8002</v>
      </c>
      <c r="B8003" s="1">
        <v>40995</v>
      </c>
      <c r="C8003" t="s">
        <v>24</v>
      </c>
      <c r="D8003" s="7">
        <v>255</v>
      </c>
      <c r="E8003" s="7">
        <v>38</v>
      </c>
      <c r="F8003" s="7">
        <f t="shared" si="125"/>
        <v>3</v>
      </c>
      <c r="G8003" s="7" t="str">
        <f>LOOKUP(H8003,[1]startdates!$A$2:$A$10,[1]startdates!$B$2:$B$10)</f>
        <v>C</v>
      </c>
      <c r="H8003">
        <v>5</v>
      </c>
      <c r="N8003" s="7">
        <v>234.8</v>
      </c>
      <c r="O8003" s="7">
        <v>196.9</v>
      </c>
    </row>
    <row r="8004" spans="1:22" x14ac:dyDescent="0.2">
      <c r="A8004">
        <v>8003</v>
      </c>
      <c r="B8004" s="1">
        <v>40995</v>
      </c>
      <c r="C8004" t="s">
        <v>24</v>
      </c>
      <c r="D8004" s="7">
        <v>255</v>
      </c>
      <c r="E8004" s="7">
        <v>38</v>
      </c>
      <c r="F8004" s="7">
        <f t="shared" si="125"/>
        <v>3</v>
      </c>
      <c r="G8004" s="7" t="str">
        <f>LOOKUP(H8004,[1]startdates!$A$2:$A$10,[1]startdates!$B$2:$B$10)</f>
        <v>FMr</v>
      </c>
      <c r="H8004">
        <v>6</v>
      </c>
      <c r="I8004" s="7">
        <v>625.70000000000005</v>
      </c>
      <c r="J8004" s="7">
        <v>490.8</v>
      </c>
      <c r="K8004" s="7">
        <v>429.8</v>
      </c>
      <c r="L8004" s="7">
        <v>439.2</v>
      </c>
      <c r="M8004" s="7">
        <v>380.9</v>
      </c>
      <c r="N8004" s="7">
        <v>221</v>
      </c>
      <c r="O8004" s="7">
        <v>198.2</v>
      </c>
      <c r="Q8004" s="7">
        <v>348.4</v>
      </c>
    </row>
    <row r="8005" spans="1:22" x14ac:dyDescent="0.2">
      <c r="A8005">
        <v>8004</v>
      </c>
      <c r="B8005" s="1">
        <v>40995</v>
      </c>
      <c r="C8005" t="s">
        <v>24</v>
      </c>
      <c r="D8005" s="7">
        <v>255</v>
      </c>
      <c r="E8005" s="7">
        <v>38</v>
      </c>
      <c r="F8005" s="7">
        <f t="shared" si="125"/>
        <v>3</v>
      </c>
      <c r="G8005" s="7" t="str">
        <f>LOOKUP(H8005,[1]startdates!$A$2:$A$10,[1]startdates!$B$2:$B$10)</f>
        <v>FMr</v>
      </c>
      <c r="H8005">
        <v>6</v>
      </c>
      <c r="I8005" s="7">
        <v>682.3</v>
      </c>
      <c r="K8005" s="7">
        <v>440.5</v>
      </c>
      <c r="L8005" s="7">
        <v>390.1</v>
      </c>
      <c r="N8005" s="7">
        <v>212.5</v>
      </c>
      <c r="O8005" s="7">
        <v>186.1</v>
      </c>
    </row>
    <row r="8006" spans="1:22" x14ac:dyDescent="0.2">
      <c r="A8006">
        <v>8005</v>
      </c>
      <c r="B8006" s="1">
        <v>40995</v>
      </c>
      <c r="C8006" t="s">
        <v>24</v>
      </c>
      <c r="D8006" s="7">
        <v>255</v>
      </c>
      <c r="E8006" s="7">
        <v>38</v>
      </c>
      <c r="F8006" s="7">
        <f t="shared" si="125"/>
        <v>3</v>
      </c>
      <c r="G8006" s="7" t="str">
        <f>LOOKUP(H8006,[1]startdates!$A$2:$A$10,[1]startdates!$B$2:$B$10)</f>
        <v>FMr</v>
      </c>
      <c r="H8006">
        <v>6</v>
      </c>
      <c r="I8006" s="7">
        <v>645.4</v>
      </c>
      <c r="K8006" s="7">
        <v>498.2</v>
      </c>
      <c r="L8006" s="7">
        <v>421.7</v>
      </c>
      <c r="N8006" s="7">
        <v>202.6</v>
      </c>
      <c r="O8006" s="7">
        <v>179.5</v>
      </c>
    </row>
    <row r="8007" spans="1:22" x14ac:dyDescent="0.2">
      <c r="A8007">
        <v>8006</v>
      </c>
      <c r="B8007" s="1">
        <v>40995</v>
      </c>
      <c r="C8007" t="s">
        <v>24</v>
      </c>
      <c r="D8007" s="7">
        <v>255</v>
      </c>
      <c r="E8007" s="7">
        <v>38</v>
      </c>
      <c r="F8007" s="7">
        <f t="shared" si="125"/>
        <v>3</v>
      </c>
      <c r="G8007" s="7" t="str">
        <f>LOOKUP(H8007,[1]startdates!$A$2:$A$10,[1]startdates!$B$2:$B$10)</f>
        <v>FMr</v>
      </c>
      <c r="H8007">
        <v>6</v>
      </c>
      <c r="I8007" s="7">
        <v>664.4</v>
      </c>
      <c r="K8007" s="7">
        <v>549</v>
      </c>
      <c r="N8007" s="7">
        <v>261.39999999999998</v>
      </c>
      <c r="O8007" s="7">
        <v>173</v>
      </c>
    </row>
    <row r="8008" spans="1:22" x14ac:dyDescent="0.2">
      <c r="A8008">
        <v>8007</v>
      </c>
      <c r="B8008" s="1">
        <v>40995</v>
      </c>
      <c r="C8008" t="s">
        <v>24</v>
      </c>
      <c r="D8008" s="7">
        <v>255</v>
      </c>
      <c r="E8008" s="7">
        <v>38</v>
      </c>
      <c r="F8008" s="7">
        <f t="shared" si="125"/>
        <v>3</v>
      </c>
      <c r="G8008" s="7" t="str">
        <f>LOOKUP(H8008,[1]startdates!$A$2:$A$10,[1]startdates!$B$2:$B$10)</f>
        <v>FMr</v>
      </c>
      <c r="H8008">
        <v>6</v>
      </c>
      <c r="I8008" s="7">
        <v>607.4</v>
      </c>
      <c r="K8008" s="7">
        <v>525.1</v>
      </c>
      <c r="N8008" s="7">
        <v>220.9</v>
      </c>
      <c r="O8008" s="7">
        <v>182.2</v>
      </c>
    </row>
    <row r="8009" spans="1:22" x14ac:dyDescent="0.2">
      <c r="A8009">
        <v>8008</v>
      </c>
      <c r="B8009" s="1">
        <v>40995</v>
      </c>
      <c r="C8009" t="s">
        <v>24</v>
      </c>
      <c r="D8009" s="7">
        <v>255</v>
      </c>
      <c r="E8009" s="7">
        <v>38</v>
      </c>
      <c r="F8009" s="7">
        <f t="shared" si="125"/>
        <v>3</v>
      </c>
      <c r="G8009" s="7" t="str">
        <f>LOOKUP(H8009,[1]startdates!$A$2:$A$10,[1]startdates!$B$2:$B$10)</f>
        <v>FMr</v>
      </c>
      <c r="H8009">
        <v>6</v>
      </c>
      <c r="I8009" s="7">
        <v>673.2</v>
      </c>
      <c r="K8009" s="7">
        <v>477.8</v>
      </c>
      <c r="N8009" s="7">
        <v>231.1</v>
      </c>
      <c r="O8009" s="7">
        <v>159.5</v>
      </c>
    </row>
    <row r="8010" spans="1:22" x14ac:dyDescent="0.2">
      <c r="A8010">
        <v>8009</v>
      </c>
      <c r="B8010" s="1">
        <v>40995</v>
      </c>
      <c r="C8010" t="s">
        <v>24</v>
      </c>
      <c r="D8010" s="7">
        <v>255</v>
      </c>
      <c r="E8010" s="7">
        <v>38</v>
      </c>
      <c r="F8010" s="7">
        <f t="shared" si="125"/>
        <v>3</v>
      </c>
      <c r="G8010" s="7" t="str">
        <f>LOOKUP(H8010,[1]startdates!$A$2:$A$10,[1]startdates!$B$2:$B$10)</f>
        <v>FMr</v>
      </c>
      <c r="H8010">
        <v>6</v>
      </c>
      <c r="I8010" s="7">
        <v>647.5</v>
      </c>
      <c r="K8010" s="7">
        <v>463.4</v>
      </c>
      <c r="N8010" s="7">
        <v>170.6</v>
      </c>
      <c r="O8010" s="7">
        <v>184.1</v>
      </c>
    </row>
    <row r="8011" spans="1:22" x14ac:dyDescent="0.2">
      <c r="A8011">
        <v>8010</v>
      </c>
      <c r="B8011" s="1">
        <v>40995</v>
      </c>
      <c r="C8011" t="s">
        <v>24</v>
      </c>
      <c r="D8011" s="7">
        <v>255</v>
      </c>
      <c r="E8011" s="7">
        <v>38</v>
      </c>
      <c r="F8011" s="7">
        <f t="shared" si="125"/>
        <v>3</v>
      </c>
      <c r="G8011" s="7" t="str">
        <f>LOOKUP(H8011,[1]startdates!$A$2:$A$10,[1]startdates!$B$2:$B$10)</f>
        <v>FMr</v>
      </c>
      <c r="H8011">
        <v>6</v>
      </c>
      <c r="I8011" s="7">
        <v>688.7</v>
      </c>
      <c r="K8011" s="7">
        <v>460.9</v>
      </c>
      <c r="N8011" s="7">
        <v>239.8</v>
      </c>
      <c r="O8011" s="7">
        <v>184.9</v>
      </c>
    </row>
    <row r="8012" spans="1:22" x14ac:dyDescent="0.2">
      <c r="A8012">
        <v>8011</v>
      </c>
      <c r="B8012" s="1">
        <v>40995</v>
      </c>
      <c r="C8012" t="s">
        <v>24</v>
      </c>
      <c r="D8012" s="7">
        <v>255</v>
      </c>
      <c r="E8012" s="7">
        <v>38</v>
      </c>
      <c r="F8012" s="7">
        <f t="shared" si="125"/>
        <v>3</v>
      </c>
      <c r="G8012" s="7" t="str">
        <f>LOOKUP(H8012,[1]startdates!$A$2:$A$10,[1]startdates!$B$2:$B$10)</f>
        <v>FMr</v>
      </c>
      <c r="H8012">
        <v>6</v>
      </c>
      <c r="I8012" s="7">
        <v>726.3</v>
      </c>
      <c r="K8012" s="7">
        <v>406.4</v>
      </c>
      <c r="N8012" s="7">
        <v>239.4</v>
      </c>
      <c r="O8012" s="7">
        <v>168.6</v>
      </c>
    </row>
    <row r="8013" spans="1:22" x14ac:dyDescent="0.2">
      <c r="A8013">
        <v>8012</v>
      </c>
      <c r="B8013" s="1">
        <v>40995</v>
      </c>
      <c r="C8013" t="s">
        <v>24</v>
      </c>
      <c r="D8013" s="7">
        <v>255</v>
      </c>
      <c r="E8013" s="7">
        <v>38</v>
      </c>
      <c r="F8013" s="7">
        <f t="shared" si="125"/>
        <v>3</v>
      </c>
      <c r="G8013" s="7" t="str">
        <f>LOOKUP(H8013,[1]startdates!$A$2:$A$10,[1]startdates!$B$2:$B$10)</f>
        <v>FMr</v>
      </c>
      <c r="H8013">
        <v>6</v>
      </c>
      <c r="I8013" s="7">
        <v>605.5</v>
      </c>
      <c r="K8013" s="7">
        <v>589.1</v>
      </c>
      <c r="N8013" s="7">
        <v>236.3</v>
      </c>
      <c r="O8013" s="7">
        <v>190.1</v>
      </c>
    </row>
    <row r="8014" spans="1:22" x14ac:dyDescent="0.2">
      <c r="A8014">
        <v>8013</v>
      </c>
      <c r="B8014" s="1">
        <v>40995</v>
      </c>
      <c r="C8014" t="s">
        <v>24</v>
      </c>
      <c r="D8014" s="7">
        <v>255</v>
      </c>
      <c r="E8014" s="7">
        <v>38</v>
      </c>
      <c r="F8014" s="7">
        <f t="shared" si="125"/>
        <v>3</v>
      </c>
      <c r="G8014" s="7" t="str">
        <f>LOOKUP(H8014,[1]startdates!$A$2:$A$10,[1]startdates!$B$2:$B$10)</f>
        <v>FMr</v>
      </c>
      <c r="H8014">
        <v>7</v>
      </c>
      <c r="I8014" s="7">
        <v>684</v>
      </c>
      <c r="J8014" s="7">
        <v>559.6</v>
      </c>
      <c r="K8014" s="7">
        <v>497.4</v>
      </c>
      <c r="L8014" s="7">
        <v>410.9</v>
      </c>
      <c r="M8014" s="7">
        <v>313.10000000000002</v>
      </c>
      <c r="N8014" s="7">
        <v>224.9</v>
      </c>
      <c r="O8014" s="7">
        <v>177</v>
      </c>
      <c r="P8014" s="7">
        <v>441.3</v>
      </c>
      <c r="Q8014" s="7">
        <v>334</v>
      </c>
      <c r="R8014" s="7">
        <v>246.7</v>
      </c>
      <c r="V8014" s="7">
        <v>518.1</v>
      </c>
    </row>
    <row r="8015" spans="1:22" x14ac:dyDescent="0.2">
      <c r="A8015">
        <v>8014</v>
      </c>
      <c r="B8015" s="1">
        <v>40995</v>
      </c>
      <c r="C8015" t="s">
        <v>24</v>
      </c>
      <c r="D8015" s="7">
        <v>255</v>
      </c>
      <c r="E8015" s="7">
        <v>38</v>
      </c>
      <c r="F8015" s="7">
        <f t="shared" si="125"/>
        <v>3</v>
      </c>
      <c r="G8015" s="7" t="str">
        <f>LOOKUP(H8015,[1]startdates!$A$2:$A$10,[1]startdates!$B$2:$B$10)</f>
        <v>FMr</v>
      </c>
      <c r="H8015">
        <v>7</v>
      </c>
      <c r="I8015" s="7">
        <v>645.4</v>
      </c>
      <c r="J8015" s="7">
        <v>496.3</v>
      </c>
      <c r="K8015" s="7">
        <v>567.1</v>
      </c>
      <c r="L8015" s="7">
        <v>398.9</v>
      </c>
      <c r="M8015" s="7">
        <v>377.8</v>
      </c>
      <c r="N8015" s="7">
        <v>254.5</v>
      </c>
      <c r="O8015" s="7">
        <v>168.3</v>
      </c>
      <c r="P8015" s="7">
        <v>485.6</v>
      </c>
      <c r="V8015" s="7">
        <v>539.1</v>
      </c>
    </row>
    <row r="8016" spans="1:22" x14ac:dyDescent="0.2">
      <c r="A8016">
        <v>8015</v>
      </c>
      <c r="B8016" s="1">
        <v>40995</v>
      </c>
      <c r="C8016" t="s">
        <v>24</v>
      </c>
      <c r="D8016" s="7">
        <v>255</v>
      </c>
      <c r="E8016" s="7">
        <v>38</v>
      </c>
      <c r="F8016" s="7">
        <f t="shared" si="125"/>
        <v>3</v>
      </c>
      <c r="G8016" s="7" t="str">
        <f>LOOKUP(H8016,[1]startdates!$A$2:$A$10,[1]startdates!$B$2:$B$10)</f>
        <v>FMr</v>
      </c>
      <c r="H8016">
        <v>7</v>
      </c>
      <c r="I8016" s="7">
        <v>661.8</v>
      </c>
      <c r="J8016" s="7">
        <v>445.7</v>
      </c>
      <c r="K8016" s="7">
        <v>515.79999999999995</v>
      </c>
      <c r="L8016" s="7">
        <v>406.4</v>
      </c>
      <c r="M8016" s="7">
        <v>308</v>
      </c>
      <c r="N8016" s="7">
        <v>182.8</v>
      </c>
      <c r="O8016" s="7">
        <v>185.3</v>
      </c>
      <c r="V8016" s="7">
        <v>491.3</v>
      </c>
    </row>
    <row r="8017" spans="1:18" x14ac:dyDescent="0.2">
      <c r="A8017">
        <v>8016</v>
      </c>
      <c r="B8017" s="1">
        <v>40995</v>
      </c>
      <c r="C8017" t="s">
        <v>24</v>
      </c>
      <c r="D8017" s="7">
        <v>255</v>
      </c>
      <c r="E8017" s="7">
        <v>38</v>
      </c>
      <c r="F8017" s="7">
        <f t="shared" si="125"/>
        <v>3</v>
      </c>
      <c r="G8017" s="7" t="str">
        <f>LOOKUP(H8017,[1]startdates!$A$2:$A$10,[1]startdates!$B$2:$B$10)</f>
        <v>FMr</v>
      </c>
      <c r="H8017">
        <v>7</v>
      </c>
      <c r="I8017" s="7">
        <v>553.5</v>
      </c>
      <c r="K8017" s="7">
        <v>612.9</v>
      </c>
      <c r="L8017" s="7">
        <v>462.8</v>
      </c>
      <c r="M8017" s="7">
        <v>364.3</v>
      </c>
      <c r="N8017" s="7">
        <v>215.7</v>
      </c>
      <c r="O8017" s="7">
        <v>177.8</v>
      </c>
    </row>
    <row r="8018" spans="1:18" x14ac:dyDescent="0.2">
      <c r="A8018">
        <v>8017</v>
      </c>
      <c r="B8018" s="1">
        <v>40995</v>
      </c>
      <c r="C8018" t="s">
        <v>24</v>
      </c>
      <c r="D8018" s="7">
        <v>255</v>
      </c>
      <c r="E8018" s="7">
        <v>38</v>
      </c>
      <c r="F8018" s="7">
        <f t="shared" si="125"/>
        <v>3</v>
      </c>
      <c r="G8018" s="7" t="str">
        <f>LOOKUP(H8018,[1]startdates!$A$2:$A$10,[1]startdates!$B$2:$B$10)</f>
        <v>FMr</v>
      </c>
      <c r="H8018">
        <v>7</v>
      </c>
      <c r="I8018" s="7">
        <v>718.8</v>
      </c>
      <c r="K8018" s="7">
        <v>602.79999999999995</v>
      </c>
      <c r="L8018" s="7">
        <v>369.7</v>
      </c>
      <c r="M8018" s="7">
        <v>320.10000000000002</v>
      </c>
      <c r="N8018" s="7">
        <v>216.1</v>
      </c>
      <c r="O8018" s="7">
        <v>170.2</v>
      </c>
    </row>
    <row r="8019" spans="1:18" x14ac:dyDescent="0.2">
      <c r="A8019">
        <v>8018</v>
      </c>
      <c r="B8019" s="1">
        <v>40995</v>
      </c>
      <c r="C8019" t="s">
        <v>24</v>
      </c>
      <c r="D8019" s="7">
        <v>255</v>
      </c>
      <c r="E8019" s="7">
        <v>38</v>
      </c>
      <c r="F8019" s="7">
        <f t="shared" si="125"/>
        <v>3</v>
      </c>
      <c r="G8019" s="7" t="str">
        <f>LOOKUP(H8019,[1]startdates!$A$2:$A$10,[1]startdates!$B$2:$B$10)</f>
        <v>FMr</v>
      </c>
      <c r="H8019">
        <v>7</v>
      </c>
      <c r="I8019" s="7">
        <v>732.7</v>
      </c>
      <c r="K8019" s="7">
        <v>545.29999999999995</v>
      </c>
      <c r="M8019" s="7">
        <v>269.39999999999998</v>
      </c>
      <c r="N8019" s="7">
        <v>188.9</v>
      </c>
      <c r="O8019" s="7">
        <v>144.30000000000001</v>
      </c>
    </row>
    <row r="8020" spans="1:18" x14ac:dyDescent="0.2">
      <c r="A8020">
        <v>8019</v>
      </c>
      <c r="B8020" s="1">
        <v>40995</v>
      </c>
      <c r="C8020" t="s">
        <v>24</v>
      </c>
      <c r="D8020" s="7">
        <v>255</v>
      </c>
      <c r="E8020" s="7">
        <v>38</v>
      </c>
      <c r="F8020" s="7">
        <f t="shared" si="125"/>
        <v>3</v>
      </c>
      <c r="G8020" s="7" t="str">
        <f>LOOKUP(H8020,[1]startdates!$A$2:$A$10,[1]startdates!$B$2:$B$10)</f>
        <v>FMr</v>
      </c>
      <c r="H8020">
        <v>7</v>
      </c>
      <c r="I8020" s="7">
        <v>699.8</v>
      </c>
      <c r="N8020" s="7">
        <v>221</v>
      </c>
      <c r="O8020" s="7">
        <v>170.2</v>
      </c>
    </row>
    <row r="8021" spans="1:18" x14ac:dyDescent="0.2">
      <c r="A8021">
        <v>8020</v>
      </c>
      <c r="B8021" s="1">
        <v>40995</v>
      </c>
      <c r="C8021" t="s">
        <v>24</v>
      </c>
      <c r="D8021" s="7">
        <v>255</v>
      </c>
      <c r="E8021" s="7">
        <v>38</v>
      </c>
      <c r="F8021" s="7">
        <f t="shared" si="125"/>
        <v>3</v>
      </c>
      <c r="G8021" s="7" t="str">
        <f>LOOKUP(H8021,[1]startdates!$A$2:$A$10,[1]startdates!$B$2:$B$10)</f>
        <v>FMr</v>
      </c>
      <c r="H8021">
        <v>7</v>
      </c>
      <c r="I8021" s="7">
        <v>774.8</v>
      </c>
      <c r="N8021" s="7">
        <v>217.5</v>
      </c>
      <c r="O8021" s="7">
        <v>174.4</v>
      </c>
    </row>
    <row r="8022" spans="1:18" x14ac:dyDescent="0.2">
      <c r="A8022">
        <v>8021</v>
      </c>
      <c r="B8022" s="1">
        <v>40995</v>
      </c>
      <c r="C8022" t="s">
        <v>24</v>
      </c>
      <c r="D8022" s="7">
        <v>255</v>
      </c>
      <c r="E8022" s="7">
        <v>38</v>
      </c>
      <c r="F8022" s="7">
        <f t="shared" si="125"/>
        <v>3</v>
      </c>
      <c r="G8022" s="7" t="str">
        <f>LOOKUP(H8022,[1]startdates!$A$2:$A$10,[1]startdates!$B$2:$B$10)</f>
        <v>FMr</v>
      </c>
      <c r="H8022">
        <v>7</v>
      </c>
      <c r="I8022" s="7">
        <v>560.79999999999995</v>
      </c>
      <c r="N8022" s="7">
        <v>222.4</v>
      </c>
      <c r="O8022" s="7">
        <v>165.8</v>
      </c>
    </row>
    <row r="8023" spans="1:18" x14ac:dyDescent="0.2">
      <c r="A8023">
        <v>8022</v>
      </c>
      <c r="B8023" s="1">
        <v>40995</v>
      </c>
      <c r="C8023" t="s">
        <v>24</v>
      </c>
      <c r="D8023" s="7">
        <v>255</v>
      </c>
      <c r="E8023" s="7">
        <v>38</v>
      </c>
      <c r="F8023" s="7">
        <f t="shared" si="125"/>
        <v>3</v>
      </c>
      <c r="G8023" s="7" t="str">
        <f>LOOKUP(H8023,[1]startdates!$A$2:$A$10,[1]startdates!$B$2:$B$10)</f>
        <v>FMr</v>
      </c>
      <c r="H8023">
        <v>7</v>
      </c>
      <c r="I8023" s="7">
        <v>685.8</v>
      </c>
      <c r="N8023" s="7">
        <v>224.9</v>
      </c>
    </row>
    <row r="8024" spans="1:18" x14ac:dyDescent="0.2">
      <c r="A8024">
        <v>8023</v>
      </c>
      <c r="B8024" s="1">
        <v>40995</v>
      </c>
      <c r="C8024" t="s">
        <v>24</v>
      </c>
      <c r="D8024" s="7">
        <v>255</v>
      </c>
      <c r="E8024" s="7">
        <v>38</v>
      </c>
      <c r="F8024" s="7">
        <f t="shared" si="125"/>
        <v>3</v>
      </c>
      <c r="G8024" s="7" t="str">
        <f>LOOKUP(H8024,[1]startdates!$A$2:$A$10,[1]startdates!$B$2:$B$10)</f>
        <v>FMr</v>
      </c>
      <c r="H8024">
        <v>7</v>
      </c>
      <c r="N8024" s="7">
        <v>170.2</v>
      </c>
    </row>
    <row r="8025" spans="1:18" x14ac:dyDescent="0.2">
      <c r="A8025">
        <v>8024</v>
      </c>
      <c r="B8025" s="1">
        <v>40995</v>
      </c>
      <c r="C8025" t="s">
        <v>28</v>
      </c>
      <c r="D8025" s="7">
        <v>255</v>
      </c>
      <c r="E8025" s="7">
        <v>38</v>
      </c>
      <c r="F8025" s="7">
        <f t="shared" si="125"/>
        <v>3</v>
      </c>
      <c r="G8025" s="7" t="str">
        <f>LOOKUP(H8025,[1]startdates!$A$2:$A$10,[1]startdates!$B$2:$B$10)</f>
        <v>C</v>
      </c>
      <c r="H8025">
        <v>8</v>
      </c>
      <c r="I8025" s="7">
        <v>649.9</v>
      </c>
      <c r="J8025" s="7">
        <v>510.8</v>
      </c>
      <c r="K8025" s="7">
        <v>490.5</v>
      </c>
      <c r="L8025" s="7">
        <v>420.6</v>
      </c>
      <c r="M8025" s="7">
        <v>336.7</v>
      </c>
      <c r="N8025" s="7">
        <v>232.1</v>
      </c>
      <c r="O8025" s="7">
        <v>165.5</v>
      </c>
      <c r="P8025" s="7">
        <v>418.2</v>
      </c>
      <c r="R8025" s="7">
        <v>236.8</v>
      </c>
    </row>
    <row r="8026" spans="1:18" x14ac:dyDescent="0.2">
      <c r="A8026">
        <v>8025</v>
      </c>
      <c r="B8026" s="1">
        <v>40995</v>
      </c>
      <c r="C8026" t="s">
        <v>28</v>
      </c>
      <c r="D8026" s="7">
        <v>255</v>
      </c>
      <c r="E8026" s="7">
        <v>38</v>
      </c>
      <c r="F8026" s="7">
        <f t="shared" si="125"/>
        <v>3</v>
      </c>
      <c r="G8026" s="7" t="str">
        <f>LOOKUP(H8026,[1]startdates!$A$2:$A$10,[1]startdates!$B$2:$B$10)</f>
        <v>C</v>
      </c>
      <c r="H8026">
        <v>8</v>
      </c>
      <c r="I8026" s="7">
        <v>607.29999999999995</v>
      </c>
      <c r="J8026" s="7">
        <v>523.29999999999995</v>
      </c>
      <c r="K8026" s="7">
        <v>505.6</v>
      </c>
      <c r="L8026" s="7">
        <v>433</v>
      </c>
      <c r="M8026" s="7">
        <v>329.4</v>
      </c>
      <c r="N8026" s="7">
        <v>215.5</v>
      </c>
      <c r="O8026" s="7">
        <v>147.30000000000001</v>
      </c>
      <c r="P8026" s="7">
        <v>442.6</v>
      </c>
    </row>
    <row r="8027" spans="1:18" x14ac:dyDescent="0.2">
      <c r="A8027">
        <v>8026</v>
      </c>
      <c r="B8027" s="1">
        <v>40995</v>
      </c>
      <c r="C8027" t="s">
        <v>28</v>
      </c>
      <c r="D8027" s="7">
        <v>255</v>
      </c>
      <c r="E8027" s="7">
        <v>38</v>
      </c>
      <c r="F8027" s="7">
        <f t="shared" si="125"/>
        <v>3</v>
      </c>
      <c r="G8027" s="7" t="str">
        <f>LOOKUP(H8027,[1]startdates!$A$2:$A$10,[1]startdates!$B$2:$B$10)</f>
        <v>C</v>
      </c>
      <c r="H8027">
        <v>8</v>
      </c>
      <c r="I8027" s="7">
        <v>566.1</v>
      </c>
      <c r="J8027" s="7">
        <v>588</v>
      </c>
      <c r="K8027" s="7">
        <v>498.4</v>
      </c>
      <c r="M8027" s="7">
        <v>324.3</v>
      </c>
      <c r="N8027" s="7">
        <v>188.9</v>
      </c>
      <c r="O8027" s="7">
        <v>172.4</v>
      </c>
    </row>
    <row r="8028" spans="1:18" x14ac:dyDescent="0.2">
      <c r="A8028">
        <v>8027</v>
      </c>
      <c r="B8028" s="1">
        <v>40995</v>
      </c>
      <c r="C8028" t="s">
        <v>28</v>
      </c>
      <c r="D8028" s="7">
        <v>255</v>
      </c>
      <c r="E8028" s="7">
        <v>38</v>
      </c>
      <c r="F8028" s="7">
        <f t="shared" si="125"/>
        <v>3</v>
      </c>
      <c r="G8028" s="7" t="str">
        <f>LOOKUP(H8028,[1]startdates!$A$2:$A$10,[1]startdates!$B$2:$B$10)</f>
        <v>C</v>
      </c>
      <c r="H8028">
        <v>8</v>
      </c>
      <c r="I8028" s="7">
        <v>631.5</v>
      </c>
      <c r="J8028" s="7">
        <v>552.29999999999995</v>
      </c>
      <c r="M8028" s="7">
        <v>324.7</v>
      </c>
      <c r="N8028" s="7">
        <v>242</v>
      </c>
      <c r="O8028" s="7">
        <v>177.3</v>
      </c>
    </row>
    <row r="8029" spans="1:18" x14ac:dyDescent="0.2">
      <c r="A8029">
        <v>8028</v>
      </c>
      <c r="B8029" s="1">
        <v>40995</v>
      </c>
      <c r="C8029" t="s">
        <v>28</v>
      </c>
      <c r="D8029" s="7">
        <v>255</v>
      </c>
      <c r="E8029" s="7">
        <v>38</v>
      </c>
      <c r="F8029" s="7">
        <f t="shared" si="125"/>
        <v>3</v>
      </c>
      <c r="G8029" s="7" t="str">
        <f>LOOKUP(H8029,[1]startdates!$A$2:$A$10,[1]startdates!$B$2:$B$10)</f>
        <v>C</v>
      </c>
      <c r="H8029">
        <v>8</v>
      </c>
      <c r="I8029" s="7">
        <v>588.79999999999995</v>
      </c>
      <c r="J8029" s="7">
        <v>588.79999999999995</v>
      </c>
      <c r="M8029" s="7">
        <v>336.8</v>
      </c>
      <c r="N8029" s="7">
        <v>243</v>
      </c>
      <c r="O8029" s="7">
        <v>152.4</v>
      </c>
    </row>
    <row r="8030" spans="1:18" x14ac:dyDescent="0.2">
      <c r="A8030">
        <v>8029</v>
      </c>
      <c r="B8030" s="1">
        <v>40995</v>
      </c>
      <c r="C8030" t="s">
        <v>28</v>
      </c>
      <c r="D8030" s="7">
        <v>255</v>
      </c>
      <c r="E8030" s="7">
        <v>38</v>
      </c>
      <c r="F8030" s="7">
        <f t="shared" si="125"/>
        <v>3</v>
      </c>
      <c r="G8030" s="7" t="str">
        <f>LOOKUP(H8030,[1]startdates!$A$2:$A$10,[1]startdates!$B$2:$B$10)</f>
        <v>C</v>
      </c>
      <c r="H8030">
        <v>8</v>
      </c>
      <c r="I8030" s="7">
        <v>594.9</v>
      </c>
      <c r="J8030" s="7">
        <v>537.6</v>
      </c>
      <c r="M8030" s="7">
        <v>357.6</v>
      </c>
      <c r="N8030" s="7">
        <v>184.1</v>
      </c>
      <c r="O8030" s="7">
        <v>169.5</v>
      </c>
    </row>
    <row r="8031" spans="1:18" x14ac:dyDescent="0.2">
      <c r="A8031">
        <v>8030</v>
      </c>
      <c r="B8031" s="1">
        <v>40995</v>
      </c>
      <c r="C8031" t="s">
        <v>28</v>
      </c>
      <c r="D8031" s="7">
        <v>255</v>
      </c>
      <c r="E8031" s="7">
        <v>38</v>
      </c>
      <c r="F8031" s="7">
        <f t="shared" si="125"/>
        <v>3</v>
      </c>
      <c r="G8031" s="7" t="str">
        <f>LOOKUP(H8031,[1]startdates!$A$2:$A$10,[1]startdates!$B$2:$B$10)</f>
        <v>C</v>
      </c>
      <c r="H8031">
        <v>8</v>
      </c>
      <c r="I8031" s="7">
        <v>719.9</v>
      </c>
      <c r="J8031" s="7">
        <v>518.4</v>
      </c>
      <c r="M8031" s="7">
        <v>359.7</v>
      </c>
      <c r="N8031" s="7">
        <v>214.7</v>
      </c>
      <c r="O8031" s="7">
        <v>149</v>
      </c>
    </row>
    <row r="8032" spans="1:18" x14ac:dyDescent="0.2">
      <c r="A8032">
        <v>8031</v>
      </c>
      <c r="B8032" s="1">
        <v>40995</v>
      </c>
      <c r="C8032" t="s">
        <v>28</v>
      </c>
      <c r="D8032" s="7">
        <v>255</v>
      </c>
      <c r="E8032" s="7">
        <v>38</v>
      </c>
      <c r="F8032" s="7">
        <f t="shared" si="125"/>
        <v>3</v>
      </c>
      <c r="G8032" s="7" t="str">
        <f>LOOKUP(H8032,[1]startdates!$A$2:$A$10,[1]startdates!$B$2:$B$10)</f>
        <v>C</v>
      </c>
      <c r="H8032">
        <v>8</v>
      </c>
      <c r="I8032" s="7">
        <v>694.4</v>
      </c>
      <c r="J8032" s="7">
        <v>506.5</v>
      </c>
      <c r="M8032" s="7">
        <v>312.7</v>
      </c>
      <c r="N8032" s="7">
        <v>273.7</v>
      </c>
      <c r="O8032" s="7">
        <v>159.80000000000001</v>
      </c>
    </row>
    <row r="8033" spans="1:22" x14ac:dyDescent="0.2">
      <c r="A8033">
        <v>8032</v>
      </c>
      <c r="B8033" s="1">
        <v>40995</v>
      </c>
      <c r="C8033" t="s">
        <v>28</v>
      </c>
      <c r="D8033" s="7">
        <v>255</v>
      </c>
      <c r="E8033" s="7">
        <v>38</v>
      </c>
      <c r="F8033" s="7">
        <f t="shared" si="125"/>
        <v>3</v>
      </c>
      <c r="G8033" s="7" t="str">
        <f>LOOKUP(H8033,[1]startdates!$A$2:$A$10,[1]startdates!$B$2:$B$10)</f>
        <v>C</v>
      </c>
      <c r="H8033">
        <v>8</v>
      </c>
      <c r="I8033" s="7">
        <v>538.5</v>
      </c>
      <c r="J8033" s="7">
        <v>523</v>
      </c>
      <c r="N8033" s="7">
        <v>257.7</v>
      </c>
      <c r="O8033" s="7">
        <v>177.1</v>
      </c>
    </row>
    <row r="8034" spans="1:22" x14ac:dyDescent="0.2">
      <c r="A8034">
        <v>8033</v>
      </c>
      <c r="B8034" s="1">
        <v>40995</v>
      </c>
      <c r="C8034" t="s">
        <v>28</v>
      </c>
      <c r="D8034" s="7">
        <v>255</v>
      </c>
      <c r="E8034" s="7">
        <v>38</v>
      </c>
      <c r="F8034" s="7">
        <f t="shared" si="125"/>
        <v>3</v>
      </c>
      <c r="G8034" s="7" t="str">
        <f>LOOKUP(H8034,[1]startdates!$A$2:$A$10,[1]startdates!$B$2:$B$10)</f>
        <v>C</v>
      </c>
      <c r="H8034">
        <v>8</v>
      </c>
      <c r="I8034" s="7">
        <v>635.79999999999995</v>
      </c>
      <c r="J8034" s="7">
        <v>477.7</v>
      </c>
      <c r="N8034" s="7">
        <v>220.7</v>
      </c>
      <c r="O8034" s="7">
        <v>181</v>
      </c>
    </row>
    <row r="8035" spans="1:22" x14ac:dyDescent="0.2">
      <c r="A8035">
        <v>8034</v>
      </c>
      <c r="B8035" s="1">
        <v>40995</v>
      </c>
      <c r="C8035" t="s">
        <v>28</v>
      </c>
      <c r="D8035" s="7">
        <v>255</v>
      </c>
      <c r="E8035" s="7">
        <v>38</v>
      </c>
      <c r="F8035" s="7">
        <f t="shared" si="125"/>
        <v>3</v>
      </c>
      <c r="G8035" s="7" t="str">
        <f>LOOKUP(H8035,[1]startdates!$A$2:$A$10,[1]startdates!$B$2:$B$10)</f>
        <v>FMr</v>
      </c>
      <c r="H8035">
        <v>9</v>
      </c>
      <c r="I8035" s="7">
        <v>632.1</v>
      </c>
      <c r="J8035" s="7">
        <v>500.7</v>
      </c>
      <c r="K8035" s="7">
        <v>504.8</v>
      </c>
      <c r="L8035" s="7">
        <v>423.3</v>
      </c>
      <c r="M8035" s="7">
        <v>359.9</v>
      </c>
      <c r="N8035" s="7">
        <v>202.6</v>
      </c>
      <c r="O8035" s="7">
        <v>162.19999999999999</v>
      </c>
      <c r="P8035" s="7">
        <v>455.5</v>
      </c>
      <c r="Q8035" s="7">
        <v>300</v>
      </c>
      <c r="V8035" s="7">
        <v>514.6</v>
      </c>
    </row>
    <row r="8036" spans="1:22" x14ac:dyDescent="0.2">
      <c r="A8036">
        <v>8035</v>
      </c>
      <c r="B8036" s="1">
        <v>40995</v>
      </c>
      <c r="C8036" t="s">
        <v>28</v>
      </c>
      <c r="D8036" s="7">
        <v>255</v>
      </c>
      <c r="E8036" s="7">
        <v>38</v>
      </c>
      <c r="F8036" s="7">
        <f t="shared" si="125"/>
        <v>3</v>
      </c>
      <c r="G8036" s="7" t="str">
        <f>LOOKUP(H8036,[1]startdates!$A$2:$A$10,[1]startdates!$B$2:$B$10)</f>
        <v>FMr</v>
      </c>
      <c r="H8036">
        <v>9</v>
      </c>
      <c r="I8036" s="7">
        <v>603.29999999999995</v>
      </c>
      <c r="J8036" s="7">
        <v>472.7</v>
      </c>
      <c r="K8036" s="7">
        <v>412.9</v>
      </c>
      <c r="L8036" s="7">
        <v>413.2</v>
      </c>
      <c r="M8036" s="7">
        <v>317</v>
      </c>
      <c r="N8036" s="7">
        <v>231.1</v>
      </c>
      <c r="O8036" s="7">
        <v>174.6</v>
      </c>
      <c r="Q8036" s="7">
        <v>315.10000000000002</v>
      </c>
      <c r="V8036" s="7">
        <v>545.1</v>
      </c>
    </row>
    <row r="8037" spans="1:22" x14ac:dyDescent="0.2">
      <c r="A8037">
        <v>8036</v>
      </c>
      <c r="B8037" s="1">
        <v>40995</v>
      </c>
      <c r="C8037" t="s">
        <v>28</v>
      </c>
      <c r="D8037" s="7">
        <v>255</v>
      </c>
      <c r="E8037" s="7">
        <v>38</v>
      </c>
      <c r="F8037" s="7">
        <f t="shared" si="125"/>
        <v>3</v>
      </c>
      <c r="G8037" s="7" t="str">
        <f>LOOKUP(H8037,[1]startdates!$A$2:$A$10,[1]startdates!$B$2:$B$10)</f>
        <v>FMr</v>
      </c>
      <c r="H8037">
        <v>9</v>
      </c>
      <c r="I8037" s="7">
        <v>657.8</v>
      </c>
      <c r="J8037" s="7">
        <v>455.9</v>
      </c>
      <c r="K8037" s="7">
        <v>459.7</v>
      </c>
      <c r="L8037" s="7">
        <v>441.3</v>
      </c>
      <c r="M8037" s="7">
        <v>311.89999999999998</v>
      </c>
      <c r="N8037" s="7">
        <v>288.7</v>
      </c>
      <c r="O8037" s="7">
        <v>178.9</v>
      </c>
      <c r="Q8037" s="7">
        <v>306.5</v>
      </c>
    </row>
    <row r="8038" spans="1:22" x14ac:dyDescent="0.2">
      <c r="A8038">
        <v>8037</v>
      </c>
      <c r="B8038" s="1">
        <v>40995</v>
      </c>
      <c r="C8038" t="s">
        <v>28</v>
      </c>
      <c r="D8038" s="7">
        <v>255</v>
      </c>
      <c r="E8038" s="7">
        <v>38</v>
      </c>
      <c r="F8038" s="7">
        <f t="shared" si="125"/>
        <v>3</v>
      </c>
      <c r="G8038" s="7" t="str">
        <f>LOOKUP(H8038,[1]startdates!$A$2:$A$10,[1]startdates!$B$2:$B$10)</f>
        <v>FMr</v>
      </c>
      <c r="H8038">
        <v>9</v>
      </c>
      <c r="I8038" s="7">
        <v>611.9</v>
      </c>
      <c r="K8038" s="7">
        <v>438.9</v>
      </c>
      <c r="L8038" s="7">
        <v>452</v>
      </c>
      <c r="M8038" s="7">
        <v>307.39999999999998</v>
      </c>
      <c r="N8038" s="7">
        <v>223.3</v>
      </c>
      <c r="O8038" s="7">
        <v>191</v>
      </c>
    </row>
    <row r="8039" spans="1:22" x14ac:dyDescent="0.2">
      <c r="A8039">
        <v>8038</v>
      </c>
      <c r="B8039" s="1">
        <v>40995</v>
      </c>
      <c r="C8039" t="s">
        <v>28</v>
      </c>
      <c r="D8039" s="7">
        <v>255</v>
      </c>
      <c r="E8039" s="7">
        <v>38</v>
      </c>
      <c r="F8039" s="7">
        <f t="shared" si="125"/>
        <v>3</v>
      </c>
      <c r="G8039" s="7" t="str">
        <f>LOOKUP(H8039,[1]startdates!$A$2:$A$10,[1]startdates!$B$2:$B$10)</f>
        <v>FMr</v>
      </c>
      <c r="H8039">
        <v>9</v>
      </c>
      <c r="I8039" s="7">
        <v>609.70000000000005</v>
      </c>
      <c r="K8039" s="7">
        <v>415</v>
      </c>
      <c r="M8039" s="7">
        <v>379.5</v>
      </c>
      <c r="N8039" s="7">
        <v>257</v>
      </c>
      <c r="O8039" s="7">
        <v>169.7</v>
      </c>
    </row>
    <row r="8040" spans="1:22" x14ac:dyDescent="0.2">
      <c r="A8040">
        <v>8039</v>
      </c>
      <c r="B8040" s="1">
        <v>40995</v>
      </c>
      <c r="C8040" t="s">
        <v>28</v>
      </c>
      <c r="D8040" s="7">
        <v>255</v>
      </c>
      <c r="E8040" s="7">
        <v>38</v>
      </c>
      <c r="F8040" s="7">
        <f t="shared" si="125"/>
        <v>3</v>
      </c>
      <c r="G8040" s="7" t="str">
        <f>LOOKUP(H8040,[1]startdates!$A$2:$A$10,[1]startdates!$B$2:$B$10)</f>
        <v>FMr</v>
      </c>
      <c r="H8040">
        <v>9</v>
      </c>
      <c r="I8040" s="7">
        <v>643.5</v>
      </c>
      <c r="K8040" s="7">
        <v>484.1</v>
      </c>
      <c r="M8040" s="7">
        <v>329</v>
      </c>
      <c r="N8040" s="7">
        <v>221.4</v>
      </c>
      <c r="O8040" s="7">
        <v>140.9</v>
      </c>
    </row>
    <row r="8041" spans="1:22" x14ac:dyDescent="0.2">
      <c r="A8041">
        <v>8040</v>
      </c>
      <c r="B8041" s="1">
        <v>40995</v>
      </c>
      <c r="C8041" t="s">
        <v>28</v>
      </c>
      <c r="D8041" s="7">
        <v>255</v>
      </c>
      <c r="E8041" s="7">
        <v>38</v>
      </c>
      <c r="F8041" s="7">
        <f t="shared" ref="F8041:F8104" si="126">WEEKDAY(B8041)</f>
        <v>3</v>
      </c>
      <c r="G8041" s="7" t="str">
        <f>LOOKUP(H8041,[1]startdates!$A$2:$A$10,[1]startdates!$B$2:$B$10)</f>
        <v>FMr</v>
      </c>
      <c r="H8041">
        <v>9</v>
      </c>
      <c r="I8041" s="7">
        <v>607.70000000000005</v>
      </c>
      <c r="K8041" s="7">
        <v>482</v>
      </c>
      <c r="M8041" s="7">
        <v>346.3</v>
      </c>
      <c r="N8041" s="7">
        <v>288.10000000000002</v>
      </c>
      <c r="O8041" s="7">
        <v>178.2</v>
      </c>
    </row>
    <row r="8042" spans="1:22" x14ac:dyDescent="0.2">
      <c r="A8042">
        <v>8041</v>
      </c>
      <c r="B8042" s="1">
        <v>40995</v>
      </c>
      <c r="C8042" t="s">
        <v>28</v>
      </c>
      <c r="D8042" s="7">
        <v>255</v>
      </c>
      <c r="E8042" s="7">
        <v>38</v>
      </c>
      <c r="F8042" s="7">
        <f t="shared" si="126"/>
        <v>3</v>
      </c>
      <c r="G8042" s="7" t="str">
        <f>LOOKUP(H8042,[1]startdates!$A$2:$A$10,[1]startdates!$B$2:$B$10)</f>
        <v>FMr</v>
      </c>
      <c r="H8042">
        <v>9</v>
      </c>
      <c r="I8042" s="7">
        <v>567.9</v>
      </c>
      <c r="K8042" s="7">
        <v>540.29999999999995</v>
      </c>
      <c r="M8042" s="7">
        <v>319</v>
      </c>
      <c r="N8042" s="7">
        <v>234.3</v>
      </c>
      <c r="O8042" s="7">
        <v>150.19999999999999</v>
      </c>
    </row>
    <row r="8043" spans="1:22" x14ac:dyDescent="0.2">
      <c r="A8043">
        <v>8042</v>
      </c>
      <c r="B8043" s="1">
        <v>40995</v>
      </c>
      <c r="C8043" t="s">
        <v>28</v>
      </c>
      <c r="D8043" s="7">
        <v>255</v>
      </c>
      <c r="E8043" s="7">
        <v>38</v>
      </c>
      <c r="F8043" s="7">
        <f t="shared" si="126"/>
        <v>3</v>
      </c>
      <c r="G8043" s="7" t="str">
        <f>LOOKUP(H8043,[1]startdates!$A$2:$A$10,[1]startdates!$B$2:$B$10)</f>
        <v>FMr</v>
      </c>
      <c r="H8043">
        <v>9</v>
      </c>
      <c r="I8043" s="7">
        <v>622.5</v>
      </c>
      <c r="M8043" s="7">
        <v>318.60000000000002</v>
      </c>
      <c r="N8043" s="7">
        <v>210</v>
      </c>
      <c r="O8043" s="7">
        <v>165</v>
      </c>
    </row>
    <row r="8044" spans="1:22" x14ac:dyDescent="0.2">
      <c r="A8044">
        <v>8043</v>
      </c>
      <c r="B8044" s="1">
        <v>40995</v>
      </c>
      <c r="C8044" t="s">
        <v>28</v>
      </c>
      <c r="D8044" s="7">
        <v>255</v>
      </c>
      <c r="E8044" s="7">
        <v>38</v>
      </c>
      <c r="F8044" s="7">
        <f t="shared" si="126"/>
        <v>3</v>
      </c>
      <c r="G8044" s="7" t="str">
        <f>LOOKUP(H8044,[1]startdates!$A$2:$A$10,[1]startdates!$B$2:$B$10)</f>
        <v>FMr</v>
      </c>
      <c r="H8044">
        <v>9</v>
      </c>
      <c r="I8044" s="7">
        <v>588.29999999999995</v>
      </c>
      <c r="M8044" s="7">
        <v>332.1</v>
      </c>
      <c r="N8044" s="7">
        <v>243.4</v>
      </c>
      <c r="O8044" s="7">
        <v>161.69999999999999</v>
      </c>
    </row>
    <row r="8045" spans="1:22" x14ac:dyDescent="0.2">
      <c r="A8045">
        <v>8044</v>
      </c>
      <c r="B8045" s="1">
        <v>41009</v>
      </c>
      <c r="C8045" t="s">
        <v>28</v>
      </c>
      <c r="D8045" s="7">
        <v>268</v>
      </c>
      <c r="E8045" s="7">
        <v>40</v>
      </c>
      <c r="F8045" s="7">
        <f t="shared" si="126"/>
        <v>3</v>
      </c>
      <c r="G8045" s="7" t="str">
        <f>LOOKUP(H8045,[1]startdates!$A$2:$A$10,[1]startdates!$B$2:$B$10)</f>
        <v>SMr</v>
      </c>
      <c r="H8045">
        <v>1</v>
      </c>
      <c r="I8045" s="7">
        <v>632</v>
      </c>
      <c r="J8045" s="7">
        <v>422</v>
      </c>
      <c r="K8045" s="7">
        <v>484</v>
      </c>
      <c r="L8045" s="7">
        <v>401</v>
      </c>
      <c r="M8045" s="7">
        <v>375</v>
      </c>
      <c r="N8045" s="7">
        <v>215</v>
      </c>
      <c r="O8045" s="7">
        <v>172</v>
      </c>
      <c r="P8045" s="7">
        <v>476</v>
      </c>
      <c r="U8045" s="7">
        <v>534</v>
      </c>
    </row>
    <row r="8046" spans="1:22" x14ac:dyDescent="0.2">
      <c r="A8046">
        <v>8045</v>
      </c>
      <c r="B8046" s="1">
        <v>41009</v>
      </c>
      <c r="C8046" t="s">
        <v>28</v>
      </c>
      <c r="D8046" s="7">
        <v>268</v>
      </c>
      <c r="E8046" s="7">
        <v>40</v>
      </c>
      <c r="F8046" s="7">
        <f t="shared" si="126"/>
        <v>3</v>
      </c>
      <c r="G8046" s="7" t="str">
        <f>LOOKUP(H8046,[1]startdates!$A$2:$A$10,[1]startdates!$B$2:$B$10)</f>
        <v>SMr</v>
      </c>
      <c r="H8046">
        <v>1</v>
      </c>
      <c r="I8046" s="7">
        <v>546</v>
      </c>
      <c r="J8046" s="7">
        <v>463</v>
      </c>
      <c r="K8046" s="7">
        <v>639</v>
      </c>
      <c r="L8046" s="7">
        <v>457</v>
      </c>
      <c r="M8046" s="7">
        <v>340</v>
      </c>
      <c r="N8046" s="7">
        <v>221</v>
      </c>
      <c r="O8046" s="7">
        <v>195</v>
      </c>
      <c r="P8046" s="7">
        <v>404</v>
      </c>
      <c r="U8046" s="7">
        <v>509</v>
      </c>
    </row>
    <row r="8047" spans="1:22" x14ac:dyDescent="0.2">
      <c r="A8047">
        <v>8046</v>
      </c>
      <c r="B8047" s="1">
        <v>41009</v>
      </c>
      <c r="C8047" t="s">
        <v>28</v>
      </c>
      <c r="D8047" s="7">
        <v>268</v>
      </c>
      <c r="E8047" s="7">
        <v>40</v>
      </c>
      <c r="F8047" s="7">
        <f t="shared" si="126"/>
        <v>3</v>
      </c>
      <c r="G8047" s="7" t="str">
        <f>LOOKUP(H8047,[1]startdates!$A$2:$A$10,[1]startdates!$B$2:$B$10)</f>
        <v>SMr</v>
      </c>
      <c r="H8047">
        <v>1</v>
      </c>
      <c r="I8047" s="7">
        <v>539</v>
      </c>
      <c r="J8047" s="7">
        <v>493</v>
      </c>
      <c r="K8047" s="7">
        <v>547</v>
      </c>
      <c r="L8047" s="7">
        <v>403</v>
      </c>
      <c r="M8047" s="7">
        <v>342</v>
      </c>
      <c r="N8047" s="7">
        <v>201</v>
      </c>
      <c r="O8047" s="7">
        <v>178</v>
      </c>
      <c r="P8047" s="7">
        <v>419</v>
      </c>
      <c r="U8047" s="7">
        <v>589</v>
      </c>
    </row>
    <row r="8048" spans="1:22" x14ac:dyDescent="0.2">
      <c r="A8048">
        <v>8047</v>
      </c>
      <c r="B8048" s="1">
        <v>41009</v>
      </c>
      <c r="C8048" t="s">
        <v>28</v>
      </c>
      <c r="D8048" s="7">
        <v>268</v>
      </c>
      <c r="E8048" s="7">
        <v>40</v>
      </c>
      <c r="F8048" s="7">
        <f t="shared" si="126"/>
        <v>3</v>
      </c>
      <c r="G8048" s="7" t="str">
        <f>LOOKUP(H8048,[1]startdates!$A$2:$A$10,[1]startdates!$B$2:$B$10)</f>
        <v>SMr</v>
      </c>
      <c r="H8048">
        <v>1</v>
      </c>
      <c r="I8048" s="7">
        <v>657</v>
      </c>
      <c r="J8048" s="7">
        <v>443</v>
      </c>
      <c r="L8048" s="7">
        <v>416</v>
      </c>
      <c r="M8048" s="7">
        <v>352</v>
      </c>
      <c r="N8048" s="7">
        <v>195</v>
      </c>
      <c r="O8048" s="7">
        <v>167</v>
      </c>
    </row>
    <row r="8049" spans="1:21" x14ac:dyDescent="0.2">
      <c r="A8049">
        <v>8048</v>
      </c>
      <c r="B8049" s="1">
        <v>41009</v>
      </c>
      <c r="C8049" t="s">
        <v>28</v>
      </c>
      <c r="D8049" s="7">
        <v>268</v>
      </c>
      <c r="E8049" s="7">
        <v>40</v>
      </c>
      <c r="F8049" s="7">
        <f t="shared" si="126"/>
        <v>3</v>
      </c>
      <c r="G8049" s="7" t="str">
        <f>LOOKUP(H8049,[1]startdates!$A$2:$A$10,[1]startdates!$B$2:$B$10)</f>
        <v>SMr</v>
      </c>
      <c r="H8049">
        <v>1</v>
      </c>
      <c r="I8049" s="7">
        <v>677</v>
      </c>
      <c r="J8049" s="7">
        <v>418</v>
      </c>
      <c r="L8049" s="7">
        <v>410</v>
      </c>
      <c r="M8049" s="7">
        <v>352</v>
      </c>
      <c r="N8049" s="7">
        <v>228</v>
      </c>
      <c r="O8049" s="7">
        <v>161</v>
      </c>
    </row>
    <row r="8050" spans="1:21" x14ac:dyDescent="0.2">
      <c r="A8050">
        <v>8049</v>
      </c>
      <c r="B8050" s="1">
        <v>41009</v>
      </c>
      <c r="C8050" t="s">
        <v>28</v>
      </c>
      <c r="D8050" s="7">
        <v>268</v>
      </c>
      <c r="E8050" s="7">
        <v>40</v>
      </c>
      <c r="F8050" s="7">
        <f t="shared" si="126"/>
        <v>3</v>
      </c>
      <c r="G8050" s="7" t="str">
        <f>LOOKUP(H8050,[1]startdates!$A$2:$A$10,[1]startdates!$B$2:$B$10)</f>
        <v>SMr</v>
      </c>
      <c r="H8050">
        <v>1</v>
      </c>
      <c r="I8050" s="7">
        <v>497</v>
      </c>
      <c r="J8050" s="7">
        <v>528</v>
      </c>
      <c r="L8050" s="7">
        <v>441</v>
      </c>
      <c r="M8050" s="7">
        <v>373</v>
      </c>
      <c r="N8050" s="7">
        <v>179</v>
      </c>
      <c r="O8050" s="7">
        <v>156</v>
      </c>
    </row>
    <row r="8051" spans="1:21" x14ac:dyDescent="0.2">
      <c r="A8051">
        <v>8050</v>
      </c>
      <c r="B8051" s="1">
        <v>41009</v>
      </c>
      <c r="C8051" t="s">
        <v>28</v>
      </c>
      <c r="D8051" s="7">
        <v>268</v>
      </c>
      <c r="E8051" s="7">
        <v>40</v>
      </c>
      <c r="F8051" s="7">
        <f t="shared" si="126"/>
        <v>3</v>
      </c>
      <c r="G8051" s="7" t="str">
        <f>LOOKUP(H8051,[1]startdates!$A$2:$A$10,[1]startdates!$B$2:$B$10)</f>
        <v>SMr</v>
      </c>
      <c r="H8051">
        <v>1</v>
      </c>
      <c r="I8051" s="7">
        <v>681</v>
      </c>
      <c r="J8051" s="7">
        <v>487</v>
      </c>
      <c r="M8051" s="7">
        <v>370</v>
      </c>
      <c r="N8051" s="7">
        <v>210</v>
      </c>
      <c r="O8051" s="7">
        <v>147</v>
      </c>
    </row>
    <row r="8052" spans="1:21" x14ac:dyDescent="0.2">
      <c r="A8052">
        <v>8051</v>
      </c>
      <c r="B8052" s="1">
        <v>41009</v>
      </c>
      <c r="C8052" t="s">
        <v>28</v>
      </c>
      <c r="D8052" s="7">
        <v>268</v>
      </c>
      <c r="E8052" s="7">
        <v>40</v>
      </c>
      <c r="F8052" s="7">
        <f t="shared" si="126"/>
        <v>3</v>
      </c>
      <c r="G8052" s="7" t="str">
        <f>LOOKUP(H8052,[1]startdates!$A$2:$A$10,[1]startdates!$B$2:$B$10)</f>
        <v>SMr</v>
      </c>
      <c r="H8052">
        <v>1</v>
      </c>
      <c r="I8052" s="7">
        <v>638</v>
      </c>
      <c r="M8052" s="7">
        <v>307</v>
      </c>
      <c r="N8052" s="7">
        <v>210</v>
      </c>
      <c r="O8052" s="7">
        <v>180</v>
      </c>
    </row>
    <row r="8053" spans="1:21" x14ac:dyDescent="0.2">
      <c r="A8053">
        <v>8052</v>
      </c>
      <c r="B8053" s="1">
        <v>41009</v>
      </c>
      <c r="C8053" t="s">
        <v>28</v>
      </c>
      <c r="D8053" s="7">
        <v>268</v>
      </c>
      <c r="E8053" s="7">
        <v>40</v>
      </c>
      <c r="F8053" s="7">
        <f t="shared" si="126"/>
        <v>3</v>
      </c>
      <c r="G8053" s="7" t="str">
        <f>LOOKUP(H8053,[1]startdates!$A$2:$A$10,[1]startdates!$B$2:$B$10)</f>
        <v>SMr</v>
      </c>
      <c r="H8053">
        <v>1</v>
      </c>
      <c r="I8053" s="7">
        <v>600</v>
      </c>
      <c r="M8053" s="7">
        <v>339</v>
      </c>
      <c r="N8053" s="7">
        <v>210</v>
      </c>
      <c r="O8053" s="7">
        <v>171</v>
      </c>
    </row>
    <row r="8054" spans="1:21" x14ac:dyDescent="0.2">
      <c r="A8054">
        <v>8053</v>
      </c>
      <c r="B8054" s="1">
        <v>41009</v>
      </c>
      <c r="C8054" t="s">
        <v>28</v>
      </c>
      <c r="D8054" s="7">
        <v>268</v>
      </c>
      <c r="E8054" s="7">
        <v>40</v>
      </c>
      <c r="F8054" s="7">
        <f t="shared" si="126"/>
        <v>3</v>
      </c>
      <c r="G8054" s="7" t="str">
        <f>LOOKUP(H8054,[1]startdates!$A$2:$A$10,[1]startdates!$B$2:$B$10)</f>
        <v>SMr</v>
      </c>
      <c r="H8054">
        <v>1</v>
      </c>
      <c r="I8054" s="7">
        <v>627</v>
      </c>
      <c r="M8054" s="7">
        <v>329</v>
      </c>
      <c r="N8054" s="7">
        <v>194</v>
      </c>
      <c r="O8054" s="7">
        <v>156</v>
      </c>
    </row>
    <row r="8055" spans="1:21" x14ac:dyDescent="0.2">
      <c r="A8055">
        <v>8054</v>
      </c>
      <c r="B8055" s="1">
        <v>41009</v>
      </c>
      <c r="C8055" t="s">
        <v>28</v>
      </c>
      <c r="D8055" s="7">
        <v>268</v>
      </c>
      <c r="E8055" s="7">
        <v>40</v>
      </c>
      <c r="F8055" s="7">
        <f t="shared" si="126"/>
        <v>3</v>
      </c>
      <c r="G8055" s="7" t="str">
        <f>LOOKUP(H8055,[1]startdates!$A$2:$A$10,[1]startdates!$B$2:$B$10)</f>
        <v>SMr</v>
      </c>
      <c r="H8055">
        <v>2</v>
      </c>
      <c r="I8055" s="7">
        <v>540.29999999999995</v>
      </c>
      <c r="J8055" s="7">
        <v>485.1</v>
      </c>
      <c r="K8055" s="7">
        <v>471.6</v>
      </c>
      <c r="L8055" s="7">
        <v>430.2</v>
      </c>
      <c r="M8055" s="7">
        <v>313.7</v>
      </c>
      <c r="N8055" s="7">
        <v>244.4</v>
      </c>
      <c r="O8055" s="7">
        <v>150.19999999999999</v>
      </c>
      <c r="P8055" s="7">
        <v>416.8</v>
      </c>
      <c r="R8055" s="7">
        <v>234.5</v>
      </c>
      <c r="U8055" s="7">
        <v>453.5</v>
      </c>
    </row>
    <row r="8056" spans="1:21" x14ac:dyDescent="0.2">
      <c r="A8056">
        <v>8055</v>
      </c>
      <c r="B8056" s="1">
        <v>41009</v>
      </c>
      <c r="C8056" t="s">
        <v>28</v>
      </c>
      <c r="D8056" s="7">
        <v>268</v>
      </c>
      <c r="E8056" s="7">
        <v>40</v>
      </c>
      <c r="F8056" s="7">
        <f t="shared" si="126"/>
        <v>3</v>
      </c>
      <c r="G8056" s="7" t="str">
        <f>LOOKUP(H8056,[1]startdates!$A$2:$A$10,[1]startdates!$B$2:$B$10)</f>
        <v>SMr</v>
      </c>
      <c r="H8056">
        <v>2</v>
      </c>
      <c r="I8056" s="7">
        <v>552.79999999999995</v>
      </c>
      <c r="K8056" s="7">
        <v>509.2</v>
      </c>
      <c r="L8056" s="7">
        <v>421.5</v>
      </c>
      <c r="M8056" s="7">
        <v>372.1</v>
      </c>
      <c r="N8056" s="7">
        <v>277.2</v>
      </c>
      <c r="O8056" s="7">
        <v>154.19999999999999</v>
      </c>
      <c r="U8056" s="7">
        <v>459.4</v>
      </c>
    </row>
    <row r="8057" spans="1:21" x14ac:dyDescent="0.2">
      <c r="A8057">
        <v>8056</v>
      </c>
      <c r="B8057" s="1">
        <v>41009</v>
      </c>
      <c r="C8057" t="s">
        <v>28</v>
      </c>
      <c r="D8057" s="7">
        <v>268</v>
      </c>
      <c r="E8057" s="7">
        <v>40</v>
      </c>
      <c r="F8057" s="7">
        <f t="shared" si="126"/>
        <v>3</v>
      </c>
      <c r="G8057" s="7" t="str">
        <f>LOOKUP(H8057,[1]startdates!$A$2:$A$10,[1]startdates!$B$2:$B$10)</f>
        <v>SMr</v>
      </c>
      <c r="H8057">
        <v>2</v>
      </c>
      <c r="I8057" s="7">
        <v>634.29999999999995</v>
      </c>
      <c r="K8057" s="7">
        <v>449.4</v>
      </c>
      <c r="L8057" s="7">
        <v>416.1</v>
      </c>
      <c r="M8057" s="7">
        <v>337.3</v>
      </c>
      <c r="N8057" s="7">
        <v>221</v>
      </c>
      <c r="O8057" s="7">
        <v>170</v>
      </c>
      <c r="U8057" s="7">
        <v>490.3</v>
      </c>
    </row>
    <row r="8058" spans="1:21" x14ac:dyDescent="0.2">
      <c r="A8058">
        <v>8057</v>
      </c>
      <c r="B8058" s="1">
        <v>41009</v>
      </c>
      <c r="C8058" t="s">
        <v>28</v>
      </c>
      <c r="D8058" s="7">
        <v>268</v>
      </c>
      <c r="E8058" s="7">
        <v>40</v>
      </c>
      <c r="F8058" s="7">
        <f t="shared" si="126"/>
        <v>3</v>
      </c>
      <c r="G8058" s="7" t="str">
        <f>LOOKUP(H8058,[1]startdates!$A$2:$A$10,[1]startdates!$B$2:$B$10)</f>
        <v>SMr</v>
      </c>
      <c r="H8058">
        <v>2</v>
      </c>
      <c r="I8058" s="7">
        <v>687.3</v>
      </c>
      <c r="K8058" s="7">
        <v>494</v>
      </c>
      <c r="L8058" s="7">
        <v>455.7</v>
      </c>
      <c r="M8058" s="7">
        <v>376.2</v>
      </c>
      <c r="N8058" s="7">
        <v>234.2</v>
      </c>
      <c r="O8058" s="7">
        <v>163</v>
      </c>
      <c r="U8058" s="7">
        <v>433.3</v>
      </c>
    </row>
    <row r="8059" spans="1:21" x14ac:dyDescent="0.2">
      <c r="A8059">
        <v>8058</v>
      </c>
      <c r="B8059" s="1">
        <v>41009</v>
      </c>
      <c r="C8059" t="s">
        <v>28</v>
      </c>
      <c r="D8059" s="7">
        <v>268</v>
      </c>
      <c r="E8059" s="7">
        <v>40</v>
      </c>
      <c r="F8059" s="7">
        <f t="shared" si="126"/>
        <v>3</v>
      </c>
      <c r="G8059" s="7" t="str">
        <f>LOOKUP(H8059,[1]startdates!$A$2:$A$10,[1]startdates!$B$2:$B$10)</f>
        <v>SMr</v>
      </c>
      <c r="H8059">
        <v>2</v>
      </c>
      <c r="I8059" s="7">
        <v>583.5</v>
      </c>
      <c r="K8059" s="7">
        <v>543.5</v>
      </c>
      <c r="M8059" s="7">
        <v>381.9</v>
      </c>
      <c r="N8059" s="7">
        <v>202.6</v>
      </c>
      <c r="O8059" s="7">
        <v>190.2</v>
      </c>
      <c r="U8059" s="7">
        <v>483.2</v>
      </c>
    </row>
    <row r="8060" spans="1:21" x14ac:dyDescent="0.2">
      <c r="A8060">
        <v>8059</v>
      </c>
      <c r="B8060" s="1">
        <v>41009</v>
      </c>
      <c r="C8060" t="s">
        <v>28</v>
      </c>
      <c r="D8060" s="7">
        <v>268</v>
      </c>
      <c r="E8060" s="7">
        <v>40</v>
      </c>
      <c r="F8060" s="7">
        <f t="shared" si="126"/>
        <v>3</v>
      </c>
      <c r="G8060" s="7" t="str">
        <f>LOOKUP(H8060,[1]startdates!$A$2:$A$10,[1]startdates!$B$2:$B$10)</f>
        <v>SMr</v>
      </c>
      <c r="H8060">
        <v>2</v>
      </c>
      <c r="I8060" s="7">
        <v>581</v>
      </c>
      <c r="K8060" s="7">
        <v>529.9</v>
      </c>
      <c r="M8060" s="7">
        <v>301.89999999999998</v>
      </c>
      <c r="N8060" s="7">
        <v>234</v>
      </c>
      <c r="O8060" s="7">
        <v>151.6</v>
      </c>
      <c r="U8060" s="7">
        <v>515.4</v>
      </c>
    </row>
    <row r="8061" spans="1:21" x14ac:dyDescent="0.2">
      <c r="A8061">
        <v>8060</v>
      </c>
      <c r="B8061" s="1">
        <v>41009</v>
      </c>
      <c r="C8061" t="s">
        <v>28</v>
      </c>
      <c r="D8061" s="7">
        <v>268</v>
      </c>
      <c r="E8061" s="7">
        <v>40</v>
      </c>
      <c r="F8061" s="7">
        <f t="shared" si="126"/>
        <v>3</v>
      </c>
      <c r="G8061" s="7" t="str">
        <f>LOOKUP(H8061,[1]startdates!$A$2:$A$10,[1]startdates!$B$2:$B$10)</f>
        <v>SMr</v>
      </c>
      <c r="H8061">
        <v>2</v>
      </c>
      <c r="I8061" s="7">
        <v>647.70000000000005</v>
      </c>
      <c r="M8061" s="7">
        <v>387</v>
      </c>
      <c r="N8061" s="7">
        <v>177.1</v>
      </c>
      <c r="O8061" s="7">
        <v>176.2</v>
      </c>
    </row>
    <row r="8062" spans="1:21" x14ac:dyDescent="0.2">
      <c r="A8062">
        <v>8061</v>
      </c>
      <c r="B8062" s="1">
        <v>41009</v>
      </c>
      <c r="C8062" t="s">
        <v>28</v>
      </c>
      <c r="D8062" s="7">
        <v>268</v>
      </c>
      <c r="E8062" s="7">
        <v>40</v>
      </c>
      <c r="F8062" s="7">
        <f t="shared" si="126"/>
        <v>3</v>
      </c>
      <c r="G8062" s="7" t="str">
        <f>LOOKUP(H8062,[1]startdates!$A$2:$A$10,[1]startdates!$B$2:$B$10)</f>
        <v>SMr</v>
      </c>
      <c r="H8062">
        <v>2</v>
      </c>
      <c r="I8062" s="7">
        <v>559</v>
      </c>
      <c r="M8062" s="7">
        <v>329.2</v>
      </c>
      <c r="N8062" s="7">
        <v>232.2</v>
      </c>
      <c r="O8062" s="7">
        <v>155.4</v>
      </c>
    </row>
    <row r="8063" spans="1:21" x14ac:dyDescent="0.2">
      <c r="A8063">
        <v>8062</v>
      </c>
      <c r="B8063" s="1">
        <v>41009</v>
      </c>
      <c r="C8063" t="s">
        <v>28</v>
      </c>
      <c r="D8063" s="7">
        <v>268</v>
      </c>
      <c r="E8063" s="7">
        <v>40</v>
      </c>
      <c r="F8063" s="7">
        <f t="shared" si="126"/>
        <v>3</v>
      </c>
      <c r="G8063" s="7" t="str">
        <f>LOOKUP(H8063,[1]startdates!$A$2:$A$10,[1]startdates!$B$2:$B$10)</f>
        <v>SMr</v>
      </c>
      <c r="H8063">
        <v>2</v>
      </c>
      <c r="I8063" s="7">
        <v>614.20000000000005</v>
      </c>
      <c r="M8063" s="7">
        <v>311.89999999999998</v>
      </c>
      <c r="N8063" s="7">
        <v>196.5</v>
      </c>
      <c r="O8063" s="7">
        <v>168.6</v>
      </c>
    </row>
    <row r="8064" spans="1:21" x14ac:dyDescent="0.2">
      <c r="A8064">
        <v>8063</v>
      </c>
      <c r="B8064" s="1">
        <v>41009</v>
      </c>
      <c r="C8064" t="s">
        <v>28</v>
      </c>
      <c r="D8064" s="7">
        <v>268</v>
      </c>
      <c r="E8064" s="7">
        <v>40</v>
      </c>
      <c r="F8064" s="7">
        <f t="shared" si="126"/>
        <v>3</v>
      </c>
      <c r="G8064" s="7" t="str">
        <f>LOOKUP(H8064,[1]startdates!$A$2:$A$10,[1]startdates!$B$2:$B$10)</f>
        <v>SMr</v>
      </c>
      <c r="H8064">
        <v>2</v>
      </c>
      <c r="I8064" s="7">
        <v>598.6</v>
      </c>
      <c r="N8064" s="7">
        <v>223.6</v>
      </c>
      <c r="O8064" s="7">
        <v>159.5</v>
      </c>
    </row>
    <row r="8065" spans="1:21" x14ac:dyDescent="0.2">
      <c r="A8065">
        <v>8064</v>
      </c>
      <c r="B8065" s="1">
        <v>41009</v>
      </c>
      <c r="C8065" t="s">
        <v>28</v>
      </c>
      <c r="D8065" s="7">
        <v>268</v>
      </c>
      <c r="E8065" s="7">
        <v>40</v>
      </c>
      <c r="F8065" s="7">
        <f t="shared" si="126"/>
        <v>3</v>
      </c>
      <c r="G8065" s="7" t="str">
        <f>LOOKUP(H8065,[1]startdates!$A$2:$A$10,[1]startdates!$B$2:$B$10)</f>
        <v>C</v>
      </c>
      <c r="H8065">
        <v>3</v>
      </c>
      <c r="I8065" s="7">
        <v>647.4</v>
      </c>
      <c r="J8065" s="7">
        <v>522</v>
      </c>
      <c r="K8065" s="7">
        <v>544.4</v>
      </c>
      <c r="L8065" s="7">
        <v>431</v>
      </c>
      <c r="M8065" s="7">
        <v>335.4</v>
      </c>
      <c r="N8065" s="7">
        <v>187.7</v>
      </c>
      <c r="O8065" s="7">
        <v>164.2</v>
      </c>
      <c r="P8065" s="7">
        <v>511</v>
      </c>
      <c r="Q8065" s="7">
        <v>352.8</v>
      </c>
      <c r="R8065" s="7">
        <v>249.3</v>
      </c>
    </row>
    <row r="8066" spans="1:21" x14ac:dyDescent="0.2">
      <c r="A8066">
        <v>8065</v>
      </c>
      <c r="B8066" s="1">
        <v>41009</v>
      </c>
      <c r="C8066" t="s">
        <v>28</v>
      </c>
      <c r="D8066" s="7">
        <v>268</v>
      </c>
      <c r="E8066" s="7">
        <v>40</v>
      </c>
      <c r="F8066" s="7">
        <f t="shared" si="126"/>
        <v>3</v>
      </c>
      <c r="G8066" s="7" t="str">
        <f>LOOKUP(H8066,[1]startdates!$A$2:$A$10,[1]startdates!$B$2:$B$10)</f>
        <v>C</v>
      </c>
      <c r="H8066">
        <v>3</v>
      </c>
      <c r="I8066" s="7">
        <v>649.5</v>
      </c>
      <c r="J8066" s="7">
        <v>533.20000000000005</v>
      </c>
      <c r="K8066" s="7">
        <v>582.5</v>
      </c>
      <c r="L8066" s="7">
        <v>409</v>
      </c>
      <c r="M8066" s="7">
        <v>326.3</v>
      </c>
      <c r="N8066" s="7">
        <v>200.9</v>
      </c>
      <c r="O8066" s="7">
        <v>157.6</v>
      </c>
      <c r="P8066" s="7">
        <v>420.6</v>
      </c>
      <c r="Q8066" s="7">
        <v>396.5</v>
      </c>
      <c r="R8066" s="7">
        <v>258.5</v>
      </c>
    </row>
    <row r="8067" spans="1:21" x14ac:dyDescent="0.2">
      <c r="A8067">
        <v>8066</v>
      </c>
      <c r="B8067" s="1">
        <v>41009</v>
      </c>
      <c r="C8067" t="s">
        <v>28</v>
      </c>
      <c r="D8067" s="7">
        <v>268</v>
      </c>
      <c r="E8067" s="7">
        <v>40</v>
      </c>
      <c r="F8067" s="7">
        <f t="shared" si="126"/>
        <v>3</v>
      </c>
      <c r="G8067" s="7" t="str">
        <f>LOOKUP(H8067,[1]startdates!$A$2:$A$10,[1]startdates!$B$2:$B$10)</f>
        <v>C</v>
      </c>
      <c r="H8067">
        <v>3</v>
      </c>
      <c r="I8067" s="7">
        <v>613.79999999999995</v>
      </c>
      <c r="K8067" s="7">
        <v>553.29999999999995</v>
      </c>
      <c r="L8067" s="7">
        <v>421.5</v>
      </c>
      <c r="M8067" s="7">
        <v>351.3</v>
      </c>
      <c r="N8067" s="7">
        <v>237</v>
      </c>
      <c r="O8067" s="7">
        <v>140.9</v>
      </c>
      <c r="P8067" s="7">
        <v>517.1</v>
      </c>
    </row>
    <row r="8068" spans="1:21" x14ac:dyDescent="0.2">
      <c r="A8068">
        <v>8067</v>
      </c>
      <c r="B8068" s="1">
        <v>41009</v>
      </c>
      <c r="C8068" t="s">
        <v>28</v>
      </c>
      <c r="D8068" s="7">
        <v>268</v>
      </c>
      <c r="E8068" s="7">
        <v>40</v>
      </c>
      <c r="F8068" s="7">
        <f t="shared" si="126"/>
        <v>3</v>
      </c>
      <c r="G8068" s="7" t="str">
        <f>LOOKUP(H8068,[1]startdates!$A$2:$A$10,[1]startdates!$B$2:$B$10)</f>
        <v>C</v>
      </c>
      <c r="H8068">
        <v>3</v>
      </c>
      <c r="I8068" s="7">
        <v>493.2</v>
      </c>
      <c r="M8068" s="7">
        <v>309.5</v>
      </c>
      <c r="N8068" s="7">
        <v>260.3</v>
      </c>
      <c r="O8068" s="7">
        <v>171.6</v>
      </c>
      <c r="P8068" s="7">
        <v>481</v>
      </c>
    </row>
    <row r="8069" spans="1:21" x14ac:dyDescent="0.2">
      <c r="A8069">
        <v>8068</v>
      </c>
      <c r="B8069" s="1">
        <v>41009</v>
      </c>
      <c r="C8069" t="s">
        <v>28</v>
      </c>
      <c r="D8069" s="7">
        <v>268</v>
      </c>
      <c r="E8069" s="7">
        <v>40</v>
      </c>
      <c r="F8069" s="7">
        <f t="shared" si="126"/>
        <v>3</v>
      </c>
      <c r="G8069" s="7" t="str">
        <f>LOOKUP(H8069,[1]startdates!$A$2:$A$10,[1]startdates!$B$2:$B$10)</f>
        <v>C</v>
      </c>
      <c r="H8069">
        <v>3</v>
      </c>
      <c r="I8069" s="7">
        <v>607.5</v>
      </c>
      <c r="M8069" s="7">
        <v>328.4</v>
      </c>
      <c r="N8069" s="7">
        <v>223.9</v>
      </c>
      <c r="O8069" s="7">
        <v>144</v>
      </c>
    </row>
    <row r="8070" spans="1:21" x14ac:dyDescent="0.2">
      <c r="A8070">
        <v>8069</v>
      </c>
      <c r="B8070" s="1">
        <v>41009</v>
      </c>
      <c r="C8070" t="s">
        <v>28</v>
      </c>
      <c r="D8070" s="7">
        <v>268</v>
      </c>
      <c r="E8070" s="7">
        <v>40</v>
      </c>
      <c r="F8070" s="7">
        <f t="shared" si="126"/>
        <v>3</v>
      </c>
      <c r="G8070" s="7" t="str">
        <f>LOOKUP(H8070,[1]startdates!$A$2:$A$10,[1]startdates!$B$2:$B$10)</f>
        <v>C</v>
      </c>
      <c r="H8070">
        <v>3</v>
      </c>
      <c r="I8070" s="7">
        <v>674.4</v>
      </c>
      <c r="M8070" s="7">
        <v>379.6</v>
      </c>
      <c r="N8070" s="7">
        <v>238.6</v>
      </c>
      <c r="O8070" s="7">
        <v>146.6</v>
      </c>
    </row>
    <row r="8071" spans="1:21" x14ac:dyDescent="0.2">
      <c r="A8071">
        <v>8070</v>
      </c>
      <c r="B8071" s="1">
        <v>41009</v>
      </c>
      <c r="C8071" t="s">
        <v>28</v>
      </c>
      <c r="D8071" s="7">
        <v>268</v>
      </c>
      <c r="E8071" s="7">
        <v>40</v>
      </c>
      <c r="F8071" s="7">
        <f t="shared" si="126"/>
        <v>3</v>
      </c>
      <c r="G8071" s="7" t="str">
        <f>LOOKUP(H8071,[1]startdates!$A$2:$A$10,[1]startdates!$B$2:$B$10)</f>
        <v>C</v>
      </c>
      <c r="H8071">
        <v>3</v>
      </c>
      <c r="I8071" s="7">
        <v>622.29999999999995</v>
      </c>
      <c r="M8071" s="7">
        <v>309.39999999999998</v>
      </c>
      <c r="N8071" s="7">
        <v>212.2</v>
      </c>
      <c r="O8071" s="7">
        <v>155</v>
      </c>
    </row>
    <row r="8072" spans="1:21" x14ac:dyDescent="0.2">
      <c r="A8072">
        <v>8071</v>
      </c>
      <c r="B8072" s="1">
        <v>41009</v>
      </c>
      <c r="C8072" t="s">
        <v>28</v>
      </c>
      <c r="D8072" s="7">
        <v>268</v>
      </c>
      <c r="E8072" s="7">
        <v>40</v>
      </c>
      <c r="F8072" s="7">
        <f t="shared" si="126"/>
        <v>3</v>
      </c>
      <c r="G8072" s="7" t="str">
        <f>LOOKUP(H8072,[1]startdates!$A$2:$A$10,[1]startdates!$B$2:$B$10)</f>
        <v>C</v>
      </c>
      <c r="H8072">
        <v>3</v>
      </c>
      <c r="I8072" s="7">
        <v>725.4</v>
      </c>
      <c r="M8072" s="7">
        <v>375.4</v>
      </c>
      <c r="N8072" s="7">
        <v>240.1</v>
      </c>
      <c r="O8072" s="7">
        <v>175.4</v>
      </c>
    </row>
    <row r="8073" spans="1:21" x14ac:dyDescent="0.2">
      <c r="A8073">
        <v>8072</v>
      </c>
      <c r="B8073" s="1">
        <v>41009</v>
      </c>
      <c r="C8073" t="s">
        <v>28</v>
      </c>
      <c r="D8073" s="7">
        <v>268</v>
      </c>
      <c r="E8073" s="7">
        <v>40</v>
      </c>
      <c r="F8073" s="7">
        <f t="shared" si="126"/>
        <v>3</v>
      </c>
      <c r="G8073" s="7" t="str">
        <f>LOOKUP(H8073,[1]startdates!$A$2:$A$10,[1]startdates!$B$2:$B$10)</f>
        <v>C</v>
      </c>
      <c r="H8073">
        <v>3</v>
      </c>
      <c r="I8073" s="7">
        <v>570.1</v>
      </c>
      <c r="M8073" s="7">
        <v>333.1</v>
      </c>
      <c r="N8073" s="7">
        <v>190.5</v>
      </c>
      <c r="O8073" s="7">
        <v>156.5</v>
      </c>
    </row>
    <row r="8074" spans="1:21" x14ac:dyDescent="0.2">
      <c r="A8074">
        <v>8073</v>
      </c>
      <c r="B8074" s="1">
        <v>41009</v>
      </c>
      <c r="C8074" t="s">
        <v>28</v>
      </c>
      <c r="D8074" s="7">
        <v>268</v>
      </c>
      <c r="E8074" s="7">
        <v>40</v>
      </c>
      <c r="F8074" s="7">
        <f t="shared" si="126"/>
        <v>3</v>
      </c>
      <c r="G8074" s="7" t="str">
        <f>LOOKUP(H8074,[1]startdates!$A$2:$A$10,[1]startdates!$B$2:$B$10)</f>
        <v>C</v>
      </c>
      <c r="H8074">
        <v>3</v>
      </c>
      <c r="I8074" s="7">
        <v>592.20000000000005</v>
      </c>
      <c r="M8074" s="7">
        <v>349.1</v>
      </c>
      <c r="N8074" s="7">
        <v>218.7</v>
      </c>
      <c r="O8074" s="7">
        <v>153.19999999999999</v>
      </c>
    </row>
    <row r="8075" spans="1:21" x14ac:dyDescent="0.2">
      <c r="A8075">
        <v>8074</v>
      </c>
      <c r="B8075" s="1">
        <v>41009</v>
      </c>
      <c r="C8075" t="s">
        <v>24</v>
      </c>
      <c r="D8075" s="7">
        <v>268</v>
      </c>
      <c r="E8075" s="7">
        <v>40</v>
      </c>
      <c r="F8075" s="7">
        <f t="shared" si="126"/>
        <v>3</v>
      </c>
      <c r="G8075" s="7" t="str">
        <f>LOOKUP(H8075,[1]startdates!$A$2:$A$10,[1]startdates!$B$2:$B$10)</f>
        <v>SMr</v>
      </c>
      <c r="H8075">
        <v>4</v>
      </c>
      <c r="I8075" s="7">
        <v>696.6</v>
      </c>
      <c r="J8075" s="7">
        <v>600.20000000000005</v>
      </c>
      <c r="K8075" s="7">
        <v>533.20000000000005</v>
      </c>
      <c r="L8075" s="7">
        <v>428.1</v>
      </c>
      <c r="M8075" s="7">
        <v>316.5</v>
      </c>
      <c r="N8075" s="7">
        <v>223.9</v>
      </c>
      <c r="O8075" s="7">
        <v>176.5</v>
      </c>
      <c r="Q8075" s="7">
        <v>405.6</v>
      </c>
      <c r="R8075" s="7">
        <v>274</v>
      </c>
      <c r="U8075" s="7">
        <v>488.1</v>
      </c>
    </row>
    <row r="8076" spans="1:21" x14ac:dyDescent="0.2">
      <c r="A8076">
        <v>8075</v>
      </c>
      <c r="B8076" s="1">
        <v>41009</v>
      </c>
      <c r="C8076" t="s">
        <v>24</v>
      </c>
      <c r="D8076" s="7">
        <v>268</v>
      </c>
      <c r="E8076" s="7">
        <v>40</v>
      </c>
      <c r="F8076" s="7">
        <f t="shared" si="126"/>
        <v>3</v>
      </c>
      <c r="G8076" s="7" t="str">
        <f>LOOKUP(H8076,[1]startdates!$A$2:$A$10,[1]startdates!$B$2:$B$10)</f>
        <v>SMr</v>
      </c>
      <c r="H8076">
        <v>4</v>
      </c>
      <c r="I8076" s="7">
        <v>651.6</v>
      </c>
      <c r="J8076" s="7">
        <v>399.7</v>
      </c>
      <c r="K8076" s="7">
        <v>498.7</v>
      </c>
      <c r="L8076" s="7">
        <v>416.9</v>
      </c>
      <c r="M8076" s="7">
        <v>315.10000000000002</v>
      </c>
      <c r="N8076" s="7">
        <v>235.2</v>
      </c>
      <c r="O8076" s="7">
        <v>180.6</v>
      </c>
      <c r="R8076" s="7">
        <v>254.1</v>
      </c>
      <c r="U8076" s="7">
        <v>485.4</v>
      </c>
    </row>
    <row r="8077" spans="1:21" x14ac:dyDescent="0.2">
      <c r="A8077">
        <v>8076</v>
      </c>
      <c r="B8077" s="1">
        <v>41009</v>
      </c>
      <c r="C8077" t="s">
        <v>24</v>
      </c>
      <c r="D8077" s="7">
        <v>268</v>
      </c>
      <c r="E8077" s="7">
        <v>40</v>
      </c>
      <c r="F8077" s="7">
        <f t="shared" si="126"/>
        <v>3</v>
      </c>
      <c r="G8077" s="7" t="str">
        <f>LOOKUP(H8077,[1]startdates!$A$2:$A$10,[1]startdates!$B$2:$B$10)</f>
        <v>SMr</v>
      </c>
      <c r="H8077">
        <v>4</v>
      </c>
      <c r="I8077" s="7">
        <v>670.3</v>
      </c>
      <c r="K8077" s="7">
        <v>594.20000000000005</v>
      </c>
      <c r="M8077" s="7">
        <v>304.60000000000002</v>
      </c>
      <c r="N8077" s="7">
        <v>229.6</v>
      </c>
      <c r="O8077" s="7">
        <v>182.8</v>
      </c>
      <c r="U8077" s="7">
        <v>428.6</v>
      </c>
    </row>
    <row r="8078" spans="1:21" x14ac:dyDescent="0.2">
      <c r="A8078">
        <v>8077</v>
      </c>
      <c r="B8078" s="1">
        <v>41009</v>
      </c>
      <c r="C8078" t="s">
        <v>24</v>
      </c>
      <c r="D8078" s="7">
        <v>268</v>
      </c>
      <c r="E8078" s="7">
        <v>40</v>
      </c>
      <c r="F8078" s="7">
        <f t="shared" si="126"/>
        <v>3</v>
      </c>
      <c r="G8078" s="7" t="str">
        <f>LOOKUP(H8078,[1]startdates!$A$2:$A$10,[1]startdates!$B$2:$B$10)</f>
        <v>SMr</v>
      </c>
      <c r="H8078">
        <v>4</v>
      </c>
      <c r="I8078" s="7">
        <v>736.9</v>
      </c>
      <c r="K8078" s="7">
        <v>523.6</v>
      </c>
      <c r="N8078" s="7">
        <v>198.5</v>
      </c>
      <c r="O8078" s="7">
        <v>185.3</v>
      </c>
      <c r="U8078" s="7">
        <v>505.5</v>
      </c>
    </row>
    <row r="8079" spans="1:21" x14ac:dyDescent="0.2">
      <c r="A8079">
        <v>8078</v>
      </c>
      <c r="B8079" s="1">
        <v>41009</v>
      </c>
      <c r="C8079" t="s">
        <v>24</v>
      </c>
      <c r="D8079" s="7">
        <v>268</v>
      </c>
      <c r="E8079" s="7">
        <v>40</v>
      </c>
      <c r="F8079" s="7">
        <f t="shared" si="126"/>
        <v>3</v>
      </c>
      <c r="G8079" s="7" t="str">
        <f>LOOKUP(H8079,[1]startdates!$A$2:$A$10,[1]startdates!$B$2:$B$10)</f>
        <v>SMr</v>
      </c>
      <c r="H8079">
        <v>4</v>
      </c>
      <c r="I8079" s="7">
        <v>601.70000000000005</v>
      </c>
      <c r="N8079" s="7">
        <v>224.8</v>
      </c>
      <c r="O8079" s="7">
        <v>178.1</v>
      </c>
      <c r="U8079" s="7">
        <v>584.70000000000005</v>
      </c>
    </row>
    <row r="8080" spans="1:21" x14ac:dyDescent="0.2">
      <c r="A8080">
        <v>8079</v>
      </c>
      <c r="B8080" s="1">
        <v>41009</v>
      </c>
      <c r="C8080" t="s">
        <v>24</v>
      </c>
      <c r="D8080" s="7">
        <v>268</v>
      </c>
      <c r="E8080" s="7">
        <v>40</v>
      </c>
      <c r="F8080" s="7">
        <f t="shared" si="126"/>
        <v>3</v>
      </c>
      <c r="G8080" s="7" t="str">
        <f>LOOKUP(H8080,[1]startdates!$A$2:$A$10,[1]startdates!$B$2:$B$10)</f>
        <v>SMr</v>
      </c>
      <c r="H8080">
        <v>4</v>
      </c>
      <c r="I8080" s="7">
        <v>760.3</v>
      </c>
      <c r="N8080" s="7">
        <v>272.8</v>
      </c>
      <c r="O8080" s="7">
        <v>184.1</v>
      </c>
    </row>
    <row r="8081" spans="1:22" x14ac:dyDescent="0.2">
      <c r="A8081">
        <v>8080</v>
      </c>
      <c r="B8081" s="1">
        <v>41009</v>
      </c>
      <c r="C8081" t="s">
        <v>24</v>
      </c>
      <c r="D8081" s="7">
        <v>268</v>
      </c>
      <c r="E8081" s="7">
        <v>40</v>
      </c>
      <c r="F8081" s="7">
        <f t="shared" si="126"/>
        <v>3</v>
      </c>
      <c r="G8081" s="7" t="str">
        <f>LOOKUP(H8081,[1]startdates!$A$2:$A$10,[1]startdates!$B$2:$B$10)</f>
        <v>SMr</v>
      </c>
      <c r="H8081">
        <v>4</v>
      </c>
      <c r="I8081" s="7">
        <v>757.9</v>
      </c>
      <c r="N8081" s="7">
        <v>216.8</v>
      </c>
      <c r="O8081" s="7">
        <v>169.5</v>
      </c>
    </row>
    <row r="8082" spans="1:22" x14ac:dyDescent="0.2">
      <c r="A8082">
        <v>8081</v>
      </c>
      <c r="B8082" s="1">
        <v>41009</v>
      </c>
      <c r="C8082" t="s">
        <v>24</v>
      </c>
      <c r="D8082" s="7">
        <v>268</v>
      </c>
      <c r="E8082" s="7">
        <v>40</v>
      </c>
      <c r="F8082" s="7">
        <f t="shared" si="126"/>
        <v>3</v>
      </c>
      <c r="G8082" s="7" t="str">
        <f>LOOKUP(H8082,[1]startdates!$A$2:$A$10,[1]startdates!$B$2:$B$10)</f>
        <v>SMr</v>
      </c>
      <c r="H8082">
        <v>4</v>
      </c>
      <c r="I8082" s="7">
        <v>600.1</v>
      </c>
      <c r="N8082" s="7">
        <v>241.2</v>
      </c>
      <c r="O8082" s="7">
        <v>172.1</v>
      </c>
    </row>
    <row r="8083" spans="1:22" x14ac:dyDescent="0.2">
      <c r="A8083">
        <v>8082</v>
      </c>
      <c r="B8083" s="1">
        <v>41009</v>
      </c>
      <c r="C8083" t="s">
        <v>24</v>
      </c>
      <c r="D8083" s="7">
        <v>268</v>
      </c>
      <c r="E8083" s="7">
        <v>40</v>
      </c>
      <c r="F8083" s="7">
        <f t="shared" si="126"/>
        <v>3</v>
      </c>
      <c r="G8083" s="7" t="str">
        <f>LOOKUP(H8083,[1]startdates!$A$2:$A$10,[1]startdates!$B$2:$B$10)</f>
        <v>SMr</v>
      </c>
      <c r="H8083">
        <v>4</v>
      </c>
      <c r="I8083" s="7">
        <v>750.8</v>
      </c>
      <c r="N8083" s="7">
        <v>214.7</v>
      </c>
      <c r="O8083" s="7">
        <v>185.3</v>
      </c>
    </row>
    <row r="8084" spans="1:22" x14ac:dyDescent="0.2">
      <c r="A8084">
        <v>8083</v>
      </c>
      <c r="B8084" s="1">
        <v>41009</v>
      </c>
      <c r="C8084" t="s">
        <v>24</v>
      </c>
      <c r="D8084" s="7">
        <v>268</v>
      </c>
      <c r="E8084" s="7">
        <v>40</v>
      </c>
      <c r="F8084" s="7">
        <f t="shared" si="126"/>
        <v>3</v>
      </c>
      <c r="G8084" s="7" t="str">
        <f>LOOKUP(H8084,[1]startdates!$A$2:$A$10,[1]startdates!$B$2:$B$10)</f>
        <v>SMr</v>
      </c>
      <c r="H8084">
        <v>4</v>
      </c>
      <c r="I8084" s="7">
        <v>729.2</v>
      </c>
      <c r="N8084" s="7">
        <v>226.8</v>
      </c>
      <c r="O8084" s="7">
        <v>175.4</v>
      </c>
    </row>
    <row r="8085" spans="1:22" x14ac:dyDescent="0.2">
      <c r="A8085">
        <v>8084</v>
      </c>
      <c r="B8085" s="1">
        <v>41009</v>
      </c>
      <c r="C8085" t="s">
        <v>24</v>
      </c>
      <c r="D8085" s="7">
        <v>268</v>
      </c>
      <c r="E8085" s="7">
        <v>40</v>
      </c>
      <c r="F8085" s="7">
        <f t="shared" si="126"/>
        <v>3</v>
      </c>
      <c r="G8085" s="7" t="str">
        <f>LOOKUP(H8085,[1]startdates!$A$2:$A$10,[1]startdates!$B$2:$B$10)</f>
        <v>SMr</v>
      </c>
      <c r="H8085">
        <v>4</v>
      </c>
      <c r="I8085" s="7">
        <v>702.6</v>
      </c>
    </row>
    <row r="8086" spans="1:22" x14ac:dyDescent="0.2">
      <c r="A8086">
        <v>8085</v>
      </c>
      <c r="B8086" s="1">
        <v>41009</v>
      </c>
      <c r="C8086" t="s">
        <v>24</v>
      </c>
      <c r="D8086" s="7">
        <v>268</v>
      </c>
      <c r="E8086" s="7">
        <v>40</v>
      </c>
      <c r="F8086" s="7">
        <f t="shared" si="126"/>
        <v>3</v>
      </c>
      <c r="G8086" s="7" t="str">
        <f>LOOKUP(H8086,[1]startdates!$A$2:$A$10,[1]startdates!$B$2:$B$10)</f>
        <v>C</v>
      </c>
      <c r="H8086">
        <v>5</v>
      </c>
      <c r="I8086" s="7">
        <v>609.20000000000005</v>
      </c>
      <c r="J8086" s="7">
        <v>571.29999999999995</v>
      </c>
      <c r="K8086" s="7">
        <v>538.20000000000005</v>
      </c>
      <c r="L8086" s="7">
        <v>441.8</v>
      </c>
      <c r="M8086" s="7">
        <v>338.1</v>
      </c>
      <c r="N8086" s="7">
        <v>202.6</v>
      </c>
      <c r="O8086" s="7">
        <v>184.1</v>
      </c>
      <c r="P8086" s="7">
        <v>470.4</v>
      </c>
      <c r="R8086" s="7">
        <v>235.7</v>
      </c>
    </row>
    <row r="8087" spans="1:22" x14ac:dyDescent="0.2">
      <c r="A8087">
        <v>8086</v>
      </c>
      <c r="B8087" s="1">
        <v>41009</v>
      </c>
      <c r="C8087" t="s">
        <v>24</v>
      </c>
      <c r="D8087" s="7">
        <v>268</v>
      </c>
      <c r="E8087" s="7">
        <v>40</v>
      </c>
      <c r="F8087" s="7">
        <f t="shared" si="126"/>
        <v>3</v>
      </c>
      <c r="G8087" s="7" t="str">
        <f>LOOKUP(H8087,[1]startdates!$A$2:$A$10,[1]startdates!$B$2:$B$10)</f>
        <v>C</v>
      </c>
      <c r="H8087">
        <v>5</v>
      </c>
      <c r="I8087" s="7">
        <v>630.29999999999995</v>
      </c>
      <c r="J8087" s="7">
        <v>554.9</v>
      </c>
      <c r="K8087" s="7">
        <v>594.4</v>
      </c>
      <c r="L8087" s="7">
        <v>471.1</v>
      </c>
      <c r="M8087" s="7">
        <v>390.1</v>
      </c>
      <c r="N8087" s="7">
        <v>214.5</v>
      </c>
      <c r="O8087" s="7">
        <v>163.1</v>
      </c>
      <c r="P8087" s="7">
        <v>476.3</v>
      </c>
      <c r="R8087" s="7">
        <v>268.8</v>
      </c>
    </row>
    <row r="8088" spans="1:22" x14ac:dyDescent="0.2">
      <c r="A8088">
        <v>8087</v>
      </c>
      <c r="B8088" s="1">
        <v>41009</v>
      </c>
      <c r="C8088" t="s">
        <v>24</v>
      </c>
      <c r="D8088" s="7">
        <v>268</v>
      </c>
      <c r="E8088" s="7">
        <v>40</v>
      </c>
      <c r="F8088" s="7">
        <f t="shared" si="126"/>
        <v>3</v>
      </c>
      <c r="G8088" s="7" t="str">
        <f>LOOKUP(H8088,[1]startdates!$A$2:$A$10,[1]startdates!$B$2:$B$10)</f>
        <v>C</v>
      </c>
      <c r="H8088">
        <v>5</v>
      </c>
      <c r="I8088" s="7">
        <v>751.5</v>
      </c>
      <c r="J8088" s="7">
        <v>540.29999999999995</v>
      </c>
      <c r="K8088" s="7">
        <v>622.6</v>
      </c>
      <c r="L8088" s="7">
        <v>393.1</v>
      </c>
      <c r="M8088" s="7">
        <v>276.8</v>
      </c>
      <c r="N8088" s="7">
        <v>225.6</v>
      </c>
      <c r="O8088" s="7">
        <v>161.69999999999999</v>
      </c>
      <c r="P8088" s="7">
        <v>483</v>
      </c>
    </row>
    <row r="8089" spans="1:22" x14ac:dyDescent="0.2">
      <c r="A8089">
        <v>8088</v>
      </c>
      <c r="B8089" s="1">
        <v>41009</v>
      </c>
      <c r="C8089" t="s">
        <v>24</v>
      </c>
      <c r="D8089" s="7">
        <v>268</v>
      </c>
      <c r="E8089" s="7">
        <v>40</v>
      </c>
      <c r="F8089" s="7">
        <f t="shared" si="126"/>
        <v>3</v>
      </c>
      <c r="G8089" s="7" t="str">
        <f>LOOKUP(H8089,[1]startdates!$A$2:$A$10,[1]startdates!$B$2:$B$10)</f>
        <v>C</v>
      </c>
      <c r="H8089">
        <v>5</v>
      </c>
      <c r="I8089" s="7">
        <v>686.6</v>
      </c>
      <c r="J8089" s="7">
        <v>580</v>
      </c>
      <c r="K8089" s="7">
        <v>540.70000000000005</v>
      </c>
      <c r="L8089" s="7">
        <v>413.3</v>
      </c>
      <c r="M8089" s="7">
        <v>320.7</v>
      </c>
      <c r="N8089" s="7">
        <v>226.1</v>
      </c>
      <c r="O8089" s="7">
        <v>169</v>
      </c>
      <c r="P8089" s="7">
        <v>529.79999999999995</v>
      </c>
    </row>
    <row r="8090" spans="1:22" x14ac:dyDescent="0.2">
      <c r="A8090">
        <v>8089</v>
      </c>
      <c r="B8090" s="1">
        <v>41009</v>
      </c>
      <c r="C8090" t="s">
        <v>24</v>
      </c>
      <c r="D8090" s="7">
        <v>268</v>
      </c>
      <c r="E8090" s="7">
        <v>40</v>
      </c>
      <c r="F8090" s="7">
        <f t="shared" si="126"/>
        <v>3</v>
      </c>
      <c r="G8090" s="7" t="str">
        <f>LOOKUP(H8090,[1]startdates!$A$2:$A$10,[1]startdates!$B$2:$B$10)</f>
        <v>C</v>
      </c>
      <c r="H8090">
        <v>5</v>
      </c>
      <c r="I8090" s="7">
        <v>615.79999999999995</v>
      </c>
      <c r="J8090" s="7">
        <v>469.3</v>
      </c>
      <c r="K8090" s="7">
        <v>462.6</v>
      </c>
      <c r="M8090" s="7">
        <v>342.7</v>
      </c>
      <c r="N8090" s="7">
        <v>232</v>
      </c>
      <c r="O8090" s="7">
        <v>140</v>
      </c>
      <c r="P8090" s="7">
        <v>516.1</v>
      </c>
    </row>
    <row r="8091" spans="1:22" x14ac:dyDescent="0.2">
      <c r="A8091">
        <v>8090</v>
      </c>
      <c r="B8091" s="1">
        <v>41009</v>
      </c>
      <c r="C8091" t="s">
        <v>24</v>
      </c>
      <c r="D8091" s="7">
        <v>268</v>
      </c>
      <c r="E8091" s="7">
        <v>40</v>
      </c>
      <c r="F8091" s="7">
        <f t="shared" si="126"/>
        <v>3</v>
      </c>
      <c r="G8091" s="7" t="str">
        <f>LOOKUP(H8091,[1]startdates!$A$2:$A$10,[1]startdates!$B$2:$B$10)</f>
        <v>C</v>
      </c>
      <c r="H8091">
        <v>5</v>
      </c>
      <c r="I8091" s="7">
        <v>662.9</v>
      </c>
      <c r="J8091" s="7">
        <v>498.7</v>
      </c>
      <c r="K8091" s="7">
        <v>630.79999999999995</v>
      </c>
      <c r="M8091" s="7">
        <v>399.1</v>
      </c>
      <c r="N8091" s="7">
        <v>195.3</v>
      </c>
      <c r="O8091" s="7">
        <v>188.5</v>
      </c>
    </row>
    <row r="8092" spans="1:22" x14ac:dyDescent="0.2">
      <c r="A8092">
        <v>8091</v>
      </c>
      <c r="B8092" s="1">
        <v>41009</v>
      </c>
      <c r="C8092" t="s">
        <v>24</v>
      </c>
      <c r="D8092" s="7">
        <v>268</v>
      </c>
      <c r="E8092" s="7">
        <v>40</v>
      </c>
      <c r="F8092" s="7">
        <f t="shared" si="126"/>
        <v>3</v>
      </c>
      <c r="G8092" s="7" t="str">
        <f>LOOKUP(H8092,[1]startdates!$A$2:$A$10,[1]startdates!$B$2:$B$10)</f>
        <v>C</v>
      </c>
      <c r="H8092">
        <v>5</v>
      </c>
      <c r="I8092" s="7">
        <v>631.1</v>
      </c>
      <c r="M8092" s="7">
        <v>305.60000000000002</v>
      </c>
      <c r="N8092" s="7">
        <v>209.9</v>
      </c>
      <c r="O8092" s="7">
        <v>166.9</v>
      </c>
    </row>
    <row r="8093" spans="1:22" x14ac:dyDescent="0.2">
      <c r="A8093">
        <v>8092</v>
      </c>
      <c r="B8093" s="1">
        <v>41009</v>
      </c>
      <c r="C8093" t="s">
        <v>24</v>
      </c>
      <c r="D8093" s="7">
        <v>268</v>
      </c>
      <c r="E8093" s="7">
        <v>40</v>
      </c>
      <c r="F8093" s="7">
        <f t="shared" si="126"/>
        <v>3</v>
      </c>
      <c r="G8093" s="7" t="str">
        <f>LOOKUP(H8093,[1]startdates!$A$2:$A$10,[1]startdates!$B$2:$B$10)</f>
        <v>C</v>
      </c>
      <c r="H8093">
        <v>5</v>
      </c>
      <c r="I8093" s="7">
        <v>639</v>
      </c>
      <c r="M8093" s="7">
        <v>370.6</v>
      </c>
      <c r="N8093" s="7">
        <v>219.2</v>
      </c>
      <c r="O8093" s="7">
        <v>158.6</v>
      </c>
    </row>
    <row r="8094" spans="1:22" x14ac:dyDescent="0.2">
      <c r="A8094">
        <v>8093</v>
      </c>
      <c r="B8094" s="1">
        <v>41009</v>
      </c>
      <c r="C8094" t="s">
        <v>24</v>
      </c>
      <c r="D8094" s="7">
        <v>268</v>
      </c>
      <c r="E8094" s="7">
        <v>40</v>
      </c>
      <c r="F8094" s="7">
        <f t="shared" si="126"/>
        <v>3</v>
      </c>
      <c r="G8094" s="7" t="str">
        <f>LOOKUP(H8094,[1]startdates!$A$2:$A$10,[1]startdates!$B$2:$B$10)</f>
        <v>C</v>
      </c>
      <c r="H8094">
        <v>5</v>
      </c>
      <c r="I8094" s="7">
        <v>555.20000000000005</v>
      </c>
      <c r="N8094" s="7">
        <v>184.1</v>
      </c>
      <c r="O8094" s="7">
        <v>168.3</v>
      </c>
    </row>
    <row r="8095" spans="1:22" x14ac:dyDescent="0.2">
      <c r="A8095">
        <v>8094</v>
      </c>
      <c r="B8095" s="1">
        <v>41009</v>
      </c>
      <c r="C8095" t="s">
        <v>24</v>
      </c>
      <c r="D8095" s="7">
        <v>268</v>
      </c>
      <c r="E8095" s="7">
        <v>40</v>
      </c>
      <c r="F8095" s="7">
        <f t="shared" si="126"/>
        <v>3</v>
      </c>
      <c r="G8095" s="7" t="str">
        <f>LOOKUP(H8095,[1]startdates!$A$2:$A$10,[1]startdates!$B$2:$B$10)</f>
        <v>C</v>
      </c>
      <c r="H8095">
        <v>5</v>
      </c>
      <c r="N8095" s="7">
        <v>216.1</v>
      </c>
      <c r="O8095" s="7">
        <v>168.6</v>
      </c>
    </row>
    <row r="8096" spans="1:22" x14ac:dyDescent="0.2">
      <c r="A8096">
        <v>8095</v>
      </c>
      <c r="B8096" s="1">
        <v>41009</v>
      </c>
      <c r="C8096" t="s">
        <v>24</v>
      </c>
      <c r="D8096" s="7">
        <v>268</v>
      </c>
      <c r="E8096" s="7">
        <v>40</v>
      </c>
      <c r="F8096" s="7">
        <f t="shared" si="126"/>
        <v>3</v>
      </c>
      <c r="G8096" s="7" t="str">
        <f>LOOKUP(H8096,[1]startdates!$A$2:$A$10,[1]startdates!$B$2:$B$10)</f>
        <v>FMr</v>
      </c>
      <c r="H8096">
        <v>6</v>
      </c>
      <c r="I8096" s="7">
        <v>513</v>
      </c>
      <c r="J8096" s="7">
        <v>468.1</v>
      </c>
      <c r="K8096" s="7">
        <v>472.2</v>
      </c>
      <c r="L8096" s="7">
        <v>429.8</v>
      </c>
      <c r="M8096" s="7">
        <v>349.2</v>
      </c>
      <c r="N8096" s="7">
        <v>257.7</v>
      </c>
      <c r="O8096" s="7">
        <v>155.19999999999999</v>
      </c>
      <c r="P8096" s="7">
        <v>516.1</v>
      </c>
      <c r="Q8096" s="7">
        <v>318.10000000000002</v>
      </c>
      <c r="V8096" s="7">
        <v>476.4</v>
      </c>
    </row>
    <row r="8097" spans="1:22" x14ac:dyDescent="0.2">
      <c r="A8097">
        <v>8096</v>
      </c>
      <c r="B8097" s="1">
        <v>41009</v>
      </c>
      <c r="C8097" t="s">
        <v>24</v>
      </c>
      <c r="D8097" s="7">
        <v>268</v>
      </c>
      <c r="E8097" s="7">
        <v>40</v>
      </c>
      <c r="F8097" s="7">
        <f t="shared" si="126"/>
        <v>3</v>
      </c>
      <c r="G8097" s="7" t="str">
        <f>LOOKUP(H8097,[1]startdates!$A$2:$A$10,[1]startdates!$B$2:$B$10)</f>
        <v>FMr</v>
      </c>
      <c r="H8097">
        <v>6</v>
      </c>
      <c r="I8097" s="7">
        <v>633.20000000000005</v>
      </c>
      <c r="K8097" s="7">
        <v>514.70000000000005</v>
      </c>
      <c r="L8097" s="7">
        <v>493.7</v>
      </c>
      <c r="M8097" s="7">
        <v>335.3</v>
      </c>
      <c r="N8097" s="7">
        <v>222.9</v>
      </c>
      <c r="O8097" s="7">
        <v>170.4</v>
      </c>
    </row>
    <row r="8098" spans="1:22" x14ac:dyDescent="0.2">
      <c r="A8098">
        <v>8097</v>
      </c>
      <c r="B8098" s="1">
        <v>41009</v>
      </c>
      <c r="C8098" t="s">
        <v>24</v>
      </c>
      <c r="D8098" s="7">
        <v>268</v>
      </c>
      <c r="E8098" s="7">
        <v>40</v>
      </c>
      <c r="F8098" s="7">
        <f t="shared" si="126"/>
        <v>3</v>
      </c>
      <c r="G8098" s="7" t="str">
        <f>LOOKUP(H8098,[1]startdates!$A$2:$A$10,[1]startdates!$B$2:$B$10)</f>
        <v>FMr</v>
      </c>
      <c r="H8098">
        <v>6</v>
      </c>
      <c r="I8098" s="7">
        <v>596.9</v>
      </c>
      <c r="K8098" s="7">
        <v>466.3</v>
      </c>
      <c r="L8098" s="7">
        <v>408.7</v>
      </c>
      <c r="M8098" s="7">
        <v>378.1</v>
      </c>
      <c r="N8098" s="7">
        <v>203</v>
      </c>
      <c r="O8098" s="7">
        <v>169.7</v>
      </c>
    </row>
    <row r="8099" spans="1:22" x14ac:dyDescent="0.2">
      <c r="A8099">
        <v>8098</v>
      </c>
      <c r="B8099" s="1">
        <v>41009</v>
      </c>
      <c r="C8099" t="s">
        <v>24</v>
      </c>
      <c r="D8099" s="7">
        <v>268</v>
      </c>
      <c r="E8099" s="7">
        <v>40</v>
      </c>
      <c r="F8099" s="7">
        <f t="shared" si="126"/>
        <v>3</v>
      </c>
      <c r="G8099" s="7" t="str">
        <f>LOOKUP(H8099,[1]startdates!$A$2:$A$10,[1]startdates!$B$2:$B$10)</f>
        <v>FMr</v>
      </c>
      <c r="H8099">
        <v>6</v>
      </c>
      <c r="I8099" s="7">
        <v>676.6</v>
      </c>
      <c r="K8099" s="7">
        <v>445.8</v>
      </c>
      <c r="L8099" s="7">
        <v>465.7</v>
      </c>
      <c r="M8099" s="7">
        <v>327.7</v>
      </c>
      <c r="N8099" s="7">
        <v>229.7</v>
      </c>
      <c r="O8099" s="7">
        <v>174.9</v>
      </c>
    </row>
    <row r="8100" spans="1:22" x14ac:dyDescent="0.2">
      <c r="A8100">
        <v>8099</v>
      </c>
      <c r="B8100" s="1">
        <v>41009</v>
      </c>
      <c r="C8100" t="s">
        <v>24</v>
      </c>
      <c r="D8100" s="7">
        <v>268</v>
      </c>
      <c r="E8100" s="7">
        <v>40</v>
      </c>
      <c r="F8100" s="7">
        <f t="shared" si="126"/>
        <v>3</v>
      </c>
      <c r="G8100" s="7" t="str">
        <f>LOOKUP(H8100,[1]startdates!$A$2:$A$10,[1]startdates!$B$2:$B$10)</f>
        <v>FMr</v>
      </c>
      <c r="H8100">
        <v>6</v>
      </c>
      <c r="I8100" s="7">
        <v>644.6</v>
      </c>
      <c r="K8100" s="7">
        <v>581.5</v>
      </c>
      <c r="L8100" s="7">
        <v>449.4</v>
      </c>
      <c r="M8100" s="7">
        <v>335.7</v>
      </c>
      <c r="N8100" s="7">
        <v>232.2</v>
      </c>
      <c r="O8100" s="7">
        <v>163</v>
      </c>
    </row>
    <row r="8101" spans="1:22" x14ac:dyDescent="0.2">
      <c r="A8101">
        <v>8100</v>
      </c>
      <c r="B8101" s="1">
        <v>41009</v>
      </c>
      <c r="C8101" t="s">
        <v>24</v>
      </c>
      <c r="D8101" s="7">
        <v>268</v>
      </c>
      <c r="E8101" s="7">
        <v>40</v>
      </c>
      <c r="F8101" s="7">
        <f t="shared" si="126"/>
        <v>3</v>
      </c>
      <c r="G8101" s="7" t="str">
        <f>LOOKUP(H8101,[1]startdates!$A$2:$A$10,[1]startdates!$B$2:$B$10)</f>
        <v>FMr</v>
      </c>
      <c r="H8101">
        <v>6</v>
      </c>
      <c r="I8101" s="7">
        <v>615.70000000000005</v>
      </c>
      <c r="K8101" s="7">
        <v>441.3</v>
      </c>
      <c r="M8101" s="7">
        <v>372.7</v>
      </c>
      <c r="N8101" s="7">
        <v>219.1</v>
      </c>
      <c r="O8101" s="7">
        <v>173.8</v>
      </c>
    </row>
    <row r="8102" spans="1:22" x14ac:dyDescent="0.2">
      <c r="A8102">
        <v>8101</v>
      </c>
      <c r="B8102" s="1">
        <v>41009</v>
      </c>
      <c r="C8102" t="s">
        <v>24</v>
      </c>
      <c r="D8102" s="7">
        <v>268</v>
      </c>
      <c r="E8102" s="7">
        <v>40</v>
      </c>
      <c r="F8102" s="7">
        <f t="shared" si="126"/>
        <v>3</v>
      </c>
      <c r="G8102" s="7" t="str">
        <f>LOOKUP(H8102,[1]startdates!$A$2:$A$10,[1]startdates!$B$2:$B$10)</f>
        <v>FMr</v>
      </c>
      <c r="H8102">
        <v>6</v>
      </c>
      <c r="I8102" s="7">
        <v>649.5</v>
      </c>
      <c r="K8102" s="7">
        <v>389.9</v>
      </c>
      <c r="M8102" s="7">
        <v>309.89999999999998</v>
      </c>
      <c r="N8102" s="7">
        <v>189.5</v>
      </c>
      <c r="O8102" s="7">
        <v>167.7</v>
      </c>
    </row>
    <row r="8103" spans="1:22" x14ac:dyDescent="0.2">
      <c r="A8103">
        <v>8102</v>
      </c>
      <c r="B8103" s="1">
        <v>41009</v>
      </c>
      <c r="C8103" t="s">
        <v>24</v>
      </c>
      <c r="D8103" s="7">
        <v>268</v>
      </c>
      <c r="E8103" s="7">
        <v>40</v>
      </c>
      <c r="F8103" s="7">
        <f t="shared" si="126"/>
        <v>3</v>
      </c>
      <c r="G8103" s="7" t="str">
        <f>LOOKUP(H8103,[1]startdates!$A$2:$A$10,[1]startdates!$B$2:$B$10)</f>
        <v>FMr</v>
      </c>
      <c r="H8103">
        <v>6</v>
      </c>
      <c r="I8103" s="7">
        <v>523.9</v>
      </c>
      <c r="K8103" s="7">
        <v>541.79999999999995</v>
      </c>
      <c r="M8103" s="7">
        <v>380.9</v>
      </c>
      <c r="N8103" s="7">
        <v>196.4</v>
      </c>
      <c r="O8103" s="7">
        <v>169.5</v>
      </c>
    </row>
    <row r="8104" spans="1:22" x14ac:dyDescent="0.2">
      <c r="A8104">
        <v>8103</v>
      </c>
      <c r="B8104" s="1">
        <v>41009</v>
      </c>
      <c r="C8104" t="s">
        <v>24</v>
      </c>
      <c r="D8104" s="7">
        <v>268</v>
      </c>
      <c r="E8104" s="7">
        <v>40</v>
      </c>
      <c r="F8104" s="7">
        <f t="shared" si="126"/>
        <v>3</v>
      </c>
      <c r="G8104" s="7" t="str">
        <f>LOOKUP(H8104,[1]startdates!$A$2:$A$10,[1]startdates!$B$2:$B$10)</f>
        <v>FMr</v>
      </c>
      <c r="H8104">
        <v>6</v>
      </c>
      <c r="I8104" s="7">
        <v>634</v>
      </c>
      <c r="K8104" s="7">
        <v>446.2</v>
      </c>
      <c r="N8104" s="7">
        <v>232.9</v>
      </c>
      <c r="O8104" s="7">
        <v>175.8</v>
      </c>
    </row>
    <row r="8105" spans="1:22" x14ac:dyDescent="0.2">
      <c r="A8105">
        <v>8104</v>
      </c>
      <c r="B8105" s="1">
        <v>41009</v>
      </c>
      <c r="C8105" t="s">
        <v>24</v>
      </c>
      <c r="D8105" s="7">
        <v>268</v>
      </c>
      <c r="E8105" s="7">
        <v>40</v>
      </c>
      <c r="F8105" s="7">
        <f t="shared" ref="F8105:F8168" si="127">WEEKDAY(B8105)</f>
        <v>3</v>
      </c>
      <c r="G8105" s="7" t="str">
        <f>LOOKUP(H8105,[1]startdates!$A$2:$A$10,[1]startdates!$B$2:$B$10)</f>
        <v>FMr</v>
      </c>
      <c r="H8105">
        <v>6</v>
      </c>
      <c r="K8105" s="7">
        <v>508.1</v>
      </c>
      <c r="N8105" s="7">
        <v>206.2</v>
      </c>
      <c r="O8105" s="7">
        <v>175.8</v>
      </c>
    </row>
    <row r="8106" spans="1:22" x14ac:dyDescent="0.2">
      <c r="A8106">
        <v>8105</v>
      </c>
      <c r="B8106" s="1">
        <v>41009</v>
      </c>
      <c r="C8106" t="s">
        <v>24</v>
      </c>
      <c r="D8106" s="7">
        <v>268</v>
      </c>
      <c r="E8106" s="7">
        <v>40</v>
      </c>
      <c r="F8106" s="7">
        <f t="shared" si="127"/>
        <v>3</v>
      </c>
      <c r="G8106" s="7" t="str">
        <f>LOOKUP(H8106,[1]startdates!$A$2:$A$10,[1]startdates!$B$2:$B$10)</f>
        <v>FMr</v>
      </c>
      <c r="H8106">
        <v>6</v>
      </c>
      <c r="N8106" s="7">
        <v>286.60000000000002</v>
      </c>
    </row>
    <row r="8107" spans="1:22" x14ac:dyDescent="0.2">
      <c r="A8107">
        <v>8106</v>
      </c>
      <c r="B8107" s="1">
        <v>41009</v>
      </c>
      <c r="C8107" t="s">
        <v>24</v>
      </c>
      <c r="D8107" s="7">
        <v>268</v>
      </c>
      <c r="E8107" s="7">
        <v>40</v>
      </c>
      <c r="F8107" s="7">
        <f t="shared" si="127"/>
        <v>3</v>
      </c>
      <c r="G8107" s="7" t="str">
        <f>LOOKUP(H8107,[1]startdates!$A$2:$A$10,[1]startdates!$B$2:$B$10)</f>
        <v>FMr</v>
      </c>
      <c r="H8107">
        <v>7</v>
      </c>
      <c r="I8107" s="7">
        <v>677.9</v>
      </c>
      <c r="J8107" s="7">
        <v>478</v>
      </c>
      <c r="K8107" s="7">
        <v>652.5</v>
      </c>
      <c r="L8107" s="7">
        <v>474.3</v>
      </c>
      <c r="M8107" s="7">
        <v>346.2</v>
      </c>
      <c r="N8107" s="7">
        <v>234.9</v>
      </c>
      <c r="O8107" s="7">
        <v>181.9</v>
      </c>
      <c r="P8107" s="7">
        <v>441.3</v>
      </c>
      <c r="Q8107" s="7">
        <v>349.1</v>
      </c>
      <c r="R8107" s="7">
        <v>282.39999999999998</v>
      </c>
      <c r="V8107" s="7">
        <v>527.79999999999995</v>
      </c>
    </row>
    <row r="8108" spans="1:22" x14ac:dyDescent="0.2">
      <c r="A8108">
        <v>8107</v>
      </c>
      <c r="B8108" s="1">
        <v>41009</v>
      </c>
      <c r="C8108" t="s">
        <v>24</v>
      </c>
      <c r="D8108" s="7">
        <v>268</v>
      </c>
      <c r="E8108" s="7">
        <v>40</v>
      </c>
      <c r="F8108" s="7">
        <f t="shared" si="127"/>
        <v>3</v>
      </c>
      <c r="G8108" s="7" t="str">
        <f>LOOKUP(H8108,[1]startdates!$A$2:$A$10,[1]startdates!$B$2:$B$10)</f>
        <v>FMr</v>
      </c>
      <c r="H8108">
        <v>7</v>
      </c>
      <c r="I8108" s="7">
        <v>688.5</v>
      </c>
      <c r="J8108" s="7">
        <v>569.70000000000005</v>
      </c>
      <c r="K8108" s="7">
        <v>597.4</v>
      </c>
      <c r="L8108" s="7">
        <v>405.8</v>
      </c>
      <c r="M8108" s="7">
        <v>372.6</v>
      </c>
      <c r="N8108" s="7">
        <v>226.9</v>
      </c>
      <c r="O8108" s="7">
        <v>193.3</v>
      </c>
      <c r="P8108" s="7">
        <v>538.1</v>
      </c>
      <c r="V8108" s="7">
        <v>579.5</v>
      </c>
    </row>
    <row r="8109" spans="1:22" x14ac:dyDescent="0.2">
      <c r="A8109">
        <v>8108</v>
      </c>
      <c r="B8109" s="1">
        <v>41009</v>
      </c>
      <c r="C8109" t="s">
        <v>24</v>
      </c>
      <c r="D8109" s="7">
        <v>268</v>
      </c>
      <c r="E8109" s="7">
        <v>40</v>
      </c>
      <c r="F8109" s="7">
        <f t="shared" si="127"/>
        <v>3</v>
      </c>
      <c r="G8109" s="7" t="str">
        <f>LOOKUP(H8109,[1]startdates!$A$2:$A$10,[1]startdates!$B$2:$B$10)</f>
        <v>FMr</v>
      </c>
      <c r="H8109">
        <v>7</v>
      </c>
      <c r="I8109" s="7">
        <v>637.9</v>
      </c>
      <c r="J8109" s="7">
        <v>411.5</v>
      </c>
      <c r="K8109" s="7">
        <v>460.3</v>
      </c>
      <c r="L8109" s="7">
        <v>488.6</v>
      </c>
      <c r="M8109" s="7">
        <v>386.9</v>
      </c>
      <c r="N8109" s="7">
        <v>225.3</v>
      </c>
      <c r="O8109" s="7">
        <v>192.9</v>
      </c>
      <c r="P8109" s="7">
        <v>489.7</v>
      </c>
      <c r="V8109" s="7">
        <v>555.9</v>
      </c>
    </row>
    <row r="8110" spans="1:22" x14ac:dyDescent="0.2">
      <c r="A8110">
        <v>8109</v>
      </c>
      <c r="B8110" s="1">
        <v>41009</v>
      </c>
      <c r="C8110" t="s">
        <v>24</v>
      </c>
      <c r="D8110" s="7">
        <v>268</v>
      </c>
      <c r="E8110" s="7">
        <v>40</v>
      </c>
      <c r="F8110" s="7">
        <f t="shared" si="127"/>
        <v>3</v>
      </c>
      <c r="G8110" s="7" t="str">
        <f>LOOKUP(H8110,[1]startdates!$A$2:$A$10,[1]startdates!$B$2:$B$10)</f>
        <v>FMr</v>
      </c>
      <c r="H8110">
        <v>7</v>
      </c>
      <c r="I8110" s="7">
        <v>696.9</v>
      </c>
      <c r="J8110" s="7">
        <v>529.6</v>
      </c>
      <c r="K8110" s="7">
        <v>543.9</v>
      </c>
      <c r="L8110" s="7">
        <v>430.8</v>
      </c>
      <c r="M8110" s="7">
        <v>295.7</v>
      </c>
      <c r="N8110" s="7">
        <v>235.7</v>
      </c>
      <c r="O8110" s="7">
        <v>177.1</v>
      </c>
      <c r="P8110" s="7">
        <v>411.5</v>
      </c>
      <c r="V8110" s="7">
        <v>500.7</v>
      </c>
    </row>
    <row r="8111" spans="1:22" x14ac:dyDescent="0.2">
      <c r="A8111">
        <v>8110</v>
      </c>
      <c r="B8111" s="1">
        <v>41009</v>
      </c>
      <c r="C8111" t="s">
        <v>24</v>
      </c>
      <c r="D8111" s="7">
        <v>268</v>
      </c>
      <c r="E8111" s="7">
        <v>40</v>
      </c>
      <c r="F8111" s="7">
        <f t="shared" si="127"/>
        <v>3</v>
      </c>
      <c r="G8111" s="7" t="str">
        <f>LOOKUP(H8111,[1]startdates!$A$2:$A$10,[1]startdates!$B$2:$B$10)</f>
        <v>FMr</v>
      </c>
      <c r="H8111">
        <v>7</v>
      </c>
      <c r="I8111" s="7">
        <v>580.6</v>
      </c>
      <c r="J8111" s="7">
        <v>528.9</v>
      </c>
      <c r="K8111" s="7">
        <v>526.9</v>
      </c>
      <c r="L8111" s="7">
        <v>442.2</v>
      </c>
      <c r="M8111" s="7">
        <v>298.10000000000002</v>
      </c>
      <c r="N8111" s="7">
        <v>225.3</v>
      </c>
      <c r="O8111" s="7">
        <v>181.9</v>
      </c>
      <c r="P8111" s="7">
        <v>449.9</v>
      </c>
      <c r="V8111" s="7">
        <v>476.9</v>
      </c>
    </row>
    <row r="8112" spans="1:22" x14ac:dyDescent="0.2">
      <c r="A8112">
        <v>8111</v>
      </c>
      <c r="B8112" s="1">
        <v>41009</v>
      </c>
      <c r="C8112" t="s">
        <v>24</v>
      </c>
      <c r="D8112" s="7">
        <v>268</v>
      </c>
      <c r="E8112" s="7">
        <v>40</v>
      </c>
      <c r="F8112" s="7">
        <f t="shared" si="127"/>
        <v>3</v>
      </c>
      <c r="G8112" s="7" t="str">
        <f>LOOKUP(H8112,[1]startdates!$A$2:$A$10,[1]startdates!$B$2:$B$10)</f>
        <v>FMr</v>
      </c>
      <c r="H8112">
        <v>7</v>
      </c>
      <c r="I8112" s="7">
        <v>649.4</v>
      </c>
      <c r="J8112" s="7">
        <v>560.6</v>
      </c>
      <c r="K8112" s="7">
        <v>587.79999999999995</v>
      </c>
      <c r="L8112" s="7">
        <v>450.1</v>
      </c>
      <c r="M8112" s="7">
        <v>331.3</v>
      </c>
      <c r="N8112" s="7">
        <v>248.3</v>
      </c>
      <c r="O8112" s="7">
        <v>172.6</v>
      </c>
      <c r="P8112" s="7">
        <v>504.6</v>
      </c>
      <c r="V8112" s="7">
        <v>520.4</v>
      </c>
    </row>
    <row r="8113" spans="1:18" x14ac:dyDescent="0.2">
      <c r="A8113">
        <v>8112</v>
      </c>
      <c r="B8113" s="1">
        <v>41009</v>
      </c>
      <c r="C8113" t="s">
        <v>24</v>
      </c>
      <c r="D8113" s="7">
        <v>268</v>
      </c>
      <c r="E8113" s="7">
        <v>40</v>
      </c>
      <c r="F8113" s="7">
        <f t="shared" si="127"/>
        <v>3</v>
      </c>
      <c r="G8113" s="7" t="str">
        <f>LOOKUP(H8113,[1]startdates!$A$2:$A$10,[1]startdates!$B$2:$B$10)</f>
        <v>FMr</v>
      </c>
      <c r="H8113">
        <v>7</v>
      </c>
      <c r="I8113" s="7">
        <v>710.5</v>
      </c>
      <c r="J8113" s="7">
        <v>501.6</v>
      </c>
      <c r="K8113" s="7">
        <v>410.1</v>
      </c>
      <c r="M8113" s="7">
        <v>265.60000000000002</v>
      </c>
      <c r="N8113" s="7">
        <v>228.9</v>
      </c>
      <c r="O8113" s="7">
        <v>156.4</v>
      </c>
      <c r="P8113" s="7">
        <v>461.3</v>
      </c>
    </row>
    <row r="8114" spans="1:18" x14ac:dyDescent="0.2">
      <c r="A8114">
        <v>8113</v>
      </c>
      <c r="B8114" s="1">
        <v>41009</v>
      </c>
      <c r="C8114" t="s">
        <v>24</v>
      </c>
      <c r="D8114" s="7">
        <v>268</v>
      </c>
      <c r="E8114" s="7">
        <v>40</v>
      </c>
      <c r="F8114" s="7">
        <f t="shared" si="127"/>
        <v>3</v>
      </c>
      <c r="G8114" s="7" t="str">
        <f>LOOKUP(H8114,[1]startdates!$A$2:$A$10,[1]startdates!$B$2:$B$10)</f>
        <v>FMr</v>
      </c>
      <c r="H8114">
        <v>7</v>
      </c>
      <c r="I8114" s="7">
        <v>605.9</v>
      </c>
      <c r="K8114" s="7">
        <v>442.6</v>
      </c>
      <c r="M8114" s="7">
        <v>380.9</v>
      </c>
      <c r="N8114" s="7">
        <v>217.8</v>
      </c>
      <c r="O8114" s="7">
        <v>173.5</v>
      </c>
    </row>
    <row r="8115" spans="1:18" x14ac:dyDescent="0.2">
      <c r="A8115">
        <v>8114</v>
      </c>
      <c r="B8115" s="1">
        <v>41009</v>
      </c>
      <c r="C8115" t="s">
        <v>24</v>
      </c>
      <c r="D8115" s="7">
        <v>268</v>
      </c>
      <c r="E8115" s="7">
        <v>40</v>
      </c>
      <c r="F8115" s="7">
        <f t="shared" si="127"/>
        <v>3</v>
      </c>
      <c r="G8115" s="7" t="str">
        <f>LOOKUP(H8115,[1]startdates!$A$2:$A$10,[1]startdates!$B$2:$B$10)</f>
        <v>FMr</v>
      </c>
      <c r="H8115">
        <v>7</v>
      </c>
      <c r="K8115" s="7">
        <v>517.9</v>
      </c>
      <c r="N8115" s="7">
        <v>205.4</v>
      </c>
      <c r="O8115" s="7">
        <v>162</v>
      </c>
    </row>
    <row r="8116" spans="1:18" x14ac:dyDescent="0.2">
      <c r="A8116">
        <v>8115</v>
      </c>
      <c r="B8116" s="1">
        <v>41009</v>
      </c>
      <c r="C8116" t="s">
        <v>24</v>
      </c>
      <c r="D8116" s="7">
        <v>268</v>
      </c>
      <c r="E8116" s="7">
        <v>40</v>
      </c>
      <c r="F8116" s="7">
        <f t="shared" si="127"/>
        <v>3</v>
      </c>
      <c r="G8116" s="7" t="str">
        <f>LOOKUP(H8116,[1]startdates!$A$2:$A$10,[1]startdates!$B$2:$B$10)</f>
        <v>FMr</v>
      </c>
      <c r="H8116">
        <v>7</v>
      </c>
      <c r="N8116" s="7">
        <v>201.4</v>
      </c>
      <c r="O8116" s="7">
        <v>206.3</v>
      </c>
    </row>
    <row r="8117" spans="1:18" x14ac:dyDescent="0.2">
      <c r="A8117">
        <v>8116</v>
      </c>
      <c r="B8117" s="1">
        <v>41009</v>
      </c>
      <c r="C8117" t="s">
        <v>24</v>
      </c>
      <c r="D8117" s="7">
        <v>268</v>
      </c>
      <c r="E8117" s="7">
        <v>40</v>
      </c>
      <c r="F8117" s="7">
        <f t="shared" si="127"/>
        <v>3</v>
      </c>
      <c r="G8117" s="7" t="str">
        <f>LOOKUP(H8117,[1]startdates!$A$2:$A$10,[1]startdates!$B$2:$B$10)</f>
        <v>FMr</v>
      </c>
      <c r="H8117">
        <v>7</v>
      </c>
      <c r="N8117" s="7">
        <v>252.2</v>
      </c>
      <c r="O8117" s="7">
        <v>176.9</v>
      </c>
    </row>
    <row r="8118" spans="1:18" x14ac:dyDescent="0.2">
      <c r="A8118">
        <v>8117</v>
      </c>
      <c r="B8118" s="1">
        <v>41009</v>
      </c>
      <c r="C8118" t="s">
        <v>24</v>
      </c>
      <c r="D8118" s="7">
        <v>268</v>
      </c>
      <c r="E8118" s="7">
        <v>40</v>
      </c>
      <c r="F8118" s="7">
        <f t="shared" si="127"/>
        <v>3</v>
      </c>
      <c r="G8118" s="7" t="str">
        <f>LOOKUP(H8118,[1]startdates!$A$2:$A$10,[1]startdates!$B$2:$B$10)</f>
        <v>FMr</v>
      </c>
      <c r="H8118">
        <v>7</v>
      </c>
      <c r="O8118" s="7">
        <v>182.8</v>
      </c>
    </row>
    <row r="8119" spans="1:18" x14ac:dyDescent="0.2">
      <c r="A8119">
        <v>8118</v>
      </c>
      <c r="B8119" s="1">
        <v>41009</v>
      </c>
      <c r="C8119" t="s">
        <v>28</v>
      </c>
      <c r="D8119" s="7">
        <v>268</v>
      </c>
      <c r="E8119" s="7">
        <v>40</v>
      </c>
      <c r="F8119" s="7">
        <f t="shared" si="127"/>
        <v>3</v>
      </c>
      <c r="G8119" s="7" t="str">
        <f>LOOKUP(H8119,[1]startdates!$A$2:$A$10,[1]startdates!$B$2:$B$10)</f>
        <v>C</v>
      </c>
      <c r="H8119">
        <v>8</v>
      </c>
      <c r="I8119" s="7">
        <v>625.20000000000005</v>
      </c>
      <c r="J8119" s="7">
        <v>560.1</v>
      </c>
      <c r="K8119" s="7">
        <v>510.3</v>
      </c>
      <c r="L8119" s="7">
        <v>443.7</v>
      </c>
      <c r="M8119" s="7">
        <v>320.3</v>
      </c>
      <c r="N8119" s="7">
        <v>198.6</v>
      </c>
      <c r="O8119" s="7">
        <v>173.1</v>
      </c>
      <c r="P8119" s="7">
        <v>484.7</v>
      </c>
      <c r="Q8119" s="7">
        <v>333.9</v>
      </c>
      <c r="R8119" s="7">
        <v>274.8</v>
      </c>
    </row>
    <row r="8120" spans="1:18" x14ac:dyDescent="0.2">
      <c r="A8120">
        <v>8119</v>
      </c>
      <c r="B8120" s="1">
        <v>41009</v>
      </c>
      <c r="C8120" t="s">
        <v>28</v>
      </c>
      <c r="D8120" s="7">
        <v>268</v>
      </c>
      <c r="E8120" s="7">
        <v>40</v>
      </c>
      <c r="F8120" s="7">
        <f t="shared" si="127"/>
        <v>3</v>
      </c>
      <c r="G8120" s="7" t="str">
        <f>LOOKUP(H8120,[1]startdates!$A$2:$A$10,[1]startdates!$B$2:$B$10)</f>
        <v>C</v>
      </c>
      <c r="H8120">
        <v>8</v>
      </c>
      <c r="I8120" s="7">
        <v>684.1</v>
      </c>
      <c r="J8120" s="7">
        <v>494.8</v>
      </c>
      <c r="K8120" s="7">
        <v>630.9</v>
      </c>
      <c r="L8120" s="7">
        <v>426</v>
      </c>
      <c r="M8120" s="7">
        <v>359</v>
      </c>
      <c r="N8120" s="7">
        <v>229.4</v>
      </c>
      <c r="O8120" s="7">
        <v>180.1</v>
      </c>
    </row>
    <row r="8121" spans="1:18" x14ac:dyDescent="0.2">
      <c r="A8121">
        <v>8120</v>
      </c>
      <c r="B8121" s="1">
        <v>41009</v>
      </c>
      <c r="C8121" t="s">
        <v>28</v>
      </c>
      <c r="D8121" s="7">
        <v>268</v>
      </c>
      <c r="E8121" s="7">
        <v>40</v>
      </c>
      <c r="F8121" s="7">
        <f t="shared" si="127"/>
        <v>3</v>
      </c>
      <c r="G8121" s="7" t="str">
        <f>LOOKUP(H8121,[1]startdates!$A$2:$A$10,[1]startdates!$B$2:$B$10)</f>
        <v>C</v>
      </c>
      <c r="H8121">
        <v>8</v>
      </c>
      <c r="I8121" s="7">
        <v>622.9</v>
      </c>
      <c r="J8121" s="7">
        <v>506.3</v>
      </c>
      <c r="K8121" s="7">
        <v>555.79999999999995</v>
      </c>
      <c r="L8121" s="7">
        <v>449.5</v>
      </c>
      <c r="M8121" s="7">
        <v>353.5</v>
      </c>
      <c r="N8121" s="7">
        <v>225.1</v>
      </c>
      <c r="O8121" s="7">
        <v>143.6</v>
      </c>
    </row>
    <row r="8122" spans="1:18" x14ac:dyDescent="0.2">
      <c r="A8122">
        <v>8121</v>
      </c>
      <c r="B8122" s="1">
        <v>41009</v>
      </c>
      <c r="C8122" t="s">
        <v>28</v>
      </c>
      <c r="D8122" s="7">
        <v>268</v>
      </c>
      <c r="E8122" s="7">
        <v>40</v>
      </c>
      <c r="F8122" s="7">
        <f t="shared" si="127"/>
        <v>3</v>
      </c>
      <c r="G8122" s="7" t="str">
        <f>LOOKUP(H8122,[1]startdates!$A$2:$A$10,[1]startdates!$B$2:$B$10)</f>
        <v>C</v>
      </c>
      <c r="H8122">
        <v>8</v>
      </c>
      <c r="I8122" s="7">
        <v>652.1</v>
      </c>
      <c r="J8122" s="7">
        <v>502</v>
      </c>
      <c r="K8122" s="7">
        <v>571.20000000000005</v>
      </c>
      <c r="M8122" s="7">
        <v>344.4</v>
      </c>
      <c r="N8122" s="7">
        <v>211</v>
      </c>
      <c r="O8122" s="7">
        <v>153.30000000000001</v>
      </c>
    </row>
    <row r="8123" spans="1:18" x14ac:dyDescent="0.2">
      <c r="A8123">
        <v>8122</v>
      </c>
      <c r="B8123" s="1">
        <v>41009</v>
      </c>
      <c r="C8123" t="s">
        <v>28</v>
      </c>
      <c r="D8123" s="7">
        <v>268</v>
      </c>
      <c r="E8123" s="7">
        <v>40</v>
      </c>
      <c r="F8123" s="7">
        <f t="shared" si="127"/>
        <v>3</v>
      </c>
      <c r="G8123" s="7" t="str">
        <f>LOOKUP(H8123,[1]startdates!$A$2:$A$10,[1]startdates!$B$2:$B$10)</f>
        <v>C</v>
      </c>
      <c r="H8123">
        <v>8</v>
      </c>
      <c r="I8123" s="7">
        <v>615.5</v>
      </c>
      <c r="J8123" s="7">
        <v>538.20000000000005</v>
      </c>
      <c r="M8123" s="7">
        <v>325.3</v>
      </c>
      <c r="N8123" s="7">
        <v>205.1</v>
      </c>
      <c r="O8123" s="7">
        <v>172.1</v>
      </c>
    </row>
    <row r="8124" spans="1:18" x14ac:dyDescent="0.2">
      <c r="A8124">
        <v>8123</v>
      </c>
      <c r="B8124" s="1">
        <v>41009</v>
      </c>
      <c r="C8124" t="s">
        <v>28</v>
      </c>
      <c r="D8124" s="7">
        <v>268</v>
      </c>
      <c r="E8124" s="7">
        <v>40</v>
      </c>
      <c r="F8124" s="7">
        <f t="shared" si="127"/>
        <v>3</v>
      </c>
      <c r="G8124" s="7" t="str">
        <f>LOOKUP(H8124,[1]startdates!$A$2:$A$10,[1]startdates!$B$2:$B$10)</f>
        <v>C</v>
      </c>
      <c r="H8124">
        <v>8</v>
      </c>
      <c r="I8124" s="7">
        <v>609</v>
      </c>
      <c r="J8124" s="7">
        <v>496</v>
      </c>
      <c r="M8124" s="7">
        <v>369.9</v>
      </c>
      <c r="N8124" s="7">
        <v>256.5</v>
      </c>
      <c r="O8124" s="7">
        <v>161.4</v>
      </c>
    </row>
    <row r="8125" spans="1:18" x14ac:dyDescent="0.2">
      <c r="A8125">
        <v>8124</v>
      </c>
      <c r="B8125" s="1">
        <v>41009</v>
      </c>
      <c r="C8125" t="s">
        <v>28</v>
      </c>
      <c r="D8125" s="7">
        <v>268</v>
      </c>
      <c r="E8125" s="7">
        <v>40</v>
      </c>
      <c r="F8125" s="7">
        <f t="shared" si="127"/>
        <v>3</v>
      </c>
      <c r="G8125" s="7" t="str">
        <f>LOOKUP(H8125,[1]startdates!$A$2:$A$10,[1]startdates!$B$2:$B$10)</f>
        <v>C</v>
      </c>
      <c r="H8125">
        <v>8</v>
      </c>
      <c r="I8125" s="7">
        <v>641.5</v>
      </c>
      <c r="J8125" s="7">
        <v>570.4</v>
      </c>
      <c r="M8125" s="7">
        <v>309.89999999999998</v>
      </c>
      <c r="N8125" s="7">
        <v>224.1</v>
      </c>
      <c r="O8125" s="7">
        <v>171.9</v>
      </c>
    </row>
    <row r="8126" spans="1:18" x14ac:dyDescent="0.2">
      <c r="A8126">
        <v>8125</v>
      </c>
      <c r="B8126" s="1">
        <v>41009</v>
      </c>
      <c r="C8126" t="s">
        <v>28</v>
      </c>
      <c r="D8126" s="7">
        <v>268</v>
      </c>
      <c r="E8126" s="7">
        <v>40</v>
      </c>
      <c r="F8126" s="7">
        <f t="shared" si="127"/>
        <v>3</v>
      </c>
      <c r="G8126" s="7" t="str">
        <f>LOOKUP(H8126,[1]startdates!$A$2:$A$10,[1]startdates!$B$2:$B$10)</f>
        <v>C</v>
      </c>
      <c r="H8126">
        <v>8</v>
      </c>
      <c r="I8126" s="7">
        <v>665.9</v>
      </c>
      <c r="J8126" s="7">
        <v>519.20000000000005</v>
      </c>
      <c r="M8126" s="7">
        <v>357.4</v>
      </c>
      <c r="N8126" s="7">
        <v>203.1</v>
      </c>
      <c r="O8126" s="7">
        <v>161</v>
      </c>
    </row>
    <row r="8127" spans="1:18" x14ac:dyDescent="0.2">
      <c r="A8127">
        <v>8126</v>
      </c>
      <c r="B8127" s="1">
        <v>41009</v>
      </c>
      <c r="C8127" t="s">
        <v>28</v>
      </c>
      <c r="D8127" s="7">
        <v>268</v>
      </c>
      <c r="E8127" s="7">
        <v>40</v>
      </c>
      <c r="F8127" s="7">
        <f t="shared" si="127"/>
        <v>3</v>
      </c>
      <c r="G8127" s="7" t="str">
        <f>LOOKUP(H8127,[1]startdates!$A$2:$A$10,[1]startdates!$B$2:$B$10)</f>
        <v>C</v>
      </c>
      <c r="H8127">
        <v>8</v>
      </c>
      <c r="I8127" s="7">
        <v>787.9</v>
      </c>
      <c r="J8127" s="7">
        <v>596.4</v>
      </c>
      <c r="N8127" s="7">
        <v>272.7</v>
      </c>
      <c r="O8127" s="7">
        <v>151.4</v>
      </c>
    </row>
    <row r="8128" spans="1:18" x14ac:dyDescent="0.2">
      <c r="A8128">
        <v>8127</v>
      </c>
      <c r="B8128" s="1">
        <v>41009</v>
      </c>
      <c r="C8128" t="s">
        <v>28</v>
      </c>
      <c r="D8128" s="7">
        <v>268</v>
      </c>
      <c r="E8128" s="7">
        <v>40</v>
      </c>
      <c r="F8128" s="7">
        <f t="shared" si="127"/>
        <v>3</v>
      </c>
      <c r="G8128" s="7" t="str">
        <f>LOOKUP(H8128,[1]startdates!$A$2:$A$10,[1]startdates!$B$2:$B$10)</f>
        <v>C</v>
      </c>
      <c r="H8128">
        <v>8</v>
      </c>
      <c r="I8128" s="7">
        <v>663.2</v>
      </c>
      <c r="J8128" s="7">
        <v>526.1</v>
      </c>
      <c r="N8128" s="7">
        <v>221.7</v>
      </c>
      <c r="O8128" s="7">
        <v>174.4</v>
      </c>
    </row>
    <row r="8129" spans="1:22" x14ac:dyDescent="0.2">
      <c r="A8129">
        <v>8128</v>
      </c>
      <c r="B8129" s="1">
        <v>41009</v>
      </c>
      <c r="C8129" t="s">
        <v>24</v>
      </c>
      <c r="D8129" s="7">
        <v>268</v>
      </c>
      <c r="E8129" s="7">
        <v>40</v>
      </c>
      <c r="F8129" s="7">
        <f t="shared" si="127"/>
        <v>3</v>
      </c>
      <c r="G8129" s="7" t="str">
        <f>LOOKUP(H8129,[1]startdates!$A$2:$A$10,[1]startdates!$B$2:$B$10)</f>
        <v>FMr</v>
      </c>
      <c r="H8129">
        <v>9</v>
      </c>
      <c r="I8129" s="7">
        <v>625.4</v>
      </c>
      <c r="J8129" s="7">
        <v>474.8</v>
      </c>
      <c r="K8129" s="7">
        <v>482</v>
      </c>
      <c r="L8129" s="7">
        <v>482.4</v>
      </c>
      <c r="M8129" s="7">
        <v>338.7</v>
      </c>
      <c r="N8129" s="7">
        <v>177.1</v>
      </c>
      <c r="O8129" s="7">
        <v>195.1</v>
      </c>
      <c r="P8129" s="7">
        <v>510.7</v>
      </c>
      <c r="Q8129" s="7">
        <v>363.3</v>
      </c>
      <c r="R8129" s="7">
        <v>294</v>
      </c>
      <c r="V8129" s="7">
        <v>483.4</v>
      </c>
    </row>
    <row r="8130" spans="1:22" x14ac:dyDescent="0.2">
      <c r="A8130">
        <v>8129</v>
      </c>
      <c r="B8130" s="1">
        <v>41009</v>
      </c>
      <c r="C8130" t="s">
        <v>24</v>
      </c>
      <c r="D8130" s="7">
        <v>268</v>
      </c>
      <c r="E8130" s="7">
        <v>40</v>
      </c>
      <c r="F8130" s="7">
        <f t="shared" si="127"/>
        <v>3</v>
      </c>
      <c r="G8130" s="7" t="str">
        <f>LOOKUP(H8130,[1]startdates!$A$2:$A$10,[1]startdates!$B$2:$B$10)</f>
        <v>FMr</v>
      </c>
      <c r="H8130">
        <v>9</v>
      </c>
      <c r="I8130" s="7">
        <v>697.7</v>
      </c>
      <c r="J8130" s="7">
        <v>468.1</v>
      </c>
      <c r="K8130" s="7">
        <v>483.4</v>
      </c>
      <c r="M8130" s="7">
        <v>349.8</v>
      </c>
      <c r="N8130" s="7">
        <v>264</v>
      </c>
      <c r="O8130" s="7">
        <v>176.8</v>
      </c>
      <c r="Q8130" s="7">
        <v>358.6</v>
      </c>
      <c r="R8130" s="7">
        <v>264</v>
      </c>
      <c r="V8130" s="7">
        <v>565.70000000000005</v>
      </c>
    </row>
    <row r="8131" spans="1:22" x14ac:dyDescent="0.2">
      <c r="A8131">
        <v>8130</v>
      </c>
      <c r="B8131" s="1">
        <v>41009</v>
      </c>
      <c r="C8131" t="s">
        <v>24</v>
      </c>
      <c r="D8131" s="7">
        <v>268</v>
      </c>
      <c r="E8131" s="7">
        <v>40</v>
      </c>
      <c r="F8131" s="7">
        <f t="shared" si="127"/>
        <v>3</v>
      </c>
      <c r="G8131" s="7" t="str">
        <f>LOOKUP(H8131,[1]startdates!$A$2:$A$10,[1]startdates!$B$2:$B$10)</f>
        <v>FMr</v>
      </c>
      <c r="H8131">
        <v>9</v>
      </c>
      <c r="I8131" s="7">
        <v>672.5</v>
      </c>
      <c r="K8131" s="7">
        <v>565.70000000000005</v>
      </c>
      <c r="M8131" s="7">
        <v>383.6</v>
      </c>
      <c r="N8131" s="7">
        <v>250</v>
      </c>
      <c r="O8131" s="7">
        <v>158.69999999999999</v>
      </c>
      <c r="Q8131" s="7">
        <v>341.3</v>
      </c>
      <c r="V8131" s="7">
        <v>543.6</v>
      </c>
    </row>
    <row r="8132" spans="1:22" x14ac:dyDescent="0.2">
      <c r="A8132">
        <v>8131</v>
      </c>
      <c r="B8132" s="1">
        <v>41009</v>
      </c>
      <c r="C8132" t="s">
        <v>24</v>
      </c>
      <c r="D8132" s="7">
        <v>268</v>
      </c>
      <c r="E8132" s="7">
        <v>40</v>
      </c>
      <c r="F8132" s="7">
        <f t="shared" si="127"/>
        <v>3</v>
      </c>
      <c r="G8132" s="7" t="str">
        <f>LOOKUP(H8132,[1]startdates!$A$2:$A$10,[1]startdates!$B$2:$B$10)</f>
        <v>FMr</v>
      </c>
      <c r="H8132">
        <v>9</v>
      </c>
      <c r="I8132" s="7">
        <v>521.9</v>
      </c>
      <c r="K8132" s="7">
        <v>575.79999999999995</v>
      </c>
      <c r="M8132" s="7">
        <v>337.9</v>
      </c>
      <c r="N8132" s="7">
        <v>214.7</v>
      </c>
      <c r="O8132" s="7">
        <v>184.7</v>
      </c>
      <c r="Q8132" s="7">
        <v>357.3</v>
      </c>
      <c r="V8132" s="7">
        <v>493.8</v>
      </c>
    </row>
    <row r="8133" spans="1:22" x14ac:dyDescent="0.2">
      <c r="A8133">
        <v>8132</v>
      </c>
      <c r="B8133" s="1">
        <v>41009</v>
      </c>
      <c r="C8133" t="s">
        <v>24</v>
      </c>
      <c r="D8133" s="7">
        <v>268</v>
      </c>
      <c r="E8133" s="7">
        <v>40</v>
      </c>
      <c r="F8133" s="7">
        <f t="shared" si="127"/>
        <v>3</v>
      </c>
      <c r="G8133" s="7" t="str">
        <f>LOOKUP(H8133,[1]startdates!$A$2:$A$10,[1]startdates!$B$2:$B$10)</f>
        <v>FMr</v>
      </c>
      <c r="H8133">
        <v>9</v>
      </c>
      <c r="I8133" s="7">
        <v>624.20000000000005</v>
      </c>
      <c r="K8133" s="7">
        <v>473.9</v>
      </c>
      <c r="M8133" s="7">
        <v>379.2</v>
      </c>
      <c r="N8133" s="7">
        <v>249</v>
      </c>
      <c r="O8133" s="7">
        <v>189.5</v>
      </c>
    </row>
    <row r="8134" spans="1:22" x14ac:dyDescent="0.2">
      <c r="A8134">
        <v>8133</v>
      </c>
      <c r="B8134" s="1">
        <v>41009</v>
      </c>
      <c r="C8134" t="s">
        <v>24</v>
      </c>
      <c r="D8134" s="7">
        <v>268</v>
      </c>
      <c r="E8134" s="7">
        <v>40</v>
      </c>
      <c r="F8134" s="7">
        <f t="shared" si="127"/>
        <v>3</v>
      </c>
      <c r="G8134" s="7" t="str">
        <f>LOOKUP(H8134,[1]startdates!$A$2:$A$10,[1]startdates!$B$2:$B$10)</f>
        <v>FMr</v>
      </c>
      <c r="H8134">
        <v>9</v>
      </c>
      <c r="I8134" s="7">
        <v>595</v>
      </c>
      <c r="K8134" s="7">
        <v>596.20000000000005</v>
      </c>
      <c r="N8134" s="7">
        <v>239.1</v>
      </c>
      <c r="O8134" s="7">
        <v>156.19999999999999</v>
      </c>
    </row>
    <row r="8135" spans="1:22" x14ac:dyDescent="0.2">
      <c r="A8135">
        <v>8134</v>
      </c>
      <c r="B8135" s="1">
        <v>41009</v>
      </c>
      <c r="C8135" t="s">
        <v>24</v>
      </c>
      <c r="D8135" s="7">
        <v>268</v>
      </c>
      <c r="E8135" s="7">
        <v>40</v>
      </c>
      <c r="F8135" s="7">
        <f t="shared" si="127"/>
        <v>3</v>
      </c>
      <c r="G8135" s="7" t="str">
        <f>LOOKUP(H8135,[1]startdates!$A$2:$A$10,[1]startdates!$B$2:$B$10)</f>
        <v>FMr</v>
      </c>
      <c r="H8135">
        <v>9</v>
      </c>
      <c r="I8135" s="7">
        <v>707.4</v>
      </c>
      <c r="K8135" s="7">
        <v>550.9</v>
      </c>
      <c r="N8135" s="7">
        <v>229.9</v>
      </c>
      <c r="O8135" s="7">
        <v>187</v>
      </c>
    </row>
    <row r="8136" spans="1:22" x14ac:dyDescent="0.2">
      <c r="A8136">
        <v>8135</v>
      </c>
      <c r="B8136" s="1">
        <v>41009</v>
      </c>
      <c r="C8136" t="s">
        <v>24</v>
      </c>
      <c r="D8136" s="7">
        <v>268</v>
      </c>
      <c r="E8136" s="7">
        <v>40</v>
      </c>
      <c r="F8136" s="7">
        <f t="shared" si="127"/>
        <v>3</v>
      </c>
      <c r="G8136" s="7" t="str">
        <f>LOOKUP(H8136,[1]startdates!$A$2:$A$10,[1]startdates!$B$2:$B$10)</f>
        <v>FMr</v>
      </c>
      <c r="H8136">
        <v>9</v>
      </c>
      <c r="I8136" s="7">
        <v>574.5</v>
      </c>
      <c r="K8136" s="7">
        <v>585.4</v>
      </c>
      <c r="N8136" s="7">
        <v>212.5</v>
      </c>
      <c r="O8136" s="7">
        <v>169.4</v>
      </c>
    </row>
    <row r="8137" spans="1:22" x14ac:dyDescent="0.2">
      <c r="A8137">
        <v>8136</v>
      </c>
      <c r="B8137" s="1">
        <v>41009</v>
      </c>
      <c r="C8137" t="s">
        <v>24</v>
      </c>
      <c r="D8137" s="7">
        <v>268</v>
      </c>
      <c r="E8137" s="7">
        <v>40</v>
      </c>
      <c r="F8137" s="7">
        <f t="shared" si="127"/>
        <v>3</v>
      </c>
      <c r="G8137" s="7" t="str">
        <f>LOOKUP(H8137,[1]startdates!$A$2:$A$10,[1]startdates!$B$2:$B$10)</f>
        <v>FMr</v>
      </c>
      <c r="H8137">
        <v>9</v>
      </c>
      <c r="I8137" s="7">
        <v>660.3</v>
      </c>
      <c r="N8137" s="7">
        <v>241.2</v>
      </c>
      <c r="O8137" s="7">
        <v>169.4</v>
      </c>
    </row>
    <row r="8138" spans="1:22" x14ac:dyDescent="0.2">
      <c r="A8138">
        <v>8137</v>
      </c>
      <c r="B8138" s="1">
        <v>41009</v>
      </c>
      <c r="C8138" t="s">
        <v>24</v>
      </c>
      <c r="D8138" s="7">
        <v>268</v>
      </c>
      <c r="E8138" s="7">
        <v>40</v>
      </c>
      <c r="F8138" s="7">
        <f t="shared" si="127"/>
        <v>3</v>
      </c>
      <c r="G8138" s="7" t="str">
        <f>LOOKUP(H8138,[1]startdates!$A$2:$A$10,[1]startdates!$B$2:$B$10)</f>
        <v>FMr</v>
      </c>
      <c r="H8138">
        <v>9</v>
      </c>
      <c r="I8138" s="7">
        <v>585.5</v>
      </c>
      <c r="N8138" s="7">
        <v>216.7</v>
      </c>
      <c r="O8138" s="7">
        <v>172.6</v>
      </c>
    </row>
    <row r="8139" spans="1:22" x14ac:dyDescent="0.2">
      <c r="A8139">
        <v>8138</v>
      </c>
      <c r="B8139" s="1">
        <v>41009</v>
      </c>
      <c r="C8139" t="s">
        <v>24</v>
      </c>
      <c r="D8139" s="7">
        <v>268</v>
      </c>
      <c r="E8139" s="7">
        <v>40</v>
      </c>
      <c r="F8139" s="7">
        <f t="shared" si="127"/>
        <v>3</v>
      </c>
      <c r="G8139" s="7" t="str">
        <f>LOOKUP(H8139,[1]startdates!$A$2:$A$10,[1]startdates!$B$2:$B$10)</f>
        <v>FMr</v>
      </c>
      <c r="H8139">
        <v>9</v>
      </c>
      <c r="N8139" s="7">
        <v>204.2</v>
      </c>
      <c r="O8139" s="7">
        <v>178.6</v>
      </c>
    </row>
    <row r="8140" spans="1:22" x14ac:dyDescent="0.2">
      <c r="A8140">
        <v>8139</v>
      </c>
      <c r="B8140" s="1">
        <v>41023</v>
      </c>
      <c r="C8140" t="s">
        <v>28</v>
      </c>
      <c r="D8140" s="7">
        <v>282</v>
      </c>
      <c r="E8140" s="7">
        <v>42</v>
      </c>
      <c r="F8140" s="7">
        <f t="shared" si="127"/>
        <v>3</v>
      </c>
      <c r="G8140" s="7" t="str">
        <f>LOOKUP(H8140,[1]startdates!$A$2:$A$10,[1]startdates!$B$2:$B$10)</f>
        <v>SMr</v>
      </c>
      <c r="H8140">
        <v>1</v>
      </c>
      <c r="I8140" s="7">
        <v>666.9</v>
      </c>
      <c r="J8140" s="7">
        <v>534</v>
      </c>
      <c r="K8140" s="7">
        <v>557.20000000000005</v>
      </c>
      <c r="L8140" s="7">
        <v>440.4</v>
      </c>
      <c r="M8140" s="7">
        <v>303</v>
      </c>
      <c r="N8140" s="7">
        <v>191.3</v>
      </c>
      <c r="O8140" s="7">
        <v>173.4</v>
      </c>
      <c r="P8140" s="7">
        <v>485.6</v>
      </c>
      <c r="Q8140" s="7">
        <v>340.3</v>
      </c>
      <c r="R8140" s="7">
        <v>260.3</v>
      </c>
      <c r="U8140" s="7">
        <v>553.9</v>
      </c>
    </row>
    <row r="8141" spans="1:22" x14ac:dyDescent="0.2">
      <c r="A8141">
        <v>8140</v>
      </c>
      <c r="B8141" s="1">
        <v>41023</v>
      </c>
      <c r="C8141" t="s">
        <v>28</v>
      </c>
      <c r="D8141" s="7">
        <v>282</v>
      </c>
      <c r="E8141" s="7">
        <v>42</v>
      </c>
      <c r="F8141" s="7">
        <f t="shared" si="127"/>
        <v>3</v>
      </c>
      <c r="G8141" s="7" t="str">
        <f>LOOKUP(H8141,[1]startdates!$A$2:$A$10,[1]startdates!$B$2:$B$10)</f>
        <v>SMr</v>
      </c>
      <c r="H8141">
        <v>1</v>
      </c>
      <c r="I8141" s="7">
        <v>601.5</v>
      </c>
      <c r="J8141" s="7">
        <v>576.29999999999995</v>
      </c>
      <c r="K8141" s="7">
        <v>546.20000000000005</v>
      </c>
      <c r="L8141" s="7">
        <v>438.1</v>
      </c>
      <c r="M8141" s="7">
        <v>294.7</v>
      </c>
      <c r="N8141" s="7">
        <v>226.8</v>
      </c>
      <c r="O8141" s="7">
        <v>151.80000000000001</v>
      </c>
      <c r="P8141" s="7">
        <v>509.2</v>
      </c>
      <c r="Q8141" s="7">
        <v>323.7</v>
      </c>
      <c r="R8141" s="7">
        <v>253.6</v>
      </c>
      <c r="U8141" s="7">
        <v>512.79999999999995</v>
      </c>
    </row>
    <row r="8142" spans="1:22" x14ac:dyDescent="0.2">
      <c r="A8142">
        <v>8141</v>
      </c>
      <c r="B8142" s="1">
        <v>41023</v>
      </c>
      <c r="C8142" t="s">
        <v>28</v>
      </c>
      <c r="D8142" s="7">
        <v>282</v>
      </c>
      <c r="E8142" s="7">
        <v>42</v>
      </c>
      <c r="F8142" s="7">
        <f t="shared" si="127"/>
        <v>3</v>
      </c>
      <c r="G8142" s="7" t="str">
        <f>LOOKUP(H8142,[1]startdates!$A$2:$A$10,[1]startdates!$B$2:$B$10)</f>
        <v>SMr</v>
      </c>
      <c r="H8142">
        <v>1</v>
      </c>
      <c r="I8142" s="7">
        <v>558.1</v>
      </c>
      <c r="J8142" s="7">
        <v>508.1</v>
      </c>
      <c r="L8142" s="7">
        <v>438.3</v>
      </c>
      <c r="M8142" s="7">
        <v>363.1</v>
      </c>
      <c r="N8142" s="7">
        <v>197.9</v>
      </c>
      <c r="O8142" s="7">
        <v>163.5</v>
      </c>
      <c r="P8142" s="7">
        <v>438.3</v>
      </c>
    </row>
    <row r="8143" spans="1:22" x14ac:dyDescent="0.2">
      <c r="A8143">
        <v>8142</v>
      </c>
      <c r="B8143" s="1">
        <v>41023</v>
      </c>
      <c r="C8143" t="s">
        <v>28</v>
      </c>
      <c r="D8143" s="7">
        <v>282</v>
      </c>
      <c r="E8143" s="7">
        <v>42</v>
      </c>
      <c r="F8143" s="7">
        <f t="shared" si="127"/>
        <v>3</v>
      </c>
      <c r="G8143" s="7" t="str">
        <f>LOOKUP(H8143,[1]startdates!$A$2:$A$10,[1]startdates!$B$2:$B$10)</f>
        <v>SMr</v>
      </c>
      <c r="H8143">
        <v>1</v>
      </c>
      <c r="I8143" s="7">
        <v>491.7</v>
      </c>
      <c r="J8143" s="7">
        <v>580.6</v>
      </c>
      <c r="L8143" s="7">
        <v>415</v>
      </c>
      <c r="M8143" s="7">
        <v>349.8</v>
      </c>
      <c r="N8143" s="7">
        <v>220.3</v>
      </c>
      <c r="O8143" s="7">
        <v>168.3</v>
      </c>
      <c r="P8143" s="7">
        <v>431.3</v>
      </c>
    </row>
    <row r="8144" spans="1:22" x14ac:dyDescent="0.2">
      <c r="A8144">
        <v>8143</v>
      </c>
      <c r="B8144" s="1">
        <v>41023</v>
      </c>
      <c r="C8144" t="s">
        <v>28</v>
      </c>
      <c r="D8144" s="7">
        <v>282</v>
      </c>
      <c r="E8144" s="7">
        <v>42</v>
      </c>
      <c r="F8144" s="7">
        <f t="shared" si="127"/>
        <v>3</v>
      </c>
      <c r="G8144" s="7" t="str">
        <f>LOOKUP(H8144,[1]startdates!$A$2:$A$10,[1]startdates!$B$2:$B$10)</f>
        <v>SMr</v>
      </c>
      <c r="H8144">
        <v>1</v>
      </c>
      <c r="I8144" s="7">
        <v>633.20000000000005</v>
      </c>
      <c r="J8144" s="7">
        <v>544.29999999999995</v>
      </c>
      <c r="M8144" s="7">
        <v>334.7</v>
      </c>
      <c r="N8144" s="7">
        <v>244.5</v>
      </c>
      <c r="O8144" s="7">
        <v>160</v>
      </c>
      <c r="P8144" s="7">
        <v>430.1</v>
      </c>
    </row>
    <row r="8145" spans="1:21" x14ac:dyDescent="0.2">
      <c r="A8145">
        <v>8144</v>
      </c>
      <c r="B8145" s="1">
        <v>41023</v>
      </c>
      <c r="C8145" t="s">
        <v>28</v>
      </c>
      <c r="D8145" s="7">
        <v>282</v>
      </c>
      <c r="E8145" s="7">
        <v>42</v>
      </c>
      <c r="F8145" s="7">
        <f t="shared" si="127"/>
        <v>3</v>
      </c>
      <c r="G8145" s="7" t="str">
        <f>LOOKUP(H8145,[1]startdates!$A$2:$A$10,[1]startdates!$B$2:$B$10)</f>
        <v>SMr</v>
      </c>
      <c r="H8145">
        <v>1</v>
      </c>
      <c r="I8145" s="7">
        <v>639.70000000000005</v>
      </c>
      <c r="J8145" s="7">
        <v>522.79999999999995</v>
      </c>
      <c r="M8145" s="7">
        <v>371.3</v>
      </c>
      <c r="N8145" s="7">
        <v>238.4</v>
      </c>
      <c r="O8145" s="7">
        <v>194.3</v>
      </c>
    </row>
    <row r="8146" spans="1:21" x14ac:dyDescent="0.2">
      <c r="A8146">
        <v>8145</v>
      </c>
      <c r="B8146" s="1">
        <v>41023</v>
      </c>
      <c r="C8146" t="s">
        <v>28</v>
      </c>
      <c r="D8146" s="7">
        <v>282</v>
      </c>
      <c r="E8146" s="7">
        <v>42</v>
      </c>
      <c r="F8146" s="7">
        <f t="shared" si="127"/>
        <v>3</v>
      </c>
      <c r="G8146" s="7" t="str">
        <f>LOOKUP(H8146,[1]startdates!$A$2:$A$10,[1]startdates!$B$2:$B$10)</f>
        <v>SMr</v>
      </c>
      <c r="H8146">
        <v>1</v>
      </c>
      <c r="I8146" s="7">
        <v>581.20000000000005</v>
      </c>
      <c r="J8146" s="7">
        <v>495</v>
      </c>
      <c r="M8146" s="7">
        <v>307</v>
      </c>
      <c r="N8146" s="7">
        <v>269</v>
      </c>
      <c r="O8146" s="7">
        <v>137.5</v>
      </c>
    </row>
    <row r="8147" spans="1:21" x14ac:dyDescent="0.2">
      <c r="A8147">
        <v>8146</v>
      </c>
      <c r="B8147" s="1">
        <v>41023</v>
      </c>
      <c r="C8147" t="s">
        <v>28</v>
      </c>
      <c r="D8147" s="7">
        <v>282</v>
      </c>
      <c r="E8147" s="7">
        <v>42</v>
      </c>
      <c r="F8147" s="7">
        <f t="shared" si="127"/>
        <v>3</v>
      </c>
      <c r="G8147" s="7" t="str">
        <f>LOOKUP(H8147,[1]startdates!$A$2:$A$10,[1]startdates!$B$2:$B$10)</f>
        <v>SMr</v>
      </c>
      <c r="H8147">
        <v>1</v>
      </c>
      <c r="I8147" s="7">
        <v>551.6</v>
      </c>
      <c r="J8147" s="7">
        <v>607.79999999999995</v>
      </c>
      <c r="M8147" s="7">
        <v>366.2</v>
      </c>
      <c r="N8147" s="7">
        <v>247.4</v>
      </c>
      <c r="O8147" s="7">
        <v>176.9</v>
      </c>
    </row>
    <row r="8148" spans="1:21" x14ac:dyDescent="0.2">
      <c r="A8148">
        <v>8147</v>
      </c>
      <c r="B8148" s="1">
        <v>41023</v>
      </c>
      <c r="C8148" t="s">
        <v>28</v>
      </c>
      <c r="D8148" s="7">
        <v>282</v>
      </c>
      <c r="E8148" s="7">
        <v>42</v>
      </c>
      <c r="F8148" s="7">
        <f t="shared" si="127"/>
        <v>3</v>
      </c>
      <c r="G8148" s="7" t="str">
        <f>LOOKUP(H8148,[1]startdates!$A$2:$A$10,[1]startdates!$B$2:$B$10)</f>
        <v>SMr</v>
      </c>
      <c r="H8148">
        <v>1</v>
      </c>
      <c r="I8148" s="7">
        <v>570.4</v>
      </c>
      <c r="J8148" s="7">
        <v>595</v>
      </c>
      <c r="M8148" s="7">
        <v>377.2</v>
      </c>
      <c r="N8148" s="7">
        <v>200.9</v>
      </c>
      <c r="O8148" s="7">
        <v>165.7</v>
      </c>
    </row>
    <row r="8149" spans="1:21" x14ac:dyDescent="0.2">
      <c r="A8149">
        <v>8148</v>
      </c>
      <c r="B8149" s="1">
        <v>41023</v>
      </c>
      <c r="C8149" t="s">
        <v>28</v>
      </c>
      <c r="D8149" s="7">
        <v>282</v>
      </c>
      <c r="E8149" s="7">
        <v>42</v>
      </c>
      <c r="F8149" s="7">
        <f t="shared" si="127"/>
        <v>3</v>
      </c>
      <c r="G8149" s="7" t="str">
        <f>LOOKUP(H8149,[1]startdates!$A$2:$A$10,[1]startdates!$B$2:$B$10)</f>
        <v>SMr</v>
      </c>
      <c r="H8149">
        <v>1</v>
      </c>
      <c r="I8149" s="7">
        <v>762.9</v>
      </c>
      <c r="J8149" s="7">
        <v>517.1</v>
      </c>
      <c r="M8149" s="7">
        <v>335.9</v>
      </c>
      <c r="N8149" s="7">
        <v>285</v>
      </c>
      <c r="O8149" s="7">
        <v>147.30000000000001</v>
      </c>
    </row>
    <row r="8150" spans="1:21" x14ac:dyDescent="0.2">
      <c r="A8150">
        <v>8149</v>
      </c>
      <c r="B8150" s="1">
        <v>41023</v>
      </c>
      <c r="C8150" t="s">
        <v>28</v>
      </c>
      <c r="D8150" s="7">
        <v>282</v>
      </c>
      <c r="E8150" s="7">
        <v>42</v>
      </c>
      <c r="F8150" s="7">
        <f t="shared" si="127"/>
        <v>3</v>
      </c>
      <c r="G8150" s="7" t="str">
        <f>LOOKUP(H8150,[1]startdates!$A$2:$A$10,[1]startdates!$B$2:$B$10)</f>
        <v>SMr</v>
      </c>
      <c r="H8150">
        <v>1</v>
      </c>
      <c r="M8150" s="7">
        <v>358.3</v>
      </c>
      <c r="O8150" s="7">
        <v>182.8</v>
      </c>
    </row>
    <row r="8151" spans="1:21" x14ac:dyDescent="0.2">
      <c r="A8151">
        <v>8150</v>
      </c>
      <c r="B8151" s="1">
        <v>41023</v>
      </c>
      <c r="C8151" t="s">
        <v>24</v>
      </c>
      <c r="D8151" s="7">
        <v>282</v>
      </c>
      <c r="E8151" s="7">
        <v>42</v>
      </c>
      <c r="F8151" s="7">
        <f t="shared" si="127"/>
        <v>3</v>
      </c>
      <c r="G8151" s="7" t="str">
        <f>LOOKUP(H8151,[1]startdates!$A$2:$A$10,[1]startdates!$B$2:$B$10)</f>
        <v>SMr</v>
      </c>
      <c r="H8151">
        <v>2</v>
      </c>
      <c r="I8151" s="7">
        <v>594.20000000000005</v>
      </c>
      <c r="J8151" s="7">
        <v>505.1</v>
      </c>
      <c r="K8151" s="7">
        <v>589.79999999999995</v>
      </c>
      <c r="L8151" s="7">
        <v>491.1</v>
      </c>
      <c r="M8151" s="7">
        <v>322</v>
      </c>
      <c r="N8151" s="7">
        <v>230.8</v>
      </c>
      <c r="O8151" s="7">
        <v>167.5</v>
      </c>
      <c r="P8151" s="7">
        <v>440</v>
      </c>
      <c r="Q8151" s="7">
        <v>396.5</v>
      </c>
      <c r="R8151" s="7">
        <v>246.1</v>
      </c>
      <c r="U8151" s="7">
        <v>522.1</v>
      </c>
    </row>
    <row r="8152" spans="1:21" x14ac:dyDescent="0.2">
      <c r="A8152">
        <v>8151</v>
      </c>
      <c r="B8152" s="1">
        <v>41023</v>
      </c>
      <c r="C8152" t="s">
        <v>24</v>
      </c>
      <c r="D8152" s="7">
        <v>282</v>
      </c>
      <c r="E8152" s="7">
        <v>42</v>
      </c>
      <c r="F8152" s="7">
        <f t="shared" si="127"/>
        <v>3</v>
      </c>
      <c r="G8152" s="7" t="str">
        <f>LOOKUP(H8152,[1]startdates!$A$2:$A$10,[1]startdates!$B$2:$B$10)</f>
        <v>SMr</v>
      </c>
      <c r="H8152">
        <v>2</v>
      </c>
      <c r="I8152" s="7">
        <v>740.6</v>
      </c>
      <c r="J8152" s="7">
        <v>518.70000000000005</v>
      </c>
      <c r="K8152" s="7">
        <v>480.9</v>
      </c>
      <c r="M8152" s="7">
        <v>356.2</v>
      </c>
      <c r="N8152" s="7">
        <v>201.4</v>
      </c>
      <c r="O8152" s="7">
        <v>143</v>
      </c>
      <c r="P8152" s="7">
        <v>438.9</v>
      </c>
      <c r="Q8152" s="7">
        <v>370.5</v>
      </c>
      <c r="U8152" s="7">
        <v>551.6</v>
      </c>
    </row>
    <row r="8153" spans="1:21" x14ac:dyDescent="0.2">
      <c r="A8153">
        <v>8152</v>
      </c>
      <c r="B8153" s="1">
        <v>41023</v>
      </c>
      <c r="C8153" t="s">
        <v>24</v>
      </c>
      <c r="D8153" s="7">
        <v>282</v>
      </c>
      <c r="E8153" s="7">
        <v>42</v>
      </c>
      <c r="F8153" s="7">
        <f t="shared" si="127"/>
        <v>3</v>
      </c>
      <c r="G8153" s="7" t="str">
        <f>LOOKUP(H8153,[1]startdates!$A$2:$A$10,[1]startdates!$B$2:$B$10)</f>
        <v>SMr</v>
      </c>
      <c r="H8153">
        <v>2</v>
      </c>
      <c r="I8153" s="7">
        <v>599.6</v>
      </c>
      <c r="J8153" s="7">
        <v>471.6</v>
      </c>
      <c r="K8153" s="7">
        <v>494.7</v>
      </c>
      <c r="M8153" s="7">
        <v>299.5</v>
      </c>
      <c r="N8153" s="7">
        <v>222</v>
      </c>
      <c r="O8153" s="7">
        <v>165.7</v>
      </c>
      <c r="P8153" s="7">
        <v>494.8</v>
      </c>
      <c r="Q8153" s="7">
        <v>324.89999999999998</v>
      </c>
      <c r="U8153" s="7">
        <v>458.5</v>
      </c>
    </row>
    <row r="8154" spans="1:21" x14ac:dyDescent="0.2">
      <c r="A8154">
        <v>8153</v>
      </c>
      <c r="B8154" s="1">
        <v>41023</v>
      </c>
      <c r="C8154" t="s">
        <v>24</v>
      </c>
      <c r="D8154" s="7">
        <v>282</v>
      </c>
      <c r="E8154" s="7">
        <v>42</v>
      </c>
      <c r="F8154" s="7">
        <f t="shared" si="127"/>
        <v>3</v>
      </c>
      <c r="G8154" s="7" t="str">
        <f>LOOKUP(H8154,[1]startdates!$A$2:$A$10,[1]startdates!$B$2:$B$10)</f>
        <v>SMr</v>
      </c>
      <c r="H8154">
        <v>2</v>
      </c>
      <c r="I8154" s="7">
        <v>600.5</v>
      </c>
      <c r="K8154" s="7">
        <v>491.7</v>
      </c>
      <c r="M8154" s="7">
        <v>349.8</v>
      </c>
      <c r="N8154" s="7">
        <v>265.8</v>
      </c>
      <c r="O8154" s="7">
        <v>171.3</v>
      </c>
      <c r="U8154" s="7">
        <v>541.20000000000005</v>
      </c>
    </row>
    <row r="8155" spans="1:21" x14ac:dyDescent="0.2">
      <c r="A8155">
        <v>8154</v>
      </c>
      <c r="B8155" s="1">
        <v>41023</v>
      </c>
      <c r="C8155" t="s">
        <v>24</v>
      </c>
      <c r="D8155" s="7">
        <v>282</v>
      </c>
      <c r="E8155" s="7">
        <v>42</v>
      </c>
      <c r="F8155" s="7">
        <f t="shared" si="127"/>
        <v>3</v>
      </c>
      <c r="G8155" s="7" t="str">
        <f>LOOKUP(H8155,[1]startdates!$A$2:$A$10,[1]startdates!$B$2:$B$10)</f>
        <v>SMr</v>
      </c>
      <c r="H8155">
        <v>2</v>
      </c>
      <c r="I8155" s="7">
        <v>632.29999999999995</v>
      </c>
      <c r="K8155" s="7">
        <v>492.6</v>
      </c>
      <c r="M8155" s="7">
        <v>360.8</v>
      </c>
      <c r="N8155" s="7">
        <v>215.2</v>
      </c>
      <c r="O8155" s="7">
        <v>159.80000000000001</v>
      </c>
      <c r="U8155" s="7">
        <v>520.29999999999995</v>
      </c>
    </row>
    <row r="8156" spans="1:21" x14ac:dyDescent="0.2">
      <c r="A8156">
        <v>8155</v>
      </c>
      <c r="B8156" s="1">
        <v>41023</v>
      </c>
      <c r="C8156" t="s">
        <v>24</v>
      </c>
      <c r="D8156" s="7">
        <v>282</v>
      </c>
      <c r="E8156" s="7">
        <v>42</v>
      </c>
      <c r="F8156" s="7">
        <f t="shared" si="127"/>
        <v>3</v>
      </c>
      <c r="G8156" s="7" t="str">
        <f>LOOKUP(H8156,[1]startdates!$A$2:$A$10,[1]startdates!$B$2:$B$10)</f>
        <v>SMr</v>
      </c>
      <c r="H8156">
        <v>2</v>
      </c>
      <c r="I8156" s="7">
        <v>564.70000000000005</v>
      </c>
      <c r="M8156" s="7">
        <v>326.10000000000002</v>
      </c>
      <c r="N8156" s="7">
        <v>229.7</v>
      </c>
      <c r="O8156" s="7">
        <v>150.4</v>
      </c>
    </row>
    <row r="8157" spans="1:21" x14ac:dyDescent="0.2">
      <c r="A8157">
        <v>8156</v>
      </c>
      <c r="B8157" s="1">
        <v>41023</v>
      </c>
      <c r="C8157" t="s">
        <v>24</v>
      </c>
      <c r="D8157" s="7">
        <v>282</v>
      </c>
      <c r="E8157" s="7">
        <v>42</v>
      </c>
      <c r="F8157" s="7">
        <f t="shared" si="127"/>
        <v>3</v>
      </c>
      <c r="G8157" s="7" t="str">
        <f>LOOKUP(H8157,[1]startdates!$A$2:$A$10,[1]startdates!$B$2:$B$10)</f>
        <v>SMr</v>
      </c>
      <c r="H8157">
        <v>2</v>
      </c>
      <c r="I8157" s="7">
        <v>580</v>
      </c>
      <c r="N8157" s="7">
        <v>222.9</v>
      </c>
      <c r="O8157" s="7">
        <v>152.4</v>
      </c>
    </row>
    <row r="8158" spans="1:21" x14ac:dyDescent="0.2">
      <c r="A8158">
        <v>8157</v>
      </c>
      <c r="B8158" s="1">
        <v>41023</v>
      </c>
      <c r="C8158" t="s">
        <v>24</v>
      </c>
      <c r="D8158" s="7">
        <v>282</v>
      </c>
      <c r="E8158" s="7">
        <v>42</v>
      </c>
      <c r="F8158" s="7">
        <f t="shared" si="127"/>
        <v>3</v>
      </c>
      <c r="G8158" s="7" t="str">
        <f>LOOKUP(H8158,[1]startdates!$A$2:$A$10,[1]startdates!$B$2:$B$10)</f>
        <v>SMr</v>
      </c>
      <c r="H8158">
        <v>2</v>
      </c>
      <c r="I8158" s="7">
        <v>586.4</v>
      </c>
      <c r="N8158" s="7">
        <v>225.4</v>
      </c>
      <c r="O8158" s="7">
        <v>165.8</v>
      </c>
    </row>
    <row r="8159" spans="1:21" x14ac:dyDescent="0.2">
      <c r="A8159">
        <v>8158</v>
      </c>
      <c r="B8159" s="1">
        <v>41023</v>
      </c>
      <c r="C8159" t="s">
        <v>24</v>
      </c>
      <c r="D8159" s="7">
        <v>282</v>
      </c>
      <c r="E8159" s="7">
        <v>42</v>
      </c>
      <c r="F8159" s="7">
        <f t="shared" si="127"/>
        <v>3</v>
      </c>
      <c r="G8159" s="7" t="str">
        <f>LOOKUP(H8159,[1]startdates!$A$2:$A$10,[1]startdates!$B$2:$B$10)</f>
        <v>SMr</v>
      </c>
      <c r="H8159">
        <v>2</v>
      </c>
      <c r="I8159" s="7">
        <v>619.20000000000005</v>
      </c>
      <c r="N8159" s="7">
        <v>239.8</v>
      </c>
      <c r="O8159" s="7">
        <v>165.3</v>
      </c>
    </row>
    <row r="8160" spans="1:21" x14ac:dyDescent="0.2">
      <c r="A8160">
        <v>8159</v>
      </c>
      <c r="B8160" s="1">
        <v>41023</v>
      </c>
      <c r="C8160" t="s">
        <v>24</v>
      </c>
      <c r="D8160" s="7">
        <v>282</v>
      </c>
      <c r="E8160" s="7">
        <v>42</v>
      </c>
      <c r="F8160" s="7">
        <f t="shared" si="127"/>
        <v>3</v>
      </c>
      <c r="G8160" s="7" t="str">
        <f>LOOKUP(H8160,[1]startdates!$A$2:$A$10,[1]startdates!$B$2:$B$10)</f>
        <v>SMr</v>
      </c>
      <c r="H8160">
        <v>2</v>
      </c>
      <c r="N8160" s="7">
        <v>250.4</v>
      </c>
      <c r="O8160" s="7">
        <v>166.1</v>
      </c>
    </row>
    <row r="8161" spans="1:21" x14ac:dyDescent="0.2">
      <c r="A8161">
        <v>8160</v>
      </c>
      <c r="B8161" s="1">
        <v>41023</v>
      </c>
      <c r="C8161" t="s">
        <v>28</v>
      </c>
      <c r="D8161" s="7">
        <v>282</v>
      </c>
      <c r="E8161" s="7">
        <v>42</v>
      </c>
      <c r="F8161" s="7">
        <f t="shared" si="127"/>
        <v>3</v>
      </c>
      <c r="G8161" s="7" t="str">
        <f>LOOKUP(H8161,[1]startdates!$A$2:$A$10,[1]startdates!$B$2:$B$10)</f>
        <v>C</v>
      </c>
      <c r="H8161">
        <v>3</v>
      </c>
      <c r="I8161" s="7">
        <v>619.79999999999995</v>
      </c>
      <c r="J8161" s="7">
        <v>504.6</v>
      </c>
      <c r="K8161" s="7">
        <v>523.1</v>
      </c>
      <c r="L8161" s="7">
        <v>429.9</v>
      </c>
      <c r="M8161" s="7">
        <v>326.8</v>
      </c>
      <c r="N8161" s="7">
        <v>259</v>
      </c>
      <c r="O8161" s="7">
        <v>139.69999999999999</v>
      </c>
      <c r="P8161" s="7">
        <v>450.8</v>
      </c>
      <c r="Q8161" s="7">
        <v>336.7</v>
      </c>
      <c r="R8161" s="7">
        <v>259.10000000000002</v>
      </c>
    </row>
    <row r="8162" spans="1:21" x14ac:dyDescent="0.2">
      <c r="A8162">
        <v>8161</v>
      </c>
      <c r="B8162" s="1">
        <v>41023</v>
      </c>
      <c r="C8162" t="s">
        <v>28</v>
      </c>
      <c r="D8162" s="7">
        <v>282</v>
      </c>
      <c r="E8162" s="7">
        <v>42</v>
      </c>
      <c r="F8162" s="7">
        <f t="shared" si="127"/>
        <v>3</v>
      </c>
      <c r="G8162" s="7" t="str">
        <f>LOOKUP(H8162,[1]startdates!$A$2:$A$10,[1]startdates!$B$2:$B$10)</f>
        <v>C</v>
      </c>
      <c r="H8162">
        <v>3</v>
      </c>
      <c r="I8162" s="7">
        <v>509.2</v>
      </c>
      <c r="J8162" s="7">
        <v>569</v>
      </c>
      <c r="K8162" s="7">
        <v>541.4</v>
      </c>
      <c r="L8162" s="7">
        <v>484.1</v>
      </c>
      <c r="M8162" s="7">
        <v>363.1</v>
      </c>
      <c r="N8162" s="7">
        <v>190.7</v>
      </c>
      <c r="O8162" s="7">
        <v>141</v>
      </c>
      <c r="P8162" s="7">
        <v>430.8</v>
      </c>
    </row>
    <row r="8163" spans="1:21" x14ac:dyDescent="0.2">
      <c r="A8163">
        <v>8162</v>
      </c>
      <c r="B8163" s="1">
        <v>41023</v>
      </c>
      <c r="C8163" t="s">
        <v>28</v>
      </c>
      <c r="D8163" s="7">
        <v>282</v>
      </c>
      <c r="E8163" s="7">
        <v>42</v>
      </c>
      <c r="F8163" s="7">
        <f t="shared" si="127"/>
        <v>3</v>
      </c>
      <c r="G8163" s="7" t="str">
        <f>LOOKUP(H8163,[1]startdates!$A$2:$A$10,[1]startdates!$B$2:$B$10)</f>
        <v>C</v>
      </c>
      <c r="H8163">
        <v>3</v>
      </c>
      <c r="I8163" s="7">
        <v>663.7</v>
      </c>
      <c r="J8163" s="7">
        <v>513.4</v>
      </c>
      <c r="K8163" s="7">
        <v>596.9</v>
      </c>
      <c r="L8163" s="7">
        <v>401.2</v>
      </c>
      <c r="M8163" s="7">
        <v>293.2</v>
      </c>
      <c r="N8163" s="7">
        <v>245.4</v>
      </c>
      <c r="O8163" s="7">
        <v>176.9</v>
      </c>
    </row>
    <row r="8164" spans="1:21" x14ac:dyDescent="0.2">
      <c r="A8164">
        <v>8163</v>
      </c>
      <c r="B8164" s="1">
        <v>41023</v>
      </c>
      <c r="C8164" t="s">
        <v>28</v>
      </c>
      <c r="D8164" s="7">
        <v>282</v>
      </c>
      <c r="E8164" s="7">
        <v>42</v>
      </c>
      <c r="F8164" s="7">
        <f t="shared" si="127"/>
        <v>3</v>
      </c>
      <c r="G8164" s="7" t="str">
        <f>LOOKUP(H8164,[1]startdates!$A$2:$A$10,[1]startdates!$B$2:$B$10)</f>
        <v>C</v>
      </c>
      <c r="H8164">
        <v>3</v>
      </c>
      <c r="I8164" s="7">
        <v>735.2</v>
      </c>
      <c r="J8164" s="7">
        <v>549.70000000000005</v>
      </c>
      <c r="K8164" s="7">
        <v>495.6</v>
      </c>
      <c r="M8164" s="7">
        <v>372</v>
      </c>
      <c r="N8164" s="7">
        <v>221.7</v>
      </c>
      <c r="O8164" s="7">
        <v>182.8</v>
      </c>
    </row>
    <row r="8165" spans="1:21" x14ac:dyDescent="0.2">
      <c r="A8165">
        <v>8164</v>
      </c>
      <c r="B8165" s="1">
        <v>41023</v>
      </c>
      <c r="C8165" t="s">
        <v>28</v>
      </c>
      <c r="D8165" s="7">
        <v>282</v>
      </c>
      <c r="E8165" s="7">
        <v>42</v>
      </c>
      <c r="F8165" s="7">
        <f t="shared" si="127"/>
        <v>3</v>
      </c>
      <c r="G8165" s="7" t="str">
        <f>LOOKUP(H8165,[1]startdates!$A$2:$A$10,[1]startdates!$B$2:$B$10)</f>
        <v>C</v>
      </c>
      <c r="H8165">
        <v>3</v>
      </c>
      <c r="I8165" s="7">
        <v>593.6</v>
      </c>
      <c r="J8165" s="7">
        <v>547.29999999999995</v>
      </c>
      <c r="M8165" s="7">
        <v>381.4</v>
      </c>
      <c r="N8165" s="7">
        <v>209.6</v>
      </c>
      <c r="O8165" s="7">
        <v>138.6</v>
      </c>
    </row>
    <row r="8166" spans="1:21" x14ac:dyDescent="0.2">
      <c r="A8166">
        <v>8165</v>
      </c>
      <c r="B8166" s="1">
        <v>41023</v>
      </c>
      <c r="C8166" t="s">
        <v>28</v>
      </c>
      <c r="D8166" s="7">
        <v>282</v>
      </c>
      <c r="E8166" s="7">
        <v>42</v>
      </c>
      <c r="F8166" s="7">
        <f t="shared" si="127"/>
        <v>3</v>
      </c>
      <c r="G8166" s="7" t="str">
        <f>LOOKUP(H8166,[1]startdates!$A$2:$A$10,[1]startdates!$B$2:$B$10)</f>
        <v>C</v>
      </c>
      <c r="H8166">
        <v>3</v>
      </c>
      <c r="I8166" s="7">
        <v>672.4</v>
      </c>
      <c r="M8166" s="7">
        <v>309.60000000000002</v>
      </c>
      <c r="N8166" s="7">
        <v>214.2</v>
      </c>
      <c r="O8166" s="7">
        <v>149.5</v>
      </c>
    </row>
    <row r="8167" spans="1:21" x14ac:dyDescent="0.2">
      <c r="A8167">
        <v>8166</v>
      </c>
      <c r="B8167" s="1">
        <v>41023</v>
      </c>
      <c r="C8167" t="s">
        <v>28</v>
      </c>
      <c r="D8167" s="7">
        <v>282</v>
      </c>
      <c r="E8167" s="7">
        <v>42</v>
      </c>
      <c r="F8167" s="7">
        <f t="shared" si="127"/>
        <v>3</v>
      </c>
      <c r="G8167" s="7" t="str">
        <f>LOOKUP(H8167,[1]startdates!$A$2:$A$10,[1]startdates!$B$2:$B$10)</f>
        <v>C</v>
      </c>
      <c r="H8167">
        <v>3</v>
      </c>
      <c r="I8167" s="7">
        <v>510.3</v>
      </c>
      <c r="M8167" s="7">
        <v>340.3</v>
      </c>
      <c r="N8167" s="7">
        <v>231.1</v>
      </c>
      <c r="O8167" s="7">
        <v>149.9</v>
      </c>
    </row>
    <row r="8168" spans="1:21" x14ac:dyDescent="0.2">
      <c r="A8168">
        <v>8167</v>
      </c>
      <c r="B8168" s="1">
        <v>41023</v>
      </c>
      <c r="C8168" t="s">
        <v>28</v>
      </c>
      <c r="D8168" s="7">
        <v>282</v>
      </c>
      <c r="E8168" s="7">
        <v>42</v>
      </c>
      <c r="F8168" s="7">
        <f t="shared" si="127"/>
        <v>3</v>
      </c>
      <c r="G8168" s="7" t="str">
        <f>LOOKUP(H8168,[1]startdates!$A$2:$A$10,[1]startdates!$B$2:$B$10)</f>
        <v>C</v>
      </c>
      <c r="H8168">
        <v>3</v>
      </c>
      <c r="I8168" s="7">
        <v>655.29999999999995</v>
      </c>
      <c r="M8168" s="7">
        <v>346.8</v>
      </c>
      <c r="N8168" s="7">
        <v>246.1</v>
      </c>
      <c r="O8168" s="7">
        <v>156</v>
      </c>
    </row>
    <row r="8169" spans="1:21" x14ac:dyDescent="0.2">
      <c r="A8169">
        <v>8168</v>
      </c>
      <c r="B8169" s="1">
        <v>41023</v>
      </c>
      <c r="C8169" t="s">
        <v>28</v>
      </c>
      <c r="D8169" s="7">
        <v>282</v>
      </c>
      <c r="E8169" s="7">
        <v>42</v>
      </c>
      <c r="F8169" s="7">
        <f t="shared" ref="F8169:F8232" si="128">WEEKDAY(B8169)</f>
        <v>3</v>
      </c>
      <c r="G8169" s="7" t="str">
        <f>LOOKUP(H8169,[1]startdates!$A$2:$A$10,[1]startdates!$B$2:$B$10)</f>
        <v>C</v>
      </c>
      <c r="H8169">
        <v>3</v>
      </c>
      <c r="I8169" s="7">
        <v>545.5</v>
      </c>
      <c r="M8169" s="7">
        <v>345.9</v>
      </c>
      <c r="N8169" s="7">
        <v>253.9</v>
      </c>
      <c r="O8169" s="7">
        <v>153.30000000000001</v>
      </c>
    </row>
    <row r="8170" spans="1:21" x14ac:dyDescent="0.2">
      <c r="A8170">
        <v>8169</v>
      </c>
      <c r="B8170" s="1">
        <v>41023</v>
      </c>
      <c r="C8170" t="s">
        <v>28</v>
      </c>
      <c r="D8170" s="7">
        <v>282</v>
      </c>
      <c r="E8170" s="7">
        <v>42</v>
      </c>
      <c r="F8170" s="7">
        <f t="shared" si="128"/>
        <v>3</v>
      </c>
      <c r="G8170" s="7" t="str">
        <f>LOOKUP(H8170,[1]startdates!$A$2:$A$10,[1]startdates!$B$2:$B$10)</f>
        <v>C</v>
      </c>
      <c r="H8170">
        <v>3</v>
      </c>
      <c r="I8170" s="7">
        <v>579.9</v>
      </c>
      <c r="M8170" s="7">
        <v>356.4</v>
      </c>
      <c r="N8170" s="7">
        <v>243.1</v>
      </c>
      <c r="O8170" s="7">
        <v>155.19999999999999</v>
      </c>
    </row>
    <row r="8171" spans="1:21" x14ac:dyDescent="0.2">
      <c r="A8171">
        <v>8170</v>
      </c>
      <c r="B8171" s="1">
        <v>41023</v>
      </c>
      <c r="C8171" t="s">
        <v>28</v>
      </c>
      <c r="D8171" s="7">
        <v>282</v>
      </c>
      <c r="E8171" s="7">
        <v>42</v>
      </c>
      <c r="F8171" s="7">
        <f t="shared" si="128"/>
        <v>3</v>
      </c>
      <c r="G8171" s="7" t="str">
        <f>LOOKUP(H8171,[1]startdates!$A$2:$A$10,[1]startdates!$B$2:$B$10)</f>
        <v>SMr</v>
      </c>
      <c r="H8171">
        <v>4</v>
      </c>
      <c r="I8171" s="7">
        <v>519.20000000000005</v>
      </c>
      <c r="J8171" s="7">
        <v>493.8</v>
      </c>
      <c r="K8171" s="7">
        <v>536.1</v>
      </c>
      <c r="L8171" s="7">
        <v>425</v>
      </c>
      <c r="M8171" s="7">
        <v>359.8</v>
      </c>
      <c r="N8171" s="7">
        <v>204.1</v>
      </c>
      <c r="O8171" s="7">
        <v>172.6</v>
      </c>
      <c r="P8171" s="7">
        <v>453.5</v>
      </c>
      <c r="Q8171" s="7">
        <v>322.5</v>
      </c>
      <c r="U8171" s="7">
        <v>548.70000000000005</v>
      </c>
    </row>
    <row r="8172" spans="1:21" x14ac:dyDescent="0.2">
      <c r="A8172">
        <v>8171</v>
      </c>
      <c r="B8172" s="1">
        <v>41023</v>
      </c>
      <c r="C8172" t="s">
        <v>28</v>
      </c>
      <c r="D8172" s="7">
        <v>282</v>
      </c>
      <c r="E8172" s="7">
        <v>42</v>
      </c>
      <c r="F8172" s="7">
        <f t="shared" si="128"/>
        <v>3</v>
      </c>
      <c r="G8172" s="7" t="str">
        <f>LOOKUP(H8172,[1]startdates!$A$2:$A$10,[1]startdates!$B$2:$B$10)</f>
        <v>SMr</v>
      </c>
      <c r="H8172">
        <v>4</v>
      </c>
      <c r="I8172" s="7">
        <v>839.3</v>
      </c>
      <c r="J8172" s="7">
        <v>476</v>
      </c>
      <c r="K8172" s="7">
        <v>519.79999999999995</v>
      </c>
      <c r="L8172" s="7">
        <v>423.4</v>
      </c>
      <c r="M8172" s="7">
        <v>329.4</v>
      </c>
      <c r="N8172" s="7">
        <v>211.7</v>
      </c>
      <c r="O8172" s="7">
        <v>163</v>
      </c>
      <c r="P8172" s="7">
        <v>446.7</v>
      </c>
      <c r="U8172" s="7">
        <v>643.4</v>
      </c>
    </row>
    <row r="8173" spans="1:21" x14ac:dyDescent="0.2">
      <c r="A8173">
        <v>8172</v>
      </c>
      <c r="B8173" s="1">
        <v>41023</v>
      </c>
      <c r="C8173" t="s">
        <v>28</v>
      </c>
      <c r="D8173" s="7">
        <v>282</v>
      </c>
      <c r="E8173" s="7">
        <v>42</v>
      </c>
      <c r="F8173" s="7">
        <f t="shared" si="128"/>
        <v>3</v>
      </c>
      <c r="G8173" s="7" t="str">
        <f>LOOKUP(H8173,[1]startdates!$A$2:$A$10,[1]startdates!$B$2:$B$10)</f>
        <v>SMr</v>
      </c>
      <c r="H8173">
        <v>4</v>
      </c>
      <c r="I8173" s="7">
        <v>565.1</v>
      </c>
      <c r="J8173" s="7">
        <v>548.4</v>
      </c>
      <c r="K8173" s="7">
        <v>596.1</v>
      </c>
      <c r="L8173" s="7">
        <v>382.9</v>
      </c>
      <c r="M8173" s="7">
        <v>383.1</v>
      </c>
      <c r="N8173" s="7">
        <v>194.3</v>
      </c>
      <c r="O8173" s="7">
        <v>170.2</v>
      </c>
      <c r="P8173" s="7">
        <v>515.9</v>
      </c>
      <c r="U8173" s="7">
        <v>536</v>
      </c>
    </row>
    <row r="8174" spans="1:21" x14ac:dyDescent="0.2">
      <c r="A8174">
        <v>8173</v>
      </c>
      <c r="B8174" s="1">
        <v>41023</v>
      </c>
      <c r="C8174" t="s">
        <v>28</v>
      </c>
      <c r="D8174" s="7">
        <v>282</v>
      </c>
      <c r="E8174" s="7">
        <v>42</v>
      </c>
      <c r="F8174" s="7">
        <f t="shared" si="128"/>
        <v>3</v>
      </c>
      <c r="G8174" s="7" t="str">
        <f>LOOKUP(H8174,[1]startdates!$A$2:$A$10,[1]startdates!$B$2:$B$10)</f>
        <v>SMr</v>
      </c>
      <c r="H8174">
        <v>4</v>
      </c>
      <c r="I8174" s="7">
        <v>676.8</v>
      </c>
      <c r="K8174" s="7">
        <v>534.29999999999995</v>
      </c>
      <c r="L8174" s="7">
        <v>438.2</v>
      </c>
      <c r="M8174" s="7">
        <v>384.3</v>
      </c>
      <c r="N8174" s="7">
        <v>217.4</v>
      </c>
      <c r="O8174" s="7">
        <v>158.1</v>
      </c>
      <c r="P8174" s="7">
        <v>436.2</v>
      </c>
    </row>
    <row r="8175" spans="1:21" x14ac:dyDescent="0.2">
      <c r="A8175">
        <v>8174</v>
      </c>
      <c r="B8175" s="1">
        <v>41023</v>
      </c>
      <c r="C8175" t="s">
        <v>28</v>
      </c>
      <c r="D8175" s="7">
        <v>282</v>
      </c>
      <c r="E8175" s="7">
        <v>42</v>
      </c>
      <c r="F8175" s="7">
        <f t="shared" si="128"/>
        <v>3</v>
      </c>
      <c r="G8175" s="7" t="str">
        <f>LOOKUP(H8175,[1]startdates!$A$2:$A$10,[1]startdates!$B$2:$B$10)</f>
        <v>SMr</v>
      </c>
      <c r="H8175">
        <v>4</v>
      </c>
      <c r="I8175" s="7">
        <v>660.1</v>
      </c>
      <c r="L8175" s="7">
        <v>423.1</v>
      </c>
      <c r="M8175" s="7">
        <v>379.6</v>
      </c>
      <c r="N8175" s="7">
        <v>219.7</v>
      </c>
      <c r="O8175" s="7">
        <v>165</v>
      </c>
      <c r="P8175" s="7">
        <v>449.2</v>
      </c>
    </row>
    <row r="8176" spans="1:21" x14ac:dyDescent="0.2">
      <c r="A8176">
        <v>8175</v>
      </c>
      <c r="B8176" s="1">
        <v>41023</v>
      </c>
      <c r="C8176" t="s">
        <v>28</v>
      </c>
      <c r="D8176" s="7">
        <v>282</v>
      </c>
      <c r="E8176" s="7">
        <v>42</v>
      </c>
      <c r="F8176" s="7">
        <f t="shared" si="128"/>
        <v>3</v>
      </c>
      <c r="G8176" s="7" t="str">
        <f>LOOKUP(H8176,[1]startdates!$A$2:$A$10,[1]startdates!$B$2:$B$10)</f>
        <v>SMr</v>
      </c>
      <c r="H8176">
        <v>4</v>
      </c>
      <c r="I8176" s="7">
        <v>661</v>
      </c>
      <c r="L8176" s="7">
        <v>408.1</v>
      </c>
      <c r="M8176" s="7">
        <v>303.2</v>
      </c>
      <c r="N8176" s="7">
        <v>224</v>
      </c>
      <c r="O8176" s="7">
        <v>176.8</v>
      </c>
      <c r="P8176" s="7">
        <v>453.7</v>
      </c>
    </row>
    <row r="8177" spans="1:18" x14ac:dyDescent="0.2">
      <c r="A8177">
        <v>8176</v>
      </c>
      <c r="B8177" s="1">
        <v>41023</v>
      </c>
      <c r="C8177" t="s">
        <v>28</v>
      </c>
      <c r="D8177" s="7">
        <v>282</v>
      </c>
      <c r="E8177" s="7">
        <v>42</v>
      </c>
      <c r="F8177" s="7">
        <f t="shared" si="128"/>
        <v>3</v>
      </c>
      <c r="G8177" s="7" t="str">
        <f>LOOKUP(H8177,[1]startdates!$A$2:$A$10,[1]startdates!$B$2:$B$10)</f>
        <v>SMr</v>
      </c>
      <c r="H8177">
        <v>4</v>
      </c>
      <c r="I8177" s="7">
        <v>659.8</v>
      </c>
      <c r="M8177" s="7">
        <v>357.1</v>
      </c>
      <c r="N8177" s="7">
        <v>197.9</v>
      </c>
      <c r="O8177" s="7">
        <v>164</v>
      </c>
      <c r="P8177" s="7">
        <v>515.9</v>
      </c>
    </row>
    <row r="8178" spans="1:18" x14ac:dyDescent="0.2">
      <c r="A8178">
        <v>8177</v>
      </c>
      <c r="B8178" s="1">
        <v>41023</v>
      </c>
      <c r="C8178" t="s">
        <v>28</v>
      </c>
      <c r="D8178" s="7">
        <v>282</v>
      </c>
      <c r="E8178" s="7">
        <v>42</v>
      </c>
      <c r="F8178" s="7">
        <f t="shared" si="128"/>
        <v>3</v>
      </c>
      <c r="G8178" s="7" t="str">
        <f>LOOKUP(H8178,[1]startdates!$A$2:$A$10,[1]startdates!$B$2:$B$10)</f>
        <v>SMr</v>
      </c>
      <c r="H8178">
        <v>4</v>
      </c>
      <c r="I8178" s="7">
        <v>537.6</v>
      </c>
      <c r="M8178" s="7">
        <v>354.2</v>
      </c>
      <c r="N8178" s="7">
        <v>209.3</v>
      </c>
      <c r="O8178" s="7">
        <v>151.5</v>
      </c>
      <c r="P8178" s="7">
        <v>483.1</v>
      </c>
    </row>
    <row r="8179" spans="1:18" x14ac:dyDescent="0.2">
      <c r="A8179">
        <v>8178</v>
      </c>
      <c r="B8179" s="1">
        <v>41023</v>
      </c>
      <c r="C8179" t="s">
        <v>28</v>
      </c>
      <c r="D8179" s="7">
        <v>282</v>
      </c>
      <c r="E8179" s="7">
        <v>42</v>
      </c>
      <c r="F8179" s="7">
        <f t="shared" si="128"/>
        <v>3</v>
      </c>
      <c r="G8179" s="7" t="str">
        <f>LOOKUP(H8179,[1]startdates!$A$2:$A$10,[1]startdates!$B$2:$B$10)</f>
        <v>SMr</v>
      </c>
      <c r="H8179">
        <v>4</v>
      </c>
      <c r="I8179" s="7">
        <v>696.2</v>
      </c>
      <c r="M8179" s="7">
        <v>325.5</v>
      </c>
      <c r="N8179" s="7">
        <v>201.4</v>
      </c>
      <c r="O8179" s="7">
        <v>166.7</v>
      </c>
    </row>
    <row r="8180" spans="1:18" x14ac:dyDescent="0.2">
      <c r="A8180">
        <v>8179</v>
      </c>
      <c r="B8180" s="1">
        <v>41023</v>
      </c>
      <c r="C8180" t="s">
        <v>28</v>
      </c>
      <c r="D8180" s="7">
        <v>282</v>
      </c>
      <c r="E8180" s="7">
        <v>42</v>
      </c>
      <c r="F8180" s="7">
        <f t="shared" si="128"/>
        <v>3</v>
      </c>
      <c r="G8180" s="7" t="str">
        <f>LOOKUP(H8180,[1]startdates!$A$2:$A$10,[1]startdates!$B$2:$B$10)</f>
        <v>SMr</v>
      </c>
      <c r="H8180">
        <v>4</v>
      </c>
      <c r="I8180" s="7">
        <v>601.1</v>
      </c>
      <c r="N8180" s="7">
        <v>213.7</v>
      </c>
      <c r="O8180" s="7">
        <v>153.80000000000001</v>
      </c>
    </row>
    <row r="8181" spans="1:18" x14ac:dyDescent="0.2">
      <c r="A8181">
        <v>8180</v>
      </c>
      <c r="B8181" s="1">
        <v>41023</v>
      </c>
      <c r="C8181" t="s">
        <v>24</v>
      </c>
      <c r="D8181" s="7">
        <v>282</v>
      </c>
      <c r="E8181" s="7">
        <v>42</v>
      </c>
      <c r="F8181" s="7">
        <f t="shared" si="128"/>
        <v>3</v>
      </c>
      <c r="G8181" s="7" t="str">
        <f>LOOKUP(H8181,[1]startdates!$A$2:$A$10,[1]startdates!$B$2:$B$10)</f>
        <v>C</v>
      </c>
      <c r="H8181">
        <v>5</v>
      </c>
      <c r="I8181" s="7">
        <v>719.8</v>
      </c>
      <c r="J8181" s="7">
        <v>536.9</v>
      </c>
      <c r="K8181" s="7">
        <v>530.5</v>
      </c>
      <c r="L8181" s="7">
        <v>517.79999999999995</v>
      </c>
      <c r="M8181" s="7">
        <v>389.2</v>
      </c>
      <c r="N8181" s="7">
        <v>262.2</v>
      </c>
      <c r="O8181" s="7">
        <v>210.4</v>
      </c>
      <c r="P8181" s="7">
        <v>476.1</v>
      </c>
      <c r="R8181" s="7">
        <v>269.7</v>
      </c>
    </row>
    <row r="8182" spans="1:18" x14ac:dyDescent="0.2">
      <c r="A8182">
        <v>8181</v>
      </c>
      <c r="B8182" s="1">
        <v>41023</v>
      </c>
      <c r="C8182" t="s">
        <v>24</v>
      </c>
      <c r="D8182" s="7">
        <v>282</v>
      </c>
      <c r="E8182" s="7">
        <v>42</v>
      </c>
      <c r="F8182" s="7">
        <f t="shared" si="128"/>
        <v>3</v>
      </c>
      <c r="G8182" s="7" t="str">
        <f>LOOKUP(H8182,[1]startdates!$A$2:$A$10,[1]startdates!$B$2:$B$10)</f>
        <v>C</v>
      </c>
      <c r="H8182">
        <v>5</v>
      </c>
      <c r="I8182" s="7">
        <v>553.5</v>
      </c>
      <c r="J8182" s="7">
        <v>567.9</v>
      </c>
      <c r="K8182" s="7">
        <v>488.2</v>
      </c>
      <c r="L8182" s="7">
        <v>398.5</v>
      </c>
      <c r="M8182" s="7">
        <v>369.1</v>
      </c>
      <c r="N8182" s="7">
        <v>246.1</v>
      </c>
      <c r="O8182" s="7">
        <v>143.6</v>
      </c>
      <c r="P8182" s="7">
        <v>442.2</v>
      </c>
    </row>
    <row r="8183" spans="1:18" x14ac:dyDescent="0.2">
      <c r="A8183">
        <v>8182</v>
      </c>
      <c r="B8183" s="1">
        <v>41023</v>
      </c>
      <c r="C8183" t="s">
        <v>24</v>
      </c>
      <c r="D8183" s="7">
        <v>282</v>
      </c>
      <c r="E8183" s="7">
        <v>42</v>
      </c>
      <c r="F8183" s="7">
        <f t="shared" si="128"/>
        <v>3</v>
      </c>
      <c r="G8183" s="7" t="str">
        <f>LOOKUP(H8183,[1]startdates!$A$2:$A$10,[1]startdates!$B$2:$B$10)</f>
        <v>C</v>
      </c>
      <c r="H8183">
        <v>5</v>
      </c>
      <c r="I8183" s="7">
        <v>637.5</v>
      </c>
      <c r="J8183" s="7">
        <v>478.1</v>
      </c>
      <c r="K8183" s="7">
        <v>606.70000000000005</v>
      </c>
      <c r="M8183" s="7">
        <v>348.9</v>
      </c>
      <c r="N8183" s="7">
        <v>254.1</v>
      </c>
      <c r="O8183" s="7">
        <v>171.3</v>
      </c>
      <c r="P8183" s="7">
        <v>534.29999999999995</v>
      </c>
    </row>
    <row r="8184" spans="1:18" x14ac:dyDescent="0.2">
      <c r="A8184">
        <v>8183</v>
      </c>
      <c r="B8184" s="1">
        <v>41023</v>
      </c>
      <c r="C8184" t="s">
        <v>24</v>
      </c>
      <c r="D8184" s="7">
        <v>282</v>
      </c>
      <c r="E8184" s="7">
        <v>42</v>
      </c>
      <c r="F8184" s="7">
        <f t="shared" si="128"/>
        <v>3</v>
      </c>
      <c r="G8184" s="7" t="str">
        <f>LOOKUP(H8184,[1]startdates!$A$2:$A$10,[1]startdates!$B$2:$B$10)</f>
        <v>C</v>
      </c>
      <c r="H8184">
        <v>5</v>
      </c>
      <c r="I8184" s="7">
        <v>708.4</v>
      </c>
      <c r="J8184" s="7">
        <v>548.4</v>
      </c>
      <c r="K8184" s="7">
        <v>564.70000000000005</v>
      </c>
      <c r="M8184" s="7">
        <v>349.9</v>
      </c>
      <c r="N8184" s="7">
        <v>212.5</v>
      </c>
      <c r="O8184" s="7">
        <v>214.5</v>
      </c>
      <c r="P8184" s="7">
        <v>493.1</v>
      </c>
    </row>
    <row r="8185" spans="1:18" x14ac:dyDescent="0.2">
      <c r="A8185">
        <v>8184</v>
      </c>
      <c r="B8185" s="1">
        <v>41023</v>
      </c>
      <c r="C8185" t="s">
        <v>24</v>
      </c>
      <c r="D8185" s="7">
        <v>282</v>
      </c>
      <c r="E8185" s="7">
        <v>42</v>
      </c>
      <c r="F8185" s="7">
        <f t="shared" si="128"/>
        <v>3</v>
      </c>
      <c r="G8185" s="7" t="str">
        <f>LOOKUP(H8185,[1]startdates!$A$2:$A$10,[1]startdates!$B$2:$B$10)</f>
        <v>C</v>
      </c>
      <c r="H8185">
        <v>5</v>
      </c>
      <c r="I8185" s="7">
        <v>636</v>
      </c>
      <c r="J8185" s="7">
        <v>528.70000000000005</v>
      </c>
      <c r="K8185" s="7">
        <v>472.8</v>
      </c>
      <c r="M8185" s="7">
        <v>362.6</v>
      </c>
      <c r="N8185" s="7">
        <v>243.2</v>
      </c>
      <c r="O8185" s="7">
        <v>170</v>
      </c>
      <c r="P8185" s="7">
        <v>455.3</v>
      </c>
    </row>
    <row r="8186" spans="1:18" x14ac:dyDescent="0.2">
      <c r="A8186">
        <v>8185</v>
      </c>
      <c r="B8186" s="1">
        <v>41023</v>
      </c>
      <c r="C8186" t="s">
        <v>24</v>
      </c>
      <c r="D8186" s="7">
        <v>282</v>
      </c>
      <c r="E8186" s="7">
        <v>42</v>
      </c>
      <c r="F8186" s="7">
        <f t="shared" si="128"/>
        <v>3</v>
      </c>
      <c r="G8186" s="7" t="str">
        <f>LOOKUP(H8186,[1]startdates!$A$2:$A$10,[1]startdates!$B$2:$B$10)</f>
        <v>C</v>
      </c>
      <c r="H8186">
        <v>5</v>
      </c>
      <c r="I8186" s="7">
        <v>625.4</v>
      </c>
      <c r="J8186" s="7">
        <v>470.4</v>
      </c>
      <c r="K8186" s="7">
        <v>516.29999999999995</v>
      </c>
      <c r="M8186" s="7">
        <v>338</v>
      </c>
      <c r="N8186" s="7">
        <v>237</v>
      </c>
      <c r="O8186" s="7">
        <v>184.4</v>
      </c>
      <c r="P8186" s="7">
        <v>421.5</v>
      </c>
    </row>
    <row r="8187" spans="1:18" x14ac:dyDescent="0.2">
      <c r="A8187">
        <v>8186</v>
      </c>
      <c r="B8187" s="1">
        <v>41023</v>
      </c>
      <c r="C8187" t="s">
        <v>24</v>
      </c>
      <c r="D8187" s="7">
        <v>282</v>
      </c>
      <c r="E8187" s="7">
        <v>42</v>
      </c>
      <c r="F8187" s="7">
        <f t="shared" si="128"/>
        <v>3</v>
      </c>
      <c r="G8187" s="7" t="str">
        <f>LOOKUP(H8187,[1]startdates!$A$2:$A$10,[1]startdates!$B$2:$B$10)</f>
        <v>C</v>
      </c>
      <c r="H8187">
        <v>5</v>
      </c>
      <c r="I8187" s="7">
        <v>704.8</v>
      </c>
      <c r="J8187" s="7">
        <v>531.4</v>
      </c>
      <c r="K8187" s="7">
        <v>517</v>
      </c>
      <c r="M8187" s="7">
        <v>354.7</v>
      </c>
      <c r="N8187" s="7">
        <v>297.5</v>
      </c>
      <c r="O8187" s="7">
        <v>189.5</v>
      </c>
      <c r="P8187" s="7">
        <v>458.8</v>
      </c>
    </row>
    <row r="8188" spans="1:18" x14ac:dyDescent="0.2">
      <c r="A8188">
        <v>8187</v>
      </c>
      <c r="B8188" s="1">
        <v>41023</v>
      </c>
      <c r="C8188" t="s">
        <v>24</v>
      </c>
      <c r="D8188" s="7">
        <v>282</v>
      </c>
      <c r="E8188" s="7">
        <v>42</v>
      </c>
      <c r="F8188" s="7">
        <f t="shared" si="128"/>
        <v>3</v>
      </c>
      <c r="G8188" s="7" t="str">
        <f>LOOKUP(H8188,[1]startdates!$A$2:$A$10,[1]startdates!$B$2:$B$10)</f>
        <v>C</v>
      </c>
      <c r="H8188">
        <v>5</v>
      </c>
      <c r="I8188" s="7">
        <v>651.70000000000005</v>
      </c>
      <c r="K8188" s="7">
        <v>514.4</v>
      </c>
      <c r="M8188" s="7">
        <v>345.7</v>
      </c>
      <c r="N8188" s="7">
        <v>230.7</v>
      </c>
    </row>
    <row r="8189" spans="1:18" x14ac:dyDescent="0.2">
      <c r="A8189">
        <v>8188</v>
      </c>
      <c r="B8189" s="1">
        <v>41023</v>
      </c>
      <c r="C8189" t="s">
        <v>24</v>
      </c>
      <c r="D8189" s="7">
        <v>282</v>
      </c>
      <c r="E8189" s="7">
        <v>42</v>
      </c>
      <c r="F8189" s="7">
        <f t="shared" si="128"/>
        <v>3</v>
      </c>
      <c r="G8189" s="7" t="str">
        <f>LOOKUP(H8189,[1]startdates!$A$2:$A$10,[1]startdates!$B$2:$B$10)</f>
        <v>C</v>
      </c>
      <c r="H8189">
        <v>5</v>
      </c>
      <c r="I8189" s="7">
        <v>632.9</v>
      </c>
      <c r="M8189" s="7">
        <v>361.2</v>
      </c>
      <c r="N8189" s="7">
        <v>240.4</v>
      </c>
    </row>
    <row r="8190" spans="1:18" x14ac:dyDescent="0.2">
      <c r="A8190">
        <v>8189</v>
      </c>
      <c r="B8190" s="1">
        <v>41023</v>
      </c>
      <c r="C8190" t="s">
        <v>24</v>
      </c>
      <c r="D8190" s="7">
        <v>282</v>
      </c>
      <c r="E8190" s="7">
        <v>42</v>
      </c>
      <c r="F8190" s="7">
        <f t="shared" si="128"/>
        <v>3</v>
      </c>
      <c r="G8190" s="7" t="str">
        <f>LOOKUP(H8190,[1]startdates!$A$2:$A$10,[1]startdates!$B$2:$B$10)</f>
        <v>C</v>
      </c>
      <c r="H8190">
        <v>5</v>
      </c>
      <c r="I8190" s="7">
        <v>655.9</v>
      </c>
    </row>
    <row r="8191" spans="1:18" x14ac:dyDescent="0.2">
      <c r="A8191">
        <v>8190</v>
      </c>
      <c r="B8191" s="1">
        <v>41023</v>
      </c>
      <c r="C8191" t="s">
        <v>24</v>
      </c>
      <c r="D8191" s="7">
        <v>282</v>
      </c>
      <c r="E8191" s="7">
        <v>42</v>
      </c>
      <c r="F8191" s="7">
        <f t="shared" si="128"/>
        <v>3</v>
      </c>
      <c r="G8191" s="7" t="str">
        <f>LOOKUP(H8191,[1]startdates!$A$2:$A$10,[1]startdates!$B$2:$B$10)</f>
        <v>C</v>
      </c>
      <c r="H8191">
        <v>5</v>
      </c>
      <c r="I8191" s="7">
        <v>626.4</v>
      </c>
    </row>
    <row r="8192" spans="1:18" x14ac:dyDescent="0.2">
      <c r="A8192">
        <v>8191</v>
      </c>
      <c r="B8192" s="1">
        <v>41023</v>
      </c>
      <c r="C8192" t="s">
        <v>24</v>
      </c>
      <c r="D8192" s="7">
        <v>282</v>
      </c>
      <c r="E8192" s="7">
        <v>42</v>
      </c>
      <c r="F8192" s="7">
        <f t="shared" si="128"/>
        <v>3</v>
      </c>
      <c r="G8192" s="7" t="str">
        <f>LOOKUP(H8192,[1]startdates!$A$2:$A$10,[1]startdates!$B$2:$B$10)</f>
        <v>C</v>
      </c>
      <c r="H8192">
        <v>5</v>
      </c>
      <c r="I8192" s="7">
        <v>585</v>
      </c>
    </row>
    <row r="8193" spans="1:21" x14ac:dyDescent="0.2">
      <c r="A8193">
        <v>8192</v>
      </c>
      <c r="B8193" s="1">
        <v>41023</v>
      </c>
      <c r="C8193" t="s">
        <v>24</v>
      </c>
      <c r="D8193" s="7">
        <v>282</v>
      </c>
      <c r="E8193" s="7">
        <v>42</v>
      </c>
      <c r="F8193" s="7">
        <f t="shared" si="128"/>
        <v>3</v>
      </c>
      <c r="G8193" s="7" t="str">
        <f>LOOKUP(H8193,[1]startdates!$A$2:$A$10,[1]startdates!$B$2:$B$10)</f>
        <v>C</v>
      </c>
      <c r="H8193">
        <v>5</v>
      </c>
      <c r="I8193" s="7">
        <v>617.1</v>
      </c>
    </row>
    <row r="8194" spans="1:21" x14ac:dyDescent="0.2">
      <c r="A8194">
        <v>8193</v>
      </c>
      <c r="B8194" s="1">
        <v>41023</v>
      </c>
      <c r="C8194" t="s">
        <v>24</v>
      </c>
      <c r="D8194" s="7">
        <v>282</v>
      </c>
      <c r="E8194" s="7">
        <v>42</v>
      </c>
      <c r="F8194" s="7">
        <f t="shared" si="128"/>
        <v>3</v>
      </c>
      <c r="G8194" s="7" t="str">
        <f>LOOKUP(H8194,[1]startdates!$A$2:$A$10,[1]startdates!$B$2:$B$10)</f>
        <v>C</v>
      </c>
      <c r="H8194">
        <v>5</v>
      </c>
      <c r="I8194" s="7">
        <v>668.9</v>
      </c>
    </row>
    <row r="8195" spans="1:21" x14ac:dyDescent="0.2">
      <c r="A8195">
        <v>8194</v>
      </c>
      <c r="B8195" s="1">
        <v>41023</v>
      </c>
      <c r="C8195" t="s">
        <v>24</v>
      </c>
      <c r="D8195" s="7">
        <v>282</v>
      </c>
      <c r="E8195" s="7">
        <v>42</v>
      </c>
      <c r="F8195" s="7">
        <f t="shared" si="128"/>
        <v>3</v>
      </c>
      <c r="G8195" s="7" t="str">
        <f>LOOKUP(H8195,[1]startdates!$A$2:$A$10,[1]startdates!$B$2:$B$10)</f>
        <v>C</v>
      </c>
      <c r="H8195">
        <v>5</v>
      </c>
      <c r="I8195" s="7">
        <v>666.5</v>
      </c>
    </row>
    <row r="8196" spans="1:21" x14ac:dyDescent="0.2">
      <c r="A8196">
        <v>8195</v>
      </c>
      <c r="B8196" s="1">
        <v>41023</v>
      </c>
      <c r="C8196" t="s">
        <v>24</v>
      </c>
      <c r="D8196" s="7">
        <v>282</v>
      </c>
      <c r="E8196" s="7">
        <v>42</v>
      </c>
      <c r="F8196" s="7">
        <f t="shared" si="128"/>
        <v>3</v>
      </c>
      <c r="G8196" s="7" t="str">
        <f>LOOKUP(H8196,[1]startdates!$A$2:$A$10,[1]startdates!$B$2:$B$10)</f>
        <v>C</v>
      </c>
      <c r="H8196">
        <v>5</v>
      </c>
      <c r="I8196" s="7">
        <v>612.4</v>
      </c>
    </row>
    <row r="8197" spans="1:21" x14ac:dyDescent="0.2">
      <c r="A8197">
        <v>8196</v>
      </c>
      <c r="B8197" s="1">
        <v>41023</v>
      </c>
      <c r="C8197" t="s">
        <v>24</v>
      </c>
      <c r="D8197" s="7">
        <v>282</v>
      </c>
      <c r="E8197" s="7">
        <v>42</v>
      </c>
      <c r="F8197" s="7">
        <f t="shared" si="128"/>
        <v>3</v>
      </c>
      <c r="G8197" s="7" t="str">
        <f>LOOKUP(H8197,[1]startdates!$A$2:$A$10,[1]startdates!$B$2:$B$10)</f>
        <v>C</v>
      </c>
      <c r="H8197">
        <v>5</v>
      </c>
      <c r="I8197" s="7">
        <v>690.5</v>
      </c>
    </row>
    <row r="8198" spans="1:21" x14ac:dyDescent="0.2">
      <c r="A8198">
        <v>8197</v>
      </c>
      <c r="B8198" s="1">
        <v>41023</v>
      </c>
      <c r="C8198" t="s">
        <v>24</v>
      </c>
      <c r="D8198" s="7">
        <v>282</v>
      </c>
      <c r="E8198" s="7">
        <v>42</v>
      </c>
      <c r="F8198" s="7">
        <f t="shared" si="128"/>
        <v>3</v>
      </c>
      <c r="G8198" s="7" t="str">
        <f>LOOKUP(H8198,[1]startdates!$A$2:$A$10,[1]startdates!$B$2:$B$10)</f>
        <v>FMr</v>
      </c>
      <c r="H8198">
        <v>6</v>
      </c>
      <c r="I8198" s="7">
        <v>613.5</v>
      </c>
      <c r="J8198" s="7">
        <v>489.5</v>
      </c>
      <c r="K8198" s="7">
        <v>505.5</v>
      </c>
      <c r="L8198" s="7">
        <v>444.9</v>
      </c>
      <c r="M8198" s="7">
        <v>382.1</v>
      </c>
      <c r="N8198" s="7">
        <v>202.5</v>
      </c>
      <c r="O8198" s="7">
        <v>185.3</v>
      </c>
      <c r="P8198" s="7">
        <v>491.3</v>
      </c>
      <c r="Q8198" s="7">
        <v>397.4</v>
      </c>
      <c r="R8198" s="7">
        <v>318.89999999999998</v>
      </c>
      <c r="U8198" s="7">
        <v>459.4</v>
      </c>
    </row>
    <row r="8199" spans="1:21" x14ac:dyDescent="0.2">
      <c r="A8199">
        <v>8198</v>
      </c>
      <c r="B8199" s="1">
        <v>41023</v>
      </c>
      <c r="C8199" t="s">
        <v>24</v>
      </c>
      <c r="D8199" s="7">
        <v>282</v>
      </c>
      <c r="E8199" s="7">
        <v>42</v>
      </c>
      <c r="F8199" s="7">
        <f t="shared" si="128"/>
        <v>3</v>
      </c>
      <c r="G8199" s="7" t="str">
        <f>LOOKUP(H8199,[1]startdates!$A$2:$A$10,[1]startdates!$B$2:$B$10)</f>
        <v>FMr</v>
      </c>
      <c r="H8199">
        <v>6</v>
      </c>
      <c r="I8199" s="7">
        <v>597.4</v>
      </c>
      <c r="K8199" s="7">
        <v>549.4</v>
      </c>
      <c r="L8199" s="7">
        <v>425.6</v>
      </c>
      <c r="M8199" s="7">
        <v>360.1</v>
      </c>
      <c r="N8199" s="7">
        <v>273.7</v>
      </c>
      <c r="O8199" s="7">
        <v>172.1</v>
      </c>
      <c r="Q8199" s="7">
        <v>386.1</v>
      </c>
      <c r="R8199" s="7">
        <v>312.39999999999998</v>
      </c>
    </row>
    <row r="8200" spans="1:21" x14ac:dyDescent="0.2">
      <c r="A8200">
        <v>8199</v>
      </c>
      <c r="B8200" s="1">
        <v>41023</v>
      </c>
      <c r="C8200" t="s">
        <v>24</v>
      </c>
      <c r="D8200" s="7">
        <v>282</v>
      </c>
      <c r="E8200" s="7">
        <v>42</v>
      </c>
      <c r="F8200" s="7">
        <f t="shared" si="128"/>
        <v>3</v>
      </c>
      <c r="G8200" s="7" t="str">
        <f>LOOKUP(H8200,[1]startdates!$A$2:$A$10,[1]startdates!$B$2:$B$10)</f>
        <v>FMr</v>
      </c>
      <c r="H8200">
        <v>6</v>
      </c>
      <c r="I8200" s="7">
        <v>604.70000000000005</v>
      </c>
      <c r="K8200" s="7">
        <v>516.5</v>
      </c>
      <c r="L8200" s="7">
        <v>403.7</v>
      </c>
      <c r="M8200" s="7">
        <v>298.7</v>
      </c>
      <c r="N8200" s="7">
        <v>222.5</v>
      </c>
      <c r="O8200" s="7">
        <v>167.1</v>
      </c>
    </row>
    <row r="8201" spans="1:21" x14ac:dyDescent="0.2">
      <c r="A8201">
        <v>8200</v>
      </c>
      <c r="B8201" s="1">
        <v>41023</v>
      </c>
      <c r="C8201" t="s">
        <v>24</v>
      </c>
      <c r="D8201" s="7">
        <v>282</v>
      </c>
      <c r="E8201" s="7">
        <v>42</v>
      </c>
      <c r="F8201" s="7">
        <f t="shared" si="128"/>
        <v>3</v>
      </c>
      <c r="G8201" s="7" t="str">
        <f>LOOKUP(H8201,[1]startdates!$A$2:$A$10,[1]startdates!$B$2:$B$10)</f>
        <v>FMr</v>
      </c>
      <c r="H8201">
        <v>6</v>
      </c>
      <c r="I8201" s="7">
        <v>578.1</v>
      </c>
      <c r="K8201" s="7">
        <v>509.7</v>
      </c>
      <c r="L8201" s="7">
        <v>427.3</v>
      </c>
      <c r="M8201" s="7">
        <v>294.5</v>
      </c>
      <c r="N8201" s="7">
        <v>224.9</v>
      </c>
      <c r="O8201" s="7">
        <v>184.1</v>
      </c>
    </row>
    <row r="8202" spans="1:21" x14ac:dyDescent="0.2">
      <c r="A8202">
        <v>8201</v>
      </c>
      <c r="B8202" s="1">
        <v>41023</v>
      </c>
      <c r="C8202" t="s">
        <v>24</v>
      </c>
      <c r="D8202" s="7">
        <v>282</v>
      </c>
      <c r="E8202" s="7">
        <v>42</v>
      </c>
      <c r="F8202" s="7">
        <f t="shared" si="128"/>
        <v>3</v>
      </c>
      <c r="G8202" s="7" t="str">
        <f>LOOKUP(H8202,[1]startdates!$A$2:$A$10,[1]startdates!$B$2:$B$10)</f>
        <v>FMr</v>
      </c>
      <c r="H8202">
        <v>6</v>
      </c>
      <c r="I8202" s="7">
        <v>655.29999999999995</v>
      </c>
      <c r="K8202" s="7">
        <v>492.3</v>
      </c>
      <c r="L8202" s="7">
        <v>390.8</v>
      </c>
      <c r="M8202" s="7">
        <v>280.2</v>
      </c>
      <c r="N8202" s="7">
        <v>184.4</v>
      </c>
      <c r="O8202" s="7">
        <v>182.8</v>
      </c>
    </row>
    <row r="8203" spans="1:21" x14ac:dyDescent="0.2">
      <c r="A8203">
        <v>8202</v>
      </c>
      <c r="B8203" s="1">
        <v>41023</v>
      </c>
      <c r="C8203" t="s">
        <v>24</v>
      </c>
      <c r="D8203" s="7">
        <v>282</v>
      </c>
      <c r="E8203" s="7">
        <v>42</v>
      </c>
      <c r="F8203" s="7">
        <f t="shared" si="128"/>
        <v>3</v>
      </c>
      <c r="G8203" s="7" t="str">
        <f>LOOKUP(H8203,[1]startdates!$A$2:$A$10,[1]startdates!$B$2:$B$10)</f>
        <v>FMr</v>
      </c>
      <c r="H8203">
        <v>6</v>
      </c>
      <c r="I8203" s="7">
        <v>762</v>
      </c>
      <c r="K8203" s="7">
        <v>460.6</v>
      </c>
      <c r="M8203" s="7">
        <v>304.60000000000002</v>
      </c>
      <c r="N8203" s="7">
        <v>219.2</v>
      </c>
      <c r="O8203" s="7">
        <v>181.1</v>
      </c>
    </row>
    <row r="8204" spans="1:21" x14ac:dyDescent="0.2">
      <c r="A8204">
        <v>8203</v>
      </c>
      <c r="B8204" s="1">
        <v>41023</v>
      </c>
      <c r="C8204" t="s">
        <v>24</v>
      </c>
      <c r="D8204" s="7">
        <v>282</v>
      </c>
      <c r="E8204" s="7">
        <v>42</v>
      </c>
      <c r="F8204" s="7">
        <f t="shared" si="128"/>
        <v>3</v>
      </c>
      <c r="G8204" s="7" t="str">
        <f>LOOKUP(H8204,[1]startdates!$A$2:$A$10,[1]startdates!$B$2:$B$10)</f>
        <v>FMr</v>
      </c>
      <c r="H8204">
        <v>6</v>
      </c>
      <c r="I8204" s="7">
        <v>626.20000000000005</v>
      </c>
      <c r="K8204" s="7">
        <v>424.3</v>
      </c>
      <c r="N8204" s="7">
        <v>203.1</v>
      </c>
      <c r="O8204" s="7">
        <v>174.9</v>
      </c>
    </row>
    <row r="8205" spans="1:21" x14ac:dyDescent="0.2">
      <c r="A8205">
        <v>8204</v>
      </c>
      <c r="B8205" s="1">
        <v>41023</v>
      </c>
      <c r="C8205" t="s">
        <v>24</v>
      </c>
      <c r="D8205" s="7">
        <v>282</v>
      </c>
      <c r="E8205" s="7">
        <v>42</v>
      </c>
      <c r="F8205" s="7">
        <f t="shared" si="128"/>
        <v>3</v>
      </c>
      <c r="G8205" s="7" t="str">
        <f>LOOKUP(H8205,[1]startdates!$A$2:$A$10,[1]startdates!$B$2:$B$10)</f>
        <v>FMr</v>
      </c>
      <c r="H8205">
        <v>6</v>
      </c>
      <c r="I8205" s="7">
        <v>583.20000000000005</v>
      </c>
      <c r="K8205" s="7">
        <v>407.9</v>
      </c>
      <c r="N8205" s="7">
        <v>226.8</v>
      </c>
      <c r="O8205" s="7">
        <v>180.6</v>
      </c>
    </row>
    <row r="8206" spans="1:21" x14ac:dyDescent="0.2">
      <c r="A8206">
        <v>8205</v>
      </c>
      <c r="B8206" s="1">
        <v>41023</v>
      </c>
      <c r="C8206" t="s">
        <v>24</v>
      </c>
      <c r="D8206" s="7">
        <v>282</v>
      </c>
      <c r="E8206" s="7">
        <v>42</v>
      </c>
      <c r="F8206" s="7">
        <f t="shared" si="128"/>
        <v>3</v>
      </c>
      <c r="G8206" s="7" t="str">
        <f>LOOKUP(H8206,[1]startdates!$A$2:$A$10,[1]startdates!$B$2:$B$10)</f>
        <v>FMr</v>
      </c>
      <c r="H8206">
        <v>6</v>
      </c>
      <c r="I8206" s="7">
        <v>702.3</v>
      </c>
      <c r="K8206" s="7">
        <v>456.7</v>
      </c>
      <c r="N8206" s="7">
        <v>213.8</v>
      </c>
      <c r="O8206" s="7">
        <v>184.9</v>
      </c>
    </row>
    <row r="8207" spans="1:21" x14ac:dyDescent="0.2">
      <c r="A8207">
        <v>8206</v>
      </c>
      <c r="B8207" s="1">
        <v>41023</v>
      </c>
      <c r="C8207" t="s">
        <v>24</v>
      </c>
      <c r="D8207" s="7">
        <v>282</v>
      </c>
      <c r="E8207" s="7">
        <v>42</v>
      </c>
      <c r="F8207" s="7">
        <f t="shared" si="128"/>
        <v>3</v>
      </c>
      <c r="G8207" s="7" t="str">
        <f>LOOKUP(H8207,[1]startdates!$A$2:$A$10,[1]startdates!$B$2:$B$10)</f>
        <v>FMr</v>
      </c>
      <c r="H8207">
        <v>6</v>
      </c>
      <c r="I8207" s="7">
        <v>564.9</v>
      </c>
      <c r="N8207" s="7">
        <v>246.1</v>
      </c>
      <c r="O8207" s="7">
        <v>193.8</v>
      </c>
    </row>
    <row r="8208" spans="1:21" x14ac:dyDescent="0.2">
      <c r="A8208">
        <v>8207</v>
      </c>
      <c r="B8208" s="1">
        <v>41023</v>
      </c>
      <c r="C8208" t="s">
        <v>24</v>
      </c>
      <c r="D8208" s="7">
        <v>282</v>
      </c>
      <c r="E8208" s="7">
        <v>42</v>
      </c>
      <c r="F8208" s="7">
        <f t="shared" si="128"/>
        <v>3</v>
      </c>
      <c r="G8208" s="7" t="str">
        <f>LOOKUP(H8208,[1]startdates!$A$2:$A$10,[1]startdates!$B$2:$B$10)</f>
        <v>FMr</v>
      </c>
      <c r="H8208">
        <v>6</v>
      </c>
      <c r="I8208" s="7">
        <v>601</v>
      </c>
    </row>
    <row r="8209" spans="1:22" x14ac:dyDescent="0.2">
      <c r="A8209">
        <v>8208</v>
      </c>
      <c r="B8209" s="1">
        <v>41023</v>
      </c>
      <c r="C8209" t="s">
        <v>24</v>
      </c>
      <c r="D8209" s="7">
        <v>282</v>
      </c>
      <c r="E8209" s="7">
        <v>42</v>
      </c>
      <c r="F8209" s="7">
        <f t="shared" si="128"/>
        <v>3</v>
      </c>
      <c r="G8209" s="7" t="str">
        <f>LOOKUP(H8209,[1]startdates!$A$2:$A$10,[1]startdates!$B$2:$B$10)</f>
        <v>FMr</v>
      </c>
      <c r="H8209">
        <v>6</v>
      </c>
      <c r="I8209" s="7">
        <v>556.6</v>
      </c>
    </row>
    <row r="8210" spans="1:22" x14ac:dyDescent="0.2">
      <c r="A8210">
        <v>8209</v>
      </c>
      <c r="B8210" s="1">
        <v>41023</v>
      </c>
      <c r="C8210" t="s">
        <v>24</v>
      </c>
      <c r="D8210" s="7">
        <v>282</v>
      </c>
      <c r="E8210" s="7">
        <v>42</v>
      </c>
      <c r="F8210" s="7">
        <f t="shared" si="128"/>
        <v>3</v>
      </c>
      <c r="G8210" s="7" t="str">
        <f>LOOKUP(H8210,[1]startdates!$A$2:$A$10,[1]startdates!$B$2:$B$10)</f>
        <v>FMr</v>
      </c>
      <c r="H8210">
        <v>6</v>
      </c>
      <c r="I8210" s="7">
        <v>661.7</v>
      </c>
    </row>
    <row r="8211" spans="1:22" x14ac:dyDescent="0.2">
      <c r="A8211">
        <v>8210</v>
      </c>
      <c r="B8211" s="1">
        <v>41023</v>
      </c>
      <c r="C8211" t="s">
        <v>24</v>
      </c>
      <c r="D8211" s="7">
        <v>282</v>
      </c>
      <c r="E8211" s="7">
        <v>42</v>
      </c>
      <c r="F8211" s="7">
        <f t="shared" si="128"/>
        <v>3</v>
      </c>
      <c r="G8211" s="7" t="str">
        <f>LOOKUP(H8211,[1]startdates!$A$2:$A$10,[1]startdates!$B$2:$B$10)</f>
        <v>FMr</v>
      </c>
      <c r="H8211">
        <v>6</v>
      </c>
      <c r="I8211" s="7">
        <v>579.6</v>
      </c>
    </row>
    <row r="8212" spans="1:22" x14ac:dyDescent="0.2">
      <c r="A8212">
        <v>8211</v>
      </c>
      <c r="B8212" s="1">
        <v>41023</v>
      </c>
      <c r="C8212" t="s">
        <v>24</v>
      </c>
      <c r="D8212" s="7">
        <v>282</v>
      </c>
      <c r="E8212" s="7">
        <v>42</v>
      </c>
      <c r="F8212" s="7">
        <f t="shared" si="128"/>
        <v>3</v>
      </c>
      <c r="G8212" s="7" t="str">
        <f>LOOKUP(H8212,[1]startdates!$A$2:$A$10,[1]startdates!$B$2:$B$10)</f>
        <v>FMr</v>
      </c>
      <c r="H8212">
        <v>7</v>
      </c>
      <c r="I8212" s="7">
        <v>621.70000000000005</v>
      </c>
      <c r="J8212" s="7">
        <v>536.79999999999995</v>
      </c>
      <c r="K8212" s="7">
        <v>447.4</v>
      </c>
      <c r="L8212" s="7">
        <v>460.1</v>
      </c>
      <c r="M8212" s="7">
        <v>384.4</v>
      </c>
      <c r="N8212" s="7">
        <v>229.7</v>
      </c>
      <c r="O8212" s="7">
        <v>170.4</v>
      </c>
      <c r="P8212" s="7">
        <v>475.6</v>
      </c>
      <c r="Q8212" s="7">
        <v>264.3</v>
      </c>
      <c r="R8212" s="7">
        <v>308.60000000000002</v>
      </c>
      <c r="V8212" s="7">
        <v>514.9</v>
      </c>
    </row>
    <row r="8213" spans="1:22" x14ac:dyDescent="0.2">
      <c r="A8213">
        <v>8212</v>
      </c>
      <c r="B8213" s="1">
        <v>41023</v>
      </c>
      <c r="C8213" t="s">
        <v>24</v>
      </c>
      <c r="D8213" s="7">
        <v>282</v>
      </c>
      <c r="E8213" s="7">
        <v>42</v>
      </c>
      <c r="F8213" s="7">
        <f t="shared" si="128"/>
        <v>3</v>
      </c>
      <c r="G8213" s="7" t="str">
        <f>LOOKUP(H8213,[1]startdates!$A$2:$A$10,[1]startdates!$B$2:$B$10)</f>
        <v>FMr</v>
      </c>
      <c r="H8213">
        <v>7</v>
      </c>
      <c r="I8213" s="7">
        <v>781.3</v>
      </c>
      <c r="J8213" s="7">
        <v>502.2</v>
      </c>
      <c r="K8213" s="7">
        <v>419.1</v>
      </c>
      <c r="L8213" s="7">
        <v>438.5</v>
      </c>
      <c r="M8213" s="7">
        <v>363.3</v>
      </c>
      <c r="N8213" s="7">
        <v>255.3</v>
      </c>
      <c r="O8213" s="7">
        <v>177.7</v>
      </c>
      <c r="P8213" s="7">
        <v>487</v>
      </c>
      <c r="V8213" s="7">
        <v>487</v>
      </c>
    </row>
    <row r="8214" spans="1:22" x14ac:dyDescent="0.2">
      <c r="A8214">
        <v>8213</v>
      </c>
      <c r="B8214" s="1">
        <v>41023</v>
      </c>
      <c r="C8214" t="s">
        <v>24</v>
      </c>
      <c r="D8214" s="7">
        <v>282</v>
      </c>
      <c r="E8214" s="7">
        <v>42</v>
      </c>
      <c r="F8214" s="7">
        <f t="shared" si="128"/>
        <v>3</v>
      </c>
      <c r="G8214" s="7" t="str">
        <f>LOOKUP(H8214,[1]startdates!$A$2:$A$10,[1]startdates!$B$2:$B$10)</f>
        <v>FMr</v>
      </c>
      <c r="H8214">
        <v>7</v>
      </c>
      <c r="I8214" s="7">
        <v>689.2</v>
      </c>
      <c r="J8214" s="7">
        <v>559</v>
      </c>
      <c r="K8214" s="7">
        <v>642.4</v>
      </c>
      <c r="L8214" s="7">
        <v>478.6</v>
      </c>
      <c r="M8214" s="7">
        <v>323.3</v>
      </c>
      <c r="N8214" s="7">
        <v>202.5</v>
      </c>
      <c r="O8214" s="7">
        <v>181.9</v>
      </c>
      <c r="V8214" s="7">
        <v>574.70000000000005</v>
      </c>
    </row>
    <row r="8215" spans="1:22" x14ac:dyDescent="0.2">
      <c r="A8215">
        <v>8214</v>
      </c>
      <c r="B8215" s="1">
        <v>41023</v>
      </c>
      <c r="C8215" t="s">
        <v>24</v>
      </c>
      <c r="D8215" s="7">
        <v>282</v>
      </c>
      <c r="E8215" s="7">
        <v>42</v>
      </c>
      <c r="F8215" s="7">
        <f t="shared" si="128"/>
        <v>3</v>
      </c>
      <c r="G8215" s="7" t="str">
        <f>LOOKUP(H8215,[1]startdates!$A$2:$A$10,[1]startdates!$B$2:$B$10)</f>
        <v>FMr</v>
      </c>
      <c r="H8215">
        <v>7</v>
      </c>
      <c r="I8215" s="7">
        <v>660.5</v>
      </c>
      <c r="J8215" s="7">
        <v>545.29999999999995</v>
      </c>
      <c r="K8215" s="7">
        <v>506.6</v>
      </c>
      <c r="L8215" s="7">
        <v>428.1</v>
      </c>
      <c r="M8215" s="7">
        <v>330.8</v>
      </c>
      <c r="N8215" s="7">
        <v>208.8</v>
      </c>
      <c r="O8215" s="7">
        <v>185.4</v>
      </c>
      <c r="V8215" s="7">
        <v>582.5</v>
      </c>
    </row>
    <row r="8216" spans="1:22" x14ac:dyDescent="0.2">
      <c r="A8216">
        <v>8215</v>
      </c>
      <c r="B8216" s="1">
        <v>41023</v>
      </c>
      <c r="C8216" t="s">
        <v>24</v>
      </c>
      <c r="D8216" s="7">
        <v>282</v>
      </c>
      <c r="E8216" s="7">
        <v>42</v>
      </c>
      <c r="F8216" s="7">
        <f t="shared" si="128"/>
        <v>3</v>
      </c>
      <c r="G8216" s="7" t="str">
        <f>LOOKUP(H8216,[1]startdates!$A$2:$A$10,[1]startdates!$B$2:$B$10)</f>
        <v>FMr</v>
      </c>
      <c r="H8216">
        <v>7</v>
      </c>
      <c r="I8216" s="7">
        <v>732.6</v>
      </c>
      <c r="K8216" s="7">
        <v>554.70000000000005</v>
      </c>
      <c r="M8216" s="7">
        <v>341.4</v>
      </c>
      <c r="N8216" s="7">
        <v>200.4</v>
      </c>
      <c r="O8216" s="7">
        <v>177.7</v>
      </c>
      <c r="V8216" s="7">
        <v>490.2</v>
      </c>
    </row>
    <row r="8217" spans="1:22" x14ac:dyDescent="0.2">
      <c r="A8217">
        <v>8216</v>
      </c>
      <c r="B8217" s="1">
        <v>41023</v>
      </c>
      <c r="C8217" t="s">
        <v>24</v>
      </c>
      <c r="D8217" s="7">
        <v>282</v>
      </c>
      <c r="E8217" s="7">
        <v>42</v>
      </c>
      <c r="F8217" s="7">
        <f t="shared" si="128"/>
        <v>3</v>
      </c>
      <c r="G8217" s="7" t="str">
        <f>LOOKUP(H8217,[1]startdates!$A$2:$A$10,[1]startdates!$B$2:$B$10)</f>
        <v>FMr</v>
      </c>
      <c r="H8217">
        <v>7</v>
      </c>
      <c r="I8217" s="7">
        <v>555.6</v>
      </c>
      <c r="K8217" s="7">
        <v>468.9</v>
      </c>
      <c r="M8217" s="7">
        <v>364.4</v>
      </c>
      <c r="N8217" s="7">
        <v>270.60000000000002</v>
      </c>
      <c r="O8217" s="7">
        <v>181.9</v>
      </c>
    </row>
    <row r="8218" spans="1:22" x14ac:dyDescent="0.2">
      <c r="A8218">
        <v>8217</v>
      </c>
      <c r="B8218" s="1">
        <v>41023</v>
      </c>
      <c r="C8218" t="s">
        <v>24</v>
      </c>
      <c r="D8218" s="7">
        <v>282</v>
      </c>
      <c r="E8218" s="7">
        <v>42</v>
      </c>
      <c r="F8218" s="7">
        <f t="shared" si="128"/>
        <v>3</v>
      </c>
      <c r="G8218" s="7" t="str">
        <f>LOOKUP(H8218,[1]startdates!$A$2:$A$10,[1]startdates!$B$2:$B$10)</f>
        <v>FMr</v>
      </c>
      <c r="H8218">
        <v>7</v>
      </c>
      <c r="I8218" s="7">
        <v>622.4</v>
      </c>
      <c r="K8218" s="7">
        <v>497.9</v>
      </c>
      <c r="M8218" s="7">
        <v>321.39999999999998</v>
      </c>
      <c r="N8218" s="7">
        <v>196.1</v>
      </c>
      <c r="O8218" s="7">
        <v>153.6</v>
      </c>
    </row>
    <row r="8219" spans="1:22" x14ac:dyDescent="0.2">
      <c r="A8219">
        <v>8218</v>
      </c>
      <c r="B8219" s="1">
        <v>41023</v>
      </c>
      <c r="C8219" t="s">
        <v>24</v>
      </c>
      <c r="D8219" s="7">
        <v>282</v>
      </c>
      <c r="E8219" s="7">
        <v>42</v>
      </c>
      <c r="F8219" s="7">
        <f t="shared" si="128"/>
        <v>3</v>
      </c>
      <c r="G8219" s="7" t="str">
        <f>LOOKUP(H8219,[1]startdates!$A$2:$A$10,[1]startdates!$B$2:$B$10)</f>
        <v>FMr</v>
      </c>
      <c r="H8219">
        <v>7</v>
      </c>
      <c r="I8219" s="7">
        <v>616.5</v>
      </c>
      <c r="M8219" s="7">
        <v>378.8</v>
      </c>
      <c r="N8219" s="7">
        <v>208.6</v>
      </c>
      <c r="O8219" s="7">
        <v>154.1</v>
      </c>
    </row>
    <row r="8220" spans="1:22" x14ac:dyDescent="0.2">
      <c r="A8220">
        <v>8219</v>
      </c>
      <c r="B8220" s="1">
        <v>41023</v>
      </c>
      <c r="C8220" t="s">
        <v>24</v>
      </c>
      <c r="D8220" s="7">
        <v>282</v>
      </c>
      <c r="E8220" s="7">
        <v>42</v>
      </c>
      <c r="F8220" s="7">
        <f t="shared" si="128"/>
        <v>3</v>
      </c>
      <c r="G8220" s="7" t="str">
        <f>LOOKUP(H8220,[1]startdates!$A$2:$A$10,[1]startdates!$B$2:$B$10)</f>
        <v>FMr</v>
      </c>
      <c r="H8220">
        <v>7</v>
      </c>
      <c r="I8220" s="7">
        <v>688.5</v>
      </c>
      <c r="M8220" s="7">
        <v>332.1</v>
      </c>
      <c r="N8220" s="7">
        <v>240.4</v>
      </c>
      <c r="O8220" s="7">
        <v>165.7</v>
      </c>
    </row>
    <row r="8221" spans="1:22" x14ac:dyDescent="0.2">
      <c r="A8221">
        <v>8220</v>
      </c>
      <c r="B8221" s="1">
        <v>41023</v>
      </c>
      <c r="C8221" t="s">
        <v>24</v>
      </c>
      <c r="D8221" s="7">
        <v>282</v>
      </c>
      <c r="E8221" s="7">
        <v>42</v>
      </c>
      <c r="F8221" s="7">
        <f t="shared" si="128"/>
        <v>3</v>
      </c>
      <c r="G8221" s="7" t="str">
        <f>LOOKUP(H8221,[1]startdates!$A$2:$A$10,[1]startdates!$B$2:$B$10)</f>
        <v>FMr</v>
      </c>
      <c r="H8221">
        <v>7</v>
      </c>
      <c r="N8221" s="7">
        <v>206.7</v>
      </c>
    </row>
    <row r="8222" spans="1:22" x14ac:dyDescent="0.2">
      <c r="A8222">
        <v>8221</v>
      </c>
      <c r="B8222" s="1">
        <v>41023</v>
      </c>
      <c r="C8222" t="s">
        <v>24</v>
      </c>
      <c r="D8222" s="7">
        <v>282</v>
      </c>
      <c r="E8222" s="7">
        <v>42</v>
      </c>
      <c r="F8222" s="7">
        <f t="shared" si="128"/>
        <v>3</v>
      </c>
      <c r="G8222" s="7" t="str">
        <f>LOOKUP(H8222,[1]startdates!$A$2:$A$10,[1]startdates!$B$2:$B$10)</f>
        <v>C</v>
      </c>
      <c r="H8222">
        <v>8</v>
      </c>
      <c r="I8222" s="7">
        <v>680</v>
      </c>
      <c r="J8222" s="7">
        <v>525</v>
      </c>
      <c r="K8222" s="7">
        <v>499.2</v>
      </c>
      <c r="L8222" s="7">
        <v>486.8</v>
      </c>
      <c r="M8222" s="7">
        <v>369.7</v>
      </c>
      <c r="N8222" s="7">
        <v>279.8</v>
      </c>
      <c r="O8222" s="7">
        <v>182.9</v>
      </c>
      <c r="P8222" s="7">
        <v>476.9</v>
      </c>
    </row>
    <row r="8223" spans="1:22" x14ac:dyDescent="0.2">
      <c r="A8223">
        <v>8222</v>
      </c>
      <c r="B8223" s="1">
        <v>41023</v>
      </c>
      <c r="C8223" t="s">
        <v>24</v>
      </c>
      <c r="D8223" s="7">
        <v>282</v>
      </c>
      <c r="E8223" s="7">
        <v>42</v>
      </c>
      <c r="F8223" s="7">
        <f t="shared" si="128"/>
        <v>3</v>
      </c>
      <c r="G8223" s="7" t="str">
        <f>LOOKUP(H8223,[1]startdates!$A$2:$A$10,[1]startdates!$B$2:$B$10)</f>
        <v>C</v>
      </c>
      <c r="H8223">
        <v>8</v>
      </c>
      <c r="I8223" s="7">
        <v>595.6</v>
      </c>
      <c r="J8223" s="7">
        <v>595.1</v>
      </c>
      <c r="K8223" s="7">
        <v>520.29999999999995</v>
      </c>
      <c r="L8223" s="7">
        <v>456.2</v>
      </c>
      <c r="M8223" s="7">
        <v>322.89999999999998</v>
      </c>
      <c r="N8223" s="7">
        <v>237.6</v>
      </c>
      <c r="O8223" s="7">
        <v>153.30000000000001</v>
      </c>
      <c r="P8223" s="7">
        <v>498.6</v>
      </c>
    </row>
    <row r="8224" spans="1:22" x14ac:dyDescent="0.2">
      <c r="A8224">
        <v>8223</v>
      </c>
      <c r="B8224" s="1">
        <v>41023</v>
      </c>
      <c r="C8224" t="s">
        <v>24</v>
      </c>
      <c r="D8224" s="7">
        <v>282</v>
      </c>
      <c r="E8224" s="7">
        <v>42</v>
      </c>
      <c r="F8224" s="7">
        <f t="shared" si="128"/>
        <v>3</v>
      </c>
      <c r="G8224" s="7" t="str">
        <f>LOOKUP(H8224,[1]startdates!$A$2:$A$10,[1]startdates!$B$2:$B$10)</f>
        <v>C</v>
      </c>
      <c r="H8224">
        <v>8</v>
      </c>
      <c r="I8224" s="7">
        <v>638.70000000000005</v>
      </c>
      <c r="J8224" s="7">
        <v>686.5</v>
      </c>
      <c r="L8224" s="7">
        <v>417.2</v>
      </c>
      <c r="M8224" s="7">
        <v>401</v>
      </c>
      <c r="N8224" s="7">
        <v>228.7</v>
      </c>
      <c r="O8224" s="7">
        <v>187</v>
      </c>
      <c r="P8224" s="7">
        <v>472.7</v>
      </c>
    </row>
    <row r="8225" spans="1:22" x14ac:dyDescent="0.2">
      <c r="A8225">
        <v>8224</v>
      </c>
      <c r="B8225" s="1">
        <v>41023</v>
      </c>
      <c r="C8225" t="s">
        <v>24</v>
      </c>
      <c r="D8225" s="7">
        <v>282</v>
      </c>
      <c r="E8225" s="7">
        <v>42</v>
      </c>
      <c r="F8225" s="7">
        <f t="shared" si="128"/>
        <v>3</v>
      </c>
      <c r="G8225" s="7" t="str">
        <f>LOOKUP(H8225,[1]startdates!$A$2:$A$10,[1]startdates!$B$2:$B$10)</f>
        <v>C</v>
      </c>
      <c r="H8225">
        <v>8</v>
      </c>
      <c r="I8225" s="7">
        <v>672.4</v>
      </c>
      <c r="J8225" s="7">
        <v>571.9</v>
      </c>
      <c r="M8225" s="7">
        <v>354.1</v>
      </c>
      <c r="N8225" s="7">
        <v>289.89999999999998</v>
      </c>
      <c r="O8225" s="7">
        <v>176.8</v>
      </c>
    </row>
    <row r="8226" spans="1:22" x14ac:dyDescent="0.2">
      <c r="A8226">
        <v>8225</v>
      </c>
      <c r="B8226" s="1">
        <v>41023</v>
      </c>
      <c r="C8226" t="s">
        <v>24</v>
      </c>
      <c r="D8226" s="7">
        <v>282</v>
      </c>
      <c r="E8226" s="7">
        <v>42</v>
      </c>
      <c r="F8226" s="7">
        <f t="shared" si="128"/>
        <v>3</v>
      </c>
      <c r="G8226" s="7" t="str">
        <f>LOOKUP(H8226,[1]startdates!$A$2:$A$10,[1]startdates!$B$2:$B$10)</f>
        <v>C</v>
      </c>
      <c r="H8226">
        <v>8</v>
      </c>
      <c r="I8226" s="7">
        <v>647</v>
      </c>
      <c r="J8226" s="7">
        <v>563.4</v>
      </c>
      <c r="M8226" s="7">
        <v>369.8</v>
      </c>
      <c r="N8226" s="7">
        <v>225.7</v>
      </c>
      <c r="O8226" s="7">
        <v>191.3</v>
      </c>
    </row>
    <row r="8227" spans="1:22" x14ac:dyDescent="0.2">
      <c r="A8227">
        <v>8226</v>
      </c>
      <c r="B8227" s="1">
        <v>41023</v>
      </c>
      <c r="C8227" t="s">
        <v>24</v>
      </c>
      <c r="D8227" s="7">
        <v>282</v>
      </c>
      <c r="E8227" s="7">
        <v>42</v>
      </c>
      <c r="F8227" s="7">
        <f t="shared" si="128"/>
        <v>3</v>
      </c>
      <c r="G8227" s="7" t="str">
        <f>LOOKUP(H8227,[1]startdates!$A$2:$A$10,[1]startdates!$B$2:$B$10)</f>
        <v>C</v>
      </c>
      <c r="H8227">
        <v>8</v>
      </c>
      <c r="I8227" s="7">
        <v>665.9</v>
      </c>
      <c r="J8227" s="7">
        <v>552.70000000000005</v>
      </c>
      <c r="N8227" s="7">
        <v>238.9</v>
      </c>
      <c r="O8227" s="7">
        <v>156.4</v>
      </c>
    </row>
    <row r="8228" spans="1:22" x14ac:dyDescent="0.2">
      <c r="A8228">
        <v>8227</v>
      </c>
      <c r="B8228" s="1">
        <v>41023</v>
      </c>
      <c r="C8228" t="s">
        <v>24</v>
      </c>
      <c r="D8228" s="7">
        <v>282</v>
      </c>
      <c r="E8228" s="7">
        <v>42</v>
      </c>
      <c r="F8228" s="7">
        <f t="shared" si="128"/>
        <v>3</v>
      </c>
      <c r="G8228" s="7" t="str">
        <f>LOOKUP(H8228,[1]startdates!$A$2:$A$10,[1]startdates!$B$2:$B$10)</f>
        <v>C</v>
      </c>
      <c r="H8228">
        <v>8</v>
      </c>
      <c r="I8228" s="7">
        <v>730</v>
      </c>
      <c r="J8228" s="7">
        <v>551.9</v>
      </c>
      <c r="N8228" s="7">
        <v>230.2</v>
      </c>
      <c r="O8228" s="7">
        <v>169.7</v>
      </c>
    </row>
    <row r="8229" spans="1:22" x14ac:dyDescent="0.2">
      <c r="A8229">
        <v>8228</v>
      </c>
      <c r="B8229" s="1">
        <v>41023</v>
      </c>
      <c r="C8229" t="s">
        <v>24</v>
      </c>
      <c r="D8229" s="7">
        <v>282</v>
      </c>
      <c r="E8229" s="7">
        <v>42</v>
      </c>
      <c r="F8229" s="7">
        <f t="shared" si="128"/>
        <v>3</v>
      </c>
      <c r="G8229" s="7" t="str">
        <f>LOOKUP(H8229,[1]startdates!$A$2:$A$10,[1]startdates!$B$2:$B$10)</f>
        <v>C</v>
      </c>
      <c r="H8229">
        <v>8</v>
      </c>
      <c r="I8229" s="7">
        <v>576</v>
      </c>
      <c r="J8229" s="7">
        <v>546.20000000000005</v>
      </c>
      <c r="N8229" s="7">
        <v>217.3</v>
      </c>
      <c r="O8229" s="7">
        <v>188.1</v>
      </c>
    </row>
    <row r="8230" spans="1:22" x14ac:dyDescent="0.2">
      <c r="A8230">
        <v>8229</v>
      </c>
      <c r="B8230" s="1">
        <v>41023</v>
      </c>
      <c r="C8230" t="s">
        <v>24</v>
      </c>
      <c r="D8230" s="7">
        <v>282</v>
      </c>
      <c r="E8230" s="7">
        <v>42</v>
      </c>
      <c r="F8230" s="7">
        <f t="shared" si="128"/>
        <v>3</v>
      </c>
      <c r="G8230" s="7" t="str">
        <f>LOOKUP(H8230,[1]startdates!$A$2:$A$10,[1]startdates!$B$2:$B$10)</f>
        <v>C</v>
      </c>
      <c r="H8230">
        <v>8</v>
      </c>
      <c r="I8230" s="7">
        <v>718.5</v>
      </c>
      <c r="J8230" s="7">
        <v>573.5</v>
      </c>
      <c r="N8230" s="7">
        <v>199.3</v>
      </c>
      <c r="O8230" s="7">
        <v>171.3</v>
      </c>
    </row>
    <row r="8231" spans="1:22" x14ac:dyDescent="0.2">
      <c r="A8231">
        <v>8230</v>
      </c>
      <c r="B8231" s="1">
        <v>41023</v>
      </c>
      <c r="C8231" t="s">
        <v>24</v>
      </c>
      <c r="D8231" s="7">
        <v>282</v>
      </c>
      <c r="E8231" s="7">
        <v>42</v>
      </c>
      <c r="F8231" s="7">
        <f t="shared" si="128"/>
        <v>3</v>
      </c>
      <c r="G8231" s="7" t="str">
        <f>LOOKUP(H8231,[1]startdates!$A$2:$A$10,[1]startdates!$B$2:$B$10)</f>
        <v>C</v>
      </c>
      <c r="H8231">
        <v>8</v>
      </c>
      <c r="I8231" s="7">
        <v>664.5</v>
      </c>
      <c r="N8231" s="7">
        <v>228.3</v>
      </c>
    </row>
    <row r="8232" spans="1:22" x14ac:dyDescent="0.2">
      <c r="A8232">
        <v>8231</v>
      </c>
      <c r="B8232" s="1">
        <v>41023</v>
      </c>
      <c r="C8232" t="s">
        <v>24</v>
      </c>
      <c r="D8232" s="7">
        <v>282</v>
      </c>
      <c r="E8232" s="7">
        <v>42</v>
      </c>
      <c r="F8232" s="7">
        <f t="shared" si="128"/>
        <v>3</v>
      </c>
      <c r="G8232" s="7" t="str">
        <f>LOOKUP(H8232,[1]startdates!$A$2:$A$10,[1]startdates!$B$2:$B$10)</f>
        <v>C</v>
      </c>
      <c r="H8232">
        <v>8</v>
      </c>
      <c r="I8232" s="7">
        <v>712.9</v>
      </c>
    </row>
    <row r="8233" spans="1:22" x14ac:dyDescent="0.2">
      <c r="A8233">
        <v>8232</v>
      </c>
      <c r="B8233" s="1">
        <v>41023</v>
      </c>
      <c r="C8233" t="s">
        <v>24</v>
      </c>
      <c r="D8233" s="7">
        <v>282</v>
      </c>
      <c r="E8233" s="7">
        <v>42</v>
      </c>
      <c r="F8233" s="7">
        <f t="shared" ref="F8233:F8296" si="129">WEEKDAY(B8233)</f>
        <v>3</v>
      </c>
      <c r="G8233" s="7" t="str">
        <f>LOOKUP(H8233,[1]startdates!$A$2:$A$10,[1]startdates!$B$2:$B$10)</f>
        <v>C</v>
      </c>
      <c r="H8233">
        <v>8</v>
      </c>
      <c r="I8233" s="7">
        <v>694.4</v>
      </c>
    </row>
    <row r="8234" spans="1:22" x14ac:dyDescent="0.2">
      <c r="A8234">
        <v>8233</v>
      </c>
      <c r="B8234" s="1">
        <v>41023</v>
      </c>
      <c r="C8234" t="s">
        <v>24</v>
      </c>
      <c r="D8234" s="7">
        <v>282</v>
      </c>
      <c r="E8234" s="7">
        <v>42</v>
      </c>
      <c r="F8234" s="7">
        <f t="shared" si="129"/>
        <v>3</v>
      </c>
      <c r="G8234" s="7" t="str">
        <f>LOOKUP(H8234,[1]startdates!$A$2:$A$10,[1]startdates!$B$2:$B$10)</f>
        <v>FMr</v>
      </c>
      <c r="H8234">
        <v>9</v>
      </c>
      <c r="I8234" s="7">
        <v>622.29999999999995</v>
      </c>
      <c r="J8234" s="7">
        <v>576</v>
      </c>
      <c r="K8234" s="7">
        <v>529.4</v>
      </c>
      <c r="L8234" s="7">
        <v>438.3</v>
      </c>
      <c r="M8234" s="7">
        <v>344.2</v>
      </c>
      <c r="N8234" s="7">
        <v>257.7</v>
      </c>
      <c r="O8234" s="7">
        <v>171.3</v>
      </c>
      <c r="P8234" s="7">
        <v>502</v>
      </c>
      <c r="Q8234" s="7">
        <v>343.5</v>
      </c>
      <c r="R8234" s="7">
        <v>272.39999999999998</v>
      </c>
      <c r="S8234" s="7">
        <v>229.6</v>
      </c>
      <c r="V8234" s="7">
        <v>507.7</v>
      </c>
    </row>
    <row r="8235" spans="1:22" x14ac:dyDescent="0.2">
      <c r="A8235">
        <v>8234</v>
      </c>
      <c r="B8235" s="1">
        <v>41023</v>
      </c>
      <c r="C8235" t="s">
        <v>24</v>
      </c>
      <c r="D8235" s="7">
        <v>282</v>
      </c>
      <c r="E8235" s="7">
        <v>42</v>
      </c>
      <c r="F8235" s="7">
        <f t="shared" si="129"/>
        <v>3</v>
      </c>
      <c r="G8235" s="7" t="str">
        <f>LOOKUP(H8235,[1]startdates!$A$2:$A$10,[1]startdates!$B$2:$B$10)</f>
        <v>FMr</v>
      </c>
      <c r="H8235">
        <v>9</v>
      </c>
      <c r="I8235" s="7">
        <v>664.1</v>
      </c>
      <c r="J8235" s="7">
        <v>492.7</v>
      </c>
      <c r="K8235" s="7">
        <v>539.6</v>
      </c>
      <c r="L8235" s="7">
        <v>420.8</v>
      </c>
      <c r="M8235" s="7">
        <v>385.3</v>
      </c>
      <c r="N8235" s="7">
        <v>246.1</v>
      </c>
      <c r="O8235" s="7">
        <v>147</v>
      </c>
      <c r="P8235" s="7">
        <v>449.5</v>
      </c>
      <c r="Q8235" s="7">
        <v>309.39999999999998</v>
      </c>
      <c r="R8235" s="7">
        <v>250.7</v>
      </c>
      <c r="V8235" s="7">
        <v>506.6</v>
      </c>
    </row>
    <row r="8236" spans="1:22" x14ac:dyDescent="0.2">
      <c r="A8236">
        <v>8235</v>
      </c>
      <c r="B8236" s="1">
        <v>41023</v>
      </c>
      <c r="C8236" t="s">
        <v>24</v>
      </c>
      <c r="D8236" s="7">
        <v>282</v>
      </c>
      <c r="E8236" s="7">
        <v>42</v>
      </c>
      <c r="F8236" s="7">
        <f t="shared" si="129"/>
        <v>3</v>
      </c>
      <c r="G8236" s="7" t="str">
        <f>LOOKUP(H8236,[1]startdates!$A$2:$A$10,[1]startdates!$B$2:$B$10)</f>
        <v>FMr</v>
      </c>
      <c r="H8236">
        <v>9</v>
      </c>
      <c r="I8236" s="7">
        <v>642.1</v>
      </c>
      <c r="J8236" s="7">
        <v>525.6</v>
      </c>
      <c r="K8236" s="7">
        <v>487.9</v>
      </c>
      <c r="L8236" s="7">
        <v>436.6</v>
      </c>
      <c r="M8236" s="7">
        <v>388.3</v>
      </c>
      <c r="N8236" s="7">
        <v>242.5</v>
      </c>
      <c r="O8236" s="7">
        <v>137.6</v>
      </c>
      <c r="P8236" s="7">
        <v>443.3</v>
      </c>
      <c r="Q8236" s="7">
        <v>334.6</v>
      </c>
      <c r="R8236" s="7">
        <v>258.10000000000002</v>
      </c>
      <c r="V8236" s="7">
        <v>521.79999999999995</v>
      </c>
    </row>
    <row r="8237" spans="1:22" x14ac:dyDescent="0.2">
      <c r="A8237">
        <v>8236</v>
      </c>
      <c r="B8237" s="1">
        <v>41023</v>
      </c>
      <c r="C8237" t="s">
        <v>24</v>
      </c>
      <c r="D8237" s="7">
        <v>282</v>
      </c>
      <c r="E8237" s="7">
        <v>42</v>
      </c>
      <c r="F8237" s="7">
        <f t="shared" si="129"/>
        <v>3</v>
      </c>
      <c r="G8237" s="7" t="str">
        <f>LOOKUP(H8237,[1]startdates!$A$2:$A$10,[1]startdates!$B$2:$B$10)</f>
        <v>FMr</v>
      </c>
      <c r="H8237">
        <v>9</v>
      </c>
      <c r="I8237" s="7">
        <v>669.4</v>
      </c>
      <c r="J8237" s="7">
        <v>513.5</v>
      </c>
      <c r="K8237" s="7">
        <v>560.1</v>
      </c>
      <c r="L8237" s="7">
        <v>435.1</v>
      </c>
      <c r="M8237" s="7">
        <v>357.8</v>
      </c>
      <c r="N8237" s="7">
        <v>242.8</v>
      </c>
      <c r="O8237" s="7">
        <v>163</v>
      </c>
      <c r="P8237" s="7">
        <v>434</v>
      </c>
      <c r="Q8237" s="7">
        <v>380.4</v>
      </c>
    </row>
    <row r="8238" spans="1:22" x14ac:dyDescent="0.2">
      <c r="A8238">
        <v>8237</v>
      </c>
      <c r="B8238" s="1">
        <v>41023</v>
      </c>
      <c r="C8238" t="s">
        <v>24</v>
      </c>
      <c r="D8238" s="7">
        <v>282</v>
      </c>
      <c r="E8238" s="7">
        <v>42</v>
      </c>
      <c r="F8238" s="7">
        <f t="shared" si="129"/>
        <v>3</v>
      </c>
      <c r="G8238" s="7" t="str">
        <f>LOOKUP(H8238,[1]startdates!$A$2:$A$10,[1]startdates!$B$2:$B$10)</f>
        <v>FMr</v>
      </c>
      <c r="H8238">
        <v>9</v>
      </c>
      <c r="I8238" s="7">
        <v>609</v>
      </c>
      <c r="K8238" s="7">
        <v>566.1</v>
      </c>
      <c r="L8238" s="7">
        <v>459.5</v>
      </c>
      <c r="M8238" s="7">
        <v>368.2</v>
      </c>
      <c r="N8238" s="7">
        <v>208.5</v>
      </c>
      <c r="O8238" s="7">
        <v>177.9</v>
      </c>
    </row>
    <row r="8239" spans="1:22" x14ac:dyDescent="0.2">
      <c r="A8239">
        <v>8238</v>
      </c>
      <c r="B8239" s="1">
        <v>41023</v>
      </c>
      <c r="C8239" t="s">
        <v>24</v>
      </c>
      <c r="D8239" s="7">
        <v>282</v>
      </c>
      <c r="E8239" s="7">
        <v>42</v>
      </c>
      <c r="F8239" s="7">
        <f t="shared" si="129"/>
        <v>3</v>
      </c>
      <c r="G8239" s="7" t="str">
        <f>LOOKUP(H8239,[1]startdates!$A$2:$A$10,[1]startdates!$B$2:$B$10)</f>
        <v>FMr</v>
      </c>
      <c r="H8239">
        <v>9</v>
      </c>
      <c r="I8239" s="7">
        <v>578.79999999999995</v>
      </c>
      <c r="K8239" s="7">
        <v>574.1</v>
      </c>
      <c r="L8239" s="7">
        <v>394.8</v>
      </c>
      <c r="M8239" s="7">
        <v>316.3</v>
      </c>
      <c r="N8239" s="7">
        <v>243</v>
      </c>
      <c r="O8239" s="7">
        <v>170.6</v>
      </c>
    </row>
    <row r="8240" spans="1:22" x14ac:dyDescent="0.2">
      <c r="A8240">
        <v>8239</v>
      </c>
      <c r="B8240" s="1">
        <v>41023</v>
      </c>
      <c r="C8240" t="s">
        <v>24</v>
      </c>
      <c r="D8240" s="7">
        <v>282</v>
      </c>
      <c r="E8240" s="7">
        <v>42</v>
      </c>
      <c r="F8240" s="7">
        <f t="shared" si="129"/>
        <v>3</v>
      </c>
      <c r="G8240" s="7" t="str">
        <f>LOOKUP(H8240,[1]startdates!$A$2:$A$10,[1]startdates!$B$2:$B$10)</f>
        <v>FMr</v>
      </c>
      <c r="H8240">
        <v>9</v>
      </c>
      <c r="I8240" s="7">
        <v>680.7</v>
      </c>
      <c r="K8240" s="7">
        <v>582.1</v>
      </c>
      <c r="L8240" s="7">
        <v>438.1</v>
      </c>
      <c r="M8240" s="7">
        <v>319.39999999999998</v>
      </c>
      <c r="N8240" s="7">
        <v>190.1</v>
      </c>
      <c r="O8240" s="7">
        <v>163.4</v>
      </c>
    </row>
    <row r="8241" spans="1:21" x14ac:dyDescent="0.2">
      <c r="A8241">
        <v>8240</v>
      </c>
      <c r="B8241" s="1">
        <v>41023</v>
      </c>
      <c r="C8241" t="s">
        <v>24</v>
      </c>
      <c r="D8241" s="7">
        <v>282</v>
      </c>
      <c r="E8241" s="7">
        <v>42</v>
      </c>
      <c r="F8241" s="7">
        <f t="shared" si="129"/>
        <v>3</v>
      </c>
      <c r="G8241" s="7" t="str">
        <f>LOOKUP(H8241,[1]startdates!$A$2:$A$10,[1]startdates!$B$2:$B$10)</f>
        <v>FMr</v>
      </c>
      <c r="H8241">
        <v>9</v>
      </c>
      <c r="I8241" s="7">
        <v>571.4</v>
      </c>
      <c r="K8241" s="7">
        <v>546.9</v>
      </c>
      <c r="M8241" s="7">
        <v>341.1</v>
      </c>
      <c r="N8241" s="7">
        <v>220.9</v>
      </c>
      <c r="O8241" s="7">
        <v>183.4</v>
      </c>
    </row>
    <row r="8242" spans="1:21" x14ac:dyDescent="0.2">
      <c r="A8242">
        <v>8241</v>
      </c>
      <c r="B8242" s="1">
        <v>41023</v>
      </c>
      <c r="C8242" t="s">
        <v>24</v>
      </c>
      <c r="D8242" s="7">
        <v>282</v>
      </c>
      <c r="E8242" s="7">
        <v>42</v>
      </c>
      <c r="F8242" s="7">
        <f t="shared" si="129"/>
        <v>3</v>
      </c>
      <c r="G8242" s="7" t="str">
        <f>LOOKUP(H8242,[1]startdates!$A$2:$A$10,[1]startdates!$B$2:$B$10)</f>
        <v>FMr</v>
      </c>
      <c r="H8242">
        <v>9</v>
      </c>
      <c r="I8242" s="7">
        <v>571</v>
      </c>
      <c r="K8242" s="7">
        <v>526</v>
      </c>
      <c r="M8242" s="7">
        <v>354.4</v>
      </c>
      <c r="N8242" s="7">
        <v>185</v>
      </c>
      <c r="O8242" s="7">
        <v>190.1</v>
      </c>
    </row>
    <row r="8243" spans="1:21" x14ac:dyDescent="0.2">
      <c r="A8243">
        <v>8242</v>
      </c>
      <c r="B8243" s="1">
        <v>41023</v>
      </c>
      <c r="C8243" t="s">
        <v>24</v>
      </c>
      <c r="D8243" s="7">
        <v>282</v>
      </c>
      <c r="E8243" s="7">
        <v>42</v>
      </c>
      <c r="F8243" s="7">
        <f t="shared" si="129"/>
        <v>3</v>
      </c>
      <c r="G8243" s="7" t="str">
        <f>LOOKUP(H8243,[1]startdates!$A$2:$A$10,[1]startdates!$B$2:$B$10)</f>
        <v>FMr</v>
      </c>
      <c r="H8243">
        <v>9</v>
      </c>
      <c r="I8243" s="7">
        <v>666</v>
      </c>
      <c r="M8243" s="7">
        <v>304.39999999999998</v>
      </c>
      <c r="N8243" s="7">
        <v>157.69999999999999</v>
      </c>
      <c r="O8243" s="7">
        <v>184.1</v>
      </c>
    </row>
    <row r="8244" spans="1:21" x14ac:dyDescent="0.2">
      <c r="A8244">
        <v>8243</v>
      </c>
      <c r="B8244" s="1">
        <v>41037</v>
      </c>
      <c r="C8244" t="s">
        <v>28</v>
      </c>
      <c r="D8244" s="7">
        <v>296</v>
      </c>
      <c r="E8244" s="7">
        <v>44</v>
      </c>
      <c r="F8244" s="7">
        <f t="shared" si="129"/>
        <v>3</v>
      </c>
      <c r="G8244" s="7" t="str">
        <f>LOOKUP(H8244,[1]startdates!$A$2:$A$10,[1]startdates!$B$2:$B$10)</f>
        <v>SMr</v>
      </c>
      <c r="H8244">
        <v>1</v>
      </c>
      <c r="I8244" s="7">
        <v>625.6</v>
      </c>
      <c r="J8244" s="7">
        <v>516.29999999999995</v>
      </c>
      <c r="K8244" s="7">
        <v>581.5</v>
      </c>
      <c r="L8244" s="7">
        <v>409.7</v>
      </c>
      <c r="M8244" s="7">
        <v>315</v>
      </c>
      <c r="N8244" s="7">
        <v>205.3</v>
      </c>
      <c r="O8244" s="7">
        <v>191</v>
      </c>
      <c r="Q8244" s="7">
        <v>391.1</v>
      </c>
      <c r="R8244" s="7">
        <v>251.3</v>
      </c>
      <c r="U8244" s="7">
        <v>458</v>
      </c>
    </row>
    <row r="8245" spans="1:21" x14ac:dyDescent="0.2">
      <c r="A8245">
        <v>8244</v>
      </c>
      <c r="B8245" s="1">
        <v>41037</v>
      </c>
      <c r="C8245" t="s">
        <v>28</v>
      </c>
      <c r="D8245" s="7">
        <v>296</v>
      </c>
      <c r="E8245" s="7">
        <v>44</v>
      </c>
      <c r="F8245" s="7">
        <f t="shared" si="129"/>
        <v>3</v>
      </c>
      <c r="G8245" s="7" t="str">
        <f>LOOKUP(H8245,[1]startdates!$A$2:$A$10,[1]startdates!$B$2:$B$10)</f>
        <v>SMr</v>
      </c>
      <c r="H8245">
        <v>1</v>
      </c>
      <c r="I8245" s="7">
        <v>711.9</v>
      </c>
      <c r="J8245" s="7">
        <v>614.4</v>
      </c>
      <c r="L8245" s="7">
        <v>458.7</v>
      </c>
      <c r="M8245" s="7">
        <v>340.3</v>
      </c>
      <c r="N8245" s="7">
        <v>206.1</v>
      </c>
      <c r="O8245" s="7">
        <v>181.1</v>
      </c>
      <c r="Q8245" s="7">
        <v>320.3</v>
      </c>
      <c r="R8245" s="7">
        <v>260</v>
      </c>
    </row>
    <row r="8246" spans="1:21" x14ac:dyDescent="0.2">
      <c r="A8246">
        <v>8245</v>
      </c>
      <c r="B8246" s="1">
        <v>41037</v>
      </c>
      <c r="C8246" t="s">
        <v>28</v>
      </c>
      <c r="D8246" s="7">
        <v>296</v>
      </c>
      <c r="E8246" s="7">
        <v>44</v>
      </c>
      <c r="F8246" s="7">
        <f t="shared" si="129"/>
        <v>3</v>
      </c>
      <c r="G8246" s="7" t="str">
        <f>LOOKUP(H8246,[1]startdates!$A$2:$A$10,[1]startdates!$B$2:$B$10)</f>
        <v>SMr</v>
      </c>
      <c r="H8246">
        <v>1</v>
      </c>
      <c r="I8246" s="7">
        <v>613.20000000000005</v>
      </c>
      <c r="J8246" s="7">
        <v>583.29999999999995</v>
      </c>
      <c r="M8246" s="7">
        <v>367.6</v>
      </c>
      <c r="N8246" s="7">
        <v>200.3</v>
      </c>
      <c r="O8246" s="7">
        <v>172.6</v>
      </c>
      <c r="R8246" s="7">
        <v>253.6</v>
      </c>
    </row>
    <row r="8247" spans="1:21" x14ac:dyDescent="0.2">
      <c r="A8247">
        <v>8246</v>
      </c>
      <c r="B8247" s="1">
        <v>41037</v>
      </c>
      <c r="C8247" t="s">
        <v>28</v>
      </c>
      <c r="D8247" s="7">
        <v>296</v>
      </c>
      <c r="E8247" s="7">
        <v>44</v>
      </c>
      <c r="F8247" s="7">
        <f t="shared" si="129"/>
        <v>3</v>
      </c>
      <c r="G8247" s="7" t="str">
        <f>LOOKUP(H8247,[1]startdates!$A$2:$A$10,[1]startdates!$B$2:$B$10)</f>
        <v>SMr</v>
      </c>
      <c r="H8247">
        <v>1</v>
      </c>
      <c r="I8247" s="7">
        <v>642.1</v>
      </c>
      <c r="J8247" s="7">
        <v>568.6</v>
      </c>
      <c r="M8247" s="7">
        <v>318.10000000000002</v>
      </c>
      <c r="N8247" s="7">
        <v>205.5</v>
      </c>
      <c r="O8247" s="7">
        <v>151.4</v>
      </c>
    </row>
    <row r="8248" spans="1:21" x14ac:dyDescent="0.2">
      <c r="A8248">
        <v>8247</v>
      </c>
      <c r="B8248" s="1">
        <v>41037</v>
      </c>
      <c r="C8248" t="s">
        <v>28</v>
      </c>
      <c r="D8248" s="7">
        <v>296</v>
      </c>
      <c r="E8248" s="7">
        <v>44</v>
      </c>
      <c r="F8248" s="7">
        <f t="shared" si="129"/>
        <v>3</v>
      </c>
      <c r="G8248" s="7" t="str">
        <f>LOOKUP(H8248,[1]startdates!$A$2:$A$10,[1]startdates!$B$2:$B$10)</f>
        <v>SMr</v>
      </c>
      <c r="H8248">
        <v>1</v>
      </c>
      <c r="I8248" s="7">
        <v>626</v>
      </c>
      <c r="J8248" s="7">
        <v>558.70000000000005</v>
      </c>
      <c r="M8248" s="7">
        <v>380.1</v>
      </c>
      <c r="N8248" s="7">
        <v>201.4</v>
      </c>
      <c r="O8248" s="7">
        <v>193</v>
      </c>
    </row>
    <row r="8249" spans="1:21" x14ac:dyDescent="0.2">
      <c r="A8249">
        <v>8248</v>
      </c>
      <c r="B8249" s="1">
        <v>41037</v>
      </c>
      <c r="C8249" t="s">
        <v>28</v>
      </c>
      <c r="D8249" s="7">
        <v>296</v>
      </c>
      <c r="E8249" s="7">
        <v>44</v>
      </c>
      <c r="F8249" s="7">
        <f t="shared" si="129"/>
        <v>3</v>
      </c>
      <c r="G8249" s="7" t="str">
        <f>LOOKUP(H8249,[1]startdates!$A$2:$A$10,[1]startdates!$B$2:$B$10)</f>
        <v>SMr</v>
      </c>
      <c r="H8249">
        <v>1</v>
      </c>
      <c r="I8249" s="7">
        <v>672.7</v>
      </c>
      <c r="J8249" s="7">
        <v>469.7</v>
      </c>
      <c r="M8249" s="7">
        <v>380.1</v>
      </c>
      <c r="N8249" s="7">
        <v>224</v>
      </c>
      <c r="O8249" s="7">
        <v>165.7</v>
      </c>
    </row>
    <row r="8250" spans="1:21" x14ac:dyDescent="0.2">
      <c r="A8250">
        <v>8249</v>
      </c>
      <c r="B8250" s="1">
        <v>41037</v>
      </c>
      <c r="C8250" t="s">
        <v>28</v>
      </c>
      <c r="D8250" s="7">
        <v>296</v>
      </c>
      <c r="E8250" s="7">
        <v>44</v>
      </c>
      <c r="F8250" s="7">
        <f t="shared" si="129"/>
        <v>3</v>
      </c>
      <c r="G8250" s="7" t="str">
        <f>LOOKUP(H8250,[1]startdates!$A$2:$A$10,[1]startdates!$B$2:$B$10)</f>
        <v>SMr</v>
      </c>
      <c r="H8250">
        <v>1</v>
      </c>
      <c r="I8250" s="7">
        <v>659.4</v>
      </c>
      <c r="J8250" s="7">
        <v>479.3</v>
      </c>
      <c r="M8250" s="7">
        <v>311</v>
      </c>
      <c r="N8250" s="7">
        <v>216.8</v>
      </c>
      <c r="O8250" s="7">
        <v>161.4</v>
      </c>
    </row>
    <row r="8251" spans="1:21" x14ac:dyDescent="0.2">
      <c r="A8251">
        <v>8250</v>
      </c>
      <c r="B8251" s="1">
        <v>41037</v>
      </c>
      <c r="C8251" t="s">
        <v>28</v>
      </c>
      <c r="D8251" s="7">
        <v>296</v>
      </c>
      <c r="E8251" s="7">
        <v>44</v>
      </c>
      <c r="F8251" s="7">
        <f t="shared" si="129"/>
        <v>3</v>
      </c>
      <c r="G8251" s="7" t="str">
        <f>LOOKUP(H8251,[1]startdates!$A$2:$A$10,[1]startdates!$B$2:$B$10)</f>
        <v>SMr</v>
      </c>
      <c r="H8251">
        <v>1</v>
      </c>
      <c r="I8251" s="7">
        <v>645.4</v>
      </c>
      <c r="J8251" s="7">
        <v>492.1</v>
      </c>
      <c r="M8251" s="7">
        <v>318.10000000000002</v>
      </c>
      <c r="N8251" s="7">
        <v>181.3</v>
      </c>
      <c r="O8251" s="7">
        <v>173.7</v>
      </c>
    </row>
    <row r="8252" spans="1:21" x14ac:dyDescent="0.2">
      <c r="A8252">
        <v>8251</v>
      </c>
      <c r="B8252" s="1">
        <v>41037</v>
      </c>
      <c r="C8252" t="s">
        <v>28</v>
      </c>
      <c r="D8252" s="7">
        <v>296</v>
      </c>
      <c r="E8252" s="7">
        <v>44</v>
      </c>
      <c r="F8252" s="7">
        <f t="shared" si="129"/>
        <v>3</v>
      </c>
      <c r="G8252" s="7" t="str">
        <f>LOOKUP(H8252,[1]startdates!$A$2:$A$10,[1]startdates!$B$2:$B$10)</f>
        <v>SMr</v>
      </c>
      <c r="H8252">
        <v>1</v>
      </c>
      <c r="I8252" s="7">
        <v>677.5</v>
      </c>
      <c r="J8252" s="7">
        <v>472.9</v>
      </c>
      <c r="M8252" s="7">
        <v>315.89999999999998</v>
      </c>
      <c r="N8252" s="7">
        <v>241.2</v>
      </c>
      <c r="O8252" s="7">
        <v>156.80000000000001</v>
      </c>
    </row>
    <row r="8253" spans="1:21" x14ac:dyDescent="0.2">
      <c r="A8253">
        <v>8252</v>
      </c>
      <c r="B8253" s="1">
        <v>41037</v>
      </c>
      <c r="C8253" t="s">
        <v>28</v>
      </c>
      <c r="D8253" s="7">
        <v>296</v>
      </c>
      <c r="E8253" s="7">
        <v>44</v>
      </c>
      <c r="F8253" s="7">
        <f t="shared" si="129"/>
        <v>3</v>
      </c>
      <c r="G8253" s="7" t="str">
        <f>LOOKUP(H8253,[1]startdates!$A$2:$A$10,[1]startdates!$B$2:$B$10)</f>
        <v>SMr</v>
      </c>
      <c r="H8253">
        <v>1</v>
      </c>
      <c r="I8253" s="7">
        <v>612.6</v>
      </c>
      <c r="J8253" s="7">
        <v>523.1</v>
      </c>
      <c r="M8253" s="7">
        <v>370.6</v>
      </c>
      <c r="O8253" s="7">
        <v>170.8</v>
      </c>
    </row>
    <row r="8254" spans="1:21" x14ac:dyDescent="0.2">
      <c r="A8254">
        <v>8253</v>
      </c>
      <c r="B8254" s="1">
        <v>41037</v>
      </c>
      <c r="C8254" t="s">
        <v>24</v>
      </c>
      <c r="D8254" s="7">
        <v>296</v>
      </c>
      <c r="E8254" s="7">
        <v>44</v>
      </c>
      <c r="F8254" s="7">
        <f t="shared" si="129"/>
        <v>3</v>
      </c>
      <c r="G8254" s="7" t="str">
        <f>LOOKUP(H8254,[1]startdates!$A$2:$A$10,[1]startdates!$B$2:$B$10)</f>
        <v>SMr</v>
      </c>
      <c r="H8254">
        <v>2</v>
      </c>
      <c r="I8254" s="7">
        <v>608.4</v>
      </c>
      <c r="J8254" s="7">
        <v>468.6</v>
      </c>
      <c r="K8254" s="7">
        <v>424.4</v>
      </c>
      <c r="L8254" s="7">
        <v>449.4</v>
      </c>
      <c r="M8254" s="7">
        <v>392.2</v>
      </c>
      <c r="N8254" s="7">
        <v>273.2</v>
      </c>
      <c r="O8254" s="7">
        <v>192.7</v>
      </c>
      <c r="P8254" s="7">
        <v>432.2</v>
      </c>
      <c r="R8254" s="7">
        <v>290.89999999999998</v>
      </c>
      <c r="S8254" s="7">
        <v>229.7</v>
      </c>
      <c r="U8254" s="7">
        <v>445.5</v>
      </c>
    </row>
    <row r="8255" spans="1:21" x14ac:dyDescent="0.2">
      <c r="A8255">
        <v>8254</v>
      </c>
      <c r="B8255" s="1">
        <v>41037</v>
      </c>
      <c r="C8255" t="s">
        <v>24</v>
      </c>
      <c r="D8255" s="7">
        <v>296</v>
      </c>
      <c r="E8255" s="7">
        <v>44</v>
      </c>
      <c r="F8255" s="7">
        <f t="shared" si="129"/>
        <v>3</v>
      </c>
      <c r="G8255" s="7" t="str">
        <f>LOOKUP(H8255,[1]startdates!$A$2:$A$10,[1]startdates!$B$2:$B$10)</f>
        <v>SMr</v>
      </c>
      <c r="H8255">
        <v>2</v>
      </c>
      <c r="I8255" s="7">
        <v>517.6</v>
      </c>
      <c r="J8255" s="7">
        <v>473.9</v>
      </c>
      <c r="K8255" s="7">
        <v>447.3</v>
      </c>
      <c r="L8255" s="7">
        <v>411.6</v>
      </c>
      <c r="M8255" s="7">
        <v>374.9</v>
      </c>
      <c r="N8255" s="7">
        <v>203.3</v>
      </c>
      <c r="O8255" s="7">
        <v>163.5</v>
      </c>
      <c r="U8255" s="7">
        <v>553.20000000000005</v>
      </c>
    </row>
    <row r="8256" spans="1:21" x14ac:dyDescent="0.2">
      <c r="A8256">
        <v>8255</v>
      </c>
      <c r="B8256" s="1">
        <v>41037</v>
      </c>
      <c r="C8256" t="s">
        <v>24</v>
      </c>
      <c r="D8256" s="7">
        <v>296</v>
      </c>
      <c r="E8256" s="7">
        <v>44</v>
      </c>
      <c r="F8256" s="7">
        <f t="shared" si="129"/>
        <v>3</v>
      </c>
      <c r="G8256" s="7" t="str">
        <f>LOOKUP(H8256,[1]startdates!$A$2:$A$10,[1]startdates!$B$2:$B$10)</f>
        <v>SMr</v>
      </c>
      <c r="H8256">
        <v>2</v>
      </c>
      <c r="I8256" s="7">
        <v>582.20000000000005</v>
      </c>
      <c r="K8256" s="7">
        <v>476.4</v>
      </c>
      <c r="M8256" s="7">
        <v>385.5</v>
      </c>
      <c r="N8256" s="7">
        <v>214</v>
      </c>
      <c r="O8256" s="7">
        <v>156</v>
      </c>
      <c r="U8256" s="7">
        <v>399.3</v>
      </c>
    </row>
    <row r="8257" spans="1:21" x14ac:dyDescent="0.2">
      <c r="A8257">
        <v>8256</v>
      </c>
      <c r="B8257" s="1">
        <v>41037</v>
      </c>
      <c r="C8257" t="s">
        <v>24</v>
      </c>
      <c r="D8257" s="7">
        <v>296</v>
      </c>
      <c r="E8257" s="7">
        <v>44</v>
      </c>
      <c r="F8257" s="7">
        <f t="shared" si="129"/>
        <v>3</v>
      </c>
      <c r="G8257" s="7" t="str">
        <f>LOOKUP(H8257,[1]startdates!$A$2:$A$10,[1]startdates!$B$2:$B$10)</f>
        <v>SMr</v>
      </c>
      <c r="H8257">
        <v>2</v>
      </c>
      <c r="I8257" s="7">
        <v>574.1</v>
      </c>
      <c r="K8257" s="7">
        <v>413.6</v>
      </c>
      <c r="M8257" s="7">
        <v>315.60000000000002</v>
      </c>
      <c r="N8257" s="7">
        <v>244.1</v>
      </c>
      <c r="O8257" s="7">
        <v>166.5</v>
      </c>
      <c r="U8257" s="7">
        <v>429.7</v>
      </c>
    </row>
    <row r="8258" spans="1:21" x14ac:dyDescent="0.2">
      <c r="A8258">
        <v>8257</v>
      </c>
      <c r="B8258" s="1">
        <v>41037</v>
      </c>
      <c r="C8258" t="s">
        <v>24</v>
      </c>
      <c r="D8258" s="7">
        <v>296</v>
      </c>
      <c r="E8258" s="7">
        <v>44</v>
      </c>
      <c r="F8258" s="7">
        <f t="shared" si="129"/>
        <v>3</v>
      </c>
      <c r="G8258" s="7" t="str">
        <f>LOOKUP(H8258,[1]startdates!$A$2:$A$10,[1]startdates!$B$2:$B$10)</f>
        <v>SMr</v>
      </c>
      <c r="H8258">
        <v>2</v>
      </c>
      <c r="I8258" s="7">
        <v>599.79999999999995</v>
      </c>
      <c r="K8258" s="7">
        <v>423.3</v>
      </c>
      <c r="M8258" s="7">
        <v>364.4</v>
      </c>
      <c r="N8258" s="7">
        <v>240</v>
      </c>
      <c r="O8258" s="7">
        <v>195.2</v>
      </c>
      <c r="U8258" s="7">
        <v>373.8</v>
      </c>
    </row>
    <row r="8259" spans="1:21" x14ac:dyDescent="0.2">
      <c r="A8259">
        <v>8258</v>
      </c>
      <c r="B8259" s="1">
        <v>41037</v>
      </c>
      <c r="C8259" t="s">
        <v>24</v>
      </c>
      <c r="D8259" s="7">
        <v>296</v>
      </c>
      <c r="E8259" s="7">
        <v>44</v>
      </c>
      <c r="F8259" s="7">
        <f t="shared" si="129"/>
        <v>3</v>
      </c>
      <c r="G8259" s="7" t="str">
        <f>LOOKUP(H8259,[1]startdates!$A$2:$A$10,[1]startdates!$B$2:$B$10)</f>
        <v>SMr</v>
      </c>
      <c r="H8259">
        <v>2</v>
      </c>
      <c r="I8259" s="7">
        <v>628</v>
      </c>
      <c r="M8259" s="7">
        <v>293.8</v>
      </c>
      <c r="N8259" s="7">
        <v>237.1</v>
      </c>
      <c r="O8259" s="7">
        <v>167.7</v>
      </c>
    </row>
    <row r="8260" spans="1:21" x14ac:dyDescent="0.2">
      <c r="A8260">
        <v>8259</v>
      </c>
      <c r="B8260" s="1">
        <v>41037</v>
      </c>
      <c r="C8260" t="s">
        <v>24</v>
      </c>
      <c r="D8260" s="7">
        <v>296</v>
      </c>
      <c r="E8260" s="7">
        <v>44</v>
      </c>
      <c r="F8260" s="7">
        <f t="shared" si="129"/>
        <v>3</v>
      </c>
      <c r="G8260" s="7" t="str">
        <f>LOOKUP(H8260,[1]startdates!$A$2:$A$10,[1]startdates!$B$2:$B$10)</f>
        <v>SMr</v>
      </c>
      <c r="H8260">
        <v>2</v>
      </c>
      <c r="I8260" s="7">
        <v>562.70000000000005</v>
      </c>
      <c r="M8260" s="7">
        <v>283.10000000000002</v>
      </c>
      <c r="N8260" s="7">
        <v>252.6</v>
      </c>
      <c r="O8260" s="7">
        <v>189.5</v>
      </c>
    </row>
    <row r="8261" spans="1:21" x14ac:dyDescent="0.2">
      <c r="A8261">
        <v>8260</v>
      </c>
      <c r="B8261" s="1">
        <v>41037</v>
      </c>
      <c r="C8261" t="s">
        <v>24</v>
      </c>
      <c r="D8261" s="7">
        <v>296</v>
      </c>
      <c r="E8261" s="7">
        <v>44</v>
      </c>
      <c r="F8261" s="7">
        <f t="shared" si="129"/>
        <v>3</v>
      </c>
      <c r="G8261" s="7" t="str">
        <f>LOOKUP(H8261,[1]startdates!$A$2:$A$10,[1]startdates!$B$2:$B$10)</f>
        <v>SMr</v>
      </c>
      <c r="H8261">
        <v>2</v>
      </c>
      <c r="I8261" s="7">
        <v>648.4</v>
      </c>
      <c r="M8261" s="7">
        <v>271</v>
      </c>
      <c r="N8261" s="7">
        <v>247.7</v>
      </c>
      <c r="O8261" s="7">
        <v>163.1</v>
      </c>
    </row>
    <row r="8262" spans="1:21" x14ac:dyDescent="0.2">
      <c r="A8262">
        <v>8261</v>
      </c>
      <c r="B8262" s="1">
        <v>41037</v>
      </c>
      <c r="C8262" t="s">
        <v>24</v>
      </c>
      <c r="D8262" s="7">
        <v>296</v>
      </c>
      <c r="E8262" s="7">
        <v>44</v>
      </c>
      <c r="F8262" s="7">
        <f t="shared" si="129"/>
        <v>3</v>
      </c>
      <c r="G8262" s="7" t="str">
        <f>LOOKUP(H8262,[1]startdates!$A$2:$A$10,[1]startdates!$B$2:$B$10)</f>
        <v>SMr</v>
      </c>
      <c r="H8262">
        <v>2</v>
      </c>
      <c r="I8262" s="7">
        <v>509.5</v>
      </c>
      <c r="M8262" s="7">
        <v>261.39999999999998</v>
      </c>
      <c r="N8262" s="7">
        <v>210</v>
      </c>
      <c r="O8262" s="7">
        <v>184.7</v>
      </c>
    </row>
    <row r="8263" spans="1:21" x14ac:dyDescent="0.2">
      <c r="A8263">
        <v>8262</v>
      </c>
      <c r="B8263" s="1">
        <v>41037</v>
      </c>
      <c r="C8263" t="s">
        <v>24</v>
      </c>
      <c r="D8263" s="7">
        <v>296</v>
      </c>
      <c r="E8263" s="7">
        <v>44</v>
      </c>
      <c r="F8263" s="7">
        <f t="shared" si="129"/>
        <v>3</v>
      </c>
      <c r="G8263" s="7" t="str">
        <f>LOOKUP(H8263,[1]startdates!$A$2:$A$10,[1]startdates!$B$2:$B$10)</f>
        <v>SMr</v>
      </c>
      <c r="H8263">
        <v>2</v>
      </c>
      <c r="N8263" s="7">
        <v>225.7</v>
      </c>
      <c r="O8263" s="7">
        <v>179.8</v>
      </c>
    </row>
    <row r="8264" spans="1:21" x14ac:dyDescent="0.2">
      <c r="A8264">
        <v>8263</v>
      </c>
      <c r="B8264" s="1">
        <v>41037</v>
      </c>
      <c r="C8264" t="s">
        <v>24</v>
      </c>
      <c r="D8264" s="7">
        <v>296</v>
      </c>
      <c r="E8264" s="7">
        <v>44</v>
      </c>
      <c r="F8264" s="7">
        <f t="shared" si="129"/>
        <v>3</v>
      </c>
      <c r="G8264" s="7" t="str">
        <f>LOOKUP(H8264,[1]startdates!$A$2:$A$10,[1]startdates!$B$2:$B$10)</f>
        <v>C</v>
      </c>
      <c r="H8264">
        <v>3</v>
      </c>
      <c r="I8264" s="7">
        <v>670.8</v>
      </c>
      <c r="J8264" s="7">
        <v>493</v>
      </c>
      <c r="K8264" s="7">
        <v>596.20000000000005</v>
      </c>
      <c r="L8264" s="7">
        <v>414.2</v>
      </c>
      <c r="M8264" s="7">
        <v>343.2</v>
      </c>
      <c r="N8264" s="7">
        <v>234.5</v>
      </c>
      <c r="O8264" s="7">
        <v>169.4</v>
      </c>
      <c r="Q8264" s="7">
        <v>341.1</v>
      </c>
    </row>
    <row r="8265" spans="1:21" x14ac:dyDescent="0.2">
      <c r="A8265">
        <v>8264</v>
      </c>
      <c r="B8265" s="1">
        <v>41037</v>
      </c>
      <c r="C8265" t="s">
        <v>24</v>
      </c>
      <c r="D8265" s="7">
        <v>296</v>
      </c>
      <c r="E8265" s="7">
        <v>44</v>
      </c>
      <c r="F8265" s="7">
        <f t="shared" si="129"/>
        <v>3</v>
      </c>
      <c r="G8265" s="7" t="str">
        <f>LOOKUP(H8265,[1]startdates!$A$2:$A$10,[1]startdates!$B$2:$B$10)</f>
        <v>C</v>
      </c>
      <c r="H8265">
        <v>3</v>
      </c>
      <c r="I8265" s="7">
        <v>803.5</v>
      </c>
      <c r="J8265" s="7">
        <v>570.70000000000005</v>
      </c>
      <c r="K8265" s="7">
        <v>567.1</v>
      </c>
      <c r="L8265" s="7">
        <v>457.7</v>
      </c>
      <c r="M8265" s="7">
        <v>346.7</v>
      </c>
      <c r="N8265" s="7">
        <v>188.9</v>
      </c>
      <c r="O8265" s="7">
        <v>158.1</v>
      </c>
    </row>
    <row r="8266" spans="1:21" x14ac:dyDescent="0.2">
      <c r="A8266">
        <v>8265</v>
      </c>
      <c r="B8266" s="1">
        <v>41037</v>
      </c>
      <c r="C8266" t="s">
        <v>24</v>
      </c>
      <c r="D8266" s="7">
        <v>296</v>
      </c>
      <c r="E8266" s="7">
        <v>44</v>
      </c>
      <c r="F8266" s="7">
        <f t="shared" si="129"/>
        <v>3</v>
      </c>
      <c r="G8266" s="7" t="str">
        <f>LOOKUP(H8266,[1]startdates!$A$2:$A$10,[1]startdates!$B$2:$B$10)</f>
        <v>C</v>
      </c>
      <c r="H8266">
        <v>3</v>
      </c>
      <c r="I8266" s="7">
        <v>665</v>
      </c>
      <c r="J8266" s="7">
        <v>537.1</v>
      </c>
      <c r="K8266" s="7">
        <v>527.70000000000005</v>
      </c>
      <c r="M8266" s="7">
        <v>344.2</v>
      </c>
      <c r="N8266" s="7">
        <v>219.2</v>
      </c>
      <c r="O8266" s="7">
        <v>179.5</v>
      </c>
    </row>
    <row r="8267" spans="1:21" x14ac:dyDescent="0.2">
      <c r="A8267">
        <v>8266</v>
      </c>
      <c r="B8267" s="1">
        <v>41037</v>
      </c>
      <c r="C8267" t="s">
        <v>24</v>
      </c>
      <c r="D8267" s="7">
        <v>296</v>
      </c>
      <c r="E8267" s="7">
        <v>44</v>
      </c>
      <c r="F8267" s="7">
        <f t="shared" si="129"/>
        <v>3</v>
      </c>
      <c r="G8267" s="7" t="str">
        <f>LOOKUP(H8267,[1]startdates!$A$2:$A$10,[1]startdates!$B$2:$B$10)</f>
        <v>C</v>
      </c>
      <c r="H8267">
        <v>3</v>
      </c>
      <c r="I8267" s="7">
        <v>637.79999999999995</v>
      </c>
      <c r="J8267" s="7">
        <v>549.4</v>
      </c>
      <c r="K8267" s="7">
        <v>523</v>
      </c>
      <c r="M8267" s="7">
        <v>357.1</v>
      </c>
      <c r="N8267" s="7">
        <v>215.5</v>
      </c>
      <c r="O8267" s="7">
        <v>161.4</v>
      </c>
    </row>
    <row r="8268" spans="1:21" x14ac:dyDescent="0.2">
      <c r="A8268">
        <v>8267</v>
      </c>
      <c r="B8268" s="1">
        <v>41037</v>
      </c>
      <c r="C8268" t="s">
        <v>24</v>
      </c>
      <c r="D8268" s="7">
        <v>296</v>
      </c>
      <c r="E8268" s="7">
        <v>44</v>
      </c>
      <c r="F8268" s="7">
        <f t="shared" si="129"/>
        <v>3</v>
      </c>
      <c r="G8268" s="7" t="str">
        <f>LOOKUP(H8268,[1]startdates!$A$2:$A$10,[1]startdates!$B$2:$B$10)</f>
        <v>C</v>
      </c>
      <c r="H8268">
        <v>3</v>
      </c>
      <c r="I8268" s="7">
        <v>648.6</v>
      </c>
      <c r="J8268" s="7">
        <v>508.8</v>
      </c>
      <c r="K8268" s="7">
        <v>625.29999999999995</v>
      </c>
      <c r="M8268" s="7">
        <v>311.89999999999998</v>
      </c>
      <c r="N8268" s="7">
        <v>224</v>
      </c>
      <c r="O8268" s="7">
        <v>185.8</v>
      </c>
    </row>
    <row r="8269" spans="1:21" x14ac:dyDescent="0.2">
      <c r="A8269">
        <v>8268</v>
      </c>
      <c r="B8269" s="1">
        <v>41037</v>
      </c>
      <c r="C8269" t="s">
        <v>24</v>
      </c>
      <c r="D8269" s="7">
        <v>296</v>
      </c>
      <c r="E8269" s="7">
        <v>44</v>
      </c>
      <c r="F8269" s="7">
        <f t="shared" si="129"/>
        <v>3</v>
      </c>
      <c r="G8269" s="7" t="str">
        <f>LOOKUP(H8269,[1]startdates!$A$2:$A$10,[1]startdates!$B$2:$B$10)</f>
        <v>C</v>
      </c>
      <c r="H8269">
        <v>3</v>
      </c>
      <c r="I8269" s="7">
        <v>695.5</v>
      </c>
      <c r="J8269" s="7">
        <v>471.3</v>
      </c>
      <c r="K8269" s="7">
        <v>608</v>
      </c>
      <c r="M8269" s="7">
        <v>335.1</v>
      </c>
      <c r="N8269" s="7">
        <v>247</v>
      </c>
      <c r="O8269" s="7">
        <v>189.5</v>
      </c>
    </row>
    <row r="8270" spans="1:21" x14ac:dyDescent="0.2">
      <c r="A8270">
        <v>8269</v>
      </c>
      <c r="B8270" s="1">
        <v>41037</v>
      </c>
      <c r="C8270" t="s">
        <v>24</v>
      </c>
      <c r="D8270" s="7">
        <v>296</v>
      </c>
      <c r="E8270" s="7">
        <v>44</v>
      </c>
      <c r="F8270" s="7">
        <f t="shared" si="129"/>
        <v>3</v>
      </c>
      <c r="G8270" s="7" t="str">
        <f>LOOKUP(H8270,[1]startdates!$A$2:$A$10,[1]startdates!$B$2:$B$10)</f>
        <v>C</v>
      </c>
      <c r="H8270">
        <v>3</v>
      </c>
      <c r="I8270" s="7">
        <v>632.6</v>
      </c>
      <c r="J8270" s="7">
        <v>443.7</v>
      </c>
      <c r="K8270" s="7">
        <v>487.6</v>
      </c>
      <c r="M8270" s="7">
        <v>356.9</v>
      </c>
      <c r="N8270" s="7">
        <v>247.7</v>
      </c>
      <c r="O8270" s="7">
        <v>177.7</v>
      </c>
    </row>
    <row r="8271" spans="1:21" x14ac:dyDescent="0.2">
      <c r="A8271">
        <v>8270</v>
      </c>
      <c r="B8271" s="1">
        <v>41037</v>
      </c>
      <c r="C8271" t="s">
        <v>24</v>
      </c>
      <c r="D8271" s="7">
        <v>296</v>
      </c>
      <c r="E8271" s="7">
        <v>44</v>
      </c>
      <c r="F8271" s="7">
        <f t="shared" si="129"/>
        <v>3</v>
      </c>
      <c r="G8271" s="7" t="str">
        <f>LOOKUP(H8271,[1]startdates!$A$2:$A$10,[1]startdates!$B$2:$B$10)</f>
        <v>C</v>
      </c>
      <c r="H8271">
        <v>3</v>
      </c>
      <c r="I8271" s="7">
        <v>641.5</v>
      </c>
      <c r="J8271" s="7">
        <v>501</v>
      </c>
      <c r="M8271" s="7">
        <v>335.7</v>
      </c>
      <c r="N8271" s="7">
        <v>227.9</v>
      </c>
      <c r="O8271" s="7">
        <v>173.7</v>
      </c>
    </row>
    <row r="8272" spans="1:21" x14ac:dyDescent="0.2">
      <c r="A8272">
        <v>8271</v>
      </c>
      <c r="B8272" s="1">
        <v>41037</v>
      </c>
      <c r="C8272" t="s">
        <v>24</v>
      </c>
      <c r="D8272" s="7">
        <v>296</v>
      </c>
      <c r="E8272" s="7">
        <v>44</v>
      </c>
      <c r="F8272" s="7">
        <f t="shared" si="129"/>
        <v>3</v>
      </c>
      <c r="G8272" s="7" t="str">
        <f>LOOKUP(H8272,[1]startdates!$A$2:$A$10,[1]startdates!$B$2:$B$10)</f>
        <v>C</v>
      </c>
      <c r="H8272">
        <v>3</v>
      </c>
      <c r="I8272" s="7">
        <v>653.5</v>
      </c>
      <c r="M8272" s="7">
        <v>314.60000000000002</v>
      </c>
      <c r="N8272" s="7">
        <v>256.39999999999998</v>
      </c>
      <c r="O8272" s="7">
        <v>182.9</v>
      </c>
    </row>
    <row r="8273" spans="1:21" x14ac:dyDescent="0.2">
      <c r="A8273">
        <v>8272</v>
      </c>
      <c r="B8273" s="1">
        <v>41037</v>
      </c>
      <c r="C8273" t="s">
        <v>24</v>
      </c>
      <c r="D8273" s="7">
        <v>296</v>
      </c>
      <c r="E8273" s="7">
        <v>44</v>
      </c>
      <c r="F8273" s="7">
        <f t="shared" si="129"/>
        <v>3</v>
      </c>
      <c r="G8273" s="7" t="str">
        <f>LOOKUP(H8273,[1]startdates!$A$2:$A$10,[1]startdates!$B$2:$B$10)</f>
        <v>C</v>
      </c>
      <c r="H8273">
        <v>3</v>
      </c>
      <c r="I8273" s="7">
        <v>644.5</v>
      </c>
      <c r="M8273" s="7">
        <v>279.8</v>
      </c>
      <c r="N8273" s="7">
        <v>213.5</v>
      </c>
      <c r="O8273" s="7">
        <v>170</v>
      </c>
    </row>
    <row r="8274" spans="1:21" x14ac:dyDescent="0.2">
      <c r="A8274">
        <v>8273</v>
      </c>
      <c r="B8274" s="1">
        <v>41037</v>
      </c>
      <c r="C8274" t="s">
        <v>24</v>
      </c>
      <c r="D8274" s="7">
        <v>296</v>
      </c>
      <c r="E8274" s="7">
        <v>44</v>
      </c>
      <c r="F8274" s="7">
        <f t="shared" si="129"/>
        <v>3</v>
      </c>
      <c r="G8274" s="7" t="str">
        <f>LOOKUP(H8274,[1]startdates!$A$2:$A$10,[1]startdates!$B$2:$B$10)</f>
        <v>C</v>
      </c>
      <c r="H8274">
        <v>3</v>
      </c>
      <c r="I8274" s="7">
        <v>545.6</v>
      </c>
    </row>
    <row r="8275" spans="1:21" x14ac:dyDescent="0.2">
      <c r="A8275">
        <v>8274</v>
      </c>
      <c r="B8275" s="1">
        <v>41037</v>
      </c>
      <c r="C8275" t="s">
        <v>28</v>
      </c>
      <c r="D8275" s="7">
        <v>296</v>
      </c>
      <c r="E8275" s="7">
        <v>44</v>
      </c>
      <c r="F8275" s="7">
        <f t="shared" si="129"/>
        <v>3</v>
      </c>
      <c r="G8275" s="7" t="str">
        <f>LOOKUP(H8275,[1]startdates!$A$2:$A$10,[1]startdates!$B$2:$B$10)</f>
        <v>SMr</v>
      </c>
      <c r="H8275">
        <v>4</v>
      </c>
      <c r="I8275" s="7">
        <v>544.1</v>
      </c>
      <c r="J8275" s="7">
        <v>468.5</v>
      </c>
      <c r="K8275" s="7">
        <v>458.1</v>
      </c>
      <c r="L8275" s="7">
        <v>412.9</v>
      </c>
      <c r="M8275" s="7">
        <v>367.5</v>
      </c>
      <c r="N8275" s="7">
        <v>171.6</v>
      </c>
      <c r="O8275" s="7">
        <v>147.4</v>
      </c>
      <c r="P8275" s="7">
        <v>424.4</v>
      </c>
      <c r="R8275" s="7">
        <v>240</v>
      </c>
      <c r="U8275" s="7">
        <v>439.6</v>
      </c>
    </row>
    <row r="8276" spans="1:21" x14ac:dyDescent="0.2">
      <c r="A8276">
        <v>8275</v>
      </c>
      <c r="B8276" s="1">
        <v>41037</v>
      </c>
      <c r="C8276" t="s">
        <v>28</v>
      </c>
      <c r="D8276" s="7">
        <v>296</v>
      </c>
      <c r="E8276" s="7">
        <v>44</v>
      </c>
      <c r="F8276" s="7">
        <f t="shared" si="129"/>
        <v>3</v>
      </c>
      <c r="G8276" s="7" t="str">
        <f>LOOKUP(H8276,[1]startdates!$A$2:$A$10,[1]startdates!$B$2:$B$10)</f>
        <v>SMr</v>
      </c>
      <c r="H8276">
        <v>4</v>
      </c>
      <c r="I8276" s="7">
        <v>562.6</v>
      </c>
      <c r="J8276" s="7">
        <v>554.9</v>
      </c>
      <c r="K8276" s="7">
        <v>556.4</v>
      </c>
      <c r="M8276" s="7">
        <v>317.8</v>
      </c>
      <c r="N8276" s="7">
        <v>211.5</v>
      </c>
      <c r="O8276" s="7">
        <v>167.9</v>
      </c>
      <c r="P8276" s="7">
        <v>413.7</v>
      </c>
      <c r="R8276" s="7">
        <v>252.5</v>
      </c>
      <c r="U8276" s="7">
        <v>476.4</v>
      </c>
    </row>
    <row r="8277" spans="1:21" x14ac:dyDescent="0.2">
      <c r="A8277">
        <v>8276</v>
      </c>
      <c r="B8277" s="1">
        <v>41037</v>
      </c>
      <c r="C8277" t="s">
        <v>28</v>
      </c>
      <c r="D8277" s="7">
        <v>296</v>
      </c>
      <c r="E8277" s="7">
        <v>44</v>
      </c>
      <c r="F8277" s="7">
        <f t="shared" si="129"/>
        <v>3</v>
      </c>
      <c r="G8277" s="7" t="str">
        <f>LOOKUP(H8277,[1]startdates!$A$2:$A$10,[1]startdates!$B$2:$B$10)</f>
        <v>SMr</v>
      </c>
      <c r="H8277">
        <v>4</v>
      </c>
      <c r="I8277" s="7">
        <v>545.6</v>
      </c>
      <c r="J8277" s="7">
        <v>491.2</v>
      </c>
      <c r="K8277" s="7">
        <v>489.6</v>
      </c>
      <c r="M8277" s="7">
        <v>371.5</v>
      </c>
      <c r="N8277" s="7">
        <v>220.9</v>
      </c>
      <c r="O8277" s="7">
        <v>164.2</v>
      </c>
      <c r="U8277" s="7">
        <v>573.29999999999995</v>
      </c>
    </row>
    <row r="8278" spans="1:21" x14ac:dyDescent="0.2">
      <c r="A8278">
        <v>8277</v>
      </c>
      <c r="B8278" s="1">
        <v>41037</v>
      </c>
      <c r="C8278" t="s">
        <v>28</v>
      </c>
      <c r="D8278" s="7">
        <v>296</v>
      </c>
      <c r="E8278" s="7">
        <v>44</v>
      </c>
      <c r="F8278" s="7">
        <f t="shared" si="129"/>
        <v>3</v>
      </c>
      <c r="G8278" s="7" t="str">
        <f>LOOKUP(H8278,[1]startdates!$A$2:$A$10,[1]startdates!$B$2:$B$10)</f>
        <v>SMr</v>
      </c>
      <c r="H8278">
        <v>4</v>
      </c>
      <c r="I8278" s="7">
        <v>725.3</v>
      </c>
      <c r="J8278" s="7">
        <v>538.4</v>
      </c>
      <c r="K8278" s="7">
        <v>498.1</v>
      </c>
      <c r="M8278" s="7">
        <v>316.60000000000002</v>
      </c>
      <c r="N8278" s="7">
        <v>218.1</v>
      </c>
      <c r="O8278" s="7">
        <v>165.7</v>
      </c>
      <c r="U8278" s="7">
        <v>428.2</v>
      </c>
    </row>
    <row r="8279" spans="1:21" x14ac:dyDescent="0.2">
      <c r="A8279">
        <v>8278</v>
      </c>
      <c r="B8279" s="1">
        <v>41037</v>
      </c>
      <c r="C8279" t="s">
        <v>28</v>
      </c>
      <c r="D8279" s="7">
        <v>296</v>
      </c>
      <c r="E8279" s="7">
        <v>44</v>
      </c>
      <c r="F8279" s="7">
        <f t="shared" si="129"/>
        <v>3</v>
      </c>
      <c r="G8279" s="7" t="str">
        <f>LOOKUP(H8279,[1]startdates!$A$2:$A$10,[1]startdates!$B$2:$B$10)</f>
        <v>SMr</v>
      </c>
      <c r="H8279">
        <v>4</v>
      </c>
      <c r="I8279" s="7">
        <v>649.1</v>
      </c>
      <c r="K8279" s="7">
        <v>524.29999999999995</v>
      </c>
      <c r="M8279" s="7">
        <v>320.60000000000002</v>
      </c>
      <c r="N8279" s="7">
        <v>251.3</v>
      </c>
      <c r="O8279" s="7">
        <v>151.6</v>
      </c>
      <c r="U8279" s="7">
        <v>449.8</v>
      </c>
    </row>
    <row r="8280" spans="1:21" x14ac:dyDescent="0.2">
      <c r="A8280">
        <v>8279</v>
      </c>
      <c r="B8280" s="1">
        <v>41037</v>
      </c>
      <c r="C8280" t="s">
        <v>28</v>
      </c>
      <c r="D8280" s="7">
        <v>296</v>
      </c>
      <c r="E8280" s="7">
        <v>44</v>
      </c>
      <c r="F8280" s="7">
        <f t="shared" si="129"/>
        <v>3</v>
      </c>
      <c r="G8280" s="7" t="str">
        <f>LOOKUP(H8280,[1]startdates!$A$2:$A$10,[1]startdates!$B$2:$B$10)</f>
        <v>SMr</v>
      </c>
      <c r="H8280">
        <v>4</v>
      </c>
      <c r="I8280" s="7">
        <v>677.1</v>
      </c>
      <c r="M8280" s="7">
        <v>353</v>
      </c>
      <c r="N8280" s="7">
        <v>268</v>
      </c>
      <c r="O8280" s="7">
        <v>164.9</v>
      </c>
    </row>
    <row r="8281" spans="1:21" x14ac:dyDescent="0.2">
      <c r="A8281">
        <v>8280</v>
      </c>
      <c r="B8281" s="1">
        <v>41037</v>
      </c>
      <c r="C8281" t="s">
        <v>28</v>
      </c>
      <c r="D8281" s="7">
        <v>296</v>
      </c>
      <c r="E8281" s="7">
        <v>44</v>
      </c>
      <c r="F8281" s="7">
        <f t="shared" si="129"/>
        <v>3</v>
      </c>
      <c r="G8281" s="7" t="str">
        <f>LOOKUP(H8281,[1]startdates!$A$2:$A$10,[1]startdates!$B$2:$B$10)</f>
        <v>SMr</v>
      </c>
      <c r="H8281">
        <v>4</v>
      </c>
      <c r="I8281" s="7">
        <v>599.6</v>
      </c>
      <c r="M8281" s="7">
        <v>372.6</v>
      </c>
      <c r="N8281" s="7">
        <v>207.8</v>
      </c>
      <c r="O8281" s="7">
        <v>140</v>
      </c>
    </row>
    <row r="8282" spans="1:21" x14ac:dyDescent="0.2">
      <c r="A8282">
        <v>8281</v>
      </c>
      <c r="B8282" s="1">
        <v>41037</v>
      </c>
      <c r="C8282" t="s">
        <v>28</v>
      </c>
      <c r="D8282" s="7">
        <v>296</v>
      </c>
      <c r="E8282" s="7">
        <v>44</v>
      </c>
      <c r="F8282" s="7">
        <f t="shared" si="129"/>
        <v>3</v>
      </c>
      <c r="G8282" s="7" t="str">
        <f>LOOKUP(H8282,[1]startdates!$A$2:$A$10,[1]startdates!$B$2:$B$10)</f>
        <v>SMr</v>
      </c>
      <c r="H8282">
        <v>4</v>
      </c>
      <c r="I8282" s="7">
        <v>600.79999999999995</v>
      </c>
      <c r="M8282" s="7">
        <v>327.2</v>
      </c>
      <c r="N8282" s="7">
        <v>206.5</v>
      </c>
      <c r="O8282" s="7">
        <v>177.7</v>
      </c>
    </row>
    <row r="8283" spans="1:21" x14ac:dyDescent="0.2">
      <c r="A8283">
        <v>8282</v>
      </c>
      <c r="B8283" s="1">
        <v>41037</v>
      </c>
      <c r="C8283" t="s">
        <v>28</v>
      </c>
      <c r="D8283" s="7">
        <v>296</v>
      </c>
      <c r="E8283" s="7">
        <v>44</v>
      </c>
      <c r="F8283" s="7">
        <f t="shared" si="129"/>
        <v>3</v>
      </c>
      <c r="G8283" s="7" t="str">
        <f>LOOKUP(H8283,[1]startdates!$A$2:$A$10,[1]startdates!$B$2:$B$10)</f>
        <v>SMr</v>
      </c>
      <c r="H8283">
        <v>4</v>
      </c>
      <c r="I8283" s="7">
        <v>607.20000000000005</v>
      </c>
      <c r="M8283" s="7">
        <v>327.9</v>
      </c>
      <c r="N8283" s="7">
        <v>264.5</v>
      </c>
      <c r="O8283" s="7">
        <v>151</v>
      </c>
    </row>
    <row r="8284" spans="1:21" x14ac:dyDescent="0.2">
      <c r="A8284">
        <v>8283</v>
      </c>
      <c r="B8284" s="1">
        <v>41037</v>
      </c>
      <c r="C8284" t="s">
        <v>28</v>
      </c>
      <c r="D8284" s="7">
        <v>296</v>
      </c>
      <c r="E8284" s="7">
        <v>44</v>
      </c>
      <c r="F8284" s="7">
        <f t="shared" si="129"/>
        <v>3</v>
      </c>
      <c r="G8284" s="7" t="str">
        <f>LOOKUP(H8284,[1]startdates!$A$2:$A$10,[1]startdates!$B$2:$B$10)</f>
        <v>SMr</v>
      </c>
      <c r="H8284">
        <v>4</v>
      </c>
      <c r="I8284" s="7">
        <v>583.9</v>
      </c>
      <c r="N8284" s="7">
        <v>227</v>
      </c>
      <c r="O8284" s="7">
        <v>165</v>
      </c>
    </row>
    <row r="8285" spans="1:21" x14ac:dyDescent="0.2">
      <c r="A8285">
        <v>8284</v>
      </c>
      <c r="B8285" s="1">
        <v>41037</v>
      </c>
      <c r="C8285" t="s">
        <v>24</v>
      </c>
      <c r="D8285" s="7">
        <v>296</v>
      </c>
      <c r="E8285" s="7">
        <v>44</v>
      </c>
      <c r="F8285" s="7">
        <f t="shared" si="129"/>
        <v>3</v>
      </c>
      <c r="G8285" s="7" t="str">
        <f>LOOKUP(H8285,[1]startdates!$A$2:$A$10,[1]startdates!$B$2:$B$10)</f>
        <v>C</v>
      </c>
      <c r="H8285">
        <v>5</v>
      </c>
      <c r="I8285" s="7">
        <v>594.79999999999995</v>
      </c>
      <c r="J8285" s="7">
        <v>550.4</v>
      </c>
      <c r="K8285" s="7">
        <v>527.5</v>
      </c>
      <c r="L8285" s="7">
        <v>437.1</v>
      </c>
      <c r="M8285" s="7">
        <v>322.8</v>
      </c>
      <c r="N8285" s="7">
        <v>237.1</v>
      </c>
      <c r="O8285" s="7">
        <v>176.2</v>
      </c>
      <c r="P8285" s="7">
        <v>449.5</v>
      </c>
      <c r="Q8285" s="7">
        <v>346</v>
      </c>
    </row>
    <row r="8286" spans="1:21" x14ac:dyDescent="0.2">
      <c r="A8286">
        <v>8285</v>
      </c>
      <c r="B8286" s="1">
        <v>41037</v>
      </c>
      <c r="C8286" t="s">
        <v>24</v>
      </c>
      <c r="D8286" s="7">
        <v>296</v>
      </c>
      <c r="E8286" s="7">
        <v>44</v>
      </c>
      <c r="F8286" s="7">
        <f t="shared" si="129"/>
        <v>3</v>
      </c>
      <c r="G8286" s="7" t="str">
        <f>LOOKUP(H8286,[1]startdates!$A$2:$A$10,[1]startdates!$B$2:$B$10)</f>
        <v>C</v>
      </c>
      <c r="H8286">
        <v>5</v>
      </c>
      <c r="I8286" s="7">
        <v>606.4</v>
      </c>
      <c r="J8286" s="7">
        <v>549.4</v>
      </c>
      <c r="K8286" s="7">
        <v>427</v>
      </c>
      <c r="L8286" s="7">
        <v>428.4</v>
      </c>
      <c r="M8286" s="7">
        <v>357.8</v>
      </c>
      <c r="N8286" s="7">
        <v>200.9</v>
      </c>
      <c r="O8286" s="7">
        <v>175.8</v>
      </c>
      <c r="P8286" s="7">
        <v>476.7</v>
      </c>
    </row>
    <row r="8287" spans="1:21" x14ac:dyDescent="0.2">
      <c r="A8287">
        <v>8286</v>
      </c>
      <c r="B8287" s="1">
        <v>41037</v>
      </c>
      <c r="C8287" t="s">
        <v>24</v>
      </c>
      <c r="D8287" s="7">
        <v>296</v>
      </c>
      <c r="E8287" s="7">
        <v>44</v>
      </c>
      <c r="F8287" s="7">
        <f t="shared" si="129"/>
        <v>3</v>
      </c>
      <c r="G8287" s="7" t="str">
        <f>LOOKUP(H8287,[1]startdates!$A$2:$A$10,[1]startdates!$B$2:$B$10)</f>
        <v>C</v>
      </c>
      <c r="H8287">
        <v>5</v>
      </c>
      <c r="I8287" s="7">
        <v>635.6</v>
      </c>
      <c r="J8287" s="7">
        <v>526</v>
      </c>
      <c r="K8287" s="7">
        <v>565.5</v>
      </c>
      <c r="M8287" s="7">
        <v>301.60000000000002</v>
      </c>
      <c r="N8287" s="7">
        <v>247</v>
      </c>
      <c r="O8287" s="7">
        <v>174.6</v>
      </c>
    </row>
    <row r="8288" spans="1:21" x14ac:dyDescent="0.2">
      <c r="A8288">
        <v>8287</v>
      </c>
      <c r="B8288" s="1">
        <v>41037</v>
      </c>
      <c r="C8288" t="s">
        <v>24</v>
      </c>
      <c r="D8288" s="7">
        <v>296</v>
      </c>
      <c r="E8288" s="7">
        <v>44</v>
      </c>
      <c r="F8288" s="7">
        <f t="shared" si="129"/>
        <v>3</v>
      </c>
      <c r="G8288" s="7" t="str">
        <f>LOOKUP(H8288,[1]startdates!$A$2:$A$10,[1]startdates!$B$2:$B$10)</f>
        <v>C</v>
      </c>
      <c r="H8288">
        <v>5</v>
      </c>
      <c r="I8288" s="7">
        <v>627</v>
      </c>
      <c r="J8288" s="7">
        <v>580.6</v>
      </c>
      <c r="K8288" s="7">
        <v>403.1</v>
      </c>
      <c r="M8288" s="7">
        <v>377.7</v>
      </c>
      <c r="N8288" s="7">
        <v>246.9</v>
      </c>
      <c r="O8288" s="7">
        <v>179.8</v>
      </c>
    </row>
    <row r="8289" spans="1:22" x14ac:dyDescent="0.2">
      <c r="A8289">
        <v>8288</v>
      </c>
      <c r="B8289" s="1">
        <v>41037</v>
      </c>
      <c r="C8289" t="s">
        <v>24</v>
      </c>
      <c r="D8289" s="7">
        <v>296</v>
      </c>
      <c r="E8289" s="7">
        <v>44</v>
      </c>
      <c r="F8289" s="7">
        <f t="shared" si="129"/>
        <v>3</v>
      </c>
      <c r="G8289" s="7" t="str">
        <f>LOOKUP(H8289,[1]startdates!$A$2:$A$10,[1]startdates!$B$2:$B$10)</f>
        <v>C</v>
      </c>
      <c r="H8289">
        <v>5</v>
      </c>
      <c r="I8289" s="7">
        <v>677.8</v>
      </c>
      <c r="J8289" s="7">
        <v>509</v>
      </c>
      <c r="K8289" s="7">
        <v>545.1</v>
      </c>
      <c r="M8289" s="7">
        <v>315.5</v>
      </c>
      <c r="N8289" s="7">
        <v>203.7</v>
      </c>
      <c r="O8289" s="7">
        <v>165.8</v>
      </c>
    </row>
    <row r="8290" spans="1:22" x14ac:dyDescent="0.2">
      <c r="A8290">
        <v>8289</v>
      </c>
      <c r="B8290" s="1">
        <v>41037</v>
      </c>
      <c r="C8290" t="s">
        <v>24</v>
      </c>
      <c r="D8290" s="7">
        <v>296</v>
      </c>
      <c r="E8290" s="7">
        <v>44</v>
      </c>
      <c r="F8290" s="7">
        <f t="shared" si="129"/>
        <v>3</v>
      </c>
      <c r="G8290" s="7" t="str">
        <f>LOOKUP(H8290,[1]startdates!$A$2:$A$10,[1]startdates!$B$2:$B$10)</f>
        <v>C</v>
      </c>
      <c r="H8290">
        <v>5</v>
      </c>
      <c r="I8290" s="7">
        <v>698.7</v>
      </c>
      <c r="K8290" s="7">
        <v>438.5</v>
      </c>
      <c r="M8290" s="7">
        <v>308.3</v>
      </c>
      <c r="N8290" s="7">
        <v>228.3</v>
      </c>
      <c r="O8290" s="7">
        <v>171.3</v>
      </c>
    </row>
    <row r="8291" spans="1:22" x14ac:dyDescent="0.2">
      <c r="A8291">
        <v>8290</v>
      </c>
      <c r="B8291" s="1">
        <v>41037</v>
      </c>
      <c r="C8291" t="s">
        <v>24</v>
      </c>
      <c r="D8291" s="7">
        <v>296</v>
      </c>
      <c r="E8291" s="7">
        <v>44</v>
      </c>
      <c r="F8291" s="7">
        <f t="shared" si="129"/>
        <v>3</v>
      </c>
      <c r="G8291" s="7" t="str">
        <f>LOOKUP(H8291,[1]startdates!$A$2:$A$10,[1]startdates!$B$2:$B$10)</f>
        <v>C</v>
      </c>
      <c r="H8291">
        <v>5</v>
      </c>
      <c r="I8291" s="7">
        <v>740.5</v>
      </c>
      <c r="K8291" s="7">
        <v>423.4</v>
      </c>
      <c r="M8291" s="7">
        <v>370.4</v>
      </c>
      <c r="N8291" s="7">
        <v>181.9</v>
      </c>
      <c r="O8291" s="7">
        <v>179.7</v>
      </c>
    </row>
    <row r="8292" spans="1:22" x14ac:dyDescent="0.2">
      <c r="A8292">
        <v>8291</v>
      </c>
      <c r="B8292" s="1">
        <v>41037</v>
      </c>
      <c r="C8292" t="s">
        <v>24</v>
      </c>
      <c r="D8292" s="7">
        <v>296</v>
      </c>
      <c r="E8292" s="7">
        <v>44</v>
      </c>
      <c r="F8292" s="7">
        <f t="shared" si="129"/>
        <v>3</v>
      </c>
      <c r="G8292" s="7" t="str">
        <f>LOOKUP(H8292,[1]startdates!$A$2:$A$10,[1]startdates!$B$2:$B$10)</f>
        <v>C</v>
      </c>
      <c r="H8292">
        <v>5</v>
      </c>
      <c r="I8292" s="7">
        <v>654.20000000000005</v>
      </c>
      <c r="N8292" s="7">
        <v>253</v>
      </c>
      <c r="O8292" s="7">
        <v>153.80000000000001</v>
      </c>
    </row>
    <row r="8293" spans="1:22" x14ac:dyDescent="0.2">
      <c r="A8293">
        <v>8292</v>
      </c>
      <c r="B8293" s="1">
        <v>41037</v>
      </c>
      <c r="C8293" t="s">
        <v>24</v>
      </c>
      <c r="D8293" s="7">
        <v>296</v>
      </c>
      <c r="E8293" s="7">
        <v>44</v>
      </c>
      <c r="F8293" s="7">
        <f t="shared" si="129"/>
        <v>3</v>
      </c>
      <c r="G8293" s="7" t="str">
        <f>LOOKUP(H8293,[1]startdates!$A$2:$A$10,[1]startdates!$B$2:$B$10)</f>
        <v>C</v>
      </c>
      <c r="H8293">
        <v>5</v>
      </c>
      <c r="I8293" s="7">
        <v>684.9</v>
      </c>
      <c r="N8293" s="7">
        <v>221.7</v>
      </c>
      <c r="O8293" s="7">
        <v>173.5</v>
      </c>
    </row>
    <row r="8294" spans="1:22" x14ac:dyDescent="0.2">
      <c r="A8294">
        <v>8293</v>
      </c>
      <c r="B8294" s="1">
        <v>41037</v>
      </c>
      <c r="C8294" t="s">
        <v>24</v>
      </c>
      <c r="D8294" s="7">
        <v>296</v>
      </c>
      <c r="E8294" s="7">
        <v>44</v>
      </c>
      <c r="F8294" s="7">
        <f t="shared" si="129"/>
        <v>3</v>
      </c>
      <c r="G8294" s="7" t="str">
        <f>LOOKUP(H8294,[1]startdates!$A$2:$A$10,[1]startdates!$B$2:$B$10)</f>
        <v>C</v>
      </c>
      <c r="H8294">
        <v>5</v>
      </c>
      <c r="I8294" s="7">
        <v>650.4</v>
      </c>
      <c r="N8294" s="7">
        <v>224</v>
      </c>
      <c r="O8294" s="7">
        <v>176.3</v>
      </c>
    </row>
    <row r="8295" spans="1:22" x14ac:dyDescent="0.2">
      <c r="A8295">
        <v>8294</v>
      </c>
      <c r="B8295" s="1">
        <v>41037</v>
      </c>
      <c r="C8295" t="s">
        <v>28</v>
      </c>
      <c r="D8295" s="7">
        <v>296</v>
      </c>
      <c r="E8295" s="7">
        <v>44</v>
      </c>
      <c r="F8295" s="7">
        <f t="shared" si="129"/>
        <v>3</v>
      </c>
      <c r="G8295" s="7" t="str">
        <f>LOOKUP(H8295,[1]startdates!$A$2:$A$10,[1]startdates!$B$2:$B$10)</f>
        <v>FMr</v>
      </c>
      <c r="H8295">
        <v>6</v>
      </c>
      <c r="I8295" s="7">
        <v>527.9</v>
      </c>
      <c r="J8295" s="7">
        <v>506.5</v>
      </c>
      <c r="K8295" s="7">
        <v>508.9</v>
      </c>
      <c r="L8295" s="7">
        <v>412.6</v>
      </c>
      <c r="M8295" s="7">
        <v>316.3</v>
      </c>
      <c r="N8295" s="7">
        <v>199.3</v>
      </c>
      <c r="O8295" s="7">
        <v>153.19999999999999</v>
      </c>
      <c r="P8295" s="7">
        <v>414.3</v>
      </c>
      <c r="Q8295" s="7">
        <v>308.60000000000002</v>
      </c>
      <c r="R8295" s="7">
        <v>262.7</v>
      </c>
      <c r="V8295" s="7">
        <v>481</v>
      </c>
    </row>
    <row r="8296" spans="1:22" x14ac:dyDescent="0.2">
      <c r="A8296">
        <v>8295</v>
      </c>
      <c r="B8296" s="1">
        <v>41037</v>
      </c>
      <c r="C8296" t="s">
        <v>28</v>
      </c>
      <c r="D8296" s="7">
        <v>296</v>
      </c>
      <c r="E8296" s="7">
        <v>44</v>
      </c>
      <c r="F8296" s="7">
        <f t="shared" si="129"/>
        <v>3</v>
      </c>
      <c r="G8296" s="7" t="str">
        <f>LOOKUP(H8296,[1]startdates!$A$2:$A$10,[1]startdates!$B$2:$B$10)</f>
        <v>FMr</v>
      </c>
      <c r="H8296">
        <v>6</v>
      </c>
      <c r="I8296" s="7">
        <v>602.9</v>
      </c>
      <c r="K8296" s="7">
        <v>457.6</v>
      </c>
      <c r="L8296" s="7">
        <v>432.5</v>
      </c>
      <c r="M8296" s="7">
        <v>329.5</v>
      </c>
      <c r="N8296" s="7">
        <v>204.2</v>
      </c>
      <c r="O8296" s="7">
        <v>156.19999999999999</v>
      </c>
    </row>
    <row r="8297" spans="1:22" x14ac:dyDescent="0.2">
      <c r="A8297">
        <v>8296</v>
      </c>
      <c r="B8297" s="1">
        <v>41037</v>
      </c>
      <c r="C8297" t="s">
        <v>28</v>
      </c>
      <c r="D8297" s="7">
        <v>296</v>
      </c>
      <c r="E8297" s="7">
        <v>44</v>
      </c>
      <c r="F8297" s="7">
        <f t="shared" ref="F8297:F8360" si="130">WEEKDAY(B8297)</f>
        <v>3</v>
      </c>
      <c r="G8297" s="7" t="str">
        <f>LOOKUP(H8297,[1]startdates!$A$2:$A$10,[1]startdates!$B$2:$B$10)</f>
        <v>FMr</v>
      </c>
      <c r="H8297">
        <v>6</v>
      </c>
      <c r="I8297" s="7">
        <v>503.5</v>
      </c>
      <c r="K8297" s="7">
        <v>482</v>
      </c>
      <c r="L8297" s="7">
        <v>403.5</v>
      </c>
      <c r="M8297" s="7">
        <v>364.6</v>
      </c>
      <c r="N8297" s="7">
        <v>193</v>
      </c>
      <c r="O8297" s="7">
        <v>152.6</v>
      </c>
    </row>
    <row r="8298" spans="1:22" x14ac:dyDescent="0.2">
      <c r="A8298">
        <v>8297</v>
      </c>
      <c r="B8298" s="1">
        <v>41037</v>
      </c>
      <c r="C8298" t="s">
        <v>28</v>
      </c>
      <c r="D8298" s="7">
        <v>296</v>
      </c>
      <c r="E8298" s="7">
        <v>44</v>
      </c>
      <c r="F8298" s="7">
        <f t="shared" si="130"/>
        <v>3</v>
      </c>
      <c r="G8298" s="7" t="str">
        <f>LOOKUP(H8298,[1]startdates!$A$2:$A$10,[1]startdates!$B$2:$B$10)</f>
        <v>FMr</v>
      </c>
      <c r="H8298">
        <v>6</v>
      </c>
      <c r="I8298" s="7">
        <v>569.4</v>
      </c>
      <c r="K8298" s="7">
        <v>621.20000000000005</v>
      </c>
      <c r="L8298" s="7">
        <v>417</v>
      </c>
      <c r="M8298" s="7">
        <v>342.3</v>
      </c>
      <c r="N8298" s="7">
        <v>189.2</v>
      </c>
      <c r="O8298" s="7">
        <v>166.7</v>
      </c>
    </row>
    <row r="8299" spans="1:22" x14ac:dyDescent="0.2">
      <c r="A8299">
        <v>8298</v>
      </c>
      <c r="B8299" s="1">
        <v>41037</v>
      </c>
      <c r="C8299" t="s">
        <v>28</v>
      </c>
      <c r="D8299" s="7">
        <v>296</v>
      </c>
      <c r="E8299" s="7">
        <v>44</v>
      </c>
      <c r="F8299" s="7">
        <f t="shared" si="130"/>
        <v>3</v>
      </c>
      <c r="G8299" s="7" t="str">
        <f>LOOKUP(H8299,[1]startdates!$A$2:$A$10,[1]startdates!$B$2:$B$10)</f>
        <v>FMr</v>
      </c>
      <c r="H8299">
        <v>6</v>
      </c>
      <c r="I8299" s="7">
        <v>570.70000000000005</v>
      </c>
      <c r="K8299" s="7">
        <v>445.2</v>
      </c>
      <c r="L8299" s="7">
        <v>415.3</v>
      </c>
      <c r="M8299" s="7">
        <v>336.6</v>
      </c>
      <c r="N8299" s="7">
        <v>274</v>
      </c>
      <c r="O8299" s="7">
        <v>151.4</v>
      </c>
    </row>
    <row r="8300" spans="1:22" x14ac:dyDescent="0.2">
      <c r="A8300">
        <v>8299</v>
      </c>
      <c r="B8300" s="1">
        <v>41037</v>
      </c>
      <c r="C8300" t="s">
        <v>28</v>
      </c>
      <c r="D8300" s="7">
        <v>296</v>
      </c>
      <c r="E8300" s="7">
        <v>44</v>
      </c>
      <c r="F8300" s="7">
        <f t="shared" si="130"/>
        <v>3</v>
      </c>
      <c r="G8300" s="7" t="str">
        <f>LOOKUP(H8300,[1]startdates!$A$2:$A$10,[1]startdates!$B$2:$B$10)</f>
        <v>FMr</v>
      </c>
      <c r="H8300">
        <v>6</v>
      </c>
      <c r="I8300" s="7">
        <v>524.1</v>
      </c>
      <c r="K8300" s="7">
        <v>528</v>
      </c>
      <c r="M8300" s="7">
        <v>393.5</v>
      </c>
      <c r="N8300" s="7">
        <v>234</v>
      </c>
      <c r="O8300" s="7">
        <v>140.1</v>
      </c>
    </row>
    <row r="8301" spans="1:22" x14ac:dyDescent="0.2">
      <c r="A8301">
        <v>8300</v>
      </c>
      <c r="B8301" s="1">
        <v>41037</v>
      </c>
      <c r="C8301" t="s">
        <v>28</v>
      </c>
      <c r="D8301" s="7">
        <v>296</v>
      </c>
      <c r="E8301" s="7">
        <v>44</v>
      </c>
      <c r="F8301" s="7">
        <f t="shared" si="130"/>
        <v>3</v>
      </c>
      <c r="G8301" s="7" t="str">
        <f>LOOKUP(H8301,[1]startdates!$A$2:$A$10,[1]startdates!$B$2:$B$10)</f>
        <v>FMr</v>
      </c>
      <c r="H8301">
        <v>6</v>
      </c>
      <c r="I8301" s="7">
        <v>626.5</v>
      </c>
      <c r="K8301" s="7">
        <v>431.4</v>
      </c>
      <c r="M8301" s="7">
        <v>362.2</v>
      </c>
      <c r="N8301" s="7">
        <v>233.3</v>
      </c>
      <c r="O8301" s="7">
        <v>161.69999999999999</v>
      </c>
    </row>
    <row r="8302" spans="1:22" x14ac:dyDescent="0.2">
      <c r="A8302">
        <v>8301</v>
      </c>
      <c r="B8302" s="1">
        <v>41037</v>
      </c>
      <c r="C8302" t="s">
        <v>28</v>
      </c>
      <c r="D8302" s="7">
        <v>296</v>
      </c>
      <c r="E8302" s="7">
        <v>44</v>
      </c>
      <c r="F8302" s="7">
        <f t="shared" si="130"/>
        <v>3</v>
      </c>
      <c r="G8302" s="7" t="str">
        <f>LOOKUP(H8302,[1]startdates!$A$2:$A$10,[1]startdates!$B$2:$B$10)</f>
        <v>FMr</v>
      </c>
      <c r="H8302">
        <v>6</v>
      </c>
      <c r="I8302" s="7">
        <v>547.29999999999995</v>
      </c>
      <c r="M8302" s="7">
        <v>372.7</v>
      </c>
      <c r="N8302" s="7">
        <v>224.6</v>
      </c>
      <c r="O8302" s="7">
        <v>150.4</v>
      </c>
    </row>
    <row r="8303" spans="1:22" x14ac:dyDescent="0.2">
      <c r="A8303">
        <v>8302</v>
      </c>
      <c r="B8303" s="1">
        <v>41037</v>
      </c>
      <c r="C8303" t="s">
        <v>28</v>
      </c>
      <c r="D8303" s="7">
        <v>296</v>
      </c>
      <c r="E8303" s="7">
        <v>44</v>
      </c>
      <c r="F8303" s="7">
        <f t="shared" si="130"/>
        <v>3</v>
      </c>
      <c r="G8303" s="7" t="str">
        <f>LOOKUP(H8303,[1]startdates!$A$2:$A$10,[1]startdates!$B$2:$B$10)</f>
        <v>FMr</v>
      </c>
      <c r="H8303">
        <v>6</v>
      </c>
      <c r="I8303" s="7">
        <v>590</v>
      </c>
      <c r="M8303" s="7">
        <v>350.5</v>
      </c>
      <c r="N8303" s="7">
        <v>232.4</v>
      </c>
      <c r="O8303" s="7">
        <v>151.4</v>
      </c>
    </row>
    <row r="8304" spans="1:22" x14ac:dyDescent="0.2">
      <c r="A8304">
        <v>8303</v>
      </c>
      <c r="B8304" s="1">
        <v>41037</v>
      </c>
      <c r="C8304" t="s">
        <v>28</v>
      </c>
      <c r="D8304" s="7">
        <v>296</v>
      </c>
      <c r="E8304" s="7">
        <v>44</v>
      </c>
      <c r="F8304" s="7">
        <f t="shared" si="130"/>
        <v>3</v>
      </c>
      <c r="G8304" s="7" t="str">
        <f>LOOKUP(H8304,[1]startdates!$A$2:$A$10,[1]startdates!$B$2:$B$10)</f>
        <v>FMr</v>
      </c>
      <c r="H8304">
        <v>6</v>
      </c>
      <c r="I8304" s="7">
        <v>543.70000000000005</v>
      </c>
      <c r="N8304" s="7">
        <v>235</v>
      </c>
      <c r="O8304" s="7">
        <v>160</v>
      </c>
    </row>
    <row r="8305" spans="1:22" x14ac:dyDescent="0.2">
      <c r="A8305">
        <v>8304</v>
      </c>
      <c r="B8305" s="1">
        <v>41037</v>
      </c>
      <c r="C8305" t="s">
        <v>24</v>
      </c>
      <c r="D8305" s="7">
        <v>296</v>
      </c>
      <c r="E8305" s="7">
        <v>44</v>
      </c>
      <c r="F8305" s="7">
        <f t="shared" si="130"/>
        <v>3</v>
      </c>
      <c r="G8305" s="7" t="str">
        <f>LOOKUP(H8305,[1]startdates!$A$2:$A$10,[1]startdates!$B$2:$B$10)</f>
        <v>FMr</v>
      </c>
      <c r="H8305">
        <v>7</v>
      </c>
      <c r="I8305" s="7">
        <v>729.4</v>
      </c>
      <c r="K8305" s="7">
        <v>496</v>
      </c>
      <c r="L8305" s="7">
        <v>404.3</v>
      </c>
      <c r="M8305" s="7">
        <v>357.6</v>
      </c>
      <c r="N8305" s="7">
        <v>247.1</v>
      </c>
      <c r="O8305" s="7">
        <v>186.3</v>
      </c>
      <c r="Q8305" s="7">
        <v>339.5</v>
      </c>
      <c r="R8305" s="7">
        <v>293.2</v>
      </c>
      <c r="V8305" s="7">
        <v>485.4</v>
      </c>
    </row>
    <row r="8306" spans="1:22" x14ac:dyDescent="0.2">
      <c r="A8306">
        <v>8305</v>
      </c>
      <c r="B8306" s="1">
        <v>41037</v>
      </c>
      <c r="C8306" t="s">
        <v>24</v>
      </c>
      <c r="D8306" s="7">
        <v>296</v>
      </c>
      <c r="E8306" s="7">
        <v>44</v>
      </c>
      <c r="F8306" s="7">
        <f t="shared" si="130"/>
        <v>3</v>
      </c>
      <c r="G8306" s="7" t="str">
        <f>LOOKUP(H8306,[1]startdates!$A$2:$A$10,[1]startdates!$B$2:$B$10)</f>
        <v>FMr</v>
      </c>
      <c r="H8306">
        <v>7</v>
      </c>
      <c r="I8306" s="7">
        <v>577</v>
      </c>
      <c r="K8306" s="7">
        <v>450.6</v>
      </c>
      <c r="L8306" s="7">
        <v>438.9</v>
      </c>
      <c r="M8306" s="7">
        <v>347.2</v>
      </c>
      <c r="N8306" s="7">
        <v>211</v>
      </c>
      <c r="O8306" s="7">
        <v>159.69999999999999</v>
      </c>
      <c r="V8306" s="7">
        <v>474</v>
      </c>
    </row>
    <row r="8307" spans="1:22" x14ac:dyDescent="0.2">
      <c r="A8307">
        <v>8306</v>
      </c>
      <c r="B8307" s="1">
        <v>41037</v>
      </c>
      <c r="C8307" t="s">
        <v>24</v>
      </c>
      <c r="D8307" s="7">
        <v>296</v>
      </c>
      <c r="E8307" s="7">
        <v>44</v>
      </c>
      <c r="F8307" s="7">
        <f t="shared" si="130"/>
        <v>3</v>
      </c>
      <c r="G8307" s="7" t="str">
        <f>LOOKUP(H8307,[1]startdates!$A$2:$A$10,[1]startdates!$B$2:$B$10)</f>
        <v>FMr</v>
      </c>
      <c r="H8307">
        <v>7</v>
      </c>
      <c r="I8307" s="7">
        <v>663.9</v>
      </c>
      <c r="K8307" s="7">
        <v>645.4</v>
      </c>
      <c r="M8307" s="7">
        <v>382.4</v>
      </c>
      <c r="N8307" s="7">
        <v>237.1</v>
      </c>
      <c r="O8307" s="7">
        <v>140.19999999999999</v>
      </c>
      <c r="V8307" s="7">
        <v>476.4</v>
      </c>
    </row>
    <row r="8308" spans="1:22" x14ac:dyDescent="0.2">
      <c r="A8308">
        <v>8307</v>
      </c>
      <c r="B8308" s="1">
        <v>41037</v>
      </c>
      <c r="C8308" t="s">
        <v>24</v>
      </c>
      <c r="D8308" s="7">
        <v>296</v>
      </c>
      <c r="E8308" s="7">
        <v>44</v>
      </c>
      <c r="F8308" s="7">
        <f t="shared" si="130"/>
        <v>3</v>
      </c>
      <c r="G8308" s="7" t="str">
        <f>LOOKUP(H8308,[1]startdates!$A$2:$A$10,[1]startdates!$B$2:$B$10)</f>
        <v>FMr</v>
      </c>
      <c r="H8308">
        <v>7</v>
      </c>
      <c r="I8308" s="7">
        <v>589.79999999999995</v>
      </c>
      <c r="K8308" s="7">
        <v>556.6</v>
      </c>
      <c r="M8308" s="7">
        <v>307.39999999999998</v>
      </c>
      <c r="N8308" s="7">
        <v>198.5</v>
      </c>
      <c r="O8308" s="7">
        <v>143.80000000000001</v>
      </c>
    </row>
    <row r="8309" spans="1:22" x14ac:dyDescent="0.2">
      <c r="A8309">
        <v>8308</v>
      </c>
      <c r="B8309" s="1">
        <v>41037</v>
      </c>
      <c r="C8309" t="s">
        <v>24</v>
      </c>
      <c r="D8309" s="7">
        <v>296</v>
      </c>
      <c r="E8309" s="7">
        <v>44</v>
      </c>
      <c r="F8309" s="7">
        <f t="shared" si="130"/>
        <v>3</v>
      </c>
      <c r="G8309" s="7" t="str">
        <f>LOOKUP(H8309,[1]startdates!$A$2:$A$10,[1]startdates!$B$2:$B$10)</f>
        <v>FMr</v>
      </c>
      <c r="H8309">
        <v>7</v>
      </c>
      <c r="I8309" s="7">
        <v>598.79999999999995</v>
      </c>
      <c r="K8309" s="7">
        <v>467.6</v>
      </c>
      <c r="M8309" s="7">
        <v>331.9</v>
      </c>
      <c r="N8309" s="7">
        <v>185.9</v>
      </c>
      <c r="O8309" s="7">
        <v>167.5</v>
      </c>
    </row>
    <row r="8310" spans="1:22" x14ac:dyDescent="0.2">
      <c r="A8310">
        <v>8309</v>
      </c>
      <c r="B8310" s="1">
        <v>41037</v>
      </c>
      <c r="C8310" t="s">
        <v>24</v>
      </c>
      <c r="D8310" s="7">
        <v>296</v>
      </c>
      <c r="E8310" s="7">
        <v>44</v>
      </c>
      <c r="F8310" s="7">
        <f t="shared" si="130"/>
        <v>3</v>
      </c>
      <c r="G8310" s="7" t="str">
        <f>LOOKUP(H8310,[1]startdates!$A$2:$A$10,[1]startdates!$B$2:$B$10)</f>
        <v>FMr</v>
      </c>
      <c r="H8310">
        <v>7</v>
      </c>
      <c r="I8310" s="7">
        <v>603.9</v>
      </c>
      <c r="K8310" s="7">
        <v>518</v>
      </c>
      <c r="M8310" s="7">
        <v>326</v>
      </c>
      <c r="N8310" s="7">
        <v>215.1</v>
      </c>
      <c r="O8310" s="7">
        <v>143.6</v>
      </c>
    </row>
    <row r="8311" spans="1:22" x14ac:dyDescent="0.2">
      <c r="A8311">
        <v>8310</v>
      </c>
      <c r="B8311" s="1">
        <v>41037</v>
      </c>
      <c r="C8311" t="s">
        <v>24</v>
      </c>
      <c r="D8311" s="7">
        <v>296</v>
      </c>
      <c r="E8311" s="7">
        <v>44</v>
      </c>
      <c r="F8311" s="7">
        <f t="shared" si="130"/>
        <v>3</v>
      </c>
      <c r="G8311" s="7" t="str">
        <f>LOOKUP(H8311,[1]startdates!$A$2:$A$10,[1]startdates!$B$2:$B$10)</f>
        <v>FMr</v>
      </c>
      <c r="H8311">
        <v>7</v>
      </c>
      <c r="I8311" s="7">
        <v>586</v>
      </c>
      <c r="K8311" s="7">
        <v>544.9</v>
      </c>
      <c r="M8311" s="7">
        <v>388.3</v>
      </c>
      <c r="N8311" s="7">
        <v>197.9</v>
      </c>
      <c r="O8311" s="7">
        <v>162.69999999999999</v>
      </c>
    </row>
    <row r="8312" spans="1:22" x14ac:dyDescent="0.2">
      <c r="A8312">
        <v>8311</v>
      </c>
      <c r="B8312" s="1">
        <v>41037</v>
      </c>
      <c r="C8312" t="s">
        <v>24</v>
      </c>
      <c r="D8312" s="7">
        <v>296</v>
      </c>
      <c r="E8312" s="7">
        <v>44</v>
      </c>
      <c r="F8312" s="7">
        <f t="shared" si="130"/>
        <v>3</v>
      </c>
      <c r="G8312" s="7" t="str">
        <f>LOOKUP(H8312,[1]startdates!$A$2:$A$10,[1]startdates!$B$2:$B$10)</f>
        <v>FMr</v>
      </c>
      <c r="H8312">
        <v>7</v>
      </c>
      <c r="I8312" s="7">
        <v>553.79999999999995</v>
      </c>
      <c r="M8312" s="7">
        <v>311</v>
      </c>
      <c r="N8312" s="7">
        <v>203.1</v>
      </c>
      <c r="O8312" s="7">
        <v>167.1</v>
      </c>
    </row>
    <row r="8313" spans="1:22" x14ac:dyDescent="0.2">
      <c r="A8313">
        <v>8312</v>
      </c>
      <c r="B8313" s="1">
        <v>41037</v>
      </c>
      <c r="C8313" t="s">
        <v>24</v>
      </c>
      <c r="D8313" s="7">
        <v>296</v>
      </c>
      <c r="E8313" s="7">
        <v>44</v>
      </c>
      <c r="F8313" s="7">
        <f t="shared" si="130"/>
        <v>3</v>
      </c>
      <c r="G8313" s="7" t="str">
        <f>LOOKUP(H8313,[1]startdates!$A$2:$A$10,[1]startdates!$B$2:$B$10)</f>
        <v>FMr</v>
      </c>
      <c r="H8313">
        <v>7</v>
      </c>
      <c r="I8313" s="7">
        <v>576.70000000000005</v>
      </c>
      <c r="N8313" s="7">
        <v>240</v>
      </c>
      <c r="O8313" s="7">
        <v>178.4</v>
      </c>
    </row>
    <row r="8314" spans="1:22" x14ac:dyDescent="0.2">
      <c r="A8314">
        <v>8313</v>
      </c>
      <c r="B8314" s="1">
        <v>41037</v>
      </c>
      <c r="C8314" t="s">
        <v>24</v>
      </c>
      <c r="D8314" s="7">
        <v>296</v>
      </c>
      <c r="E8314" s="7">
        <v>44</v>
      </c>
      <c r="F8314" s="7">
        <f t="shared" si="130"/>
        <v>3</v>
      </c>
      <c r="G8314" s="7" t="str">
        <f>LOOKUP(H8314,[1]startdates!$A$2:$A$10,[1]startdates!$B$2:$B$10)</f>
        <v>FMr</v>
      </c>
      <c r="H8314">
        <v>7</v>
      </c>
      <c r="I8314" s="7">
        <v>627.20000000000005</v>
      </c>
      <c r="N8314" s="7">
        <v>248.4</v>
      </c>
      <c r="O8314" s="7">
        <v>153.4</v>
      </c>
    </row>
    <row r="8315" spans="1:22" x14ac:dyDescent="0.2">
      <c r="A8315">
        <v>8314</v>
      </c>
      <c r="B8315" s="1">
        <v>41037</v>
      </c>
      <c r="C8315" t="s">
        <v>24</v>
      </c>
      <c r="D8315" s="7">
        <v>296</v>
      </c>
      <c r="E8315" s="7">
        <v>44</v>
      </c>
      <c r="F8315" s="7">
        <f t="shared" si="130"/>
        <v>3</v>
      </c>
      <c r="G8315" s="7" t="str">
        <f>LOOKUP(H8315,[1]startdates!$A$2:$A$10,[1]startdates!$B$2:$B$10)</f>
        <v>FMr</v>
      </c>
      <c r="H8315">
        <v>7</v>
      </c>
      <c r="I8315" s="7">
        <v>679.8</v>
      </c>
    </row>
    <row r="8316" spans="1:22" x14ac:dyDescent="0.2">
      <c r="A8316">
        <v>8315</v>
      </c>
      <c r="B8316" s="1">
        <v>41037</v>
      </c>
      <c r="C8316" t="s">
        <v>24</v>
      </c>
      <c r="D8316" s="7">
        <v>296</v>
      </c>
      <c r="E8316" s="7">
        <v>44</v>
      </c>
      <c r="F8316" s="7">
        <f t="shared" si="130"/>
        <v>3</v>
      </c>
      <c r="G8316" s="7" t="str">
        <f>LOOKUP(H8316,[1]startdates!$A$2:$A$10,[1]startdates!$B$2:$B$10)</f>
        <v>C</v>
      </c>
      <c r="H8316">
        <v>8</v>
      </c>
      <c r="I8316" s="7">
        <v>611.29999999999995</v>
      </c>
      <c r="J8316" s="7">
        <v>501.4</v>
      </c>
      <c r="K8316" s="7">
        <v>525.9</v>
      </c>
      <c r="L8316" s="7">
        <v>414.1</v>
      </c>
      <c r="M8316" s="7">
        <v>381.9</v>
      </c>
      <c r="N8316" s="7">
        <v>242.1</v>
      </c>
      <c r="O8316" s="7">
        <v>162.19999999999999</v>
      </c>
      <c r="P8316" s="7">
        <v>461</v>
      </c>
    </row>
    <row r="8317" spans="1:22" x14ac:dyDescent="0.2">
      <c r="A8317">
        <v>8316</v>
      </c>
      <c r="B8317" s="1">
        <v>41037</v>
      </c>
      <c r="C8317" t="s">
        <v>24</v>
      </c>
      <c r="D8317" s="7">
        <v>296</v>
      </c>
      <c r="E8317" s="7">
        <v>44</v>
      </c>
      <c r="F8317" s="7">
        <f t="shared" si="130"/>
        <v>3</v>
      </c>
      <c r="G8317" s="7" t="str">
        <f>LOOKUP(H8317,[1]startdates!$A$2:$A$10,[1]startdates!$B$2:$B$10)</f>
        <v>C</v>
      </c>
      <c r="H8317">
        <v>8</v>
      </c>
      <c r="I8317" s="7">
        <v>543.6</v>
      </c>
      <c r="J8317" s="7">
        <v>528.29999999999995</v>
      </c>
      <c r="K8317" s="7">
        <v>543.5</v>
      </c>
      <c r="L8317" s="7">
        <v>408.9</v>
      </c>
      <c r="M8317" s="7">
        <v>380.6</v>
      </c>
      <c r="N8317" s="7">
        <v>207.4</v>
      </c>
      <c r="O8317" s="7">
        <v>200.9</v>
      </c>
      <c r="P8317" s="7">
        <v>481.2</v>
      </c>
    </row>
    <row r="8318" spans="1:22" x14ac:dyDescent="0.2">
      <c r="A8318">
        <v>8317</v>
      </c>
      <c r="B8318" s="1">
        <v>41037</v>
      </c>
      <c r="C8318" t="s">
        <v>24</v>
      </c>
      <c r="D8318" s="7">
        <v>296</v>
      </c>
      <c r="E8318" s="7">
        <v>44</v>
      </c>
      <c r="F8318" s="7">
        <f t="shared" si="130"/>
        <v>3</v>
      </c>
      <c r="G8318" s="7" t="str">
        <f>LOOKUP(H8318,[1]startdates!$A$2:$A$10,[1]startdates!$B$2:$B$10)</f>
        <v>C</v>
      </c>
      <c r="H8318">
        <v>8</v>
      </c>
      <c r="I8318" s="7">
        <v>673.4</v>
      </c>
      <c r="J8318" s="7">
        <v>450.7</v>
      </c>
      <c r="L8318" s="7">
        <v>410.3</v>
      </c>
      <c r="M8318" s="7">
        <v>386.4</v>
      </c>
      <c r="N8318" s="7">
        <v>237.5</v>
      </c>
      <c r="O8318" s="7">
        <v>152.1</v>
      </c>
      <c r="P8318" s="7">
        <v>442.6</v>
      </c>
    </row>
    <row r="8319" spans="1:22" x14ac:dyDescent="0.2">
      <c r="A8319">
        <v>8318</v>
      </c>
      <c r="B8319" s="1">
        <v>41037</v>
      </c>
      <c r="C8319" t="s">
        <v>24</v>
      </c>
      <c r="D8319" s="7">
        <v>296</v>
      </c>
      <c r="E8319" s="7">
        <v>44</v>
      </c>
      <c r="F8319" s="7">
        <f t="shared" si="130"/>
        <v>3</v>
      </c>
      <c r="G8319" s="7" t="str">
        <f>LOOKUP(H8319,[1]startdates!$A$2:$A$10,[1]startdates!$B$2:$B$10)</f>
        <v>C</v>
      </c>
      <c r="H8319">
        <v>8</v>
      </c>
      <c r="I8319" s="7">
        <v>656.5</v>
      </c>
      <c r="J8319" s="7">
        <v>569</v>
      </c>
      <c r="L8319" s="7">
        <v>469.7</v>
      </c>
      <c r="M8319" s="7">
        <v>352.6</v>
      </c>
      <c r="N8319" s="7">
        <v>257.2</v>
      </c>
      <c r="O8319" s="7">
        <v>183.1</v>
      </c>
    </row>
    <row r="8320" spans="1:22" x14ac:dyDescent="0.2">
      <c r="A8320">
        <v>8319</v>
      </c>
      <c r="B8320" s="1">
        <v>41037</v>
      </c>
      <c r="C8320" t="s">
        <v>24</v>
      </c>
      <c r="D8320" s="7">
        <v>296</v>
      </c>
      <c r="E8320" s="7">
        <v>44</v>
      </c>
      <c r="F8320" s="7">
        <f t="shared" si="130"/>
        <v>3</v>
      </c>
      <c r="G8320" s="7" t="str">
        <f>LOOKUP(H8320,[1]startdates!$A$2:$A$10,[1]startdates!$B$2:$B$10)</f>
        <v>C</v>
      </c>
      <c r="H8320">
        <v>8</v>
      </c>
      <c r="I8320" s="7">
        <v>596.4</v>
      </c>
      <c r="J8320" s="7">
        <v>574.1</v>
      </c>
      <c r="L8320" s="7">
        <v>413.7</v>
      </c>
      <c r="M8320" s="7">
        <v>336.7</v>
      </c>
      <c r="N8320" s="7">
        <v>216.8</v>
      </c>
      <c r="O8320" s="7">
        <v>162.4</v>
      </c>
    </row>
    <row r="8321" spans="1:22" x14ac:dyDescent="0.2">
      <c r="A8321">
        <v>8320</v>
      </c>
      <c r="B8321" s="1">
        <v>41037</v>
      </c>
      <c r="C8321" t="s">
        <v>24</v>
      </c>
      <c r="D8321" s="7">
        <v>296</v>
      </c>
      <c r="E8321" s="7">
        <v>44</v>
      </c>
      <c r="F8321" s="7">
        <f t="shared" si="130"/>
        <v>3</v>
      </c>
      <c r="G8321" s="7" t="str">
        <f>LOOKUP(H8321,[1]startdates!$A$2:$A$10,[1]startdates!$B$2:$B$10)</f>
        <v>C</v>
      </c>
      <c r="H8321">
        <v>8</v>
      </c>
      <c r="I8321" s="7">
        <v>636.4</v>
      </c>
      <c r="J8321" s="7">
        <v>549.4</v>
      </c>
      <c r="M8321" s="7">
        <v>359</v>
      </c>
      <c r="N8321" s="7">
        <v>229.8</v>
      </c>
      <c r="O8321" s="7">
        <v>171.3</v>
      </c>
    </row>
    <row r="8322" spans="1:22" x14ac:dyDescent="0.2">
      <c r="A8322">
        <v>8321</v>
      </c>
      <c r="B8322" s="1">
        <v>41037</v>
      </c>
      <c r="C8322" t="s">
        <v>24</v>
      </c>
      <c r="D8322" s="7">
        <v>296</v>
      </c>
      <c r="E8322" s="7">
        <v>44</v>
      </c>
      <c r="F8322" s="7">
        <f t="shared" si="130"/>
        <v>3</v>
      </c>
      <c r="G8322" s="7" t="str">
        <f>LOOKUP(H8322,[1]startdates!$A$2:$A$10,[1]startdates!$B$2:$B$10)</f>
        <v>C</v>
      </c>
      <c r="H8322">
        <v>8</v>
      </c>
      <c r="I8322" s="7">
        <v>662.5</v>
      </c>
      <c r="J8322" s="7">
        <v>550.1</v>
      </c>
      <c r="M8322" s="7">
        <v>344.2</v>
      </c>
      <c r="N8322" s="7">
        <v>235.5</v>
      </c>
      <c r="O8322" s="7">
        <v>174.1</v>
      </c>
    </row>
    <row r="8323" spans="1:22" x14ac:dyDescent="0.2">
      <c r="A8323">
        <v>8322</v>
      </c>
      <c r="B8323" s="1">
        <v>41037</v>
      </c>
      <c r="C8323" t="s">
        <v>24</v>
      </c>
      <c r="D8323" s="7">
        <v>296</v>
      </c>
      <c r="E8323" s="7">
        <v>44</v>
      </c>
      <c r="F8323" s="7">
        <f t="shared" si="130"/>
        <v>3</v>
      </c>
      <c r="G8323" s="7" t="str">
        <f>LOOKUP(H8323,[1]startdates!$A$2:$A$10,[1]startdates!$B$2:$B$10)</f>
        <v>C</v>
      </c>
      <c r="H8323">
        <v>8</v>
      </c>
      <c r="I8323" s="7">
        <v>645.6</v>
      </c>
      <c r="J8323" s="7">
        <v>512.1</v>
      </c>
      <c r="N8323" s="7">
        <v>240</v>
      </c>
      <c r="O8323" s="7">
        <v>165</v>
      </c>
    </row>
    <row r="8324" spans="1:22" x14ac:dyDescent="0.2">
      <c r="A8324">
        <v>8323</v>
      </c>
      <c r="B8324" s="1">
        <v>41037</v>
      </c>
      <c r="C8324" t="s">
        <v>24</v>
      </c>
      <c r="D8324" s="7">
        <v>296</v>
      </c>
      <c r="E8324" s="7">
        <v>44</v>
      </c>
      <c r="F8324" s="7">
        <f t="shared" si="130"/>
        <v>3</v>
      </c>
      <c r="G8324" s="7" t="str">
        <f>LOOKUP(H8324,[1]startdates!$A$2:$A$10,[1]startdates!$B$2:$B$10)</f>
        <v>C</v>
      </c>
      <c r="H8324">
        <v>8</v>
      </c>
      <c r="I8324" s="7">
        <v>633.1</v>
      </c>
      <c r="J8324" s="7">
        <v>479.3</v>
      </c>
      <c r="N8324" s="7">
        <v>231.2</v>
      </c>
      <c r="O8324" s="7">
        <v>173.7</v>
      </c>
    </row>
    <row r="8325" spans="1:22" x14ac:dyDescent="0.2">
      <c r="A8325">
        <v>8324</v>
      </c>
      <c r="B8325" s="1">
        <v>41037</v>
      </c>
      <c r="C8325" t="s">
        <v>24</v>
      </c>
      <c r="D8325" s="7">
        <v>296</v>
      </c>
      <c r="E8325" s="7">
        <v>44</v>
      </c>
      <c r="F8325" s="7">
        <f t="shared" si="130"/>
        <v>3</v>
      </c>
      <c r="G8325" s="7" t="str">
        <f>LOOKUP(H8325,[1]startdates!$A$2:$A$10,[1]startdates!$B$2:$B$10)</f>
        <v>C</v>
      </c>
      <c r="H8325">
        <v>8</v>
      </c>
      <c r="I8325" s="7">
        <v>668.4</v>
      </c>
      <c r="N8325" s="7">
        <v>233.4</v>
      </c>
      <c r="O8325" s="7">
        <v>154.80000000000001</v>
      </c>
    </row>
    <row r="8326" spans="1:22" x14ac:dyDescent="0.2">
      <c r="A8326">
        <v>8325</v>
      </c>
      <c r="B8326" s="1">
        <v>41037</v>
      </c>
      <c r="C8326" t="s">
        <v>24</v>
      </c>
      <c r="D8326" s="7">
        <v>296</v>
      </c>
      <c r="E8326" s="7">
        <v>44</v>
      </c>
      <c r="F8326" s="7">
        <f t="shared" si="130"/>
        <v>3</v>
      </c>
      <c r="G8326" s="7" t="str">
        <f>LOOKUP(H8326,[1]startdates!$A$2:$A$10,[1]startdates!$B$2:$B$10)</f>
        <v>C</v>
      </c>
      <c r="H8326">
        <v>8</v>
      </c>
      <c r="I8326" s="7">
        <v>662.1</v>
      </c>
      <c r="O8326" s="7">
        <v>171.2</v>
      </c>
    </row>
    <row r="8327" spans="1:22" x14ac:dyDescent="0.2">
      <c r="A8327">
        <v>8326</v>
      </c>
      <c r="B8327" s="1">
        <v>41037</v>
      </c>
      <c r="C8327" t="s">
        <v>24</v>
      </c>
      <c r="D8327" s="7">
        <v>296</v>
      </c>
      <c r="E8327" s="7">
        <v>44</v>
      </c>
      <c r="F8327" s="7">
        <f t="shared" si="130"/>
        <v>3</v>
      </c>
      <c r="G8327" s="7" t="str">
        <f>LOOKUP(H8327,[1]startdates!$A$2:$A$10,[1]startdates!$B$2:$B$10)</f>
        <v>C</v>
      </c>
      <c r="H8327">
        <v>8</v>
      </c>
      <c r="I8327" s="7">
        <v>595.79999999999995</v>
      </c>
    </row>
    <row r="8328" spans="1:22" x14ac:dyDescent="0.2">
      <c r="A8328">
        <v>8327</v>
      </c>
      <c r="B8328" s="1">
        <v>41037</v>
      </c>
      <c r="C8328" t="s">
        <v>24</v>
      </c>
      <c r="D8328" s="7">
        <v>296</v>
      </c>
      <c r="E8328" s="7">
        <v>44</v>
      </c>
      <c r="F8328" s="7">
        <f t="shared" si="130"/>
        <v>3</v>
      </c>
      <c r="G8328" s="7" t="str">
        <f>LOOKUP(H8328,[1]startdates!$A$2:$A$10,[1]startdates!$B$2:$B$10)</f>
        <v>C</v>
      </c>
      <c r="H8328">
        <v>8</v>
      </c>
      <c r="I8328" s="7">
        <v>596.5</v>
      </c>
    </row>
    <row r="8329" spans="1:22" x14ac:dyDescent="0.2">
      <c r="A8329">
        <v>8328</v>
      </c>
      <c r="B8329" s="1">
        <v>41037</v>
      </c>
      <c r="C8329" t="s">
        <v>24</v>
      </c>
      <c r="D8329" s="7">
        <v>296</v>
      </c>
      <c r="E8329" s="7">
        <v>44</v>
      </c>
      <c r="F8329" s="7">
        <f t="shared" si="130"/>
        <v>3</v>
      </c>
      <c r="G8329" s="7" t="str">
        <f>LOOKUP(H8329,[1]startdates!$A$2:$A$10,[1]startdates!$B$2:$B$10)</f>
        <v>C</v>
      </c>
      <c r="H8329">
        <v>8</v>
      </c>
      <c r="I8329" s="7">
        <v>724.7</v>
      </c>
    </row>
    <row r="8330" spans="1:22" x14ac:dyDescent="0.2">
      <c r="A8330">
        <v>8329</v>
      </c>
      <c r="B8330" s="1">
        <v>41037</v>
      </c>
      <c r="C8330" t="s">
        <v>28</v>
      </c>
      <c r="D8330" s="7">
        <v>296</v>
      </c>
      <c r="E8330" s="7">
        <v>44</v>
      </c>
      <c r="F8330" s="7">
        <f t="shared" si="130"/>
        <v>3</v>
      </c>
      <c r="G8330" s="7" t="str">
        <f>LOOKUP(H8330,[1]startdates!$A$2:$A$10,[1]startdates!$B$2:$B$10)</f>
        <v>FMr</v>
      </c>
      <c r="H8330">
        <v>9</v>
      </c>
      <c r="I8330" s="7">
        <v>543.6</v>
      </c>
      <c r="J8330" s="7">
        <v>461.4</v>
      </c>
      <c r="K8330" s="7">
        <v>485.3</v>
      </c>
      <c r="L8330" s="7">
        <v>412.4</v>
      </c>
      <c r="M8330" s="7">
        <v>370.6</v>
      </c>
      <c r="N8330" s="7">
        <v>247.4</v>
      </c>
      <c r="O8330" s="7">
        <v>169.7</v>
      </c>
      <c r="P8330" s="7">
        <v>469</v>
      </c>
      <c r="Q8330" s="7">
        <v>312.10000000000002</v>
      </c>
      <c r="R8330" s="7">
        <v>240.7</v>
      </c>
      <c r="V8330" s="7">
        <v>549.4</v>
      </c>
    </row>
    <row r="8331" spans="1:22" x14ac:dyDescent="0.2">
      <c r="A8331">
        <v>8330</v>
      </c>
      <c r="B8331" s="1">
        <v>41037</v>
      </c>
      <c r="C8331" t="s">
        <v>28</v>
      </c>
      <c r="D8331" s="7">
        <v>296</v>
      </c>
      <c r="E8331" s="7">
        <v>44</v>
      </c>
      <c r="F8331" s="7">
        <f t="shared" si="130"/>
        <v>3</v>
      </c>
      <c r="G8331" s="7" t="str">
        <f>LOOKUP(H8331,[1]startdates!$A$2:$A$10,[1]startdates!$B$2:$B$10)</f>
        <v>FMr</v>
      </c>
      <c r="H8331">
        <v>9</v>
      </c>
      <c r="I8331" s="7">
        <v>642.1</v>
      </c>
      <c r="J8331" s="7">
        <v>529.6</v>
      </c>
      <c r="K8331" s="7">
        <v>519.20000000000005</v>
      </c>
      <c r="L8331" s="7">
        <v>420</v>
      </c>
      <c r="M8331" s="7">
        <v>343.4</v>
      </c>
      <c r="N8331" s="7">
        <v>189.5</v>
      </c>
      <c r="O8331" s="7">
        <v>162.5</v>
      </c>
      <c r="P8331" s="7">
        <v>482.4</v>
      </c>
      <c r="V8331" s="7">
        <v>495.1</v>
      </c>
    </row>
    <row r="8332" spans="1:22" x14ac:dyDescent="0.2">
      <c r="A8332">
        <v>8331</v>
      </c>
      <c r="B8332" s="1">
        <v>41037</v>
      </c>
      <c r="C8332" t="s">
        <v>28</v>
      </c>
      <c r="D8332" s="7">
        <v>296</v>
      </c>
      <c r="E8332" s="7">
        <v>44</v>
      </c>
      <c r="F8332" s="7">
        <f t="shared" si="130"/>
        <v>3</v>
      </c>
      <c r="G8332" s="7" t="str">
        <f>LOOKUP(H8332,[1]startdates!$A$2:$A$10,[1]startdates!$B$2:$B$10)</f>
        <v>FMr</v>
      </c>
      <c r="H8332">
        <v>9</v>
      </c>
      <c r="I8332" s="7">
        <v>642.70000000000005</v>
      </c>
      <c r="K8332" s="7">
        <v>540.5</v>
      </c>
      <c r="L8332" s="7">
        <v>421.7</v>
      </c>
      <c r="M8332" s="7">
        <v>326.2</v>
      </c>
      <c r="N8332" s="7">
        <v>187.8</v>
      </c>
      <c r="O8332" s="7">
        <v>143.6</v>
      </c>
    </row>
    <row r="8333" spans="1:22" x14ac:dyDescent="0.2">
      <c r="A8333">
        <v>8332</v>
      </c>
      <c r="B8333" s="1">
        <v>41037</v>
      </c>
      <c r="C8333" t="s">
        <v>28</v>
      </c>
      <c r="D8333" s="7">
        <v>296</v>
      </c>
      <c r="E8333" s="7">
        <v>44</v>
      </c>
      <c r="F8333" s="7">
        <f t="shared" si="130"/>
        <v>3</v>
      </c>
      <c r="G8333" s="7" t="str">
        <f>LOOKUP(H8333,[1]startdates!$A$2:$A$10,[1]startdates!$B$2:$B$10)</f>
        <v>FMr</v>
      </c>
      <c r="H8333">
        <v>9</v>
      </c>
      <c r="I8333" s="7">
        <v>595.79999999999995</v>
      </c>
      <c r="K8333" s="7">
        <v>441</v>
      </c>
      <c r="M8333" s="7">
        <v>307</v>
      </c>
      <c r="N8333" s="7">
        <v>188.1</v>
      </c>
      <c r="O8333" s="7">
        <v>143.19999999999999</v>
      </c>
    </row>
    <row r="8334" spans="1:22" x14ac:dyDescent="0.2">
      <c r="A8334">
        <v>8333</v>
      </c>
      <c r="B8334" s="1">
        <v>41037</v>
      </c>
      <c r="C8334" t="s">
        <v>28</v>
      </c>
      <c r="D8334" s="7">
        <v>296</v>
      </c>
      <c r="E8334" s="7">
        <v>44</v>
      </c>
      <c r="F8334" s="7">
        <f t="shared" si="130"/>
        <v>3</v>
      </c>
      <c r="G8334" s="7" t="str">
        <f>LOOKUP(H8334,[1]startdates!$A$2:$A$10,[1]startdates!$B$2:$B$10)</f>
        <v>FMr</v>
      </c>
      <c r="H8334">
        <v>9</v>
      </c>
      <c r="I8334" s="7">
        <v>551.6</v>
      </c>
      <c r="K8334" s="7">
        <v>540.5</v>
      </c>
      <c r="M8334" s="7">
        <v>371.7</v>
      </c>
      <c r="N8334" s="7">
        <v>184.9</v>
      </c>
      <c r="O8334" s="7">
        <v>151.6</v>
      </c>
    </row>
    <row r="8335" spans="1:22" x14ac:dyDescent="0.2">
      <c r="A8335">
        <v>8334</v>
      </c>
      <c r="B8335" s="1">
        <v>41037</v>
      </c>
      <c r="C8335" t="s">
        <v>28</v>
      </c>
      <c r="D8335" s="7">
        <v>296</v>
      </c>
      <c r="E8335" s="7">
        <v>44</v>
      </c>
      <c r="F8335" s="7">
        <f t="shared" si="130"/>
        <v>3</v>
      </c>
      <c r="G8335" s="7" t="str">
        <f>LOOKUP(H8335,[1]startdates!$A$2:$A$10,[1]startdates!$B$2:$B$10)</f>
        <v>FMr</v>
      </c>
      <c r="H8335">
        <v>9</v>
      </c>
      <c r="I8335" s="7">
        <v>567.5</v>
      </c>
      <c r="K8335" s="7">
        <v>441</v>
      </c>
      <c r="M8335" s="7">
        <v>328.4</v>
      </c>
      <c r="N8335" s="7">
        <v>186.3</v>
      </c>
      <c r="O8335" s="7">
        <v>137</v>
      </c>
    </row>
    <row r="8336" spans="1:22" x14ac:dyDescent="0.2">
      <c r="A8336">
        <v>8335</v>
      </c>
      <c r="B8336" s="1">
        <v>41037</v>
      </c>
      <c r="C8336" t="s">
        <v>28</v>
      </c>
      <c r="D8336" s="7">
        <v>296</v>
      </c>
      <c r="E8336" s="7">
        <v>44</v>
      </c>
      <c r="F8336" s="7">
        <f t="shared" si="130"/>
        <v>3</v>
      </c>
      <c r="G8336" s="7" t="str">
        <f>LOOKUP(H8336,[1]startdates!$A$2:$A$10,[1]startdates!$B$2:$B$10)</f>
        <v>FMr</v>
      </c>
      <c r="H8336">
        <v>9</v>
      </c>
      <c r="I8336" s="7">
        <v>536.70000000000005</v>
      </c>
      <c r="K8336" s="7">
        <v>523.9</v>
      </c>
      <c r="M8336" s="7">
        <v>346.6</v>
      </c>
      <c r="N8336" s="7">
        <v>234.3</v>
      </c>
      <c r="O8336" s="7">
        <v>141.6</v>
      </c>
    </row>
    <row r="8337" spans="1:21" x14ac:dyDescent="0.2">
      <c r="A8337">
        <v>8336</v>
      </c>
      <c r="B8337" s="1">
        <v>41037</v>
      </c>
      <c r="C8337" t="s">
        <v>28</v>
      </c>
      <c r="D8337" s="7">
        <v>296</v>
      </c>
      <c r="E8337" s="7">
        <v>44</v>
      </c>
      <c r="F8337" s="7">
        <f t="shared" si="130"/>
        <v>3</v>
      </c>
      <c r="G8337" s="7" t="str">
        <f>LOOKUP(H8337,[1]startdates!$A$2:$A$10,[1]startdates!$B$2:$B$10)</f>
        <v>FMr</v>
      </c>
      <c r="H8337">
        <v>9</v>
      </c>
      <c r="I8337" s="7">
        <v>597</v>
      </c>
      <c r="K8337" s="7">
        <v>565.79999999999995</v>
      </c>
      <c r="M8337" s="7">
        <v>351.7</v>
      </c>
      <c r="N8337" s="7">
        <v>206.5</v>
      </c>
      <c r="O8337" s="7">
        <v>159</v>
      </c>
    </row>
    <row r="8338" spans="1:21" x14ac:dyDescent="0.2">
      <c r="A8338">
        <v>8337</v>
      </c>
      <c r="B8338" s="1">
        <v>41037</v>
      </c>
      <c r="C8338" t="s">
        <v>28</v>
      </c>
      <c r="D8338" s="7">
        <v>296</v>
      </c>
      <c r="E8338" s="7">
        <v>44</v>
      </c>
      <c r="F8338" s="7">
        <f t="shared" si="130"/>
        <v>3</v>
      </c>
      <c r="G8338" s="7" t="str">
        <f>LOOKUP(H8338,[1]startdates!$A$2:$A$10,[1]startdates!$B$2:$B$10)</f>
        <v>FMr</v>
      </c>
      <c r="H8338">
        <v>9</v>
      </c>
      <c r="I8338" s="7">
        <v>549.6</v>
      </c>
      <c r="M8338" s="7">
        <v>364.6</v>
      </c>
      <c r="N8338" s="7">
        <v>226.1</v>
      </c>
      <c r="O8338" s="7">
        <v>173.1</v>
      </c>
    </row>
    <row r="8339" spans="1:21" x14ac:dyDescent="0.2">
      <c r="A8339">
        <v>8338</v>
      </c>
      <c r="B8339" s="1">
        <v>41037</v>
      </c>
      <c r="C8339" t="s">
        <v>28</v>
      </c>
      <c r="D8339" s="7">
        <v>296</v>
      </c>
      <c r="E8339" s="7">
        <v>44</v>
      </c>
      <c r="F8339" s="7">
        <f t="shared" si="130"/>
        <v>3</v>
      </c>
      <c r="G8339" s="7" t="str">
        <f>LOOKUP(H8339,[1]startdates!$A$2:$A$10,[1]startdates!$B$2:$B$10)</f>
        <v>FMr</v>
      </c>
      <c r="H8339">
        <v>9</v>
      </c>
      <c r="I8339" s="7">
        <v>629.1</v>
      </c>
      <c r="M8339" s="7">
        <v>367.5</v>
      </c>
      <c r="N8339" s="7">
        <v>258.60000000000002</v>
      </c>
      <c r="O8339" s="7">
        <v>166.4</v>
      </c>
    </row>
    <row r="8340" spans="1:21" x14ac:dyDescent="0.2">
      <c r="A8340">
        <v>8339</v>
      </c>
      <c r="B8340" s="1">
        <v>41051</v>
      </c>
      <c r="C8340" t="s">
        <v>28</v>
      </c>
      <c r="D8340" s="7">
        <v>310</v>
      </c>
      <c r="E8340" s="7">
        <v>46</v>
      </c>
      <c r="F8340" s="7">
        <f t="shared" si="130"/>
        <v>3</v>
      </c>
      <c r="G8340" s="7" t="str">
        <f>LOOKUP(H8340,[1]startdates!$A$2:$A$10,[1]startdates!$B$2:$B$10)</f>
        <v>SMr</v>
      </c>
      <c r="H8340">
        <v>1</v>
      </c>
      <c r="I8340" s="7">
        <v>686.6</v>
      </c>
      <c r="J8340" s="7">
        <v>536.1</v>
      </c>
      <c r="L8340" s="7">
        <v>409</v>
      </c>
      <c r="M8340" s="7">
        <v>378.2</v>
      </c>
      <c r="N8340" s="7">
        <v>202.9</v>
      </c>
      <c r="O8340" s="7">
        <v>159.69999999999999</v>
      </c>
      <c r="P8340" s="7">
        <v>463.9</v>
      </c>
      <c r="Q8340" s="7">
        <v>318.10000000000002</v>
      </c>
      <c r="R8340" s="7">
        <v>272.5</v>
      </c>
    </row>
    <row r="8341" spans="1:21" x14ac:dyDescent="0.2">
      <c r="A8341">
        <v>8340</v>
      </c>
      <c r="B8341" s="1">
        <v>41051</v>
      </c>
      <c r="C8341" t="s">
        <v>28</v>
      </c>
      <c r="D8341" s="7">
        <v>310</v>
      </c>
      <c r="E8341" s="7">
        <v>46</v>
      </c>
      <c r="F8341" s="7">
        <f t="shared" si="130"/>
        <v>3</v>
      </c>
      <c r="G8341" s="7" t="str">
        <f>LOOKUP(H8341,[1]startdates!$A$2:$A$10,[1]startdates!$B$2:$B$10)</f>
        <v>SMr</v>
      </c>
      <c r="H8341">
        <v>1</v>
      </c>
      <c r="I8341" s="7">
        <v>701.5</v>
      </c>
      <c r="J8341" s="7">
        <v>510.4</v>
      </c>
      <c r="L8341" s="7">
        <v>415.3</v>
      </c>
      <c r="M8341" s="7">
        <v>349.3</v>
      </c>
      <c r="N8341" s="7">
        <v>181.3</v>
      </c>
      <c r="O8341" s="7">
        <v>168.3</v>
      </c>
      <c r="P8341" s="7">
        <v>459.9</v>
      </c>
      <c r="Q8341" s="7">
        <v>323</v>
      </c>
    </row>
    <row r="8342" spans="1:21" x14ac:dyDescent="0.2">
      <c r="A8342">
        <v>8341</v>
      </c>
      <c r="B8342" s="1">
        <v>41051</v>
      </c>
      <c r="C8342" t="s">
        <v>28</v>
      </c>
      <c r="D8342" s="7">
        <v>310</v>
      </c>
      <c r="E8342" s="7">
        <v>46</v>
      </c>
      <c r="F8342" s="7">
        <f t="shared" si="130"/>
        <v>3</v>
      </c>
      <c r="G8342" s="7" t="str">
        <f>LOOKUP(H8342,[1]startdates!$A$2:$A$10,[1]startdates!$B$2:$B$10)</f>
        <v>SMr</v>
      </c>
      <c r="H8342">
        <v>1</v>
      </c>
      <c r="I8342" s="7">
        <v>580.79999999999995</v>
      </c>
      <c r="J8342" s="7">
        <v>493.8</v>
      </c>
      <c r="M8342" s="7">
        <v>317.8</v>
      </c>
      <c r="N8342" s="7">
        <v>191.5</v>
      </c>
      <c r="O8342" s="7">
        <v>165.7</v>
      </c>
      <c r="P8342" s="7">
        <v>537.1</v>
      </c>
      <c r="Q8342" s="7">
        <v>326.2</v>
      </c>
    </row>
    <row r="8343" spans="1:21" x14ac:dyDescent="0.2">
      <c r="A8343">
        <v>8342</v>
      </c>
      <c r="B8343" s="1">
        <v>41051</v>
      </c>
      <c r="C8343" t="s">
        <v>28</v>
      </c>
      <c r="D8343" s="7">
        <v>310</v>
      </c>
      <c r="E8343" s="7">
        <v>46</v>
      </c>
      <c r="F8343" s="7">
        <f t="shared" si="130"/>
        <v>3</v>
      </c>
      <c r="G8343" s="7" t="str">
        <f>LOOKUP(H8343,[1]startdates!$A$2:$A$10,[1]startdates!$B$2:$B$10)</f>
        <v>SMr</v>
      </c>
      <c r="H8343">
        <v>1</v>
      </c>
      <c r="I8343" s="7">
        <v>555.79999999999995</v>
      </c>
      <c r="J8343" s="7">
        <v>461.6</v>
      </c>
      <c r="M8343" s="7">
        <v>300.5</v>
      </c>
      <c r="N8343" s="7">
        <v>228.2</v>
      </c>
      <c r="O8343" s="7">
        <v>169.4</v>
      </c>
      <c r="Q8343" s="7">
        <v>396.5</v>
      </c>
    </row>
    <row r="8344" spans="1:21" x14ac:dyDescent="0.2">
      <c r="A8344">
        <v>8343</v>
      </c>
      <c r="B8344" s="1">
        <v>41051</v>
      </c>
      <c r="C8344" t="s">
        <v>28</v>
      </c>
      <c r="D8344" s="7">
        <v>310</v>
      </c>
      <c r="E8344" s="7">
        <v>46</v>
      </c>
      <c r="F8344" s="7">
        <f t="shared" si="130"/>
        <v>3</v>
      </c>
      <c r="G8344" s="7" t="str">
        <f>LOOKUP(H8344,[1]startdates!$A$2:$A$10,[1]startdates!$B$2:$B$10)</f>
        <v>SMr</v>
      </c>
      <c r="H8344">
        <v>1</v>
      </c>
      <c r="I8344" s="7">
        <v>611.79999999999995</v>
      </c>
      <c r="J8344" s="7">
        <v>514.9</v>
      </c>
      <c r="M8344" s="7">
        <v>373</v>
      </c>
      <c r="N8344" s="7">
        <v>191.4</v>
      </c>
      <c r="O8344" s="7">
        <v>164.9</v>
      </c>
      <c r="Q8344" s="7">
        <v>331.6</v>
      </c>
    </row>
    <row r="8345" spans="1:21" x14ac:dyDescent="0.2">
      <c r="A8345">
        <v>8344</v>
      </c>
      <c r="B8345" s="1">
        <v>41051</v>
      </c>
      <c r="C8345" t="s">
        <v>28</v>
      </c>
      <c r="D8345" s="7">
        <v>310</v>
      </c>
      <c r="E8345" s="7">
        <v>46</v>
      </c>
      <c r="F8345" s="7">
        <f t="shared" si="130"/>
        <v>3</v>
      </c>
      <c r="G8345" s="7" t="str">
        <f>LOOKUP(H8345,[1]startdates!$A$2:$A$10,[1]startdates!$B$2:$B$10)</f>
        <v>SMr</v>
      </c>
      <c r="H8345">
        <v>1</v>
      </c>
      <c r="I8345" s="7">
        <v>575.79999999999995</v>
      </c>
      <c r="J8345" s="7">
        <v>589.5</v>
      </c>
      <c r="M8345" s="7">
        <v>368.2</v>
      </c>
      <c r="N8345" s="7">
        <v>241.2</v>
      </c>
      <c r="O8345" s="7">
        <v>168.6</v>
      </c>
    </row>
    <row r="8346" spans="1:21" x14ac:dyDescent="0.2">
      <c r="A8346">
        <v>8345</v>
      </c>
      <c r="B8346" s="1">
        <v>41051</v>
      </c>
      <c r="C8346" t="s">
        <v>28</v>
      </c>
      <c r="D8346" s="7">
        <v>310</v>
      </c>
      <c r="E8346" s="7">
        <v>46</v>
      </c>
      <c r="F8346" s="7">
        <f t="shared" si="130"/>
        <v>3</v>
      </c>
      <c r="G8346" s="7" t="str">
        <f>LOOKUP(H8346,[1]startdates!$A$2:$A$10,[1]startdates!$B$2:$B$10)</f>
        <v>SMr</v>
      </c>
      <c r="H8346">
        <v>1</v>
      </c>
      <c r="I8346" s="7">
        <v>591.29999999999995</v>
      </c>
      <c r="J8346" s="7">
        <v>483.2</v>
      </c>
      <c r="M8346" s="7">
        <v>353.6</v>
      </c>
      <c r="N8346" s="7">
        <v>183.8</v>
      </c>
      <c r="O8346" s="7">
        <v>166.3</v>
      </c>
    </row>
    <row r="8347" spans="1:21" x14ac:dyDescent="0.2">
      <c r="A8347">
        <v>8346</v>
      </c>
      <c r="B8347" s="1">
        <v>41051</v>
      </c>
      <c r="C8347" t="s">
        <v>28</v>
      </c>
      <c r="D8347" s="7">
        <v>310</v>
      </c>
      <c r="E8347" s="7">
        <v>46</v>
      </c>
      <c r="F8347" s="7">
        <f t="shared" si="130"/>
        <v>3</v>
      </c>
      <c r="G8347" s="7" t="str">
        <f>LOOKUP(H8347,[1]startdates!$A$2:$A$10,[1]startdates!$B$2:$B$10)</f>
        <v>SMr</v>
      </c>
      <c r="H8347">
        <v>1</v>
      </c>
      <c r="I8347" s="7">
        <v>837.6</v>
      </c>
      <c r="J8347" s="7">
        <v>467.2</v>
      </c>
      <c r="M8347" s="7">
        <v>316.5</v>
      </c>
      <c r="N8347" s="7">
        <v>225.4</v>
      </c>
      <c r="O8347" s="7">
        <v>156.19999999999999</v>
      </c>
    </row>
    <row r="8348" spans="1:21" x14ac:dyDescent="0.2">
      <c r="A8348">
        <v>8347</v>
      </c>
      <c r="B8348" s="1">
        <v>41051</v>
      </c>
      <c r="C8348" t="s">
        <v>28</v>
      </c>
      <c r="D8348" s="7">
        <v>310</v>
      </c>
      <c r="E8348" s="7">
        <v>46</v>
      </c>
      <c r="F8348" s="7">
        <f t="shared" si="130"/>
        <v>3</v>
      </c>
      <c r="G8348" s="7" t="str">
        <f>LOOKUP(H8348,[1]startdates!$A$2:$A$10,[1]startdates!$B$2:$B$10)</f>
        <v>SMr</v>
      </c>
      <c r="H8348">
        <v>1</v>
      </c>
      <c r="I8348" s="7">
        <v>659.8</v>
      </c>
      <c r="J8348" s="7">
        <v>606.9</v>
      </c>
      <c r="M8348" s="7">
        <v>318.60000000000002</v>
      </c>
      <c r="N8348" s="7">
        <v>236.1</v>
      </c>
      <c r="O8348" s="7">
        <v>166.3</v>
      </c>
    </row>
    <row r="8349" spans="1:21" x14ac:dyDescent="0.2">
      <c r="A8349">
        <v>8348</v>
      </c>
      <c r="B8349" s="1">
        <v>41051</v>
      </c>
      <c r="C8349" t="s">
        <v>28</v>
      </c>
      <c r="D8349" s="7">
        <v>310</v>
      </c>
      <c r="E8349" s="7">
        <v>46</v>
      </c>
      <c r="F8349" s="7">
        <f t="shared" si="130"/>
        <v>3</v>
      </c>
      <c r="G8349" s="7" t="str">
        <f>LOOKUP(H8349,[1]startdates!$A$2:$A$10,[1]startdates!$B$2:$B$10)</f>
        <v>SMr</v>
      </c>
      <c r="H8349">
        <v>1</v>
      </c>
      <c r="I8349" s="7">
        <v>795.6</v>
      </c>
      <c r="J8349" s="7">
        <v>492.2</v>
      </c>
      <c r="M8349" s="7">
        <v>296.8</v>
      </c>
      <c r="N8349" s="7">
        <v>189.3</v>
      </c>
      <c r="O8349" s="7">
        <v>173.7</v>
      </c>
    </row>
    <row r="8350" spans="1:21" x14ac:dyDescent="0.2">
      <c r="A8350">
        <v>8349</v>
      </c>
      <c r="B8350" s="1">
        <v>41051</v>
      </c>
      <c r="C8350" t="s">
        <v>24</v>
      </c>
      <c r="D8350" s="7">
        <v>310</v>
      </c>
      <c r="E8350" s="7">
        <v>46</v>
      </c>
      <c r="F8350" s="7">
        <f t="shared" si="130"/>
        <v>3</v>
      </c>
      <c r="G8350" s="7" t="str">
        <f>LOOKUP(H8350,[1]startdates!$A$2:$A$10,[1]startdates!$B$2:$B$10)</f>
        <v>SMr</v>
      </c>
      <c r="H8350">
        <v>2</v>
      </c>
      <c r="I8350" s="7">
        <v>608.29999999999995</v>
      </c>
      <c r="J8350" s="7">
        <v>507.5</v>
      </c>
      <c r="K8350" s="7">
        <v>424</v>
      </c>
      <c r="L8350" s="7">
        <v>390.4</v>
      </c>
      <c r="M8350" s="7">
        <v>383.3</v>
      </c>
      <c r="N8350" s="7">
        <v>208.4</v>
      </c>
      <c r="O8350" s="7">
        <v>149.5</v>
      </c>
      <c r="P8350" s="7">
        <v>479.3</v>
      </c>
      <c r="R8350" s="7">
        <v>308</v>
      </c>
      <c r="S8350" s="7">
        <v>221.7</v>
      </c>
      <c r="U8350" s="7">
        <v>533.79999999999995</v>
      </c>
    </row>
    <row r="8351" spans="1:21" x14ac:dyDescent="0.2">
      <c r="A8351">
        <v>8350</v>
      </c>
      <c r="B8351" s="1">
        <v>41051</v>
      </c>
      <c r="C8351" t="s">
        <v>24</v>
      </c>
      <c r="D8351" s="7">
        <v>310</v>
      </c>
      <c r="E8351" s="7">
        <v>46</v>
      </c>
      <c r="F8351" s="7">
        <f t="shared" si="130"/>
        <v>3</v>
      </c>
      <c r="G8351" s="7" t="str">
        <f>LOOKUP(H8351,[1]startdates!$A$2:$A$10,[1]startdates!$B$2:$B$10)</f>
        <v>SMr</v>
      </c>
      <c r="H8351">
        <v>2</v>
      </c>
      <c r="I8351" s="7">
        <v>603.29999999999995</v>
      </c>
      <c r="J8351" s="7">
        <v>472.7</v>
      </c>
      <c r="K8351" s="7">
        <v>455.5</v>
      </c>
      <c r="M8351" s="7">
        <v>359</v>
      </c>
      <c r="N8351" s="7">
        <v>226.1</v>
      </c>
      <c r="O8351" s="7">
        <v>163.4</v>
      </c>
      <c r="R8351" s="7">
        <v>332.3</v>
      </c>
      <c r="S8351" s="7">
        <v>247.1</v>
      </c>
      <c r="U8351" s="7">
        <v>477.6</v>
      </c>
    </row>
    <row r="8352" spans="1:21" x14ac:dyDescent="0.2">
      <c r="A8352">
        <v>8351</v>
      </c>
      <c r="B8352" s="1">
        <v>41051</v>
      </c>
      <c r="C8352" t="s">
        <v>24</v>
      </c>
      <c r="D8352" s="7">
        <v>310</v>
      </c>
      <c r="E8352" s="7">
        <v>46</v>
      </c>
      <c r="F8352" s="7">
        <f t="shared" si="130"/>
        <v>3</v>
      </c>
      <c r="G8352" s="7" t="str">
        <f>LOOKUP(H8352,[1]startdates!$A$2:$A$10,[1]startdates!$B$2:$B$10)</f>
        <v>SMr</v>
      </c>
      <c r="H8352">
        <v>2</v>
      </c>
      <c r="I8352" s="7">
        <v>661.8</v>
      </c>
      <c r="K8352" s="7">
        <v>438.9</v>
      </c>
      <c r="M8352" s="7">
        <v>369.9</v>
      </c>
      <c r="N8352" s="7">
        <v>219.7</v>
      </c>
      <c r="O8352" s="7">
        <v>187.9</v>
      </c>
      <c r="U8352" s="7">
        <v>517</v>
      </c>
    </row>
    <row r="8353" spans="1:21" x14ac:dyDescent="0.2">
      <c r="A8353">
        <v>8352</v>
      </c>
      <c r="B8353" s="1">
        <v>41051</v>
      </c>
      <c r="C8353" t="s">
        <v>24</v>
      </c>
      <c r="D8353" s="7">
        <v>310</v>
      </c>
      <c r="E8353" s="7">
        <v>46</v>
      </c>
      <c r="F8353" s="7">
        <f t="shared" si="130"/>
        <v>3</v>
      </c>
      <c r="G8353" s="7" t="str">
        <f>LOOKUP(H8353,[1]startdates!$A$2:$A$10,[1]startdates!$B$2:$B$10)</f>
        <v>SMr</v>
      </c>
      <c r="H8353">
        <v>2</v>
      </c>
      <c r="I8353" s="7">
        <v>613.29999999999995</v>
      </c>
      <c r="K8353" s="7">
        <v>486.2</v>
      </c>
      <c r="M8353" s="7">
        <v>369.8</v>
      </c>
      <c r="N8353" s="7">
        <v>213.8</v>
      </c>
      <c r="O8353" s="7">
        <v>165.7</v>
      </c>
      <c r="U8353" s="7">
        <v>492.1</v>
      </c>
    </row>
    <row r="8354" spans="1:21" x14ac:dyDescent="0.2">
      <c r="A8354">
        <v>8353</v>
      </c>
      <c r="B8354" s="1">
        <v>41051</v>
      </c>
      <c r="C8354" t="s">
        <v>24</v>
      </c>
      <c r="D8354" s="7">
        <v>310</v>
      </c>
      <c r="E8354" s="7">
        <v>46</v>
      </c>
      <c r="F8354" s="7">
        <f t="shared" si="130"/>
        <v>3</v>
      </c>
      <c r="G8354" s="7" t="str">
        <f>LOOKUP(H8354,[1]startdates!$A$2:$A$10,[1]startdates!$B$2:$B$10)</f>
        <v>SMr</v>
      </c>
      <c r="H8354">
        <v>2</v>
      </c>
      <c r="I8354" s="7">
        <v>630</v>
      </c>
      <c r="M8354" s="7">
        <v>371.3</v>
      </c>
      <c r="N8354" s="7">
        <v>269.7</v>
      </c>
      <c r="O8354" s="7">
        <v>144.9</v>
      </c>
    </row>
    <row r="8355" spans="1:21" x14ac:dyDescent="0.2">
      <c r="A8355">
        <v>8354</v>
      </c>
      <c r="B8355" s="1">
        <v>41051</v>
      </c>
      <c r="C8355" t="s">
        <v>24</v>
      </c>
      <c r="D8355" s="7">
        <v>310</v>
      </c>
      <c r="E8355" s="7">
        <v>46</v>
      </c>
      <c r="F8355" s="7">
        <f t="shared" si="130"/>
        <v>3</v>
      </c>
      <c r="G8355" s="7" t="str">
        <f>LOOKUP(H8355,[1]startdates!$A$2:$A$10,[1]startdates!$B$2:$B$10)</f>
        <v>SMr</v>
      </c>
      <c r="H8355">
        <v>2</v>
      </c>
      <c r="I8355" s="7">
        <v>592</v>
      </c>
      <c r="M8355" s="7">
        <v>334.7</v>
      </c>
      <c r="N8355" s="7">
        <v>244.9</v>
      </c>
      <c r="O8355" s="7">
        <v>169</v>
      </c>
    </row>
    <row r="8356" spans="1:21" x14ac:dyDescent="0.2">
      <c r="A8356">
        <v>8355</v>
      </c>
      <c r="B8356" s="1">
        <v>41051</v>
      </c>
      <c r="C8356" t="s">
        <v>24</v>
      </c>
      <c r="D8356" s="7">
        <v>310</v>
      </c>
      <c r="E8356" s="7">
        <v>46</v>
      </c>
      <c r="F8356" s="7">
        <f t="shared" si="130"/>
        <v>3</v>
      </c>
      <c r="G8356" s="7" t="str">
        <f>LOOKUP(H8356,[1]startdates!$A$2:$A$10,[1]startdates!$B$2:$B$10)</f>
        <v>SMr</v>
      </c>
      <c r="H8356">
        <v>2</v>
      </c>
      <c r="I8356" s="7">
        <v>550.4</v>
      </c>
      <c r="M8356" s="7">
        <v>292.89999999999998</v>
      </c>
      <c r="N8356" s="7">
        <v>219.2</v>
      </c>
      <c r="O8356" s="7">
        <v>196.1</v>
      </c>
    </row>
    <row r="8357" spans="1:21" x14ac:dyDescent="0.2">
      <c r="A8357">
        <v>8356</v>
      </c>
      <c r="B8357" s="1">
        <v>41051</v>
      </c>
      <c r="C8357" t="s">
        <v>24</v>
      </c>
      <c r="D8357" s="7">
        <v>310</v>
      </c>
      <c r="E8357" s="7">
        <v>46</v>
      </c>
      <c r="F8357" s="7">
        <f t="shared" si="130"/>
        <v>3</v>
      </c>
      <c r="G8357" s="7" t="str">
        <f>LOOKUP(H8357,[1]startdates!$A$2:$A$10,[1]startdates!$B$2:$B$10)</f>
        <v>SMr</v>
      </c>
      <c r="H8357">
        <v>2</v>
      </c>
      <c r="I8357" s="7">
        <v>583.29999999999995</v>
      </c>
      <c r="M8357" s="7">
        <v>286.7</v>
      </c>
      <c r="N8357" s="7">
        <v>252.5</v>
      </c>
      <c r="O8357" s="7">
        <v>180.7</v>
      </c>
    </row>
    <row r="8358" spans="1:21" x14ac:dyDescent="0.2">
      <c r="A8358">
        <v>8357</v>
      </c>
      <c r="B8358" s="1">
        <v>41051</v>
      </c>
      <c r="C8358" t="s">
        <v>24</v>
      </c>
      <c r="D8358" s="7">
        <v>310</v>
      </c>
      <c r="E8358" s="7">
        <v>46</v>
      </c>
      <c r="F8358" s="7">
        <f t="shared" si="130"/>
        <v>3</v>
      </c>
      <c r="G8358" s="7" t="str">
        <f>LOOKUP(H8358,[1]startdates!$A$2:$A$10,[1]startdates!$B$2:$B$10)</f>
        <v>SMr</v>
      </c>
      <c r="H8358">
        <v>2</v>
      </c>
      <c r="I8358" s="7">
        <v>620.6</v>
      </c>
      <c r="M8358" s="7">
        <v>337.2</v>
      </c>
      <c r="N8358" s="7">
        <v>239.3</v>
      </c>
      <c r="O8358" s="7">
        <v>158.1</v>
      </c>
    </row>
    <row r="8359" spans="1:21" x14ac:dyDescent="0.2">
      <c r="A8359">
        <v>8358</v>
      </c>
      <c r="B8359" s="1">
        <v>41051</v>
      </c>
      <c r="C8359" t="s">
        <v>24</v>
      </c>
      <c r="D8359" s="7">
        <v>310</v>
      </c>
      <c r="E8359" s="7">
        <v>46</v>
      </c>
      <c r="F8359" s="7">
        <f t="shared" si="130"/>
        <v>3</v>
      </c>
      <c r="G8359" s="7" t="str">
        <f>LOOKUP(H8359,[1]startdates!$A$2:$A$10,[1]startdates!$B$2:$B$10)</f>
        <v>SMr</v>
      </c>
      <c r="H8359">
        <v>2</v>
      </c>
      <c r="N8359" s="7">
        <v>207.3</v>
      </c>
      <c r="O8359" s="7">
        <v>162</v>
      </c>
    </row>
    <row r="8360" spans="1:21" x14ac:dyDescent="0.2">
      <c r="A8360">
        <v>8359</v>
      </c>
      <c r="B8360" s="1">
        <v>41051</v>
      </c>
      <c r="C8360" t="s">
        <v>28</v>
      </c>
      <c r="D8360" s="7">
        <v>310</v>
      </c>
      <c r="E8360" s="7">
        <v>46</v>
      </c>
      <c r="F8360" s="7">
        <f t="shared" si="130"/>
        <v>3</v>
      </c>
      <c r="G8360" s="7" t="str">
        <f>LOOKUP(H8360,[1]startdates!$A$2:$A$10,[1]startdates!$B$2:$B$10)</f>
        <v>C</v>
      </c>
      <c r="H8360">
        <v>3</v>
      </c>
      <c r="I8360" s="7">
        <v>724.9</v>
      </c>
      <c r="J8360" s="7">
        <v>498.4</v>
      </c>
      <c r="K8360" s="7">
        <v>616.79999999999995</v>
      </c>
      <c r="L8360" s="7">
        <v>441.6</v>
      </c>
      <c r="M8360" s="7">
        <v>313.2</v>
      </c>
      <c r="N8360" s="7">
        <v>227.1</v>
      </c>
      <c r="O8360" s="7">
        <v>147.4</v>
      </c>
      <c r="P8360" s="7">
        <v>485.7</v>
      </c>
      <c r="Q8360" s="7">
        <v>355</v>
      </c>
      <c r="R8360" s="7">
        <v>269.2</v>
      </c>
    </row>
    <row r="8361" spans="1:21" x14ac:dyDescent="0.2">
      <c r="A8361">
        <v>8360</v>
      </c>
      <c r="B8361" s="1">
        <v>41051</v>
      </c>
      <c r="C8361" t="s">
        <v>28</v>
      </c>
      <c r="D8361" s="7">
        <v>310</v>
      </c>
      <c r="E8361" s="7">
        <v>46</v>
      </c>
      <c r="F8361" s="7">
        <f t="shared" ref="F8361:F8424" si="131">WEEKDAY(B8361)</f>
        <v>3</v>
      </c>
      <c r="G8361" s="7" t="str">
        <f>LOOKUP(H8361,[1]startdates!$A$2:$A$10,[1]startdates!$B$2:$B$10)</f>
        <v>C</v>
      </c>
      <c r="H8361">
        <v>3</v>
      </c>
      <c r="I8361" s="7">
        <v>680.7</v>
      </c>
      <c r="J8361" s="7">
        <v>563.5</v>
      </c>
      <c r="K8361" s="7">
        <v>583.70000000000005</v>
      </c>
      <c r="L8361" s="7">
        <v>409.7</v>
      </c>
      <c r="M8361" s="7">
        <v>309.3</v>
      </c>
      <c r="N8361" s="7">
        <v>190</v>
      </c>
      <c r="O8361" s="7">
        <v>163</v>
      </c>
      <c r="P8361" s="7">
        <v>447.3</v>
      </c>
      <c r="R8361" s="7">
        <v>286.10000000000002</v>
      </c>
    </row>
    <row r="8362" spans="1:21" x14ac:dyDescent="0.2">
      <c r="A8362">
        <v>8361</v>
      </c>
      <c r="B8362" s="1">
        <v>41051</v>
      </c>
      <c r="C8362" t="s">
        <v>28</v>
      </c>
      <c r="D8362" s="7">
        <v>310</v>
      </c>
      <c r="E8362" s="7">
        <v>46</v>
      </c>
      <c r="F8362" s="7">
        <f t="shared" si="131"/>
        <v>3</v>
      </c>
      <c r="G8362" s="7" t="str">
        <f>LOOKUP(H8362,[1]startdates!$A$2:$A$10,[1]startdates!$B$2:$B$10)</f>
        <v>C</v>
      </c>
      <c r="H8362">
        <v>3</v>
      </c>
      <c r="I8362" s="7">
        <v>594.20000000000005</v>
      </c>
      <c r="J8362" s="7">
        <v>557.4</v>
      </c>
      <c r="M8362" s="7">
        <v>347.7</v>
      </c>
      <c r="N8362" s="7">
        <v>249.4</v>
      </c>
      <c r="O8362" s="7">
        <v>164.9</v>
      </c>
    </row>
    <row r="8363" spans="1:21" x14ac:dyDescent="0.2">
      <c r="A8363">
        <v>8362</v>
      </c>
      <c r="B8363" s="1">
        <v>41051</v>
      </c>
      <c r="C8363" t="s">
        <v>28</v>
      </c>
      <c r="D8363" s="7">
        <v>310</v>
      </c>
      <c r="E8363" s="7">
        <v>46</v>
      </c>
      <c r="F8363" s="7">
        <f t="shared" si="131"/>
        <v>3</v>
      </c>
      <c r="G8363" s="7" t="str">
        <f>LOOKUP(H8363,[1]startdates!$A$2:$A$10,[1]startdates!$B$2:$B$10)</f>
        <v>C</v>
      </c>
      <c r="H8363">
        <v>3</v>
      </c>
      <c r="I8363" s="7">
        <v>693.7</v>
      </c>
      <c r="J8363" s="7">
        <v>460.3</v>
      </c>
      <c r="M8363" s="7">
        <v>326.2</v>
      </c>
      <c r="N8363" s="7">
        <v>220.9</v>
      </c>
      <c r="O8363" s="7">
        <v>157.4</v>
      </c>
    </row>
    <row r="8364" spans="1:21" x14ac:dyDescent="0.2">
      <c r="A8364">
        <v>8363</v>
      </c>
      <c r="B8364" s="1">
        <v>41051</v>
      </c>
      <c r="C8364" t="s">
        <v>28</v>
      </c>
      <c r="D8364" s="7">
        <v>310</v>
      </c>
      <c r="E8364" s="7">
        <v>46</v>
      </c>
      <c r="F8364" s="7">
        <f t="shared" si="131"/>
        <v>3</v>
      </c>
      <c r="G8364" s="7" t="str">
        <f>LOOKUP(H8364,[1]startdates!$A$2:$A$10,[1]startdates!$B$2:$B$10)</f>
        <v>C</v>
      </c>
      <c r="H8364">
        <v>3</v>
      </c>
      <c r="I8364" s="7">
        <v>652</v>
      </c>
      <c r="J8364" s="7">
        <v>516.29999999999995</v>
      </c>
      <c r="M8364" s="7">
        <v>294.60000000000002</v>
      </c>
      <c r="N8364" s="7">
        <v>241</v>
      </c>
      <c r="O8364" s="7">
        <v>146.6</v>
      </c>
    </row>
    <row r="8365" spans="1:21" x14ac:dyDescent="0.2">
      <c r="A8365">
        <v>8364</v>
      </c>
      <c r="B8365" s="1">
        <v>41051</v>
      </c>
      <c r="C8365" t="s">
        <v>28</v>
      </c>
      <c r="D8365" s="7">
        <v>310</v>
      </c>
      <c r="E8365" s="7">
        <v>46</v>
      </c>
      <c r="F8365" s="7">
        <f t="shared" si="131"/>
        <v>3</v>
      </c>
      <c r="G8365" s="7" t="str">
        <f>LOOKUP(H8365,[1]startdates!$A$2:$A$10,[1]startdates!$B$2:$B$10)</f>
        <v>C</v>
      </c>
      <c r="H8365">
        <v>3</v>
      </c>
      <c r="I8365" s="7">
        <v>613.1</v>
      </c>
      <c r="M8365" s="7">
        <v>386.6</v>
      </c>
      <c r="N8365" s="7">
        <v>245.7</v>
      </c>
      <c r="O8365" s="7">
        <v>164.7</v>
      </c>
    </row>
    <row r="8366" spans="1:21" x14ac:dyDescent="0.2">
      <c r="A8366">
        <v>8365</v>
      </c>
      <c r="B8366" s="1">
        <v>41051</v>
      </c>
      <c r="C8366" t="s">
        <v>28</v>
      </c>
      <c r="D8366" s="7">
        <v>310</v>
      </c>
      <c r="E8366" s="7">
        <v>46</v>
      </c>
      <c r="F8366" s="7">
        <f t="shared" si="131"/>
        <v>3</v>
      </c>
      <c r="G8366" s="7" t="str">
        <f>LOOKUP(H8366,[1]startdates!$A$2:$A$10,[1]startdates!$B$2:$B$10)</f>
        <v>C</v>
      </c>
      <c r="H8366">
        <v>3</v>
      </c>
      <c r="I8366" s="7">
        <v>589.4</v>
      </c>
      <c r="M8366" s="7">
        <v>306.3</v>
      </c>
      <c r="N8366" s="7">
        <v>252.4</v>
      </c>
      <c r="O8366" s="7">
        <v>138.80000000000001</v>
      </c>
    </row>
    <row r="8367" spans="1:21" x14ac:dyDescent="0.2">
      <c r="A8367">
        <v>8366</v>
      </c>
      <c r="B8367" s="1">
        <v>41051</v>
      </c>
      <c r="C8367" t="s">
        <v>28</v>
      </c>
      <c r="D8367" s="7">
        <v>310</v>
      </c>
      <c r="E8367" s="7">
        <v>46</v>
      </c>
      <c r="F8367" s="7">
        <f t="shared" si="131"/>
        <v>3</v>
      </c>
      <c r="G8367" s="7" t="str">
        <f>LOOKUP(H8367,[1]startdates!$A$2:$A$10,[1]startdates!$B$2:$B$10)</f>
        <v>C</v>
      </c>
      <c r="H8367">
        <v>3</v>
      </c>
      <c r="I8367" s="7">
        <v>762.2</v>
      </c>
      <c r="N8367" s="7">
        <v>204.2</v>
      </c>
      <c r="O8367" s="7">
        <v>147.69999999999999</v>
      </c>
    </row>
    <row r="8368" spans="1:21" x14ac:dyDescent="0.2">
      <c r="A8368">
        <v>8367</v>
      </c>
      <c r="B8368" s="1">
        <v>41051</v>
      </c>
      <c r="C8368" t="s">
        <v>28</v>
      </c>
      <c r="D8368" s="7">
        <v>310</v>
      </c>
      <c r="E8368" s="7">
        <v>46</v>
      </c>
      <c r="F8368" s="7">
        <f t="shared" si="131"/>
        <v>3</v>
      </c>
      <c r="G8368" s="7" t="str">
        <f>LOOKUP(H8368,[1]startdates!$A$2:$A$10,[1]startdates!$B$2:$B$10)</f>
        <v>C</v>
      </c>
      <c r="H8368">
        <v>3</v>
      </c>
      <c r="I8368" s="7">
        <v>652.1</v>
      </c>
      <c r="N8368" s="7">
        <v>261.60000000000002</v>
      </c>
      <c r="O8368" s="7">
        <v>151.80000000000001</v>
      </c>
    </row>
    <row r="8369" spans="1:21" x14ac:dyDescent="0.2">
      <c r="A8369">
        <v>8368</v>
      </c>
      <c r="B8369" s="1">
        <v>41051</v>
      </c>
      <c r="C8369" t="s">
        <v>28</v>
      </c>
      <c r="D8369" s="7">
        <v>310</v>
      </c>
      <c r="E8369" s="7">
        <v>46</v>
      </c>
      <c r="F8369" s="7">
        <f t="shared" si="131"/>
        <v>3</v>
      </c>
      <c r="G8369" s="7" t="str">
        <f>LOOKUP(H8369,[1]startdates!$A$2:$A$10,[1]startdates!$B$2:$B$10)</f>
        <v>C</v>
      </c>
      <c r="H8369">
        <v>3</v>
      </c>
      <c r="I8369" s="7">
        <v>646.4</v>
      </c>
      <c r="N8369" s="7">
        <v>206.3</v>
      </c>
      <c r="O8369" s="7">
        <v>145.80000000000001</v>
      </c>
    </row>
    <row r="8370" spans="1:21" x14ac:dyDescent="0.2">
      <c r="A8370">
        <v>8369</v>
      </c>
      <c r="B8370" s="1">
        <v>41051</v>
      </c>
      <c r="C8370" t="s">
        <v>28</v>
      </c>
      <c r="D8370" s="7">
        <v>310</v>
      </c>
      <c r="E8370" s="7">
        <v>46</v>
      </c>
      <c r="F8370" s="7">
        <f t="shared" si="131"/>
        <v>3</v>
      </c>
      <c r="G8370" s="7" t="str">
        <f>LOOKUP(H8370,[1]startdates!$A$2:$A$10,[1]startdates!$B$2:$B$10)</f>
        <v>SMr</v>
      </c>
      <c r="H8370">
        <v>4</v>
      </c>
      <c r="I8370" s="7">
        <v>661.3</v>
      </c>
      <c r="J8370" s="7">
        <v>534.29999999999995</v>
      </c>
      <c r="K8370" s="7">
        <v>590.5</v>
      </c>
      <c r="L8370" s="7">
        <v>403.7</v>
      </c>
      <c r="M8370" s="7">
        <v>323.5</v>
      </c>
      <c r="N8370" s="7">
        <v>288.7</v>
      </c>
      <c r="O8370" s="7">
        <v>169.4</v>
      </c>
      <c r="P8370" s="7">
        <v>426</v>
      </c>
      <c r="Q8370" s="7">
        <v>358.3</v>
      </c>
      <c r="R8370" s="7">
        <v>268.5</v>
      </c>
      <c r="U8370" s="7">
        <v>555.6</v>
      </c>
    </row>
    <row r="8371" spans="1:21" x14ac:dyDescent="0.2">
      <c r="A8371">
        <v>8370</v>
      </c>
      <c r="B8371" s="1">
        <v>41051</v>
      </c>
      <c r="C8371" t="s">
        <v>28</v>
      </c>
      <c r="D8371" s="7">
        <v>310</v>
      </c>
      <c r="E8371" s="7">
        <v>46</v>
      </c>
      <c r="F8371" s="7">
        <f t="shared" si="131"/>
        <v>3</v>
      </c>
      <c r="G8371" s="7" t="str">
        <f>LOOKUP(H8371,[1]startdates!$A$2:$A$10,[1]startdates!$B$2:$B$10)</f>
        <v>SMr</v>
      </c>
      <c r="H8371">
        <v>4</v>
      </c>
      <c r="I8371" s="7">
        <v>700.5</v>
      </c>
      <c r="J8371" s="7">
        <v>553.5</v>
      </c>
      <c r="K8371" s="7">
        <v>499.8</v>
      </c>
      <c r="L8371" s="7">
        <v>436</v>
      </c>
      <c r="M8371" s="7">
        <v>341.1</v>
      </c>
      <c r="N8371" s="7">
        <v>256.89999999999998</v>
      </c>
      <c r="O8371" s="7">
        <v>147.1</v>
      </c>
      <c r="U8371" s="7">
        <v>480.9</v>
      </c>
    </row>
    <row r="8372" spans="1:21" x14ac:dyDescent="0.2">
      <c r="A8372">
        <v>8371</v>
      </c>
      <c r="B8372" s="1">
        <v>41051</v>
      </c>
      <c r="C8372" t="s">
        <v>28</v>
      </c>
      <c r="D8372" s="7">
        <v>310</v>
      </c>
      <c r="E8372" s="7">
        <v>46</v>
      </c>
      <c r="F8372" s="7">
        <f t="shared" si="131"/>
        <v>3</v>
      </c>
      <c r="G8372" s="7" t="str">
        <f>LOOKUP(H8372,[1]startdates!$A$2:$A$10,[1]startdates!$B$2:$B$10)</f>
        <v>SMr</v>
      </c>
      <c r="H8372">
        <v>4</v>
      </c>
      <c r="I8372" s="7">
        <v>681.9</v>
      </c>
      <c r="K8372" s="7">
        <v>564.1</v>
      </c>
      <c r="L8372" s="7">
        <v>407</v>
      </c>
      <c r="M8372" s="7">
        <v>355.1</v>
      </c>
      <c r="N8372" s="7">
        <v>203.7</v>
      </c>
      <c r="O8372" s="7">
        <v>156.6</v>
      </c>
      <c r="U8372" s="7">
        <v>568.5</v>
      </c>
    </row>
    <row r="8373" spans="1:21" x14ac:dyDescent="0.2">
      <c r="A8373">
        <v>8372</v>
      </c>
      <c r="B8373" s="1">
        <v>41051</v>
      </c>
      <c r="C8373" t="s">
        <v>28</v>
      </c>
      <c r="D8373" s="7">
        <v>310</v>
      </c>
      <c r="E8373" s="7">
        <v>46</v>
      </c>
      <c r="F8373" s="7">
        <f t="shared" si="131"/>
        <v>3</v>
      </c>
      <c r="G8373" s="7" t="str">
        <f>LOOKUP(H8373,[1]startdates!$A$2:$A$10,[1]startdates!$B$2:$B$10)</f>
        <v>SMr</v>
      </c>
      <c r="H8373">
        <v>4</v>
      </c>
      <c r="I8373" s="7">
        <v>684</v>
      </c>
      <c r="M8373" s="7">
        <v>365.7</v>
      </c>
      <c r="N8373" s="7">
        <v>237.5</v>
      </c>
      <c r="O8373" s="7">
        <v>164.4</v>
      </c>
    </row>
    <row r="8374" spans="1:21" x14ac:dyDescent="0.2">
      <c r="A8374">
        <v>8373</v>
      </c>
      <c r="B8374" s="1">
        <v>41051</v>
      </c>
      <c r="C8374" t="s">
        <v>28</v>
      </c>
      <c r="D8374" s="7">
        <v>310</v>
      </c>
      <c r="E8374" s="7">
        <v>46</v>
      </c>
      <c r="F8374" s="7">
        <f t="shared" si="131"/>
        <v>3</v>
      </c>
      <c r="G8374" s="7" t="str">
        <f>LOOKUP(H8374,[1]startdates!$A$2:$A$10,[1]startdates!$B$2:$B$10)</f>
        <v>SMr</v>
      </c>
      <c r="H8374">
        <v>4</v>
      </c>
      <c r="I8374" s="7">
        <v>737.1</v>
      </c>
      <c r="M8374" s="7">
        <v>319.39999999999998</v>
      </c>
      <c r="N8374" s="7">
        <v>232.2</v>
      </c>
      <c r="O8374" s="7">
        <v>159.69999999999999</v>
      </c>
    </row>
    <row r="8375" spans="1:21" x14ac:dyDescent="0.2">
      <c r="A8375">
        <v>8374</v>
      </c>
      <c r="B8375" s="1">
        <v>41051</v>
      </c>
      <c r="C8375" t="s">
        <v>28</v>
      </c>
      <c r="D8375" s="7">
        <v>310</v>
      </c>
      <c r="E8375" s="7">
        <v>46</v>
      </c>
      <c r="F8375" s="7">
        <f t="shared" si="131"/>
        <v>3</v>
      </c>
      <c r="G8375" s="7" t="str">
        <f>LOOKUP(H8375,[1]startdates!$A$2:$A$10,[1]startdates!$B$2:$B$10)</f>
        <v>SMr</v>
      </c>
      <c r="H8375">
        <v>4</v>
      </c>
      <c r="I8375" s="7">
        <v>576.29999999999995</v>
      </c>
      <c r="M8375" s="7">
        <v>327.7</v>
      </c>
      <c r="N8375" s="7">
        <v>214.2</v>
      </c>
      <c r="O8375" s="7">
        <v>155.4</v>
      </c>
    </row>
    <row r="8376" spans="1:21" x14ac:dyDescent="0.2">
      <c r="A8376">
        <v>8375</v>
      </c>
      <c r="B8376" s="1">
        <v>41051</v>
      </c>
      <c r="C8376" t="s">
        <v>28</v>
      </c>
      <c r="D8376" s="7">
        <v>310</v>
      </c>
      <c r="E8376" s="7">
        <v>46</v>
      </c>
      <c r="F8376" s="7">
        <f t="shared" si="131"/>
        <v>3</v>
      </c>
      <c r="G8376" s="7" t="str">
        <f>LOOKUP(H8376,[1]startdates!$A$2:$A$10,[1]startdates!$B$2:$B$10)</f>
        <v>SMr</v>
      </c>
      <c r="H8376">
        <v>4</v>
      </c>
      <c r="I8376" s="7">
        <v>633.6</v>
      </c>
      <c r="M8376" s="7">
        <v>326.8</v>
      </c>
      <c r="N8376" s="7">
        <v>213.5</v>
      </c>
      <c r="O8376" s="7">
        <v>179.5</v>
      </c>
    </row>
    <row r="8377" spans="1:21" x14ac:dyDescent="0.2">
      <c r="A8377">
        <v>8376</v>
      </c>
      <c r="B8377" s="1">
        <v>41051</v>
      </c>
      <c r="C8377" t="s">
        <v>28</v>
      </c>
      <c r="D8377" s="7">
        <v>310</v>
      </c>
      <c r="E8377" s="7">
        <v>46</v>
      </c>
      <c r="F8377" s="7">
        <f t="shared" si="131"/>
        <v>3</v>
      </c>
      <c r="G8377" s="7" t="str">
        <f>LOOKUP(H8377,[1]startdates!$A$2:$A$10,[1]startdates!$B$2:$B$10)</f>
        <v>SMr</v>
      </c>
      <c r="H8377">
        <v>4</v>
      </c>
      <c r="I8377" s="7">
        <v>635.6</v>
      </c>
      <c r="M8377" s="7">
        <v>381.8</v>
      </c>
      <c r="N8377" s="7">
        <v>242.5</v>
      </c>
      <c r="O8377" s="7">
        <v>172.5</v>
      </c>
    </row>
    <row r="8378" spans="1:21" x14ac:dyDescent="0.2">
      <c r="A8378">
        <v>8377</v>
      </c>
      <c r="B8378" s="1">
        <v>41051</v>
      </c>
      <c r="C8378" t="s">
        <v>28</v>
      </c>
      <c r="D8378" s="7">
        <v>310</v>
      </c>
      <c r="E8378" s="7">
        <v>46</v>
      </c>
      <c r="F8378" s="7">
        <f t="shared" si="131"/>
        <v>3</v>
      </c>
      <c r="G8378" s="7" t="str">
        <f>LOOKUP(H8378,[1]startdates!$A$2:$A$10,[1]startdates!$B$2:$B$10)</f>
        <v>SMr</v>
      </c>
      <c r="H8378">
        <v>4</v>
      </c>
      <c r="I8378" s="7">
        <v>572.20000000000005</v>
      </c>
      <c r="M8378" s="7">
        <v>334.9</v>
      </c>
      <c r="N8378" s="7">
        <v>239.1</v>
      </c>
      <c r="O8378" s="7">
        <v>173.1</v>
      </c>
    </row>
    <row r="8379" spans="1:21" x14ac:dyDescent="0.2">
      <c r="A8379">
        <v>8378</v>
      </c>
      <c r="B8379" s="1">
        <v>41051</v>
      </c>
      <c r="C8379" t="s">
        <v>28</v>
      </c>
      <c r="D8379" s="7">
        <v>310</v>
      </c>
      <c r="E8379" s="7">
        <v>46</v>
      </c>
      <c r="F8379" s="7">
        <f t="shared" si="131"/>
        <v>3</v>
      </c>
      <c r="G8379" s="7" t="str">
        <f>LOOKUP(H8379,[1]startdates!$A$2:$A$10,[1]startdates!$B$2:$B$10)</f>
        <v>SMr</v>
      </c>
      <c r="H8379">
        <v>4</v>
      </c>
      <c r="I8379" s="7">
        <v>636.9</v>
      </c>
      <c r="M8379" s="7">
        <v>320.2</v>
      </c>
      <c r="N8379" s="7">
        <v>276.60000000000002</v>
      </c>
      <c r="O8379" s="7">
        <v>148</v>
      </c>
    </row>
    <row r="8380" spans="1:21" x14ac:dyDescent="0.2">
      <c r="A8380">
        <v>8379</v>
      </c>
      <c r="B8380" s="1">
        <v>41051</v>
      </c>
      <c r="C8380" t="s">
        <v>24</v>
      </c>
      <c r="D8380" s="7">
        <v>310</v>
      </c>
      <c r="E8380" s="7">
        <v>46</v>
      </c>
      <c r="F8380" s="7">
        <f t="shared" si="131"/>
        <v>3</v>
      </c>
      <c r="G8380" s="7" t="str">
        <f>LOOKUP(H8380,[1]startdates!$A$2:$A$10,[1]startdates!$B$2:$B$10)</f>
        <v>C</v>
      </c>
      <c r="H8380">
        <v>5</v>
      </c>
      <c r="I8380" s="7">
        <v>603.70000000000005</v>
      </c>
      <c r="J8380" s="7">
        <v>491.2</v>
      </c>
      <c r="K8380" s="7">
        <v>543.70000000000005</v>
      </c>
      <c r="L8380" s="7">
        <v>410</v>
      </c>
      <c r="M8380" s="7">
        <v>392.8</v>
      </c>
      <c r="N8380" s="7">
        <v>263.60000000000002</v>
      </c>
      <c r="O8380" s="7">
        <v>183.4</v>
      </c>
      <c r="P8380" s="7">
        <v>460.3</v>
      </c>
      <c r="R8380" s="7">
        <v>246.9</v>
      </c>
    </row>
    <row r="8381" spans="1:21" x14ac:dyDescent="0.2">
      <c r="A8381">
        <v>8380</v>
      </c>
      <c r="B8381" s="1">
        <v>41051</v>
      </c>
      <c r="C8381" t="s">
        <v>24</v>
      </c>
      <c r="D8381" s="7">
        <v>310</v>
      </c>
      <c r="E8381" s="7">
        <v>46</v>
      </c>
      <c r="F8381" s="7">
        <f t="shared" si="131"/>
        <v>3</v>
      </c>
      <c r="G8381" s="7" t="str">
        <f>LOOKUP(H8381,[1]startdates!$A$2:$A$10,[1]startdates!$B$2:$B$10)</f>
        <v>C</v>
      </c>
      <c r="H8381">
        <v>5</v>
      </c>
      <c r="I8381" s="7">
        <v>601.9</v>
      </c>
      <c r="J8381" s="7">
        <v>519.20000000000005</v>
      </c>
      <c r="K8381" s="7">
        <v>569.79999999999995</v>
      </c>
      <c r="L8381" s="7">
        <v>456.4</v>
      </c>
      <c r="M8381" s="7">
        <v>365.6</v>
      </c>
      <c r="N8381" s="7">
        <v>221.2</v>
      </c>
      <c r="O8381" s="7">
        <v>165.5</v>
      </c>
      <c r="P8381" s="7">
        <v>427.9</v>
      </c>
      <c r="R8381" s="7">
        <v>246.9</v>
      </c>
    </row>
    <row r="8382" spans="1:21" x14ac:dyDescent="0.2">
      <c r="A8382">
        <v>8381</v>
      </c>
      <c r="B8382" s="1">
        <v>41051</v>
      </c>
      <c r="C8382" t="s">
        <v>24</v>
      </c>
      <c r="D8382" s="7">
        <v>310</v>
      </c>
      <c r="E8382" s="7">
        <v>46</v>
      </c>
      <c r="F8382" s="7">
        <f t="shared" si="131"/>
        <v>3</v>
      </c>
      <c r="G8382" s="7" t="str">
        <f>LOOKUP(H8382,[1]startdates!$A$2:$A$10,[1]startdates!$B$2:$B$10)</f>
        <v>C</v>
      </c>
      <c r="H8382">
        <v>5</v>
      </c>
      <c r="I8382" s="7">
        <v>670.9</v>
      </c>
      <c r="J8382" s="7">
        <v>515.9</v>
      </c>
      <c r="K8382" s="7">
        <v>563.9</v>
      </c>
      <c r="L8382" s="7">
        <v>421.5</v>
      </c>
      <c r="M8382" s="7">
        <v>377.2</v>
      </c>
      <c r="N8382" s="7">
        <v>237.7</v>
      </c>
      <c r="O8382" s="7">
        <v>192.6</v>
      </c>
      <c r="P8382" s="7">
        <v>486</v>
      </c>
    </row>
    <row r="8383" spans="1:21" x14ac:dyDescent="0.2">
      <c r="A8383">
        <v>8382</v>
      </c>
      <c r="B8383" s="1">
        <v>41051</v>
      </c>
      <c r="C8383" t="s">
        <v>24</v>
      </c>
      <c r="D8383" s="7">
        <v>310</v>
      </c>
      <c r="E8383" s="7">
        <v>46</v>
      </c>
      <c r="F8383" s="7">
        <f t="shared" si="131"/>
        <v>3</v>
      </c>
      <c r="G8383" s="7" t="str">
        <f>LOOKUP(H8383,[1]startdates!$A$2:$A$10,[1]startdates!$B$2:$B$10)</f>
        <v>C</v>
      </c>
      <c r="H8383">
        <v>5</v>
      </c>
      <c r="I8383" s="7">
        <v>620.79999999999995</v>
      </c>
      <c r="J8383" s="7">
        <v>507.7</v>
      </c>
      <c r="K8383" s="7">
        <v>546.5</v>
      </c>
      <c r="L8383" s="7">
        <v>394.1</v>
      </c>
      <c r="M8383" s="7">
        <v>380.1</v>
      </c>
      <c r="N8383" s="7">
        <v>240.2</v>
      </c>
      <c r="O8383" s="7">
        <v>164.4</v>
      </c>
      <c r="P8383" s="7">
        <v>453.1</v>
      </c>
    </row>
    <row r="8384" spans="1:21" x14ac:dyDescent="0.2">
      <c r="A8384">
        <v>8383</v>
      </c>
      <c r="B8384" s="1">
        <v>41051</v>
      </c>
      <c r="C8384" t="s">
        <v>24</v>
      </c>
      <c r="D8384" s="7">
        <v>310</v>
      </c>
      <c r="E8384" s="7">
        <v>46</v>
      </c>
      <c r="F8384" s="7">
        <f t="shared" si="131"/>
        <v>3</v>
      </c>
      <c r="G8384" s="7" t="str">
        <f>LOOKUP(H8384,[1]startdates!$A$2:$A$10,[1]startdates!$B$2:$B$10)</f>
        <v>C</v>
      </c>
      <c r="H8384">
        <v>5</v>
      </c>
      <c r="I8384" s="7">
        <v>687.6</v>
      </c>
      <c r="K8384" s="7">
        <v>599.4</v>
      </c>
      <c r="L8384" s="7">
        <v>449.9</v>
      </c>
      <c r="M8384" s="7">
        <v>357.4</v>
      </c>
      <c r="N8384" s="7">
        <v>187.7</v>
      </c>
      <c r="O8384" s="7">
        <v>173.4</v>
      </c>
      <c r="P8384" s="7">
        <v>525.70000000000005</v>
      </c>
    </row>
    <row r="8385" spans="1:18" x14ac:dyDescent="0.2">
      <c r="A8385">
        <v>8384</v>
      </c>
      <c r="B8385" s="1">
        <v>41051</v>
      </c>
      <c r="C8385" t="s">
        <v>24</v>
      </c>
      <c r="D8385" s="7">
        <v>310</v>
      </c>
      <c r="E8385" s="7">
        <v>46</v>
      </c>
      <c r="F8385" s="7">
        <f t="shared" si="131"/>
        <v>3</v>
      </c>
      <c r="G8385" s="7" t="str">
        <f>LOOKUP(H8385,[1]startdates!$A$2:$A$10,[1]startdates!$B$2:$B$10)</f>
        <v>C</v>
      </c>
      <c r="H8385">
        <v>5</v>
      </c>
      <c r="I8385" s="7">
        <v>759.7</v>
      </c>
      <c r="K8385" s="7">
        <v>468</v>
      </c>
      <c r="M8385" s="7">
        <v>348.4</v>
      </c>
      <c r="N8385" s="7">
        <v>246.1</v>
      </c>
      <c r="O8385" s="7">
        <v>147.69999999999999</v>
      </c>
    </row>
    <row r="8386" spans="1:18" x14ac:dyDescent="0.2">
      <c r="A8386">
        <v>8385</v>
      </c>
      <c r="B8386" s="1">
        <v>41051</v>
      </c>
      <c r="C8386" t="s">
        <v>24</v>
      </c>
      <c r="D8386" s="7">
        <v>310</v>
      </c>
      <c r="E8386" s="7">
        <v>46</v>
      </c>
      <c r="F8386" s="7">
        <f t="shared" si="131"/>
        <v>3</v>
      </c>
      <c r="G8386" s="7" t="str">
        <f>LOOKUP(H8386,[1]startdates!$A$2:$A$10,[1]startdates!$B$2:$B$10)</f>
        <v>C</v>
      </c>
      <c r="H8386">
        <v>5</v>
      </c>
      <c r="I8386" s="7">
        <v>669.5</v>
      </c>
      <c r="N8386" s="7">
        <v>235.7</v>
      </c>
      <c r="O8386" s="7">
        <v>156.6</v>
      </c>
    </row>
    <row r="8387" spans="1:18" x14ac:dyDescent="0.2">
      <c r="A8387">
        <v>8386</v>
      </c>
      <c r="B8387" s="1">
        <v>41051</v>
      </c>
      <c r="C8387" t="s">
        <v>24</v>
      </c>
      <c r="D8387" s="7">
        <v>310</v>
      </c>
      <c r="E8387" s="7">
        <v>46</v>
      </c>
      <c r="F8387" s="7">
        <f t="shared" si="131"/>
        <v>3</v>
      </c>
      <c r="G8387" s="7" t="str">
        <f>LOOKUP(H8387,[1]startdates!$A$2:$A$10,[1]startdates!$B$2:$B$10)</f>
        <v>C</v>
      </c>
      <c r="H8387">
        <v>5</v>
      </c>
      <c r="I8387" s="7">
        <v>642.1</v>
      </c>
      <c r="N8387" s="7">
        <v>210.1</v>
      </c>
      <c r="O8387" s="7">
        <v>171.2</v>
      </c>
    </row>
    <row r="8388" spans="1:18" x14ac:dyDescent="0.2">
      <c r="A8388">
        <v>8387</v>
      </c>
      <c r="B8388" s="1">
        <v>41051</v>
      </c>
      <c r="C8388" t="s">
        <v>24</v>
      </c>
      <c r="D8388" s="7">
        <v>310</v>
      </c>
      <c r="E8388" s="7">
        <v>46</v>
      </c>
      <c r="F8388" s="7">
        <f t="shared" si="131"/>
        <v>3</v>
      </c>
      <c r="G8388" s="7" t="str">
        <f>LOOKUP(H8388,[1]startdates!$A$2:$A$10,[1]startdates!$B$2:$B$10)</f>
        <v>C</v>
      </c>
      <c r="H8388">
        <v>5</v>
      </c>
      <c r="I8388" s="7">
        <v>639.70000000000005</v>
      </c>
      <c r="N8388" s="7">
        <v>232.4</v>
      </c>
      <c r="O8388" s="7">
        <v>156.4</v>
      </c>
    </row>
    <row r="8389" spans="1:18" x14ac:dyDescent="0.2">
      <c r="A8389">
        <v>8388</v>
      </c>
      <c r="B8389" s="1">
        <v>41051</v>
      </c>
      <c r="C8389" t="s">
        <v>24</v>
      </c>
      <c r="D8389" s="7">
        <v>310</v>
      </c>
      <c r="E8389" s="7">
        <v>46</v>
      </c>
      <c r="F8389" s="7">
        <f t="shared" si="131"/>
        <v>3</v>
      </c>
      <c r="G8389" s="7" t="str">
        <f>LOOKUP(H8389,[1]startdates!$A$2:$A$10,[1]startdates!$B$2:$B$10)</f>
        <v>C</v>
      </c>
      <c r="H8389">
        <v>5</v>
      </c>
      <c r="I8389" s="7">
        <v>623.1</v>
      </c>
      <c r="N8389" s="7">
        <v>231.8</v>
      </c>
      <c r="O8389" s="7">
        <v>161.69999999999999</v>
      </c>
    </row>
    <row r="8390" spans="1:18" x14ac:dyDescent="0.2">
      <c r="A8390">
        <v>8389</v>
      </c>
      <c r="B8390" s="1">
        <v>41051</v>
      </c>
      <c r="C8390" t="s">
        <v>24</v>
      </c>
      <c r="D8390" s="7">
        <v>310</v>
      </c>
      <c r="E8390" s="7">
        <v>46</v>
      </c>
      <c r="F8390" s="7">
        <f t="shared" si="131"/>
        <v>3</v>
      </c>
      <c r="G8390" s="7" t="str">
        <f>LOOKUP(H8390,[1]startdates!$A$2:$A$10,[1]startdates!$B$2:$B$10)</f>
        <v>C</v>
      </c>
      <c r="H8390">
        <v>5</v>
      </c>
      <c r="I8390" s="7">
        <v>680</v>
      </c>
      <c r="O8390" s="7">
        <v>166.3</v>
      </c>
    </row>
    <row r="8391" spans="1:18" x14ac:dyDescent="0.2">
      <c r="A8391">
        <v>8390</v>
      </c>
      <c r="B8391" s="1">
        <v>41051</v>
      </c>
      <c r="C8391" t="s">
        <v>28</v>
      </c>
      <c r="D8391" s="7">
        <v>310</v>
      </c>
      <c r="E8391" s="7">
        <v>46</v>
      </c>
      <c r="F8391" s="7">
        <f t="shared" si="131"/>
        <v>3</v>
      </c>
      <c r="G8391" s="7" t="str">
        <f>LOOKUP(H8391,[1]startdates!$A$2:$A$10,[1]startdates!$B$2:$B$10)</f>
        <v>FMr</v>
      </c>
      <c r="H8391">
        <v>6</v>
      </c>
      <c r="I8391" s="7">
        <v>552.6</v>
      </c>
      <c r="J8391" s="7">
        <v>517.79999999999995</v>
      </c>
      <c r="K8391" s="7">
        <v>486.1</v>
      </c>
      <c r="L8391" s="7">
        <v>453.5</v>
      </c>
      <c r="M8391" s="7">
        <v>337.9</v>
      </c>
      <c r="N8391" s="7">
        <v>214.4</v>
      </c>
      <c r="O8391" s="7">
        <v>151.4</v>
      </c>
      <c r="P8391" s="7">
        <v>438.5</v>
      </c>
      <c r="Q8391" s="7">
        <v>380.7</v>
      </c>
      <c r="R8391" s="7">
        <v>247.5</v>
      </c>
    </row>
    <row r="8392" spans="1:18" x14ac:dyDescent="0.2">
      <c r="A8392">
        <v>8391</v>
      </c>
      <c r="B8392" s="1">
        <v>41051</v>
      </c>
      <c r="C8392" t="s">
        <v>28</v>
      </c>
      <c r="D8392" s="7">
        <v>310</v>
      </c>
      <c r="E8392" s="7">
        <v>46</v>
      </c>
      <c r="F8392" s="7">
        <f t="shared" si="131"/>
        <v>3</v>
      </c>
      <c r="G8392" s="7" t="str">
        <f>LOOKUP(H8392,[1]startdates!$A$2:$A$10,[1]startdates!$B$2:$B$10)</f>
        <v>FMr</v>
      </c>
      <c r="H8392">
        <v>6</v>
      </c>
      <c r="I8392" s="7">
        <v>602.6</v>
      </c>
      <c r="K8392" s="7">
        <v>538.70000000000005</v>
      </c>
      <c r="L8392" s="7">
        <v>435.2</v>
      </c>
      <c r="M8392" s="7">
        <v>357.3</v>
      </c>
      <c r="N8392" s="7">
        <v>227.2</v>
      </c>
      <c r="O8392" s="7">
        <v>158.6</v>
      </c>
      <c r="P8392" s="7">
        <v>416.1</v>
      </c>
      <c r="R8392" s="7">
        <v>243.2</v>
      </c>
    </row>
    <row r="8393" spans="1:18" x14ac:dyDescent="0.2">
      <c r="A8393">
        <v>8392</v>
      </c>
      <c r="B8393" s="1">
        <v>41051</v>
      </c>
      <c r="C8393" t="s">
        <v>28</v>
      </c>
      <c r="D8393" s="7">
        <v>310</v>
      </c>
      <c r="E8393" s="7">
        <v>46</v>
      </c>
      <c r="F8393" s="7">
        <f t="shared" si="131"/>
        <v>3</v>
      </c>
      <c r="G8393" s="7" t="str">
        <f>LOOKUP(H8393,[1]startdates!$A$2:$A$10,[1]startdates!$B$2:$B$10)</f>
        <v>FMr</v>
      </c>
      <c r="H8393">
        <v>6</v>
      </c>
      <c r="I8393" s="7">
        <v>661.3</v>
      </c>
      <c r="K8393" s="7">
        <v>462</v>
      </c>
      <c r="L8393" s="7">
        <v>410.2</v>
      </c>
      <c r="M8393" s="7">
        <v>354.4</v>
      </c>
      <c r="N8393" s="7">
        <v>197.8</v>
      </c>
      <c r="O8393" s="7">
        <v>144.30000000000001</v>
      </c>
      <c r="P8393" s="7">
        <v>440.4</v>
      </c>
      <c r="R8393" s="7">
        <v>244.8</v>
      </c>
    </row>
    <row r="8394" spans="1:18" x14ac:dyDescent="0.2">
      <c r="A8394">
        <v>8393</v>
      </c>
      <c r="B8394" s="1">
        <v>41051</v>
      </c>
      <c r="C8394" t="s">
        <v>28</v>
      </c>
      <c r="D8394" s="7">
        <v>310</v>
      </c>
      <c r="E8394" s="7">
        <v>46</v>
      </c>
      <c r="F8394" s="7">
        <f t="shared" si="131"/>
        <v>3</v>
      </c>
      <c r="G8394" s="7" t="str">
        <f>LOOKUP(H8394,[1]startdates!$A$2:$A$10,[1]startdates!$B$2:$B$10)</f>
        <v>FMr</v>
      </c>
      <c r="H8394">
        <v>6</v>
      </c>
      <c r="I8394" s="7">
        <v>611.5</v>
      </c>
      <c r="K8394" s="7">
        <v>479.1</v>
      </c>
      <c r="M8394" s="7">
        <v>308.3</v>
      </c>
      <c r="N8394" s="7">
        <v>215.2</v>
      </c>
      <c r="O8394" s="7">
        <v>159.5</v>
      </c>
      <c r="P8394" s="7">
        <v>403.7</v>
      </c>
    </row>
    <row r="8395" spans="1:18" x14ac:dyDescent="0.2">
      <c r="A8395">
        <v>8394</v>
      </c>
      <c r="B8395" s="1">
        <v>41051</v>
      </c>
      <c r="C8395" t="s">
        <v>28</v>
      </c>
      <c r="D8395" s="7">
        <v>310</v>
      </c>
      <c r="E8395" s="7">
        <v>46</v>
      </c>
      <c r="F8395" s="7">
        <f t="shared" si="131"/>
        <v>3</v>
      </c>
      <c r="G8395" s="7" t="str">
        <f>LOOKUP(H8395,[1]startdates!$A$2:$A$10,[1]startdates!$B$2:$B$10)</f>
        <v>FMr</v>
      </c>
      <c r="H8395">
        <v>6</v>
      </c>
      <c r="I8395" s="7">
        <v>508.3</v>
      </c>
      <c r="K8395" s="7">
        <v>548.29999999999995</v>
      </c>
      <c r="M8395" s="7">
        <v>328.7</v>
      </c>
      <c r="N8395" s="7">
        <v>206.5</v>
      </c>
      <c r="O8395" s="7">
        <v>157.4</v>
      </c>
    </row>
    <row r="8396" spans="1:18" x14ac:dyDescent="0.2">
      <c r="A8396">
        <v>8395</v>
      </c>
      <c r="B8396" s="1">
        <v>41051</v>
      </c>
      <c r="C8396" t="s">
        <v>28</v>
      </c>
      <c r="D8396" s="7">
        <v>310</v>
      </c>
      <c r="E8396" s="7">
        <v>46</v>
      </c>
      <c r="F8396" s="7">
        <f t="shared" si="131"/>
        <v>3</v>
      </c>
      <c r="G8396" s="7" t="str">
        <f>LOOKUP(H8396,[1]startdates!$A$2:$A$10,[1]startdates!$B$2:$B$10)</f>
        <v>FMr</v>
      </c>
      <c r="H8396">
        <v>6</v>
      </c>
      <c r="I8396" s="7">
        <v>622.6</v>
      </c>
      <c r="K8396" s="7">
        <v>501.4</v>
      </c>
      <c r="M8396" s="7">
        <v>308.8</v>
      </c>
      <c r="N8396" s="7">
        <v>185</v>
      </c>
      <c r="O8396" s="7">
        <v>151</v>
      </c>
    </row>
    <row r="8397" spans="1:18" x14ac:dyDescent="0.2">
      <c r="A8397">
        <v>8396</v>
      </c>
      <c r="B8397" s="1">
        <v>41051</v>
      </c>
      <c r="C8397" t="s">
        <v>28</v>
      </c>
      <c r="D8397" s="7">
        <v>310</v>
      </c>
      <c r="E8397" s="7">
        <v>46</v>
      </c>
      <c r="F8397" s="7">
        <f t="shared" si="131"/>
        <v>3</v>
      </c>
      <c r="G8397" s="7" t="str">
        <f>LOOKUP(H8397,[1]startdates!$A$2:$A$10,[1]startdates!$B$2:$B$10)</f>
        <v>FMr</v>
      </c>
      <c r="H8397">
        <v>6</v>
      </c>
      <c r="I8397" s="7">
        <v>592.9</v>
      </c>
      <c r="K8397" s="7">
        <v>506.8</v>
      </c>
      <c r="M8397" s="7">
        <v>351.7</v>
      </c>
      <c r="N8397" s="7">
        <v>230</v>
      </c>
      <c r="O8397" s="7">
        <v>157.6</v>
      </c>
    </row>
    <row r="8398" spans="1:18" x14ac:dyDescent="0.2">
      <c r="A8398">
        <v>8397</v>
      </c>
      <c r="B8398" s="1">
        <v>41051</v>
      </c>
      <c r="C8398" t="s">
        <v>28</v>
      </c>
      <c r="D8398" s="7">
        <v>310</v>
      </c>
      <c r="E8398" s="7">
        <v>46</v>
      </c>
      <c r="F8398" s="7">
        <f t="shared" si="131"/>
        <v>3</v>
      </c>
      <c r="G8398" s="7" t="str">
        <f>LOOKUP(H8398,[1]startdates!$A$2:$A$10,[1]startdates!$B$2:$B$10)</f>
        <v>FMr</v>
      </c>
      <c r="H8398">
        <v>6</v>
      </c>
      <c r="I8398" s="7">
        <v>530.20000000000005</v>
      </c>
      <c r="K8398" s="7">
        <v>441.3</v>
      </c>
      <c r="M8398" s="7">
        <v>373</v>
      </c>
      <c r="N8398" s="7">
        <v>224.2</v>
      </c>
      <c r="O8398" s="7">
        <v>142.1</v>
      </c>
    </row>
    <row r="8399" spans="1:18" x14ac:dyDescent="0.2">
      <c r="A8399">
        <v>8398</v>
      </c>
      <c r="B8399" s="1">
        <v>41051</v>
      </c>
      <c r="C8399" t="s">
        <v>28</v>
      </c>
      <c r="D8399" s="7">
        <v>310</v>
      </c>
      <c r="E8399" s="7">
        <v>46</v>
      </c>
      <c r="F8399" s="7">
        <f t="shared" si="131"/>
        <v>3</v>
      </c>
      <c r="G8399" s="7" t="str">
        <f>LOOKUP(H8399,[1]startdates!$A$2:$A$10,[1]startdates!$B$2:$B$10)</f>
        <v>FMr</v>
      </c>
      <c r="H8399">
        <v>6</v>
      </c>
      <c r="I8399" s="7">
        <v>528.5</v>
      </c>
      <c r="K8399" s="7">
        <v>492.4</v>
      </c>
      <c r="N8399" s="7">
        <v>244.4</v>
      </c>
      <c r="O8399" s="7">
        <v>153.4</v>
      </c>
    </row>
    <row r="8400" spans="1:18" x14ac:dyDescent="0.2">
      <c r="A8400">
        <v>8399</v>
      </c>
      <c r="B8400" s="1">
        <v>41051</v>
      </c>
      <c r="C8400" t="s">
        <v>28</v>
      </c>
      <c r="D8400" s="7">
        <v>310</v>
      </c>
      <c r="E8400" s="7">
        <v>46</v>
      </c>
      <c r="F8400" s="7">
        <f t="shared" si="131"/>
        <v>3</v>
      </c>
      <c r="G8400" s="7" t="str">
        <f>LOOKUP(H8400,[1]startdates!$A$2:$A$10,[1]startdates!$B$2:$B$10)</f>
        <v>FMr</v>
      </c>
      <c r="H8400">
        <v>6</v>
      </c>
      <c r="K8400" s="7">
        <v>533.1</v>
      </c>
      <c r="N8400" s="7">
        <v>277.7</v>
      </c>
      <c r="O8400" s="7">
        <v>153.4</v>
      </c>
    </row>
    <row r="8401" spans="1:22" x14ac:dyDescent="0.2">
      <c r="A8401">
        <v>8400</v>
      </c>
      <c r="B8401" s="1">
        <v>41051</v>
      </c>
      <c r="C8401" t="s">
        <v>24</v>
      </c>
      <c r="D8401" s="7">
        <v>310</v>
      </c>
      <c r="E8401" s="7">
        <v>46</v>
      </c>
      <c r="F8401" s="7">
        <f t="shared" si="131"/>
        <v>3</v>
      </c>
      <c r="G8401" s="7" t="str">
        <f>LOOKUP(H8401,[1]startdates!$A$2:$A$10,[1]startdates!$B$2:$B$10)</f>
        <v>FMr</v>
      </c>
      <c r="H8401">
        <v>7</v>
      </c>
      <c r="I8401" s="7">
        <v>713</v>
      </c>
      <c r="J8401" s="7">
        <v>436.5</v>
      </c>
      <c r="K8401" s="7">
        <v>511.6</v>
      </c>
      <c r="L8401" s="7">
        <v>478.1</v>
      </c>
      <c r="M8401" s="7">
        <v>375</v>
      </c>
      <c r="N8401" s="7">
        <v>226.9</v>
      </c>
      <c r="O8401" s="7">
        <v>185</v>
      </c>
      <c r="P8401" s="7">
        <v>421.7</v>
      </c>
      <c r="Q8401" s="7">
        <v>361.2</v>
      </c>
      <c r="R8401" s="7">
        <v>272.39999999999998</v>
      </c>
      <c r="V8401" s="7">
        <v>491.1</v>
      </c>
    </row>
    <row r="8402" spans="1:22" x14ac:dyDescent="0.2">
      <c r="A8402">
        <v>8401</v>
      </c>
      <c r="B8402" s="1">
        <v>41051</v>
      </c>
      <c r="C8402" t="s">
        <v>24</v>
      </c>
      <c r="D8402" s="7">
        <v>310</v>
      </c>
      <c r="E8402" s="7">
        <v>46</v>
      </c>
      <c r="F8402" s="7">
        <f t="shared" si="131"/>
        <v>3</v>
      </c>
      <c r="G8402" s="7" t="str">
        <f>LOOKUP(H8402,[1]startdates!$A$2:$A$10,[1]startdates!$B$2:$B$10)</f>
        <v>FMr</v>
      </c>
      <c r="H8402">
        <v>7</v>
      </c>
      <c r="I8402" s="7">
        <v>556.29999999999995</v>
      </c>
      <c r="J8402" s="7">
        <v>531.4</v>
      </c>
      <c r="K8402" s="7">
        <v>467.8</v>
      </c>
      <c r="L8402" s="7">
        <v>445</v>
      </c>
      <c r="M8402" s="7">
        <v>345.8</v>
      </c>
      <c r="N8402" s="7">
        <v>250.1</v>
      </c>
      <c r="O8402" s="7">
        <v>163.5</v>
      </c>
      <c r="P8402" s="7">
        <v>465</v>
      </c>
      <c r="Q8402" s="7">
        <v>370.8</v>
      </c>
      <c r="V8402" s="7">
        <v>543</v>
      </c>
    </row>
    <row r="8403" spans="1:22" x14ac:dyDescent="0.2">
      <c r="A8403">
        <v>8402</v>
      </c>
      <c r="B8403" s="1">
        <v>41051</v>
      </c>
      <c r="C8403" t="s">
        <v>24</v>
      </c>
      <c r="D8403" s="7">
        <v>310</v>
      </c>
      <c r="E8403" s="7">
        <v>46</v>
      </c>
      <c r="F8403" s="7">
        <f t="shared" si="131"/>
        <v>3</v>
      </c>
      <c r="G8403" s="7" t="str">
        <f>LOOKUP(H8403,[1]startdates!$A$2:$A$10,[1]startdates!$B$2:$B$10)</f>
        <v>FMr</v>
      </c>
      <c r="H8403">
        <v>7</v>
      </c>
      <c r="I8403" s="7">
        <v>555.6</v>
      </c>
      <c r="K8403" s="7">
        <v>559</v>
      </c>
      <c r="L8403" s="7">
        <v>459</v>
      </c>
      <c r="M8403" s="7">
        <v>357.4</v>
      </c>
      <c r="N8403" s="7">
        <v>210.4</v>
      </c>
      <c r="O8403" s="7">
        <v>156.6</v>
      </c>
      <c r="P8403" s="7">
        <v>470.6</v>
      </c>
    </row>
    <row r="8404" spans="1:22" x14ac:dyDescent="0.2">
      <c r="A8404">
        <v>8403</v>
      </c>
      <c r="B8404" s="1">
        <v>41051</v>
      </c>
      <c r="C8404" t="s">
        <v>24</v>
      </c>
      <c r="D8404" s="7">
        <v>310</v>
      </c>
      <c r="E8404" s="7">
        <v>46</v>
      </c>
      <c r="F8404" s="7">
        <f t="shared" si="131"/>
        <v>3</v>
      </c>
      <c r="G8404" s="7" t="str">
        <f>LOOKUP(H8404,[1]startdates!$A$2:$A$10,[1]startdates!$B$2:$B$10)</f>
        <v>FMr</v>
      </c>
      <c r="H8404">
        <v>7</v>
      </c>
      <c r="I8404" s="7">
        <v>601.20000000000005</v>
      </c>
      <c r="K8404" s="7">
        <v>528.6</v>
      </c>
      <c r="L8404" s="7">
        <v>414.6</v>
      </c>
      <c r="M8404" s="7">
        <v>385.9</v>
      </c>
      <c r="N8404" s="7">
        <v>244.5</v>
      </c>
      <c r="O8404" s="7">
        <v>168.1</v>
      </c>
    </row>
    <row r="8405" spans="1:22" x14ac:dyDescent="0.2">
      <c r="A8405">
        <v>8404</v>
      </c>
      <c r="B8405" s="1">
        <v>41051</v>
      </c>
      <c r="C8405" t="s">
        <v>24</v>
      </c>
      <c r="D8405" s="7">
        <v>310</v>
      </c>
      <c r="E8405" s="7">
        <v>46</v>
      </c>
      <c r="F8405" s="7">
        <f t="shared" si="131"/>
        <v>3</v>
      </c>
      <c r="G8405" s="7" t="str">
        <f>LOOKUP(H8405,[1]startdates!$A$2:$A$10,[1]startdates!$B$2:$B$10)</f>
        <v>FMr</v>
      </c>
      <c r="H8405">
        <v>7</v>
      </c>
      <c r="I8405" s="7">
        <v>555.79999999999995</v>
      </c>
      <c r="K8405" s="7">
        <v>574.29999999999995</v>
      </c>
      <c r="L8405" s="7">
        <v>391.2</v>
      </c>
      <c r="M8405" s="7">
        <v>337.5</v>
      </c>
      <c r="N8405" s="7">
        <v>280</v>
      </c>
      <c r="O8405" s="7">
        <v>156.5</v>
      </c>
    </row>
    <row r="8406" spans="1:22" x14ac:dyDescent="0.2">
      <c r="A8406">
        <v>8405</v>
      </c>
      <c r="B8406" s="1">
        <v>41051</v>
      </c>
      <c r="C8406" t="s">
        <v>24</v>
      </c>
      <c r="D8406" s="7">
        <v>310</v>
      </c>
      <c r="E8406" s="7">
        <v>46</v>
      </c>
      <c r="F8406" s="7">
        <f t="shared" si="131"/>
        <v>3</v>
      </c>
      <c r="G8406" s="7" t="str">
        <f>LOOKUP(H8406,[1]startdates!$A$2:$A$10,[1]startdates!$B$2:$B$10)</f>
        <v>FMr</v>
      </c>
      <c r="H8406">
        <v>7</v>
      </c>
      <c r="I8406" s="7">
        <v>656.1</v>
      </c>
      <c r="K8406" s="7">
        <v>473.3</v>
      </c>
      <c r="N8406" s="7">
        <v>228.7</v>
      </c>
      <c r="O8406" s="7">
        <v>145.6</v>
      </c>
    </row>
    <row r="8407" spans="1:22" x14ac:dyDescent="0.2">
      <c r="A8407">
        <v>8406</v>
      </c>
      <c r="B8407" s="1">
        <v>41051</v>
      </c>
      <c r="C8407" t="s">
        <v>24</v>
      </c>
      <c r="D8407" s="7">
        <v>310</v>
      </c>
      <c r="E8407" s="7">
        <v>46</v>
      </c>
      <c r="F8407" s="7">
        <f t="shared" si="131"/>
        <v>3</v>
      </c>
      <c r="G8407" s="7" t="str">
        <f>LOOKUP(H8407,[1]startdates!$A$2:$A$10,[1]startdates!$B$2:$B$10)</f>
        <v>FMr</v>
      </c>
      <c r="H8407">
        <v>7</v>
      </c>
      <c r="I8407" s="7">
        <v>555.4</v>
      </c>
      <c r="N8407" s="7">
        <v>265.5</v>
      </c>
      <c r="O8407" s="7">
        <v>150.30000000000001</v>
      </c>
    </row>
    <row r="8408" spans="1:22" x14ac:dyDescent="0.2">
      <c r="A8408">
        <v>8407</v>
      </c>
      <c r="B8408" s="1">
        <v>41051</v>
      </c>
      <c r="C8408" t="s">
        <v>24</v>
      </c>
      <c r="D8408" s="7">
        <v>310</v>
      </c>
      <c r="E8408" s="7">
        <v>46</v>
      </c>
      <c r="F8408" s="7">
        <f t="shared" si="131"/>
        <v>3</v>
      </c>
      <c r="G8408" s="7" t="str">
        <f>LOOKUP(H8408,[1]startdates!$A$2:$A$10,[1]startdates!$B$2:$B$10)</f>
        <v>FMr</v>
      </c>
      <c r="H8408">
        <v>7</v>
      </c>
      <c r="I8408" s="7">
        <v>695.1</v>
      </c>
      <c r="N8408" s="7">
        <v>197.3</v>
      </c>
      <c r="O8408" s="7">
        <v>168.3</v>
      </c>
    </row>
    <row r="8409" spans="1:22" x14ac:dyDescent="0.2">
      <c r="A8409">
        <v>8408</v>
      </c>
      <c r="B8409" s="1">
        <v>41051</v>
      </c>
      <c r="C8409" t="s">
        <v>24</v>
      </c>
      <c r="D8409" s="7">
        <v>310</v>
      </c>
      <c r="E8409" s="7">
        <v>46</v>
      </c>
      <c r="F8409" s="7">
        <f t="shared" si="131"/>
        <v>3</v>
      </c>
      <c r="G8409" s="7" t="str">
        <f>LOOKUP(H8409,[1]startdates!$A$2:$A$10,[1]startdates!$B$2:$B$10)</f>
        <v>FMr</v>
      </c>
      <c r="H8409">
        <v>7</v>
      </c>
      <c r="I8409" s="7">
        <v>587.4</v>
      </c>
      <c r="N8409" s="7">
        <v>245.8</v>
      </c>
    </row>
    <row r="8410" spans="1:22" x14ac:dyDescent="0.2">
      <c r="A8410">
        <v>8409</v>
      </c>
      <c r="B8410" s="1">
        <v>41051</v>
      </c>
      <c r="C8410" t="s">
        <v>24</v>
      </c>
      <c r="D8410" s="7">
        <v>310</v>
      </c>
      <c r="E8410" s="7">
        <v>46</v>
      </c>
      <c r="F8410" s="7">
        <f t="shared" si="131"/>
        <v>3</v>
      </c>
      <c r="G8410" s="7" t="str">
        <f>LOOKUP(H8410,[1]startdates!$A$2:$A$10,[1]startdates!$B$2:$B$10)</f>
        <v>FMr</v>
      </c>
      <c r="H8410">
        <v>7</v>
      </c>
      <c r="I8410" s="7">
        <v>629</v>
      </c>
      <c r="N8410" s="7">
        <v>257.3</v>
      </c>
    </row>
    <row r="8411" spans="1:22" x14ac:dyDescent="0.2">
      <c r="A8411">
        <v>8410</v>
      </c>
      <c r="B8411" s="1">
        <v>41051</v>
      </c>
      <c r="C8411" t="s">
        <v>24</v>
      </c>
      <c r="D8411" s="7">
        <v>310</v>
      </c>
      <c r="E8411" s="7">
        <v>46</v>
      </c>
      <c r="F8411" s="7">
        <f t="shared" si="131"/>
        <v>3</v>
      </c>
      <c r="G8411" s="7" t="str">
        <f>LOOKUP(H8411,[1]startdates!$A$2:$A$10,[1]startdates!$B$2:$B$10)</f>
        <v>FMr</v>
      </c>
      <c r="H8411">
        <v>7</v>
      </c>
      <c r="I8411" s="7">
        <v>643</v>
      </c>
    </row>
    <row r="8412" spans="1:22" x14ac:dyDescent="0.2">
      <c r="A8412">
        <v>8411</v>
      </c>
      <c r="B8412" s="1">
        <v>41051</v>
      </c>
      <c r="C8412" t="s">
        <v>24</v>
      </c>
      <c r="D8412" s="7">
        <v>310</v>
      </c>
      <c r="E8412" s="7">
        <v>46</v>
      </c>
      <c r="F8412" s="7">
        <f t="shared" si="131"/>
        <v>3</v>
      </c>
      <c r="G8412" s="7" t="str">
        <f>LOOKUP(H8412,[1]startdates!$A$2:$A$10,[1]startdates!$B$2:$B$10)</f>
        <v>FMr</v>
      </c>
      <c r="H8412">
        <v>7</v>
      </c>
      <c r="I8412" s="7">
        <v>584.1</v>
      </c>
    </row>
    <row r="8413" spans="1:22" x14ac:dyDescent="0.2">
      <c r="A8413">
        <v>8412</v>
      </c>
      <c r="B8413" s="1">
        <v>41051</v>
      </c>
      <c r="C8413" t="s">
        <v>24</v>
      </c>
      <c r="D8413" s="7">
        <v>310</v>
      </c>
      <c r="E8413" s="7">
        <v>46</v>
      </c>
      <c r="F8413" s="7">
        <f t="shared" si="131"/>
        <v>3</v>
      </c>
      <c r="G8413" s="7" t="str">
        <f>LOOKUP(H8413,[1]startdates!$A$2:$A$10,[1]startdates!$B$2:$B$10)</f>
        <v>C</v>
      </c>
      <c r="H8413">
        <v>8</v>
      </c>
      <c r="I8413" s="7">
        <v>705.6</v>
      </c>
      <c r="J8413" s="7">
        <v>528.70000000000005</v>
      </c>
      <c r="K8413" s="7">
        <v>437.5</v>
      </c>
      <c r="L8413" s="7">
        <v>442.1</v>
      </c>
      <c r="M8413" s="7">
        <v>366.3</v>
      </c>
      <c r="N8413" s="7">
        <v>218.8</v>
      </c>
      <c r="O8413" s="7">
        <v>169</v>
      </c>
      <c r="Q8413" s="7">
        <v>345.9</v>
      </c>
      <c r="R8413" s="7">
        <v>265.10000000000002</v>
      </c>
    </row>
    <row r="8414" spans="1:22" x14ac:dyDescent="0.2">
      <c r="A8414">
        <v>8413</v>
      </c>
      <c r="B8414" s="1">
        <v>41051</v>
      </c>
      <c r="C8414" t="s">
        <v>24</v>
      </c>
      <c r="D8414" s="7">
        <v>310</v>
      </c>
      <c r="E8414" s="7">
        <v>46</v>
      </c>
      <c r="F8414" s="7">
        <f t="shared" si="131"/>
        <v>3</v>
      </c>
      <c r="G8414" s="7" t="str">
        <f>LOOKUP(H8414,[1]startdates!$A$2:$A$10,[1]startdates!$B$2:$B$10)</f>
        <v>C</v>
      </c>
      <c r="H8414">
        <v>8</v>
      </c>
      <c r="I8414" s="7">
        <v>665</v>
      </c>
      <c r="J8414" s="7">
        <v>471.8</v>
      </c>
      <c r="K8414" s="7">
        <v>680.3</v>
      </c>
      <c r="M8414" s="7">
        <v>360.1</v>
      </c>
      <c r="N8414" s="7">
        <v>216.6</v>
      </c>
      <c r="O8414" s="7">
        <v>176.9</v>
      </c>
    </row>
    <row r="8415" spans="1:22" x14ac:dyDescent="0.2">
      <c r="A8415">
        <v>8414</v>
      </c>
      <c r="B8415" s="1">
        <v>41051</v>
      </c>
      <c r="C8415" t="s">
        <v>24</v>
      </c>
      <c r="D8415" s="7">
        <v>310</v>
      </c>
      <c r="E8415" s="7">
        <v>46</v>
      </c>
      <c r="F8415" s="7">
        <f t="shared" si="131"/>
        <v>3</v>
      </c>
      <c r="G8415" s="7" t="str">
        <f>LOOKUP(H8415,[1]startdates!$A$2:$A$10,[1]startdates!$B$2:$B$10)</f>
        <v>C</v>
      </c>
      <c r="H8415">
        <v>8</v>
      </c>
      <c r="I8415" s="7">
        <v>713.5</v>
      </c>
      <c r="J8415" s="7">
        <v>574</v>
      </c>
      <c r="M8415" s="7">
        <v>350.5</v>
      </c>
      <c r="N8415" s="7">
        <v>235.9</v>
      </c>
      <c r="O8415" s="7">
        <v>180.1</v>
      </c>
    </row>
    <row r="8416" spans="1:22" x14ac:dyDescent="0.2">
      <c r="A8416">
        <v>8415</v>
      </c>
      <c r="B8416" s="1">
        <v>41051</v>
      </c>
      <c r="C8416" t="s">
        <v>24</v>
      </c>
      <c r="D8416" s="7">
        <v>310</v>
      </c>
      <c r="E8416" s="7">
        <v>46</v>
      </c>
      <c r="F8416" s="7">
        <f t="shared" si="131"/>
        <v>3</v>
      </c>
      <c r="G8416" s="7" t="str">
        <f>LOOKUP(H8416,[1]startdates!$A$2:$A$10,[1]startdates!$B$2:$B$10)</f>
        <v>C</v>
      </c>
      <c r="H8416">
        <v>8</v>
      </c>
      <c r="I8416" s="7">
        <v>651.70000000000005</v>
      </c>
      <c r="J8416" s="7">
        <v>445.5</v>
      </c>
      <c r="M8416" s="7">
        <v>364.7</v>
      </c>
      <c r="N8416" s="7">
        <v>212</v>
      </c>
      <c r="O8416" s="7">
        <v>170</v>
      </c>
    </row>
    <row r="8417" spans="1:22" x14ac:dyDescent="0.2">
      <c r="A8417">
        <v>8416</v>
      </c>
      <c r="B8417" s="1">
        <v>41051</v>
      </c>
      <c r="C8417" t="s">
        <v>24</v>
      </c>
      <c r="D8417" s="7">
        <v>310</v>
      </c>
      <c r="E8417" s="7">
        <v>46</v>
      </c>
      <c r="F8417" s="7">
        <f t="shared" si="131"/>
        <v>3</v>
      </c>
      <c r="G8417" s="7" t="str">
        <f>LOOKUP(H8417,[1]startdates!$A$2:$A$10,[1]startdates!$B$2:$B$10)</f>
        <v>C</v>
      </c>
      <c r="H8417">
        <v>8</v>
      </c>
      <c r="I8417" s="7">
        <v>618.6</v>
      </c>
      <c r="J8417" s="7">
        <v>508.4</v>
      </c>
      <c r="M8417" s="7">
        <v>371.9</v>
      </c>
      <c r="N8417" s="7">
        <v>258.39999999999998</v>
      </c>
      <c r="O8417" s="7">
        <v>187.9</v>
      </c>
    </row>
    <row r="8418" spans="1:22" x14ac:dyDescent="0.2">
      <c r="A8418">
        <v>8417</v>
      </c>
      <c r="B8418" s="1">
        <v>41051</v>
      </c>
      <c r="C8418" t="s">
        <v>24</v>
      </c>
      <c r="D8418" s="7">
        <v>310</v>
      </c>
      <c r="E8418" s="7">
        <v>46</v>
      </c>
      <c r="F8418" s="7">
        <f t="shared" si="131"/>
        <v>3</v>
      </c>
      <c r="G8418" s="7" t="str">
        <f>LOOKUP(H8418,[1]startdates!$A$2:$A$10,[1]startdates!$B$2:$B$10)</f>
        <v>C</v>
      </c>
      <c r="H8418">
        <v>8</v>
      </c>
      <c r="I8418" s="7">
        <v>588.20000000000005</v>
      </c>
      <c r="J8418" s="7">
        <v>480.5</v>
      </c>
      <c r="M8418" s="7">
        <v>298.2</v>
      </c>
      <c r="N8418" s="7">
        <v>229.1</v>
      </c>
      <c r="O8418" s="7">
        <v>181.6</v>
      </c>
    </row>
    <row r="8419" spans="1:22" x14ac:dyDescent="0.2">
      <c r="A8419">
        <v>8418</v>
      </c>
      <c r="B8419" s="1">
        <v>41051</v>
      </c>
      <c r="C8419" t="s">
        <v>24</v>
      </c>
      <c r="D8419" s="7">
        <v>310</v>
      </c>
      <c r="E8419" s="7">
        <v>46</v>
      </c>
      <c r="F8419" s="7">
        <f t="shared" si="131"/>
        <v>3</v>
      </c>
      <c r="G8419" s="7" t="str">
        <f>LOOKUP(H8419,[1]startdates!$A$2:$A$10,[1]startdates!$B$2:$B$10)</f>
        <v>C</v>
      </c>
      <c r="H8419">
        <v>8</v>
      </c>
      <c r="I8419" s="7">
        <v>596.79999999999995</v>
      </c>
      <c r="J8419" s="7">
        <v>518.4</v>
      </c>
      <c r="M8419" s="7">
        <v>405.1</v>
      </c>
      <c r="N8419" s="7">
        <v>217.3</v>
      </c>
      <c r="O8419" s="7">
        <v>174.6</v>
      </c>
    </row>
    <row r="8420" spans="1:22" x14ac:dyDescent="0.2">
      <c r="A8420">
        <v>8419</v>
      </c>
      <c r="B8420" s="1">
        <v>41051</v>
      </c>
      <c r="C8420" t="s">
        <v>24</v>
      </c>
      <c r="D8420" s="7">
        <v>310</v>
      </c>
      <c r="E8420" s="7">
        <v>46</v>
      </c>
      <c r="F8420" s="7">
        <f t="shared" si="131"/>
        <v>3</v>
      </c>
      <c r="G8420" s="7" t="str">
        <f>LOOKUP(H8420,[1]startdates!$A$2:$A$10,[1]startdates!$B$2:$B$10)</f>
        <v>C</v>
      </c>
      <c r="H8420">
        <v>8</v>
      </c>
      <c r="I8420" s="7">
        <v>657.7</v>
      </c>
      <c r="M8420" s="7">
        <v>384.9</v>
      </c>
      <c r="N8420" s="7">
        <v>270.3</v>
      </c>
      <c r="O8420" s="7">
        <v>173.7</v>
      </c>
    </row>
    <row r="8421" spans="1:22" x14ac:dyDescent="0.2">
      <c r="A8421">
        <v>8420</v>
      </c>
      <c r="B8421" s="1">
        <v>41051</v>
      </c>
      <c r="C8421" t="s">
        <v>24</v>
      </c>
      <c r="D8421" s="7">
        <v>310</v>
      </c>
      <c r="E8421" s="7">
        <v>46</v>
      </c>
      <c r="F8421" s="7">
        <f t="shared" si="131"/>
        <v>3</v>
      </c>
      <c r="G8421" s="7" t="str">
        <f>LOOKUP(H8421,[1]startdates!$A$2:$A$10,[1]startdates!$B$2:$B$10)</f>
        <v>C</v>
      </c>
      <c r="H8421">
        <v>8</v>
      </c>
      <c r="I8421" s="7">
        <v>622.9</v>
      </c>
      <c r="N8421" s="7">
        <v>238.9</v>
      </c>
      <c r="O8421" s="7">
        <v>182.8</v>
      </c>
    </row>
    <row r="8422" spans="1:22" x14ac:dyDescent="0.2">
      <c r="A8422">
        <v>8421</v>
      </c>
      <c r="B8422" s="1">
        <v>41051</v>
      </c>
      <c r="C8422" t="s">
        <v>24</v>
      </c>
      <c r="D8422" s="7">
        <v>310</v>
      </c>
      <c r="E8422" s="7">
        <v>46</v>
      </c>
      <c r="F8422" s="7">
        <f t="shared" si="131"/>
        <v>3</v>
      </c>
      <c r="G8422" s="7" t="str">
        <f>LOOKUP(H8422,[1]startdates!$A$2:$A$10,[1]startdates!$B$2:$B$10)</f>
        <v>C</v>
      </c>
      <c r="H8422">
        <v>8</v>
      </c>
      <c r="I8422" s="7">
        <v>731.2</v>
      </c>
      <c r="N8422" s="7">
        <v>220.2</v>
      </c>
      <c r="O8422" s="7">
        <v>190</v>
      </c>
    </row>
    <row r="8423" spans="1:22" x14ac:dyDescent="0.2">
      <c r="A8423">
        <v>8422</v>
      </c>
      <c r="B8423" s="1">
        <v>41051</v>
      </c>
      <c r="C8423" t="s">
        <v>24</v>
      </c>
      <c r="D8423" s="7">
        <v>310</v>
      </c>
      <c r="E8423" s="7">
        <v>46</v>
      </c>
      <c r="F8423" s="7">
        <f t="shared" si="131"/>
        <v>3</v>
      </c>
      <c r="G8423" s="7" t="str">
        <f>LOOKUP(H8423,[1]startdates!$A$2:$A$10,[1]startdates!$B$2:$B$10)</f>
        <v>C</v>
      </c>
      <c r="H8423">
        <v>8</v>
      </c>
      <c r="I8423" s="7">
        <v>753.1</v>
      </c>
    </row>
    <row r="8424" spans="1:22" x14ac:dyDescent="0.2">
      <c r="A8424">
        <v>8423</v>
      </c>
      <c r="B8424" s="1">
        <v>41051</v>
      </c>
      <c r="C8424" t="s">
        <v>24</v>
      </c>
      <c r="D8424" s="7">
        <v>310</v>
      </c>
      <c r="E8424" s="7">
        <v>46</v>
      </c>
      <c r="F8424" s="7">
        <f t="shared" si="131"/>
        <v>3</v>
      </c>
      <c r="G8424" s="7" t="str">
        <f>LOOKUP(H8424,[1]startdates!$A$2:$A$10,[1]startdates!$B$2:$B$10)</f>
        <v>FMr</v>
      </c>
      <c r="H8424">
        <v>9</v>
      </c>
      <c r="I8424" s="7">
        <v>663.3</v>
      </c>
      <c r="J8424" s="7">
        <v>523</v>
      </c>
      <c r="K8424" s="7">
        <v>405</v>
      </c>
      <c r="L8424" s="7">
        <v>429.7</v>
      </c>
      <c r="M8424" s="7">
        <v>331.6</v>
      </c>
      <c r="N8424" s="7">
        <v>222.9</v>
      </c>
      <c r="O8424" s="7">
        <v>179.7</v>
      </c>
      <c r="P8424" s="7">
        <v>476.5</v>
      </c>
      <c r="Q8424" s="7">
        <v>376.1</v>
      </c>
      <c r="V8424" s="7">
        <v>564.4</v>
      </c>
    </row>
    <row r="8425" spans="1:22" x14ac:dyDescent="0.2">
      <c r="A8425">
        <v>8424</v>
      </c>
      <c r="B8425" s="1">
        <v>41051</v>
      </c>
      <c r="C8425" t="s">
        <v>24</v>
      </c>
      <c r="D8425" s="7">
        <v>310</v>
      </c>
      <c r="E8425" s="7">
        <v>46</v>
      </c>
      <c r="F8425" s="7">
        <f t="shared" ref="F8425:F8488" si="132">WEEKDAY(B8425)</f>
        <v>3</v>
      </c>
      <c r="G8425" s="7" t="str">
        <f>LOOKUP(H8425,[1]startdates!$A$2:$A$10,[1]startdates!$B$2:$B$10)</f>
        <v>FMr</v>
      </c>
      <c r="H8425">
        <v>9</v>
      </c>
      <c r="I8425" s="7">
        <v>590.29999999999995</v>
      </c>
      <c r="K8425" s="7">
        <v>513.5</v>
      </c>
      <c r="L8425" s="7">
        <v>386.6</v>
      </c>
      <c r="M8425" s="7">
        <v>365.4</v>
      </c>
      <c r="N8425" s="7">
        <v>276.2</v>
      </c>
      <c r="O8425" s="7">
        <v>178.1</v>
      </c>
      <c r="Q8425" s="7">
        <v>361.9</v>
      </c>
    </row>
    <row r="8426" spans="1:22" x14ac:dyDescent="0.2">
      <c r="A8426">
        <v>8425</v>
      </c>
      <c r="B8426" s="1">
        <v>41051</v>
      </c>
      <c r="C8426" t="s">
        <v>24</v>
      </c>
      <c r="D8426" s="7">
        <v>310</v>
      </c>
      <c r="E8426" s="7">
        <v>46</v>
      </c>
      <c r="F8426" s="7">
        <f t="shared" si="132"/>
        <v>3</v>
      </c>
      <c r="G8426" s="7" t="str">
        <f>LOOKUP(H8426,[1]startdates!$A$2:$A$10,[1]startdates!$B$2:$B$10)</f>
        <v>FMr</v>
      </c>
      <c r="H8426">
        <v>9</v>
      </c>
      <c r="I8426" s="7">
        <v>569.1</v>
      </c>
      <c r="K8426" s="7">
        <v>448.2</v>
      </c>
      <c r="L8426" s="7">
        <v>401.2</v>
      </c>
      <c r="M8426" s="7">
        <v>319.7</v>
      </c>
      <c r="N8426" s="7">
        <v>222.9</v>
      </c>
      <c r="O8426" s="7">
        <v>167.7</v>
      </c>
      <c r="Q8426" s="7">
        <v>378.8</v>
      </c>
    </row>
    <row r="8427" spans="1:22" x14ac:dyDescent="0.2">
      <c r="A8427">
        <v>8426</v>
      </c>
      <c r="B8427" s="1">
        <v>41051</v>
      </c>
      <c r="C8427" t="s">
        <v>24</v>
      </c>
      <c r="D8427" s="7">
        <v>310</v>
      </c>
      <c r="E8427" s="7">
        <v>46</v>
      </c>
      <c r="F8427" s="7">
        <f t="shared" si="132"/>
        <v>3</v>
      </c>
      <c r="G8427" s="7" t="str">
        <f>LOOKUP(H8427,[1]startdates!$A$2:$A$10,[1]startdates!$B$2:$B$10)</f>
        <v>FMr</v>
      </c>
      <c r="H8427">
        <v>9</v>
      </c>
      <c r="I8427" s="7">
        <v>696.9</v>
      </c>
      <c r="K8427" s="7">
        <v>545.20000000000005</v>
      </c>
      <c r="M8427" s="7">
        <v>337.6</v>
      </c>
      <c r="N8427" s="7">
        <v>235.2</v>
      </c>
      <c r="O8427" s="7">
        <v>140.30000000000001</v>
      </c>
    </row>
    <row r="8428" spans="1:22" x14ac:dyDescent="0.2">
      <c r="A8428">
        <v>8427</v>
      </c>
      <c r="B8428" s="1">
        <v>41051</v>
      </c>
      <c r="C8428" t="s">
        <v>24</v>
      </c>
      <c r="D8428" s="7">
        <v>310</v>
      </c>
      <c r="E8428" s="7">
        <v>46</v>
      </c>
      <c r="F8428" s="7">
        <f t="shared" si="132"/>
        <v>3</v>
      </c>
      <c r="G8428" s="7" t="str">
        <f>LOOKUP(H8428,[1]startdates!$A$2:$A$10,[1]startdates!$B$2:$B$10)</f>
        <v>FMr</v>
      </c>
      <c r="H8428">
        <v>9</v>
      </c>
      <c r="I8428" s="7">
        <v>611.9</v>
      </c>
      <c r="K8428" s="7">
        <v>499</v>
      </c>
      <c r="M8428" s="7">
        <v>371.5</v>
      </c>
      <c r="N8428" s="7">
        <v>246.9</v>
      </c>
      <c r="O8428" s="7">
        <v>182.5</v>
      </c>
    </row>
    <row r="8429" spans="1:22" x14ac:dyDescent="0.2">
      <c r="A8429">
        <v>8428</v>
      </c>
      <c r="B8429" s="1">
        <v>41051</v>
      </c>
      <c r="C8429" t="s">
        <v>24</v>
      </c>
      <c r="D8429" s="7">
        <v>310</v>
      </c>
      <c r="E8429" s="7">
        <v>46</v>
      </c>
      <c r="F8429" s="7">
        <f t="shared" si="132"/>
        <v>3</v>
      </c>
      <c r="G8429" s="7" t="str">
        <f>LOOKUP(H8429,[1]startdates!$A$2:$A$10,[1]startdates!$B$2:$B$10)</f>
        <v>FMr</v>
      </c>
      <c r="H8429">
        <v>9</v>
      </c>
      <c r="I8429" s="7">
        <v>583.5</v>
      </c>
      <c r="K8429" s="7">
        <v>522.9</v>
      </c>
      <c r="N8429" s="7">
        <v>226.7</v>
      </c>
      <c r="O8429" s="7">
        <v>176.8</v>
      </c>
    </row>
    <row r="8430" spans="1:22" x14ac:dyDescent="0.2">
      <c r="A8430">
        <v>8429</v>
      </c>
      <c r="B8430" s="1">
        <v>41051</v>
      </c>
      <c r="C8430" t="s">
        <v>24</v>
      </c>
      <c r="D8430" s="7">
        <v>310</v>
      </c>
      <c r="E8430" s="7">
        <v>46</v>
      </c>
      <c r="F8430" s="7">
        <f t="shared" si="132"/>
        <v>3</v>
      </c>
      <c r="G8430" s="7" t="str">
        <f>LOOKUP(H8430,[1]startdates!$A$2:$A$10,[1]startdates!$B$2:$B$10)</f>
        <v>FMr</v>
      </c>
      <c r="H8430">
        <v>9</v>
      </c>
      <c r="I8430" s="7">
        <v>657.6</v>
      </c>
      <c r="K8430" s="7">
        <v>568.6</v>
      </c>
      <c r="N8430" s="7">
        <v>224.7</v>
      </c>
      <c r="O8430" s="7">
        <v>160.80000000000001</v>
      </c>
    </row>
    <row r="8431" spans="1:22" x14ac:dyDescent="0.2">
      <c r="A8431">
        <v>8430</v>
      </c>
      <c r="B8431" s="1">
        <v>41051</v>
      </c>
      <c r="C8431" t="s">
        <v>24</v>
      </c>
      <c r="D8431" s="7">
        <v>310</v>
      </c>
      <c r="E8431" s="7">
        <v>46</v>
      </c>
      <c r="F8431" s="7">
        <f t="shared" si="132"/>
        <v>3</v>
      </c>
      <c r="G8431" s="7" t="str">
        <f>LOOKUP(H8431,[1]startdates!$A$2:$A$10,[1]startdates!$B$2:$B$10)</f>
        <v>FMr</v>
      </c>
      <c r="H8431">
        <v>9</v>
      </c>
      <c r="I8431" s="7">
        <v>468.6</v>
      </c>
      <c r="N8431" s="7">
        <v>197.1</v>
      </c>
      <c r="O8431" s="7">
        <v>159.80000000000001</v>
      </c>
    </row>
    <row r="8432" spans="1:22" x14ac:dyDescent="0.2">
      <c r="A8432">
        <v>8431</v>
      </c>
      <c r="B8432" s="1">
        <v>41051</v>
      </c>
      <c r="C8432" t="s">
        <v>24</v>
      </c>
      <c r="D8432" s="7">
        <v>310</v>
      </c>
      <c r="E8432" s="7">
        <v>46</v>
      </c>
      <c r="F8432" s="7">
        <f t="shared" si="132"/>
        <v>3</v>
      </c>
      <c r="G8432" s="7" t="str">
        <f>LOOKUP(H8432,[1]startdates!$A$2:$A$10,[1]startdates!$B$2:$B$10)</f>
        <v>FMr</v>
      </c>
      <c r="H8432">
        <v>9</v>
      </c>
      <c r="I8432" s="7">
        <v>602.4</v>
      </c>
      <c r="N8432" s="7">
        <v>181.9</v>
      </c>
      <c r="O8432" s="7">
        <v>154.80000000000001</v>
      </c>
    </row>
    <row r="8433" spans="1:21" x14ac:dyDescent="0.2">
      <c r="A8433">
        <v>8432</v>
      </c>
      <c r="B8433" s="1">
        <v>41051</v>
      </c>
      <c r="C8433" t="s">
        <v>24</v>
      </c>
      <c r="D8433" s="7">
        <v>310</v>
      </c>
      <c r="E8433" s="7">
        <v>46</v>
      </c>
      <c r="F8433" s="7">
        <f t="shared" si="132"/>
        <v>3</v>
      </c>
      <c r="G8433" s="7" t="str">
        <f>LOOKUP(H8433,[1]startdates!$A$2:$A$10,[1]startdates!$B$2:$B$10)</f>
        <v>FMr</v>
      </c>
      <c r="H8433">
        <v>9</v>
      </c>
      <c r="I8433" s="7">
        <v>631.5</v>
      </c>
      <c r="N8433" s="7">
        <v>229.2</v>
      </c>
      <c r="O8433" s="7">
        <v>187</v>
      </c>
    </row>
    <row r="8434" spans="1:21" x14ac:dyDescent="0.2">
      <c r="A8434">
        <v>8433</v>
      </c>
      <c r="B8434" s="1">
        <v>41051</v>
      </c>
      <c r="C8434" t="s">
        <v>24</v>
      </c>
      <c r="D8434" s="7">
        <v>310</v>
      </c>
      <c r="E8434" s="7">
        <v>46</v>
      </c>
      <c r="F8434" s="7">
        <f t="shared" si="132"/>
        <v>3</v>
      </c>
      <c r="G8434" s="7" t="str">
        <f>LOOKUP(H8434,[1]startdates!$A$2:$A$10,[1]startdates!$B$2:$B$10)</f>
        <v>FMr</v>
      </c>
      <c r="H8434">
        <v>9</v>
      </c>
      <c r="I8434" s="7">
        <v>670.1</v>
      </c>
    </row>
    <row r="8435" spans="1:21" x14ac:dyDescent="0.2">
      <c r="A8435">
        <v>8434</v>
      </c>
      <c r="B8435" s="1">
        <v>41051</v>
      </c>
      <c r="C8435" t="s">
        <v>24</v>
      </c>
      <c r="D8435" s="7">
        <v>310</v>
      </c>
      <c r="E8435" s="7">
        <v>46</v>
      </c>
      <c r="F8435" s="7">
        <f t="shared" si="132"/>
        <v>3</v>
      </c>
      <c r="G8435" s="7" t="str">
        <f>LOOKUP(H8435,[1]startdates!$A$2:$A$10,[1]startdates!$B$2:$B$10)</f>
        <v>FMr</v>
      </c>
      <c r="H8435">
        <v>9</v>
      </c>
      <c r="I8435" s="7">
        <v>568</v>
      </c>
    </row>
    <row r="8436" spans="1:21" x14ac:dyDescent="0.2">
      <c r="A8436">
        <v>8435</v>
      </c>
      <c r="B8436" s="1">
        <v>41065</v>
      </c>
      <c r="C8436" t="s">
        <v>24</v>
      </c>
      <c r="D8436" s="7">
        <v>323</v>
      </c>
      <c r="E8436" s="7">
        <v>48</v>
      </c>
      <c r="F8436" s="7">
        <f t="shared" si="132"/>
        <v>3</v>
      </c>
      <c r="G8436" s="7" t="str">
        <f>LOOKUP(H8436,[1]startdates!$A$2:$A$10,[1]startdates!$B$2:$B$10)</f>
        <v>SMr</v>
      </c>
      <c r="H8436">
        <v>1</v>
      </c>
      <c r="I8436" s="7">
        <v>759</v>
      </c>
      <c r="J8436" s="7">
        <v>533.6</v>
      </c>
      <c r="K8436" s="7">
        <v>466</v>
      </c>
      <c r="L8436" s="7">
        <v>422</v>
      </c>
      <c r="M8436" s="7">
        <v>337.1</v>
      </c>
      <c r="N8436" s="7">
        <v>296.8</v>
      </c>
      <c r="O8436" s="7">
        <v>193.2</v>
      </c>
      <c r="Q8436" s="7">
        <v>346.8</v>
      </c>
      <c r="R8436" s="7">
        <v>308.3</v>
      </c>
      <c r="U8436" s="7">
        <v>386.6</v>
      </c>
    </row>
    <row r="8437" spans="1:21" x14ac:dyDescent="0.2">
      <c r="A8437">
        <v>8436</v>
      </c>
      <c r="B8437" s="1">
        <v>41065</v>
      </c>
      <c r="C8437" t="s">
        <v>24</v>
      </c>
      <c r="D8437" s="7">
        <v>323</v>
      </c>
      <c r="E8437" s="7">
        <v>48</v>
      </c>
      <c r="F8437" s="7">
        <f t="shared" si="132"/>
        <v>3</v>
      </c>
      <c r="G8437" s="7" t="str">
        <f>LOOKUP(H8437,[1]startdates!$A$2:$A$10,[1]startdates!$B$2:$B$10)</f>
        <v>SMr</v>
      </c>
      <c r="H8437">
        <v>1</v>
      </c>
      <c r="I8437" s="7">
        <v>617.20000000000005</v>
      </c>
      <c r="J8437" s="7">
        <v>527.5</v>
      </c>
      <c r="L8437" s="7">
        <v>410.9</v>
      </c>
      <c r="M8437" s="7">
        <v>375.7</v>
      </c>
      <c r="N8437" s="7">
        <v>220.2</v>
      </c>
      <c r="O8437" s="7">
        <v>163.4</v>
      </c>
    </row>
    <row r="8438" spans="1:21" x14ac:dyDescent="0.2">
      <c r="A8438">
        <v>8437</v>
      </c>
      <c r="B8438" s="1">
        <v>41065</v>
      </c>
      <c r="C8438" t="s">
        <v>24</v>
      </c>
      <c r="D8438" s="7">
        <v>323</v>
      </c>
      <c r="E8438" s="7">
        <v>48</v>
      </c>
      <c r="F8438" s="7">
        <f t="shared" si="132"/>
        <v>3</v>
      </c>
      <c r="G8438" s="7" t="str">
        <f>LOOKUP(H8438,[1]startdates!$A$2:$A$10,[1]startdates!$B$2:$B$10)</f>
        <v>SMr</v>
      </c>
      <c r="H8438">
        <v>1</v>
      </c>
      <c r="I8438" s="7">
        <v>663.1</v>
      </c>
      <c r="J8438" s="7">
        <v>583.20000000000005</v>
      </c>
      <c r="M8438" s="7">
        <v>319.2</v>
      </c>
      <c r="N8438" s="7">
        <v>291.60000000000002</v>
      </c>
      <c r="O8438" s="7">
        <v>171.3</v>
      </c>
    </row>
    <row r="8439" spans="1:21" x14ac:dyDescent="0.2">
      <c r="A8439">
        <v>8438</v>
      </c>
      <c r="B8439" s="1">
        <v>41065</v>
      </c>
      <c r="C8439" t="s">
        <v>24</v>
      </c>
      <c r="D8439" s="7">
        <v>323</v>
      </c>
      <c r="E8439" s="7">
        <v>48</v>
      </c>
      <c r="F8439" s="7">
        <f t="shared" si="132"/>
        <v>3</v>
      </c>
      <c r="G8439" s="7" t="str">
        <f>LOOKUP(H8439,[1]startdates!$A$2:$A$10,[1]startdates!$B$2:$B$10)</f>
        <v>SMr</v>
      </c>
      <c r="H8439">
        <v>1</v>
      </c>
      <c r="I8439" s="7">
        <v>704.2</v>
      </c>
      <c r="J8439" s="7">
        <v>511.6</v>
      </c>
      <c r="M8439" s="7">
        <v>383.6</v>
      </c>
      <c r="N8439" s="7">
        <v>243.8</v>
      </c>
      <c r="O8439" s="7">
        <v>173.1</v>
      </c>
    </row>
    <row r="8440" spans="1:21" x14ac:dyDescent="0.2">
      <c r="A8440">
        <v>8439</v>
      </c>
      <c r="B8440" s="1">
        <v>41065</v>
      </c>
      <c r="C8440" t="s">
        <v>24</v>
      </c>
      <c r="D8440" s="7">
        <v>323</v>
      </c>
      <c r="E8440" s="7">
        <v>48</v>
      </c>
      <c r="F8440" s="7">
        <f t="shared" si="132"/>
        <v>3</v>
      </c>
      <c r="G8440" s="7" t="str">
        <f>LOOKUP(H8440,[1]startdates!$A$2:$A$10,[1]startdates!$B$2:$B$10)</f>
        <v>SMr</v>
      </c>
      <c r="H8440">
        <v>1</v>
      </c>
      <c r="I8440" s="7">
        <v>652.5</v>
      </c>
      <c r="J8440" s="7">
        <v>504.4</v>
      </c>
      <c r="M8440" s="7">
        <v>329.5</v>
      </c>
      <c r="N8440" s="7">
        <v>228.9</v>
      </c>
      <c r="O8440" s="7">
        <v>162</v>
      </c>
    </row>
    <row r="8441" spans="1:21" x14ac:dyDescent="0.2">
      <c r="A8441">
        <v>8440</v>
      </c>
      <c r="B8441" s="1">
        <v>41065</v>
      </c>
      <c r="C8441" t="s">
        <v>24</v>
      </c>
      <c r="D8441" s="7">
        <v>323</v>
      </c>
      <c r="E8441" s="7">
        <v>48</v>
      </c>
      <c r="F8441" s="7">
        <f t="shared" si="132"/>
        <v>3</v>
      </c>
      <c r="G8441" s="7" t="str">
        <f>LOOKUP(H8441,[1]startdates!$A$2:$A$10,[1]startdates!$B$2:$B$10)</f>
        <v>SMr</v>
      </c>
      <c r="H8441">
        <v>1</v>
      </c>
      <c r="I8441" s="7">
        <v>627.79999999999995</v>
      </c>
      <c r="J8441" s="7">
        <v>580.6</v>
      </c>
      <c r="M8441" s="7">
        <v>357.3</v>
      </c>
      <c r="N8441" s="7">
        <v>247</v>
      </c>
      <c r="O8441" s="7">
        <v>167.5</v>
      </c>
    </row>
    <row r="8442" spans="1:21" x14ac:dyDescent="0.2">
      <c r="A8442">
        <v>8441</v>
      </c>
      <c r="B8442" s="1">
        <v>41065</v>
      </c>
      <c r="C8442" t="s">
        <v>24</v>
      </c>
      <c r="D8442" s="7">
        <v>323</v>
      </c>
      <c r="E8442" s="7">
        <v>48</v>
      </c>
      <c r="F8442" s="7">
        <f t="shared" si="132"/>
        <v>3</v>
      </c>
      <c r="G8442" s="7" t="str">
        <f>LOOKUP(H8442,[1]startdates!$A$2:$A$10,[1]startdates!$B$2:$B$10)</f>
        <v>SMr</v>
      </c>
      <c r="H8442">
        <v>1</v>
      </c>
      <c r="I8442" s="7">
        <v>491.1</v>
      </c>
      <c r="J8442" s="7">
        <v>571.20000000000005</v>
      </c>
      <c r="M8442" s="7">
        <v>331.6</v>
      </c>
      <c r="N8442" s="7">
        <v>234</v>
      </c>
      <c r="O8442" s="7">
        <v>177.1</v>
      </c>
    </row>
    <row r="8443" spans="1:21" x14ac:dyDescent="0.2">
      <c r="A8443">
        <v>8442</v>
      </c>
      <c r="B8443" s="1">
        <v>41065</v>
      </c>
      <c r="C8443" t="s">
        <v>24</v>
      </c>
      <c r="D8443" s="7">
        <v>323</v>
      </c>
      <c r="E8443" s="7">
        <v>48</v>
      </c>
      <c r="F8443" s="7">
        <f t="shared" si="132"/>
        <v>3</v>
      </c>
      <c r="G8443" s="7" t="str">
        <f>LOOKUP(H8443,[1]startdates!$A$2:$A$10,[1]startdates!$B$2:$B$10)</f>
        <v>SMr</v>
      </c>
      <c r="H8443">
        <v>1</v>
      </c>
      <c r="I8443" s="7">
        <v>596.1</v>
      </c>
      <c r="J8443" s="7">
        <v>508.9</v>
      </c>
      <c r="N8443" s="7">
        <v>229.1</v>
      </c>
      <c r="O8443" s="7">
        <v>186.3</v>
      </c>
    </row>
    <row r="8444" spans="1:21" x14ac:dyDescent="0.2">
      <c r="A8444">
        <v>8443</v>
      </c>
      <c r="B8444" s="1">
        <v>41065</v>
      </c>
      <c r="C8444" t="s">
        <v>24</v>
      </c>
      <c r="D8444" s="7">
        <v>323</v>
      </c>
      <c r="E8444" s="7">
        <v>48</v>
      </c>
      <c r="F8444" s="7">
        <f t="shared" si="132"/>
        <v>3</v>
      </c>
      <c r="G8444" s="7" t="str">
        <f>LOOKUP(H8444,[1]startdates!$A$2:$A$10,[1]startdates!$B$2:$B$10)</f>
        <v>SMr</v>
      </c>
      <c r="H8444">
        <v>1</v>
      </c>
      <c r="I8444" s="7">
        <v>594.4</v>
      </c>
      <c r="J8444" s="7">
        <v>536.1</v>
      </c>
      <c r="N8444" s="7">
        <v>256</v>
      </c>
      <c r="O8444" s="7">
        <v>189.8</v>
      </c>
    </row>
    <row r="8445" spans="1:21" x14ac:dyDescent="0.2">
      <c r="A8445">
        <v>8444</v>
      </c>
      <c r="B8445" s="1">
        <v>41065</v>
      </c>
      <c r="C8445" t="s">
        <v>24</v>
      </c>
      <c r="D8445" s="7">
        <v>323</v>
      </c>
      <c r="E8445" s="7">
        <v>48</v>
      </c>
      <c r="F8445" s="7">
        <f t="shared" si="132"/>
        <v>3</v>
      </c>
      <c r="G8445" s="7" t="str">
        <f>LOOKUP(H8445,[1]startdates!$A$2:$A$10,[1]startdates!$B$2:$B$10)</f>
        <v>SMr</v>
      </c>
      <c r="H8445">
        <v>1</v>
      </c>
      <c r="I8445" s="7">
        <v>703.4</v>
      </c>
      <c r="J8445" s="7">
        <v>568</v>
      </c>
      <c r="N8445" s="7">
        <v>261.5</v>
      </c>
      <c r="O8445" s="7">
        <v>193.8</v>
      </c>
    </row>
    <row r="8446" spans="1:21" x14ac:dyDescent="0.2">
      <c r="A8446">
        <v>8445</v>
      </c>
      <c r="B8446" s="1">
        <v>41065</v>
      </c>
      <c r="C8446" t="s">
        <v>24</v>
      </c>
      <c r="D8446" s="7">
        <v>323</v>
      </c>
      <c r="E8446" s="7">
        <v>48</v>
      </c>
      <c r="F8446" s="7">
        <f t="shared" si="132"/>
        <v>3</v>
      </c>
      <c r="G8446" s="7" t="str">
        <f>LOOKUP(H8446,[1]startdates!$A$2:$A$10,[1]startdates!$B$2:$B$10)</f>
        <v>SMr</v>
      </c>
      <c r="H8446">
        <v>1</v>
      </c>
      <c r="O8446" s="7">
        <v>185</v>
      </c>
    </row>
    <row r="8447" spans="1:21" x14ac:dyDescent="0.2">
      <c r="A8447">
        <v>8446</v>
      </c>
      <c r="B8447" s="1">
        <v>41065</v>
      </c>
      <c r="C8447" t="s">
        <v>24</v>
      </c>
      <c r="D8447" s="7">
        <v>323</v>
      </c>
      <c r="E8447" s="7">
        <v>48</v>
      </c>
      <c r="F8447" s="7">
        <f t="shared" si="132"/>
        <v>3</v>
      </c>
      <c r="G8447" s="7" t="str">
        <f>LOOKUP(H8447,[1]startdates!$A$2:$A$10,[1]startdates!$B$2:$B$10)</f>
        <v>SMr</v>
      </c>
      <c r="H8447">
        <v>2</v>
      </c>
      <c r="I8447" s="7">
        <v>675.5</v>
      </c>
      <c r="J8447" s="7">
        <v>477.6</v>
      </c>
      <c r="K8447" s="7">
        <v>445.2</v>
      </c>
      <c r="L8447" s="7">
        <v>425.8</v>
      </c>
      <c r="M8447" s="7">
        <v>368.5</v>
      </c>
      <c r="N8447" s="7">
        <v>229.7</v>
      </c>
      <c r="O8447" s="7">
        <v>173.5</v>
      </c>
      <c r="P8447" s="7">
        <v>513.1</v>
      </c>
      <c r="R8447" s="7">
        <v>309.60000000000002</v>
      </c>
      <c r="U8447" s="7">
        <v>473</v>
      </c>
    </row>
    <row r="8448" spans="1:21" x14ac:dyDescent="0.2">
      <c r="A8448">
        <v>8447</v>
      </c>
      <c r="B8448" s="1">
        <v>41065</v>
      </c>
      <c r="C8448" t="s">
        <v>24</v>
      </c>
      <c r="D8448" s="7">
        <v>323</v>
      </c>
      <c r="E8448" s="7">
        <v>48</v>
      </c>
      <c r="F8448" s="7">
        <f t="shared" si="132"/>
        <v>3</v>
      </c>
      <c r="G8448" s="7" t="str">
        <f>LOOKUP(H8448,[1]startdates!$A$2:$A$10,[1]startdates!$B$2:$B$10)</f>
        <v>SMr</v>
      </c>
      <c r="H8448">
        <v>2</v>
      </c>
      <c r="I8448" s="7">
        <v>630.6</v>
      </c>
      <c r="K8448" s="7">
        <v>447.9</v>
      </c>
      <c r="L8448" s="7">
        <v>448.3</v>
      </c>
      <c r="M8448" s="7">
        <v>377.2</v>
      </c>
      <c r="N8448" s="7">
        <v>229.3</v>
      </c>
      <c r="O8448" s="7">
        <v>180.6</v>
      </c>
      <c r="P8448" s="7">
        <v>443.4</v>
      </c>
      <c r="U8448" s="7">
        <v>424.4</v>
      </c>
    </row>
    <row r="8449" spans="1:21" x14ac:dyDescent="0.2">
      <c r="A8449">
        <v>8448</v>
      </c>
      <c r="B8449" s="1">
        <v>41065</v>
      </c>
      <c r="C8449" t="s">
        <v>24</v>
      </c>
      <c r="D8449" s="7">
        <v>323</v>
      </c>
      <c r="E8449" s="7">
        <v>48</v>
      </c>
      <c r="F8449" s="7">
        <f t="shared" si="132"/>
        <v>3</v>
      </c>
      <c r="G8449" s="7" t="str">
        <f>LOOKUP(H8449,[1]startdates!$A$2:$A$10,[1]startdates!$B$2:$B$10)</f>
        <v>SMr</v>
      </c>
      <c r="H8449">
        <v>2</v>
      </c>
      <c r="I8449" s="7">
        <v>546.9</v>
      </c>
      <c r="K8449" s="7">
        <v>424</v>
      </c>
      <c r="M8449" s="7">
        <v>315.2</v>
      </c>
      <c r="N8449" s="7">
        <v>192.2</v>
      </c>
      <c r="O8449" s="7">
        <v>169</v>
      </c>
      <c r="U8449" s="7">
        <v>479</v>
      </c>
    </row>
    <row r="8450" spans="1:21" x14ac:dyDescent="0.2">
      <c r="A8450">
        <v>8449</v>
      </c>
      <c r="B8450" s="1">
        <v>41065</v>
      </c>
      <c r="C8450" t="s">
        <v>24</v>
      </c>
      <c r="D8450" s="7">
        <v>323</v>
      </c>
      <c r="E8450" s="7">
        <v>48</v>
      </c>
      <c r="F8450" s="7">
        <f t="shared" si="132"/>
        <v>3</v>
      </c>
      <c r="G8450" s="7" t="str">
        <f>LOOKUP(H8450,[1]startdates!$A$2:$A$10,[1]startdates!$B$2:$B$10)</f>
        <v>SMr</v>
      </c>
      <c r="H8450">
        <v>2</v>
      </c>
      <c r="I8450" s="7">
        <v>490.4</v>
      </c>
      <c r="K8450" s="7">
        <v>342.5</v>
      </c>
      <c r="M8450" s="7">
        <v>306.3</v>
      </c>
      <c r="N8450" s="7">
        <v>204.9</v>
      </c>
      <c r="O8450" s="7">
        <v>153.80000000000001</v>
      </c>
      <c r="U8450" s="7">
        <v>453.3</v>
      </c>
    </row>
    <row r="8451" spans="1:21" x14ac:dyDescent="0.2">
      <c r="A8451">
        <v>8450</v>
      </c>
      <c r="B8451" s="1">
        <v>41065</v>
      </c>
      <c r="C8451" t="s">
        <v>24</v>
      </c>
      <c r="D8451" s="7">
        <v>323</v>
      </c>
      <c r="E8451" s="7">
        <v>48</v>
      </c>
      <c r="F8451" s="7">
        <f t="shared" si="132"/>
        <v>3</v>
      </c>
      <c r="G8451" s="7" t="str">
        <f>LOOKUP(H8451,[1]startdates!$A$2:$A$10,[1]startdates!$B$2:$B$10)</f>
        <v>SMr</v>
      </c>
      <c r="H8451">
        <v>2</v>
      </c>
      <c r="I8451" s="7">
        <v>647</v>
      </c>
      <c r="M8451" s="7">
        <v>350.2</v>
      </c>
      <c r="N8451" s="7">
        <v>177.1</v>
      </c>
      <c r="O8451" s="7">
        <v>178.7</v>
      </c>
    </row>
    <row r="8452" spans="1:21" x14ac:dyDescent="0.2">
      <c r="A8452">
        <v>8451</v>
      </c>
      <c r="B8452" s="1">
        <v>41065</v>
      </c>
      <c r="C8452" t="s">
        <v>24</v>
      </c>
      <c r="D8452" s="7">
        <v>323</v>
      </c>
      <c r="E8452" s="7">
        <v>48</v>
      </c>
      <c r="F8452" s="7">
        <f t="shared" si="132"/>
        <v>3</v>
      </c>
      <c r="G8452" s="7" t="str">
        <f>LOOKUP(H8452,[1]startdates!$A$2:$A$10,[1]startdates!$B$2:$B$10)</f>
        <v>SMr</v>
      </c>
      <c r="H8452">
        <v>2</v>
      </c>
      <c r="I8452" s="7">
        <v>671.3</v>
      </c>
      <c r="M8452" s="7">
        <v>386.4</v>
      </c>
      <c r="N8452" s="7">
        <v>219.2</v>
      </c>
      <c r="O8452" s="7">
        <v>172.5</v>
      </c>
    </row>
    <row r="8453" spans="1:21" x14ac:dyDescent="0.2">
      <c r="A8453">
        <v>8452</v>
      </c>
      <c r="B8453" s="1">
        <v>41065</v>
      </c>
      <c r="C8453" t="s">
        <v>24</v>
      </c>
      <c r="D8453" s="7">
        <v>323</v>
      </c>
      <c r="E8453" s="7">
        <v>48</v>
      </c>
      <c r="F8453" s="7">
        <f t="shared" si="132"/>
        <v>3</v>
      </c>
      <c r="G8453" s="7" t="str">
        <f>LOOKUP(H8453,[1]startdates!$A$2:$A$10,[1]startdates!$B$2:$B$10)</f>
        <v>SMr</v>
      </c>
      <c r="H8453">
        <v>2</v>
      </c>
      <c r="I8453" s="7">
        <v>591.4</v>
      </c>
      <c r="M8453" s="7">
        <v>351.7</v>
      </c>
      <c r="N8453" s="7">
        <v>213.4</v>
      </c>
      <c r="O8453" s="7">
        <v>166</v>
      </c>
    </row>
    <row r="8454" spans="1:21" x14ac:dyDescent="0.2">
      <c r="A8454">
        <v>8453</v>
      </c>
      <c r="B8454" s="1">
        <v>41065</v>
      </c>
      <c r="C8454" t="s">
        <v>24</v>
      </c>
      <c r="D8454" s="7">
        <v>323</v>
      </c>
      <c r="E8454" s="7">
        <v>48</v>
      </c>
      <c r="F8454" s="7">
        <f t="shared" si="132"/>
        <v>3</v>
      </c>
      <c r="G8454" s="7" t="str">
        <f>LOOKUP(H8454,[1]startdates!$A$2:$A$10,[1]startdates!$B$2:$B$10)</f>
        <v>SMr</v>
      </c>
      <c r="H8454">
        <v>2</v>
      </c>
      <c r="I8454" s="7">
        <v>599.29999999999995</v>
      </c>
      <c r="M8454" s="7">
        <v>337.9</v>
      </c>
      <c r="N8454" s="7">
        <v>269.60000000000002</v>
      </c>
      <c r="O8454" s="7">
        <v>164.2</v>
      </c>
    </row>
    <row r="8455" spans="1:21" x14ac:dyDescent="0.2">
      <c r="A8455">
        <v>8454</v>
      </c>
      <c r="B8455" s="1">
        <v>41065</v>
      </c>
      <c r="C8455" t="s">
        <v>24</v>
      </c>
      <c r="D8455" s="7">
        <v>323</v>
      </c>
      <c r="E8455" s="7">
        <v>48</v>
      </c>
      <c r="F8455" s="7">
        <f t="shared" si="132"/>
        <v>3</v>
      </c>
      <c r="G8455" s="7" t="str">
        <f>LOOKUP(H8455,[1]startdates!$A$2:$A$10,[1]startdates!$B$2:$B$10)</f>
        <v>SMr</v>
      </c>
      <c r="H8455">
        <v>2</v>
      </c>
      <c r="I8455" s="7">
        <v>636.79999999999995</v>
      </c>
      <c r="N8455" s="7">
        <v>247.1</v>
      </c>
      <c r="O8455" s="7">
        <v>164</v>
      </c>
    </row>
    <row r="8456" spans="1:21" x14ac:dyDescent="0.2">
      <c r="A8456">
        <v>8455</v>
      </c>
      <c r="B8456" s="1">
        <v>41065</v>
      </c>
      <c r="C8456" t="s">
        <v>24</v>
      </c>
      <c r="D8456" s="7">
        <v>323</v>
      </c>
      <c r="E8456" s="7">
        <v>48</v>
      </c>
      <c r="F8456" s="7">
        <f t="shared" si="132"/>
        <v>3</v>
      </c>
      <c r="G8456" s="7" t="str">
        <f>LOOKUP(H8456,[1]startdates!$A$2:$A$10,[1]startdates!$B$2:$B$10)</f>
        <v>SMr</v>
      </c>
      <c r="H8456">
        <v>2</v>
      </c>
      <c r="I8456" s="7">
        <v>615</v>
      </c>
      <c r="N8456" s="7">
        <v>204.6</v>
      </c>
      <c r="O8456" s="7">
        <v>172.1</v>
      </c>
    </row>
    <row r="8457" spans="1:21" x14ac:dyDescent="0.2">
      <c r="A8457">
        <v>8456</v>
      </c>
      <c r="B8457" s="1">
        <v>41065</v>
      </c>
      <c r="C8457" t="s">
        <v>24</v>
      </c>
      <c r="D8457" s="7">
        <v>323</v>
      </c>
      <c r="E8457" s="7">
        <v>48</v>
      </c>
      <c r="F8457" s="7">
        <f t="shared" si="132"/>
        <v>3</v>
      </c>
      <c r="G8457" s="7" t="str">
        <f>LOOKUP(H8457,[1]startdates!$A$2:$A$10,[1]startdates!$B$2:$B$10)</f>
        <v>SMr</v>
      </c>
      <c r="H8457">
        <v>2</v>
      </c>
      <c r="I8457" s="7">
        <v>531.5</v>
      </c>
    </row>
    <row r="8458" spans="1:21" x14ac:dyDescent="0.2">
      <c r="A8458">
        <v>8457</v>
      </c>
      <c r="B8458" s="1">
        <v>41065</v>
      </c>
      <c r="C8458" t="s">
        <v>24</v>
      </c>
      <c r="D8458" s="7">
        <v>323</v>
      </c>
      <c r="E8458" s="7">
        <v>48</v>
      </c>
      <c r="F8458" s="7">
        <f t="shared" si="132"/>
        <v>3</v>
      </c>
      <c r="G8458" s="7" t="str">
        <f>LOOKUP(H8458,[1]startdates!$A$2:$A$10,[1]startdates!$B$2:$B$10)</f>
        <v>SMr</v>
      </c>
      <c r="H8458">
        <v>2</v>
      </c>
      <c r="I8458" s="7">
        <v>629</v>
      </c>
    </row>
    <row r="8459" spans="1:21" x14ac:dyDescent="0.2">
      <c r="A8459">
        <v>8458</v>
      </c>
      <c r="B8459" s="1">
        <v>41065</v>
      </c>
      <c r="C8459" t="s">
        <v>24</v>
      </c>
      <c r="D8459" s="7">
        <v>323</v>
      </c>
      <c r="E8459" s="7">
        <v>48</v>
      </c>
      <c r="F8459" s="7">
        <f t="shared" si="132"/>
        <v>3</v>
      </c>
      <c r="G8459" s="7" t="str">
        <f>LOOKUP(H8459,[1]startdates!$A$2:$A$10,[1]startdates!$B$2:$B$10)</f>
        <v>SMr</v>
      </c>
      <c r="H8459">
        <v>2</v>
      </c>
      <c r="I8459" s="7">
        <v>664.2</v>
      </c>
    </row>
    <row r="8460" spans="1:21" x14ac:dyDescent="0.2">
      <c r="A8460">
        <v>8459</v>
      </c>
      <c r="B8460" s="1">
        <v>41065</v>
      </c>
      <c r="C8460" t="s">
        <v>24</v>
      </c>
      <c r="D8460" s="7">
        <v>323</v>
      </c>
      <c r="E8460" s="7">
        <v>48</v>
      </c>
      <c r="F8460" s="7">
        <f t="shared" si="132"/>
        <v>3</v>
      </c>
      <c r="G8460" s="7" t="str">
        <f>LOOKUP(H8460,[1]startdates!$A$2:$A$10,[1]startdates!$B$2:$B$10)</f>
        <v>SMr</v>
      </c>
      <c r="H8460">
        <v>2</v>
      </c>
      <c r="I8460" s="7">
        <v>618</v>
      </c>
    </row>
    <row r="8461" spans="1:21" x14ac:dyDescent="0.2">
      <c r="A8461">
        <v>8460</v>
      </c>
      <c r="B8461" s="1">
        <v>41065</v>
      </c>
      <c r="C8461" t="s">
        <v>24</v>
      </c>
      <c r="D8461" s="7">
        <v>323</v>
      </c>
      <c r="E8461" s="7">
        <v>48</v>
      </c>
      <c r="F8461" s="7">
        <f t="shared" si="132"/>
        <v>3</v>
      </c>
      <c r="G8461" s="7" t="str">
        <f>LOOKUP(H8461,[1]startdates!$A$2:$A$10,[1]startdates!$B$2:$B$10)</f>
        <v>SMr</v>
      </c>
      <c r="H8461">
        <v>2</v>
      </c>
      <c r="I8461" s="7">
        <v>575.79999999999995</v>
      </c>
    </row>
    <row r="8462" spans="1:21" x14ac:dyDescent="0.2">
      <c r="A8462">
        <v>8461</v>
      </c>
      <c r="B8462" s="1">
        <v>41065</v>
      </c>
      <c r="C8462" t="s">
        <v>24</v>
      </c>
      <c r="D8462" s="7">
        <v>323</v>
      </c>
      <c r="E8462" s="7">
        <v>48</v>
      </c>
      <c r="F8462" s="7">
        <f t="shared" si="132"/>
        <v>3</v>
      </c>
      <c r="G8462" s="7" t="str">
        <f>LOOKUP(H8462,[1]startdates!$A$2:$A$10,[1]startdates!$B$2:$B$10)</f>
        <v>C</v>
      </c>
      <c r="H8462">
        <v>3</v>
      </c>
      <c r="I8462" s="7">
        <v>688.8</v>
      </c>
      <c r="J8462" s="7">
        <v>474.8</v>
      </c>
      <c r="K8462" s="7">
        <v>523</v>
      </c>
      <c r="L8462" s="7">
        <v>471.5</v>
      </c>
      <c r="M8462" s="7">
        <v>386.9</v>
      </c>
      <c r="N8462" s="7">
        <v>262.39999999999998</v>
      </c>
      <c r="O8462" s="7">
        <v>162</v>
      </c>
      <c r="P8462" s="7">
        <v>494.6</v>
      </c>
    </row>
    <row r="8463" spans="1:21" x14ac:dyDescent="0.2">
      <c r="A8463">
        <v>8462</v>
      </c>
      <c r="B8463" s="1">
        <v>41065</v>
      </c>
      <c r="C8463" t="s">
        <v>24</v>
      </c>
      <c r="D8463" s="7">
        <v>323</v>
      </c>
      <c r="E8463" s="7">
        <v>48</v>
      </c>
      <c r="F8463" s="7">
        <f t="shared" si="132"/>
        <v>3</v>
      </c>
      <c r="G8463" s="7" t="str">
        <f>LOOKUP(H8463,[1]startdates!$A$2:$A$10,[1]startdates!$B$2:$B$10)</f>
        <v>C</v>
      </c>
      <c r="H8463">
        <v>3</v>
      </c>
      <c r="I8463" s="7">
        <v>517.9</v>
      </c>
      <c r="J8463" s="7">
        <v>521.6</v>
      </c>
      <c r="K8463" s="7">
        <v>541.70000000000005</v>
      </c>
      <c r="L8463" s="7">
        <v>439.5</v>
      </c>
      <c r="M8463" s="7">
        <v>405.1</v>
      </c>
      <c r="N8463" s="7">
        <v>250.2</v>
      </c>
      <c r="O8463" s="7">
        <v>180</v>
      </c>
      <c r="P8463" s="7">
        <v>531.1</v>
      </c>
    </row>
    <row r="8464" spans="1:21" x14ac:dyDescent="0.2">
      <c r="A8464">
        <v>8463</v>
      </c>
      <c r="B8464" s="1">
        <v>41065</v>
      </c>
      <c r="C8464" t="s">
        <v>24</v>
      </c>
      <c r="D8464" s="7">
        <v>323</v>
      </c>
      <c r="E8464" s="7">
        <v>48</v>
      </c>
      <c r="F8464" s="7">
        <f t="shared" si="132"/>
        <v>3</v>
      </c>
      <c r="G8464" s="7" t="str">
        <f>LOOKUP(H8464,[1]startdates!$A$2:$A$10,[1]startdates!$B$2:$B$10)</f>
        <v>C</v>
      </c>
      <c r="H8464">
        <v>3</v>
      </c>
      <c r="I8464" s="7">
        <v>659.1</v>
      </c>
      <c r="J8464" s="7">
        <v>564.4</v>
      </c>
      <c r="K8464" s="7">
        <v>534.5</v>
      </c>
      <c r="M8464" s="7">
        <v>365.8</v>
      </c>
      <c r="N8464" s="7">
        <v>224.9</v>
      </c>
      <c r="O8464" s="7">
        <v>171.9</v>
      </c>
      <c r="P8464" s="7">
        <v>443.4</v>
      </c>
    </row>
    <row r="8465" spans="1:21" x14ac:dyDescent="0.2">
      <c r="A8465">
        <v>8464</v>
      </c>
      <c r="B8465" s="1">
        <v>41065</v>
      </c>
      <c r="C8465" t="s">
        <v>24</v>
      </c>
      <c r="D8465" s="7">
        <v>323</v>
      </c>
      <c r="E8465" s="7">
        <v>48</v>
      </c>
      <c r="F8465" s="7">
        <f t="shared" si="132"/>
        <v>3</v>
      </c>
      <c r="G8465" s="7" t="str">
        <f>LOOKUP(H8465,[1]startdates!$A$2:$A$10,[1]startdates!$B$2:$B$10)</f>
        <v>C</v>
      </c>
      <c r="H8465">
        <v>3</v>
      </c>
      <c r="I8465" s="7">
        <v>591.70000000000005</v>
      </c>
      <c r="J8465" s="7">
        <v>640.4</v>
      </c>
      <c r="K8465" s="7">
        <v>643.9</v>
      </c>
      <c r="M8465" s="7">
        <v>382.9</v>
      </c>
      <c r="N8465" s="7">
        <v>264.5</v>
      </c>
      <c r="O8465" s="7">
        <v>184.4</v>
      </c>
      <c r="P8465" s="7">
        <v>494</v>
      </c>
    </row>
    <row r="8466" spans="1:21" x14ac:dyDescent="0.2">
      <c r="A8466">
        <v>8465</v>
      </c>
      <c r="B8466" s="1">
        <v>41065</v>
      </c>
      <c r="C8466" t="s">
        <v>24</v>
      </c>
      <c r="D8466" s="7">
        <v>323</v>
      </c>
      <c r="E8466" s="7">
        <v>48</v>
      </c>
      <c r="F8466" s="7">
        <f t="shared" si="132"/>
        <v>3</v>
      </c>
      <c r="G8466" s="7" t="str">
        <f>LOOKUP(H8466,[1]startdates!$A$2:$A$10,[1]startdates!$B$2:$B$10)</f>
        <v>C</v>
      </c>
      <c r="H8466">
        <v>3</v>
      </c>
      <c r="I8466" s="7">
        <v>709.4</v>
      </c>
      <c r="J8466" s="7">
        <v>526.4</v>
      </c>
      <c r="M8466" s="7">
        <v>350.5</v>
      </c>
      <c r="N8466" s="7">
        <v>235.6</v>
      </c>
      <c r="O8466" s="7">
        <v>163.5</v>
      </c>
    </row>
    <row r="8467" spans="1:21" x14ac:dyDescent="0.2">
      <c r="A8467">
        <v>8466</v>
      </c>
      <c r="B8467" s="1">
        <v>41065</v>
      </c>
      <c r="C8467" t="s">
        <v>24</v>
      </c>
      <c r="D8467" s="7">
        <v>323</v>
      </c>
      <c r="E8467" s="7">
        <v>48</v>
      </c>
      <c r="F8467" s="7">
        <f t="shared" si="132"/>
        <v>3</v>
      </c>
      <c r="G8467" s="7" t="str">
        <f>LOOKUP(H8467,[1]startdates!$A$2:$A$10,[1]startdates!$B$2:$B$10)</f>
        <v>C</v>
      </c>
      <c r="H8467">
        <v>3</v>
      </c>
      <c r="I8467" s="7">
        <v>645.6</v>
      </c>
      <c r="J8467" s="7">
        <v>537.6</v>
      </c>
      <c r="M8467" s="7">
        <v>329.8</v>
      </c>
      <c r="N8467" s="7">
        <v>243</v>
      </c>
      <c r="O8467" s="7">
        <v>168</v>
      </c>
    </row>
    <row r="8468" spans="1:21" x14ac:dyDescent="0.2">
      <c r="A8468">
        <v>8467</v>
      </c>
      <c r="B8468" s="1">
        <v>41065</v>
      </c>
      <c r="C8468" t="s">
        <v>24</v>
      </c>
      <c r="D8468" s="7">
        <v>323</v>
      </c>
      <c r="E8468" s="7">
        <v>48</v>
      </c>
      <c r="F8468" s="7">
        <f t="shared" si="132"/>
        <v>3</v>
      </c>
      <c r="G8468" s="7" t="str">
        <f>LOOKUP(H8468,[1]startdates!$A$2:$A$10,[1]startdates!$B$2:$B$10)</f>
        <v>C</v>
      </c>
      <c r="H8468">
        <v>3</v>
      </c>
      <c r="I8468" s="7">
        <v>719.2</v>
      </c>
      <c r="J8468" s="7">
        <v>552.1</v>
      </c>
      <c r="M8468" s="7">
        <v>365.8</v>
      </c>
      <c r="N8468" s="7">
        <v>244.8</v>
      </c>
      <c r="O8468" s="7">
        <v>181.6</v>
      </c>
    </row>
    <row r="8469" spans="1:21" x14ac:dyDescent="0.2">
      <c r="A8469">
        <v>8468</v>
      </c>
      <c r="B8469" s="1">
        <v>41065</v>
      </c>
      <c r="C8469" t="s">
        <v>24</v>
      </c>
      <c r="D8469" s="7">
        <v>323</v>
      </c>
      <c r="E8469" s="7">
        <v>48</v>
      </c>
      <c r="F8469" s="7">
        <f t="shared" si="132"/>
        <v>3</v>
      </c>
      <c r="G8469" s="7" t="str">
        <f>LOOKUP(H8469,[1]startdates!$A$2:$A$10,[1]startdates!$B$2:$B$10)</f>
        <v>C</v>
      </c>
      <c r="H8469">
        <v>3</v>
      </c>
      <c r="I8469" s="7">
        <v>617.29999999999995</v>
      </c>
      <c r="J8469" s="7">
        <v>542.1</v>
      </c>
      <c r="M8469" s="7">
        <v>307.39999999999998</v>
      </c>
      <c r="N8469" s="7">
        <v>209.9</v>
      </c>
      <c r="O8469" s="7">
        <v>187.6</v>
      </c>
    </row>
    <row r="8470" spans="1:21" x14ac:dyDescent="0.2">
      <c r="A8470">
        <v>8469</v>
      </c>
      <c r="B8470" s="1">
        <v>41065</v>
      </c>
      <c r="C8470" t="s">
        <v>24</v>
      </c>
      <c r="D8470" s="7">
        <v>323</v>
      </c>
      <c r="E8470" s="7">
        <v>48</v>
      </c>
      <c r="F8470" s="7">
        <f t="shared" si="132"/>
        <v>3</v>
      </c>
      <c r="G8470" s="7" t="str">
        <f>LOOKUP(H8470,[1]startdates!$A$2:$A$10,[1]startdates!$B$2:$B$10)</f>
        <v>C</v>
      </c>
      <c r="H8470">
        <v>3</v>
      </c>
      <c r="I8470" s="7">
        <v>729.4</v>
      </c>
      <c r="J8470" s="7">
        <v>561.70000000000005</v>
      </c>
      <c r="N8470" s="7">
        <v>228.3</v>
      </c>
      <c r="O8470" s="7">
        <v>177.1</v>
      </c>
    </row>
    <row r="8471" spans="1:21" x14ac:dyDescent="0.2">
      <c r="A8471">
        <v>8470</v>
      </c>
      <c r="B8471" s="1">
        <v>41065</v>
      </c>
      <c r="C8471" t="s">
        <v>24</v>
      </c>
      <c r="D8471" s="7">
        <v>323</v>
      </c>
      <c r="E8471" s="7">
        <v>48</v>
      </c>
      <c r="F8471" s="7">
        <f t="shared" si="132"/>
        <v>3</v>
      </c>
      <c r="G8471" s="7" t="str">
        <f>LOOKUP(H8471,[1]startdates!$A$2:$A$10,[1]startdates!$B$2:$B$10)</f>
        <v>C</v>
      </c>
      <c r="H8471">
        <v>3</v>
      </c>
      <c r="I8471" s="7">
        <v>713.3</v>
      </c>
      <c r="N8471" s="7">
        <v>240</v>
      </c>
      <c r="O8471" s="7">
        <v>185.7</v>
      </c>
    </row>
    <row r="8472" spans="1:21" x14ac:dyDescent="0.2">
      <c r="A8472">
        <v>8471</v>
      </c>
      <c r="B8472" s="1">
        <v>41065</v>
      </c>
      <c r="C8472" t="s">
        <v>24</v>
      </c>
      <c r="D8472" s="7">
        <v>323</v>
      </c>
      <c r="E8472" s="7">
        <v>48</v>
      </c>
      <c r="F8472" s="7">
        <f t="shared" si="132"/>
        <v>3</v>
      </c>
      <c r="G8472" s="7" t="str">
        <f>LOOKUP(H8472,[1]startdates!$A$2:$A$10,[1]startdates!$B$2:$B$10)</f>
        <v>C</v>
      </c>
      <c r="H8472">
        <v>3</v>
      </c>
      <c r="I8472" s="7">
        <v>751.3</v>
      </c>
      <c r="N8472" s="7">
        <v>265.10000000000002</v>
      </c>
    </row>
    <row r="8473" spans="1:21" x14ac:dyDescent="0.2">
      <c r="A8473">
        <v>8472</v>
      </c>
      <c r="B8473" s="1">
        <v>41065</v>
      </c>
      <c r="C8473" t="s">
        <v>24</v>
      </c>
      <c r="D8473" s="7">
        <v>323</v>
      </c>
      <c r="E8473" s="7">
        <v>48</v>
      </c>
      <c r="F8473" s="7">
        <f t="shared" si="132"/>
        <v>3</v>
      </c>
      <c r="G8473" s="7" t="str">
        <f>LOOKUP(H8473,[1]startdates!$A$2:$A$10,[1]startdates!$B$2:$B$10)</f>
        <v>C</v>
      </c>
      <c r="H8473">
        <v>3</v>
      </c>
      <c r="I8473" s="7">
        <v>625</v>
      </c>
    </row>
    <row r="8474" spans="1:21" x14ac:dyDescent="0.2">
      <c r="A8474">
        <v>8473</v>
      </c>
      <c r="B8474" s="1">
        <v>41065</v>
      </c>
      <c r="C8474" t="s">
        <v>28</v>
      </c>
      <c r="D8474" s="7">
        <v>323</v>
      </c>
      <c r="E8474" s="7">
        <v>48</v>
      </c>
      <c r="F8474" s="7">
        <f t="shared" si="132"/>
        <v>3</v>
      </c>
      <c r="G8474" s="7" t="str">
        <f>LOOKUP(H8474,[1]startdates!$A$2:$A$10,[1]startdates!$B$2:$B$10)</f>
        <v>SMr</v>
      </c>
      <c r="H8474">
        <v>4</v>
      </c>
      <c r="I8474" s="7">
        <v>578.6</v>
      </c>
      <c r="J8474" s="7">
        <v>531.1</v>
      </c>
      <c r="K8474" s="7">
        <v>619.70000000000005</v>
      </c>
      <c r="L8474" s="7">
        <v>399.7</v>
      </c>
      <c r="M8474" s="7">
        <v>320.2</v>
      </c>
      <c r="N8474" s="7">
        <v>176.2</v>
      </c>
      <c r="O8474" s="7">
        <v>165.7</v>
      </c>
      <c r="P8474" s="7">
        <v>467.9</v>
      </c>
      <c r="Q8474" s="7">
        <v>319.7</v>
      </c>
      <c r="U8474" s="7">
        <v>592.9</v>
      </c>
    </row>
    <row r="8475" spans="1:21" x14ac:dyDescent="0.2">
      <c r="A8475">
        <v>8474</v>
      </c>
      <c r="B8475" s="1">
        <v>41065</v>
      </c>
      <c r="C8475" t="s">
        <v>28</v>
      </c>
      <c r="D8475" s="7">
        <v>323</v>
      </c>
      <c r="E8475" s="7">
        <v>48</v>
      </c>
      <c r="F8475" s="7">
        <f t="shared" si="132"/>
        <v>3</v>
      </c>
      <c r="G8475" s="7" t="str">
        <f>LOOKUP(H8475,[1]startdates!$A$2:$A$10,[1]startdates!$B$2:$B$10)</f>
        <v>SMr</v>
      </c>
      <c r="H8475">
        <v>4</v>
      </c>
      <c r="I8475" s="7">
        <v>624</v>
      </c>
      <c r="J8475" s="7">
        <v>540.1</v>
      </c>
      <c r="K8475" s="7">
        <v>542.20000000000005</v>
      </c>
      <c r="L8475" s="7">
        <v>415.9</v>
      </c>
      <c r="M8475" s="7">
        <v>307.2</v>
      </c>
      <c r="N8475" s="7">
        <v>240.4</v>
      </c>
      <c r="O8475" s="7">
        <v>159.69999999999999</v>
      </c>
      <c r="Q8475" s="7">
        <v>325.39999999999998</v>
      </c>
      <c r="U8475" s="7">
        <v>478.5</v>
      </c>
    </row>
    <row r="8476" spans="1:21" x14ac:dyDescent="0.2">
      <c r="A8476">
        <v>8475</v>
      </c>
      <c r="B8476" s="1">
        <v>41065</v>
      </c>
      <c r="C8476" t="s">
        <v>28</v>
      </c>
      <c r="D8476" s="7">
        <v>323</v>
      </c>
      <c r="E8476" s="7">
        <v>48</v>
      </c>
      <c r="F8476" s="7">
        <f t="shared" si="132"/>
        <v>3</v>
      </c>
      <c r="G8476" s="7" t="str">
        <f>LOOKUP(H8476,[1]startdates!$A$2:$A$10,[1]startdates!$B$2:$B$10)</f>
        <v>SMr</v>
      </c>
      <c r="H8476">
        <v>4</v>
      </c>
      <c r="I8476" s="7">
        <v>586.5</v>
      </c>
      <c r="K8476" s="7">
        <v>552.1</v>
      </c>
      <c r="M8476" s="7">
        <v>335.4</v>
      </c>
      <c r="N8476" s="7">
        <v>192.7</v>
      </c>
      <c r="O8476" s="7">
        <v>187.7</v>
      </c>
      <c r="U8476" s="7">
        <v>549.6</v>
      </c>
    </row>
    <row r="8477" spans="1:21" x14ac:dyDescent="0.2">
      <c r="A8477">
        <v>8476</v>
      </c>
      <c r="B8477" s="1">
        <v>41065</v>
      </c>
      <c r="C8477" t="s">
        <v>28</v>
      </c>
      <c r="D8477" s="7">
        <v>323</v>
      </c>
      <c r="E8477" s="7">
        <v>48</v>
      </c>
      <c r="F8477" s="7">
        <f t="shared" si="132"/>
        <v>3</v>
      </c>
      <c r="G8477" s="7" t="str">
        <f>LOOKUP(H8477,[1]startdates!$A$2:$A$10,[1]startdates!$B$2:$B$10)</f>
        <v>SMr</v>
      </c>
      <c r="H8477">
        <v>4</v>
      </c>
      <c r="I8477" s="7">
        <v>549.4</v>
      </c>
      <c r="K8477" s="7">
        <v>605.79999999999995</v>
      </c>
      <c r="M8477" s="7">
        <v>359.8</v>
      </c>
      <c r="N8477" s="7">
        <v>187.8</v>
      </c>
      <c r="O8477" s="7">
        <v>189.2</v>
      </c>
    </row>
    <row r="8478" spans="1:21" x14ac:dyDescent="0.2">
      <c r="A8478">
        <v>8477</v>
      </c>
      <c r="B8478" s="1">
        <v>41065</v>
      </c>
      <c r="C8478" t="s">
        <v>28</v>
      </c>
      <c r="D8478" s="7">
        <v>323</v>
      </c>
      <c r="E8478" s="7">
        <v>48</v>
      </c>
      <c r="F8478" s="7">
        <f t="shared" si="132"/>
        <v>3</v>
      </c>
      <c r="G8478" s="7" t="str">
        <f>LOOKUP(H8478,[1]startdates!$A$2:$A$10,[1]startdates!$B$2:$B$10)</f>
        <v>SMr</v>
      </c>
      <c r="H8478">
        <v>4</v>
      </c>
      <c r="I8478" s="7">
        <v>580.6</v>
      </c>
      <c r="M8478" s="7">
        <v>305.89999999999998</v>
      </c>
      <c r="N8478" s="7">
        <v>277.2</v>
      </c>
      <c r="O8478" s="7">
        <v>162</v>
      </c>
    </row>
    <row r="8479" spans="1:21" x14ac:dyDescent="0.2">
      <c r="A8479">
        <v>8478</v>
      </c>
      <c r="B8479" s="1">
        <v>41065</v>
      </c>
      <c r="C8479" t="s">
        <v>28</v>
      </c>
      <c r="D8479" s="7">
        <v>323</v>
      </c>
      <c r="E8479" s="7">
        <v>48</v>
      </c>
      <c r="F8479" s="7">
        <f t="shared" si="132"/>
        <v>3</v>
      </c>
      <c r="G8479" s="7" t="str">
        <f>LOOKUP(H8479,[1]startdates!$A$2:$A$10,[1]startdates!$B$2:$B$10)</f>
        <v>SMr</v>
      </c>
      <c r="H8479">
        <v>4</v>
      </c>
      <c r="I8479" s="7">
        <v>599.4</v>
      </c>
      <c r="M8479" s="7">
        <v>364.1</v>
      </c>
      <c r="N8479" s="7">
        <v>250.6</v>
      </c>
      <c r="O8479" s="7">
        <v>164.5</v>
      </c>
    </row>
    <row r="8480" spans="1:21" x14ac:dyDescent="0.2">
      <c r="A8480">
        <v>8479</v>
      </c>
      <c r="B8480" s="1">
        <v>41065</v>
      </c>
      <c r="C8480" t="s">
        <v>28</v>
      </c>
      <c r="D8480" s="7">
        <v>323</v>
      </c>
      <c r="E8480" s="7">
        <v>48</v>
      </c>
      <c r="F8480" s="7">
        <f t="shared" si="132"/>
        <v>3</v>
      </c>
      <c r="G8480" s="7" t="str">
        <f>LOOKUP(H8480,[1]startdates!$A$2:$A$10,[1]startdates!$B$2:$B$10)</f>
        <v>SMr</v>
      </c>
      <c r="H8480">
        <v>4</v>
      </c>
      <c r="I8480" s="7">
        <v>642.4</v>
      </c>
      <c r="M8480" s="7">
        <v>370.7</v>
      </c>
      <c r="N8480" s="7">
        <v>194.9</v>
      </c>
      <c r="O8480" s="7">
        <v>159.80000000000001</v>
      </c>
    </row>
    <row r="8481" spans="1:19" x14ac:dyDescent="0.2">
      <c r="A8481">
        <v>8480</v>
      </c>
      <c r="B8481" s="1">
        <v>41065</v>
      </c>
      <c r="C8481" t="s">
        <v>28</v>
      </c>
      <c r="D8481" s="7">
        <v>323</v>
      </c>
      <c r="E8481" s="7">
        <v>48</v>
      </c>
      <c r="F8481" s="7">
        <f t="shared" si="132"/>
        <v>3</v>
      </c>
      <c r="G8481" s="7" t="str">
        <f>LOOKUP(H8481,[1]startdates!$A$2:$A$10,[1]startdates!$B$2:$B$10)</f>
        <v>SMr</v>
      </c>
      <c r="H8481">
        <v>4</v>
      </c>
      <c r="I8481" s="7">
        <v>690.6</v>
      </c>
      <c r="M8481" s="7">
        <v>365.6</v>
      </c>
      <c r="N8481" s="7">
        <v>230.6</v>
      </c>
      <c r="O8481" s="7">
        <v>168.9</v>
      </c>
    </row>
    <row r="8482" spans="1:19" x14ac:dyDescent="0.2">
      <c r="A8482">
        <v>8481</v>
      </c>
      <c r="B8482" s="1">
        <v>41065</v>
      </c>
      <c r="C8482" t="s">
        <v>28</v>
      </c>
      <c r="D8482" s="7">
        <v>323</v>
      </c>
      <c r="E8482" s="7">
        <v>48</v>
      </c>
      <c r="F8482" s="7">
        <f t="shared" si="132"/>
        <v>3</v>
      </c>
      <c r="G8482" s="7" t="str">
        <f>LOOKUP(H8482,[1]startdates!$A$2:$A$10,[1]startdates!$B$2:$B$10)</f>
        <v>SMr</v>
      </c>
      <c r="H8482">
        <v>4</v>
      </c>
      <c r="I8482" s="7">
        <v>708.8</v>
      </c>
      <c r="N8482" s="7">
        <v>239.5</v>
      </c>
      <c r="O8482" s="7">
        <v>165.5</v>
      </c>
    </row>
    <row r="8483" spans="1:19" x14ac:dyDescent="0.2">
      <c r="A8483">
        <v>8482</v>
      </c>
      <c r="B8483" s="1">
        <v>41065</v>
      </c>
      <c r="C8483" t="s">
        <v>28</v>
      </c>
      <c r="D8483" s="7">
        <v>323</v>
      </c>
      <c r="E8483" s="7">
        <v>48</v>
      </c>
      <c r="F8483" s="7">
        <f t="shared" si="132"/>
        <v>3</v>
      </c>
      <c r="G8483" s="7" t="str">
        <f>LOOKUP(H8483,[1]startdates!$A$2:$A$10,[1]startdates!$B$2:$B$10)</f>
        <v>SMr</v>
      </c>
      <c r="H8483">
        <v>4</v>
      </c>
      <c r="I8483" s="7">
        <v>684.9</v>
      </c>
      <c r="N8483" s="7">
        <v>247.1</v>
      </c>
      <c r="O8483" s="7">
        <v>165.5</v>
      </c>
    </row>
    <row r="8484" spans="1:19" x14ac:dyDescent="0.2">
      <c r="A8484">
        <v>8483</v>
      </c>
      <c r="B8484" s="1">
        <v>41065</v>
      </c>
      <c r="C8484" t="s">
        <v>24</v>
      </c>
      <c r="D8484" s="7">
        <v>323</v>
      </c>
      <c r="E8484" s="7">
        <v>48</v>
      </c>
      <c r="F8484" s="7">
        <f t="shared" si="132"/>
        <v>3</v>
      </c>
      <c r="G8484" s="7" t="str">
        <f>LOOKUP(H8484,[1]startdates!$A$2:$A$10,[1]startdates!$B$2:$B$10)</f>
        <v>C</v>
      </c>
      <c r="H8484">
        <v>5</v>
      </c>
      <c r="I8484" s="7">
        <v>659.1</v>
      </c>
      <c r="J8484" s="7">
        <v>580.6</v>
      </c>
      <c r="K8484" s="7">
        <v>583.20000000000005</v>
      </c>
      <c r="L8484" s="7">
        <v>440.6</v>
      </c>
      <c r="M8484" s="7">
        <v>386.4</v>
      </c>
      <c r="N8484" s="7">
        <v>201.4</v>
      </c>
      <c r="O8484" s="7">
        <v>160</v>
      </c>
      <c r="P8484" s="7">
        <v>472.8</v>
      </c>
      <c r="Q8484" s="7">
        <v>364.4</v>
      </c>
      <c r="R8484" s="7">
        <v>273.3</v>
      </c>
    </row>
    <row r="8485" spans="1:19" x14ac:dyDescent="0.2">
      <c r="A8485">
        <v>8484</v>
      </c>
      <c r="B8485" s="1">
        <v>41065</v>
      </c>
      <c r="C8485" t="s">
        <v>24</v>
      </c>
      <c r="D8485" s="7">
        <v>323</v>
      </c>
      <c r="E8485" s="7">
        <v>48</v>
      </c>
      <c r="F8485" s="7">
        <f t="shared" si="132"/>
        <v>3</v>
      </c>
      <c r="G8485" s="7" t="str">
        <f>LOOKUP(H8485,[1]startdates!$A$2:$A$10,[1]startdates!$B$2:$B$10)</f>
        <v>C</v>
      </c>
      <c r="H8485">
        <v>5</v>
      </c>
      <c r="I8485" s="7">
        <v>550.1</v>
      </c>
      <c r="J8485" s="7">
        <v>567.1</v>
      </c>
      <c r="K8485" s="7">
        <v>680.6</v>
      </c>
      <c r="L8485" s="7">
        <v>426.7</v>
      </c>
      <c r="M8485" s="7">
        <v>333.4</v>
      </c>
      <c r="N8485" s="7">
        <v>202.6</v>
      </c>
      <c r="O8485" s="7">
        <v>174.6</v>
      </c>
      <c r="P8485" s="7">
        <v>420.2</v>
      </c>
    </row>
    <row r="8486" spans="1:19" x14ac:dyDescent="0.2">
      <c r="A8486">
        <v>8485</v>
      </c>
      <c r="B8486" s="1">
        <v>41065</v>
      </c>
      <c r="C8486" t="s">
        <v>24</v>
      </c>
      <c r="D8486" s="7">
        <v>323</v>
      </c>
      <c r="E8486" s="7">
        <v>48</v>
      </c>
      <c r="F8486" s="7">
        <f t="shared" si="132"/>
        <v>3</v>
      </c>
      <c r="G8486" s="7" t="str">
        <f>LOOKUP(H8486,[1]startdates!$A$2:$A$10,[1]startdates!$B$2:$B$10)</f>
        <v>C</v>
      </c>
      <c r="H8486">
        <v>5</v>
      </c>
      <c r="I8486" s="7">
        <v>714.4</v>
      </c>
      <c r="J8486" s="7">
        <v>445.8</v>
      </c>
      <c r="K8486" s="7">
        <v>585</v>
      </c>
      <c r="L8486" s="7">
        <v>412.3</v>
      </c>
      <c r="M8486" s="7">
        <v>335.3</v>
      </c>
      <c r="N8486" s="7">
        <v>220.2</v>
      </c>
      <c r="O8486" s="7">
        <v>198.5</v>
      </c>
      <c r="P8486" s="7">
        <v>510</v>
      </c>
    </row>
    <row r="8487" spans="1:19" x14ac:dyDescent="0.2">
      <c r="A8487">
        <v>8486</v>
      </c>
      <c r="B8487" s="1">
        <v>41065</v>
      </c>
      <c r="C8487" t="s">
        <v>24</v>
      </c>
      <c r="D8487" s="7">
        <v>323</v>
      </c>
      <c r="E8487" s="7">
        <v>48</v>
      </c>
      <c r="F8487" s="7">
        <f t="shared" si="132"/>
        <v>3</v>
      </c>
      <c r="G8487" s="7" t="str">
        <f>LOOKUP(H8487,[1]startdates!$A$2:$A$10,[1]startdates!$B$2:$B$10)</f>
        <v>C</v>
      </c>
      <c r="H8487">
        <v>5</v>
      </c>
      <c r="I8487" s="7">
        <v>787.9</v>
      </c>
      <c r="J8487" s="7">
        <v>475.1</v>
      </c>
      <c r="K8487" s="7">
        <v>600.9</v>
      </c>
      <c r="M8487" s="7">
        <v>316.60000000000002</v>
      </c>
      <c r="N8487" s="7">
        <v>214.2</v>
      </c>
      <c r="O8487" s="7">
        <v>155.30000000000001</v>
      </c>
    </row>
    <row r="8488" spans="1:19" x14ac:dyDescent="0.2">
      <c r="A8488">
        <v>8487</v>
      </c>
      <c r="B8488" s="1">
        <v>41065</v>
      </c>
      <c r="C8488" t="s">
        <v>24</v>
      </c>
      <c r="D8488" s="7">
        <v>323</v>
      </c>
      <c r="E8488" s="7">
        <v>48</v>
      </c>
      <c r="F8488" s="7">
        <f t="shared" si="132"/>
        <v>3</v>
      </c>
      <c r="G8488" s="7" t="str">
        <f>LOOKUP(H8488,[1]startdates!$A$2:$A$10,[1]startdates!$B$2:$B$10)</f>
        <v>C</v>
      </c>
      <c r="H8488">
        <v>5</v>
      </c>
      <c r="I8488" s="7">
        <v>737</v>
      </c>
      <c r="K8488" s="7">
        <v>569.70000000000005</v>
      </c>
      <c r="M8488" s="7">
        <v>316.2</v>
      </c>
      <c r="N8488" s="7">
        <v>223.3</v>
      </c>
      <c r="O8488" s="7">
        <v>181.3</v>
      </c>
    </row>
    <row r="8489" spans="1:19" x14ac:dyDescent="0.2">
      <c r="A8489">
        <v>8488</v>
      </c>
      <c r="B8489" s="1">
        <v>41065</v>
      </c>
      <c r="C8489" t="s">
        <v>24</v>
      </c>
      <c r="D8489" s="7">
        <v>323</v>
      </c>
      <c r="E8489" s="7">
        <v>48</v>
      </c>
      <c r="F8489" s="7">
        <f t="shared" ref="F8489:F8552" si="133">WEEKDAY(B8489)</f>
        <v>3</v>
      </c>
      <c r="G8489" s="7" t="str">
        <f>LOOKUP(H8489,[1]startdates!$A$2:$A$10,[1]startdates!$B$2:$B$10)</f>
        <v>C</v>
      </c>
      <c r="H8489">
        <v>5</v>
      </c>
      <c r="I8489" s="7">
        <v>625.4</v>
      </c>
      <c r="N8489" s="7">
        <v>177.1</v>
      </c>
      <c r="O8489" s="7">
        <v>177</v>
      </c>
    </row>
    <row r="8490" spans="1:19" x14ac:dyDescent="0.2">
      <c r="A8490">
        <v>8489</v>
      </c>
      <c r="B8490" s="1">
        <v>41065</v>
      </c>
      <c r="C8490" t="s">
        <v>24</v>
      </c>
      <c r="D8490" s="7">
        <v>323</v>
      </c>
      <c r="E8490" s="7">
        <v>48</v>
      </c>
      <c r="F8490" s="7">
        <f t="shared" si="133"/>
        <v>3</v>
      </c>
      <c r="G8490" s="7" t="str">
        <f>LOOKUP(H8490,[1]startdates!$A$2:$A$10,[1]startdates!$B$2:$B$10)</f>
        <v>C</v>
      </c>
      <c r="H8490">
        <v>5</v>
      </c>
      <c r="I8490" s="7">
        <v>625.9</v>
      </c>
      <c r="N8490" s="7">
        <v>233.8</v>
      </c>
      <c r="O8490" s="7">
        <v>169.9</v>
      </c>
    </row>
    <row r="8491" spans="1:19" x14ac:dyDescent="0.2">
      <c r="A8491">
        <v>8490</v>
      </c>
      <c r="B8491" s="1">
        <v>41065</v>
      </c>
      <c r="C8491" t="s">
        <v>24</v>
      </c>
      <c r="D8491" s="7">
        <v>323</v>
      </c>
      <c r="E8491" s="7">
        <v>48</v>
      </c>
      <c r="F8491" s="7">
        <f t="shared" si="133"/>
        <v>3</v>
      </c>
      <c r="G8491" s="7" t="str">
        <f>LOOKUP(H8491,[1]startdates!$A$2:$A$10,[1]startdates!$B$2:$B$10)</f>
        <v>C</v>
      </c>
      <c r="H8491">
        <v>5</v>
      </c>
      <c r="I8491" s="7">
        <v>669.3</v>
      </c>
      <c r="N8491" s="7">
        <v>204.6</v>
      </c>
      <c r="O8491" s="7">
        <v>159</v>
      </c>
    </row>
    <row r="8492" spans="1:19" x14ac:dyDescent="0.2">
      <c r="A8492">
        <v>8491</v>
      </c>
      <c r="B8492" s="1">
        <v>41065</v>
      </c>
      <c r="C8492" t="s">
        <v>24</v>
      </c>
      <c r="D8492" s="7">
        <v>323</v>
      </c>
      <c r="E8492" s="7">
        <v>48</v>
      </c>
      <c r="F8492" s="7">
        <f t="shared" si="133"/>
        <v>3</v>
      </c>
      <c r="G8492" s="7" t="str">
        <f>LOOKUP(H8492,[1]startdates!$A$2:$A$10,[1]startdates!$B$2:$B$10)</f>
        <v>C</v>
      </c>
      <c r="H8492">
        <v>5</v>
      </c>
      <c r="I8492" s="7">
        <v>745.8</v>
      </c>
      <c r="N8492" s="7">
        <v>216.6</v>
      </c>
      <c r="O8492" s="7">
        <v>147.9</v>
      </c>
    </row>
    <row r="8493" spans="1:19" x14ac:dyDescent="0.2">
      <c r="A8493">
        <v>8492</v>
      </c>
      <c r="B8493" s="1">
        <v>41065</v>
      </c>
      <c r="C8493" t="s">
        <v>24</v>
      </c>
      <c r="D8493" s="7">
        <v>323</v>
      </c>
      <c r="E8493" s="7">
        <v>48</v>
      </c>
      <c r="F8493" s="7">
        <f t="shared" si="133"/>
        <v>3</v>
      </c>
      <c r="G8493" s="7" t="str">
        <f>LOOKUP(H8493,[1]startdates!$A$2:$A$10,[1]startdates!$B$2:$B$10)</f>
        <v>C</v>
      </c>
      <c r="H8493">
        <v>5</v>
      </c>
      <c r="I8493" s="7">
        <v>648.1</v>
      </c>
      <c r="N8493" s="7">
        <v>255.3</v>
      </c>
      <c r="O8493" s="7">
        <v>178.1</v>
      </c>
    </row>
    <row r="8494" spans="1:19" x14ac:dyDescent="0.2">
      <c r="A8494">
        <v>8493</v>
      </c>
      <c r="B8494" s="1">
        <v>41065</v>
      </c>
      <c r="C8494" t="s">
        <v>24</v>
      </c>
      <c r="D8494" s="7">
        <v>323</v>
      </c>
      <c r="E8494" s="7">
        <v>48</v>
      </c>
      <c r="F8494" s="7">
        <f t="shared" si="133"/>
        <v>3</v>
      </c>
      <c r="G8494" s="7" t="str">
        <f>LOOKUP(H8494,[1]startdates!$A$2:$A$10,[1]startdates!$B$2:$B$10)</f>
        <v>C</v>
      </c>
      <c r="H8494">
        <v>5</v>
      </c>
      <c r="I8494" s="7">
        <v>637.29999999999995</v>
      </c>
      <c r="O8494" s="7">
        <v>150.30000000000001</v>
      </c>
    </row>
    <row r="8495" spans="1:19" x14ac:dyDescent="0.2">
      <c r="A8495">
        <v>8494</v>
      </c>
      <c r="B8495" s="1">
        <v>41065</v>
      </c>
      <c r="C8495" t="s">
        <v>28</v>
      </c>
      <c r="D8495" s="7">
        <v>323</v>
      </c>
      <c r="E8495" s="7">
        <v>48</v>
      </c>
      <c r="F8495" s="7">
        <f t="shared" si="133"/>
        <v>3</v>
      </c>
      <c r="G8495" s="7" t="str">
        <f>LOOKUP(H8495,[1]startdates!$A$2:$A$10,[1]startdates!$B$2:$B$10)</f>
        <v>FMr</v>
      </c>
      <c r="H8495">
        <v>6</v>
      </c>
      <c r="I8495" s="7">
        <v>627.79999999999995</v>
      </c>
      <c r="J8495" s="7">
        <v>482.3</v>
      </c>
      <c r="K8495" s="7">
        <v>538.6</v>
      </c>
      <c r="L8495" s="7">
        <v>459.6</v>
      </c>
      <c r="M8495" s="7">
        <v>303.7</v>
      </c>
      <c r="N8495" s="7">
        <v>192.6</v>
      </c>
      <c r="O8495" s="7">
        <v>145.6</v>
      </c>
      <c r="P8495" s="7">
        <v>446.6</v>
      </c>
      <c r="Q8495" s="7">
        <v>361.1</v>
      </c>
      <c r="R8495" s="7">
        <v>252.2</v>
      </c>
      <c r="S8495" s="7">
        <v>232.9</v>
      </c>
    </row>
    <row r="8496" spans="1:19" x14ac:dyDescent="0.2">
      <c r="A8496">
        <v>8495</v>
      </c>
      <c r="B8496" s="1">
        <v>41065</v>
      </c>
      <c r="C8496" t="s">
        <v>28</v>
      </c>
      <c r="D8496" s="7">
        <v>323</v>
      </c>
      <c r="E8496" s="7">
        <v>48</v>
      </c>
      <c r="F8496" s="7">
        <f t="shared" si="133"/>
        <v>3</v>
      </c>
      <c r="G8496" s="7" t="str">
        <f>LOOKUP(H8496,[1]startdates!$A$2:$A$10,[1]startdates!$B$2:$B$10)</f>
        <v>FMr</v>
      </c>
      <c r="H8496">
        <v>6</v>
      </c>
      <c r="I8496" s="7">
        <v>574</v>
      </c>
      <c r="K8496" s="7">
        <v>403.5</v>
      </c>
      <c r="M8496" s="7">
        <v>369.1</v>
      </c>
      <c r="N8496" s="7">
        <v>211</v>
      </c>
      <c r="O8496" s="7">
        <v>151.6</v>
      </c>
      <c r="P8496" s="7">
        <v>456.5</v>
      </c>
      <c r="Q8496" s="7">
        <v>347.4</v>
      </c>
      <c r="R8496" s="7">
        <v>241.2</v>
      </c>
      <c r="S8496" s="7">
        <v>260.8</v>
      </c>
    </row>
    <row r="8497" spans="1:22" x14ac:dyDescent="0.2">
      <c r="A8497">
        <v>8496</v>
      </c>
      <c r="B8497" s="1">
        <v>41065</v>
      </c>
      <c r="C8497" t="s">
        <v>28</v>
      </c>
      <c r="D8497" s="7">
        <v>323</v>
      </c>
      <c r="E8497" s="7">
        <v>48</v>
      </c>
      <c r="F8497" s="7">
        <f t="shared" si="133"/>
        <v>3</v>
      </c>
      <c r="G8497" s="7" t="str">
        <f>LOOKUP(H8497,[1]startdates!$A$2:$A$10,[1]startdates!$B$2:$B$10)</f>
        <v>FMr</v>
      </c>
      <c r="H8497">
        <v>6</v>
      </c>
      <c r="I8497" s="7">
        <v>579.5</v>
      </c>
      <c r="K8497" s="7">
        <v>441.8</v>
      </c>
      <c r="M8497" s="7">
        <v>343.9</v>
      </c>
      <c r="N8497" s="7">
        <v>216.8</v>
      </c>
      <c r="O8497" s="7">
        <v>163.5</v>
      </c>
      <c r="R8497" s="7">
        <v>243.5</v>
      </c>
    </row>
    <row r="8498" spans="1:22" x14ac:dyDescent="0.2">
      <c r="A8498">
        <v>8497</v>
      </c>
      <c r="B8498" s="1">
        <v>41065</v>
      </c>
      <c r="C8498" t="s">
        <v>28</v>
      </c>
      <c r="D8498" s="7">
        <v>323</v>
      </c>
      <c r="E8498" s="7">
        <v>48</v>
      </c>
      <c r="F8498" s="7">
        <f t="shared" si="133"/>
        <v>3</v>
      </c>
      <c r="G8498" s="7" t="str">
        <f>LOOKUP(H8498,[1]startdates!$A$2:$A$10,[1]startdates!$B$2:$B$10)</f>
        <v>FMr</v>
      </c>
      <c r="H8498">
        <v>6</v>
      </c>
      <c r="I8498" s="7">
        <v>601.9</v>
      </c>
      <c r="K8498" s="7">
        <v>507.2</v>
      </c>
      <c r="M8498" s="7">
        <v>312.89999999999998</v>
      </c>
      <c r="N8498" s="7">
        <v>220.9</v>
      </c>
      <c r="O8498" s="7">
        <v>151.1</v>
      </c>
    </row>
    <row r="8499" spans="1:22" x14ac:dyDescent="0.2">
      <c r="A8499">
        <v>8498</v>
      </c>
      <c r="B8499" s="1">
        <v>41065</v>
      </c>
      <c r="C8499" t="s">
        <v>28</v>
      </c>
      <c r="D8499" s="7">
        <v>323</v>
      </c>
      <c r="E8499" s="7">
        <v>48</v>
      </c>
      <c r="F8499" s="7">
        <f t="shared" si="133"/>
        <v>3</v>
      </c>
      <c r="G8499" s="7" t="str">
        <f>LOOKUP(H8499,[1]startdates!$A$2:$A$10,[1]startdates!$B$2:$B$10)</f>
        <v>FMr</v>
      </c>
      <c r="H8499">
        <v>6</v>
      </c>
      <c r="I8499" s="7">
        <v>532.6</v>
      </c>
      <c r="K8499" s="7">
        <v>483</v>
      </c>
      <c r="M8499" s="7">
        <v>327.8</v>
      </c>
      <c r="N8499" s="7">
        <v>196.4</v>
      </c>
      <c r="O8499" s="7">
        <v>150.4</v>
      </c>
    </row>
    <row r="8500" spans="1:22" x14ac:dyDescent="0.2">
      <c r="A8500">
        <v>8499</v>
      </c>
      <c r="B8500" s="1">
        <v>41065</v>
      </c>
      <c r="C8500" t="s">
        <v>28</v>
      </c>
      <c r="D8500" s="7">
        <v>323</v>
      </c>
      <c r="E8500" s="7">
        <v>48</v>
      </c>
      <c r="F8500" s="7">
        <f t="shared" si="133"/>
        <v>3</v>
      </c>
      <c r="G8500" s="7" t="str">
        <f>LOOKUP(H8500,[1]startdates!$A$2:$A$10,[1]startdates!$B$2:$B$10)</f>
        <v>FMr</v>
      </c>
      <c r="H8500">
        <v>6</v>
      </c>
      <c r="I8500" s="7">
        <v>518.9</v>
      </c>
      <c r="K8500" s="7">
        <v>483</v>
      </c>
      <c r="M8500" s="7">
        <v>301.60000000000002</v>
      </c>
      <c r="N8500" s="7">
        <v>201.2</v>
      </c>
      <c r="O8500" s="7">
        <v>185</v>
      </c>
    </row>
    <row r="8501" spans="1:22" x14ac:dyDescent="0.2">
      <c r="A8501">
        <v>8500</v>
      </c>
      <c r="B8501" s="1">
        <v>41065</v>
      </c>
      <c r="C8501" t="s">
        <v>28</v>
      </c>
      <c r="D8501" s="7">
        <v>323</v>
      </c>
      <c r="E8501" s="7">
        <v>48</v>
      </c>
      <c r="F8501" s="7">
        <f t="shared" si="133"/>
        <v>3</v>
      </c>
      <c r="G8501" s="7" t="str">
        <f>LOOKUP(H8501,[1]startdates!$A$2:$A$10,[1]startdates!$B$2:$B$10)</f>
        <v>FMr</v>
      </c>
      <c r="H8501">
        <v>6</v>
      </c>
      <c r="I8501" s="7">
        <v>585.4</v>
      </c>
      <c r="K8501" s="7">
        <v>536.70000000000005</v>
      </c>
      <c r="M8501" s="7">
        <v>309.8</v>
      </c>
      <c r="N8501" s="7">
        <v>197.8</v>
      </c>
      <c r="O8501" s="7">
        <v>158.5</v>
      </c>
    </row>
    <row r="8502" spans="1:22" x14ac:dyDescent="0.2">
      <c r="A8502">
        <v>8501</v>
      </c>
      <c r="B8502" s="1">
        <v>41065</v>
      </c>
      <c r="C8502" t="s">
        <v>28</v>
      </c>
      <c r="D8502" s="7">
        <v>323</v>
      </c>
      <c r="E8502" s="7">
        <v>48</v>
      </c>
      <c r="F8502" s="7">
        <f t="shared" si="133"/>
        <v>3</v>
      </c>
      <c r="G8502" s="7" t="str">
        <f>LOOKUP(H8502,[1]startdates!$A$2:$A$10,[1]startdates!$B$2:$B$10)</f>
        <v>FMr</v>
      </c>
      <c r="H8502">
        <v>6</v>
      </c>
      <c r="I8502" s="7">
        <v>569</v>
      </c>
      <c r="K8502" s="7">
        <v>457.6</v>
      </c>
      <c r="M8502" s="7">
        <v>342.5</v>
      </c>
      <c r="N8502" s="7">
        <v>235.9</v>
      </c>
      <c r="O8502" s="7">
        <v>153.80000000000001</v>
      </c>
    </row>
    <row r="8503" spans="1:22" x14ac:dyDescent="0.2">
      <c r="A8503">
        <v>8502</v>
      </c>
      <c r="B8503" s="1">
        <v>41065</v>
      </c>
      <c r="C8503" t="s">
        <v>28</v>
      </c>
      <c r="D8503" s="7">
        <v>323</v>
      </c>
      <c r="E8503" s="7">
        <v>48</v>
      </c>
      <c r="F8503" s="7">
        <f t="shared" si="133"/>
        <v>3</v>
      </c>
      <c r="G8503" s="7" t="str">
        <f>LOOKUP(H8503,[1]startdates!$A$2:$A$10,[1]startdates!$B$2:$B$10)</f>
        <v>FMr</v>
      </c>
      <c r="H8503">
        <v>6</v>
      </c>
      <c r="I8503" s="7">
        <v>665.3</v>
      </c>
      <c r="K8503" s="7">
        <v>547.29999999999995</v>
      </c>
      <c r="N8503" s="7">
        <v>231.1</v>
      </c>
      <c r="O8503" s="7">
        <v>156.19999999999999</v>
      </c>
    </row>
    <row r="8504" spans="1:22" x14ac:dyDescent="0.2">
      <c r="A8504">
        <v>8503</v>
      </c>
      <c r="B8504" s="1">
        <v>41065</v>
      </c>
      <c r="C8504" t="s">
        <v>28</v>
      </c>
      <c r="D8504" s="7">
        <v>323</v>
      </c>
      <c r="E8504" s="7">
        <v>48</v>
      </c>
      <c r="F8504" s="7">
        <f t="shared" si="133"/>
        <v>3</v>
      </c>
      <c r="G8504" s="7" t="str">
        <f>LOOKUP(H8504,[1]startdates!$A$2:$A$10,[1]startdates!$B$2:$B$10)</f>
        <v>FMr</v>
      </c>
      <c r="H8504">
        <v>6</v>
      </c>
      <c r="I8504" s="7">
        <v>629</v>
      </c>
      <c r="K8504" s="7">
        <v>436.3</v>
      </c>
      <c r="O8504" s="7">
        <v>154.80000000000001</v>
      </c>
    </row>
    <row r="8505" spans="1:22" x14ac:dyDescent="0.2">
      <c r="A8505">
        <v>8504</v>
      </c>
      <c r="B8505" s="1">
        <v>41065</v>
      </c>
      <c r="C8505" t="s">
        <v>24</v>
      </c>
      <c r="D8505" s="7">
        <v>323</v>
      </c>
      <c r="E8505" s="7">
        <v>48</v>
      </c>
      <c r="F8505" s="7">
        <f t="shared" si="133"/>
        <v>3</v>
      </c>
      <c r="G8505" s="7" t="str">
        <f>LOOKUP(H8505,[1]startdates!$A$2:$A$10,[1]startdates!$B$2:$B$10)</f>
        <v>FMr</v>
      </c>
      <c r="H8505">
        <v>7</v>
      </c>
      <c r="I8505" s="7">
        <v>668.8</v>
      </c>
      <c r="J8505" s="7">
        <v>579.6</v>
      </c>
      <c r="K8505" s="7">
        <v>448</v>
      </c>
      <c r="L8505" s="7">
        <v>469.1</v>
      </c>
      <c r="M8505" s="7">
        <v>336</v>
      </c>
      <c r="N8505" s="7">
        <v>228.6</v>
      </c>
      <c r="O8505" s="7">
        <v>170.2</v>
      </c>
      <c r="P8505" s="7">
        <v>474.3</v>
      </c>
      <c r="Q8505" s="7">
        <v>324.89999999999998</v>
      </c>
      <c r="R8505" s="7">
        <v>255.6</v>
      </c>
      <c r="V8505" s="7">
        <v>565.4</v>
      </c>
    </row>
    <row r="8506" spans="1:22" x14ac:dyDescent="0.2">
      <c r="A8506">
        <v>8505</v>
      </c>
      <c r="B8506" s="1">
        <v>41065</v>
      </c>
      <c r="C8506" t="s">
        <v>24</v>
      </c>
      <c r="D8506" s="7">
        <v>323</v>
      </c>
      <c r="E8506" s="7">
        <v>48</v>
      </c>
      <c r="F8506" s="7">
        <f t="shared" si="133"/>
        <v>3</v>
      </c>
      <c r="G8506" s="7" t="str">
        <f>LOOKUP(H8506,[1]startdates!$A$2:$A$10,[1]startdates!$B$2:$B$10)</f>
        <v>FMr</v>
      </c>
      <c r="H8506">
        <v>7</v>
      </c>
      <c r="I8506" s="7">
        <v>678.1</v>
      </c>
      <c r="J8506" s="7">
        <v>443.8</v>
      </c>
      <c r="K8506" s="7">
        <v>529</v>
      </c>
      <c r="L8506" s="7">
        <v>468.6</v>
      </c>
      <c r="M8506" s="7">
        <v>356.5</v>
      </c>
      <c r="N8506" s="7">
        <v>218.3</v>
      </c>
      <c r="O8506" s="7">
        <v>180.6</v>
      </c>
      <c r="R8506" s="7">
        <v>228.3</v>
      </c>
      <c r="V8506" s="7">
        <v>555.79999999999995</v>
      </c>
    </row>
    <row r="8507" spans="1:22" x14ac:dyDescent="0.2">
      <c r="A8507">
        <v>8506</v>
      </c>
      <c r="B8507" s="1">
        <v>41065</v>
      </c>
      <c r="C8507" t="s">
        <v>24</v>
      </c>
      <c r="D8507" s="7">
        <v>323</v>
      </c>
      <c r="E8507" s="7">
        <v>48</v>
      </c>
      <c r="F8507" s="7">
        <f t="shared" si="133"/>
        <v>3</v>
      </c>
      <c r="G8507" s="7" t="str">
        <f>LOOKUP(H8507,[1]startdates!$A$2:$A$10,[1]startdates!$B$2:$B$10)</f>
        <v>FMr</v>
      </c>
      <c r="H8507">
        <v>7</v>
      </c>
      <c r="I8507" s="7">
        <v>694.7</v>
      </c>
      <c r="J8507" s="7">
        <v>478.6</v>
      </c>
      <c r="K8507" s="7">
        <v>477.7</v>
      </c>
      <c r="M8507" s="7">
        <v>362.6</v>
      </c>
      <c r="N8507" s="7">
        <v>238.7</v>
      </c>
      <c r="O8507" s="7">
        <v>162.69999999999999</v>
      </c>
      <c r="R8507" s="7">
        <v>302.2</v>
      </c>
      <c r="V8507" s="7">
        <v>422.9</v>
      </c>
    </row>
    <row r="8508" spans="1:22" x14ac:dyDescent="0.2">
      <c r="A8508">
        <v>8507</v>
      </c>
      <c r="B8508" s="1">
        <v>41065</v>
      </c>
      <c r="C8508" t="s">
        <v>24</v>
      </c>
      <c r="D8508" s="7">
        <v>323</v>
      </c>
      <c r="E8508" s="7">
        <v>48</v>
      </c>
      <c r="F8508" s="7">
        <f t="shared" si="133"/>
        <v>3</v>
      </c>
      <c r="G8508" s="7" t="str">
        <f>LOOKUP(H8508,[1]startdates!$A$2:$A$10,[1]startdates!$B$2:$B$10)</f>
        <v>FMr</v>
      </c>
      <c r="H8508">
        <v>7</v>
      </c>
      <c r="I8508" s="7">
        <v>669.4</v>
      </c>
      <c r="K8508" s="7">
        <v>607.5</v>
      </c>
      <c r="M8508" s="7">
        <v>315.2</v>
      </c>
      <c r="N8508" s="7">
        <v>179.8</v>
      </c>
      <c r="O8508" s="7">
        <v>161.9</v>
      </c>
    </row>
    <row r="8509" spans="1:22" x14ac:dyDescent="0.2">
      <c r="A8509">
        <v>8508</v>
      </c>
      <c r="B8509" s="1">
        <v>41065</v>
      </c>
      <c r="C8509" t="s">
        <v>24</v>
      </c>
      <c r="D8509" s="7">
        <v>323</v>
      </c>
      <c r="E8509" s="7">
        <v>48</v>
      </c>
      <c r="F8509" s="7">
        <f t="shared" si="133"/>
        <v>3</v>
      </c>
      <c r="G8509" s="7" t="str">
        <f>LOOKUP(H8509,[1]startdates!$A$2:$A$10,[1]startdates!$B$2:$B$10)</f>
        <v>FMr</v>
      </c>
      <c r="H8509">
        <v>7</v>
      </c>
      <c r="I8509" s="7">
        <v>707.9</v>
      </c>
      <c r="K8509" s="7">
        <v>484.2</v>
      </c>
      <c r="M8509" s="7">
        <v>387.4</v>
      </c>
      <c r="N8509" s="7">
        <v>225.8</v>
      </c>
      <c r="O8509" s="7">
        <v>179.7</v>
      </c>
    </row>
    <row r="8510" spans="1:22" x14ac:dyDescent="0.2">
      <c r="A8510">
        <v>8509</v>
      </c>
      <c r="B8510" s="1">
        <v>41065</v>
      </c>
      <c r="C8510" t="s">
        <v>24</v>
      </c>
      <c r="D8510" s="7">
        <v>323</v>
      </c>
      <c r="E8510" s="7">
        <v>48</v>
      </c>
      <c r="F8510" s="7">
        <f t="shared" si="133"/>
        <v>3</v>
      </c>
      <c r="G8510" s="7" t="str">
        <f>LOOKUP(H8510,[1]startdates!$A$2:$A$10,[1]startdates!$B$2:$B$10)</f>
        <v>FMr</v>
      </c>
      <c r="H8510">
        <v>7</v>
      </c>
      <c r="I8510" s="7">
        <v>592.6</v>
      </c>
      <c r="K8510" s="7">
        <v>622.4</v>
      </c>
      <c r="M8510" s="7">
        <v>353.6</v>
      </c>
      <c r="N8510" s="7">
        <v>223.9</v>
      </c>
      <c r="O8510" s="7">
        <v>161.5</v>
      </c>
    </row>
    <row r="8511" spans="1:22" x14ac:dyDescent="0.2">
      <c r="A8511">
        <v>8510</v>
      </c>
      <c r="B8511" s="1">
        <v>41065</v>
      </c>
      <c r="C8511" t="s">
        <v>24</v>
      </c>
      <c r="D8511" s="7">
        <v>323</v>
      </c>
      <c r="E8511" s="7">
        <v>48</v>
      </c>
      <c r="F8511" s="7">
        <f t="shared" si="133"/>
        <v>3</v>
      </c>
      <c r="G8511" s="7" t="str">
        <f>LOOKUP(H8511,[1]startdates!$A$2:$A$10,[1]startdates!$B$2:$B$10)</f>
        <v>FMr</v>
      </c>
      <c r="H8511">
        <v>7</v>
      </c>
      <c r="I8511" s="7">
        <v>692.5</v>
      </c>
      <c r="K8511" s="7">
        <v>564.9</v>
      </c>
      <c r="N8511" s="7">
        <v>251.7</v>
      </c>
      <c r="O8511" s="7">
        <v>164</v>
      </c>
    </row>
    <row r="8512" spans="1:22" x14ac:dyDescent="0.2">
      <c r="A8512">
        <v>8511</v>
      </c>
      <c r="B8512" s="1">
        <v>41065</v>
      </c>
      <c r="C8512" t="s">
        <v>24</v>
      </c>
      <c r="D8512" s="7">
        <v>323</v>
      </c>
      <c r="E8512" s="7">
        <v>48</v>
      </c>
      <c r="F8512" s="7">
        <f t="shared" si="133"/>
        <v>3</v>
      </c>
      <c r="G8512" s="7" t="str">
        <f>LOOKUP(H8512,[1]startdates!$A$2:$A$10,[1]startdates!$B$2:$B$10)</f>
        <v>FMr</v>
      </c>
      <c r="H8512">
        <v>7</v>
      </c>
      <c r="I8512" s="7">
        <v>658.1</v>
      </c>
      <c r="N8512" s="7">
        <v>209.9</v>
      </c>
      <c r="O8512" s="7">
        <v>179.8</v>
      </c>
    </row>
    <row r="8513" spans="1:22" x14ac:dyDescent="0.2">
      <c r="A8513">
        <v>8512</v>
      </c>
      <c r="B8513" s="1">
        <v>41065</v>
      </c>
      <c r="C8513" t="s">
        <v>24</v>
      </c>
      <c r="D8513" s="7">
        <v>323</v>
      </c>
      <c r="E8513" s="7">
        <v>48</v>
      </c>
      <c r="F8513" s="7">
        <f t="shared" si="133"/>
        <v>3</v>
      </c>
      <c r="G8513" s="7" t="str">
        <f>LOOKUP(H8513,[1]startdates!$A$2:$A$10,[1]startdates!$B$2:$B$10)</f>
        <v>FMr</v>
      </c>
      <c r="H8513">
        <v>7</v>
      </c>
      <c r="I8513" s="7">
        <v>640.20000000000005</v>
      </c>
      <c r="N8513" s="7">
        <v>208.8</v>
      </c>
      <c r="O8513" s="7">
        <v>148</v>
      </c>
    </row>
    <row r="8514" spans="1:22" x14ac:dyDescent="0.2">
      <c r="A8514">
        <v>8513</v>
      </c>
      <c r="B8514" s="1">
        <v>41065</v>
      </c>
      <c r="C8514" t="s">
        <v>24</v>
      </c>
      <c r="D8514" s="7">
        <v>323</v>
      </c>
      <c r="E8514" s="7">
        <v>48</v>
      </c>
      <c r="F8514" s="7">
        <f t="shared" si="133"/>
        <v>3</v>
      </c>
      <c r="G8514" s="7" t="str">
        <f>LOOKUP(H8514,[1]startdates!$A$2:$A$10,[1]startdates!$B$2:$B$10)</f>
        <v>FMr</v>
      </c>
      <c r="H8514">
        <v>7</v>
      </c>
      <c r="I8514" s="7">
        <v>677.6</v>
      </c>
      <c r="O8514" s="7">
        <v>178.4</v>
      </c>
    </row>
    <row r="8515" spans="1:22" x14ac:dyDescent="0.2">
      <c r="A8515">
        <v>8514</v>
      </c>
      <c r="B8515" s="1">
        <v>41065</v>
      </c>
      <c r="C8515" t="s">
        <v>28</v>
      </c>
      <c r="D8515" s="7">
        <v>323</v>
      </c>
      <c r="E8515" s="7">
        <v>48</v>
      </c>
      <c r="F8515" s="7">
        <f t="shared" si="133"/>
        <v>3</v>
      </c>
      <c r="G8515" s="7" t="str">
        <f>LOOKUP(H8515,[1]startdates!$A$2:$A$10,[1]startdates!$B$2:$B$10)</f>
        <v>C</v>
      </c>
      <c r="H8515">
        <v>8</v>
      </c>
      <c r="I8515" s="7">
        <v>625.4</v>
      </c>
      <c r="J8515" s="7">
        <v>556.5</v>
      </c>
      <c r="K8515" s="7">
        <v>528.6</v>
      </c>
      <c r="L8515" s="7">
        <v>416.1</v>
      </c>
      <c r="M8515" s="7">
        <v>305.10000000000002</v>
      </c>
      <c r="N8515" s="7">
        <v>210.4</v>
      </c>
      <c r="O8515" s="7">
        <v>166.6</v>
      </c>
      <c r="P8515" s="7">
        <v>423.3</v>
      </c>
      <c r="Q8515" s="7">
        <v>341</v>
      </c>
    </row>
    <row r="8516" spans="1:22" x14ac:dyDescent="0.2">
      <c r="A8516">
        <v>8515</v>
      </c>
      <c r="B8516" s="1">
        <v>41065</v>
      </c>
      <c r="C8516" t="s">
        <v>28</v>
      </c>
      <c r="D8516" s="7">
        <v>323</v>
      </c>
      <c r="E8516" s="7">
        <v>48</v>
      </c>
      <c r="F8516" s="7">
        <f t="shared" si="133"/>
        <v>3</v>
      </c>
      <c r="G8516" s="7" t="str">
        <f>LOOKUP(H8516,[1]startdates!$A$2:$A$10,[1]startdates!$B$2:$B$10)</f>
        <v>C</v>
      </c>
      <c r="H8516">
        <v>8</v>
      </c>
      <c r="I8516" s="7">
        <v>579.1</v>
      </c>
      <c r="J8516" s="7">
        <v>413.7</v>
      </c>
      <c r="K8516" s="7">
        <v>573.1</v>
      </c>
      <c r="M8516" s="7">
        <v>346.4</v>
      </c>
      <c r="N8516" s="7">
        <v>192.7</v>
      </c>
      <c r="O8516" s="7">
        <v>137.5</v>
      </c>
      <c r="P8516" s="7">
        <v>444.4</v>
      </c>
      <c r="Q8516" s="7">
        <v>356</v>
      </c>
    </row>
    <row r="8517" spans="1:22" x14ac:dyDescent="0.2">
      <c r="A8517">
        <v>8516</v>
      </c>
      <c r="B8517" s="1">
        <v>41065</v>
      </c>
      <c r="C8517" t="s">
        <v>28</v>
      </c>
      <c r="D8517" s="7">
        <v>323</v>
      </c>
      <c r="E8517" s="7">
        <v>48</v>
      </c>
      <c r="F8517" s="7">
        <f t="shared" si="133"/>
        <v>3</v>
      </c>
      <c r="G8517" s="7" t="str">
        <f>LOOKUP(H8517,[1]startdates!$A$2:$A$10,[1]startdates!$B$2:$B$10)</f>
        <v>C</v>
      </c>
      <c r="H8517">
        <v>8</v>
      </c>
      <c r="I8517" s="7">
        <v>666.6</v>
      </c>
      <c r="J8517" s="7">
        <v>544.9</v>
      </c>
      <c r="M8517" s="7">
        <v>337.6</v>
      </c>
      <c r="N8517" s="7">
        <v>226.3</v>
      </c>
      <c r="O8517" s="7">
        <v>162.69999999999999</v>
      </c>
    </row>
    <row r="8518" spans="1:22" x14ac:dyDescent="0.2">
      <c r="A8518">
        <v>8517</v>
      </c>
      <c r="B8518" s="1">
        <v>41065</v>
      </c>
      <c r="C8518" t="s">
        <v>28</v>
      </c>
      <c r="D8518" s="7">
        <v>323</v>
      </c>
      <c r="E8518" s="7">
        <v>48</v>
      </c>
      <c r="F8518" s="7">
        <f t="shared" si="133"/>
        <v>3</v>
      </c>
      <c r="G8518" s="7" t="str">
        <f>LOOKUP(H8518,[1]startdates!$A$2:$A$10,[1]startdates!$B$2:$B$10)</f>
        <v>C</v>
      </c>
      <c r="H8518">
        <v>8</v>
      </c>
      <c r="I8518" s="7">
        <v>666.5</v>
      </c>
      <c r="J8518" s="7">
        <v>595.5</v>
      </c>
      <c r="M8518" s="7">
        <v>335.8</v>
      </c>
      <c r="N8518" s="7">
        <v>233</v>
      </c>
      <c r="O8518" s="7">
        <v>170.4</v>
      </c>
    </row>
    <row r="8519" spans="1:22" x14ac:dyDescent="0.2">
      <c r="A8519">
        <v>8518</v>
      </c>
      <c r="B8519" s="1">
        <v>41065</v>
      </c>
      <c r="C8519" t="s">
        <v>28</v>
      </c>
      <c r="D8519" s="7">
        <v>323</v>
      </c>
      <c r="E8519" s="7">
        <v>48</v>
      </c>
      <c r="F8519" s="7">
        <f t="shared" si="133"/>
        <v>3</v>
      </c>
      <c r="G8519" s="7" t="str">
        <f>LOOKUP(H8519,[1]startdates!$A$2:$A$10,[1]startdates!$B$2:$B$10)</f>
        <v>C</v>
      </c>
      <c r="H8519">
        <v>8</v>
      </c>
      <c r="I8519" s="7">
        <v>602.20000000000005</v>
      </c>
      <c r="J8519" s="7">
        <v>563.4</v>
      </c>
      <c r="M8519" s="7">
        <v>340.7</v>
      </c>
      <c r="N8519" s="7">
        <v>205.8</v>
      </c>
      <c r="O8519" s="7">
        <v>167.5</v>
      </c>
    </row>
    <row r="8520" spans="1:22" x14ac:dyDescent="0.2">
      <c r="A8520">
        <v>8519</v>
      </c>
      <c r="B8520" s="1">
        <v>41065</v>
      </c>
      <c r="C8520" t="s">
        <v>28</v>
      </c>
      <c r="D8520" s="7">
        <v>323</v>
      </c>
      <c r="E8520" s="7">
        <v>48</v>
      </c>
      <c r="F8520" s="7">
        <f t="shared" si="133"/>
        <v>3</v>
      </c>
      <c r="G8520" s="7" t="str">
        <f>LOOKUP(H8520,[1]startdates!$A$2:$A$10,[1]startdates!$B$2:$B$10)</f>
        <v>C</v>
      </c>
      <c r="H8520">
        <v>8</v>
      </c>
      <c r="I8520" s="7">
        <v>622.1</v>
      </c>
      <c r="J8520" s="7">
        <v>515.70000000000005</v>
      </c>
      <c r="M8520" s="7">
        <v>332.4</v>
      </c>
      <c r="N8520" s="7">
        <v>220.6</v>
      </c>
      <c r="O8520" s="7">
        <v>143.4</v>
      </c>
    </row>
    <row r="8521" spans="1:22" x14ac:dyDescent="0.2">
      <c r="A8521">
        <v>8520</v>
      </c>
      <c r="B8521" s="1">
        <v>41065</v>
      </c>
      <c r="C8521" t="s">
        <v>28</v>
      </c>
      <c r="D8521" s="7">
        <v>323</v>
      </c>
      <c r="E8521" s="7">
        <v>48</v>
      </c>
      <c r="F8521" s="7">
        <f t="shared" si="133"/>
        <v>3</v>
      </c>
      <c r="G8521" s="7" t="str">
        <f>LOOKUP(H8521,[1]startdates!$A$2:$A$10,[1]startdates!$B$2:$B$10)</f>
        <v>C</v>
      </c>
      <c r="H8521">
        <v>8</v>
      </c>
      <c r="I8521" s="7">
        <v>580.29999999999995</v>
      </c>
      <c r="J8521" s="7">
        <v>541.5</v>
      </c>
      <c r="M8521" s="7">
        <v>357.4</v>
      </c>
      <c r="N8521" s="7">
        <v>201.3</v>
      </c>
      <c r="O8521" s="7">
        <v>158.4</v>
      </c>
    </row>
    <row r="8522" spans="1:22" x14ac:dyDescent="0.2">
      <c r="A8522">
        <v>8521</v>
      </c>
      <c r="B8522" s="1">
        <v>41065</v>
      </c>
      <c r="C8522" t="s">
        <v>28</v>
      </c>
      <c r="D8522" s="7">
        <v>323</v>
      </c>
      <c r="E8522" s="7">
        <v>48</v>
      </c>
      <c r="F8522" s="7">
        <f t="shared" si="133"/>
        <v>3</v>
      </c>
      <c r="G8522" s="7" t="str">
        <f>LOOKUP(H8522,[1]startdates!$A$2:$A$10,[1]startdates!$B$2:$B$10)</f>
        <v>C</v>
      </c>
      <c r="H8522">
        <v>8</v>
      </c>
      <c r="I8522" s="7">
        <v>629.20000000000005</v>
      </c>
      <c r="M8522" s="7">
        <v>354.1</v>
      </c>
      <c r="N8522" s="7">
        <v>202.6</v>
      </c>
      <c r="O8522" s="7">
        <v>163.1</v>
      </c>
    </row>
    <row r="8523" spans="1:22" x14ac:dyDescent="0.2">
      <c r="A8523">
        <v>8522</v>
      </c>
      <c r="B8523" s="1">
        <v>41065</v>
      </c>
      <c r="C8523" t="s">
        <v>28</v>
      </c>
      <c r="D8523" s="7">
        <v>323</v>
      </c>
      <c r="E8523" s="7">
        <v>48</v>
      </c>
      <c r="F8523" s="7">
        <f t="shared" si="133"/>
        <v>3</v>
      </c>
      <c r="G8523" s="7" t="str">
        <f>LOOKUP(H8523,[1]startdates!$A$2:$A$10,[1]startdates!$B$2:$B$10)</f>
        <v>C</v>
      </c>
      <c r="H8523">
        <v>8</v>
      </c>
      <c r="I8523" s="7">
        <v>597.6</v>
      </c>
      <c r="M8523" s="7">
        <v>369.3</v>
      </c>
      <c r="N8523" s="7">
        <v>191</v>
      </c>
      <c r="O8523" s="7">
        <v>140.19999999999999</v>
      </c>
    </row>
    <row r="8524" spans="1:22" x14ac:dyDescent="0.2">
      <c r="A8524">
        <v>8523</v>
      </c>
      <c r="B8524" s="1">
        <v>41065</v>
      </c>
      <c r="C8524" t="s">
        <v>28</v>
      </c>
      <c r="D8524" s="7">
        <v>323</v>
      </c>
      <c r="E8524" s="7">
        <v>48</v>
      </c>
      <c r="F8524" s="7">
        <f t="shared" si="133"/>
        <v>3</v>
      </c>
      <c r="G8524" s="7" t="str">
        <f>LOOKUP(H8524,[1]startdates!$A$2:$A$10,[1]startdates!$B$2:$B$10)</f>
        <v>C</v>
      </c>
      <c r="H8524">
        <v>8</v>
      </c>
      <c r="I8524" s="7">
        <v>713.8</v>
      </c>
      <c r="M8524" s="7">
        <v>348.4</v>
      </c>
      <c r="N8524" s="7">
        <v>234.9</v>
      </c>
      <c r="O8524" s="7">
        <v>158.4</v>
      </c>
    </row>
    <row r="8525" spans="1:22" x14ac:dyDescent="0.2">
      <c r="A8525">
        <v>8524</v>
      </c>
      <c r="B8525" s="1">
        <v>41065</v>
      </c>
      <c r="C8525" t="s">
        <v>28</v>
      </c>
      <c r="D8525" s="7">
        <v>323</v>
      </c>
      <c r="E8525" s="7">
        <v>48</v>
      </c>
      <c r="F8525" s="7">
        <f t="shared" si="133"/>
        <v>3</v>
      </c>
      <c r="G8525" s="7" t="str">
        <f>LOOKUP(H8525,[1]startdates!$A$2:$A$10,[1]startdates!$B$2:$B$10)</f>
        <v>C</v>
      </c>
      <c r="H8525">
        <v>8</v>
      </c>
      <c r="O8525" s="7">
        <v>163.5</v>
      </c>
    </row>
    <row r="8526" spans="1:22" x14ac:dyDescent="0.2">
      <c r="A8526">
        <v>8525</v>
      </c>
      <c r="B8526" s="1">
        <v>41065</v>
      </c>
      <c r="C8526" t="s">
        <v>28</v>
      </c>
      <c r="D8526" s="7">
        <v>323</v>
      </c>
      <c r="E8526" s="7">
        <v>48</v>
      </c>
      <c r="F8526" s="7">
        <f t="shared" si="133"/>
        <v>3</v>
      </c>
      <c r="G8526" s="7" t="str">
        <f>LOOKUP(H8526,[1]startdates!$A$2:$A$10,[1]startdates!$B$2:$B$10)</f>
        <v>FMr</v>
      </c>
      <c r="H8526">
        <v>9</v>
      </c>
      <c r="I8526" s="7">
        <v>630.6</v>
      </c>
      <c r="J8526" s="7">
        <v>498.3</v>
      </c>
      <c r="K8526" s="7">
        <v>576.70000000000005</v>
      </c>
      <c r="L8526" s="7">
        <v>450.7</v>
      </c>
      <c r="M8526" s="7">
        <v>377</v>
      </c>
      <c r="N8526" s="7">
        <v>189.2</v>
      </c>
      <c r="O8526" s="7">
        <v>166.3</v>
      </c>
      <c r="P8526" s="7">
        <v>471.8</v>
      </c>
      <c r="V8526" s="7">
        <v>502.5</v>
      </c>
    </row>
    <row r="8527" spans="1:22" x14ac:dyDescent="0.2">
      <c r="A8527">
        <v>8526</v>
      </c>
      <c r="B8527" s="1">
        <v>41065</v>
      </c>
      <c r="C8527" t="s">
        <v>28</v>
      </c>
      <c r="D8527" s="7">
        <v>323</v>
      </c>
      <c r="E8527" s="7">
        <v>48</v>
      </c>
      <c r="F8527" s="7">
        <f t="shared" si="133"/>
        <v>3</v>
      </c>
      <c r="G8527" s="7" t="str">
        <f>LOOKUP(H8527,[1]startdates!$A$2:$A$10,[1]startdates!$B$2:$B$10)</f>
        <v>FMr</v>
      </c>
      <c r="H8527">
        <v>9</v>
      </c>
      <c r="I8527" s="7">
        <v>644</v>
      </c>
      <c r="J8527" s="7">
        <v>519.20000000000005</v>
      </c>
      <c r="K8527" s="7">
        <v>503.5</v>
      </c>
      <c r="L8527" s="7">
        <v>402</v>
      </c>
      <c r="M8527" s="7">
        <v>371.9</v>
      </c>
      <c r="N8527" s="7">
        <v>188.1</v>
      </c>
      <c r="O8527" s="7">
        <v>136.30000000000001</v>
      </c>
      <c r="P8527" s="7">
        <v>434.4</v>
      </c>
      <c r="V8527" s="7">
        <v>514.29999999999995</v>
      </c>
    </row>
    <row r="8528" spans="1:22" x14ac:dyDescent="0.2">
      <c r="A8528">
        <v>8527</v>
      </c>
      <c r="B8528" s="1">
        <v>41065</v>
      </c>
      <c r="C8528" t="s">
        <v>28</v>
      </c>
      <c r="D8528" s="7">
        <v>323</v>
      </c>
      <c r="E8528" s="7">
        <v>48</v>
      </c>
      <c r="F8528" s="7">
        <f t="shared" si="133"/>
        <v>3</v>
      </c>
      <c r="G8528" s="7" t="str">
        <f>LOOKUP(H8528,[1]startdates!$A$2:$A$10,[1]startdates!$B$2:$B$10)</f>
        <v>FMr</v>
      </c>
      <c r="H8528">
        <v>9</v>
      </c>
      <c r="I8528" s="7">
        <v>544.1</v>
      </c>
      <c r="J8528" s="7">
        <v>478.2</v>
      </c>
      <c r="K8528" s="7">
        <v>528</v>
      </c>
      <c r="M8528" s="7">
        <v>378.8</v>
      </c>
      <c r="N8528" s="7">
        <v>276</v>
      </c>
      <c r="O8528" s="7">
        <v>175</v>
      </c>
      <c r="P8528" s="7">
        <v>500.1</v>
      </c>
      <c r="V8528" s="7">
        <v>473.9</v>
      </c>
    </row>
    <row r="8529" spans="1:18" x14ac:dyDescent="0.2">
      <c r="A8529">
        <v>8528</v>
      </c>
      <c r="B8529" s="1">
        <v>41065</v>
      </c>
      <c r="C8529" t="s">
        <v>28</v>
      </c>
      <c r="D8529" s="7">
        <v>323</v>
      </c>
      <c r="E8529" s="7">
        <v>48</v>
      </c>
      <c r="F8529" s="7">
        <f t="shared" si="133"/>
        <v>3</v>
      </c>
      <c r="G8529" s="7" t="str">
        <f>LOOKUP(H8529,[1]startdates!$A$2:$A$10,[1]startdates!$B$2:$B$10)</f>
        <v>FMr</v>
      </c>
      <c r="H8529">
        <v>9</v>
      </c>
      <c r="I8529" s="7">
        <v>656.2</v>
      </c>
      <c r="K8529" s="7">
        <v>548.29999999999995</v>
      </c>
      <c r="M8529" s="7">
        <v>302.39999999999998</v>
      </c>
      <c r="N8529" s="7">
        <v>197.1</v>
      </c>
      <c r="O8529" s="7">
        <v>182.2</v>
      </c>
      <c r="P8529" s="7">
        <v>463.7</v>
      </c>
    </row>
    <row r="8530" spans="1:18" x14ac:dyDescent="0.2">
      <c r="A8530">
        <v>8529</v>
      </c>
      <c r="B8530" s="1">
        <v>41065</v>
      </c>
      <c r="C8530" t="s">
        <v>28</v>
      </c>
      <c r="D8530" s="7">
        <v>323</v>
      </c>
      <c r="E8530" s="7">
        <v>48</v>
      </c>
      <c r="F8530" s="7">
        <f t="shared" si="133"/>
        <v>3</v>
      </c>
      <c r="G8530" s="7" t="str">
        <f>LOOKUP(H8530,[1]startdates!$A$2:$A$10,[1]startdates!$B$2:$B$10)</f>
        <v>FMr</v>
      </c>
      <c r="H8530">
        <v>9</v>
      </c>
      <c r="I8530" s="7">
        <v>511.8</v>
      </c>
      <c r="M8530" s="7">
        <v>367.6</v>
      </c>
      <c r="N8530" s="7">
        <v>219.2</v>
      </c>
      <c r="O8530" s="7">
        <v>178.2</v>
      </c>
      <c r="P8530" s="7">
        <v>449.2</v>
      </c>
    </row>
    <row r="8531" spans="1:18" x14ac:dyDescent="0.2">
      <c r="A8531">
        <v>8530</v>
      </c>
      <c r="B8531" s="1">
        <v>41065</v>
      </c>
      <c r="C8531" t="s">
        <v>28</v>
      </c>
      <c r="D8531" s="7">
        <v>323</v>
      </c>
      <c r="E8531" s="7">
        <v>48</v>
      </c>
      <c r="F8531" s="7">
        <f t="shared" si="133"/>
        <v>3</v>
      </c>
      <c r="G8531" s="7" t="str">
        <f>LOOKUP(H8531,[1]startdates!$A$2:$A$10,[1]startdates!$B$2:$B$10)</f>
        <v>FMr</v>
      </c>
      <c r="H8531">
        <v>9</v>
      </c>
      <c r="I8531" s="7">
        <v>660.7</v>
      </c>
      <c r="M8531" s="7">
        <v>301.7</v>
      </c>
      <c r="N8531" s="7">
        <v>231.3</v>
      </c>
      <c r="O8531" s="7">
        <v>169.7</v>
      </c>
    </row>
    <row r="8532" spans="1:18" x14ac:dyDescent="0.2">
      <c r="A8532">
        <v>8531</v>
      </c>
      <c r="B8532" s="1">
        <v>41065</v>
      </c>
      <c r="C8532" t="s">
        <v>28</v>
      </c>
      <c r="D8532" s="7">
        <v>323</v>
      </c>
      <c r="E8532" s="7">
        <v>48</v>
      </c>
      <c r="F8532" s="7">
        <f t="shared" si="133"/>
        <v>3</v>
      </c>
      <c r="G8532" s="7" t="str">
        <f>LOOKUP(H8532,[1]startdates!$A$2:$A$10,[1]startdates!$B$2:$B$10)</f>
        <v>FMr</v>
      </c>
      <c r="H8532">
        <v>9</v>
      </c>
      <c r="I8532" s="7">
        <v>589.20000000000005</v>
      </c>
      <c r="M8532" s="7">
        <v>368.5</v>
      </c>
      <c r="N8532" s="7">
        <v>199.3</v>
      </c>
      <c r="O8532" s="7">
        <v>160.4</v>
      </c>
    </row>
    <row r="8533" spans="1:18" x14ac:dyDescent="0.2">
      <c r="A8533">
        <v>8532</v>
      </c>
      <c r="B8533" s="1">
        <v>41065</v>
      </c>
      <c r="C8533" t="s">
        <v>28</v>
      </c>
      <c r="D8533" s="7">
        <v>323</v>
      </c>
      <c r="E8533" s="7">
        <v>48</v>
      </c>
      <c r="F8533" s="7">
        <f t="shared" si="133"/>
        <v>3</v>
      </c>
      <c r="G8533" s="7" t="str">
        <f>LOOKUP(H8533,[1]startdates!$A$2:$A$10,[1]startdates!$B$2:$B$10)</f>
        <v>FMr</v>
      </c>
      <c r="H8533">
        <v>9</v>
      </c>
      <c r="I8533" s="7">
        <v>565.79999999999995</v>
      </c>
      <c r="M8533" s="7">
        <v>361.2</v>
      </c>
      <c r="N8533" s="7">
        <v>218.7</v>
      </c>
      <c r="O8533" s="7">
        <v>164.7</v>
      </c>
    </row>
    <row r="8534" spans="1:18" x14ac:dyDescent="0.2">
      <c r="A8534">
        <v>8533</v>
      </c>
      <c r="B8534" s="1">
        <v>41065</v>
      </c>
      <c r="C8534" t="s">
        <v>28</v>
      </c>
      <c r="D8534" s="7">
        <v>323</v>
      </c>
      <c r="E8534" s="7">
        <v>48</v>
      </c>
      <c r="F8534" s="7">
        <f t="shared" si="133"/>
        <v>3</v>
      </c>
      <c r="G8534" s="7" t="str">
        <f>LOOKUP(H8534,[1]startdates!$A$2:$A$10,[1]startdates!$B$2:$B$10)</f>
        <v>FMr</v>
      </c>
      <c r="H8534">
        <v>9</v>
      </c>
      <c r="I8534" s="7">
        <v>617</v>
      </c>
      <c r="M8534" s="7">
        <v>299.10000000000002</v>
      </c>
      <c r="N8534" s="7">
        <v>217.7</v>
      </c>
      <c r="O8534" s="7">
        <v>177.1</v>
      </c>
    </row>
    <row r="8535" spans="1:18" x14ac:dyDescent="0.2">
      <c r="A8535">
        <v>8534</v>
      </c>
      <c r="B8535" s="1">
        <v>41065</v>
      </c>
      <c r="C8535" t="s">
        <v>28</v>
      </c>
      <c r="D8535" s="7">
        <v>323</v>
      </c>
      <c r="E8535" s="7">
        <v>48</v>
      </c>
      <c r="F8535" s="7">
        <f t="shared" si="133"/>
        <v>3</v>
      </c>
      <c r="G8535" s="7" t="str">
        <f>LOOKUP(H8535,[1]startdates!$A$2:$A$10,[1]startdates!$B$2:$B$10)</f>
        <v>FMr</v>
      </c>
      <c r="H8535">
        <v>9</v>
      </c>
      <c r="I8535" s="7">
        <v>555.29999999999995</v>
      </c>
      <c r="M8535" s="7">
        <v>351.3</v>
      </c>
      <c r="N8535" s="7">
        <v>228.7</v>
      </c>
      <c r="O8535" s="7">
        <v>166.7</v>
      </c>
    </row>
    <row r="8536" spans="1:18" x14ac:dyDescent="0.2">
      <c r="A8536">
        <v>8535</v>
      </c>
      <c r="B8536" s="1">
        <v>41079</v>
      </c>
      <c r="C8536" t="s">
        <v>24</v>
      </c>
      <c r="D8536" s="7">
        <v>337</v>
      </c>
      <c r="E8536" s="7">
        <v>50</v>
      </c>
      <c r="F8536" s="7">
        <f t="shared" si="133"/>
        <v>3</v>
      </c>
      <c r="G8536" s="7" t="str">
        <f>LOOKUP(H8536,[1]startdates!$A$2:$A$10,[1]startdates!$B$2:$B$10)</f>
        <v>SMr</v>
      </c>
      <c r="H8536">
        <v>1</v>
      </c>
      <c r="I8536" s="7">
        <v>736.8</v>
      </c>
      <c r="J8536" s="7">
        <v>568.6</v>
      </c>
      <c r="L8536" s="7">
        <v>402.4</v>
      </c>
      <c r="M8536" s="7">
        <v>331</v>
      </c>
      <c r="N8536" s="7">
        <v>235.7</v>
      </c>
      <c r="O8536" s="7">
        <v>168</v>
      </c>
      <c r="P8536" s="7">
        <v>497.4</v>
      </c>
      <c r="Q8536" s="7">
        <v>338.5</v>
      </c>
      <c r="R8536" s="7">
        <v>264.5</v>
      </c>
    </row>
    <row r="8537" spans="1:18" x14ac:dyDescent="0.2">
      <c r="A8537">
        <v>8536</v>
      </c>
      <c r="B8537" s="1">
        <v>41079</v>
      </c>
      <c r="C8537" t="s">
        <v>24</v>
      </c>
      <c r="D8537" s="7">
        <v>337</v>
      </c>
      <c r="E8537" s="7">
        <v>50</v>
      </c>
      <c r="F8537" s="7">
        <f t="shared" si="133"/>
        <v>3</v>
      </c>
      <c r="G8537" s="7" t="str">
        <f>LOOKUP(H8537,[1]startdates!$A$2:$A$10,[1]startdates!$B$2:$B$10)</f>
        <v>SMr</v>
      </c>
      <c r="H8537">
        <v>1</v>
      </c>
      <c r="I8537" s="7">
        <v>776.4</v>
      </c>
      <c r="J8537" s="7">
        <v>532.70000000000005</v>
      </c>
      <c r="M8537" s="7">
        <v>371.8</v>
      </c>
      <c r="N8537" s="7">
        <v>173.1</v>
      </c>
      <c r="O8537" s="7">
        <v>172.5</v>
      </c>
    </row>
    <row r="8538" spans="1:18" x14ac:dyDescent="0.2">
      <c r="A8538">
        <v>8537</v>
      </c>
      <c r="B8538" s="1">
        <v>41079</v>
      </c>
      <c r="C8538" t="s">
        <v>24</v>
      </c>
      <c r="D8538" s="7">
        <v>337</v>
      </c>
      <c r="E8538" s="7">
        <v>50</v>
      </c>
      <c r="F8538" s="7">
        <f t="shared" si="133"/>
        <v>3</v>
      </c>
      <c r="G8538" s="7" t="str">
        <f>LOOKUP(H8538,[1]startdates!$A$2:$A$10,[1]startdates!$B$2:$B$10)</f>
        <v>SMr</v>
      </c>
      <c r="H8538">
        <v>1</v>
      </c>
      <c r="I8538" s="7">
        <v>654.6</v>
      </c>
      <c r="J8538" s="7">
        <v>618.29999999999995</v>
      </c>
      <c r="M8538" s="7">
        <v>334.9</v>
      </c>
      <c r="N8538" s="7">
        <v>228.7</v>
      </c>
      <c r="O8538" s="7">
        <v>171.5</v>
      </c>
    </row>
    <row r="8539" spans="1:18" x14ac:dyDescent="0.2">
      <c r="A8539">
        <v>8538</v>
      </c>
      <c r="B8539" s="1">
        <v>41079</v>
      </c>
      <c r="C8539" t="s">
        <v>24</v>
      </c>
      <c r="D8539" s="7">
        <v>337</v>
      </c>
      <c r="E8539" s="7">
        <v>50</v>
      </c>
      <c r="F8539" s="7">
        <f t="shared" si="133"/>
        <v>3</v>
      </c>
      <c r="G8539" s="7" t="str">
        <f>LOOKUP(H8539,[1]startdates!$A$2:$A$10,[1]startdates!$B$2:$B$10)</f>
        <v>SMr</v>
      </c>
      <c r="H8539">
        <v>1</v>
      </c>
      <c r="I8539" s="7">
        <v>661.6</v>
      </c>
      <c r="J8539" s="7">
        <v>543</v>
      </c>
      <c r="M8539" s="7">
        <v>389.9</v>
      </c>
      <c r="N8539" s="7">
        <v>211</v>
      </c>
      <c r="O8539" s="7">
        <v>166.9</v>
      </c>
    </row>
    <row r="8540" spans="1:18" x14ac:dyDescent="0.2">
      <c r="A8540">
        <v>8539</v>
      </c>
      <c r="B8540" s="1">
        <v>41079</v>
      </c>
      <c r="C8540" t="s">
        <v>24</v>
      </c>
      <c r="D8540" s="7">
        <v>337</v>
      </c>
      <c r="E8540" s="7">
        <v>50</v>
      </c>
      <c r="F8540" s="7">
        <f t="shared" si="133"/>
        <v>3</v>
      </c>
      <c r="G8540" s="7" t="str">
        <f>LOOKUP(H8540,[1]startdates!$A$2:$A$10,[1]startdates!$B$2:$B$10)</f>
        <v>SMr</v>
      </c>
      <c r="H8540">
        <v>1</v>
      </c>
      <c r="I8540" s="7">
        <v>626.4</v>
      </c>
      <c r="J8540" s="7">
        <v>551.1</v>
      </c>
      <c r="M8540" s="7">
        <v>400.2</v>
      </c>
      <c r="N8540" s="7">
        <v>234.9</v>
      </c>
      <c r="O8540" s="7">
        <v>143.6</v>
      </c>
    </row>
    <row r="8541" spans="1:18" x14ac:dyDescent="0.2">
      <c r="A8541">
        <v>8540</v>
      </c>
      <c r="B8541" s="1">
        <v>41079</v>
      </c>
      <c r="C8541" t="s">
        <v>24</v>
      </c>
      <c r="D8541" s="7">
        <v>337</v>
      </c>
      <c r="E8541" s="7">
        <v>50</v>
      </c>
      <c r="F8541" s="7">
        <f t="shared" si="133"/>
        <v>3</v>
      </c>
      <c r="G8541" s="7" t="str">
        <f>LOOKUP(H8541,[1]startdates!$A$2:$A$10,[1]startdates!$B$2:$B$10)</f>
        <v>SMr</v>
      </c>
      <c r="H8541">
        <v>1</v>
      </c>
      <c r="I8541" s="7">
        <v>574.4</v>
      </c>
      <c r="J8541" s="7">
        <v>592.9</v>
      </c>
      <c r="N8541" s="7">
        <v>219.7</v>
      </c>
      <c r="O8541" s="7">
        <v>147.9</v>
      </c>
    </row>
    <row r="8542" spans="1:18" x14ac:dyDescent="0.2">
      <c r="A8542">
        <v>8541</v>
      </c>
      <c r="B8542" s="1">
        <v>41079</v>
      </c>
      <c r="C8542" t="s">
        <v>24</v>
      </c>
      <c r="D8542" s="7">
        <v>337</v>
      </c>
      <c r="E8542" s="7">
        <v>50</v>
      </c>
      <c r="F8542" s="7">
        <f t="shared" si="133"/>
        <v>3</v>
      </c>
      <c r="G8542" s="7" t="str">
        <f>LOOKUP(H8542,[1]startdates!$A$2:$A$10,[1]startdates!$B$2:$B$10)</f>
        <v>SMr</v>
      </c>
      <c r="H8542">
        <v>1</v>
      </c>
      <c r="I8542" s="7">
        <v>729.5</v>
      </c>
      <c r="J8542" s="7">
        <v>601</v>
      </c>
      <c r="N8542" s="7">
        <v>226.6</v>
      </c>
      <c r="O8542" s="7">
        <v>140</v>
      </c>
    </row>
    <row r="8543" spans="1:18" x14ac:dyDescent="0.2">
      <c r="A8543">
        <v>8542</v>
      </c>
      <c r="B8543" s="1">
        <v>41079</v>
      </c>
      <c r="C8543" t="s">
        <v>24</v>
      </c>
      <c r="D8543" s="7">
        <v>337</v>
      </c>
      <c r="E8543" s="7">
        <v>50</v>
      </c>
      <c r="F8543" s="7">
        <f t="shared" si="133"/>
        <v>3</v>
      </c>
      <c r="G8543" s="7" t="str">
        <f>LOOKUP(H8543,[1]startdates!$A$2:$A$10,[1]startdates!$B$2:$B$10)</f>
        <v>SMr</v>
      </c>
      <c r="H8543">
        <v>1</v>
      </c>
      <c r="I8543" s="7">
        <v>740.6</v>
      </c>
      <c r="J8543" s="7">
        <v>521</v>
      </c>
      <c r="N8543" s="7">
        <v>247.7</v>
      </c>
      <c r="O8543" s="7">
        <v>164.7</v>
      </c>
    </row>
    <row r="8544" spans="1:18" x14ac:dyDescent="0.2">
      <c r="A8544">
        <v>8543</v>
      </c>
      <c r="B8544" s="1">
        <v>41079</v>
      </c>
      <c r="C8544" t="s">
        <v>24</v>
      </c>
      <c r="D8544" s="7">
        <v>337</v>
      </c>
      <c r="E8544" s="7">
        <v>50</v>
      </c>
      <c r="F8544" s="7">
        <f t="shared" si="133"/>
        <v>3</v>
      </c>
      <c r="G8544" s="7" t="str">
        <f>LOOKUP(H8544,[1]startdates!$A$2:$A$10,[1]startdates!$B$2:$B$10)</f>
        <v>SMr</v>
      </c>
      <c r="H8544">
        <v>1</v>
      </c>
      <c r="I8544" s="7">
        <v>751.8</v>
      </c>
      <c r="N8544" s="7">
        <v>205.2</v>
      </c>
      <c r="O8544" s="7">
        <v>164.7</v>
      </c>
    </row>
    <row r="8545" spans="1:21" x14ac:dyDescent="0.2">
      <c r="A8545">
        <v>8544</v>
      </c>
      <c r="B8545" s="1">
        <v>41079</v>
      </c>
      <c r="C8545" t="s">
        <v>24</v>
      </c>
      <c r="D8545" s="7">
        <v>337</v>
      </c>
      <c r="E8545" s="7">
        <v>50</v>
      </c>
      <c r="F8545" s="7">
        <f t="shared" si="133"/>
        <v>3</v>
      </c>
      <c r="G8545" s="7" t="str">
        <f>LOOKUP(H8545,[1]startdates!$A$2:$A$10,[1]startdates!$B$2:$B$10)</f>
        <v>SMr</v>
      </c>
      <c r="H8545">
        <v>1</v>
      </c>
      <c r="I8545" s="7">
        <v>651.5</v>
      </c>
      <c r="N8545" s="7">
        <v>214.2</v>
      </c>
      <c r="O8545" s="7">
        <v>165.4</v>
      </c>
    </row>
    <row r="8546" spans="1:21" x14ac:dyDescent="0.2">
      <c r="A8546">
        <v>8545</v>
      </c>
      <c r="B8546" s="1">
        <v>41079</v>
      </c>
      <c r="C8546" t="s">
        <v>28</v>
      </c>
      <c r="D8546" s="7">
        <v>337</v>
      </c>
      <c r="E8546" s="7">
        <v>50</v>
      </c>
      <c r="F8546" s="7">
        <f t="shared" si="133"/>
        <v>3</v>
      </c>
      <c r="G8546" s="7" t="str">
        <f>LOOKUP(H8546,[1]startdates!$A$2:$A$10,[1]startdates!$B$2:$B$10)</f>
        <v>SMr</v>
      </c>
      <c r="H8546">
        <v>2</v>
      </c>
      <c r="I8546" s="7">
        <v>634.9</v>
      </c>
      <c r="J8546" s="7">
        <v>535.20000000000005</v>
      </c>
      <c r="K8546" s="7">
        <v>429.6</v>
      </c>
      <c r="L8546" s="7">
        <v>404.5</v>
      </c>
      <c r="M8546" s="7">
        <v>336.5</v>
      </c>
      <c r="N8546" s="7">
        <v>155.4</v>
      </c>
      <c r="O8546" s="7">
        <v>151.4</v>
      </c>
      <c r="P8546" s="7">
        <v>454.1</v>
      </c>
      <c r="Q8546" s="7">
        <v>341.1</v>
      </c>
      <c r="U8546" s="7">
        <v>521.29999999999995</v>
      </c>
    </row>
    <row r="8547" spans="1:21" x14ac:dyDescent="0.2">
      <c r="A8547">
        <v>8546</v>
      </c>
      <c r="B8547" s="1">
        <v>41079</v>
      </c>
      <c r="C8547" t="s">
        <v>28</v>
      </c>
      <c r="D8547" s="7">
        <v>337</v>
      </c>
      <c r="E8547" s="7">
        <v>50</v>
      </c>
      <c r="F8547" s="7">
        <f t="shared" si="133"/>
        <v>3</v>
      </c>
      <c r="G8547" s="7" t="str">
        <f>LOOKUP(H8547,[1]startdates!$A$2:$A$10,[1]startdates!$B$2:$B$10)</f>
        <v>SMr</v>
      </c>
      <c r="H8547">
        <v>2</v>
      </c>
      <c r="I8547" s="7">
        <v>562</v>
      </c>
      <c r="K8547" s="7">
        <v>482.5</v>
      </c>
      <c r="M8547" s="7">
        <v>312.60000000000002</v>
      </c>
      <c r="N8547" s="7">
        <v>204.7</v>
      </c>
      <c r="O8547" s="7">
        <v>155</v>
      </c>
      <c r="P8547" s="7">
        <v>449.9</v>
      </c>
      <c r="Q8547" s="7">
        <v>329.4</v>
      </c>
      <c r="U8547" s="7">
        <v>426.5</v>
      </c>
    </row>
    <row r="8548" spans="1:21" x14ac:dyDescent="0.2">
      <c r="A8548">
        <v>8547</v>
      </c>
      <c r="B8548" s="1">
        <v>41079</v>
      </c>
      <c r="C8548" t="s">
        <v>28</v>
      </c>
      <c r="D8548" s="7">
        <v>337</v>
      </c>
      <c r="E8548" s="7">
        <v>50</v>
      </c>
      <c r="F8548" s="7">
        <f t="shared" si="133"/>
        <v>3</v>
      </c>
      <c r="G8548" s="7" t="str">
        <f>LOOKUP(H8548,[1]startdates!$A$2:$A$10,[1]startdates!$B$2:$B$10)</f>
        <v>SMr</v>
      </c>
      <c r="H8548">
        <v>2</v>
      </c>
      <c r="I8548" s="7">
        <v>561.70000000000005</v>
      </c>
      <c r="K8548" s="7">
        <v>473.5</v>
      </c>
      <c r="M8548" s="7">
        <v>367.2</v>
      </c>
      <c r="N8548" s="7">
        <v>206.5</v>
      </c>
      <c r="O8548" s="7">
        <v>157.4</v>
      </c>
      <c r="U8548" s="7">
        <v>474.5</v>
      </c>
    </row>
    <row r="8549" spans="1:21" x14ac:dyDescent="0.2">
      <c r="A8549">
        <v>8548</v>
      </c>
      <c r="B8549" s="1">
        <v>41079</v>
      </c>
      <c r="C8549" t="s">
        <v>28</v>
      </c>
      <c r="D8549" s="7">
        <v>337</v>
      </c>
      <c r="E8549" s="7">
        <v>50</v>
      </c>
      <c r="F8549" s="7">
        <f t="shared" si="133"/>
        <v>3</v>
      </c>
      <c r="G8549" s="7" t="str">
        <f>LOOKUP(H8549,[1]startdates!$A$2:$A$10,[1]startdates!$B$2:$B$10)</f>
        <v>SMr</v>
      </c>
      <c r="H8549">
        <v>2</v>
      </c>
      <c r="I8549" s="7">
        <v>599.79999999999995</v>
      </c>
      <c r="K8549" s="7">
        <v>462.1</v>
      </c>
      <c r="M8549" s="7">
        <v>310.39999999999998</v>
      </c>
      <c r="N8549" s="7">
        <v>163.5</v>
      </c>
      <c r="O8549" s="7">
        <v>155.30000000000001</v>
      </c>
    </row>
    <row r="8550" spans="1:21" x14ac:dyDescent="0.2">
      <c r="A8550">
        <v>8549</v>
      </c>
      <c r="B8550" s="1">
        <v>41079</v>
      </c>
      <c r="C8550" t="s">
        <v>28</v>
      </c>
      <c r="D8550" s="7">
        <v>337</v>
      </c>
      <c r="E8550" s="7">
        <v>50</v>
      </c>
      <c r="F8550" s="7">
        <f t="shared" si="133"/>
        <v>3</v>
      </c>
      <c r="G8550" s="7" t="str">
        <f>LOOKUP(H8550,[1]startdates!$A$2:$A$10,[1]startdates!$B$2:$B$10)</f>
        <v>SMr</v>
      </c>
      <c r="H8550">
        <v>2</v>
      </c>
      <c r="I8550" s="7">
        <v>479</v>
      </c>
      <c r="M8550" s="7">
        <v>344</v>
      </c>
      <c r="N8550" s="7">
        <v>184.4</v>
      </c>
      <c r="O8550" s="7">
        <v>151.80000000000001</v>
      </c>
    </row>
    <row r="8551" spans="1:21" x14ac:dyDescent="0.2">
      <c r="A8551">
        <v>8550</v>
      </c>
      <c r="B8551" s="1">
        <v>41079</v>
      </c>
      <c r="C8551" t="s">
        <v>28</v>
      </c>
      <c r="D8551" s="7">
        <v>337</v>
      </c>
      <c r="E8551" s="7">
        <v>50</v>
      </c>
      <c r="F8551" s="7">
        <f t="shared" si="133"/>
        <v>3</v>
      </c>
      <c r="G8551" s="7" t="str">
        <f>LOOKUP(H8551,[1]startdates!$A$2:$A$10,[1]startdates!$B$2:$B$10)</f>
        <v>SMr</v>
      </c>
      <c r="H8551">
        <v>2</v>
      </c>
      <c r="I8551" s="7">
        <v>510.3</v>
      </c>
      <c r="M8551" s="7">
        <v>338</v>
      </c>
      <c r="N8551" s="7">
        <v>176.8</v>
      </c>
      <c r="O8551" s="7">
        <v>168</v>
      </c>
    </row>
    <row r="8552" spans="1:21" x14ac:dyDescent="0.2">
      <c r="A8552">
        <v>8551</v>
      </c>
      <c r="B8552" s="1">
        <v>41079</v>
      </c>
      <c r="C8552" t="s">
        <v>28</v>
      </c>
      <c r="D8552" s="7">
        <v>337</v>
      </c>
      <c r="E8552" s="7">
        <v>50</v>
      </c>
      <c r="F8552" s="7">
        <f t="shared" si="133"/>
        <v>3</v>
      </c>
      <c r="G8552" s="7" t="str">
        <f>LOOKUP(H8552,[1]startdates!$A$2:$A$10,[1]startdates!$B$2:$B$10)</f>
        <v>SMr</v>
      </c>
      <c r="H8552">
        <v>2</v>
      </c>
      <c r="I8552" s="7">
        <v>512.4</v>
      </c>
      <c r="M8552" s="7">
        <v>383.8</v>
      </c>
      <c r="N8552" s="7">
        <v>165.3</v>
      </c>
      <c r="O8552" s="7">
        <v>151.6</v>
      </c>
    </row>
    <row r="8553" spans="1:21" x14ac:dyDescent="0.2">
      <c r="A8553">
        <v>8552</v>
      </c>
      <c r="B8553" s="1">
        <v>41079</v>
      </c>
      <c r="C8553" t="s">
        <v>28</v>
      </c>
      <c r="D8553" s="7">
        <v>337</v>
      </c>
      <c r="E8553" s="7">
        <v>50</v>
      </c>
      <c r="F8553" s="7">
        <f t="shared" ref="F8553:F8616" si="134">WEEKDAY(B8553)</f>
        <v>3</v>
      </c>
      <c r="G8553" s="7" t="str">
        <f>LOOKUP(H8553,[1]startdates!$A$2:$A$10,[1]startdates!$B$2:$B$10)</f>
        <v>SMr</v>
      </c>
      <c r="H8553">
        <v>2</v>
      </c>
      <c r="I8553" s="7">
        <v>605.1</v>
      </c>
      <c r="M8553" s="7">
        <v>379.5</v>
      </c>
      <c r="N8553" s="7">
        <v>246.7</v>
      </c>
      <c r="O8553" s="7">
        <v>155.30000000000001</v>
      </c>
    </row>
    <row r="8554" spans="1:21" x14ac:dyDescent="0.2">
      <c r="A8554">
        <v>8553</v>
      </c>
      <c r="B8554" s="1">
        <v>41079</v>
      </c>
      <c r="C8554" t="s">
        <v>28</v>
      </c>
      <c r="D8554" s="7">
        <v>337</v>
      </c>
      <c r="E8554" s="7">
        <v>50</v>
      </c>
      <c r="F8554" s="7">
        <f t="shared" si="134"/>
        <v>3</v>
      </c>
      <c r="G8554" s="7" t="str">
        <f>LOOKUP(H8554,[1]startdates!$A$2:$A$10,[1]startdates!$B$2:$B$10)</f>
        <v>SMr</v>
      </c>
      <c r="H8554">
        <v>2</v>
      </c>
      <c r="I8554" s="7">
        <v>494.1</v>
      </c>
      <c r="M8554" s="7">
        <v>301.3</v>
      </c>
      <c r="N8554" s="7">
        <v>194.9</v>
      </c>
      <c r="O8554" s="7">
        <v>147.1</v>
      </c>
    </row>
    <row r="8555" spans="1:21" x14ac:dyDescent="0.2">
      <c r="A8555">
        <v>8554</v>
      </c>
      <c r="B8555" s="1">
        <v>41079</v>
      </c>
      <c r="C8555" t="s">
        <v>28</v>
      </c>
      <c r="D8555" s="7">
        <v>337</v>
      </c>
      <c r="E8555" s="7">
        <v>50</v>
      </c>
      <c r="F8555" s="7">
        <f t="shared" si="134"/>
        <v>3</v>
      </c>
      <c r="G8555" s="7" t="str">
        <f>LOOKUP(H8555,[1]startdates!$A$2:$A$10,[1]startdates!$B$2:$B$10)</f>
        <v>SMr</v>
      </c>
      <c r="H8555">
        <v>2</v>
      </c>
      <c r="I8555" s="7">
        <v>585.6</v>
      </c>
      <c r="M8555" s="7">
        <v>339</v>
      </c>
      <c r="N8555" s="7">
        <v>180.6</v>
      </c>
      <c r="O8555" s="7">
        <v>149.5</v>
      </c>
    </row>
    <row r="8556" spans="1:21" x14ac:dyDescent="0.2">
      <c r="A8556">
        <v>8555</v>
      </c>
      <c r="B8556" s="1">
        <v>41079</v>
      </c>
      <c r="C8556" t="s">
        <v>28</v>
      </c>
      <c r="D8556" s="7">
        <v>337</v>
      </c>
      <c r="E8556" s="7">
        <v>50</v>
      </c>
      <c r="F8556" s="7">
        <f t="shared" si="134"/>
        <v>3</v>
      </c>
      <c r="G8556" s="7" t="str">
        <f>LOOKUP(H8556,[1]startdates!$A$2:$A$10,[1]startdates!$B$2:$B$10)</f>
        <v>C</v>
      </c>
      <c r="H8556">
        <v>3</v>
      </c>
      <c r="I8556" s="7">
        <v>632.9</v>
      </c>
      <c r="J8556" s="7">
        <v>533.6</v>
      </c>
      <c r="K8556" s="7">
        <v>451.8</v>
      </c>
      <c r="L8556" s="7">
        <v>405</v>
      </c>
      <c r="M8556" s="7">
        <v>312.10000000000002</v>
      </c>
      <c r="N8556" s="7">
        <v>182.8</v>
      </c>
      <c r="O8556" s="7">
        <v>156.5</v>
      </c>
      <c r="P8556" s="7">
        <v>464.3</v>
      </c>
      <c r="R8556" s="7">
        <v>248.2</v>
      </c>
    </row>
    <row r="8557" spans="1:21" x14ac:dyDescent="0.2">
      <c r="A8557">
        <v>8556</v>
      </c>
      <c r="B8557" s="1">
        <v>41079</v>
      </c>
      <c r="C8557" t="s">
        <v>28</v>
      </c>
      <c r="D8557" s="7">
        <v>337</v>
      </c>
      <c r="E8557" s="7">
        <v>50</v>
      </c>
      <c r="F8557" s="7">
        <f t="shared" si="134"/>
        <v>3</v>
      </c>
      <c r="G8557" s="7" t="str">
        <f>LOOKUP(H8557,[1]startdates!$A$2:$A$10,[1]startdates!$B$2:$B$10)</f>
        <v>C</v>
      </c>
      <c r="H8557">
        <v>3</v>
      </c>
      <c r="I8557" s="7">
        <v>660.6</v>
      </c>
      <c r="J8557" s="7">
        <v>488.9</v>
      </c>
      <c r="K8557" s="7">
        <v>494.6</v>
      </c>
      <c r="L8557" s="7">
        <v>447.2</v>
      </c>
      <c r="M8557" s="7">
        <v>320.2</v>
      </c>
      <c r="N8557" s="7">
        <v>164.9</v>
      </c>
      <c r="O8557" s="7">
        <v>167</v>
      </c>
      <c r="P8557" s="7">
        <v>429.6</v>
      </c>
      <c r="R8557" s="7">
        <v>262.7</v>
      </c>
    </row>
    <row r="8558" spans="1:21" x14ac:dyDescent="0.2">
      <c r="A8558">
        <v>8557</v>
      </c>
      <c r="B8558" s="1">
        <v>41079</v>
      </c>
      <c r="C8558" t="s">
        <v>28</v>
      </c>
      <c r="D8558" s="7">
        <v>337</v>
      </c>
      <c r="E8558" s="7">
        <v>50</v>
      </c>
      <c r="F8558" s="7">
        <f t="shared" si="134"/>
        <v>3</v>
      </c>
      <c r="G8558" s="7" t="str">
        <f>LOOKUP(H8558,[1]startdates!$A$2:$A$10,[1]startdates!$B$2:$B$10)</f>
        <v>C</v>
      </c>
      <c r="H8558">
        <v>3</v>
      </c>
      <c r="I8558" s="7">
        <v>633.29999999999995</v>
      </c>
      <c r="J8558" s="7">
        <v>559.79999999999995</v>
      </c>
      <c r="K8558" s="7">
        <v>602.6</v>
      </c>
      <c r="L8558" s="7">
        <v>411.1</v>
      </c>
      <c r="M8558" s="7">
        <v>352.3</v>
      </c>
      <c r="N8558" s="7">
        <v>209.3</v>
      </c>
      <c r="O8558" s="7">
        <v>165</v>
      </c>
    </row>
    <row r="8559" spans="1:21" x14ac:dyDescent="0.2">
      <c r="A8559">
        <v>8558</v>
      </c>
      <c r="B8559" s="1">
        <v>41079</v>
      </c>
      <c r="C8559" t="s">
        <v>28</v>
      </c>
      <c r="D8559" s="7">
        <v>337</v>
      </c>
      <c r="E8559" s="7">
        <v>50</v>
      </c>
      <c r="F8559" s="7">
        <f t="shared" si="134"/>
        <v>3</v>
      </c>
      <c r="G8559" s="7" t="str">
        <f>LOOKUP(H8559,[1]startdates!$A$2:$A$10,[1]startdates!$B$2:$B$10)</f>
        <v>C</v>
      </c>
      <c r="H8559">
        <v>3</v>
      </c>
      <c r="I8559" s="7">
        <v>677.1</v>
      </c>
      <c r="J8559" s="7">
        <v>562.5</v>
      </c>
      <c r="L8559" s="7">
        <v>425.6</v>
      </c>
      <c r="M8559" s="7">
        <v>312.60000000000002</v>
      </c>
      <c r="N8559" s="7">
        <v>199.3</v>
      </c>
      <c r="O8559" s="7">
        <v>169.9</v>
      </c>
    </row>
    <row r="8560" spans="1:21" x14ac:dyDescent="0.2">
      <c r="A8560">
        <v>8559</v>
      </c>
      <c r="B8560" s="1">
        <v>41079</v>
      </c>
      <c r="C8560" t="s">
        <v>28</v>
      </c>
      <c r="D8560" s="7">
        <v>337</v>
      </c>
      <c r="E8560" s="7">
        <v>50</v>
      </c>
      <c r="F8560" s="7">
        <f t="shared" si="134"/>
        <v>3</v>
      </c>
      <c r="G8560" s="7" t="str">
        <f>LOOKUP(H8560,[1]startdates!$A$2:$A$10,[1]startdates!$B$2:$B$10)</f>
        <v>C</v>
      </c>
      <c r="H8560">
        <v>3</v>
      </c>
      <c r="I8560" s="7">
        <v>721.9</v>
      </c>
      <c r="J8560" s="7">
        <v>554</v>
      </c>
      <c r="L8560" s="7">
        <v>449.9</v>
      </c>
      <c r="M8560" s="7">
        <v>332.7</v>
      </c>
      <c r="N8560" s="7">
        <v>192.9</v>
      </c>
      <c r="O8560" s="7">
        <v>156.30000000000001</v>
      </c>
    </row>
    <row r="8561" spans="1:21" x14ac:dyDescent="0.2">
      <c r="A8561">
        <v>8560</v>
      </c>
      <c r="B8561" s="1">
        <v>41079</v>
      </c>
      <c r="C8561" t="s">
        <v>28</v>
      </c>
      <c r="D8561" s="7">
        <v>337</v>
      </c>
      <c r="E8561" s="7">
        <v>50</v>
      </c>
      <c r="F8561" s="7">
        <f t="shared" si="134"/>
        <v>3</v>
      </c>
      <c r="G8561" s="7" t="str">
        <f>LOOKUP(H8561,[1]startdates!$A$2:$A$10,[1]startdates!$B$2:$B$10)</f>
        <v>C</v>
      </c>
      <c r="H8561">
        <v>3</v>
      </c>
      <c r="I8561" s="7">
        <v>596.4</v>
      </c>
      <c r="J8561" s="7">
        <v>542.5</v>
      </c>
      <c r="L8561" s="7">
        <v>467.6</v>
      </c>
      <c r="M8561" s="7">
        <v>318.10000000000002</v>
      </c>
      <c r="N8561" s="7">
        <v>219.2</v>
      </c>
      <c r="O8561" s="7">
        <v>145.30000000000001</v>
      </c>
    </row>
    <row r="8562" spans="1:21" x14ac:dyDescent="0.2">
      <c r="A8562">
        <v>8561</v>
      </c>
      <c r="B8562" s="1">
        <v>41079</v>
      </c>
      <c r="C8562" t="s">
        <v>28</v>
      </c>
      <c r="D8562" s="7">
        <v>337</v>
      </c>
      <c r="E8562" s="7">
        <v>50</v>
      </c>
      <c r="F8562" s="7">
        <f t="shared" si="134"/>
        <v>3</v>
      </c>
      <c r="G8562" s="7" t="str">
        <f>LOOKUP(H8562,[1]startdates!$A$2:$A$10,[1]startdates!$B$2:$B$10)</f>
        <v>C</v>
      </c>
      <c r="H8562">
        <v>3</v>
      </c>
      <c r="I8562" s="7">
        <v>596.79999999999995</v>
      </c>
      <c r="J8562" s="7">
        <v>486.7</v>
      </c>
      <c r="M8562" s="7">
        <v>292.89999999999998</v>
      </c>
      <c r="N8562" s="7">
        <v>199.3</v>
      </c>
      <c r="O8562" s="7">
        <v>146.6</v>
      </c>
    </row>
    <row r="8563" spans="1:21" x14ac:dyDescent="0.2">
      <c r="A8563">
        <v>8562</v>
      </c>
      <c r="B8563" s="1">
        <v>41079</v>
      </c>
      <c r="C8563" t="s">
        <v>28</v>
      </c>
      <c r="D8563" s="7">
        <v>337</v>
      </c>
      <c r="E8563" s="7">
        <v>50</v>
      </c>
      <c r="F8563" s="7">
        <f t="shared" si="134"/>
        <v>3</v>
      </c>
      <c r="G8563" s="7" t="str">
        <f>LOOKUP(H8563,[1]startdates!$A$2:$A$10,[1]startdates!$B$2:$B$10)</f>
        <v>C</v>
      </c>
      <c r="H8563">
        <v>3</v>
      </c>
      <c r="I8563" s="7">
        <v>708.5</v>
      </c>
      <c r="N8563" s="7">
        <v>225.3</v>
      </c>
      <c r="O8563" s="7">
        <v>190.1</v>
      </c>
    </row>
    <row r="8564" spans="1:21" x14ac:dyDescent="0.2">
      <c r="A8564">
        <v>8563</v>
      </c>
      <c r="B8564" s="1">
        <v>41079</v>
      </c>
      <c r="C8564" t="s">
        <v>28</v>
      </c>
      <c r="D8564" s="7">
        <v>337</v>
      </c>
      <c r="E8564" s="7">
        <v>50</v>
      </c>
      <c r="F8564" s="7">
        <f t="shared" si="134"/>
        <v>3</v>
      </c>
      <c r="G8564" s="7" t="str">
        <f>LOOKUP(H8564,[1]startdates!$A$2:$A$10,[1]startdates!$B$2:$B$10)</f>
        <v>C</v>
      </c>
      <c r="H8564">
        <v>3</v>
      </c>
      <c r="I8564" s="7">
        <v>667.6</v>
      </c>
      <c r="N8564" s="7">
        <v>173.7</v>
      </c>
      <c r="O8564" s="7">
        <v>165.4</v>
      </c>
    </row>
    <row r="8565" spans="1:21" x14ac:dyDescent="0.2">
      <c r="A8565">
        <v>8564</v>
      </c>
      <c r="B8565" s="1">
        <v>41079</v>
      </c>
      <c r="C8565" t="s">
        <v>28</v>
      </c>
      <c r="D8565" s="7">
        <v>337</v>
      </c>
      <c r="E8565" s="7">
        <v>50</v>
      </c>
      <c r="F8565" s="7">
        <f t="shared" si="134"/>
        <v>3</v>
      </c>
      <c r="G8565" s="7" t="str">
        <f>LOOKUP(H8565,[1]startdates!$A$2:$A$10,[1]startdates!$B$2:$B$10)</f>
        <v>C</v>
      </c>
      <c r="H8565">
        <v>3</v>
      </c>
      <c r="I8565" s="7">
        <v>618.6</v>
      </c>
      <c r="N8565" s="7">
        <v>232.4</v>
      </c>
      <c r="O8565" s="7">
        <v>185.4</v>
      </c>
    </row>
    <row r="8566" spans="1:21" x14ac:dyDescent="0.2">
      <c r="A8566">
        <v>8565</v>
      </c>
      <c r="B8566" s="1">
        <v>41079</v>
      </c>
      <c r="C8566" t="s">
        <v>28</v>
      </c>
      <c r="D8566" s="7">
        <v>337</v>
      </c>
      <c r="E8566" s="7">
        <v>50</v>
      </c>
      <c r="F8566" s="7">
        <f t="shared" si="134"/>
        <v>3</v>
      </c>
      <c r="G8566" s="7" t="str">
        <f>LOOKUP(H8566,[1]startdates!$A$2:$A$10,[1]startdates!$B$2:$B$10)</f>
        <v>SMr</v>
      </c>
      <c r="H8566">
        <v>4</v>
      </c>
      <c r="I8566" s="7">
        <v>723.3</v>
      </c>
      <c r="J8566" s="7">
        <v>517.70000000000005</v>
      </c>
      <c r="K8566" s="7">
        <v>641.29999999999995</v>
      </c>
      <c r="M8566" s="7">
        <v>303.60000000000002</v>
      </c>
      <c r="N8566" s="7">
        <v>224</v>
      </c>
      <c r="O8566" s="7">
        <v>154.1</v>
      </c>
      <c r="P8566" s="7">
        <v>471.1</v>
      </c>
      <c r="Q8566" s="7">
        <v>324.3</v>
      </c>
      <c r="U8566" s="7">
        <v>528.5</v>
      </c>
    </row>
    <row r="8567" spans="1:21" x14ac:dyDescent="0.2">
      <c r="A8567">
        <v>8566</v>
      </c>
      <c r="B8567" s="1">
        <v>41079</v>
      </c>
      <c r="C8567" t="s">
        <v>28</v>
      </c>
      <c r="D8567" s="7">
        <v>337</v>
      </c>
      <c r="E8567" s="7">
        <v>50</v>
      </c>
      <c r="F8567" s="7">
        <f t="shared" si="134"/>
        <v>3</v>
      </c>
      <c r="G8567" s="7" t="str">
        <f>LOOKUP(H8567,[1]startdates!$A$2:$A$10,[1]startdates!$B$2:$B$10)</f>
        <v>SMr</v>
      </c>
      <c r="H8567">
        <v>4</v>
      </c>
      <c r="I8567" s="7">
        <v>563.9</v>
      </c>
      <c r="J8567" s="7">
        <v>549.4</v>
      </c>
      <c r="K8567" s="7">
        <v>508.9</v>
      </c>
      <c r="M8567" s="7">
        <v>350.5</v>
      </c>
      <c r="N8567" s="7">
        <v>220.1</v>
      </c>
      <c r="O8567" s="7">
        <v>160.80000000000001</v>
      </c>
      <c r="P8567" s="7">
        <v>459.5</v>
      </c>
      <c r="Q8567" s="7">
        <v>325.8</v>
      </c>
      <c r="U8567" s="7">
        <v>548.6</v>
      </c>
    </row>
    <row r="8568" spans="1:21" x14ac:dyDescent="0.2">
      <c r="A8568">
        <v>8567</v>
      </c>
      <c r="B8568" s="1">
        <v>41079</v>
      </c>
      <c r="C8568" t="s">
        <v>28</v>
      </c>
      <c r="D8568" s="7">
        <v>337</v>
      </c>
      <c r="E8568" s="7">
        <v>50</v>
      </c>
      <c r="F8568" s="7">
        <f t="shared" si="134"/>
        <v>3</v>
      </c>
      <c r="G8568" s="7" t="str">
        <f>LOOKUP(H8568,[1]startdates!$A$2:$A$10,[1]startdates!$B$2:$B$10)</f>
        <v>SMr</v>
      </c>
      <c r="H8568">
        <v>4</v>
      </c>
      <c r="I8568" s="7">
        <v>604.6</v>
      </c>
      <c r="K8568" s="7">
        <v>432.5</v>
      </c>
      <c r="M8568" s="7">
        <v>306.39999999999998</v>
      </c>
      <c r="N8568" s="7">
        <v>190.9</v>
      </c>
      <c r="O8568" s="7">
        <v>148.4</v>
      </c>
      <c r="P8568" s="7">
        <v>489.5</v>
      </c>
      <c r="U8568" s="7">
        <v>418.7</v>
      </c>
    </row>
    <row r="8569" spans="1:21" x14ac:dyDescent="0.2">
      <c r="A8569">
        <v>8568</v>
      </c>
      <c r="B8569" s="1">
        <v>41079</v>
      </c>
      <c r="C8569" t="s">
        <v>28</v>
      </c>
      <c r="D8569" s="7">
        <v>337</v>
      </c>
      <c r="E8569" s="7">
        <v>50</v>
      </c>
      <c r="F8569" s="7">
        <f t="shared" si="134"/>
        <v>3</v>
      </c>
      <c r="G8569" s="7" t="str">
        <f>LOOKUP(H8569,[1]startdates!$A$2:$A$10,[1]startdates!$B$2:$B$10)</f>
        <v>SMr</v>
      </c>
      <c r="H8569">
        <v>4</v>
      </c>
      <c r="I8569" s="7">
        <v>615</v>
      </c>
      <c r="M8569" s="7">
        <v>273.7</v>
      </c>
      <c r="N8569" s="7">
        <v>206.5</v>
      </c>
      <c r="O8569" s="7">
        <v>168.3</v>
      </c>
    </row>
    <row r="8570" spans="1:21" x14ac:dyDescent="0.2">
      <c r="A8570">
        <v>8569</v>
      </c>
      <c r="B8570" s="1">
        <v>41079</v>
      </c>
      <c r="C8570" t="s">
        <v>28</v>
      </c>
      <c r="D8570" s="7">
        <v>337</v>
      </c>
      <c r="E8570" s="7">
        <v>50</v>
      </c>
      <c r="F8570" s="7">
        <f t="shared" si="134"/>
        <v>3</v>
      </c>
      <c r="G8570" s="7" t="str">
        <f>LOOKUP(H8570,[1]startdates!$A$2:$A$10,[1]startdates!$B$2:$B$10)</f>
        <v>SMr</v>
      </c>
      <c r="H8570">
        <v>4</v>
      </c>
      <c r="I8570" s="7">
        <v>656.6</v>
      </c>
      <c r="M8570" s="7">
        <v>372.8</v>
      </c>
      <c r="N8570" s="7">
        <v>193.8</v>
      </c>
      <c r="O8570" s="7">
        <v>142.30000000000001</v>
      </c>
    </row>
    <row r="8571" spans="1:21" x14ac:dyDescent="0.2">
      <c r="A8571">
        <v>8570</v>
      </c>
      <c r="B8571" s="1">
        <v>41079</v>
      </c>
      <c r="C8571" t="s">
        <v>28</v>
      </c>
      <c r="D8571" s="7">
        <v>337</v>
      </c>
      <c r="E8571" s="7">
        <v>50</v>
      </c>
      <c r="F8571" s="7">
        <f t="shared" si="134"/>
        <v>3</v>
      </c>
      <c r="G8571" s="7" t="str">
        <f>LOOKUP(H8571,[1]startdates!$A$2:$A$10,[1]startdates!$B$2:$B$10)</f>
        <v>SMr</v>
      </c>
      <c r="H8571">
        <v>4</v>
      </c>
      <c r="I8571" s="7">
        <v>634.5</v>
      </c>
      <c r="M8571" s="7">
        <v>384.2</v>
      </c>
      <c r="N8571" s="7">
        <v>257.89999999999998</v>
      </c>
      <c r="O8571" s="7">
        <v>160.4</v>
      </c>
    </row>
    <row r="8572" spans="1:21" x14ac:dyDescent="0.2">
      <c r="A8572">
        <v>8571</v>
      </c>
      <c r="B8572" s="1">
        <v>41079</v>
      </c>
      <c r="C8572" t="s">
        <v>28</v>
      </c>
      <c r="D8572" s="7">
        <v>337</v>
      </c>
      <c r="E8572" s="7">
        <v>50</v>
      </c>
      <c r="F8572" s="7">
        <f t="shared" si="134"/>
        <v>3</v>
      </c>
      <c r="G8572" s="7" t="str">
        <f>LOOKUP(H8572,[1]startdates!$A$2:$A$10,[1]startdates!$B$2:$B$10)</f>
        <v>SMr</v>
      </c>
      <c r="H8572">
        <v>4</v>
      </c>
      <c r="I8572" s="7">
        <v>524.70000000000005</v>
      </c>
      <c r="M8572" s="7">
        <v>328.4</v>
      </c>
      <c r="N8572" s="7">
        <v>217.3</v>
      </c>
      <c r="O8572" s="7">
        <v>161.9</v>
      </c>
    </row>
    <row r="8573" spans="1:21" x14ac:dyDescent="0.2">
      <c r="A8573">
        <v>8572</v>
      </c>
      <c r="B8573" s="1">
        <v>41079</v>
      </c>
      <c r="C8573" t="s">
        <v>28</v>
      </c>
      <c r="D8573" s="7">
        <v>337</v>
      </c>
      <c r="E8573" s="7">
        <v>50</v>
      </c>
      <c r="F8573" s="7">
        <f t="shared" si="134"/>
        <v>3</v>
      </c>
      <c r="G8573" s="7" t="str">
        <f>LOOKUP(H8573,[1]startdates!$A$2:$A$10,[1]startdates!$B$2:$B$10)</f>
        <v>SMr</v>
      </c>
      <c r="H8573">
        <v>4</v>
      </c>
      <c r="I8573" s="7">
        <v>548.9</v>
      </c>
      <c r="M8573" s="7">
        <v>382.4</v>
      </c>
      <c r="N8573" s="7">
        <v>254.8</v>
      </c>
      <c r="O8573" s="7">
        <v>139.69999999999999</v>
      </c>
    </row>
    <row r="8574" spans="1:21" x14ac:dyDescent="0.2">
      <c r="A8574">
        <v>8573</v>
      </c>
      <c r="B8574" s="1">
        <v>41079</v>
      </c>
      <c r="C8574" t="s">
        <v>28</v>
      </c>
      <c r="D8574" s="7">
        <v>337</v>
      </c>
      <c r="E8574" s="7">
        <v>50</v>
      </c>
      <c r="F8574" s="7">
        <f t="shared" si="134"/>
        <v>3</v>
      </c>
      <c r="G8574" s="7" t="str">
        <f>LOOKUP(H8574,[1]startdates!$A$2:$A$10,[1]startdates!$B$2:$B$10)</f>
        <v>SMr</v>
      </c>
      <c r="H8574">
        <v>4</v>
      </c>
      <c r="I8574" s="7">
        <v>647.20000000000005</v>
      </c>
      <c r="N8574" s="7">
        <v>212.8</v>
      </c>
      <c r="O8574" s="7">
        <v>159.5</v>
      </c>
    </row>
    <row r="8575" spans="1:21" x14ac:dyDescent="0.2">
      <c r="A8575">
        <v>8574</v>
      </c>
      <c r="B8575" s="1">
        <v>41079</v>
      </c>
      <c r="C8575" t="s">
        <v>28</v>
      </c>
      <c r="D8575" s="7">
        <v>337</v>
      </c>
      <c r="E8575" s="7">
        <v>50</v>
      </c>
      <c r="F8575" s="7">
        <f t="shared" si="134"/>
        <v>3</v>
      </c>
      <c r="G8575" s="7" t="str">
        <f>LOOKUP(H8575,[1]startdates!$A$2:$A$10,[1]startdates!$B$2:$B$10)</f>
        <v>SMr</v>
      </c>
      <c r="H8575">
        <v>4</v>
      </c>
      <c r="I8575" s="7">
        <v>529</v>
      </c>
      <c r="N8575" s="7">
        <v>201.4</v>
      </c>
      <c r="O8575" s="7">
        <v>180.1</v>
      </c>
    </row>
    <row r="8576" spans="1:21" x14ac:dyDescent="0.2">
      <c r="A8576">
        <v>8575</v>
      </c>
      <c r="B8576" s="1">
        <v>41079</v>
      </c>
      <c r="C8576" t="s">
        <v>28</v>
      </c>
      <c r="D8576" s="7">
        <v>337</v>
      </c>
      <c r="E8576" s="7">
        <v>50</v>
      </c>
      <c r="F8576" s="7">
        <f t="shared" si="134"/>
        <v>3</v>
      </c>
      <c r="G8576" s="7" t="str">
        <f>LOOKUP(H8576,[1]startdates!$A$2:$A$10,[1]startdates!$B$2:$B$10)</f>
        <v>SMr</v>
      </c>
      <c r="H8576">
        <v>4</v>
      </c>
      <c r="I8576" s="7">
        <v>679.5</v>
      </c>
    </row>
    <row r="8577" spans="1:18" x14ac:dyDescent="0.2">
      <c r="A8577">
        <v>8576</v>
      </c>
      <c r="B8577" s="1">
        <v>41079</v>
      </c>
      <c r="C8577" t="s">
        <v>28</v>
      </c>
      <c r="D8577" s="7">
        <v>337</v>
      </c>
      <c r="E8577" s="7">
        <v>50</v>
      </c>
      <c r="F8577" s="7">
        <f t="shared" si="134"/>
        <v>3</v>
      </c>
      <c r="G8577" s="7" t="str">
        <f>LOOKUP(H8577,[1]startdates!$A$2:$A$10,[1]startdates!$B$2:$B$10)</f>
        <v>C</v>
      </c>
      <c r="H8577">
        <v>5</v>
      </c>
      <c r="I8577" s="7">
        <v>613.79999999999995</v>
      </c>
      <c r="J8577" s="7">
        <v>580</v>
      </c>
      <c r="K8577" s="7">
        <v>578.6</v>
      </c>
      <c r="L8577" s="7">
        <v>423.3</v>
      </c>
      <c r="M8577" s="7">
        <v>350.2</v>
      </c>
      <c r="N8577" s="7">
        <v>180.6</v>
      </c>
      <c r="O8577" s="7">
        <v>145.19999999999999</v>
      </c>
      <c r="P8577" s="7">
        <v>446.2</v>
      </c>
    </row>
    <row r="8578" spans="1:18" x14ac:dyDescent="0.2">
      <c r="A8578">
        <v>8577</v>
      </c>
      <c r="B8578" s="1">
        <v>41079</v>
      </c>
      <c r="C8578" t="s">
        <v>28</v>
      </c>
      <c r="D8578" s="7">
        <v>337</v>
      </c>
      <c r="E8578" s="7">
        <v>50</v>
      </c>
      <c r="F8578" s="7">
        <f t="shared" si="134"/>
        <v>3</v>
      </c>
      <c r="G8578" s="7" t="str">
        <f>LOOKUP(H8578,[1]startdates!$A$2:$A$10,[1]startdates!$B$2:$B$10)</f>
        <v>C</v>
      </c>
      <c r="H8578">
        <v>5</v>
      </c>
      <c r="I8578" s="7">
        <v>639.20000000000005</v>
      </c>
      <c r="K8578" s="7">
        <v>536.70000000000005</v>
      </c>
      <c r="M8578" s="7">
        <v>387.4</v>
      </c>
      <c r="N8578" s="7">
        <v>170.6</v>
      </c>
      <c r="O8578" s="7">
        <v>150.19999999999999</v>
      </c>
      <c r="P8578" s="7">
        <v>424.5</v>
      </c>
    </row>
    <row r="8579" spans="1:18" x14ac:dyDescent="0.2">
      <c r="A8579">
        <v>8578</v>
      </c>
      <c r="B8579" s="1">
        <v>41079</v>
      </c>
      <c r="C8579" t="s">
        <v>28</v>
      </c>
      <c r="D8579" s="7">
        <v>337</v>
      </c>
      <c r="E8579" s="7">
        <v>50</v>
      </c>
      <c r="F8579" s="7">
        <f t="shared" si="134"/>
        <v>3</v>
      </c>
      <c r="G8579" s="7" t="str">
        <f>LOOKUP(H8579,[1]startdates!$A$2:$A$10,[1]startdates!$B$2:$B$10)</f>
        <v>C</v>
      </c>
      <c r="H8579">
        <v>5</v>
      </c>
      <c r="I8579" s="7">
        <v>706.6</v>
      </c>
      <c r="K8579" s="7">
        <v>580.29999999999995</v>
      </c>
      <c r="M8579" s="7">
        <v>405.9</v>
      </c>
      <c r="N8579" s="7">
        <v>182.8</v>
      </c>
      <c r="O8579" s="7">
        <v>184.1</v>
      </c>
      <c r="P8579" s="7">
        <v>438.5</v>
      </c>
    </row>
    <row r="8580" spans="1:18" x14ac:dyDescent="0.2">
      <c r="A8580">
        <v>8579</v>
      </c>
      <c r="B8580" s="1">
        <v>41079</v>
      </c>
      <c r="C8580" t="s">
        <v>28</v>
      </c>
      <c r="D8580" s="7">
        <v>337</v>
      </c>
      <c r="E8580" s="7">
        <v>50</v>
      </c>
      <c r="F8580" s="7">
        <f t="shared" si="134"/>
        <v>3</v>
      </c>
      <c r="G8580" s="7" t="str">
        <f>LOOKUP(H8580,[1]startdates!$A$2:$A$10,[1]startdates!$B$2:$B$10)</f>
        <v>C</v>
      </c>
      <c r="H8580">
        <v>5</v>
      </c>
      <c r="I8580" s="7">
        <v>699.4</v>
      </c>
      <c r="K8580" s="7">
        <v>601.5</v>
      </c>
      <c r="M8580" s="7">
        <v>361.1</v>
      </c>
      <c r="N8580" s="7">
        <v>163</v>
      </c>
      <c r="O8580" s="7">
        <v>153.4</v>
      </c>
      <c r="P8580" s="7">
        <v>427.3</v>
      </c>
    </row>
    <row r="8581" spans="1:18" x14ac:dyDescent="0.2">
      <c r="A8581">
        <v>8580</v>
      </c>
      <c r="B8581" s="1">
        <v>41079</v>
      </c>
      <c r="C8581" t="s">
        <v>28</v>
      </c>
      <c r="D8581" s="7">
        <v>337</v>
      </c>
      <c r="E8581" s="7">
        <v>50</v>
      </c>
      <c r="F8581" s="7">
        <f t="shared" si="134"/>
        <v>3</v>
      </c>
      <c r="G8581" s="7" t="str">
        <f>LOOKUP(H8581,[1]startdates!$A$2:$A$10,[1]startdates!$B$2:$B$10)</f>
        <v>C</v>
      </c>
      <c r="H8581">
        <v>5</v>
      </c>
      <c r="I8581" s="7">
        <v>580.70000000000005</v>
      </c>
      <c r="K8581" s="7">
        <v>601.5</v>
      </c>
      <c r="M8581" s="7">
        <v>345.1</v>
      </c>
      <c r="N8581" s="7">
        <v>177.1</v>
      </c>
      <c r="O8581" s="7">
        <v>148.19999999999999</v>
      </c>
      <c r="P8581" s="7">
        <v>469.1</v>
      </c>
    </row>
    <row r="8582" spans="1:18" x14ac:dyDescent="0.2">
      <c r="A8582">
        <v>8581</v>
      </c>
      <c r="B8582" s="1">
        <v>41079</v>
      </c>
      <c r="C8582" t="s">
        <v>28</v>
      </c>
      <c r="D8582" s="7">
        <v>337</v>
      </c>
      <c r="E8582" s="7">
        <v>50</v>
      </c>
      <c r="F8582" s="7">
        <f t="shared" si="134"/>
        <v>3</v>
      </c>
      <c r="G8582" s="7" t="str">
        <f>LOOKUP(H8582,[1]startdates!$A$2:$A$10,[1]startdates!$B$2:$B$10)</f>
        <v>C</v>
      </c>
      <c r="H8582">
        <v>5</v>
      </c>
      <c r="I8582" s="7">
        <v>697.8</v>
      </c>
      <c r="M8582" s="7">
        <v>361.1</v>
      </c>
      <c r="N8582" s="7">
        <v>174.6</v>
      </c>
      <c r="O8582" s="7">
        <v>146.6</v>
      </c>
      <c r="P8582" s="7">
        <v>433.2</v>
      </c>
    </row>
    <row r="8583" spans="1:18" x14ac:dyDescent="0.2">
      <c r="A8583">
        <v>8582</v>
      </c>
      <c r="B8583" s="1">
        <v>41079</v>
      </c>
      <c r="C8583" t="s">
        <v>28</v>
      </c>
      <c r="D8583" s="7">
        <v>337</v>
      </c>
      <c r="E8583" s="7">
        <v>50</v>
      </c>
      <c r="F8583" s="7">
        <f t="shared" si="134"/>
        <v>3</v>
      </c>
      <c r="G8583" s="7" t="str">
        <f>LOOKUP(H8583,[1]startdates!$A$2:$A$10,[1]startdates!$B$2:$B$10)</f>
        <v>C</v>
      </c>
      <c r="H8583">
        <v>5</v>
      </c>
      <c r="I8583" s="7">
        <v>642.6</v>
      </c>
      <c r="M8583" s="7">
        <v>341.8</v>
      </c>
      <c r="N8583" s="7">
        <v>194.9</v>
      </c>
      <c r="O8583" s="7">
        <v>163</v>
      </c>
    </row>
    <row r="8584" spans="1:18" x14ac:dyDescent="0.2">
      <c r="A8584">
        <v>8583</v>
      </c>
      <c r="B8584" s="1">
        <v>41079</v>
      </c>
      <c r="C8584" t="s">
        <v>28</v>
      </c>
      <c r="D8584" s="7">
        <v>337</v>
      </c>
      <c r="E8584" s="7">
        <v>50</v>
      </c>
      <c r="F8584" s="7">
        <f t="shared" si="134"/>
        <v>3</v>
      </c>
      <c r="G8584" s="7" t="str">
        <f>LOOKUP(H8584,[1]startdates!$A$2:$A$10,[1]startdates!$B$2:$B$10)</f>
        <v>C</v>
      </c>
      <c r="H8584">
        <v>5</v>
      </c>
      <c r="I8584" s="7">
        <v>699.7</v>
      </c>
      <c r="N8584" s="7">
        <v>176.8</v>
      </c>
      <c r="O8584" s="7">
        <v>153.80000000000001</v>
      </c>
    </row>
    <row r="8585" spans="1:18" x14ac:dyDescent="0.2">
      <c r="A8585">
        <v>8584</v>
      </c>
      <c r="B8585" s="1">
        <v>41079</v>
      </c>
      <c r="C8585" t="s">
        <v>28</v>
      </c>
      <c r="D8585" s="7">
        <v>337</v>
      </c>
      <c r="E8585" s="7">
        <v>50</v>
      </c>
      <c r="F8585" s="7">
        <f t="shared" si="134"/>
        <v>3</v>
      </c>
      <c r="G8585" s="7" t="str">
        <f>LOOKUP(H8585,[1]startdates!$A$2:$A$10,[1]startdates!$B$2:$B$10)</f>
        <v>C</v>
      </c>
      <c r="H8585">
        <v>5</v>
      </c>
      <c r="I8585" s="7">
        <v>674.4</v>
      </c>
      <c r="N8585" s="7">
        <v>226.3</v>
      </c>
      <c r="O8585" s="7">
        <v>151.69999999999999</v>
      </c>
    </row>
    <row r="8586" spans="1:18" x14ac:dyDescent="0.2">
      <c r="A8586">
        <v>8585</v>
      </c>
      <c r="B8586" s="1">
        <v>41079</v>
      </c>
      <c r="C8586" t="s">
        <v>28</v>
      </c>
      <c r="D8586" s="7">
        <v>337</v>
      </c>
      <c r="E8586" s="7">
        <v>50</v>
      </c>
      <c r="F8586" s="7">
        <f t="shared" si="134"/>
        <v>3</v>
      </c>
      <c r="G8586" s="7" t="str">
        <f>LOOKUP(H8586,[1]startdates!$A$2:$A$10,[1]startdates!$B$2:$B$10)</f>
        <v>C</v>
      </c>
      <c r="H8586">
        <v>5</v>
      </c>
      <c r="I8586" s="7">
        <v>530.70000000000005</v>
      </c>
      <c r="N8586" s="7">
        <v>195.7</v>
      </c>
      <c r="O8586" s="7">
        <v>168.6</v>
      </c>
    </row>
    <row r="8587" spans="1:18" x14ac:dyDescent="0.2">
      <c r="A8587">
        <v>8586</v>
      </c>
      <c r="B8587" s="1">
        <v>41079</v>
      </c>
      <c r="C8587" t="s">
        <v>24</v>
      </c>
      <c r="D8587" s="7">
        <v>337</v>
      </c>
      <c r="E8587" s="7">
        <v>50</v>
      </c>
      <c r="F8587" s="7">
        <f t="shared" si="134"/>
        <v>3</v>
      </c>
      <c r="G8587" s="7" t="str">
        <f>LOOKUP(H8587,[1]startdates!$A$2:$A$10,[1]startdates!$B$2:$B$10)</f>
        <v>FMr</v>
      </c>
      <c r="H8587">
        <v>6</v>
      </c>
      <c r="I8587" s="7">
        <v>611.9</v>
      </c>
      <c r="K8587" s="7">
        <v>541.4</v>
      </c>
      <c r="L8587" s="7">
        <v>405.3</v>
      </c>
      <c r="M8587" s="7">
        <v>376.4</v>
      </c>
      <c r="N8587" s="7">
        <v>207.9</v>
      </c>
      <c r="O8587" s="7">
        <v>162</v>
      </c>
      <c r="P8587" s="7">
        <v>439.1</v>
      </c>
      <c r="R8587" s="7">
        <v>266.60000000000002</v>
      </c>
    </row>
    <row r="8588" spans="1:18" x14ac:dyDescent="0.2">
      <c r="A8588">
        <v>8587</v>
      </c>
      <c r="B8588" s="1">
        <v>41079</v>
      </c>
      <c r="C8588" t="s">
        <v>24</v>
      </c>
      <c r="D8588" s="7">
        <v>337</v>
      </c>
      <c r="E8588" s="7">
        <v>50</v>
      </c>
      <c r="F8588" s="7">
        <f t="shared" si="134"/>
        <v>3</v>
      </c>
      <c r="G8588" s="7" t="str">
        <f>LOOKUP(H8588,[1]startdates!$A$2:$A$10,[1]startdates!$B$2:$B$10)</f>
        <v>FMr</v>
      </c>
      <c r="H8588">
        <v>6</v>
      </c>
      <c r="I8588" s="7">
        <v>647.70000000000005</v>
      </c>
      <c r="K8588" s="7">
        <v>486.8</v>
      </c>
      <c r="L8588" s="7">
        <v>414.5</v>
      </c>
      <c r="M8588" s="7">
        <v>335.8</v>
      </c>
      <c r="N8588" s="7">
        <v>221.5</v>
      </c>
      <c r="O8588" s="7">
        <v>147.30000000000001</v>
      </c>
    </row>
    <row r="8589" spans="1:18" x14ac:dyDescent="0.2">
      <c r="A8589">
        <v>8588</v>
      </c>
      <c r="B8589" s="1">
        <v>41079</v>
      </c>
      <c r="C8589" t="s">
        <v>24</v>
      </c>
      <c r="D8589" s="7">
        <v>337</v>
      </c>
      <c r="E8589" s="7">
        <v>50</v>
      </c>
      <c r="F8589" s="7">
        <f t="shared" si="134"/>
        <v>3</v>
      </c>
      <c r="G8589" s="7" t="str">
        <f>LOOKUP(H8589,[1]startdates!$A$2:$A$10,[1]startdates!$B$2:$B$10)</f>
        <v>FMr</v>
      </c>
      <c r="H8589">
        <v>6</v>
      </c>
      <c r="I8589" s="7">
        <v>586.70000000000005</v>
      </c>
      <c r="K8589" s="7">
        <v>468.6</v>
      </c>
      <c r="M8589" s="7">
        <v>305.7</v>
      </c>
      <c r="N8589" s="7">
        <v>219</v>
      </c>
      <c r="O8589" s="7">
        <v>168.6</v>
      </c>
    </row>
    <row r="8590" spans="1:18" x14ac:dyDescent="0.2">
      <c r="A8590">
        <v>8589</v>
      </c>
      <c r="B8590" s="1">
        <v>41079</v>
      </c>
      <c r="C8590" t="s">
        <v>24</v>
      </c>
      <c r="D8590" s="7">
        <v>337</v>
      </c>
      <c r="E8590" s="7">
        <v>50</v>
      </c>
      <c r="F8590" s="7">
        <f t="shared" si="134"/>
        <v>3</v>
      </c>
      <c r="G8590" s="7" t="str">
        <f>LOOKUP(H8590,[1]startdates!$A$2:$A$10,[1]startdates!$B$2:$B$10)</f>
        <v>FMr</v>
      </c>
      <c r="H8590">
        <v>6</v>
      </c>
      <c r="I8590" s="7">
        <v>492.5</v>
      </c>
      <c r="K8590" s="7">
        <v>524.4</v>
      </c>
      <c r="M8590" s="7">
        <v>372.7</v>
      </c>
      <c r="N8590" s="7">
        <v>223.3</v>
      </c>
      <c r="O8590" s="7">
        <v>161.69999999999999</v>
      </c>
    </row>
    <row r="8591" spans="1:18" x14ac:dyDescent="0.2">
      <c r="A8591">
        <v>8590</v>
      </c>
      <c r="B8591" s="1">
        <v>41079</v>
      </c>
      <c r="C8591" t="s">
        <v>24</v>
      </c>
      <c r="D8591" s="7">
        <v>337</v>
      </c>
      <c r="E8591" s="7">
        <v>50</v>
      </c>
      <c r="F8591" s="7">
        <f t="shared" si="134"/>
        <v>3</v>
      </c>
      <c r="G8591" s="7" t="str">
        <f>LOOKUP(H8591,[1]startdates!$A$2:$A$10,[1]startdates!$B$2:$B$10)</f>
        <v>FMr</v>
      </c>
      <c r="H8591">
        <v>6</v>
      </c>
      <c r="I8591" s="7">
        <v>567</v>
      </c>
      <c r="K8591" s="7">
        <v>488.2</v>
      </c>
      <c r="M8591" s="7">
        <v>311.60000000000002</v>
      </c>
      <c r="N8591" s="7">
        <v>238.7</v>
      </c>
      <c r="O8591" s="7">
        <v>155</v>
      </c>
    </row>
    <row r="8592" spans="1:18" x14ac:dyDescent="0.2">
      <c r="A8592">
        <v>8591</v>
      </c>
      <c r="B8592" s="1">
        <v>41079</v>
      </c>
      <c r="C8592" t="s">
        <v>24</v>
      </c>
      <c r="D8592" s="7">
        <v>337</v>
      </c>
      <c r="E8592" s="7">
        <v>50</v>
      </c>
      <c r="F8592" s="7">
        <f t="shared" si="134"/>
        <v>3</v>
      </c>
      <c r="G8592" s="7" t="str">
        <f>LOOKUP(H8592,[1]startdates!$A$2:$A$10,[1]startdates!$B$2:$B$10)</f>
        <v>FMr</v>
      </c>
      <c r="H8592">
        <v>6</v>
      </c>
      <c r="I8592" s="7">
        <v>576.29999999999995</v>
      </c>
      <c r="K8592" s="7">
        <v>390.3</v>
      </c>
      <c r="N8592" s="7">
        <v>224.1</v>
      </c>
      <c r="O8592" s="7">
        <v>165.7</v>
      </c>
    </row>
    <row r="8593" spans="1:22" x14ac:dyDescent="0.2">
      <c r="A8593">
        <v>8592</v>
      </c>
      <c r="B8593" s="1">
        <v>41079</v>
      </c>
      <c r="C8593" t="s">
        <v>24</v>
      </c>
      <c r="D8593" s="7">
        <v>337</v>
      </c>
      <c r="E8593" s="7">
        <v>50</v>
      </c>
      <c r="F8593" s="7">
        <f t="shared" si="134"/>
        <v>3</v>
      </c>
      <c r="G8593" s="7" t="str">
        <f>LOOKUP(H8593,[1]startdates!$A$2:$A$10,[1]startdates!$B$2:$B$10)</f>
        <v>FMr</v>
      </c>
      <c r="H8593">
        <v>6</v>
      </c>
      <c r="I8593" s="7">
        <v>623.5</v>
      </c>
      <c r="K8593" s="7">
        <v>504.6</v>
      </c>
      <c r="N8593" s="7">
        <v>211</v>
      </c>
      <c r="O8593" s="7">
        <v>167.1</v>
      </c>
    </row>
    <row r="8594" spans="1:22" x14ac:dyDescent="0.2">
      <c r="A8594">
        <v>8593</v>
      </c>
      <c r="B8594" s="1">
        <v>41079</v>
      </c>
      <c r="C8594" t="s">
        <v>24</v>
      </c>
      <c r="D8594" s="7">
        <v>337</v>
      </c>
      <c r="E8594" s="7">
        <v>50</v>
      </c>
      <c r="F8594" s="7">
        <f t="shared" si="134"/>
        <v>3</v>
      </c>
      <c r="G8594" s="7" t="str">
        <f>LOOKUP(H8594,[1]startdates!$A$2:$A$10,[1]startdates!$B$2:$B$10)</f>
        <v>FMr</v>
      </c>
      <c r="H8594">
        <v>6</v>
      </c>
      <c r="I8594" s="7">
        <v>571.9</v>
      </c>
      <c r="N8594" s="7">
        <v>222.5</v>
      </c>
      <c r="O8594" s="7">
        <v>182.8</v>
      </c>
    </row>
    <row r="8595" spans="1:22" x14ac:dyDescent="0.2">
      <c r="A8595">
        <v>8594</v>
      </c>
      <c r="B8595" s="1">
        <v>41079</v>
      </c>
      <c r="C8595" t="s">
        <v>24</v>
      </c>
      <c r="D8595" s="7">
        <v>337</v>
      </c>
      <c r="E8595" s="7">
        <v>50</v>
      </c>
      <c r="F8595" s="7">
        <f t="shared" si="134"/>
        <v>3</v>
      </c>
      <c r="G8595" s="7" t="str">
        <f>LOOKUP(H8595,[1]startdates!$A$2:$A$10,[1]startdates!$B$2:$B$10)</f>
        <v>FMr</v>
      </c>
      <c r="H8595">
        <v>6</v>
      </c>
      <c r="I8595" s="7">
        <v>595.79999999999995</v>
      </c>
      <c r="N8595" s="7">
        <v>239.3</v>
      </c>
      <c r="O8595" s="7">
        <v>163</v>
      </c>
    </row>
    <row r="8596" spans="1:22" x14ac:dyDescent="0.2">
      <c r="A8596">
        <v>8595</v>
      </c>
      <c r="B8596" s="1">
        <v>41079</v>
      </c>
      <c r="C8596" t="s">
        <v>24</v>
      </c>
      <c r="D8596" s="7">
        <v>337</v>
      </c>
      <c r="E8596" s="7">
        <v>50</v>
      </c>
      <c r="F8596" s="7">
        <f t="shared" si="134"/>
        <v>3</v>
      </c>
      <c r="G8596" s="7" t="str">
        <f>LOOKUP(H8596,[1]startdates!$A$2:$A$10,[1]startdates!$B$2:$B$10)</f>
        <v>FMr</v>
      </c>
      <c r="H8596">
        <v>6</v>
      </c>
      <c r="I8596" s="7">
        <v>626.1</v>
      </c>
      <c r="N8596" s="7">
        <v>226.1</v>
      </c>
      <c r="O8596" s="7">
        <v>177.7</v>
      </c>
    </row>
    <row r="8597" spans="1:22" x14ac:dyDescent="0.2">
      <c r="A8597">
        <v>8596</v>
      </c>
      <c r="B8597" s="1">
        <v>41079</v>
      </c>
      <c r="C8597" t="s">
        <v>24</v>
      </c>
      <c r="D8597" s="7">
        <v>337</v>
      </c>
      <c r="E8597" s="7">
        <v>50</v>
      </c>
      <c r="F8597" s="7">
        <f t="shared" si="134"/>
        <v>3</v>
      </c>
      <c r="G8597" s="7" t="str">
        <f>LOOKUP(H8597,[1]startdates!$A$2:$A$10,[1]startdates!$B$2:$B$10)</f>
        <v>FMr</v>
      </c>
      <c r="H8597">
        <v>7</v>
      </c>
      <c r="I8597" s="7">
        <v>644.29999999999995</v>
      </c>
      <c r="J8597" s="7">
        <v>607.29999999999995</v>
      </c>
      <c r="K8597" s="7">
        <v>611.79999999999995</v>
      </c>
      <c r="L8597" s="7">
        <v>409.1</v>
      </c>
      <c r="M8597" s="7">
        <v>350.7</v>
      </c>
      <c r="N8597" s="7">
        <v>205.5</v>
      </c>
      <c r="O8597" s="7">
        <v>178.6</v>
      </c>
      <c r="P8597" s="7">
        <v>459.9</v>
      </c>
      <c r="Q8597" s="7">
        <v>331.9</v>
      </c>
      <c r="V8597" s="7">
        <v>497.3</v>
      </c>
    </row>
    <row r="8598" spans="1:22" x14ac:dyDescent="0.2">
      <c r="A8598">
        <v>8597</v>
      </c>
      <c r="B8598" s="1">
        <v>41079</v>
      </c>
      <c r="C8598" t="s">
        <v>24</v>
      </c>
      <c r="D8598" s="7">
        <v>337</v>
      </c>
      <c r="E8598" s="7">
        <v>50</v>
      </c>
      <c r="F8598" s="7">
        <f t="shared" si="134"/>
        <v>3</v>
      </c>
      <c r="G8598" s="7" t="str">
        <f>LOOKUP(H8598,[1]startdates!$A$2:$A$10,[1]startdates!$B$2:$B$10)</f>
        <v>FMr</v>
      </c>
      <c r="H8598">
        <v>7</v>
      </c>
      <c r="I8598" s="7">
        <v>611.29999999999995</v>
      </c>
      <c r="J8598" s="7">
        <v>493.6</v>
      </c>
      <c r="K8598" s="7">
        <v>581.29999999999995</v>
      </c>
      <c r="L8598" s="7">
        <v>432</v>
      </c>
      <c r="M8598" s="7">
        <v>370.6</v>
      </c>
      <c r="N8598" s="7">
        <v>227.2</v>
      </c>
      <c r="O8598" s="7">
        <v>151.5</v>
      </c>
      <c r="P8598" s="7">
        <v>498.6</v>
      </c>
      <c r="V8598" s="7">
        <v>508.5</v>
      </c>
    </row>
    <row r="8599" spans="1:22" x14ac:dyDescent="0.2">
      <c r="A8599">
        <v>8598</v>
      </c>
      <c r="B8599" s="1">
        <v>41079</v>
      </c>
      <c r="C8599" t="s">
        <v>24</v>
      </c>
      <c r="D8599" s="7">
        <v>337</v>
      </c>
      <c r="E8599" s="7">
        <v>50</v>
      </c>
      <c r="F8599" s="7">
        <f t="shared" si="134"/>
        <v>3</v>
      </c>
      <c r="G8599" s="7" t="str">
        <f>LOOKUP(H8599,[1]startdates!$A$2:$A$10,[1]startdates!$B$2:$B$10)</f>
        <v>FMr</v>
      </c>
      <c r="H8599">
        <v>7</v>
      </c>
      <c r="I8599" s="7">
        <v>759.9</v>
      </c>
      <c r="J8599" s="7">
        <v>476.9</v>
      </c>
      <c r="K8599" s="7">
        <v>516.1</v>
      </c>
      <c r="L8599" s="7">
        <v>428.5</v>
      </c>
      <c r="M8599" s="7">
        <v>371.7</v>
      </c>
      <c r="N8599" s="7">
        <v>213.7</v>
      </c>
      <c r="O8599" s="7">
        <v>167.7</v>
      </c>
      <c r="V8599" s="7">
        <v>529.6</v>
      </c>
    </row>
    <row r="8600" spans="1:22" x14ac:dyDescent="0.2">
      <c r="A8600">
        <v>8599</v>
      </c>
      <c r="B8600" s="1">
        <v>41079</v>
      </c>
      <c r="C8600" t="s">
        <v>24</v>
      </c>
      <c r="D8600" s="7">
        <v>337</v>
      </c>
      <c r="E8600" s="7">
        <v>50</v>
      </c>
      <c r="F8600" s="7">
        <f t="shared" si="134"/>
        <v>3</v>
      </c>
      <c r="G8600" s="7" t="str">
        <f>LOOKUP(H8600,[1]startdates!$A$2:$A$10,[1]startdates!$B$2:$B$10)</f>
        <v>FMr</v>
      </c>
      <c r="H8600">
        <v>7</v>
      </c>
      <c r="I8600" s="7">
        <v>610.20000000000005</v>
      </c>
      <c r="K8600" s="7">
        <v>473.3</v>
      </c>
      <c r="L8600" s="7">
        <v>407.2</v>
      </c>
      <c r="M8600" s="7">
        <v>330.4</v>
      </c>
      <c r="N8600" s="7">
        <v>179.2</v>
      </c>
      <c r="O8600" s="7">
        <v>170.6</v>
      </c>
    </row>
    <row r="8601" spans="1:22" x14ac:dyDescent="0.2">
      <c r="A8601">
        <v>8600</v>
      </c>
      <c r="B8601" s="1">
        <v>41079</v>
      </c>
      <c r="C8601" t="s">
        <v>24</v>
      </c>
      <c r="D8601" s="7">
        <v>337</v>
      </c>
      <c r="E8601" s="7">
        <v>50</v>
      </c>
      <c r="F8601" s="7">
        <f t="shared" si="134"/>
        <v>3</v>
      </c>
      <c r="G8601" s="7" t="str">
        <f>LOOKUP(H8601,[1]startdates!$A$2:$A$10,[1]startdates!$B$2:$B$10)</f>
        <v>FMr</v>
      </c>
      <c r="H8601">
        <v>7</v>
      </c>
      <c r="I8601" s="7">
        <v>571.9</v>
      </c>
      <c r="K8601" s="7">
        <v>496.5</v>
      </c>
      <c r="M8601" s="7">
        <v>305.5</v>
      </c>
      <c r="N8601" s="7">
        <v>211.4</v>
      </c>
      <c r="O8601" s="7">
        <v>128.9</v>
      </c>
    </row>
    <row r="8602" spans="1:22" x14ac:dyDescent="0.2">
      <c r="A8602">
        <v>8601</v>
      </c>
      <c r="B8602" s="1">
        <v>41079</v>
      </c>
      <c r="C8602" t="s">
        <v>24</v>
      </c>
      <c r="D8602" s="7">
        <v>337</v>
      </c>
      <c r="E8602" s="7">
        <v>50</v>
      </c>
      <c r="F8602" s="7">
        <f t="shared" si="134"/>
        <v>3</v>
      </c>
      <c r="G8602" s="7" t="str">
        <f>LOOKUP(H8602,[1]startdates!$A$2:$A$10,[1]startdates!$B$2:$B$10)</f>
        <v>FMr</v>
      </c>
      <c r="H8602">
        <v>7</v>
      </c>
      <c r="I8602" s="7">
        <v>540.5</v>
      </c>
      <c r="M8602" s="7">
        <v>270.39999999999998</v>
      </c>
      <c r="N8602" s="7">
        <v>217.4</v>
      </c>
      <c r="O8602" s="7">
        <v>185.3</v>
      </c>
    </row>
    <row r="8603" spans="1:22" x14ac:dyDescent="0.2">
      <c r="A8603">
        <v>8602</v>
      </c>
      <c r="B8603" s="1">
        <v>41079</v>
      </c>
      <c r="C8603" t="s">
        <v>24</v>
      </c>
      <c r="D8603" s="7">
        <v>337</v>
      </c>
      <c r="E8603" s="7">
        <v>50</v>
      </c>
      <c r="F8603" s="7">
        <f t="shared" si="134"/>
        <v>3</v>
      </c>
      <c r="G8603" s="7" t="str">
        <f>LOOKUP(H8603,[1]startdates!$A$2:$A$10,[1]startdates!$B$2:$B$10)</f>
        <v>FMr</v>
      </c>
      <c r="H8603">
        <v>7</v>
      </c>
      <c r="I8603" s="7">
        <v>547.1</v>
      </c>
      <c r="N8603" s="7">
        <v>182.2</v>
      </c>
      <c r="O8603" s="7">
        <v>159</v>
      </c>
    </row>
    <row r="8604" spans="1:22" x14ac:dyDescent="0.2">
      <c r="A8604">
        <v>8603</v>
      </c>
      <c r="B8604" s="1">
        <v>41079</v>
      </c>
      <c r="C8604" t="s">
        <v>24</v>
      </c>
      <c r="D8604" s="7">
        <v>337</v>
      </c>
      <c r="E8604" s="7">
        <v>50</v>
      </c>
      <c r="F8604" s="7">
        <f t="shared" si="134"/>
        <v>3</v>
      </c>
      <c r="G8604" s="7" t="str">
        <f>LOOKUP(H8604,[1]startdates!$A$2:$A$10,[1]startdates!$B$2:$B$10)</f>
        <v>FMr</v>
      </c>
      <c r="H8604">
        <v>7</v>
      </c>
      <c r="I8604" s="7">
        <v>744</v>
      </c>
      <c r="N8604" s="7">
        <v>184.1</v>
      </c>
      <c r="O8604" s="7">
        <v>147.30000000000001</v>
      </c>
    </row>
    <row r="8605" spans="1:22" x14ac:dyDescent="0.2">
      <c r="A8605">
        <v>8604</v>
      </c>
      <c r="B8605" s="1">
        <v>41079</v>
      </c>
      <c r="C8605" t="s">
        <v>24</v>
      </c>
      <c r="D8605" s="7">
        <v>337</v>
      </c>
      <c r="E8605" s="7">
        <v>50</v>
      </c>
      <c r="F8605" s="7">
        <f t="shared" si="134"/>
        <v>3</v>
      </c>
      <c r="G8605" s="7" t="str">
        <f>LOOKUP(H8605,[1]startdates!$A$2:$A$10,[1]startdates!$B$2:$B$10)</f>
        <v>FMr</v>
      </c>
      <c r="H8605">
        <v>7</v>
      </c>
      <c r="I8605" s="7">
        <v>606.1</v>
      </c>
      <c r="N8605" s="7">
        <v>205.7</v>
      </c>
      <c r="O8605" s="7">
        <v>140</v>
      </c>
    </row>
    <row r="8606" spans="1:22" x14ac:dyDescent="0.2">
      <c r="A8606">
        <v>8605</v>
      </c>
      <c r="B8606" s="1">
        <v>41079</v>
      </c>
      <c r="C8606" t="s">
        <v>24</v>
      </c>
      <c r="D8606" s="7">
        <v>337</v>
      </c>
      <c r="E8606" s="7">
        <v>50</v>
      </c>
      <c r="F8606" s="7">
        <f t="shared" si="134"/>
        <v>3</v>
      </c>
      <c r="G8606" s="7" t="str">
        <f>LOOKUP(H8606,[1]startdates!$A$2:$A$10,[1]startdates!$B$2:$B$10)</f>
        <v>FMr</v>
      </c>
      <c r="H8606">
        <v>7</v>
      </c>
      <c r="I8606" s="7">
        <v>665.2</v>
      </c>
      <c r="N8606" s="7">
        <v>214.5</v>
      </c>
      <c r="O8606" s="7">
        <v>151</v>
      </c>
    </row>
    <row r="8607" spans="1:22" x14ac:dyDescent="0.2">
      <c r="A8607">
        <v>8606</v>
      </c>
      <c r="B8607" s="1">
        <v>41079</v>
      </c>
      <c r="C8607" t="s">
        <v>24</v>
      </c>
      <c r="D8607" s="7">
        <v>337</v>
      </c>
      <c r="E8607" s="7">
        <v>50</v>
      </c>
      <c r="F8607" s="7">
        <f t="shared" si="134"/>
        <v>3</v>
      </c>
      <c r="G8607" s="7" t="str">
        <f>LOOKUP(H8607,[1]startdates!$A$2:$A$10,[1]startdates!$B$2:$B$10)</f>
        <v>C</v>
      </c>
      <c r="H8607">
        <v>8</v>
      </c>
      <c r="I8607" s="7">
        <v>725.3</v>
      </c>
      <c r="J8607" s="7">
        <v>500.3</v>
      </c>
      <c r="K8607" s="7">
        <v>459.4</v>
      </c>
      <c r="L8607" s="7">
        <v>437.6</v>
      </c>
      <c r="M8607" s="7">
        <v>377.2</v>
      </c>
      <c r="N8607" s="7">
        <v>248.2</v>
      </c>
      <c r="O8607" s="7">
        <v>153.80000000000001</v>
      </c>
      <c r="R8607" s="7">
        <v>281.3</v>
      </c>
    </row>
    <row r="8608" spans="1:22" x14ac:dyDescent="0.2">
      <c r="A8608">
        <v>8607</v>
      </c>
      <c r="B8608" s="1">
        <v>41079</v>
      </c>
      <c r="C8608" t="s">
        <v>24</v>
      </c>
      <c r="D8608" s="7">
        <v>337</v>
      </c>
      <c r="E8608" s="7">
        <v>50</v>
      </c>
      <c r="F8608" s="7">
        <f t="shared" si="134"/>
        <v>3</v>
      </c>
      <c r="G8608" s="7" t="str">
        <f>LOOKUP(H8608,[1]startdates!$A$2:$A$10,[1]startdates!$B$2:$B$10)</f>
        <v>C</v>
      </c>
      <c r="H8608">
        <v>8</v>
      </c>
      <c r="I8608" s="7">
        <v>740</v>
      </c>
      <c r="J8608" s="7">
        <v>522</v>
      </c>
      <c r="M8608" s="7">
        <v>291.60000000000002</v>
      </c>
      <c r="N8608" s="7">
        <v>217.7</v>
      </c>
      <c r="O8608" s="7">
        <v>182.9</v>
      </c>
      <c r="R8608" s="7">
        <v>265.7</v>
      </c>
    </row>
    <row r="8609" spans="1:22" x14ac:dyDescent="0.2">
      <c r="A8609">
        <v>8608</v>
      </c>
      <c r="B8609" s="1">
        <v>41079</v>
      </c>
      <c r="C8609" t="s">
        <v>24</v>
      </c>
      <c r="D8609" s="7">
        <v>337</v>
      </c>
      <c r="E8609" s="7">
        <v>50</v>
      </c>
      <c r="F8609" s="7">
        <f t="shared" si="134"/>
        <v>3</v>
      </c>
      <c r="G8609" s="7" t="str">
        <f>LOOKUP(H8609,[1]startdates!$A$2:$A$10,[1]startdates!$B$2:$B$10)</f>
        <v>C</v>
      </c>
      <c r="H8609">
        <v>8</v>
      </c>
      <c r="I8609" s="7">
        <v>702.9</v>
      </c>
      <c r="J8609" s="7">
        <v>520.29999999999995</v>
      </c>
      <c r="M8609" s="7">
        <v>336.1</v>
      </c>
      <c r="N8609" s="7">
        <v>252</v>
      </c>
      <c r="O8609" s="7">
        <v>177.8</v>
      </c>
    </row>
    <row r="8610" spans="1:22" x14ac:dyDescent="0.2">
      <c r="A8610">
        <v>8609</v>
      </c>
      <c r="B8610" s="1">
        <v>41079</v>
      </c>
      <c r="C8610" t="s">
        <v>24</v>
      </c>
      <c r="D8610" s="7">
        <v>337</v>
      </c>
      <c r="E8610" s="7">
        <v>50</v>
      </c>
      <c r="F8610" s="7">
        <f t="shared" si="134"/>
        <v>3</v>
      </c>
      <c r="G8610" s="7" t="str">
        <f>LOOKUP(H8610,[1]startdates!$A$2:$A$10,[1]startdates!$B$2:$B$10)</f>
        <v>C</v>
      </c>
      <c r="H8610">
        <v>8</v>
      </c>
      <c r="I8610" s="7">
        <v>721</v>
      </c>
      <c r="J8610" s="7">
        <v>455.2</v>
      </c>
      <c r="M8610" s="7">
        <v>393.5</v>
      </c>
      <c r="N8610" s="7">
        <v>177.7</v>
      </c>
      <c r="O8610" s="7">
        <v>150.30000000000001</v>
      </c>
    </row>
    <row r="8611" spans="1:22" x14ac:dyDescent="0.2">
      <c r="A8611">
        <v>8610</v>
      </c>
      <c r="B8611" s="1">
        <v>41079</v>
      </c>
      <c r="C8611" t="s">
        <v>24</v>
      </c>
      <c r="D8611" s="7">
        <v>337</v>
      </c>
      <c r="E8611" s="7">
        <v>50</v>
      </c>
      <c r="F8611" s="7">
        <f t="shared" si="134"/>
        <v>3</v>
      </c>
      <c r="G8611" s="7" t="str">
        <f>LOOKUP(H8611,[1]startdates!$A$2:$A$10,[1]startdates!$B$2:$B$10)</f>
        <v>C</v>
      </c>
      <c r="H8611">
        <v>8</v>
      </c>
      <c r="I8611" s="7">
        <v>689.9</v>
      </c>
      <c r="J8611" s="7">
        <v>537.9</v>
      </c>
      <c r="M8611" s="7">
        <v>279.39999999999998</v>
      </c>
      <c r="N8611" s="7">
        <v>232.2</v>
      </c>
      <c r="O8611" s="7">
        <v>153.30000000000001</v>
      </c>
    </row>
    <row r="8612" spans="1:22" x14ac:dyDescent="0.2">
      <c r="A8612">
        <v>8611</v>
      </c>
      <c r="B8612" s="1">
        <v>41079</v>
      </c>
      <c r="C8612" t="s">
        <v>24</v>
      </c>
      <c r="D8612" s="7">
        <v>337</v>
      </c>
      <c r="E8612" s="7">
        <v>50</v>
      </c>
      <c r="F8612" s="7">
        <f t="shared" si="134"/>
        <v>3</v>
      </c>
      <c r="G8612" s="7" t="str">
        <f>LOOKUP(H8612,[1]startdates!$A$2:$A$10,[1]startdates!$B$2:$B$10)</f>
        <v>C</v>
      </c>
      <c r="H8612">
        <v>8</v>
      </c>
      <c r="I8612" s="7">
        <v>677.4</v>
      </c>
      <c r="J8612" s="7">
        <v>519.20000000000005</v>
      </c>
      <c r="N8612" s="7">
        <v>193.2</v>
      </c>
      <c r="O8612" s="7">
        <v>148.4</v>
      </c>
    </row>
    <row r="8613" spans="1:22" x14ac:dyDescent="0.2">
      <c r="A8613">
        <v>8612</v>
      </c>
      <c r="B8613" s="1">
        <v>41079</v>
      </c>
      <c r="C8613" t="s">
        <v>24</v>
      </c>
      <c r="D8613" s="7">
        <v>337</v>
      </c>
      <c r="E8613" s="7">
        <v>50</v>
      </c>
      <c r="F8613" s="7">
        <f t="shared" si="134"/>
        <v>3</v>
      </c>
      <c r="G8613" s="7" t="str">
        <f>LOOKUP(H8613,[1]startdates!$A$2:$A$10,[1]startdates!$B$2:$B$10)</f>
        <v>C</v>
      </c>
      <c r="H8613">
        <v>8</v>
      </c>
      <c r="I8613" s="7">
        <v>729.5</v>
      </c>
      <c r="J8613" s="7">
        <v>482.7</v>
      </c>
      <c r="N8613" s="7">
        <v>189.5</v>
      </c>
      <c r="O8613" s="7">
        <v>159.5</v>
      </c>
    </row>
    <row r="8614" spans="1:22" x14ac:dyDescent="0.2">
      <c r="A8614">
        <v>8613</v>
      </c>
      <c r="B8614" s="1">
        <v>41079</v>
      </c>
      <c r="C8614" t="s">
        <v>24</v>
      </c>
      <c r="D8614" s="7">
        <v>337</v>
      </c>
      <c r="E8614" s="7">
        <v>50</v>
      </c>
      <c r="F8614" s="7">
        <f t="shared" si="134"/>
        <v>3</v>
      </c>
      <c r="G8614" s="7" t="str">
        <f>LOOKUP(H8614,[1]startdates!$A$2:$A$10,[1]startdates!$B$2:$B$10)</f>
        <v>C</v>
      </c>
      <c r="H8614">
        <v>8</v>
      </c>
      <c r="I8614" s="7">
        <v>585.9</v>
      </c>
      <c r="J8614" s="7">
        <v>522.29999999999995</v>
      </c>
      <c r="N8614" s="7">
        <v>165.7</v>
      </c>
      <c r="O8614" s="7">
        <v>195.7</v>
      </c>
    </row>
    <row r="8615" spans="1:22" x14ac:dyDescent="0.2">
      <c r="A8615">
        <v>8614</v>
      </c>
      <c r="B8615" s="1">
        <v>41079</v>
      </c>
      <c r="C8615" t="s">
        <v>24</v>
      </c>
      <c r="D8615" s="7">
        <v>337</v>
      </c>
      <c r="E8615" s="7">
        <v>50</v>
      </c>
      <c r="F8615" s="7">
        <f t="shared" si="134"/>
        <v>3</v>
      </c>
      <c r="G8615" s="7" t="str">
        <f>LOOKUP(H8615,[1]startdates!$A$2:$A$10,[1]startdates!$B$2:$B$10)</f>
        <v>C</v>
      </c>
      <c r="H8615">
        <v>8</v>
      </c>
      <c r="I8615" s="7">
        <v>701.9</v>
      </c>
      <c r="J8615" s="7">
        <v>467.8</v>
      </c>
      <c r="N8615" s="7">
        <v>203</v>
      </c>
      <c r="O8615" s="7">
        <v>152.6</v>
      </c>
    </row>
    <row r="8616" spans="1:22" x14ac:dyDescent="0.2">
      <c r="A8616">
        <v>8615</v>
      </c>
      <c r="B8616" s="1">
        <v>41079</v>
      </c>
      <c r="C8616" t="s">
        <v>24</v>
      </c>
      <c r="D8616" s="7">
        <v>337</v>
      </c>
      <c r="E8616" s="7">
        <v>50</v>
      </c>
      <c r="F8616" s="7">
        <f t="shared" si="134"/>
        <v>3</v>
      </c>
      <c r="G8616" s="7" t="str">
        <f>LOOKUP(H8616,[1]startdates!$A$2:$A$10,[1]startdates!$B$2:$B$10)</f>
        <v>C</v>
      </c>
      <c r="H8616">
        <v>8</v>
      </c>
      <c r="I8616" s="7">
        <v>725.2</v>
      </c>
      <c r="N8616" s="7">
        <v>195.7</v>
      </c>
      <c r="O8616" s="7">
        <v>169.7</v>
      </c>
    </row>
    <row r="8617" spans="1:22" x14ac:dyDescent="0.2">
      <c r="A8617">
        <v>8616</v>
      </c>
      <c r="B8617" s="1">
        <v>41079</v>
      </c>
      <c r="C8617" t="s">
        <v>24</v>
      </c>
      <c r="D8617" s="7">
        <v>337</v>
      </c>
      <c r="E8617" s="7">
        <v>50</v>
      </c>
      <c r="F8617" s="7">
        <f t="shared" ref="F8617:F8680" si="135">WEEKDAY(B8617)</f>
        <v>3</v>
      </c>
      <c r="G8617" s="7" t="str">
        <f>LOOKUP(H8617,[1]startdates!$A$2:$A$10,[1]startdates!$B$2:$B$10)</f>
        <v>C</v>
      </c>
      <c r="H8617">
        <v>8</v>
      </c>
      <c r="I8617" s="7">
        <v>612.6</v>
      </c>
    </row>
    <row r="8618" spans="1:22" x14ac:dyDescent="0.2">
      <c r="A8618">
        <v>8617</v>
      </c>
      <c r="B8618" s="1">
        <v>41079</v>
      </c>
      <c r="C8618" t="s">
        <v>24</v>
      </c>
      <c r="D8618" s="7">
        <v>337</v>
      </c>
      <c r="E8618" s="7">
        <v>50</v>
      </c>
      <c r="F8618" s="7">
        <f t="shared" si="135"/>
        <v>3</v>
      </c>
      <c r="G8618" s="7" t="str">
        <f>LOOKUP(H8618,[1]startdates!$A$2:$A$10,[1]startdates!$B$2:$B$10)</f>
        <v>FMr</v>
      </c>
      <c r="H8618">
        <v>9</v>
      </c>
      <c r="I8618" s="7">
        <v>644.6</v>
      </c>
      <c r="J8618" s="7">
        <v>475.9</v>
      </c>
      <c r="K8618" s="7">
        <v>627.4</v>
      </c>
      <c r="L8618" s="7">
        <v>381.8</v>
      </c>
      <c r="M8618" s="7">
        <v>364.1</v>
      </c>
      <c r="N8618" s="7">
        <v>226.1</v>
      </c>
      <c r="O8618" s="7">
        <v>165.7</v>
      </c>
      <c r="P8618" s="7">
        <v>450.6</v>
      </c>
      <c r="Q8618" s="7">
        <v>359.3</v>
      </c>
      <c r="R8618" s="7">
        <v>276</v>
      </c>
      <c r="V8618" s="7">
        <v>478.2</v>
      </c>
    </row>
    <row r="8619" spans="1:22" x14ac:dyDescent="0.2">
      <c r="A8619">
        <v>8618</v>
      </c>
      <c r="B8619" s="1">
        <v>41079</v>
      </c>
      <c r="C8619" t="s">
        <v>24</v>
      </c>
      <c r="D8619" s="7">
        <v>337</v>
      </c>
      <c r="E8619" s="7">
        <v>50</v>
      </c>
      <c r="F8619" s="7">
        <f t="shared" si="135"/>
        <v>3</v>
      </c>
      <c r="G8619" s="7" t="str">
        <f>LOOKUP(H8619,[1]startdates!$A$2:$A$10,[1]startdates!$B$2:$B$10)</f>
        <v>FMr</v>
      </c>
      <c r="H8619">
        <v>9</v>
      </c>
      <c r="I8619" s="7">
        <v>704.2</v>
      </c>
      <c r="K8619" s="7">
        <v>553.1</v>
      </c>
      <c r="L8619" s="7">
        <v>435.4</v>
      </c>
      <c r="M8619" s="7">
        <v>339.2</v>
      </c>
      <c r="N8619" s="7">
        <v>246.1</v>
      </c>
      <c r="O8619" s="7">
        <v>183.8</v>
      </c>
      <c r="P8619" s="7">
        <v>432</v>
      </c>
      <c r="Q8619" s="7">
        <v>343.2</v>
      </c>
    </row>
    <row r="8620" spans="1:22" x14ac:dyDescent="0.2">
      <c r="A8620">
        <v>8619</v>
      </c>
      <c r="B8620" s="1">
        <v>41079</v>
      </c>
      <c r="C8620" t="s">
        <v>24</v>
      </c>
      <c r="D8620" s="7">
        <v>337</v>
      </c>
      <c r="E8620" s="7">
        <v>50</v>
      </c>
      <c r="F8620" s="7">
        <f t="shared" si="135"/>
        <v>3</v>
      </c>
      <c r="G8620" s="7" t="str">
        <f>LOOKUP(H8620,[1]startdates!$A$2:$A$10,[1]startdates!$B$2:$B$10)</f>
        <v>FMr</v>
      </c>
      <c r="H8620">
        <v>9</v>
      </c>
      <c r="I8620" s="7">
        <v>606.20000000000005</v>
      </c>
      <c r="K8620" s="7">
        <v>578.79999999999995</v>
      </c>
      <c r="M8620" s="7">
        <v>374.1</v>
      </c>
      <c r="N8620" s="7">
        <v>265</v>
      </c>
      <c r="O8620" s="7">
        <v>151.4</v>
      </c>
    </row>
    <row r="8621" spans="1:22" x14ac:dyDescent="0.2">
      <c r="A8621">
        <v>8620</v>
      </c>
      <c r="B8621" s="1">
        <v>41079</v>
      </c>
      <c r="C8621" t="s">
        <v>24</v>
      </c>
      <c r="D8621" s="7">
        <v>337</v>
      </c>
      <c r="E8621" s="7">
        <v>50</v>
      </c>
      <c r="F8621" s="7">
        <f t="shared" si="135"/>
        <v>3</v>
      </c>
      <c r="G8621" s="7" t="str">
        <f>LOOKUP(H8621,[1]startdates!$A$2:$A$10,[1]startdates!$B$2:$B$10)</f>
        <v>FMr</v>
      </c>
      <c r="H8621">
        <v>9</v>
      </c>
      <c r="I8621" s="7">
        <v>591.29999999999995</v>
      </c>
      <c r="K8621" s="7">
        <v>546.1</v>
      </c>
      <c r="M8621" s="7">
        <v>367.7</v>
      </c>
      <c r="N8621" s="7">
        <v>161.5</v>
      </c>
      <c r="O8621" s="7">
        <v>178.4</v>
      </c>
    </row>
    <row r="8622" spans="1:22" x14ac:dyDescent="0.2">
      <c r="A8622">
        <v>8621</v>
      </c>
      <c r="B8622" s="1">
        <v>41079</v>
      </c>
      <c r="C8622" t="s">
        <v>24</v>
      </c>
      <c r="D8622" s="7">
        <v>337</v>
      </c>
      <c r="E8622" s="7">
        <v>50</v>
      </c>
      <c r="F8622" s="7">
        <f t="shared" si="135"/>
        <v>3</v>
      </c>
      <c r="G8622" s="7" t="str">
        <f>LOOKUP(H8622,[1]startdates!$A$2:$A$10,[1]startdates!$B$2:$B$10)</f>
        <v>FMr</v>
      </c>
      <c r="H8622">
        <v>9</v>
      </c>
      <c r="I8622" s="7">
        <v>678.2</v>
      </c>
      <c r="M8622" s="7">
        <v>346.8</v>
      </c>
      <c r="N8622" s="7">
        <v>244.8</v>
      </c>
      <c r="O8622" s="7">
        <v>173.3</v>
      </c>
    </row>
    <row r="8623" spans="1:22" x14ac:dyDescent="0.2">
      <c r="A8623">
        <v>8622</v>
      </c>
      <c r="B8623" s="1">
        <v>41079</v>
      </c>
      <c r="C8623" t="s">
        <v>24</v>
      </c>
      <c r="D8623" s="7">
        <v>337</v>
      </c>
      <c r="E8623" s="7">
        <v>50</v>
      </c>
      <c r="F8623" s="7">
        <f t="shared" si="135"/>
        <v>3</v>
      </c>
      <c r="G8623" s="7" t="str">
        <f>LOOKUP(H8623,[1]startdates!$A$2:$A$10,[1]startdates!$B$2:$B$10)</f>
        <v>FMr</v>
      </c>
      <c r="H8623">
        <v>9</v>
      </c>
      <c r="I8623" s="7">
        <v>573.6</v>
      </c>
      <c r="M8623" s="7">
        <v>346.1</v>
      </c>
      <c r="N8623" s="7">
        <v>227.1</v>
      </c>
      <c r="O8623" s="7">
        <v>154.9</v>
      </c>
    </row>
    <row r="8624" spans="1:22" x14ac:dyDescent="0.2">
      <c r="A8624">
        <v>8623</v>
      </c>
      <c r="B8624" s="1">
        <v>41079</v>
      </c>
      <c r="C8624" t="s">
        <v>24</v>
      </c>
      <c r="D8624" s="7">
        <v>337</v>
      </c>
      <c r="E8624" s="7">
        <v>50</v>
      </c>
      <c r="F8624" s="7">
        <f t="shared" si="135"/>
        <v>3</v>
      </c>
      <c r="G8624" s="7" t="str">
        <f>LOOKUP(H8624,[1]startdates!$A$2:$A$10,[1]startdates!$B$2:$B$10)</f>
        <v>FMr</v>
      </c>
      <c r="H8624">
        <v>9</v>
      </c>
      <c r="I8624" s="7">
        <v>561.70000000000005</v>
      </c>
      <c r="N8624" s="7">
        <v>206</v>
      </c>
      <c r="O8624" s="7">
        <v>177.7</v>
      </c>
    </row>
    <row r="8625" spans="1:21" x14ac:dyDescent="0.2">
      <c r="A8625">
        <v>8624</v>
      </c>
      <c r="B8625" s="1">
        <v>41079</v>
      </c>
      <c r="C8625" t="s">
        <v>24</v>
      </c>
      <c r="D8625" s="7">
        <v>337</v>
      </c>
      <c r="E8625" s="7">
        <v>50</v>
      </c>
      <c r="F8625" s="7">
        <f t="shared" si="135"/>
        <v>3</v>
      </c>
      <c r="G8625" s="7" t="str">
        <f>LOOKUP(H8625,[1]startdates!$A$2:$A$10,[1]startdates!$B$2:$B$10)</f>
        <v>FMr</v>
      </c>
      <c r="H8625">
        <v>9</v>
      </c>
      <c r="I8625" s="7">
        <v>628</v>
      </c>
      <c r="N8625" s="7">
        <v>202.6</v>
      </c>
      <c r="O8625" s="7">
        <v>165</v>
      </c>
    </row>
    <row r="8626" spans="1:21" x14ac:dyDescent="0.2">
      <c r="A8626">
        <v>8625</v>
      </c>
      <c r="B8626" s="1">
        <v>41079</v>
      </c>
      <c r="C8626" t="s">
        <v>24</v>
      </c>
      <c r="D8626" s="7">
        <v>337</v>
      </c>
      <c r="E8626" s="7">
        <v>50</v>
      </c>
      <c r="F8626" s="7">
        <f t="shared" si="135"/>
        <v>3</v>
      </c>
      <c r="G8626" s="7" t="str">
        <f>LOOKUP(H8626,[1]startdates!$A$2:$A$10,[1]startdates!$B$2:$B$10)</f>
        <v>FMr</v>
      </c>
      <c r="H8626">
        <v>9</v>
      </c>
      <c r="I8626" s="7">
        <v>697</v>
      </c>
      <c r="N8626" s="7">
        <v>227.2</v>
      </c>
      <c r="O8626" s="7">
        <v>185.4</v>
      </c>
    </row>
    <row r="8627" spans="1:21" x14ac:dyDescent="0.2">
      <c r="A8627">
        <v>8626</v>
      </c>
      <c r="B8627" s="1">
        <v>41079</v>
      </c>
      <c r="C8627" t="s">
        <v>24</v>
      </c>
      <c r="D8627" s="7">
        <v>337</v>
      </c>
      <c r="E8627" s="7">
        <v>50</v>
      </c>
      <c r="F8627" s="7">
        <f t="shared" si="135"/>
        <v>3</v>
      </c>
      <c r="G8627" s="7" t="str">
        <f>LOOKUP(H8627,[1]startdates!$A$2:$A$10,[1]startdates!$B$2:$B$10)</f>
        <v>FMr</v>
      </c>
      <c r="H8627">
        <v>9</v>
      </c>
      <c r="I8627" s="7">
        <v>619</v>
      </c>
      <c r="N8627" s="7">
        <v>204.6</v>
      </c>
      <c r="O8627" s="7">
        <v>176.4</v>
      </c>
    </row>
    <row r="8628" spans="1:21" x14ac:dyDescent="0.2">
      <c r="A8628">
        <v>8627</v>
      </c>
      <c r="B8628" s="1">
        <v>41079</v>
      </c>
      <c r="C8628" t="s">
        <v>24</v>
      </c>
      <c r="D8628" s="7">
        <v>337</v>
      </c>
      <c r="E8628" s="7">
        <v>50</v>
      </c>
      <c r="F8628" s="7">
        <f t="shared" si="135"/>
        <v>3</v>
      </c>
      <c r="G8628" s="7" t="str">
        <f>LOOKUP(H8628,[1]startdates!$A$2:$A$10,[1]startdates!$B$2:$B$10)</f>
        <v>FMr</v>
      </c>
      <c r="H8628">
        <v>9</v>
      </c>
      <c r="I8628" s="7">
        <v>548.6</v>
      </c>
    </row>
    <row r="8629" spans="1:21" x14ac:dyDescent="0.2">
      <c r="A8629">
        <v>8628</v>
      </c>
      <c r="B8629" s="1">
        <v>41093</v>
      </c>
      <c r="C8629" t="s">
        <v>24</v>
      </c>
      <c r="D8629" s="7">
        <v>351</v>
      </c>
      <c r="E8629" s="7">
        <v>52</v>
      </c>
      <c r="F8629" s="7">
        <f t="shared" si="135"/>
        <v>3</v>
      </c>
      <c r="G8629" s="7" t="str">
        <f>LOOKUP(H8629,[1]startdates!$A$2:$A$10,[1]startdates!$B$2:$B$10)</f>
        <v>SMr</v>
      </c>
      <c r="H8629">
        <v>1</v>
      </c>
      <c r="I8629" s="7">
        <v>693.3</v>
      </c>
      <c r="J8629" s="7">
        <v>434.3</v>
      </c>
      <c r="L8629" s="7">
        <v>470.1</v>
      </c>
      <c r="M8629" s="7">
        <v>383.4</v>
      </c>
      <c r="N8629" s="7">
        <v>231.2</v>
      </c>
      <c r="O8629" s="7">
        <v>195.3</v>
      </c>
      <c r="R8629" s="7">
        <v>266.8</v>
      </c>
    </row>
    <row r="8630" spans="1:21" x14ac:dyDescent="0.2">
      <c r="A8630">
        <v>8629</v>
      </c>
      <c r="B8630" s="1">
        <v>41093</v>
      </c>
      <c r="C8630" t="s">
        <v>24</v>
      </c>
      <c r="D8630" s="7">
        <v>351</v>
      </c>
      <c r="E8630" s="7">
        <v>52</v>
      </c>
      <c r="F8630" s="7">
        <f t="shared" si="135"/>
        <v>3</v>
      </c>
      <c r="G8630" s="7" t="str">
        <f>LOOKUP(H8630,[1]startdates!$A$2:$A$10,[1]startdates!$B$2:$B$10)</f>
        <v>SMr</v>
      </c>
      <c r="H8630">
        <v>1</v>
      </c>
      <c r="I8630" s="7">
        <v>532.1</v>
      </c>
      <c r="J8630" s="7">
        <v>533.79999999999995</v>
      </c>
      <c r="L8630" s="7">
        <v>512.6</v>
      </c>
      <c r="M8630" s="7">
        <v>368.2</v>
      </c>
      <c r="N8630" s="7">
        <v>257.10000000000002</v>
      </c>
      <c r="O8630" s="7">
        <v>187.7</v>
      </c>
      <c r="R8630" s="7">
        <v>270.39999999999998</v>
      </c>
    </row>
    <row r="8631" spans="1:21" x14ac:dyDescent="0.2">
      <c r="A8631">
        <v>8630</v>
      </c>
      <c r="B8631" s="1">
        <v>41093</v>
      </c>
      <c r="C8631" t="s">
        <v>24</v>
      </c>
      <c r="D8631" s="7">
        <v>351</v>
      </c>
      <c r="E8631" s="7">
        <v>52</v>
      </c>
      <c r="F8631" s="7">
        <f t="shared" si="135"/>
        <v>3</v>
      </c>
      <c r="G8631" s="7" t="str">
        <f>LOOKUP(H8631,[1]startdates!$A$2:$A$10,[1]startdates!$B$2:$B$10)</f>
        <v>SMr</v>
      </c>
      <c r="H8631">
        <v>1</v>
      </c>
      <c r="I8631" s="7">
        <v>688.8</v>
      </c>
      <c r="J8631" s="7">
        <v>542.29999999999995</v>
      </c>
      <c r="M8631" s="7">
        <v>365.6</v>
      </c>
      <c r="N8631" s="7">
        <v>237.5</v>
      </c>
      <c r="O8631" s="7">
        <v>197.1</v>
      </c>
    </row>
    <row r="8632" spans="1:21" x14ac:dyDescent="0.2">
      <c r="A8632">
        <v>8631</v>
      </c>
      <c r="B8632" s="1">
        <v>41093</v>
      </c>
      <c r="C8632" t="s">
        <v>24</v>
      </c>
      <c r="D8632" s="7">
        <v>351</v>
      </c>
      <c r="E8632" s="7">
        <v>52</v>
      </c>
      <c r="F8632" s="7">
        <f t="shared" si="135"/>
        <v>3</v>
      </c>
      <c r="G8632" s="7" t="str">
        <f>LOOKUP(H8632,[1]startdates!$A$2:$A$10,[1]startdates!$B$2:$B$10)</f>
        <v>SMr</v>
      </c>
      <c r="H8632">
        <v>1</v>
      </c>
      <c r="I8632" s="7">
        <v>816.4</v>
      </c>
      <c r="J8632" s="7">
        <v>495.3</v>
      </c>
      <c r="M8632" s="7">
        <v>381</v>
      </c>
      <c r="N8632" s="7">
        <v>263.60000000000002</v>
      </c>
      <c r="O8632" s="7">
        <v>193.8</v>
      </c>
    </row>
    <row r="8633" spans="1:21" x14ac:dyDescent="0.2">
      <c r="A8633">
        <v>8632</v>
      </c>
      <c r="B8633" s="1">
        <v>41093</v>
      </c>
      <c r="C8633" t="s">
        <v>24</v>
      </c>
      <c r="D8633" s="7">
        <v>351</v>
      </c>
      <c r="E8633" s="7">
        <v>52</v>
      </c>
      <c r="F8633" s="7">
        <f t="shared" si="135"/>
        <v>3</v>
      </c>
      <c r="G8633" s="7" t="str">
        <f>LOOKUP(H8633,[1]startdates!$A$2:$A$10,[1]startdates!$B$2:$B$10)</f>
        <v>SMr</v>
      </c>
      <c r="H8633">
        <v>1</v>
      </c>
      <c r="I8633" s="7">
        <v>699.5</v>
      </c>
      <c r="J8633" s="7">
        <v>493.3</v>
      </c>
      <c r="M8633" s="7">
        <v>303.60000000000002</v>
      </c>
      <c r="N8633" s="7">
        <v>203.7</v>
      </c>
      <c r="O8633" s="7">
        <v>174.9</v>
      </c>
    </row>
    <row r="8634" spans="1:21" x14ac:dyDescent="0.2">
      <c r="A8634">
        <v>8633</v>
      </c>
      <c r="B8634" s="1">
        <v>41093</v>
      </c>
      <c r="C8634" t="s">
        <v>24</v>
      </c>
      <c r="D8634" s="7">
        <v>351</v>
      </c>
      <c r="E8634" s="7">
        <v>52</v>
      </c>
      <c r="F8634" s="7">
        <f t="shared" si="135"/>
        <v>3</v>
      </c>
      <c r="G8634" s="7" t="str">
        <f>LOOKUP(H8634,[1]startdates!$A$2:$A$10,[1]startdates!$B$2:$B$10)</f>
        <v>SMr</v>
      </c>
      <c r="H8634">
        <v>1</v>
      </c>
      <c r="I8634" s="7">
        <v>595.4</v>
      </c>
      <c r="J8634" s="7">
        <v>537.20000000000005</v>
      </c>
      <c r="M8634" s="7">
        <v>301.10000000000002</v>
      </c>
      <c r="N8634" s="7">
        <v>255</v>
      </c>
      <c r="O8634" s="7">
        <v>176.5</v>
      </c>
    </row>
    <row r="8635" spans="1:21" x14ac:dyDescent="0.2">
      <c r="A8635">
        <v>8634</v>
      </c>
      <c r="B8635" s="1">
        <v>41093</v>
      </c>
      <c r="C8635" t="s">
        <v>24</v>
      </c>
      <c r="D8635" s="7">
        <v>351</v>
      </c>
      <c r="E8635" s="7">
        <v>52</v>
      </c>
      <c r="F8635" s="7">
        <f t="shared" si="135"/>
        <v>3</v>
      </c>
      <c r="G8635" s="7" t="str">
        <f>LOOKUP(H8635,[1]startdates!$A$2:$A$10,[1]startdates!$B$2:$B$10)</f>
        <v>SMr</v>
      </c>
      <c r="H8635">
        <v>1</v>
      </c>
      <c r="I8635" s="7">
        <v>678.8</v>
      </c>
      <c r="J8635" s="7">
        <v>471.3</v>
      </c>
      <c r="M8635" s="7">
        <v>313.10000000000002</v>
      </c>
      <c r="N8635" s="7">
        <v>195.3</v>
      </c>
      <c r="O8635" s="7">
        <v>176.9</v>
      </c>
    </row>
    <row r="8636" spans="1:21" x14ac:dyDescent="0.2">
      <c r="A8636">
        <v>8635</v>
      </c>
      <c r="B8636" s="1">
        <v>41093</v>
      </c>
      <c r="C8636" t="s">
        <v>24</v>
      </c>
      <c r="D8636" s="7">
        <v>351</v>
      </c>
      <c r="E8636" s="7">
        <v>52</v>
      </c>
      <c r="F8636" s="7">
        <f t="shared" si="135"/>
        <v>3</v>
      </c>
      <c r="G8636" s="7" t="str">
        <f>LOOKUP(H8636,[1]startdates!$A$2:$A$10,[1]startdates!$B$2:$B$10)</f>
        <v>SMr</v>
      </c>
      <c r="H8636">
        <v>1</v>
      </c>
      <c r="I8636" s="7">
        <v>629.70000000000005</v>
      </c>
      <c r="M8636" s="7">
        <v>356.3</v>
      </c>
      <c r="N8636" s="7">
        <v>238.1</v>
      </c>
      <c r="O8636" s="7">
        <v>156.30000000000001</v>
      </c>
    </row>
    <row r="8637" spans="1:21" x14ac:dyDescent="0.2">
      <c r="A8637">
        <v>8636</v>
      </c>
      <c r="B8637" s="1">
        <v>41093</v>
      </c>
      <c r="C8637" t="s">
        <v>24</v>
      </c>
      <c r="D8637" s="7">
        <v>351</v>
      </c>
      <c r="E8637" s="7">
        <v>52</v>
      </c>
      <c r="F8637" s="7">
        <f t="shared" si="135"/>
        <v>3</v>
      </c>
      <c r="G8637" s="7" t="str">
        <f>LOOKUP(H8637,[1]startdates!$A$2:$A$10,[1]startdates!$B$2:$B$10)</f>
        <v>SMr</v>
      </c>
      <c r="H8637">
        <v>1</v>
      </c>
      <c r="I8637" s="7">
        <v>504.7</v>
      </c>
      <c r="N8637" s="7">
        <v>243.9</v>
      </c>
      <c r="O8637" s="7">
        <v>169.4</v>
      </c>
    </row>
    <row r="8638" spans="1:21" x14ac:dyDescent="0.2">
      <c r="A8638">
        <v>8637</v>
      </c>
      <c r="B8638" s="1">
        <v>41093</v>
      </c>
      <c r="C8638" t="s">
        <v>24</v>
      </c>
      <c r="D8638" s="7">
        <v>351</v>
      </c>
      <c r="E8638" s="7">
        <v>52</v>
      </c>
      <c r="F8638" s="7">
        <f t="shared" si="135"/>
        <v>3</v>
      </c>
      <c r="G8638" s="7" t="str">
        <f>LOOKUP(H8638,[1]startdates!$A$2:$A$10,[1]startdates!$B$2:$B$10)</f>
        <v>SMr</v>
      </c>
      <c r="H8638">
        <v>1</v>
      </c>
      <c r="I8638" s="7">
        <v>581.4</v>
      </c>
      <c r="N8638" s="7">
        <v>204.1</v>
      </c>
      <c r="O8638" s="7">
        <v>166.5</v>
      </c>
    </row>
    <row r="8639" spans="1:21" x14ac:dyDescent="0.2">
      <c r="A8639">
        <v>8638</v>
      </c>
      <c r="B8639" s="1">
        <v>41093</v>
      </c>
      <c r="C8639" t="s">
        <v>24</v>
      </c>
      <c r="D8639" s="7">
        <v>351</v>
      </c>
      <c r="E8639" s="7">
        <v>52</v>
      </c>
      <c r="F8639" s="7">
        <f t="shared" si="135"/>
        <v>3</v>
      </c>
      <c r="G8639" s="7" t="str">
        <f>LOOKUP(H8639,[1]startdates!$A$2:$A$10,[1]startdates!$B$2:$B$10)</f>
        <v>SMr</v>
      </c>
      <c r="H8639">
        <v>1</v>
      </c>
      <c r="I8639" s="7">
        <v>693.3</v>
      </c>
      <c r="N8639" s="7">
        <v>273.60000000000002</v>
      </c>
    </row>
    <row r="8640" spans="1:21" x14ac:dyDescent="0.2">
      <c r="A8640">
        <v>8639</v>
      </c>
      <c r="B8640" s="1">
        <v>41093</v>
      </c>
      <c r="C8640" t="s">
        <v>24</v>
      </c>
      <c r="D8640" s="7">
        <v>351</v>
      </c>
      <c r="E8640" s="7">
        <v>52</v>
      </c>
      <c r="F8640" s="7">
        <f t="shared" si="135"/>
        <v>3</v>
      </c>
      <c r="G8640" s="7" t="str">
        <f>LOOKUP(H8640,[1]startdates!$A$2:$A$10,[1]startdates!$B$2:$B$10)</f>
        <v>SMr</v>
      </c>
      <c r="H8640">
        <v>2</v>
      </c>
      <c r="I8640" s="7">
        <v>568.4</v>
      </c>
      <c r="J8640" s="7">
        <v>591.70000000000005</v>
      </c>
      <c r="K8640" s="7">
        <v>433.1</v>
      </c>
      <c r="L8640" s="7">
        <v>468.6</v>
      </c>
      <c r="M8640" s="7">
        <v>361.1</v>
      </c>
      <c r="N8640" s="7">
        <v>255.4</v>
      </c>
      <c r="O8640" s="7">
        <v>169.5</v>
      </c>
      <c r="P8640" s="7">
        <v>445.8</v>
      </c>
      <c r="Q8640" s="7">
        <v>382</v>
      </c>
      <c r="R8640" s="7">
        <v>301.10000000000002</v>
      </c>
      <c r="U8640" s="7">
        <v>459.6</v>
      </c>
    </row>
    <row r="8641" spans="1:21" x14ac:dyDescent="0.2">
      <c r="A8641">
        <v>8640</v>
      </c>
      <c r="B8641" s="1">
        <v>41093</v>
      </c>
      <c r="C8641" t="s">
        <v>24</v>
      </c>
      <c r="D8641" s="7">
        <v>351</v>
      </c>
      <c r="E8641" s="7">
        <v>52</v>
      </c>
      <c r="F8641" s="7">
        <f t="shared" si="135"/>
        <v>3</v>
      </c>
      <c r="G8641" s="7" t="str">
        <f>LOOKUP(H8641,[1]startdates!$A$2:$A$10,[1]startdates!$B$2:$B$10)</f>
        <v>SMr</v>
      </c>
      <c r="H8641">
        <v>2</v>
      </c>
      <c r="I8641" s="7">
        <v>621.79999999999995</v>
      </c>
      <c r="J8641" s="7">
        <v>523.29999999999995</v>
      </c>
      <c r="K8641" s="7">
        <v>479.1</v>
      </c>
      <c r="L8641" s="7">
        <v>456.8</v>
      </c>
      <c r="M8641" s="7">
        <v>339.8</v>
      </c>
      <c r="N8641" s="7">
        <v>255.5</v>
      </c>
      <c r="O8641" s="7">
        <v>194.9</v>
      </c>
      <c r="U8641" s="7">
        <v>550.4</v>
      </c>
    </row>
    <row r="8642" spans="1:21" x14ac:dyDescent="0.2">
      <c r="A8642">
        <v>8641</v>
      </c>
      <c r="B8642" s="1">
        <v>41093</v>
      </c>
      <c r="C8642" t="s">
        <v>24</v>
      </c>
      <c r="D8642" s="7">
        <v>351</v>
      </c>
      <c r="E8642" s="7">
        <v>52</v>
      </c>
      <c r="F8642" s="7">
        <f t="shared" si="135"/>
        <v>3</v>
      </c>
      <c r="G8642" s="7" t="str">
        <f>LOOKUP(H8642,[1]startdates!$A$2:$A$10,[1]startdates!$B$2:$B$10)</f>
        <v>SMr</v>
      </c>
      <c r="H8642">
        <v>2</v>
      </c>
      <c r="I8642" s="7">
        <v>596.79999999999995</v>
      </c>
      <c r="J8642" s="7">
        <v>480</v>
      </c>
      <c r="K8642" s="7">
        <v>348.4</v>
      </c>
      <c r="L8642" s="7">
        <v>377.2</v>
      </c>
      <c r="M8642" s="7">
        <v>329.5</v>
      </c>
      <c r="N8642" s="7">
        <v>247.7</v>
      </c>
      <c r="O8642" s="7">
        <v>170.6</v>
      </c>
      <c r="U8642" s="7">
        <v>533.5</v>
      </c>
    </row>
    <row r="8643" spans="1:21" x14ac:dyDescent="0.2">
      <c r="A8643">
        <v>8642</v>
      </c>
      <c r="B8643" s="1">
        <v>41093</v>
      </c>
      <c r="C8643" t="s">
        <v>24</v>
      </c>
      <c r="D8643" s="7">
        <v>351</v>
      </c>
      <c r="E8643" s="7">
        <v>52</v>
      </c>
      <c r="F8643" s="7">
        <f t="shared" si="135"/>
        <v>3</v>
      </c>
      <c r="G8643" s="7" t="str">
        <f>LOOKUP(H8643,[1]startdates!$A$2:$A$10,[1]startdates!$B$2:$B$10)</f>
        <v>SMr</v>
      </c>
      <c r="H8643">
        <v>2</v>
      </c>
      <c r="I8643" s="7">
        <v>648.9</v>
      </c>
      <c r="M8643" s="7">
        <v>312.10000000000002</v>
      </c>
      <c r="N8643" s="7">
        <v>233.2</v>
      </c>
      <c r="O8643" s="7">
        <v>179.5</v>
      </c>
      <c r="U8643" s="7">
        <v>471.5</v>
      </c>
    </row>
    <row r="8644" spans="1:21" x14ac:dyDescent="0.2">
      <c r="A8644">
        <v>8643</v>
      </c>
      <c r="B8644" s="1">
        <v>41093</v>
      </c>
      <c r="C8644" t="s">
        <v>24</v>
      </c>
      <c r="D8644" s="7">
        <v>351</v>
      </c>
      <c r="E8644" s="7">
        <v>52</v>
      </c>
      <c r="F8644" s="7">
        <f t="shared" si="135"/>
        <v>3</v>
      </c>
      <c r="G8644" s="7" t="str">
        <f>LOOKUP(H8644,[1]startdates!$A$2:$A$10,[1]startdates!$B$2:$B$10)</f>
        <v>SMr</v>
      </c>
      <c r="H8644">
        <v>2</v>
      </c>
      <c r="I8644" s="7">
        <v>623.1</v>
      </c>
      <c r="M8644" s="7">
        <v>309.39999999999998</v>
      </c>
      <c r="N8644" s="7">
        <v>263.10000000000002</v>
      </c>
      <c r="O8644" s="7">
        <v>213.5</v>
      </c>
    </row>
    <row r="8645" spans="1:21" x14ac:dyDescent="0.2">
      <c r="A8645">
        <v>8644</v>
      </c>
      <c r="B8645" s="1">
        <v>41093</v>
      </c>
      <c r="C8645" t="s">
        <v>24</v>
      </c>
      <c r="D8645" s="7">
        <v>351</v>
      </c>
      <c r="E8645" s="7">
        <v>52</v>
      </c>
      <c r="F8645" s="7">
        <f t="shared" si="135"/>
        <v>3</v>
      </c>
      <c r="G8645" s="7" t="str">
        <f>LOOKUP(H8645,[1]startdates!$A$2:$A$10,[1]startdates!$B$2:$B$10)</f>
        <v>SMr</v>
      </c>
      <c r="H8645">
        <v>2</v>
      </c>
      <c r="I8645" s="7">
        <v>670.2</v>
      </c>
      <c r="M8645" s="7">
        <v>325.5</v>
      </c>
      <c r="N8645" s="7">
        <v>229.6</v>
      </c>
      <c r="O8645" s="7">
        <v>178.2</v>
      </c>
    </row>
    <row r="8646" spans="1:21" x14ac:dyDescent="0.2">
      <c r="A8646">
        <v>8645</v>
      </c>
      <c r="B8646" s="1">
        <v>41093</v>
      </c>
      <c r="C8646" t="s">
        <v>24</v>
      </c>
      <c r="D8646" s="7">
        <v>351</v>
      </c>
      <c r="E8646" s="7">
        <v>52</v>
      </c>
      <c r="F8646" s="7">
        <f t="shared" si="135"/>
        <v>3</v>
      </c>
      <c r="G8646" s="7" t="str">
        <f>LOOKUP(H8646,[1]startdates!$A$2:$A$10,[1]startdates!$B$2:$B$10)</f>
        <v>SMr</v>
      </c>
      <c r="H8646">
        <v>2</v>
      </c>
      <c r="I8646" s="7">
        <v>652.4</v>
      </c>
      <c r="M8646" s="7">
        <v>316.8</v>
      </c>
      <c r="N8646" s="7">
        <v>273.3</v>
      </c>
      <c r="O8646" s="7">
        <v>176.5</v>
      </c>
    </row>
    <row r="8647" spans="1:21" x14ac:dyDescent="0.2">
      <c r="A8647">
        <v>8646</v>
      </c>
      <c r="B8647" s="1">
        <v>41093</v>
      </c>
      <c r="C8647" t="s">
        <v>24</v>
      </c>
      <c r="D8647" s="7">
        <v>351</v>
      </c>
      <c r="E8647" s="7">
        <v>52</v>
      </c>
      <c r="F8647" s="7">
        <f t="shared" si="135"/>
        <v>3</v>
      </c>
      <c r="G8647" s="7" t="str">
        <f>LOOKUP(H8647,[1]startdates!$A$2:$A$10,[1]startdates!$B$2:$B$10)</f>
        <v>SMr</v>
      </c>
      <c r="H8647">
        <v>2</v>
      </c>
      <c r="I8647" s="7">
        <v>646.4</v>
      </c>
      <c r="M8647" s="7">
        <v>327.9</v>
      </c>
      <c r="N8647" s="7">
        <v>263.5</v>
      </c>
      <c r="O8647" s="7">
        <v>170.8</v>
      </c>
    </row>
    <row r="8648" spans="1:21" x14ac:dyDescent="0.2">
      <c r="A8648">
        <v>8647</v>
      </c>
      <c r="B8648" s="1">
        <v>41093</v>
      </c>
      <c r="C8648" t="s">
        <v>24</v>
      </c>
      <c r="D8648" s="7">
        <v>351</v>
      </c>
      <c r="E8648" s="7">
        <v>52</v>
      </c>
      <c r="F8648" s="7">
        <f t="shared" si="135"/>
        <v>3</v>
      </c>
      <c r="G8648" s="7" t="str">
        <f>LOOKUP(H8648,[1]startdates!$A$2:$A$10,[1]startdates!$B$2:$B$10)</f>
        <v>SMr</v>
      </c>
      <c r="H8648">
        <v>2</v>
      </c>
      <c r="I8648" s="7">
        <v>621</v>
      </c>
      <c r="M8648" s="7">
        <v>284</v>
      </c>
      <c r="N8648" s="7">
        <v>236.7</v>
      </c>
      <c r="O8648" s="7">
        <v>163.5</v>
      </c>
    </row>
    <row r="8649" spans="1:21" x14ac:dyDescent="0.2">
      <c r="A8649">
        <v>8648</v>
      </c>
      <c r="B8649" s="1">
        <v>41093</v>
      </c>
      <c r="C8649" t="s">
        <v>24</v>
      </c>
      <c r="D8649" s="7">
        <v>351</v>
      </c>
      <c r="E8649" s="7">
        <v>52</v>
      </c>
      <c r="F8649" s="7">
        <f t="shared" si="135"/>
        <v>3</v>
      </c>
      <c r="G8649" s="7" t="str">
        <f>LOOKUP(H8649,[1]startdates!$A$2:$A$10,[1]startdates!$B$2:$B$10)</f>
        <v>SMr</v>
      </c>
      <c r="H8649">
        <v>2</v>
      </c>
      <c r="N8649" s="7">
        <v>240.4</v>
      </c>
      <c r="O8649" s="7">
        <v>161.4</v>
      </c>
    </row>
    <row r="8650" spans="1:21" x14ac:dyDescent="0.2">
      <c r="A8650">
        <v>8649</v>
      </c>
      <c r="B8650" s="1">
        <v>41093</v>
      </c>
      <c r="C8650" t="s">
        <v>28</v>
      </c>
      <c r="D8650" s="7">
        <v>351</v>
      </c>
      <c r="E8650" s="7">
        <v>52</v>
      </c>
      <c r="F8650" s="7">
        <f t="shared" si="135"/>
        <v>3</v>
      </c>
      <c r="G8650" s="7" t="str">
        <f>LOOKUP(H8650,[1]startdates!$A$2:$A$10,[1]startdates!$B$2:$B$10)</f>
        <v>C</v>
      </c>
      <c r="H8650">
        <v>3</v>
      </c>
      <c r="I8650" s="7">
        <v>659.5</v>
      </c>
      <c r="J8650" s="7">
        <v>567.1</v>
      </c>
      <c r="K8650" s="7">
        <v>566.79999999999995</v>
      </c>
      <c r="L8650" s="7">
        <v>485.8</v>
      </c>
      <c r="M8650" s="7">
        <v>304.7</v>
      </c>
      <c r="N8650" s="7">
        <v>230.7</v>
      </c>
      <c r="O8650" s="7">
        <v>169.6</v>
      </c>
      <c r="P8650" s="7">
        <v>484.5</v>
      </c>
    </row>
    <row r="8651" spans="1:21" x14ac:dyDescent="0.2">
      <c r="A8651">
        <v>8650</v>
      </c>
      <c r="B8651" s="1">
        <v>41093</v>
      </c>
      <c r="C8651" t="s">
        <v>28</v>
      </c>
      <c r="D8651" s="7">
        <v>351</v>
      </c>
      <c r="E8651" s="7">
        <v>52</v>
      </c>
      <c r="F8651" s="7">
        <f t="shared" si="135"/>
        <v>3</v>
      </c>
      <c r="G8651" s="7" t="str">
        <f>LOOKUP(H8651,[1]startdates!$A$2:$A$10,[1]startdates!$B$2:$B$10)</f>
        <v>C</v>
      </c>
      <c r="H8651">
        <v>3</v>
      </c>
      <c r="I8651" s="7">
        <v>678.3</v>
      </c>
      <c r="J8651" s="7">
        <v>615.6</v>
      </c>
      <c r="K8651" s="7">
        <v>510.1</v>
      </c>
      <c r="L8651" s="7">
        <v>403.1</v>
      </c>
      <c r="M8651" s="7">
        <v>327</v>
      </c>
      <c r="N8651" s="7">
        <v>195.3</v>
      </c>
      <c r="O8651" s="7">
        <v>156.19999999999999</v>
      </c>
      <c r="P8651" s="7">
        <v>463.2</v>
      </c>
    </row>
    <row r="8652" spans="1:21" x14ac:dyDescent="0.2">
      <c r="A8652">
        <v>8651</v>
      </c>
      <c r="B8652" s="1">
        <v>41093</v>
      </c>
      <c r="C8652" t="s">
        <v>28</v>
      </c>
      <c r="D8652" s="7">
        <v>351</v>
      </c>
      <c r="E8652" s="7">
        <v>52</v>
      </c>
      <c r="F8652" s="7">
        <f t="shared" si="135"/>
        <v>3</v>
      </c>
      <c r="G8652" s="7" t="str">
        <f>LOOKUP(H8652,[1]startdates!$A$2:$A$10,[1]startdates!$B$2:$B$10)</f>
        <v>C</v>
      </c>
      <c r="H8652">
        <v>3</v>
      </c>
      <c r="I8652" s="7">
        <v>577.5</v>
      </c>
      <c r="J8652" s="7">
        <v>563.5</v>
      </c>
      <c r="K8652" s="7">
        <v>547.6</v>
      </c>
      <c r="L8652" s="7">
        <v>392.5</v>
      </c>
      <c r="M8652" s="7">
        <v>328.7</v>
      </c>
      <c r="N8652" s="7">
        <v>190.1</v>
      </c>
      <c r="O8652" s="7">
        <v>156.6</v>
      </c>
    </row>
    <row r="8653" spans="1:21" x14ac:dyDescent="0.2">
      <c r="A8653">
        <v>8652</v>
      </c>
      <c r="B8653" s="1">
        <v>41093</v>
      </c>
      <c r="C8653" t="s">
        <v>28</v>
      </c>
      <c r="D8653" s="7">
        <v>351</v>
      </c>
      <c r="E8653" s="7">
        <v>52</v>
      </c>
      <c r="F8653" s="7">
        <f t="shared" si="135"/>
        <v>3</v>
      </c>
      <c r="G8653" s="7" t="str">
        <f>LOOKUP(H8653,[1]startdates!$A$2:$A$10,[1]startdates!$B$2:$B$10)</f>
        <v>C</v>
      </c>
      <c r="H8653">
        <v>3</v>
      </c>
      <c r="I8653" s="7">
        <v>598.79999999999995</v>
      </c>
      <c r="J8653" s="7">
        <v>488</v>
      </c>
      <c r="L8653" s="7">
        <v>476.6</v>
      </c>
      <c r="M8653" s="7">
        <v>325.7</v>
      </c>
      <c r="N8653" s="7">
        <v>217.4</v>
      </c>
      <c r="O8653" s="7">
        <v>163.5</v>
      </c>
    </row>
    <row r="8654" spans="1:21" x14ac:dyDescent="0.2">
      <c r="A8654">
        <v>8653</v>
      </c>
      <c r="B8654" s="1">
        <v>41093</v>
      </c>
      <c r="C8654" t="s">
        <v>28</v>
      </c>
      <c r="D8654" s="7">
        <v>351</v>
      </c>
      <c r="E8654" s="7">
        <v>52</v>
      </c>
      <c r="F8654" s="7">
        <f t="shared" si="135"/>
        <v>3</v>
      </c>
      <c r="G8654" s="7" t="str">
        <f>LOOKUP(H8654,[1]startdates!$A$2:$A$10,[1]startdates!$B$2:$B$10)</f>
        <v>C</v>
      </c>
      <c r="H8654">
        <v>3</v>
      </c>
      <c r="I8654" s="7">
        <v>732.9</v>
      </c>
      <c r="J8654" s="7">
        <v>567.9</v>
      </c>
      <c r="M8654" s="7">
        <v>339.1</v>
      </c>
      <c r="N8654" s="7">
        <v>227.1</v>
      </c>
      <c r="O8654" s="7">
        <v>155</v>
      </c>
    </row>
    <row r="8655" spans="1:21" x14ac:dyDescent="0.2">
      <c r="A8655">
        <v>8654</v>
      </c>
      <c r="B8655" s="1">
        <v>41093</v>
      </c>
      <c r="C8655" t="s">
        <v>28</v>
      </c>
      <c r="D8655" s="7">
        <v>351</v>
      </c>
      <c r="E8655" s="7">
        <v>52</v>
      </c>
      <c r="F8655" s="7">
        <f t="shared" si="135"/>
        <v>3</v>
      </c>
      <c r="G8655" s="7" t="str">
        <f>LOOKUP(H8655,[1]startdates!$A$2:$A$10,[1]startdates!$B$2:$B$10)</f>
        <v>C</v>
      </c>
      <c r="H8655">
        <v>3</v>
      </c>
      <c r="I8655" s="7">
        <v>610.20000000000005</v>
      </c>
      <c r="J8655" s="7">
        <v>516.79999999999995</v>
      </c>
      <c r="M8655" s="7">
        <v>305.10000000000002</v>
      </c>
      <c r="N8655" s="7">
        <v>221</v>
      </c>
      <c r="O8655" s="7">
        <v>135.1</v>
      </c>
    </row>
    <row r="8656" spans="1:21" x14ac:dyDescent="0.2">
      <c r="A8656">
        <v>8655</v>
      </c>
      <c r="B8656" s="1">
        <v>41093</v>
      </c>
      <c r="C8656" t="s">
        <v>28</v>
      </c>
      <c r="D8656" s="7">
        <v>351</v>
      </c>
      <c r="E8656" s="7">
        <v>52</v>
      </c>
      <c r="F8656" s="7">
        <f t="shared" si="135"/>
        <v>3</v>
      </c>
      <c r="G8656" s="7" t="str">
        <f>LOOKUP(H8656,[1]startdates!$A$2:$A$10,[1]startdates!$B$2:$B$10)</f>
        <v>C</v>
      </c>
      <c r="H8656">
        <v>3</v>
      </c>
      <c r="I8656" s="7">
        <v>728.8</v>
      </c>
      <c r="M8656" s="7">
        <v>372.5</v>
      </c>
      <c r="N8656" s="7">
        <v>213.3</v>
      </c>
      <c r="O8656" s="7">
        <v>168</v>
      </c>
    </row>
    <row r="8657" spans="1:21" x14ac:dyDescent="0.2">
      <c r="A8657">
        <v>8656</v>
      </c>
      <c r="B8657" s="1">
        <v>41093</v>
      </c>
      <c r="C8657" t="s">
        <v>28</v>
      </c>
      <c r="D8657" s="7">
        <v>351</v>
      </c>
      <c r="E8657" s="7">
        <v>52</v>
      </c>
      <c r="F8657" s="7">
        <f t="shared" si="135"/>
        <v>3</v>
      </c>
      <c r="G8657" s="7" t="str">
        <f>LOOKUP(H8657,[1]startdates!$A$2:$A$10,[1]startdates!$B$2:$B$10)</f>
        <v>C</v>
      </c>
      <c r="H8657">
        <v>3</v>
      </c>
      <c r="I8657" s="7">
        <v>633.1</v>
      </c>
      <c r="M8657" s="7">
        <v>382</v>
      </c>
      <c r="N8657" s="7">
        <v>223.6</v>
      </c>
      <c r="O8657" s="7">
        <v>171.3</v>
      </c>
    </row>
    <row r="8658" spans="1:21" x14ac:dyDescent="0.2">
      <c r="A8658">
        <v>8657</v>
      </c>
      <c r="B8658" s="1">
        <v>41093</v>
      </c>
      <c r="C8658" t="s">
        <v>28</v>
      </c>
      <c r="D8658" s="7">
        <v>351</v>
      </c>
      <c r="E8658" s="7">
        <v>52</v>
      </c>
      <c r="F8658" s="7">
        <f t="shared" si="135"/>
        <v>3</v>
      </c>
      <c r="G8658" s="7" t="str">
        <f>LOOKUP(H8658,[1]startdates!$A$2:$A$10,[1]startdates!$B$2:$B$10)</f>
        <v>C</v>
      </c>
      <c r="H8658">
        <v>3</v>
      </c>
      <c r="I8658" s="7">
        <v>702.1</v>
      </c>
      <c r="M8658" s="7">
        <v>381.8</v>
      </c>
      <c r="N8658" s="7">
        <v>226.3</v>
      </c>
      <c r="O8658" s="7">
        <v>182.5</v>
      </c>
    </row>
    <row r="8659" spans="1:21" x14ac:dyDescent="0.2">
      <c r="A8659">
        <v>8658</v>
      </c>
      <c r="B8659" s="1">
        <v>41093</v>
      </c>
      <c r="C8659" t="s">
        <v>28</v>
      </c>
      <c r="D8659" s="7">
        <v>351</v>
      </c>
      <c r="E8659" s="7">
        <v>52</v>
      </c>
      <c r="F8659" s="7">
        <f t="shared" si="135"/>
        <v>3</v>
      </c>
      <c r="G8659" s="7" t="str">
        <f>LOOKUP(H8659,[1]startdates!$A$2:$A$10,[1]startdates!$B$2:$B$10)</f>
        <v>C</v>
      </c>
      <c r="H8659">
        <v>3</v>
      </c>
      <c r="N8659" s="7">
        <v>186.3</v>
      </c>
      <c r="O8659" s="7">
        <v>168.2</v>
      </c>
    </row>
    <row r="8660" spans="1:21" x14ac:dyDescent="0.2">
      <c r="A8660">
        <v>8659</v>
      </c>
      <c r="B8660" s="1">
        <v>41093</v>
      </c>
      <c r="C8660" t="s">
        <v>28</v>
      </c>
      <c r="D8660" s="7">
        <v>351</v>
      </c>
      <c r="E8660" s="7">
        <v>52</v>
      </c>
      <c r="F8660" s="7">
        <f t="shared" si="135"/>
        <v>3</v>
      </c>
      <c r="G8660" s="7" t="str">
        <f>LOOKUP(H8660,[1]startdates!$A$2:$A$10,[1]startdates!$B$2:$B$10)</f>
        <v>SMr</v>
      </c>
      <c r="H8660">
        <v>4</v>
      </c>
      <c r="I8660" s="7">
        <v>706</v>
      </c>
      <c r="J8660" s="7">
        <v>519.5</v>
      </c>
      <c r="K8660" s="7">
        <v>570</v>
      </c>
      <c r="L8660" s="7">
        <v>401.4</v>
      </c>
      <c r="M8660" s="7">
        <v>299.39999999999998</v>
      </c>
      <c r="N8660" s="7">
        <v>228.7</v>
      </c>
      <c r="O8660" s="7">
        <v>155</v>
      </c>
      <c r="P8660" s="7">
        <v>491.9</v>
      </c>
      <c r="Q8660" s="7">
        <v>338.4</v>
      </c>
      <c r="R8660" s="7">
        <v>250.8</v>
      </c>
      <c r="U8660" s="7">
        <v>455.3</v>
      </c>
    </row>
    <row r="8661" spans="1:21" x14ac:dyDescent="0.2">
      <c r="A8661">
        <v>8660</v>
      </c>
      <c r="B8661" s="1">
        <v>41093</v>
      </c>
      <c r="C8661" t="s">
        <v>28</v>
      </c>
      <c r="D8661" s="7">
        <v>351</v>
      </c>
      <c r="E8661" s="7">
        <v>52</v>
      </c>
      <c r="F8661" s="7">
        <f t="shared" si="135"/>
        <v>3</v>
      </c>
      <c r="G8661" s="7" t="str">
        <f>LOOKUP(H8661,[1]startdates!$A$2:$A$10,[1]startdates!$B$2:$B$10)</f>
        <v>SMr</v>
      </c>
      <c r="H8661">
        <v>4</v>
      </c>
      <c r="I8661" s="7">
        <v>699.8</v>
      </c>
      <c r="K8661" s="7">
        <v>561.6</v>
      </c>
      <c r="L8661" s="7">
        <v>400.8</v>
      </c>
      <c r="M8661" s="7">
        <v>352.7</v>
      </c>
      <c r="N8661" s="7">
        <v>236.1</v>
      </c>
      <c r="O8661" s="7">
        <v>158.6</v>
      </c>
      <c r="U8661" s="7">
        <v>555.20000000000005</v>
      </c>
    </row>
    <row r="8662" spans="1:21" x14ac:dyDescent="0.2">
      <c r="A8662">
        <v>8661</v>
      </c>
      <c r="B8662" s="1">
        <v>41093</v>
      </c>
      <c r="C8662" t="s">
        <v>28</v>
      </c>
      <c r="D8662" s="7">
        <v>351</v>
      </c>
      <c r="E8662" s="7">
        <v>52</v>
      </c>
      <c r="F8662" s="7">
        <f t="shared" si="135"/>
        <v>3</v>
      </c>
      <c r="G8662" s="7" t="str">
        <f>LOOKUP(H8662,[1]startdates!$A$2:$A$10,[1]startdates!$B$2:$B$10)</f>
        <v>SMr</v>
      </c>
      <c r="H8662">
        <v>4</v>
      </c>
      <c r="I8662" s="7">
        <v>659.2</v>
      </c>
      <c r="K8662" s="7">
        <v>475</v>
      </c>
      <c r="L8662" s="7">
        <v>422</v>
      </c>
      <c r="M8662" s="7">
        <v>328.4</v>
      </c>
      <c r="N8662" s="7">
        <v>197.1</v>
      </c>
      <c r="O8662" s="7">
        <v>163</v>
      </c>
      <c r="U8662" s="7">
        <v>480.5</v>
      </c>
    </row>
    <row r="8663" spans="1:21" x14ac:dyDescent="0.2">
      <c r="A8663">
        <v>8662</v>
      </c>
      <c r="B8663" s="1">
        <v>41093</v>
      </c>
      <c r="C8663" t="s">
        <v>28</v>
      </c>
      <c r="D8663" s="7">
        <v>351</v>
      </c>
      <c r="E8663" s="7">
        <v>52</v>
      </c>
      <c r="F8663" s="7">
        <f t="shared" si="135"/>
        <v>3</v>
      </c>
      <c r="G8663" s="7" t="str">
        <f>LOOKUP(H8663,[1]startdates!$A$2:$A$10,[1]startdates!$B$2:$B$10)</f>
        <v>SMr</v>
      </c>
      <c r="H8663">
        <v>4</v>
      </c>
      <c r="I8663" s="7">
        <v>647.20000000000005</v>
      </c>
      <c r="K8663" s="7">
        <v>461</v>
      </c>
      <c r="L8663" s="7">
        <v>420.6</v>
      </c>
      <c r="M8663" s="7">
        <v>324.8</v>
      </c>
      <c r="N8663" s="7">
        <v>185.7</v>
      </c>
      <c r="O8663" s="7">
        <v>119.9</v>
      </c>
      <c r="U8663" s="7">
        <v>577.70000000000005</v>
      </c>
    </row>
    <row r="8664" spans="1:21" x14ac:dyDescent="0.2">
      <c r="A8664">
        <v>8663</v>
      </c>
      <c r="B8664" s="1">
        <v>41093</v>
      </c>
      <c r="C8664" t="s">
        <v>28</v>
      </c>
      <c r="D8664" s="7">
        <v>351</v>
      </c>
      <c r="E8664" s="7">
        <v>52</v>
      </c>
      <c r="F8664" s="7">
        <f t="shared" si="135"/>
        <v>3</v>
      </c>
      <c r="G8664" s="7" t="str">
        <f>LOOKUP(H8664,[1]startdates!$A$2:$A$10,[1]startdates!$B$2:$B$10)</f>
        <v>SMr</v>
      </c>
      <c r="H8664">
        <v>4</v>
      </c>
      <c r="I8664" s="7">
        <v>636.20000000000005</v>
      </c>
      <c r="L8664" s="7">
        <v>449.9</v>
      </c>
      <c r="M8664" s="7">
        <v>332.4</v>
      </c>
      <c r="N8664" s="7">
        <v>223.6</v>
      </c>
      <c r="O8664" s="7">
        <v>178.7</v>
      </c>
    </row>
    <row r="8665" spans="1:21" x14ac:dyDescent="0.2">
      <c r="A8665">
        <v>8664</v>
      </c>
      <c r="B8665" s="1">
        <v>41093</v>
      </c>
      <c r="C8665" t="s">
        <v>28</v>
      </c>
      <c r="D8665" s="7">
        <v>351</v>
      </c>
      <c r="E8665" s="7">
        <v>52</v>
      </c>
      <c r="F8665" s="7">
        <f t="shared" si="135"/>
        <v>3</v>
      </c>
      <c r="G8665" s="7" t="str">
        <f>LOOKUP(H8665,[1]startdates!$A$2:$A$10,[1]startdates!$B$2:$B$10)</f>
        <v>SMr</v>
      </c>
      <c r="H8665">
        <v>4</v>
      </c>
      <c r="I8665" s="7">
        <v>683.7</v>
      </c>
      <c r="L8665" s="7">
        <v>404.6</v>
      </c>
      <c r="M8665" s="7">
        <v>366.6</v>
      </c>
      <c r="N8665" s="7">
        <v>224.8</v>
      </c>
      <c r="O8665" s="7">
        <v>176.7</v>
      </c>
    </row>
    <row r="8666" spans="1:21" x14ac:dyDescent="0.2">
      <c r="A8666">
        <v>8665</v>
      </c>
      <c r="B8666" s="1">
        <v>41093</v>
      </c>
      <c r="C8666" t="s">
        <v>28</v>
      </c>
      <c r="D8666" s="7">
        <v>351</v>
      </c>
      <c r="E8666" s="7">
        <v>52</v>
      </c>
      <c r="F8666" s="7">
        <f t="shared" si="135"/>
        <v>3</v>
      </c>
      <c r="G8666" s="7" t="str">
        <f>LOOKUP(H8666,[1]startdates!$A$2:$A$10,[1]startdates!$B$2:$B$10)</f>
        <v>SMr</v>
      </c>
      <c r="H8666">
        <v>4</v>
      </c>
      <c r="I8666" s="7">
        <v>650.20000000000005</v>
      </c>
      <c r="M8666" s="7">
        <v>371</v>
      </c>
      <c r="N8666" s="7">
        <v>293.39999999999998</v>
      </c>
      <c r="O8666" s="7">
        <v>158.30000000000001</v>
      </c>
    </row>
    <row r="8667" spans="1:21" x14ac:dyDescent="0.2">
      <c r="A8667">
        <v>8666</v>
      </c>
      <c r="B8667" s="1">
        <v>41093</v>
      </c>
      <c r="C8667" t="s">
        <v>28</v>
      </c>
      <c r="D8667" s="7">
        <v>351</v>
      </c>
      <c r="E8667" s="7">
        <v>52</v>
      </c>
      <c r="F8667" s="7">
        <f t="shared" si="135"/>
        <v>3</v>
      </c>
      <c r="G8667" s="7" t="str">
        <f>LOOKUP(H8667,[1]startdates!$A$2:$A$10,[1]startdates!$B$2:$B$10)</f>
        <v>SMr</v>
      </c>
      <c r="H8667">
        <v>4</v>
      </c>
      <c r="I8667" s="7">
        <v>614.4</v>
      </c>
      <c r="M8667" s="7">
        <v>315.89999999999998</v>
      </c>
      <c r="N8667" s="7">
        <v>240</v>
      </c>
      <c r="O8667" s="7">
        <v>151.69999999999999</v>
      </c>
    </row>
    <row r="8668" spans="1:21" x14ac:dyDescent="0.2">
      <c r="A8668">
        <v>8667</v>
      </c>
      <c r="B8668" s="1">
        <v>41093</v>
      </c>
      <c r="C8668" t="s">
        <v>28</v>
      </c>
      <c r="D8668" s="7">
        <v>351</v>
      </c>
      <c r="E8668" s="7">
        <v>52</v>
      </c>
      <c r="F8668" s="7">
        <f t="shared" si="135"/>
        <v>3</v>
      </c>
      <c r="G8668" s="7" t="str">
        <f>LOOKUP(H8668,[1]startdates!$A$2:$A$10,[1]startdates!$B$2:$B$10)</f>
        <v>SMr</v>
      </c>
      <c r="H8668">
        <v>4</v>
      </c>
      <c r="I8668" s="7">
        <v>670.1</v>
      </c>
      <c r="M8668" s="7">
        <v>329</v>
      </c>
      <c r="N8668" s="7">
        <v>213.5</v>
      </c>
      <c r="O8668" s="7">
        <v>171.6</v>
      </c>
    </row>
    <row r="8669" spans="1:21" x14ac:dyDescent="0.2">
      <c r="A8669">
        <v>8668</v>
      </c>
      <c r="B8669" s="1">
        <v>41093</v>
      </c>
      <c r="C8669" t="s">
        <v>28</v>
      </c>
      <c r="D8669" s="7">
        <v>351</v>
      </c>
      <c r="E8669" s="7">
        <v>52</v>
      </c>
      <c r="F8669" s="7">
        <f t="shared" si="135"/>
        <v>3</v>
      </c>
      <c r="G8669" s="7" t="str">
        <f>LOOKUP(H8669,[1]startdates!$A$2:$A$10,[1]startdates!$B$2:$B$10)</f>
        <v>SMr</v>
      </c>
      <c r="H8669">
        <v>4</v>
      </c>
      <c r="I8669" s="7">
        <v>601.5</v>
      </c>
      <c r="N8669" s="7">
        <v>225.7</v>
      </c>
    </row>
    <row r="8670" spans="1:21" x14ac:dyDescent="0.2">
      <c r="A8670">
        <v>8669</v>
      </c>
      <c r="B8670" s="1">
        <v>41093</v>
      </c>
      <c r="C8670" t="s">
        <v>28</v>
      </c>
      <c r="D8670" s="7">
        <v>351</v>
      </c>
      <c r="E8670" s="7">
        <v>52</v>
      </c>
      <c r="F8670" s="7">
        <f t="shared" si="135"/>
        <v>3</v>
      </c>
      <c r="G8670" s="7" t="str">
        <f>LOOKUP(H8670,[1]startdates!$A$2:$A$10,[1]startdates!$B$2:$B$10)</f>
        <v>SMr</v>
      </c>
      <c r="H8670">
        <v>4</v>
      </c>
      <c r="N8670" s="7">
        <v>296.10000000000002</v>
      </c>
    </row>
    <row r="8671" spans="1:21" x14ac:dyDescent="0.2">
      <c r="A8671">
        <v>8670</v>
      </c>
      <c r="B8671" s="1">
        <v>41093</v>
      </c>
      <c r="C8671" t="s">
        <v>24</v>
      </c>
      <c r="D8671" s="7">
        <v>351</v>
      </c>
      <c r="E8671" s="7">
        <v>52</v>
      </c>
      <c r="F8671" s="7">
        <f t="shared" si="135"/>
        <v>3</v>
      </c>
      <c r="G8671" s="7" t="str">
        <f>LOOKUP(H8671,[1]startdates!$A$2:$A$10,[1]startdates!$B$2:$B$10)</f>
        <v>C</v>
      </c>
      <c r="H8671">
        <v>5</v>
      </c>
      <c r="I8671" s="7">
        <v>607.9</v>
      </c>
      <c r="J8671" s="7">
        <v>520.6</v>
      </c>
      <c r="K8671" s="7">
        <v>483.1</v>
      </c>
      <c r="L8671" s="7">
        <v>456.4</v>
      </c>
      <c r="M8671" s="7">
        <v>357.4</v>
      </c>
      <c r="N8671" s="7">
        <v>228.9</v>
      </c>
      <c r="O8671" s="7">
        <v>164</v>
      </c>
      <c r="P8671" s="7">
        <v>519.9</v>
      </c>
      <c r="R8671" s="7">
        <v>263.3</v>
      </c>
    </row>
    <row r="8672" spans="1:21" x14ac:dyDescent="0.2">
      <c r="A8672">
        <v>8671</v>
      </c>
      <c r="B8672" s="1">
        <v>41093</v>
      </c>
      <c r="C8672" t="s">
        <v>24</v>
      </c>
      <c r="D8672" s="7">
        <v>351</v>
      </c>
      <c r="E8672" s="7">
        <v>52</v>
      </c>
      <c r="F8672" s="7">
        <f t="shared" si="135"/>
        <v>3</v>
      </c>
      <c r="G8672" s="7" t="str">
        <f>LOOKUP(H8672,[1]startdates!$A$2:$A$10,[1]startdates!$B$2:$B$10)</f>
        <v>C</v>
      </c>
      <c r="H8672">
        <v>5</v>
      </c>
      <c r="I8672" s="7">
        <v>650.6</v>
      </c>
      <c r="J8672" s="7">
        <v>611</v>
      </c>
      <c r="K8672" s="7">
        <v>615.9</v>
      </c>
      <c r="L8672" s="7">
        <v>432.4</v>
      </c>
      <c r="M8672" s="7">
        <v>328.7</v>
      </c>
      <c r="N8672" s="7">
        <v>184.5</v>
      </c>
      <c r="O8672" s="7">
        <v>154.6</v>
      </c>
      <c r="P8672" s="7">
        <v>441.6</v>
      </c>
    </row>
    <row r="8673" spans="1:18" x14ac:dyDescent="0.2">
      <c r="A8673">
        <v>8672</v>
      </c>
      <c r="B8673" s="1">
        <v>41093</v>
      </c>
      <c r="C8673" t="s">
        <v>24</v>
      </c>
      <c r="D8673" s="7">
        <v>351</v>
      </c>
      <c r="E8673" s="7">
        <v>52</v>
      </c>
      <c r="F8673" s="7">
        <f t="shared" si="135"/>
        <v>3</v>
      </c>
      <c r="G8673" s="7" t="str">
        <f>LOOKUP(H8673,[1]startdates!$A$2:$A$10,[1]startdates!$B$2:$B$10)</f>
        <v>C</v>
      </c>
      <c r="H8673">
        <v>5</v>
      </c>
      <c r="I8673" s="7">
        <v>598.4</v>
      </c>
      <c r="J8673" s="7">
        <v>603.79999999999995</v>
      </c>
      <c r="K8673" s="7">
        <v>625.1</v>
      </c>
      <c r="L8673" s="7">
        <v>408.7</v>
      </c>
      <c r="M8673" s="7">
        <v>345.3</v>
      </c>
      <c r="N8673" s="7">
        <v>251.9</v>
      </c>
      <c r="O8673" s="7">
        <v>196.4</v>
      </c>
      <c r="P8673" s="7">
        <v>499.1</v>
      </c>
    </row>
    <row r="8674" spans="1:18" x14ac:dyDescent="0.2">
      <c r="A8674">
        <v>8673</v>
      </c>
      <c r="B8674" s="1">
        <v>41093</v>
      </c>
      <c r="C8674" t="s">
        <v>24</v>
      </c>
      <c r="D8674" s="7">
        <v>351</v>
      </c>
      <c r="E8674" s="7">
        <v>52</v>
      </c>
      <c r="F8674" s="7">
        <f t="shared" si="135"/>
        <v>3</v>
      </c>
      <c r="G8674" s="7" t="str">
        <f>LOOKUP(H8674,[1]startdates!$A$2:$A$10,[1]startdates!$B$2:$B$10)</f>
        <v>C</v>
      </c>
      <c r="H8674">
        <v>5</v>
      </c>
      <c r="I8674" s="7">
        <v>709.3</v>
      </c>
      <c r="J8674" s="7">
        <v>540.70000000000005</v>
      </c>
      <c r="K8674" s="7">
        <v>548.6</v>
      </c>
      <c r="M8674" s="7">
        <v>324.3</v>
      </c>
      <c r="N8674" s="7">
        <v>235</v>
      </c>
      <c r="O8674" s="7">
        <v>184.4</v>
      </c>
      <c r="P8674" s="7">
        <v>524.4</v>
      </c>
    </row>
    <row r="8675" spans="1:18" x14ac:dyDescent="0.2">
      <c r="A8675">
        <v>8674</v>
      </c>
      <c r="B8675" s="1">
        <v>41093</v>
      </c>
      <c r="C8675" t="s">
        <v>24</v>
      </c>
      <c r="D8675" s="7">
        <v>351</v>
      </c>
      <c r="E8675" s="7">
        <v>52</v>
      </c>
      <c r="F8675" s="7">
        <f t="shared" si="135"/>
        <v>3</v>
      </c>
      <c r="G8675" s="7" t="str">
        <f>LOOKUP(H8675,[1]startdates!$A$2:$A$10,[1]startdates!$B$2:$B$10)</f>
        <v>C</v>
      </c>
      <c r="H8675">
        <v>5</v>
      </c>
      <c r="I8675" s="7">
        <v>590.29999999999995</v>
      </c>
      <c r="J8675" s="7">
        <v>531.29999999999995</v>
      </c>
      <c r="M8675" s="7">
        <v>373.8</v>
      </c>
      <c r="N8675" s="7">
        <v>189.5</v>
      </c>
      <c r="O8675" s="7">
        <v>179.2</v>
      </c>
    </row>
    <row r="8676" spans="1:18" x14ac:dyDescent="0.2">
      <c r="A8676">
        <v>8675</v>
      </c>
      <c r="B8676" s="1">
        <v>41093</v>
      </c>
      <c r="C8676" t="s">
        <v>24</v>
      </c>
      <c r="D8676" s="7">
        <v>351</v>
      </c>
      <c r="E8676" s="7">
        <v>52</v>
      </c>
      <c r="F8676" s="7">
        <f t="shared" si="135"/>
        <v>3</v>
      </c>
      <c r="G8676" s="7" t="str">
        <f>LOOKUP(H8676,[1]startdates!$A$2:$A$10,[1]startdates!$B$2:$B$10)</f>
        <v>C</v>
      </c>
      <c r="H8676">
        <v>5</v>
      </c>
      <c r="I8676" s="7">
        <v>588.4</v>
      </c>
      <c r="J8676" s="7">
        <v>439</v>
      </c>
      <c r="M8676" s="7">
        <v>340.5</v>
      </c>
      <c r="N8676" s="7">
        <v>220.3</v>
      </c>
    </row>
    <row r="8677" spans="1:18" x14ac:dyDescent="0.2">
      <c r="A8677">
        <v>8676</v>
      </c>
      <c r="B8677" s="1">
        <v>41093</v>
      </c>
      <c r="C8677" t="s">
        <v>24</v>
      </c>
      <c r="D8677" s="7">
        <v>351</v>
      </c>
      <c r="E8677" s="7">
        <v>52</v>
      </c>
      <c r="F8677" s="7">
        <f t="shared" si="135"/>
        <v>3</v>
      </c>
      <c r="G8677" s="7" t="str">
        <f>LOOKUP(H8677,[1]startdates!$A$2:$A$10,[1]startdates!$B$2:$B$10)</f>
        <v>C</v>
      </c>
      <c r="H8677">
        <v>5</v>
      </c>
      <c r="I8677" s="7">
        <v>777.6</v>
      </c>
      <c r="J8677" s="7">
        <v>487.4</v>
      </c>
      <c r="M8677" s="7">
        <v>357.6</v>
      </c>
      <c r="N8677" s="7">
        <v>244.4</v>
      </c>
    </row>
    <row r="8678" spans="1:18" x14ac:dyDescent="0.2">
      <c r="A8678">
        <v>8677</v>
      </c>
      <c r="B8678" s="1">
        <v>41093</v>
      </c>
      <c r="C8678" t="s">
        <v>24</v>
      </c>
      <c r="D8678" s="7">
        <v>351</v>
      </c>
      <c r="E8678" s="7">
        <v>52</v>
      </c>
      <c r="F8678" s="7">
        <f t="shared" si="135"/>
        <v>3</v>
      </c>
      <c r="G8678" s="7" t="str">
        <f>LOOKUP(H8678,[1]startdates!$A$2:$A$10,[1]startdates!$B$2:$B$10)</f>
        <v>C</v>
      </c>
      <c r="H8678">
        <v>5</v>
      </c>
      <c r="I8678" s="7">
        <v>642.70000000000005</v>
      </c>
      <c r="N8678" s="7">
        <v>192.7</v>
      </c>
    </row>
    <row r="8679" spans="1:18" x14ac:dyDescent="0.2">
      <c r="A8679">
        <v>8678</v>
      </c>
      <c r="B8679" s="1">
        <v>41093</v>
      </c>
      <c r="C8679" t="s">
        <v>24</v>
      </c>
      <c r="D8679" s="7">
        <v>351</v>
      </c>
      <c r="E8679" s="7">
        <v>52</v>
      </c>
      <c r="F8679" s="7">
        <f t="shared" si="135"/>
        <v>3</v>
      </c>
      <c r="G8679" s="7" t="str">
        <f>LOOKUP(H8679,[1]startdates!$A$2:$A$10,[1]startdates!$B$2:$B$10)</f>
        <v>C</v>
      </c>
      <c r="H8679">
        <v>5</v>
      </c>
      <c r="N8679" s="7">
        <v>244.5</v>
      </c>
    </row>
    <row r="8680" spans="1:18" x14ac:dyDescent="0.2">
      <c r="A8680">
        <v>8679</v>
      </c>
      <c r="B8680" s="1">
        <v>41093</v>
      </c>
      <c r="C8680" t="s">
        <v>24</v>
      </c>
      <c r="D8680" s="7">
        <v>351</v>
      </c>
      <c r="E8680" s="7">
        <v>52</v>
      </c>
      <c r="F8680" s="7">
        <f t="shared" si="135"/>
        <v>3</v>
      </c>
      <c r="G8680" s="7" t="str">
        <f>LOOKUP(H8680,[1]startdates!$A$2:$A$10,[1]startdates!$B$2:$B$10)</f>
        <v>C</v>
      </c>
      <c r="H8680">
        <v>5</v>
      </c>
      <c r="N8680" s="7">
        <v>237.9</v>
      </c>
    </row>
    <row r="8681" spans="1:18" x14ac:dyDescent="0.2">
      <c r="A8681">
        <v>8680</v>
      </c>
      <c r="B8681" s="1">
        <v>41093</v>
      </c>
      <c r="C8681" t="s">
        <v>24</v>
      </c>
      <c r="D8681" s="7">
        <v>351</v>
      </c>
      <c r="E8681" s="7">
        <v>52</v>
      </c>
      <c r="F8681" s="7">
        <f t="shared" ref="F8681:F8744" si="136">WEEKDAY(B8681)</f>
        <v>3</v>
      </c>
      <c r="G8681" s="7" t="str">
        <f>LOOKUP(H8681,[1]startdates!$A$2:$A$10,[1]startdates!$B$2:$B$10)</f>
        <v>FMr</v>
      </c>
      <c r="H8681">
        <v>6</v>
      </c>
      <c r="I8681" s="7">
        <v>643</v>
      </c>
      <c r="J8681" s="7">
        <v>504.3</v>
      </c>
      <c r="K8681" s="7">
        <v>453.5</v>
      </c>
      <c r="L8681" s="7">
        <v>413.9</v>
      </c>
      <c r="M8681" s="7">
        <v>383.1</v>
      </c>
      <c r="N8681" s="7">
        <v>192</v>
      </c>
      <c r="O8681" s="7">
        <v>141.69999999999999</v>
      </c>
      <c r="P8681" s="7">
        <v>443.9</v>
      </c>
      <c r="Q8681" s="7">
        <v>372.7</v>
      </c>
      <c r="R8681" s="7">
        <v>253.2</v>
      </c>
    </row>
    <row r="8682" spans="1:18" x14ac:dyDescent="0.2">
      <c r="A8682">
        <v>8681</v>
      </c>
      <c r="B8682" s="1">
        <v>41093</v>
      </c>
      <c r="C8682" t="s">
        <v>24</v>
      </c>
      <c r="D8682" s="7">
        <v>351</v>
      </c>
      <c r="E8682" s="7">
        <v>52</v>
      </c>
      <c r="F8682" s="7">
        <f t="shared" si="136"/>
        <v>3</v>
      </c>
      <c r="G8682" s="7" t="str">
        <f>LOOKUP(H8682,[1]startdates!$A$2:$A$10,[1]startdates!$B$2:$B$10)</f>
        <v>FMr</v>
      </c>
      <c r="H8682">
        <v>6</v>
      </c>
      <c r="I8682" s="7">
        <v>616.20000000000005</v>
      </c>
      <c r="K8682" s="7">
        <v>508.3</v>
      </c>
      <c r="L8682" s="7">
        <v>408.7</v>
      </c>
      <c r="M8682" s="7">
        <v>322</v>
      </c>
      <c r="N8682" s="7">
        <v>268.8</v>
      </c>
      <c r="O8682" s="7">
        <v>162.69999999999999</v>
      </c>
      <c r="P8682" s="7">
        <v>425.3</v>
      </c>
    </row>
    <row r="8683" spans="1:18" x14ac:dyDescent="0.2">
      <c r="A8683">
        <v>8682</v>
      </c>
      <c r="B8683" s="1">
        <v>41093</v>
      </c>
      <c r="C8683" t="s">
        <v>24</v>
      </c>
      <c r="D8683" s="7">
        <v>351</v>
      </c>
      <c r="E8683" s="7">
        <v>52</v>
      </c>
      <c r="F8683" s="7">
        <f t="shared" si="136"/>
        <v>3</v>
      </c>
      <c r="G8683" s="7" t="str">
        <f>LOOKUP(H8683,[1]startdates!$A$2:$A$10,[1]startdates!$B$2:$B$10)</f>
        <v>FMr</v>
      </c>
      <c r="H8683">
        <v>6</v>
      </c>
      <c r="I8683" s="7">
        <v>562</v>
      </c>
      <c r="K8683" s="7">
        <v>514.9</v>
      </c>
      <c r="L8683" s="7">
        <v>401</v>
      </c>
      <c r="M8683" s="7">
        <v>342.1</v>
      </c>
      <c r="N8683" s="7">
        <v>224.1</v>
      </c>
      <c r="O8683" s="7">
        <v>138.30000000000001</v>
      </c>
      <c r="P8683" s="7">
        <v>437.4</v>
      </c>
    </row>
    <row r="8684" spans="1:18" x14ac:dyDescent="0.2">
      <c r="A8684">
        <v>8683</v>
      </c>
      <c r="B8684" s="1">
        <v>41093</v>
      </c>
      <c r="C8684" t="s">
        <v>24</v>
      </c>
      <c r="D8684" s="7">
        <v>351</v>
      </c>
      <c r="E8684" s="7">
        <v>52</v>
      </c>
      <c r="F8684" s="7">
        <f t="shared" si="136"/>
        <v>3</v>
      </c>
      <c r="G8684" s="7" t="str">
        <f>LOOKUP(H8684,[1]startdates!$A$2:$A$10,[1]startdates!$B$2:$B$10)</f>
        <v>FMr</v>
      </c>
      <c r="H8684">
        <v>6</v>
      </c>
      <c r="I8684" s="7">
        <v>595.70000000000005</v>
      </c>
      <c r="K8684" s="7">
        <v>482.3</v>
      </c>
      <c r="L8684" s="7">
        <v>439.5</v>
      </c>
      <c r="M8684" s="7">
        <v>305.7</v>
      </c>
      <c r="N8684" s="7">
        <v>174.6</v>
      </c>
      <c r="O8684" s="7">
        <v>133.4</v>
      </c>
      <c r="P8684" s="7">
        <v>485.5</v>
      </c>
    </row>
    <row r="8685" spans="1:18" x14ac:dyDescent="0.2">
      <c r="A8685">
        <v>8684</v>
      </c>
      <c r="B8685" s="1">
        <v>41093</v>
      </c>
      <c r="C8685" t="s">
        <v>24</v>
      </c>
      <c r="D8685" s="7">
        <v>351</v>
      </c>
      <c r="E8685" s="7">
        <v>52</v>
      </c>
      <c r="F8685" s="7">
        <f t="shared" si="136"/>
        <v>3</v>
      </c>
      <c r="G8685" s="7" t="str">
        <f>LOOKUP(H8685,[1]startdates!$A$2:$A$10,[1]startdates!$B$2:$B$10)</f>
        <v>FMr</v>
      </c>
      <c r="H8685">
        <v>6</v>
      </c>
      <c r="I8685" s="7">
        <v>662.8</v>
      </c>
      <c r="K8685" s="7">
        <v>505.3</v>
      </c>
      <c r="L8685" s="7">
        <v>399.3</v>
      </c>
      <c r="M8685" s="7">
        <v>346.5</v>
      </c>
      <c r="N8685" s="7">
        <v>178.6</v>
      </c>
      <c r="O8685" s="7">
        <v>153.1</v>
      </c>
    </row>
    <row r="8686" spans="1:18" x14ac:dyDescent="0.2">
      <c r="A8686">
        <v>8685</v>
      </c>
      <c r="B8686" s="1">
        <v>41093</v>
      </c>
      <c r="C8686" t="s">
        <v>24</v>
      </c>
      <c r="D8686" s="7">
        <v>351</v>
      </c>
      <c r="E8686" s="7">
        <v>52</v>
      </c>
      <c r="F8686" s="7">
        <f t="shared" si="136"/>
        <v>3</v>
      </c>
      <c r="G8686" s="7" t="str">
        <f>LOOKUP(H8686,[1]startdates!$A$2:$A$10,[1]startdates!$B$2:$B$10)</f>
        <v>FMr</v>
      </c>
      <c r="H8686">
        <v>6</v>
      </c>
      <c r="I8686" s="7">
        <v>583.1</v>
      </c>
      <c r="K8686" s="7">
        <v>576.6</v>
      </c>
      <c r="L8686" s="7">
        <v>407.4</v>
      </c>
      <c r="M8686" s="7">
        <v>356.7</v>
      </c>
      <c r="N8686" s="7">
        <v>229.7</v>
      </c>
      <c r="O8686" s="7">
        <v>158.80000000000001</v>
      </c>
    </row>
    <row r="8687" spans="1:18" x14ac:dyDescent="0.2">
      <c r="A8687">
        <v>8686</v>
      </c>
      <c r="B8687" s="1">
        <v>41093</v>
      </c>
      <c r="C8687" t="s">
        <v>24</v>
      </c>
      <c r="D8687" s="7">
        <v>351</v>
      </c>
      <c r="E8687" s="7">
        <v>52</v>
      </c>
      <c r="F8687" s="7">
        <f t="shared" si="136"/>
        <v>3</v>
      </c>
      <c r="G8687" s="7" t="str">
        <f>LOOKUP(H8687,[1]startdates!$A$2:$A$10,[1]startdates!$B$2:$B$10)</f>
        <v>FMr</v>
      </c>
      <c r="H8687">
        <v>6</v>
      </c>
      <c r="I8687" s="7">
        <v>591.70000000000005</v>
      </c>
      <c r="K8687" s="7">
        <v>556.4</v>
      </c>
      <c r="L8687" s="7">
        <v>426.7</v>
      </c>
      <c r="M8687" s="7">
        <v>334.9</v>
      </c>
      <c r="N8687" s="7">
        <v>217.3</v>
      </c>
      <c r="O8687" s="7">
        <v>140.19999999999999</v>
      </c>
    </row>
    <row r="8688" spans="1:18" x14ac:dyDescent="0.2">
      <c r="A8688">
        <v>8687</v>
      </c>
      <c r="B8688" s="1">
        <v>41093</v>
      </c>
      <c r="C8688" t="s">
        <v>24</v>
      </c>
      <c r="D8688" s="7">
        <v>351</v>
      </c>
      <c r="E8688" s="7">
        <v>52</v>
      </c>
      <c r="F8688" s="7">
        <f t="shared" si="136"/>
        <v>3</v>
      </c>
      <c r="G8688" s="7" t="str">
        <f>LOOKUP(H8688,[1]startdates!$A$2:$A$10,[1]startdates!$B$2:$B$10)</f>
        <v>FMr</v>
      </c>
      <c r="H8688">
        <v>6</v>
      </c>
      <c r="I8688" s="7">
        <v>646.4</v>
      </c>
      <c r="K8688" s="7">
        <v>468.3</v>
      </c>
      <c r="L8688" s="7">
        <v>478.6</v>
      </c>
      <c r="M8688" s="7">
        <v>296.2</v>
      </c>
      <c r="N8688" s="7">
        <v>247.1</v>
      </c>
      <c r="O8688" s="7">
        <v>149.1</v>
      </c>
    </row>
    <row r="8689" spans="1:22" x14ac:dyDescent="0.2">
      <c r="A8689">
        <v>8688</v>
      </c>
      <c r="B8689" s="1">
        <v>41093</v>
      </c>
      <c r="C8689" t="s">
        <v>24</v>
      </c>
      <c r="D8689" s="7">
        <v>351</v>
      </c>
      <c r="E8689" s="7">
        <v>52</v>
      </c>
      <c r="F8689" s="7">
        <f t="shared" si="136"/>
        <v>3</v>
      </c>
      <c r="G8689" s="7" t="str">
        <f>LOOKUP(H8689,[1]startdates!$A$2:$A$10,[1]startdates!$B$2:$B$10)</f>
        <v>FMr</v>
      </c>
      <c r="H8689">
        <v>6</v>
      </c>
      <c r="I8689" s="7">
        <v>670.6</v>
      </c>
      <c r="K8689" s="7">
        <v>464.7</v>
      </c>
      <c r="M8689" s="7">
        <v>325.2</v>
      </c>
      <c r="N8689" s="7">
        <v>207.5</v>
      </c>
      <c r="O8689" s="7">
        <v>162</v>
      </c>
    </row>
    <row r="8690" spans="1:22" x14ac:dyDescent="0.2">
      <c r="A8690">
        <v>8689</v>
      </c>
      <c r="B8690" s="1">
        <v>41093</v>
      </c>
      <c r="C8690" t="s">
        <v>24</v>
      </c>
      <c r="D8690" s="7">
        <v>351</v>
      </c>
      <c r="E8690" s="7">
        <v>52</v>
      </c>
      <c r="F8690" s="7">
        <f t="shared" si="136"/>
        <v>3</v>
      </c>
      <c r="G8690" s="7" t="str">
        <f>LOOKUP(H8690,[1]startdates!$A$2:$A$10,[1]startdates!$B$2:$B$10)</f>
        <v>FMr</v>
      </c>
      <c r="H8690">
        <v>6</v>
      </c>
      <c r="I8690" s="7">
        <v>548.4</v>
      </c>
      <c r="K8690" s="7">
        <v>486.3</v>
      </c>
      <c r="N8690" s="7">
        <v>209.9</v>
      </c>
      <c r="O8690" s="7">
        <v>170.8</v>
      </c>
    </row>
    <row r="8691" spans="1:22" x14ac:dyDescent="0.2">
      <c r="A8691">
        <v>8690</v>
      </c>
      <c r="B8691" s="1">
        <v>41093</v>
      </c>
      <c r="C8691" t="s">
        <v>28</v>
      </c>
      <c r="D8691" s="7">
        <v>351</v>
      </c>
      <c r="E8691" s="7">
        <v>52</v>
      </c>
      <c r="F8691" s="7">
        <f t="shared" si="136"/>
        <v>3</v>
      </c>
      <c r="G8691" s="7" t="str">
        <f>LOOKUP(H8691,[1]startdates!$A$2:$A$10,[1]startdates!$B$2:$B$10)</f>
        <v>FMr</v>
      </c>
      <c r="H8691">
        <v>7</v>
      </c>
      <c r="I8691" s="7">
        <v>622.70000000000005</v>
      </c>
      <c r="J8691" s="7">
        <v>535.1</v>
      </c>
      <c r="K8691" s="7">
        <v>564.70000000000005</v>
      </c>
      <c r="L8691" s="7">
        <v>406.6</v>
      </c>
      <c r="M8691" s="7">
        <v>333.3</v>
      </c>
      <c r="N8691" s="7">
        <v>206.3</v>
      </c>
      <c r="O8691" s="7">
        <v>162.19999999999999</v>
      </c>
      <c r="P8691" s="7">
        <v>419.9</v>
      </c>
      <c r="Q8691" s="7">
        <v>363.6</v>
      </c>
      <c r="R8691" s="7">
        <v>230.8</v>
      </c>
      <c r="V8691" s="7">
        <v>540.29999999999995</v>
      </c>
    </row>
    <row r="8692" spans="1:22" x14ac:dyDescent="0.2">
      <c r="A8692">
        <v>8691</v>
      </c>
      <c r="B8692" s="1">
        <v>41093</v>
      </c>
      <c r="C8692" t="s">
        <v>28</v>
      </c>
      <c r="D8692" s="7">
        <v>351</v>
      </c>
      <c r="E8692" s="7">
        <v>52</v>
      </c>
      <c r="F8692" s="7">
        <f t="shared" si="136"/>
        <v>3</v>
      </c>
      <c r="G8692" s="7" t="str">
        <f>LOOKUP(H8692,[1]startdates!$A$2:$A$10,[1]startdates!$B$2:$B$10)</f>
        <v>FMr</v>
      </c>
      <c r="H8692">
        <v>7</v>
      </c>
      <c r="I8692" s="7">
        <v>644.79999999999995</v>
      </c>
      <c r="J8692" s="7">
        <v>595.79999999999995</v>
      </c>
      <c r="K8692" s="7">
        <v>520.4</v>
      </c>
      <c r="L8692" s="7">
        <v>417.7</v>
      </c>
      <c r="M8692" s="7">
        <v>301.10000000000002</v>
      </c>
      <c r="N8692" s="7">
        <v>219.1</v>
      </c>
      <c r="O8692" s="7">
        <v>162.19999999999999</v>
      </c>
      <c r="P8692" s="7">
        <v>481</v>
      </c>
      <c r="Q8692" s="7">
        <v>331.9</v>
      </c>
      <c r="V8692" s="7">
        <v>490.6</v>
      </c>
    </row>
    <row r="8693" spans="1:22" x14ac:dyDescent="0.2">
      <c r="A8693">
        <v>8692</v>
      </c>
      <c r="B8693" s="1">
        <v>41093</v>
      </c>
      <c r="C8693" t="s">
        <v>28</v>
      </c>
      <c r="D8693" s="7">
        <v>351</v>
      </c>
      <c r="E8693" s="7">
        <v>52</v>
      </c>
      <c r="F8693" s="7">
        <f t="shared" si="136"/>
        <v>3</v>
      </c>
      <c r="G8693" s="7" t="str">
        <f>LOOKUP(H8693,[1]startdates!$A$2:$A$10,[1]startdates!$B$2:$B$10)</f>
        <v>FMr</v>
      </c>
      <c r="H8693">
        <v>7</v>
      </c>
      <c r="I8693" s="7">
        <v>659.2</v>
      </c>
      <c r="J8693" s="7">
        <v>490.2</v>
      </c>
      <c r="K8693" s="7">
        <v>523</v>
      </c>
      <c r="M8693" s="7">
        <v>337.6</v>
      </c>
      <c r="N8693" s="7">
        <v>260.2</v>
      </c>
      <c r="O8693" s="7">
        <v>159.30000000000001</v>
      </c>
      <c r="Q8693" s="7">
        <v>302.10000000000002</v>
      </c>
    </row>
    <row r="8694" spans="1:22" x14ac:dyDescent="0.2">
      <c r="A8694">
        <v>8693</v>
      </c>
      <c r="B8694" s="1">
        <v>41093</v>
      </c>
      <c r="C8694" t="s">
        <v>28</v>
      </c>
      <c r="D8694" s="7">
        <v>351</v>
      </c>
      <c r="E8694" s="7">
        <v>52</v>
      </c>
      <c r="F8694" s="7">
        <f t="shared" si="136"/>
        <v>3</v>
      </c>
      <c r="G8694" s="7" t="str">
        <f>LOOKUP(H8694,[1]startdates!$A$2:$A$10,[1]startdates!$B$2:$B$10)</f>
        <v>FMr</v>
      </c>
      <c r="H8694">
        <v>7</v>
      </c>
      <c r="I8694" s="7">
        <v>662</v>
      </c>
      <c r="M8694" s="7">
        <v>346.3</v>
      </c>
      <c r="N8694" s="7">
        <v>279.5</v>
      </c>
      <c r="O8694" s="7">
        <v>153.30000000000001</v>
      </c>
      <c r="Q8694" s="7">
        <v>344.4</v>
      </c>
    </row>
    <row r="8695" spans="1:22" x14ac:dyDescent="0.2">
      <c r="A8695">
        <v>8694</v>
      </c>
      <c r="B8695" s="1">
        <v>41093</v>
      </c>
      <c r="C8695" t="s">
        <v>28</v>
      </c>
      <c r="D8695" s="7">
        <v>351</v>
      </c>
      <c r="E8695" s="7">
        <v>52</v>
      </c>
      <c r="F8695" s="7">
        <f t="shared" si="136"/>
        <v>3</v>
      </c>
      <c r="G8695" s="7" t="str">
        <f>LOOKUP(H8695,[1]startdates!$A$2:$A$10,[1]startdates!$B$2:$B$10)</f>
        <v>FMr</v>
      </c>
      <c r="H8695">
        <v>7</v>
      </c>
      <c r="I8695" s="7">
        <v>677.4</v>
      </c>
      <c r="M8695" s="7">
        <v>368</v>
      </c>
      <c r="N8695" s="7">
        <v>241.3</v>
      </c>
      <c r="O8695" s="7">
        <v>165.7</v>
      </c>
    </row>
    <row r="8696" spans="1:22" x14ac:dyDescent="0.2">
      <c r="A8696">
        <v>8695</v>
      </c>
      <c r="B8696" s="1">
        <v>41093</v>
      </c>
      <c r="C8696" t="s">
        <v>28</v>
      </c>
      <c r="D8696" s="7">
        <v>351</v>
      </c>
      <c r="E8696" s="7">
        <v>52</v>
      </c>
      <c r="F8696" s="7">
        <f t="shared" si="136"/>
        <v>3</v>
      </c>
      <c r="G8696" s="7" t="str">
        <f>LOOKUP(H8696,[1]startdates!$A$2:$A$10,[1]startdates!$B$2:$B$10)</f>
        <v>FMr</v>
      </c>
      <c r="H8696">
        <v>7</v>
      </c>
      <c r="I8696" s="7">
        <v>536</v>
      </c>
      <c r="M8696" s="7">
        <v>393.5</v>
      </c>
      <c r="N8696" s="7">
        <v>221.4</v>
      </c>
      <c r="O8696" s="7">
        <v>159.80000000000001</v>
      </c>
    </row>
    <row r="8697" spans="1:22" x14ac:dyDescent="0.2">
      <c r="A8697">
        <v>8696</v>
      </c>
      <c r="B8697" s="1">
        <v>41093</v>
      </c>
      <c r="C8697" t="s">
        <v>28</v>
      </c>
      <c r="D8697" s="7">
        <v>351</v>
      </c>
      <c r="E8697" s="7">
        <v>52</v>
      </c>
      <c r="F8697" s="7">
        <f t="shared" si="136"/>
        <v>3</v>
      </c>
      <c r="G8697" s="7" t="str">
        <f>LOOKUP(H8697,[1]startdates!$A$2:$A$10,[1]startdates!$B$2:$B$10)</f>
        <v>FMr</v>
      </c>
      <c r="H8697">
        <v>7</v>
      </c>
      <c r="I8697" s="7">
        <v>741.4</v>
      </c>
      <c r="M8697" s="7">
        <v>336.1</v>
      </c>
      <c r="N8697" s="7">
        <v>204.6</v>
      </c>
      <c r="O8697" s="7">
        <v>154.69999999999999</v>
      </c>
    </row>
    <row r="8698" spans="1:22" x14ac:dyDescent="0.2">
      <c r="A8698">
        <v>8697</v>
      </c>
      <c r="B8698" s="1">
        <v>41093</v>
      </c>
      <c r="C8698" t="s">
        <v>28</v>
      </c>
      <c r="D8698" s="7">
        <v>351</v>
      </c>
      <c r="E8698" s="7">
        <v>52</v>
      </c>
      <c r="F8698" s="7">
        <f t="shared" si="136"/>
        <v>3</v>
      </c>
      <c r="G8698" s="7" t="str">
        <f>LOOKUP(H8698,[1]startdates!$A$2:$A$10,[1]startdates!$B$2:$B$10)</f>
        <v>FMr</v>
      </c>
      <c r="H8698">
        <v>7</v>
      </c>
      <c r="I8698" s="7">
        <v>559.6</v>
      </c>
      <c r="M8698" s="7">
        <v>367.2</v>
      </c>
      <c r="N8698" s="7">
        <v>194.7</v>
      </c>
      <c r="O8698" s="7">
        <v>140.1</v>
      </c>
    </row>
    <row r="8699" spans="1:22" x14ac:dyDescent="0.2">
      <c r="A8699">
        <v>8698</v>
      </c>
      <c r="B8699" s="1">
        <v>41093</v>
      </c>
      <c r="C8699" t="s">
        <v>28</v>
      </c>
      <c r="D8699" s="7">
        <v>351</v>
      </c>
      <c r="E8699" s="7">
        <v>52</v>
      </c>
      <c r="F8699" s="7">
        <f t="shared" si="136"/>
        <v>3</v>
      </c>
      <c r="G8699" s="7" t="str">
        <f>LOOKUP(H8699,[1]startdates!$A$2:$A$10,[1]startdates!$B$2:$B$10)</f>
        <v>FMr</v>
      </c>
      <c r="H8699">
        <v>7</v>
      </c>
      <c r="I8699" s="7">
        <v>750.5</v>
      </c>
      <c r="M8699" s="7">
        <v>346.2</v>
      </c>
      <c r="N8699" s="7">
        <v>232.4</v>
      </c>
      <c r="O8699" s="7">
        <v>159.5</v>
      </c>
    </row>
    <row r="8700" spans="1:22" x14ac:dyDescent="0.2">
      <c r="A8700">
        <v>8699</v>
      </c>
      <c r="B8700" s="1">
        <v>41093</v>
      </c>
      <c r="C8700" t="s">
        <v>28</v>
      </c>
      <c r="D8700" s="7">
        <v>351</v>
      </c>
      <c r="E8700" s="7">
        <v>52</v>
      </c>
      <c r="F8700" s="7">
        <f t="shared" si="136"/>
        <v>3</v>
      </c>
      <c r="G8700" s="7" t="str">
        <f>LOOKUP(H8700,[1]startdates!$A$2:$A$10,[1]startdates!$B$2:$B$10)</f>
        <v>FMr</v>
      </c>
      <c r="H8700">
        <v>7</v>
      </c>
      <c r="I8700" s="7">
        <v>591.4</v>
      </c>
      <c r="M8700" s="7">
        <v>366.8</v>
      </c>
      <c r="N8700" s="7">
        <v>221.7</v>
      </c>
      <c r="O8700" s="7">
        <v>164.9</v>
      </c>
    </row>
    <row r="8701" spans="1:22" x14ac:dyDescent="0.2">
      <c r="A8701">
        <v>8700</v>
      </c>
      <c r="B8701" s="1">
        <v>41093</v>
      </c>
      <c r="C8701" t="s">
        <v>28</v>
      </c>
      <c r="D8701" s="7">
        <v>351</v>
      </c>
      <c r="E8701" s="7">
        <v>52</v>
      </c>
      <c r="F8701" s="7">
        <f t="shared" si="136"/>
        <v>3</v>
      </c>
      <c r="G8701" s="7" t="str">
        <f>LOOKUP(H8701,[1]startdates!$A$2:$A$10,[1]startdates!$B$2:$B$10)</f>
        <v>FMr</v>
      </c>
      <c r="H8701">
        <v>7</v>
      </c>
      <c r="M8701" s="7">
        <v>314.3</v>
      </c>
    </row>
    <row r="8702" spans="1:22" x14ac:dyDescent="0.2">
      <c r="A8702">
        <v>8701</v>
      </c>
      <c r="B8702" s="1">
        <v>41093</v>
      </c>
      <c r="C8702" t="s">
        <v>28</v>
      </c>
      <c r="D8702" s="7">
        <v>351</v>
      </c>
      <c r="E8702" s="7">
        <v>52</v>
      </c>
      <c r="F8702" s="7">
        <f t="shared" si="136"/>
        <v>3</v>
      </c>
      <c r="G8702" s="7" t="str">
        <f>LOOKUP(H8702,[1]startdates!$A$2:$A$10,[1]startdates!$B$2:$B$10)</f>
        <v>FMr</v>
      </c>
      <c r="H8702">
        <v>7</v>
      </c>
      <c r="M8702" s="7">
        <v>372.1</v>
      </c>
    </row>
    <row r="8703" spans="1:22" x14ac:dyDescent="0.2">
      <c r="A8703">
        <v>8702</v>
      </c>
      <c r="B8703" s="1">
        <v>41093</v>
      </c>
      <c r="C8703" t="s">
        <v>24</v>
      </c>
      <c r="D8703" s="7">
        <v>351</v>
      </c>
      <c r="E8703" s="7">
        <v>52</v>
      </c>
      <c r="F8703" s="7">
        <f t="shared" si="136"/>
        <v>3</v>
      </c>
      <c r="G8703" s="7" t="str">
        <f>LOOKUP(H8703,[1]startdates!$A$2:$A$10,[1]startdates!$B$2:$B$10)</f>
        <v>C</v>
      </c>
      <c r="H8703">
        <v>8</v>
      </c>
      <c r="I8703" s="7">
        <v>844.1</v>
      </c>
      <c r="J8703" s="7">
        <v>555.4</v>
      </c>
      <c r="K8703" s="7">
        <v>670.7</v>
      </c>
      <c r="L8703" s="7">
        <v>426.3</v>
      </c>
      <c r="M8703" s="7">
        <v>319.2</v>
      </c>
      <c r="N8703" s="7">
        <v>186.4</v>
      </c>
      <c r="O8703" s="7">
        <v>205.5</v>
      </c>
    </row>
    <row r="8704" spans="1:22" x14ac:dyDescent="0.2">
      <c r="A8704">
        <v>8703</v>
      </c>
      <c r="B8704" s="1">
        <v>41093</v>
      </c>
      <c r="C8704" t="s">
        <v>24</v>
      </c>
      <c r="D8704" s="7">
        <v>351</v>
      </c>
      <c r="E8704" s="7">
        <v>52</v>
      </c>
      <c r="F8704" s="7">
        <f t="shared" si="136"/>
        <v>3</v>
      </c>
      <c r="G8704" s="7" t="str">
        <f>LOOKUP(H8704,[1]startdates!$A$2:$A$10,[1]startdates!$B$2:$B$10)</f>
        <v>C</v>
      </c>
      <c r="H8704">
        <v>8</v>
      </c>
      <c r="I8704" s="7">
        <v>705.3</v>
      </c>
      <c r="J8704" s="7">
        <v>479</v>
      </c>
      <c r="K8704" s="7">
        <v>619</v>
      </c>
      <c r="L8704" s="7">
        <v>445.2</v>
      </c>
      <c r="M8704" s="7">
        <v>376.7</v>
      </c>
      <c r="N8704" s="7">
        <v>247</v>
      </c>
      <c r="O8704" s="7">
        <v>180.6</v>
      </c>
    </row>
    <row r="8705" spans="1:22" x14ac:dyDescent="0.2">
      <c r="A8705">
        <v>8704</v>
      </c>
      <c r="B8705" s="1">
        <v>41093</v>
      </c>
      <c r="C8705" t="s">
        <v>24</v>
      </c>
      <c r="D8705" s="7">
        <v>351</v>
      </c>
      <c r="E8705" s="7">
        <v>52</v>
      </c>
      <c r="F8705" s="7">
        <f t="shared" si="136"/>
        <v>3</v>
      </c>
      <c r="G8705" s="7" t="str">
        <f>LOOKUP(H8705,[1]startdates!$A$2:$A$10,[1]startdates!$B$2:$B$10)</f>
        <v>C</v>
      </c>
      <c r="H8705">
        <v>8</v>
      </c>
      <c r="I8705" s="7">
        <v>770.4</v>
      </c>
      <c r="J8705" s="7">
        <v>571.9</v>
      </c>
      <c r="L8705" s="7">
        <v>396</v>
      </c>
      <c r="M8705" s="7">
        <v>323.5</v>
      </c>
      <c r="N8705" s="7">
        <v>262.5</v>
      </c>
      <c r="O8705" s="7">
        <v>168.9</v>
      </c>
    </row>
    <row r="8706" spans="1:22" x14ac:dyDescent="0.2">
      <c r="A8706">
        <v>8705</v>
      </c>
      <c r="B8706" s="1">
        <v>41093</v>
      </c>
      <c r="C8706" t="s">
        <v>24</v>
      </c>
      <c r="D8706" s="7">
        <v>351</v>
      </c>
      <c r="E8706" s="7">
        <v>52</v>
      </c>
      <c r="F8706" s="7">
        <f t="shared" si="136"/>
        <v>3</v>
      </c>
      <c r="G8706" s="7" t="str">
        <f>LOOKUP(H8706,[1]startdates!$A$2:$A$10,[1]startdates!$B$2:$B$10)</f>
        <v>C</v>
      </c>
      <c r="H8706">
        <v>8</v>
      </c>
      <c r="I8706" s="7">
        <v>685.7</v>
      </c>
      <c r="J8706" s="7">
        <v>637.70000000000005</v>
      </c>
      <c r="L8706" s="7">
        <v>435.9</v>
      </c>
      <c r="M8706" s="7">
        <v>319.2</v>
      </c>
      <c r="N8706" s="7">
        <v>274.39999999999998</v>
      </c>
      <c r="O8706" s="7">
        <v>169.7</v>
      </c>
    </row>
    <row r="8707" spans="1:22" x14ac:dyDescent="0.2">
      <c r="A8707">
        <v>8706</v>
      </c>
      <c r="B8707" s="1">
        <v>41093</v>
      </c>
      <c r="C8707" t="s">
        <v>24</v>
      </c>
      <c r="D8707" s="7">
        <v>351</v>
      </c>
      <c r="E8707" s="7">
        <v>52</v>
      </c>
      <c r="F8707" s="7">
        <f t="shared" si="136"/>
        <v>3</v>
      </c>
      <c r="G8707" s="7" t="str">
        <f>LOOKUP(H8707,[1]startdates!$A$2:$A$10,[1]startdates!$B$2:$B$10)</f>
        <v>C</v>
      </c>
      <c r="H8707">
        <v>8</v>
      </c>
      <c r="I8707" s="7">
        <v>715.3</v>
      </c>
      <c r="J8707" s="7">
        <v>585.5</v>
      </c>
      <c r="L8707" s="7">
        <v>399</v>
      </c>
      <c r="M8707" s="7">
        <v>376.7</v>
      </c>
      <c r="N8707" s="7">
        <v>224.8</v>
      </c>
      <c r="O8707" s="7">
        <v>179.8</v>
      </c>
    </row>
    <row r="8708" spans="1:22" x14ac:dyDescent="0.2">
      <c r="A8708">
        <v>8707</v>
      </c>
      <c r="B8708" s="1">
        <v>41093</v>
      </c>
      <c r="C8708" t="s">
        <v>24</v>
      </c>
      <c r="D8708" s="7">
        <v>351</v>
      </c>
      <c r="E8708" s="7">
        <v>52</v>
      </c>
      <c r="F8708" s="7">
        <f t="shared" si="136"/>
        <v>3</v>
      </c>
      <c r="G8708" s="7" t="str">
        <f>LOOKUP(H8708,[1]startdates!$A$2:$A$10,[1]startdates!$B$2:$B$10)</f>
        <v>C</v>
      </c>
      <c r="H8708">
        <v>8</v>
      </c>
      <c r="I8708" s="7">
        <v>751.6</v>
      </c>
      <c r="J8708" s="7">
        <v>546.9</v>
      </c>
      <c r="L8708" s="7">
        <v>410.3</v>
      </c>
      <c r="M8708" s="7">
        <v>323.5</v>
      </c>
      <c r="N8708" s="7">
        <v>219.7</v>
      </c>
      <c r="O8708" s="7">
        <v>173.7</v>
      </c>
    </row>
    <row r="8709" spans="1:22" x14ac:dyDescent="0.2">
      <c r="A8709">
        <v>8708</v>
      </c>
      <c r="B8709" s="1">
        <v>41093</v>
      </c>
      <c r="C8709" t="s">
        <v>24</v>
      </c>
      <c r="D8709" s="7">
        <v>351</v>
      </c>
      <c r="E8709" s="7">
        <v>52</v>
      </c>
      <c r="F8709" s="7">
        <f t="shared" si="136"/>
        <v>3</v>
      </c>
      <c r="G8709" s="7" t="str">
        <f>LOOKUP(H8709,[1]startdates!$A$2:$A$10,[1]startdates!$B$2:$B$10)</f>
        <v>C</v>
      </c>
      <c r="H8709">
        <v>8</v>
      </c>
      <c r="I8709" s="7">
        <v>567.9</v>
      </c>
      <c r="J8709" s="7">
        <v>498.6</v>
      </c>
      <c r="M8709" s="7">
        <v>368.6</v>
      </c>
      <c r="N8709" s="7">
        <v>203.3</v>
      </c>
      <c r="O8709" s="7">
        <v>153.80000000000001</v>
      </c>
    </row>
    <row r="8710" spans="1:22" x14ac:dyDescent="0.2">
      <c r="A8710">
        <v>8709</v>
      </c>
      <c r="B8710" s="1">
        <v>41093</v>
      </c>
      <c r="C8710" t="s">
        <v>24</v>
      </c>
      <c r="D8710" s="7">
        <v>351</v>
      </c>
      <c r="E8710" s="7">
        <v>52</v>
      </c>
      <c r="F8710" s="7">
        <f t="shared" si="136"/>
        <v>3</v>
      </c>
      <c r="G8710" s="7" t="str">
        <f>LOOKUP(H8710,[1]startdates!$A$2:$A$10,[1]startdates!$B$2:$B$10)</f>
        <v>C</v>
      </c>
      <c r="H8710">
        <v>8</v>
      </c>
      <c r="I8710" s="7">
        <v>706.3</v>
      </c>
      <c r="J8710" s="7">
        <v>546.79999999999995</v>
      </c>
      <c r="M8710" s="7">
        <v>333.1</v>
      </c>
      <c r="N8710" s="7">
        <v>234.8</v>
      </c>
      <c r="O8710" s="7">
        <v>165.3</v>
      </c>
    </row>
    <row r="8711" spans="1:22" x14ac:dyDescent="0.2">
      <c r="A8711">
        <v>8710</v>
      </c>
      <c r="B8711" s="1">
        <v>41093</v>
      </c>
      <c r="C8711" t="s">
        <v>24</v>
      </c>
      <c r="D8711" s="7">
        <v>351</v>
      </c>
      <c r="E8711" s="7">
        <v>52</v>
      </c>
      <c r="F8711" s="7">
        <f t="shared" si="136"/>
        <v>3</v>
      </c>
      <c r="G8711" s="7" t="str">
        <f>LOOKUP(H8711,[1]startdates!$A$2:$A$10,[1]startdates!$B$2:$B$10)</f>
        <v>C</v>
      </c>
      <c r="H8711">
        <v>8</v>
      </c>
      <c r="I8711" s="7">
        <v>674.6</v>
      </c>
      <c r="M8711" s="7">
        <v>388.1</v>
      </c>
      <c r="N8711" s="7">
        <v>219.2</v>
      </c>
      <c r="O8711" s="7">
        <v>177.7</v>
      </c>
    </row>
    <row r="8712" spans="1:22" x14ac:dyDescent="0.2">
      <c r="A8712">
        <v>8711</v>
      </c>
      <c r="B8712" s="1">
        <v>41093</v>
      </c>
      <c r="C8712" t="s">
        <v>24</v>
      </c>
      <c r="D8712" s="7">
        <v>351</v>
      </c>
      <c r="E8712" s="7">
        <v>52</v>
      </c>
      <c r="F8712" s="7">
        <f t="shared" si="136"/>
        <v>3</v>
      </c>
      <c r="G8712" s="7" t="str">
        <f>LOOKUP(H8712,[1]startdates!$A$2:$A$10,[1]startdates!$B$2:$B$10)</f>
        <v>C</v>
      </c>
      <c r="H8712">
        <v>8</v>
      </c>
      <c r="I8712" s="7">
        <v>651.70000000000005</v>
      </c>
      <c r="M8712" s="7">
        <v>373.2</v>
      </c>
      <c r="N8712" s="7">
        <v>224.2</v>
      </c>
      <c r="O8712" s="7">
        <v>208.5</v>
      </c>
    </row>
    <row r="8713" spans="1:22" x14ac:dyDescent="0.2">
      <c r="A8713">
        <v>8712</v>
      </c>
      <c r="B8713" s="1">
        <v>41093</v>
      </c>
      <c r="C8713" t="s">
        <v>24</v>
      </c>
      <c r="D8713" s="7">
        <v>351</v>
      </c>
      <c r="E8713" s="7">
        <v>52</v>
      </c>
      <c r="F8713" s="7">
        <f t="shared" si="136"/>
        <v>3</v>
      </c>
      <c r="G8713" s="7" t="str">
        <f>LOOKUP(H8713,[1]startdates!$A$2:$A$10,[1]startdates!$B$2:$B$10)</f>
        <v>FMr</v>
      </c>
      <c r="H8713">
        <v>9</v>
      </c>
      <c r="I8713" s="7">
        <v>781.3</v>
      </c>
      <c r="J8713" s="7">
        <v>543.4</v>
      </c>
      <c r="K8713" s="7">
        <v>495.1</v>
      </c>
      <c r="L8713" s="7">
        <v>408.7</v>
      </c>
      <c r="M8713" s="7">
        <v>372.6</v>
      </c>
      <c r="N8713" s="7">
        <v>208.4</v>
      </c>
      <c r="O8713" s="7">
        <v>202.5</v>
      </c>
      <c r="V8713" s="7">
        <v>504.6</v>
      </c>
    </row>
    <row r="8714" spans="1:22" x14ac:dyDescent="0.2">
      <c r="A8714">
        <v>8713</v>
      </c>
      <c r="B8714" s="1">
        <v>41093</v>
      </c>
      <c r="C8714" t="s">
        <v>24</v>
      </c>
      <c r="D8714" s="7">
        <v>351</v>
      </c>
      <c r="E8714" s="7">
        <v>52</v>
      </c>
      <c r="F8714" s="7">
        <f t="shared" si="136"/>
        <v>3</v>
      </c>
      <c r="G8714" s="7" t="str">
        <f>LOOKUP(H8714,[1]startdates!$A$2:$A$10,[1]startdates!$B$2:$B$10)</f>
        <v>FMr</v>
      </c>
      <c r="H8714">
        <v>9</v>
      </c>
      <c r="I8714" s="7">
        <v>612.1</v>
      </c>
      <c r="J8714" s="7">
        <v>510.9</v>
      </c>
      <c r="K8714" s="7">
        <v>516.29999999999995</v>
      </c>
      <c r="M8714" s="7">
        <v>387.7</v>
      </c>
      <c r="N8714" s="7">
        <v>309.8</v>
      </c>
      <c r="O8714" s="7">
        <v>228.5</v>
      </c>
      <c r="V8714" s="7">
        <v>527.20000000000005</v>
      </c>
    </row>
    <row r="8715" spans="1:22" x14ac:dyDescent="0.2">
      <c r="A8715">
        <v>8714</v>
      </c>
      <c r="B8715" s="1">
        <v>41093</v>
      </c>
      <c r="C8715" t="s">
        <v>24</v>
      </c>
      <c r="D8715" s="7">
        <v>351</v>
      </c>
      <c r="E8715" s="7">
        <v>52</v>
      </c>
      <c r="F8715" s="7">
        <f t="shared" si="136"/>
        <v>3</v>
      </c>
      <c r="G8715" s="7" t="str">
        <f>LOOKUP(H8715,[1]startdates!$A$2:$A$10,[1]startdates!$B$2:$B$10)</f>
        <v>FMr</v>
      </c>
      <c r="H8715">
        <v>9</v>
      </c>
      <c r="I8715" s="7">
        <v>624.79999999999995</v>
      </c>
      <c r="K8715" s="7">
        <v>574.6</v>
      </c>
      <c r="M8715" s="7">
        <v>343.2</v>
      </c>
      <c r="N8715" s="7">
        <v>218.8</v>
      </c>
      <c r="O8715" s="7">
        <v>178.6</v>
      </c>
    </row>
    <row r="8716" spans="1:22" x14ac:dyDescent="0.2">
      <c r="A8716">
        <v>8715</v>
      </c>
      <c r="B8716" s="1">
        <v>41093</v>
      </c>
      <c r="C8716" t="s">
        <v>24</v>
      </c>
      <c r="D8716" s="7">
        <v>351</v>
      </c>
      <c r="E8716" s="7">
        <v>52</v>
      </c>
      <c r="F8716" s="7">
        <f t="shared" si="136"/>
        <v>3</v>
      </c>
      <c r="G8716" s="7" t="str">
        <f>LOOKUP(H8716,[1]startdates!$A$2:$A$10,[1]startdates!$B$2:$B$10)</f>
        <v>FMr</v>
      </c>
      <c r="H8716">
        <v>9</v>
      </c>
      <c r="I8716" s="7">
        <v>655.7</v>
      </c>
      <c r="K8716" s="7">
        <v>665.9</v>
      </c>
      <c r="M8716" s="7">
        <v>325.7</v>
      </c>
      <c r="N8716" s="7">
        <v>182.2</v>
      </c>
      <c r="O8716" s="7">
        <v>184.2</v>
      </c>
    </row>
    <row r="8717" spans="1:22" x14ac:dyDescent="0.2">
      <c r="A8717">
        <v>8716</v>
      </c>
      <c r="B8717" s="1">
        <v>41093</v>
      </c>
      <c r="C8717" t="s">
        <v>24</v>
      </c>
      <c r="D8717" s="7">
        <v>351</v>
      </c>
      <c r="E8717" s="7">
        <v>52</v>
      </c>
      <c r="F8717" s="7">
        <f t="shared" si="136"/>
        <v>3</v>
      </c>
      <c r="G8717" s="7" t="str">
        <f>LOOKUP(H8717,[1]startdates!$A$2:$A$10,[1]startdates!$B$2:$B$10)</f>
        <v>FMr</v>
      </c>
      <c r="H8717">
        <v>9</v>
      </c>
      <c r="I8717" s="7">
        <v>653.5</v>
      </c>
      <c r="K8717" s="7">
        <v>474.8</v>
      </c>
      <c r="M8717" s="7">
        <v>343.9</v>
      </c>
      <c r="N8717" s="7">
        <v>229.2</v>
      </c>
      <c r="O8717" s="7">
        <v>209.9</v>
      </c>
    </row>
    <row r="8718" spans="1:22" x14ac:dyDescent="0.2">
      <c r="A8718">
        <v>8717</v>
      </c>
      <c r="B8718" s="1">
        <v>41093</v>
      </c>
      <c r="C8718" t="s">
        <v>24</v>
      </c>
      <c r="D8718" s="7">
        <v>351</v>
      </c>
      <c r="E8718" s="7">
        <v>52</v>
      </c>
      <c r="F8718" s="7">
        <f t="shared" si="136"/>
        <v>3</v>
      </c>
      <c r="G8718" s="7" t="str">
        <f>LOOKUP(H8718,[1]startdates!$A$2:$A$10,[1]startdates!$B$2:$B$10)</f>
        <v>FMr</v>
      </c>
      <c r="H8718">
        <v>9</v>
      </c>
      <c r="I8718" s="7">
        <v>562.4</v>
      </c>
      <c r="M8718" s="7">
        <v>357.4</v>
      </c>
      <c r="N8718" s="7">
        <v>279</v>
      </c>
      <c r="O8718" s="7">
        <v>170</v>
      </c>
    </row>
    <row r="8719" spans="1:22" x14ac:dyDescent="0.2">
      <c r="A8719">
        <v>8718</v>
      </c>
      <c r="B8719" s="1">
        <v>41093</v>
      </c>
      <c r="C8719" t="s">
        <v>24</v>
      </c>
      <c r="D8719" s="7">
        <v>351</v>
      </c>
      <c r="E8719" s="7">
        <v>52</v>
      </c>
      <c r="F8719" s="7">
        <f t="shared" si="136"/>
        <v>3</v>
      </c>
      <c r="G8719" s="7" t="str">
        <f>LOOKUP(H8719,[1]startdates!$A$2:$A$10,[1]startdates!$B$2:$B$10)</f>
        <v>FMr</v>
      </c>
      <c r="H8719">
        <v>9</v>
      </c>
      <c r="I8719" s="7">
        <v>554.9</v>
      </c>
      <c r="M8719" s="7">
        <v>342.5</v>
      </c>
      <c r="N8719" s="7">
        <v>265.8</v>
      </c>
      <c r="O8719" s="7">
        <v>174.6</v>
      </c>
    </row>
    <row r="8720" spans="1:22" x14ac:dyDescent="0.2">
      <c r="A8720">
        <v>8719</v>
      </c>
      <c r="B8720" s="1">
        <v>41093</v>
      </c>
      <c r="C8720" t="s">
        <v>24</v>
      </c>
      <c r="D8720" s="7">
        <v>351</v>
      </c>
      <c r="E8720" s="7">
        <v>52</v>
      </c>
      <c r="F8720" s="7">
        <f t="shared" si="136"/>
        <v>3</v>
      </c>
      <c r="G8720" s="7" t="str">
        <f>LOOKUP(H8720,[1]startdates!$A$2:$A$10,[1]startdates!$B$2:$B$10)</f>
        <v>FMr</v>
      </c>
      <c r="H8720">
        <v>9</v>
      </c>
      <c r="I8720" s="7">
        <v>719.3</v>
      </c>
      <c r="N8720" s="7">
        <v>214</v>
      </c>
      <c r="O8720" s="7">
        <v>171.9</v>
      </c>
    </row>
    <row r="8721" spans="1:18" x14ac:dyDescent="0.2">
      <c r="A8721">
        <v>8720</v>
      </c>
      <c r="B8721" s="1">
        <v>41093</v>
      </c>
      <c r="C8721" t="s">
        <v>24</v>
      </c>
      <c r="D8721" s="7">
        <v>351</v>
      </c>
      <c r="E8721" s="7">
        <v>52</v>
      </c>
      <c r="F8721" s="7">
        <f t="shared" si="136"/>
        <v>3</v>
      </c>
      <c r="G8721" s="7" t="str">
        <f>LOOKUP(H8721,[1]startdates!$A$2:$A$10,[1]startdates!$B$2:$B$10)</f>
        <v>FMr</v>
      </c>
      <c r="H8721">
        <v>9</v>
      </c>
      <c r="I8721" s="7">
        <v>739.4</v>
      </c>
      <c r="N8721" s="7">
        <v>174.9</v>
      </c>
      <c r="O8721" s="7">
        <v>174.9</v>
      </c>
    </row>
    <row r="8722" spans="1:18" x14ac:dyDescent="0.2">
      <c r="A8722">
        <v>8721</v>
      </c>
      <c r="B8722" s="1">
        <v>41093</v>
      </c>
      <c r="C8722" t="s">
        <v>24</v>
      </c>
      <c r="D8722" s="7">
        <v>351</v>
      </c>
      <c r="E8722" s="7">
        <v>52</v>
      </c>
      <c r="F8722" s="7">
        <f t="shared" si="136"/>
        <v>3</v>
      </c>
      <c r="G8722" s="7" t="str">
        <f>LOOKUP(H8722,[1]startdates!$A$2:$A$10,[1]startdates!$B$2:$B$10)</f>
        <v>FMr</v>
      </c>
      <c r="H8722">
        <v>9</v>
      </c>
      <c r="I8722" s="7">
        <v>683.5</v>
      </c>
      <c r="N8722" s="7">
        <v>188.5</v>
      </c>
      <c r="O8722" s="7">
        <v>173.7</v>
      </c>
    </row>
    <row r="8723" spans="1:18" x14ac:dyDescent="0.2">
      <c r="A8723">
        <v>8722</v>
      </c>
      <c r="B8723" s="1">
        <v>41093</v>
      </c>
      <c r="C8723" t="s">
        <v>24</v>
      </c>
      <c r="D8723" s="7">
        <v>351</v>
      </c>
      <c r="E8723" s="7">
        <v>52</v>
      </c>
      <c r="F8723" s="7">
        <f t="shared" si="136"/>
        <v>3</v>
      </c>
      <c r="G8723" s="7" t="str">
        <f>LOOKUP(H8723,[1]startdates!$A$2:$A$10,[1]startdates!$B$2:$B$10)</f>
        <v>FMr</v>
      </c>
      <c r="H8723">
        <v>9</v>
      </c>
      <c r="I8723" s="7">
        <v>582.20000000000005</v>
      </c>
    </row>
    <row r="8724" spans="1:18" x14ac:dyDescent="0.2">
      <c r="A8724">
        <v>8723</v>
      </c>
      <c r="B8724" s="1">
        <v>41107</v>
      </c>
      <c r="C8724" t="s">
        <v>24</v>
      </c>
      <c r="D8724" s="7">
        <v>365</v>
      </c>
      <c r="E8724" s="7">
        <v>54</v>
      </c>
      <c r="F8724" s="7">
        <f t="shared" si="136"/>
        <v>3</v>
      </c>
      <c r="G8724" s="7" t="str">
        <f>LOOKUP(H8724,[1]startdates!$A$2:$A$10,[1]startdates!$B$2:$B$10)</f>
        <v>SMr</v>
      </c>
      <c r="H8724">
        <v>1</v>
      </c>
      <c r="I8724" s="7">
        <v>618.1</v>
      </c>
      <c r="J8724" s="7">
        <v>523.9</v>
      </c>
      <c r="K8724" s="7">
        <v>696.5</v>
      </c>
      <c r="L8724" s="7">
        <v>417.1</v>
      </c>
      <c r="M8724" s="7">
        <v>280</v>
      </c>
      <c r="N8724" s="7">
        <v>196.7</v>
      </c>
      <c r="O8724" s="7">
        <v>169.2</v>
      </c>
      <c r="P8724" s="7">
        <v>431.3</v>
      </c>
      <c r="Q8724" s="7">
        <v>382.7</v>
      </c>
      <c r="R8724" s="7">
        <v>247.3</v>
      </c>
    </row>
    <row r="8725" spans="1:18" x14ac:dyDescent="0.2">
      <c r="A8725">
        <v>8724</v>
      </c>
      <c r="B8725" s="1">
        <v>41107</v>
      </c>
      <c r="C8725" t="s">
        <v>24</v>
      </c>
      <c r="D8725" s="7">
        <v>365</v>
      </c>
      <c r="E8725" s="7">
        <v>54</v>
      </c>
      <c r="F8725" s="7">
        <f t="shared" si="136"/>
        <v>3</v>
      </c>
      <c r="G8725" s="7" t="str">
        <f>LOOKUP(H8725,[1]startdates!$A$2:$A$10,[1]startdates!$B$2:$B$10)</f>
        <v>SMr</v>
      </c>
      <c r="H8725">
        <v>1</v>
      </c>
      <c r="I8725" s="7">
        <v>704.4</v>
      </c>
      <c r="J8725" s="7">
        <v>560.1</v>
      </c>
      <c r="L8725" s="7">
        <v>385.5</v>
      </c>
      <c r="M8725" s="7">
        <v>281.8</v>
      </c>
      <c r="N8725" s="7">
        <v>213.7</v>
      </c>
      <c r="O8725" s="7">
        <v>147.30000000000001</v>
      </c>
      <c r="P8725" s="7">
        <v>451.5</v>
      </c>
      <c r="Q8725" s="7">
        <v>370.4</v>
      </c>
      <c r="R8725" s="7">
        <v>263.3</v>
      </c>
    </row>
    <row r="8726" spans="1:18" x14ac:dyDescent="0.2">
      <c r="A8726">
        <v>8725</v>
      </c>
      <c r="B8726" s="1">
        <v>41107</v>
      </c>
      <c r="C8726" t="s">
        <v>24</v>
      </c>
      <c r="D8726" s="7">
        <v>365</v>
      </c>
      <c r="E8726" s="7">
        <v>54</v>
      </c>
      <c r="F8726" s="7">
        <f t="shared" si="136"/>
        <v>3</v>
      </c>
      <c r="G8726" s="7" t="str">
        <f>LOOKUP(H8726,[1]startdates!$A$2:$A$10,[1]startdates!$B$2:$B$10)</f>
        <v>SMr</v>
      </c>
      <c r="H8726">
        <v>1</v>
      </c>
      <c r="I8726" s="7">
        <v>626.4</v>
      </c>
      <c r="J8726" s="7">
        <v>535.4</v>
      </c>
      <c r="L8726" s="7">
        <v>449.3</v>
      </c>
      <c r="M8726" s="7">
        <v>317.89999999999998</v>
      </c>
      <c r="N8726" s="7">
        <v>220.1</v>
      </c>
      <c r="O8726" s="7">
        <v>166.8</v>
      </c>
      <c r="Q8726" s="7">
        <v>443.4</v>
      </c>
      <c r="R8726" s="7">
        <v>265.5</v>
      </c>
    </row>
    <row r="8727" spans="1:18" x14ac:dyDescent="0.2">
      <c r="A8727">
        <v>8726</v>
      </c>
      <c r="B8727" s="1">
        <v>41107</v>
      </c>
      <c r="C8727" t="s">
        <v>24</v>
      </c>
      <c r="D8727" s="7">
        <v>365</v>
      </c>
      <c r="E8727" s="7">
        <v>54</v>
      </c>
      <c r="F8727" s="7">
        <f t="shared" si="136"/>
        <v>3</v>
      </c>
      <c r="G8727" s="7" t="str">
        <f>LOOKUP(H8727,[1]startdates!$A$2:$A$10,[1]startdates!$B$2:$B$10)</f>
        <v>SMr</v>
      </c>
      <c r="H8727">
        <v>1</v>
      </c>
      <c r="I8727" s="7">
        <v>752.6</v>
      </c>
      <c r="J8727" s="7">
        <v>585.79999999999995</v>
      </c>
      <c r="L8727" s="7">
        <v>393</v>
      </c>
      <c r="M8727" s="7">
        <v>356.9</v>
      </c>
      <c r="N8727" s="7">
        <v>239.1</v>
      </c>
      <c r="O8727" s="7">
        <v>180.6</v>
      </c>
      <c r="R8727" s="7">
        <v>283.39999999999998</v>
      </c>
    </row>
    <row r="8728" spans="1:18" x14ac:dyDescent="0.2">
      <c r="A8728">
        <v>8727</v>
      </c>
      <c r="B8728" s="1">
        <v>41107</v>
      </c>
      <c r="C8728" t="s">
        <v>24</v>
      </c>
      <c r="D8728" s="7">
        <v>365</v>
      </c>
      <c r="E8728" s="7">
        <v>54</v>
      </c>
      <c r="F8728" s="7">
        <f t="shared" si="136"/>
        <v>3</v>
      </c>
      <c r="G8728" s="7" t="str">
        <f>LOOKUP(H8728,[1]startdates!$A$2:$A$10,[1]startdates!$B$2:$B$10)</f>
        <v>SMr</v>
      </c>
      <c r="H8728">
        <v>1</v>
      </c>
      <c r="I8728" s="7">
        <v>764.4</v>
      </c>
      <c r="J8728" s="7">
        <v>536.70000000000005</v>
      </c>
      <c r="L8728" s="7">
        <v>392.2</v>
      </c>
      <c r="M8728" s="7">
        <v>313.3</v>
      </c>
      <c r="N8728" s="7">
        <v>214.2</v>
      </c>
      <c r="O8728" s="7">
        <v>168.6</v>
      </c>
    </row>
    <row r="8729" spans="1:18" x14ac:dyDescent="0.2">
      <c r="A8729">
        <v>8728</v>
      </c>
      <c r="B8729" s="1">
        <v>41107</v>
      </c>
      <c r="C8729" t="s">
        <v>24</v>
      </c>
      <c r="D8729" s="7">
        <v>365</v>
      </c>
      <c r="E8729" s="7">
        <v>54</v>
      </c>
      <c r="F8729" s="7">
        <f t="shared" si="136"/>
        <v>3</v>
      </c>
      <c r="G8729" s="7" t="str">
        <f>LOOKUP(H8729,[1]startdates!$A$2:$A$10,[1]startdates!$B$2:$B$10)</f>
        <v>SMr</v>
      </c>
      <c r="H8729">
        <v>1</v>
      </c>
      <c r="I8729" s="7">
        <v>916</v>
      </c>
      <c r="J8729" s="7">
        <v>553.79999999999995</v>
      </c>
      <c r="L8729" s="7">
        <v>456.3</v>
      </c>
      <c r="M8729" s="7">
        <v>309.89999999999998</v>
      </c>
      <c r="N8729" s="7">
        <v>197.9</v>
      </c>
      <c r="O8729" s="7">
        <v>165.7</v>
      </c>
    </row>
    <row r="8730" spans="1:18" x14ac:dyDescent="0.2">
      <c r="A8730">
        <v>8729</v>
      </c>
      <c r="B8730" s="1">
        <v>41107</v>
      </c>
      <c r="C8730" t="s">
        <v>24</v>
      </c>
      <c r="D8730" s="7">
        <v>365</v>
      </c>
      <c r="E8730" s="7">
        <v>54</v>
      </c>
      <c r="F8730" s="7">
        <f t="shared" si="136"/>
        <v>3</v>
      </c>
      <c r="G8730" s="7" t="str">
        <f>LOOKUP(H8730,[1]startdates!$A$2:$A$10,[1]startdates!$B$2:$B$10)</f>
        <v>SMr</v>
      </c>
      <c r="H8730">
        <v>1</v>
      </c>
      <c r="I8730" s="7">
        <v>705.7</v>
      </c>
      <c r="J8730" s="7">
        <v>547.1</v>
      </c>
      <c r="M8730" s="7">
        <v>365.6</v>
      </c>
      <c r="N8730" s="7">
        <v>201.8</v>
      </c>
      <c r="O8730" s="7">
        <v>173.1</v>
      </c>
    </row>
    <row r="8731" spans="1:18" x14ac:dyDescent="0.2">
      <c r="A8731">
        <v>8730</v>
      </c>
      <c r="B8731" s="1">
        <v>41107</v>
      </c>
      <c r="C8731" t="s">
        <v>24</v>
      </c>
      <c r="D8731" s="7">
        <v>365</v>
      </c>
      <c r="E8731" s="7">
        <v>54</v>
      </c>
      <c r="F8731" s="7">
        <f t="shared" si="136"/>
        <v>3</v>
      </c>
      <c r="G8731" s="7" t="str">
        <f>LOOKUP(H8731,[1]startdates!$A$2:$A$10,[1]startdates!$B$2:$B$10)</f>
        <v>SMr</v>
      </c>
      <c r="H8731">
        <v>1</v>
      </c>
      <c r="I8731" s="7">
        <v>807.5</v>
      </c>
      <c r="J8731" s="7">
        <v>546.9</v>
      </c>
      <c r="M8731" s="7">
        <v>365.6</v>
      </c>
      <c r="N8731" s="7">
        <v>242.7</v>
      </c>
      <c r="O8731" s="7">
        <v>153.19999999999999</v>
      </c>
    </row>
    <row r="8732" spans="1:18" x14ac:dyDescent="0.2">
      <c r="A8732">
        <v>8731</v>
      </c>
      <c r="B8732" s="1">
        <v>41107</v>
      </c>
      <c r="C8732" t="s">
        <v>24</v>
      </c>
      <c r="D8732" s="7">
        <v>365</v>
      </c>
      <c r="E8732" s="7">
        <v>54</v>
      </c>
      <c r="F8732" s="7">
        <f t="shared" si="136"/>
        <v>3</v>
      </c>
      <c r="G8732" s="7" t="str">
        <f>LOOKUP(H8732,[1]startdates!$A$2:$A$10,[1]startdates!$B$2:$B$10)</f>
        <v>SMr</v>
      </c>
      <c r="H8732">
        <v>1</v>
      </c>
      <c r="I8732" s="7">
        <v>580</v>
      </c>
      <c r="J8732" s="7">
        <v>460.2</v>
      </c>
      <c r="M8732" s="7">
        <v>349.5</v>
      </c>
      <c r="N8732" s="7">
        <v>217.3</v>
      </c>
      <c r="O8732" s="7">
        <v>164</v>
      </c>
    </row>
    <row r="8733" spans="1:18" x14ac:dyDescent="0.2">
      <c r="A8733">
        <v>8732</v>
      </c>
      <c r="B8733" s="1">
        <v>41107</v>
      </c>
      <c r="C8733" t="s">
        <v>24</v>
      </c>
      <c r="D8733" s="7">
        <v>365</v>
      </c>
      <c r="E8733" s="7">
        <v>54</v>
      </c>
      <c r="F8733" s="7">
        <f t="shared" si="136"/>
        <v>3</v>
      </c>
      <c r="G8733" s="7" t="str">
        <f>LOOKUP(H8733,[1]startdates!$A$2:$A$10,[1]startdates!$B$2:$B$10)</f>
        <v>SMr</v>
      </c>
      <c r="H8733">
        <v>1</v>
      </c>
      <c r="J8733" s="7">
        <v>526.9</v>
      </c>
      <c r="O8733" s="7">
        <v>153.80000000000001</v>
      </c>
    </row>
    <row r="8734" spans="1:18" x14ac:dyDescent="0.2">
      <c r="A8734">
        <v>8733</v>
      </c>
      <c r="B8734" s="1">
        <v>41107</v>
      </c>
      <c r="C8734" t="s">
        <v>28</v>
      </c>
      <c r="D8734" s="7">
        <v>365</v>
      </c>
      <c r="E8734" s="7">
        <v>54</v>
      </c>
      <c r="F8734" s="7">
        <f t="shared" si="136"/>
        <v>3</v>
      </c>
      <c r="G8734" s="7" t="str">
        <f>LOOKUP(H8734,[1]startdates!$A$2:$A$10,[1]startdates!$B$2:$B$10)</f>
        <v>SMr</v>
      </c>
      <c r="H8734">
        <v>2</v>
      </c>
      <c r="I8734" s="7">
        <v>620.9</v>
      </c>
      <c r="J8734" s="7">
        <v>443.3</v>
      </c>
      <c r="K8734" s="7">
        <v>486</v>
      </c>
      <c r="L8734" s="7">
        <v>413.3</v>
      </c>
      <c r="M8734" s="7">
        <v>376.2</v>
      </c>
      <c r="N8734" s="7">
        <v>182.8</v>
      </c>
      <c r="O8734" s="7">
        <v>166.9</v>
      </c>
      <c r="P8734" s="7">
        <v>441.9</v>
      </c>
      <c r="Q8734" s="7">
        <v>379.5</v>
      </c>
      <c r="R8734" s="7">
        <v>298.7</v>
      </c>
    </row>
    <row r="8735" spans="1:18" x14ac:dyDescent="0.2">
      <c r="A8735">
        <v>8734</v>
      </c>
      <c r="B8735" s="1">
        <v>41107</v>
      </c>
      <c r="C8735" t="s">
        <v>28</v>
      </c>
      <c r="D8735" s="7">
        <v>365</v>
      </c>
      <c r="E8735" s="7">
        <v>54</v>
      </c>
      <c r="F8735" s="7">
        <f t="shared" si="136"/>
        <v>3</v>
      </c>
      <c r="G8735" s="7" t="str">
        <f>LOOKUP(H8735,[1]startdates!$A$2:$A$10,[1]startdates!$B$2:$B$10)</f>
        <v>SMr</v>
      </c>
      <c r="H8735">
        <v>2</v>
      </c>
      <c r="I8735" s="7">
        <v>636.20000000000005</v>
      </c>
      <c r="J8735" s="7">
        <v>476.9</v>
      </c>
      <c r="K8735" s="7">
        <v>519.9</v>
      </c>
      <c r="L8735" s="7">
        <v>415</v>
      </c>
      <c r="M8735" s="7">
        <v>314.60000000000002</v>
      </c>
      <c r="N8735" s="7">
        <v>199.1</v>
      </c>
      <c r="O8735" s="7">
        <v>151.4</v>
      </c>
      <c r="P8735" s="7">
        <v>445.2</v>
      </c>
      <c r="Q8735" s="7">
        <v>352.4</v>
      </c>
    </row>
    <row r="8736" spans="1:18" x14ac:dyDescent="0.2">
      <c r="A8736">
        <v>8735</v>
      </c>
      <c r="B8736" s="1">
        <v>41107</v>
      </c>
      <c r="C8736" t="s">
        <v>28</v>
      </c>
      <c r="D8736" s="7">
        <v>365</v>
      </c>
      <c r="E8736" s="7">
        <v>54</v>
      </c>
      <c r="F8736" s="7">
        <f t="shared" si="136"/>
        <v>3</v>
      </c>
      <c r="G8736" s="7" t="str">
        <f>LOOKUP(H8736,[1]startdates!$A$2:$A$10,[1]startdates!$B$2:$B$10)</f>
        <v>SMr</v>
      </c>
      <c r="H8736">
        <v>2</v>
      </c>
      <c r="I8736" s="7">
        <v>582.9</v>
      </c>
      <c r="J8736" s="7">
        <v>610.1</v>
      </c>
      <c r="K8736" s="7">
        <v>448.3</v>
      </c>
      <c r="L8736" s="7">
        <v>400.8</v>
      </c>
      <c r="M8736" s="7">
        <v>309.8</v>
      </c>
      <c r="N8736" s="7">
        <v>171.3</v>
      </c>
      <c r="O8736" s="7">
        <v>164.4</v>
      </c>
    </row>
    <row r="8737" spans="1:18" x14ac:dyDescent="0.2">
      <c r="A8737">
        <v>8736</v>
      </c>
      <c r="B8737" s="1">
        <v>41107</v>
      </c>
      <c r="C8737" t="s">
        <v>28</v>
      </c>
      <c r="D8737" s="7">
        <v>365</v>
      </c>
      <c r="E8737" s="7">
        <v>54</v>
      </c>
      <c r="F8737" s="7">
        <f t="shared" si="136"/>
        <v>3</v>
      </c>
      <c r="G8737" s="7" t="str">
        <f>LOOKUP(H8737,[1]startdates!$A$2:$A$10,[1]startdates!$B$2:$B$10)</f>
        <v>SMr</v>
      </c>
      <c r="H8737">
        <v>2</v>
      </c>
      <c r="I8737" s="7">
        <v>528.70000000000005</v>
      </c>
      <c r="K8737" s="7">
        <v>495.1</v>
      </c>
      <c r="L8737" s="7">
        <v>407.5</v>
      </c>
      <c r="M8737" s="7">
        <v>301.3</v>
      </c>
      <c r="N8737" s="7">
        <v>221.7</v>
      </c>
      <c r="O8737" s="7">
        <v>151.4</v>
      </c>
    </row>
    <row r="8738" spans="1:18" x14ac:dyDescent="0.2">
      <c r="A8738">
        <v>8737</v>
      </c>
      <c r="B8738" s="1">
        <v>41107</v>
      </c>
      <c r="C8738" t="s">
        <v>28</v>
      </c>
      <c r="D8738" s="7">
        <v>365</v>
      </c>
      <c r="E8738" s="7">
        <v>54</v>
      </c>
      <c r="F8738" s="7">
        <f t="shared" si="136"/>
        <v>3</v>
      </c>
      <c r="G8738" s="7" t="str">
        <f>LOOKUP(H8738,[1]startdates!$A$2:$A$10,[1]startdates!$B$2:$B$10)</f>
        <v>SMr</v>
      </c>
      <c r="H8738">
        <v>2</v>
      </c>
      <c r="I8738" s="7">
        <v>663.2</v>
      </c>
      <c r="M8738" s="7">
        <v>359.4</v>
      </c>
      <c r="N8738" s="7">
        <v>226.1</v>
      </c>
      <c r="O8738" s="7">
        <v>156.6</v>
      </c>
    </row>
    <row r="8739" spans="1:18" x14ac:dyDescent="0.2">
      <c r="A8739">
        <v>8738</v>
      </c>
      <c r="B8739" s="1">
        <v>41107</v>
      </c>
      <c r="C8739" t="s">
        <v>28</v>
      </c>
      <c r="D8739" s="7">
        <v>365</v>
      </c>
      <c r="E8739" s="7">
        <v>54</v>
      </c>
      <c r="F8739" s="7">
        <f t="shared" si="136"/>
        <v>3</v>
      </c>
      <c r="G8739" s="7" t="str">
        <f>LOOKUP(H8739,[1]startdates!$A$2:$A$10,[1]startdates!$B$2:$B$10)</f>
        <v>SMr</v>
      </c>
      <c r="H8739">
        <v>2</v>
      </c>
      <c r="I8739" s="7">
        <v>592.9</v>
      </c>
      <c r="M8739" s="7">
        <v>332.9</v>
      </c>
      <c r="N8739" s="7">
        <v>189.5</v>
      </c>
      <c r="O8739" s="7">
        <v>161.4</v>
      </c>
    </row>
    <row r="8740" spans="1:18" x14ac:dyDescent="0.2">
      <c r="A8740">
        <v>8739</v>
      </c>
      <c r="B8740" s="1">
        <v>41107</v>
      </c>
      <c r="C8740" t="s">
        <v>28</v>
      </c>
      <c r="D8740" s="7">
        <v>365</v>
      </c>
      <c r="E8740" s="7">
        <v>54</v>
      </c>
      <c r="F8740" s="7">
        <f t="shared" si="136"/>
        <v>3</v>
      </c>
      <c r="G8740" s="7" t="str">
        <f>LOOKUP(H8740,[1]startdates!$A$2:$A$10,[1]startdates!$B$2:$B$10)</f>
        <v>SMr</v>
      </c>
      <c r="H8740">
        <v>2</v>
      </c>
      <c r="I8740" s="7">
        <v>602.70000000000005</v>
      </c>
      <c r="M8740" s="7">
        <v>318.10000000000002</v>
      </c>
      <c r="N8740" s="7">
        <v>192.2</v>
      </c>
      <c r="O8740" s="7">
        <v>166.4</v>
      </c>
    </row>
    <row r="8741" spans="1:18" x14ac:dyDescent="0.2">
      <c r="A8741">
        <v>8740</v>
      </c>
      <c r="B8741" s="1">
        <v>41107</v>
      </c>
      <c r="C8741" t="s">
        <v>28</v>
      </c>
      <c r="D8741" s="7">
        <v>365</v>
      </c>
      <c r="E8741" s="7">
        <v>54</v>
      </c>
      <c r="F8741" s="7">
        <f t="shared" si="136"/>
        <v>3</v>
      </c>
      <c r="G8741" s="7" t="str">
        <f>LOOKUP(H8741,[1]startdates!$A$2:$A$10,[1]startdates!$B$2:$B$10)</f>
        <v>SMr</v>
      </c>
      <c r="H8741">
        <v>2</v>
      </c>
      <c r="I8741" s="7">
        <v>594.20000000000005</v>
      </c>
      <c r="M8741" s="7">
        <v>368.2</v>
      </c>
      <c r="N8741" s="7">
        <v>214</v>
      </c>
      <c r="O8741" s="7">
        <v>172.9</v>
      </c>
    </row>
    <row r="8742" spans="1:18" x14ac:dyDescent="0.2">
      <c r="A8742">
        <v>8741</v>
      </c>
      <c r="B8742" s="1">
        <v>41107</v>
      </c>
      <c r="C8742" t="s">
        <v>28</v>
      </c>
      <c r="D8742" s="7">
        <v>365</v>
      </c>
      <c r="E8742" s="7">
        <v>54</v>
      </c>
      <c r="F8742" s="7">
        <f t="shared" si="136"/>
        <v>3</v>
      </c>
      <c r="G8742" s="7" t="str">
        <f>LOOKUP(H8742,[1]startdates!$A$2:$A$10,[1]startdates!$B$2:$B$10)</f>
        <v>SMr</v>
      </c>
      <c r="H8742">
        <v>2</v>
      </c>
      <c r="I8742" s="7">
        <v>569.79999999999995</v>
      </c>
      <c r="M8742" s="7">
        <v>367.9</v>
      </c>
      <c r="N8742" s="7">
        <v>287.5</v>
      </c>
      <c r="O8742" s="7">
        <v>194.3</v>
      </c>
    </row>
    <row r="8743" spans="1:18" x14ac:dyDescent="0.2">
      <c r="A8743">
        <v>8742</v>
      </c>
      <c r="B8743" s="1">
        <v>41107</v>
      </c>
      <c r="C8743" t="s">
        <v>28</v>
      </c>
      <c r="D8743" s="7">
        <v>365</v>
      </c>
      <c r="E8743" s="7">
        <v>54</v>
      </c>
      <c r="F8743" s="7">
        <f t="shared" si="136"/>
        <v>3</v>
      </c>
      <c r="G8743" s="7" t="str">
        <f>LOOKUP(H8743,[1]startdates!$A$2:$A$10,[1]startdates!$B$2:$B$10)</f>
        <v>SMr</v>
      </c>
      <c r="H8743">
        <v>2</v>
      </c>
      <c r="I8743" s="7">
        <v>589.29999999999995</v>
      </c>
      <c r="M8743" s="7">
        <v>348.2</v>
      </c>
      <c r="N8743" s="7">
        <v>243.1</v>
      </c>
      <c r="O8743" s="7">
        <v>143.6</v>
      </c>
    </row>
    <row r="8744" spans="1:18" x14ac:dyDescent="0.2">
      <c r="A8744">
        <v>8743</v>
      </c>
      <c r="B8744" s="1">
        <v>41107</v>
      </c>
      <c r="C8744" t="s">
        <v>28</v>
      </c>
      <c r="D8744" s="7">
        <v>365</v>
      </c>
      <c r="E8744" s="7">
        <v>54</v>
      </c>
      <c r="F8744" s="7">
        <f t="shared" si="136"/>
        <v>3</v>
      </c>
      <c r="G8744" s="7" t="str">
        <f>LOOKUP(H8744,[1]startdates!$A$2:$A$10,[1]startdates!$B$2:$B$10)</f>
        <v>C</v>
      </c>
      <c r="H8744">
        <v>3</v>
      </c>
      <c r="I8744" s="7">
        <v>639.20000000000005</v>
      </c>
      <c r="J8744" s="7">
        <v>468.6</v>
      </c>
      <c r="K8744" s="7">
        <v>512.9</v>
      </c>
      <c r="L8744" s="7">
        <v>406.7</v>
      </c>
      <c r="M8744" s="7">
        <v>347.4</v>
      </c>
      <c r="N8744" s="7">
        <v>193.2</v>
      </c>
      <c r="O8744" s="7">
        <v>177.7</v>
      </c>
      <c r="P8744" s="7">
        <v>495.1</v>
      </c>
      <c r="Q8744" s="7">
        <v>352</v>
      </c>
      <c r="R8744" s="7">
        <v>249.2</v>
      </c>
    </row>
    <row r="8745" spans="1:18" x14ac:dyDescent="0.2">
      <c r="A8745">
        <v>8744</v>
      </c>
      <c r="B8745" s="1">
        <v>41107</v>
      </c>
      <c r="C8745" t="s">
        <v>28</v>
      </c>
      <c r="D8745" s="7">
        <v>365</v>
      </c>
      <c r="E8745" s="7">
        <v>54</v>
      </c>
      <c r="F8745" s="7">
        <f t="shared" ref="F8745:F8808" si="137">WEEKDAY(B8745)</f>
        <v>3</v>
      </c>
      <c r="G8745" s="7" t="str">
        <f>LOOKUP(H8745,[1]startdates!$A$2:$A$10,[1]startdates!$B$2:$B$10)</f>
        <v>C</v>
      </c>
      <c r="H8745">
        <v>3</v>
      </c>
      <c r="I8745" s="7">
        <v>669.5</v>
      </c>
      <c r="J8745" s="7">
        <v>513.1</v>
      </c>
      <c r="K8745" s="7">
        <v>466.9</v>
      </c>
      <c r="L8745" s="7">
        <v>427.7</v>
      </c>
      <c r="M8745" s="7">
        <v>301.3</v>
      </c>
      <c r="N8745" s="7">
        <v>229.6</v>
      </c>
      <c r="O8745" s="7">
        <v>171.9</v>
      </c>
      <c r="P8745" s="7">
        <v>446.7</v>
      </c>
      <c r="Q8745" s="7">
        <v>327.9</v>
      </c>
    </row>
    <row r="8746" spans="1:18" x14ac:dyDescent="0.2">
      <c r="A8746">
        <v>8745</v>
      </c>
      <c r="B8746" s="1">
        <v>41107</v>
      </c>
      <c r="C8746" t="s">
        <v>28</v>
      </c>
      <c r="D8746" s="7">
        <v>365</v>
      </c>
      <c r="E8746" s="7">
        <v>54</v>
      </c>
      <c r="F8746" s="7">
        <f t="shared" si="137"/>
        <v>3</v>
      </c>
      <c r="G8746" s="7" t="str">
        <f>LOOKUP(H8746,[1]startdates!$A$2:$A$10,[1]startdates!$B$2:$B$10)</f>
        <v>C</v>
      </c>
      <c r="H8746">
        <v>3</v>
      </c>
      <c r="I8746" s="7">
        <v>729.8</v>
      </c>
      <c r="J8746" s="7">
        <v>507.4</v>
      </c>
      <c r="K8746" s="7">
        <v>451.3</v>
      </c>
      <c r="L8746" s="7">
        <v>408.3</v>
      </c>
      <c r="M8746" s="7">
        <v>324.89999999999998</v>
      </c>
      <c r="N8746" s="7">
        <v>203.7</v>
      </c>
      <c r="O8746" s="7">
        <v>158.1</v>
      </c>
    </row>
    <row r="8747" spans="1:18" x14ac:dyDescent="0.2">
      <c r="A8747">
        <v>8746</v>
      </c>
      <c r="B8747" s="1">
        <v>41107</v>
      </c>
      <c r="C8747" t="s">
        <v>28</v>
      </c>
      <c r="D8747" s="7">
        <v>365</v>
      </c>
      <c r="E8747" s="7">
        <v>54</v>
      </c>
      <c r="F8747" s="7">
        <f t="shared" si="137"/>
        <v>3</v>
      </c>
      <c r="G8747" s="7" t="str">
        <f>LOOKUP(H8747,[1]startdates!$A$2:$A$10,[1]startdates!$B$2:$B$10)</f>
        <v>C</v>
      </c>
      <c r="H8747">
        <v>3</v>
      </c>
      <c r="I8747" s="7">
        <v>663.6</v>
      </c>
      <c r="J8747" s="7">
        <v>536.1</v>
      </c>
      <c r="M8747" s="7">
        <v>368</v>
      </c>
      <c r="N8747" s="7">
        <v>206.1</v>
      </c>
      <c r="O8747" s="7">
        <v>155.69999999999999</v>
      </c>
    </row>
    <row r="8748" spans="1:18" x14ac:dyDescent="0.2">
      <c r="A8748">
        <v>8747</v>
      </c>
      <c r="B8748" s="1">
        <v>41107</v>
      </c>
      <c r="C8748" t="s">
        <v>28</v>
      </c>
      <c r="D8748" s="7">
        <v>365</v>
      </c>
      <c r="E8748" s="7">
        <v>54</v>
      </c>
      <c r="F8748" s="7">
        <f t="shared" si="137"/>
        <v>3</v>
      </c>
      <c r="G8748" s="7" t="str">
        <f>LOOKUP(H8748,[1]startdates!$A$2:$A$10,[1]startdates!$B$2:$B$10)</f>
        <v>C</v>
      </c>
      <c r="H8748">
        <v>3</v>
      </c>
      <c r="I8748" s="7">
        <v>609.70000000000005</v>
      </c>
      <c r="M8748" s="7">
        <v>386.4</v>
      </c>
      <c r="N8748" s="7">
        <v>250.4</v>
      </c>
      <c r="O8748" s="7">
        <v>190.1</v>
      </c>
    </row>
    <row r="8749" spans="1:18" x14ac:dyDescent="0.2">
      <c r="A8749">
        <v>8748</v>
      </c>
      <c r="B8749" s="1">
        <v>41107</v>
      </c>
      <c r="C8749" t="s">
        <v>28</v>
      </c>
      <c r="D8749" s="7">
        <v>365</v>
      </c>
      <c r="E8749" s="7">
        <v>54</v>
      </c>
      <c r="F8749" s="7">
        <f t="shared" si="137"/>
        <v>3</v>
      </c>
      <c r="G8749" s="7" t="str">
        <f>LOOKUP(H8749,[1]startdates!$A$2:$A$10,[1]startdates!$B$2:$B$10)</f>
        <v>C</v>
      </c>
      <c r="H8749">
        <v>3</v>
      </c>
      <c r="I8749" s="7">
        <v>630.6</v>
      </c>
      <c r="M8749" s="7">
        <v>369.3</v>
      </c>
      <c r="N8749" s="7">
        <v>201.1</v>
      </c>
      <c r="O8749" s="7">
        <v>167.9</v>
      </c>
    </row>
    <row r="8750" spans="1:18" x14ac:dyDescent="0.2">
      <c r="A8750">
        <v>8749</v>
      </c>
      <c r="B8750" s="1">
        <v>41107</v>
      </c>
      <c r="C8750" t="s">
        <v>28</v>
      </c>
      <c r="D8750" s="7">
        <v>365</v>
      </c>
      <c r="E8750" s="7">
        <v>54</v>
      </c>
      <c r="F8750" s="7">
        <f t="shared" si="137"/>
        <v>3</v>
      </c>
      <c r="G8750" s="7" t="str">
        <f>LOOKUP(H8750,[1]startdates!$A$2:$A$10,[1]startdates!$B$2:$B$10)</f>
        <v>C</v>
      </c>
      <c r="H8750">
        <v>3</v>
      </c>
      <c r="I8750" s="7">
        <v>618.79999999999995</v>
      </c>
      <c r="M8750" s="7">
        <v>371.7</v>
      </c>
      <c r="N8750" s="7">
        <v>219.6</v>
      </c>
      <c r="O8750" s="7">
        <v>159.30000000000001</v>
      </c>
    </row>
    <row r="8751" spans="1:18" x14ac:dyDescent="0.2">
      <c r="A8751">
        <v>8750</v>
      </c>
      <c r="B8751" s="1">
        <v>41107</v>
      </c>
      <c r="C8751" t="s">
        <v>28</v>
      </c>
      <c r="D8751" s="7">
        <v>365</v>
      </c>
      <c r="E8751" s="7">
        <v>54</v>
      </c>
      <c r="F8751" s="7">
        <f t="shared" si="137"/>
        <v>3</v>
      </c>
      <c r="G8751" s="7" t="str">
        <f>LOOKUP(H8751,[1]startdates!$A$2:$A$10,[1]startdates!$B$2:$B$10)</f>
        <v>C</v>
      </c>
      <c r="H8751">
        <v>3</v>
      </c>
      <c r="I8751" s="7">
        <v>799.9</v>
      </c>
      <c r="M8751" s="7">
        <v>342.7</v>
      </c>
      <c r="N8751" s="7">
        <v>247.1</v>
      </c>
      <c r="O8751" s="7">
        <v>159</v>
      </c>
    </row>
    <row r="8752" spans="1:18" x14ac:dyDescent="0.2">
      <c r="A8752">
        <v>8751</v>
      </c>
      <c r="B8752" s="1">
        <v>41107</v>
      </c>
      <c r="C8752" t="s">
        <v>28</v>
      </c>
      <c r="D8752" s="7">
        <v>365</v>
      </c>
      <c r="E8752" s="7">
        <v>54</v>
      </c>
      <c r="F8752" s="7">
        <f t="shared" si="137"/>
        <v>3</v>
      </c>
      <c r="G8752" s="7" t="str">
        <f>LOOKUP(H8752,[1]startdates!$A$2:$A$10,[1]startdates!$B$2:$B$10)</f>
        <v>C</v>
      </c>
      <c r="H8752">
        <v>3</v>
      </c>
      <c r="I8752" s="7">
        <v>581.70000000000005</v>
      </c>
      <c r="M8752" s="7">
        <v>349.1</v>
      </c>
      <c r="N8752" s="7">
        <v>215.7</v>
      </c>
      <c r="O8752" s="7">
        <v>166.3</v>
      </c>
    </row>
    <row r="8753" spans="1:18" x14ac:dyDescent="0.2">
      <c r="A8753">
        <v>8752</v>
      </c>
      <c r="B8753" s="1">
        <v>41107</v>
      </c>
      <c r="C8753" t="s">
        <v>28</v>
      </c>
      <c r="D8753" s="7">
        <v>365</v>
      </c>
      <c r="E8753" s="7">
        <v>54</v>
      </c>
      <c r="F8753" s="7">
        <f t="shared" si="137"/>
        <v>3</v>
      </c>
      <c r="G8753" s="7" t="str">
        <f>LOOKUP(H8753,[1]startdates!$A$2:$A$10,[1]startdates!$B$2:$B$10)</f>
        <v>C</v>
      </c>
      <c r="H8753">
        <v>3</v>
      </c>
      <c r="I8753" s="7">
        <v>650.79999999999995</v>
      </c>
      <c r="M8753" s="7">
        <v>395</v>
      </c>
      <c r="N8753" s="7">
        <v>208.4</v>
      </c>
      <c r="O8753" s="7">
        <v>173.8</v>
      </c>
    </row>
    <row r="8754" spans="1:18" x14ac:dyDescent="0.2">
      <c r="A8754">
        <v>8753</v>
      </c>
      <c r="B8754" s="1">
        <v>41107</v>
      </c>
      <c r="C8754" t="s">
        <v>24</v>
      </c>
      <c r="D8754" s="7">
        <v>365</v>
      </c>
      <c r="E8754" s="7">
        <v>54</v>
      </c>
      <c r="F8754" s="7">
        <f t="shared" si="137"/>
        <v>3</v>
      </c>
      <c r="G8754" s="7" t="str">
        <f>LOOKUP(H8754,[1]startdates!$A$2:$A$10,[1]startdates!$B$2:$B$10)</f>
        <v>SMr</v>
      </c>
      <c r="H8754">
        <v>4</v>
      </c>
      <c r="I8754" s="7">
        <v>564.1</v>
      </c>
      <c r="J8754" s="7">
        <v>568.1</v>
      </c>
      <c r="K8754" s="7">
        <v>479.5</v>
      </c>
      <c r="L8754" s="7">
        <v>444.2</v>
      </c>
      <c r="M8754" s="7">
        <v>351</v>
      </c>
      <c r="N8754" s="7">
        <v>222.4</v>
      </c>
      <c r="O8754" s="7">
        <v>153.30000000000001</v>
      </c>
      <c r="P8754" s="7">
        <v>586.5</v>
      </c>
      <c r="Q8754" s="7">
        <v>404.2</v>
      </c>
    </row>
    <row r="8755" spans="1:18" x14ac:dyDescent="0.2">
      <c r="A8755">
        <v>8754</v>
      </c>
      <c r="B8755" s="1">
        <v>41107</v>
      </c>
      <c r="C8755" t="s">
        <v>24</v>
      </c>
      <c r="D8755" s="7">
        <v>365</v>
      </c>
      <c r="E8755" s="7">
        <v>54</v>
      </c>
      <c r="F8755" s="7">
        <f t="shared" si="137"/>
        <v>3</v>
      </c>
      <c r="G8755" s="7" t="str">
        <f>LOOKUP(H8755,[1]startdates!$A$2:$A$10,[1]startdates!$B$2:$B$10)</f>
        <v>SMr</v>
      </c>
      <c r="H8755">
        <v>4</v>
      </c>
      <c r="I8755" s="7">
        <v>651</v>
      </c>
      <c r="J8755" s="7">
        <v>542.70000000000005</v>
      </c>
      <c r="K8755" s="7">
        <v>500.5</v>
      </c>
      <c r="L8755" s="7">
        <v>326.10000000000002</v>
      </c>
      <c r="M8755" s="7">
        <v>357.4</v>
      </c>
      <c r="N8755" s="7">
        <v>217.4</v>
      </c>
      <c r="O8755" s="7">
        <v>183.8</v>
      </c>
    </row>
    <row r="8756" spans="1:18" x14ac:dyDescent="0.2">
      <c r="A8756">
        <v>8755</v>
      </c>
      <c r="B8756" s="1">
        <v>41107</v>
      </c>
      <c r="C8756" t="s">
        <v>24</v>
      </c>
      <c r="D8756" s="7">
        <v>365</v>
      </c>
      <c r="E8756" s="7">
        <v>54</v>
      </c>
      <c r="F8756" s="7">
        <f t="shared" si="137"/>
        <v>3</v>
      </c>
      <c r="G8756" s="7" t="str">
        <f>LOOKUP(H8756,[1]startdates!$A$2:$A$10,[1]startdates!$B$2:$B$10)</f>
        <v>SMr</v>
      </c>
      <c r="H8756">
        <v>4</v>
      </c>
      <c r="I8756" s="7">
        <v>651</v>
      </c>
      <c r="J8756" s="7">
        <v>478.8</v>
      </c>
      <c r="K8756" s="7">
        <v>507.1</v>
      </c>
      <c r="L8756" s="7">
        <v>421.7</v>
      </c>
      <c r="M8756" s="7">
        <v>333.1</v>
      </c>
      <c r="N8756" s="7">
        <v>216.1</v>
      </c>
      <c r="O8756" s="7">
        <v>195.3</v>
      </c>
    </row>
    <row r="8757" spans="1:18" x14ac:dyDescent="0.2">
      <c r="A8757">
        <v>8756</v>
      </c>
      <c r="B8757" s="1">
        <v>41107</v>
      </c>
      <c r="C8757" t="s">
        <v>24</v>
      </c>
      <c r="D8757" s="7">
        <v>365</v>
      </c>
      <c r="E8757" s="7">
        <v>54</v>
      </c>
      <c r="F8757" s="7">
        <f t="shared" si="137"/>
        <v>3</v>
      </c>
      <c r="G8757" s="7" t="str">
        <f>LOOKUP(H8757,[1]startdates!$A$2:$A$10,[1]startdates!$B$2:$B$10)</f>
        <v>SMr</v>
      </c>
      <c r="H8757">
        <v>4</v>
      </c>
      <c r="I8757" s="7">
        <v>571</v>
      </c>
      <c r="K8757" s="7">
        <v>466</v>
      </c>
      <c r="M8757" s="7">
        <v>320.7</v>
      </c>
      <c r="N8757" s="7">
        <v>207.8</v>
      </c>
      <c r="O8757" s="7">
        <v>184.5</v>
      </c>
    </row>
    <row r="8758" spans="1:18" x14ac:dyDescent="0.2">
      <c r="A8758">
        <v>8757</v>
      </c>
      <c r="B8758" s="1">
        <v>41107</v>
      </c>
      <c r="C8758" t="s">
        <v>24</v>
      </c>
      <c r="D8758" s="7">
        <v>365</v>
      </c>
      <c r="E8758" s="7">
        <v>54</v>
      </c>
      <c r="F8758" s="7">
        <f t="shared" si="137"/>
        <v>3</v>
      </c>
      <c r="G8758" s="7" t="str">
        <f>LOOKUP(H8758,[1]startdates!$A$2:$A$10,[1]startdates!$B$2:$B$10)</f>
        <v>SMr</v>
      </c>
      <c r="H8758">
        <v>4</v>
      </c>
      <c r="I8758" s="7">
        <v>647.6</v>
      </c>
      <c r="K8758" s="7">
        <v>354.2</v>
      </c>
      <c r="M8758" s="7">
        <v>391.1</v>
      </c>
      <c r="N8758" s="7">
        <v>211.9</v>
      </c>
      <c r="O8758" s="7">
        <v>151.1</v>
      </c>
    </row>
    <row r="8759" spans="1:18" x14ac:dyDescent="0.2">
      <c r="A8759">
        <v>8758</v>
      </c>
      <c r="B8759" s="1">
        <v>41107</v>
      </c>
      <c r="C8759" t="s">
        <v>24</v>
      </c>
      <c r="D8759" s="7">
        <v>365</v>
      </c>
      <c r="E8759" s="7">
        <v>54</v>
      </c>
      <c r="F8759" s="7">
        <f t="shared" si="137"/>
        <v>3</v>
      </c>
      <c r="G8759" s="7" t="str">
        <f>LOOKUP(H8759,[1]startdates!$A$2:$A$10,[1]startdates!$B$2:$B$10)</f>
        <v>SMr</v>
      </c>
      <c r="H8759">
        <v>4</v>
      </c>
      <c r="I8759" s="7">
        <v>670.1</v>
      </c>
      <c r="K8759" s="7">
        <v>410</v>
      </c>
      <c r="M8759" s="7">
        <v>362.3</v>
      </c>
      <c r="N8759" s="7">
        <v>253.6</v>
      </c>
      <c r="O8759" s="7">
        <v>151.80000000000001</v>
      </c>
    </row>
    <row r="8760" spans="1:18" x14ac:dyDescent="0.2">
      <c r="A8760">
        <v>8759</v>
      </c>
      <c r="B8760" s="1">
        <v>41107</v>
      </c>
      <c r="C8760" t="s">
        <v>24</v>
      </c>
      <c r="D8760" s="7">
        <v>365</v>
      </c>
      <c r="E8760" s="7">
        <v>54</v>
      </c>
      <c r="F8760" s="7">
        <f t="shared" si="137"/>
        <v>3</v>
      </c>
      <c r="G8760" s="7" t="str">
        <f>LOOKUP(H8760,[1]startdates!$A$2:$A$10,[1]startdates!$B$2:$B$10)</f>
        <v>SMr</v>
      </c>
      <c r="H8760">
        <v>4</v>
      </c>
      <c r="I8760" s="7">
        <v>717.3</v>
      </c>
      <c r="K8760" s="7">
        <v>592</v>
      </c>
      <c r="M8760" s="7">
        <v>377.3</v>
      </c>
      <c r="N8760" s="7">
        <v>203.8</v>
      </c>
      <c r="O8760" s="7">
        <v>169.7</v>
      </c>
    </row>
    <row r="8761" spans="1:18" x14ac:dyDescent="0.2">
      <c r="A8761">
        <v>8760</v>
      </c>
      <c r="B8761" s="1">
        <v>41107</v>
      </c>
      <c r="C8761" t="s">
        <v>24</v>
      </c>
      <c r="D8761" s="7">
        <v>365</v>
      </c>
      <c r="E8761" s="7">
        <v>54</v>
      </c>
      <c r="F8761" s="7">
        <f t="shared" si="137"/>
        <v>3</v>
      </c>
      <c r="G8761" s="7" t="str">
        <f>LOOKUP(H8761,[1]startdates!$A$2:$A$10,[1]startdates!$B$2:$B$10)</f>
        <v>SMr</v>
      </c>
      <c r="H8761">
        <v>4</v>
      </c>
      <c r="I8761" s="7">
        <v>659.1</v>
      </c>
      <c r="M8761" s="7">
        <v>356.7</v>
      </c>
      <c r="N8761" s="7">
        <v>201.4</v>
      </c>
      <c r="O8761" s="7">
        <v>198.1</v>
      </c>
    </row>
    <row r="8762" spans="1:18" x14ac:dyDescent="0.2">
      <c r="A8762">
        <v>8761</v>
      </c>
      <c r="B8762" s="1">
        <v>41107</v>
      </c>
      <c r="C8762" t="s">
        <v>24</v>
      </c>
      <c r="D8762" s="7">
        <v>365</v>
      </c>
      <c r="E8762" s="7">
        <v>54</v>
      </c>
      <c r="F8762" s="7">
        <f t="shared" si="137"/>
        <v>3</v>
      </c>
      <c r="G8762" s="7" t="str">
        <f>LOOKUP(H8762,[1]startdates!$A$2:$A$10,[1]startdates!$B$2:$B$10)</f>
        <v>SMr</v>
      </c>
      <c r="H8762">
        <v>4</v>
      </c>
      <c r="I8762" s="7">
        <v>680.1</v>
      </c>
      <c r="M8762" s="7">
        <v>397.8</v>
      </c>
      <c r="N8762" s="7">
        <v>260.5</v>
      </c>
      <c r="O8762" s="7">
        <v>178.1</v>
      </c>
    </row>
    <row r="8763" spans="1:18" x14ac:dyDescent="0.2">
      <c r="A8763">
        <v>8762</v>
      </c>
      <c r="B8763" s="1">
        <v>41107</v>
      </c>
      <c r="C8763" t="s">
        <v>24</v>
      </c>
      <c r="D8763" s="7">
        <v>365</v>
      </c>
      <c r="E8763" s="7">
        <v>54</v>
      </c>
      <c r="F8763" s="7">
        <f t="shared" si="137"/>
        <v>3</v>
      </c>
      <c r="G8763" s="7" t="str">
        <f>LOOKUP(H8763,[1]startdates!$A$2:$A$10,[1]startdates!$B$2:$B$10)</f>
        <v>SMr</v>
      </c>
      <c r="H8763">
        <v>4</v>
      </c>
      <c r="I8763" s="7">
        <v>738.7</v>
      </c>
      <c r="M8763" s="7">
        <v>349.5</v>
      </c>
      <c r="N8763" s="7">
        <v>242.2</v>
      </c>
      <c r="O8763" s="7">
        <v>175.4</v>
      </c>
    </row>
    <row r="8764" spans="1:18" x14ac:dyDescent="0.2">
      <c r="A8764">
        <v>8763</v>
      </c>
      <c r="B8764" s="1">
        <v>41107</v>
      </c>
      <c r="C8764" t="s">
        <v>24</v>
      </c>
      <c r="D8764" s="7">
        <v>365</v>
      </c>
      <c r="E8764" s="7">
        <v>54</v>
      </c>
      <c r="F8764" s="7">
        <f t="shared" si="137"/>
        <v>3</v>
      </c>
      <c r="G8764" s="7" t="str">
        <f>LOOKUP(H8764,[1]startdates!$A$2:$A$10,[1]startdates!$B$2:$B$10)</f>
        <v>C</v>
      </c>
      <c r="H8764">
        <v>5</v>
      </c>
      <c r="I8764" s="7">
        <v>731.6</v>
      </c>
      <c r="J8764" s="7">
        <v>561.9</v>
      </c>
      <c r="K8764" s="7">
        <v>439.3</v>
      </c>
      <c r="L8764" s="7">
        <v>476.8</v>
      </c>
      <c r="M8764" s="7">
        <v>313.3</v>
      </c>
      <c r="N8764" s="7">
        <v>234</v>
      </c>
      <c r="O8764" s="7">
        <v>198.3</v>
      </c>
      <c r="P8764" s="7">
        <v>480.2</v>
      </c>
      <c r="R8764" s="7">
        <v>248.4</v>
      </c>
    </row>
    <row r="8765" spans="1:18" x14ac:dyDescent="0.2">
      <c r="A8765">
        <v>8764</v>
      </c>
      <c r="B8765" s="1">
        <v>41107</v>
      </c>
      <c r="C8765" t="s">
        <v>24</v>
      </c>
      <c r="D8765" s="7">
        <v>365</v>
      </c>
      <c r="E8765" s="7">
        <v>54</v>
      </c>
      <c r="F8765" s="7">
        <f t="shared" si="137"/>
        <v>3</v>
      </c>
      <c r="G8765" s="7" t="str">
        <f>LOOKUP(H8765,[1]startdates!$A$2:$A$10,[1]startdates!$B$2:$B$10)</f>
        <v>C</v>
      </c>
      <c r="H8765">
        <v>5</v>
      </c>
      <c r="I8765" s="7">
        <v>594.20000000000005</v>
      </c>
      <c r="J8765" s="7">
        <v>574.5</v>
      </c>
      <c r="K8765" s="7">
        <v>641.29999999999995</v>
      </c>
      <c r="L8765" s="7">
        <v>488.1</v>
      </c>
      <c r="M8765" s="7">
        <v>306.7</v>
      </c>
      <c r="N8765" s="7">
        <v>252.2</v>
      </c>
      <c r="O8765" s="7">
        <v>170.6</v>
      </c>
      <c r="P8765" s="7">
        <v>475.2</v>
      </c>
    </row>
    <row r="8766" spans="1:18" x14ac:dyDescent="0.2">
      <c r="A8766">
        <v>8765</v>
      </c>
      <c r="B8766" s="1">
        <v>41107</v>
      </c>
      <c r="C8766" t="s">
        <v>24</v>
      </c>
      <c r="D8766" s="7">
        <v>365</v>
      </c>
      <c r="E8766" s="7">
        <v>54</v>
      </c>
      <c r="F8766" s="7">
        <f t="shared" si="137"/>
        <v>3</v>
      </c>
      <c r="G8766" s="7" t="str">
        <f>LOOKUP(H8766,[1]startdates!$A$2:$A$10,[1]startdates!$B$2:$B$10)</f>
        <v>C</v>
      </c>
      <c r="H8766">
        <v>5</v>
      </c>
      <c r="I8766" s="7">
        <v>711.8</v>
      </c>
      <c r="J8766" s="7">
        <v>592.4</v>
      </c>
      <c r="L8766" s="7">
        <v>408.9</v>
      </c>
      <c r="M8766" s="7">
        <v>324.2</v>
      </c>
      <c r="N8766" s="7">
        <v>184.4</v>
      </c>
      <c r="O8766" s="7">
        <v>176</v>
      </c>
      <c r="P8766" s="7">
        <v>539.4</v>
      </c>
    </row>
    <row r="8767" spans="1:18" x14ac:dyDescent="0.2">
      <c r="A8767">
        <v>8766</v>
      </c>
      <c r="B8767" s="1">
        <v>41107</v>
      </c>
      <c r="C8767" t="s">
        <v>24</v>
      </c>
      <c r="D8767" s="7">
        <v>365</v>
      </c>
      <c r="E8767" s="7">
        <v>54</v>
      </c>
      <c r="F8767" s="7">
        <f t="shared" si="137"/>
        <v>3</v>
      </c>
      <c r="G8767" s="7" t="str">
        <f>LOOKUP(H8767,[1]startdates!$A$2:$A$10,[1]startdates!$B$2:$B$10)</f>
        <v>C</v>
      </c>
      <c r="H8767">
        <v>5</v>
      </c>
      <c r="I8767" s="7">
        <v>622.9</v>
      </c>
      <c r="J8767" s="7">
        <v>604.1</v>
      </c>
      <c r="L8767" s="7">
        <v>493.7</v>
      </c>
      <c r="M8767" s="7">
        <v>276.60000000000002</v>
      </c>
      <c r="N8767" s="7">
        <v>224.9</v>
      </c>
      <c r="O8767" s="7">
        <v>179.7</v>
      </c>
      <c r="P8767" s="7">
        <v>528.79999999999995</v>
      </c>
    </row>
    <row r="8768" spans="1:18" x14ac:dyDescent="0.2">
      <c r="A8768">
        <v>8767</v>
      </c>
      <c r="B8768" s="1">
        <v>41107</v>
      </c>
      <c r="C8768" t="s">
        <v>24</v>
      </c>
      <c r="D8768" s="7">
        <v>365</v>
      </c>
      <c r="E8768" s="7">
        <v>54</v>
      </c>
      <c r="F8768" s="7">
        <f t="shared" si="137"/>
        <v>3</v>
      </c>
      <c r="G8768" s="7" t="str">
        <f>LOOKUP(H8768,[1]startdates!$A$2:$A$10,[1]startdates!$B$2:$B$10)</f>
        <v>C</v>
      </c>
      <c r="H8768">
        <v>5</v>
      </c>
      <c r="I8768" s="7">
        <v>755.3</v>
      </c>
      <c r="J8768" s="7">
        <v>544.4</v>
      </c>
      <c r="M8768" s="7">
        <v>405.6</v>
      </c>
      <c r="N8768" s="7">
        <v>218.7</v>
      </c>
      <c r="O8768" s="7">
        <v>176.8</v>
      </c>
    </row>
    <row r="8769" spans="1:19" x14ac:dyDescent="0.2">
      <c r="A8769">
        <v>8768</v>
      </c>
      <c r="B8769" s="1">
        <v>41107</v>
      </c>
      <c r="C8769" t="s">
        <v>24</v>
      </c>
      <c r="D8769" s="7">
        <v>365</v>
      </c>
      <c r="E8769" s="7">
        <v>54</v>
      </c>
      <c r="F8769" s="7">
        <f t="shared" si="137"/>
        <v>3</v>
      </c>
      <c r="G8769" s="7" t="str">
        <f>LOOKUP(H8769,[1]startdates!$A$2:$A$10,[1]startdates!$B$2:$B$10)</f>
        <v>C</v>
      </c>
      <c r="H8769">
        <v>5</v>
      </c>
      <c r="I8769" s="7">
        <v>735.1</v>
      </c>
      <c r="J8769" s="7">
        <v>502.8</v>
      </c>
      <c r="M8769" s="7">
        <v>334.4</v>
      </c>
      <c r="N8769" s="7">
        <v>230.7</v>
      </c>
      <c r="O8769" s="7">
        <v>174.1</v>
      </c>
    </row>
    <row r="8770" spans="1:19" x14ac:dyDescent="0.2">
      <c r="A8770">
        <v>8769</v>
      </c>
      <c r="B8770" s="1">
        <v>41107</v>
      </c>
      <c r="C8770" t="s">
        <v>24</v>
      </c>
      <c r="D8770" s="7">
        <v>365</v>
      </c>
      <c r="E8770" s="7">
        <v>54</v>
      </c>
      <c r="F8770" s="7">
        <f t="shared" si="137"/>
        <v>3</v>
      </c>
      <c r="G8770" s="7" t="str">
        <f>LOOKUP(H8770,[1]startdates!$A$2:$A$10,[1]startdates!$B$2:$B$10)</f>
        <v>C</v>
      </c>
      <c r="H8770">
        <v>5</v>
      </c>
      <c r="I8770" s="7">
        <v>756</v>
      </c>
      <c r="J8770" s="7">
        <v>568</v>
      </c>
      <c r="M8770" s="7">
        <v>369.3</v>
      </c>
      <c r="N8770" s="7">
        <v>243.2</v>
      </c>
      <c r="O8770" s="7">
        <v>172.4</v>
      </c>
    </row>
    <row r="8771" spans="1:19" x14ac:dyDescent="0.2">
      <c r="A8771">
        <v>8770</v>
      </c>
      <c r="B8771" s="1">
        <v>41107</v>
      </c>
      <c r="C8771" t="s">
        <v>24</v>
      </c>
      <c r="D8771" s="7">
        <v>365</v>
      </c>
      <c r="E8771" s="7">
        <v>54</v>
      </c>
      <c r="F8771" s="7">
        <f t="shared" si="137"/>
        <v>3</v>
      </c>
      <c r="G8771" s="7" t="str">
        <f>LOOKUP(H8771,[1]startdates!$A$2:$A$10,[1]startdates!$B$2:$B$10)</f>
        <v>C</v>
      </c>
      <c r="H8771">
        <v>5</v>
      </c>
      <c r="I8771" s="7">
        <v>666.8</v>
      </c>
      <c r="J8771" s="7">
        <v>594.70000000000005</v>
      </c>
      <c r="M8771" s="7">
        <v>371.3</v>
      </c>
      <c r="N8771" s="7">
        <v>237.5</v>
      </c>
      <c r="O8771" s="7">
        <v>164.4</v>
      </c>
    </row>
    <row r="8772" spans="1:19" x14ac:dyDescent="0.2">
      <c r="A8772">
        <v>8771</v>
      </c>
      <c r="B8772" s="1">
        <v>41107</v>
      </c>
      <c r="C8772" t="s">
        <v>24</v>
      </c>
      <c r="D8772" s="7">
        <v>365</v>
      </c>
      <c r="E8772" s="7">
        <v>54</v>
      </c>
      <c r="F8772" s="7">
        <f t="shared" si="137"/>
        <v>3</v>
      </c>
      <c r="G8772" s="7" t="str">
        <f>LOOKUP(H8772,[1]startdates!$A$2:$A$10,[1]startdates!$B$2:$B$10)</f>
        <v>C</v>
      </c>
      <c r="H8772">
        <v>5</v>
      </c>
      <c r="I8772" s="7">
        <v>686.5</v>
      </c>
      <c r="J8772" s="7">
        <v>554.4</v>
      </c>
      <c r="M8772" s="7">
        <v>377.9</v>
      </c>
      <c r="N8772" s="7">
        <v>236.9</v>
      </c>
      <c r="O8772" s="7">
        <v>156.30000000000001</v>
      </c>
    </row>
    <row r="8773" spans="1:19" x14ac:dyDescent="0.2">
      <c r="A8773">
        <v>8772</v>
      </c>
      <c r="B8773" s="1">
        <v>41107</v>
      </c>
      <c r="C8773" t="s">
        <v>24</v>
      </c>
      <c r="D8773" s="7">
        <v>365</v>
      </c>
      <c r="E8773" s="7">
        <v>54</v>
      </c>
      <c r="F8773" s="7">
        <f t="shared" si="137"/>
        <v>3</v>
      </c>
      <c r="G8773" s="7" t="str">
        <f>LOOKUP(H8773,[1]startdates!$A$2:$A$10,[1]startdates!$B$2:$B$10)</f>
        <v>C</v>
      </c>
      <c r="H8773">
        <v>5</v>
      </c>
      <c r="I8773" s="7">
        <v>645.4</v>
      </c>
      <c r="J8773" s="7">
        <v>495.3</v>
      </c>
      <c r="M8773" s="7">
        <v>399.5</v>
      </c>
      <c r="N8773" s="7">
        <v>258.60000000000002</v>
      </c>
      <c r="O8773" s="7">
        <v>185</v>
      </c>
    </row>
    <row r="8774" spans="1:19" x14ac:dyDescent="0.2">
      <c r="A8774">
        <v>8773</v>
      </c>
      <c r="B8774" s="1">
        <v>41107</v>
      </c>
      <c r="C8774" t="s">
        <v>24</v>
      </c>
      <c r="D8774" s="7">
        <v>365</v>
      </c>
      <c r="E8774" s="7">
        <v>54</v>
      </c>
      <c r="F8774" s="7">
        <f t="shared" si="137"/>
        <v>3</v>
      </c>
      <c r="G8774" s="7" t="str">
        <f>LOOKUP(H8774,[1]startdates!$A$2:$A$10,[1]startdates!$B$2:$B$10)</f>
        <v>C</v>
      </c>
      <c r="H8774">
        <v>5</v>
      </c>
      <c r="M8774" s="7">
        <v>348.9</v>
      </c>
    </row>
    <row r="8775" spans="1:19" x14ac:dyDescent="0.2">
      <c r="A8775">
        <v>8774</v>
      </c>
      <c r="B8775" s="1">
        <v>41107</v>
      </c>
      <c r="C8775" t="s">
        <v>24</v>
      </c>
      <c r="D8775" s="7">
        <v>365</v>
      </c>
      <c r="E8775" s="7">
        <v>54</v>
      </c>
      <c r="F8775" s="7">
        <f t="shared" si="137"/>
        <v>3</v>
      </c>
      <c r="G8775" s="7" t="str">
        <f>LOOKUP(H8775,[1]startdates!$A$2:$A$10,[1]startdates!$B$2:$B$10)</f>
        <v>C</v>
      </c>
      <c r="H8775">
        <v>5</v>
      </c>
      <c r="M8775" s="7">
        <v>407.3</v>
      </c>
    </row>
    <row r="8776" spans="1:19" x14ac:dyDescent="0.2">
      <c r="A8776">
        <v>8775</v>
      </c>
      <c r="B8776" s="1">
        <v>41107</v>
      </c>
      <c r="C8776" t="s">
        <v>24</v>
      </c>
      <c r="D8776" s="7">
        <v>365</v>
      </c>
      <c r="E8776" s="7">
        <v>54</v>
      </c>
      <c r="F8776" s="7">
        <f t="shared" si="137"/>
        <v>3</v>
      </c>
      <c r="G8776" s="7" t="str">
        <f>LOOKUP(H8776,[1]startdates!$A$2:$A$10,[1]startdates!$B$2:$B$10)</f>
        <v>C</v>
      </c>
      <c r="H8776">
        <v>5</v>
      </c>
      <c r="M8776" s="7">
        <v>379.7</v>
      </c>
    </row>
    <row r="8777" spans="1:19" x14ac:dyDescent="0.2">
      <c r="A8777">
        <v>8776</v>
      </c>
      <c r="B8777" s="1">
        <v>41107</v>
      </c>
      <c r="C8777" t="s">
        <v>28</v>
      </c>
      <c r="D8777" s="7">
        <v>365</v>
      </c>
      <c r="E8777" s="7">
        <v>54</v>
      </c>
      <c r="F8777" s="7">
        <f t="shared" si="137"/>
        <v>3</v>
      </c>
      <c r="G8777" s="7" t="str">
        <f>LOOKUP(H8777,[1]startdates!$A$2:$A$10,[1]startdates!$B$2:$B$10)</f>
        <v>FMr</v>
      </c>
      <c r="H8777">
        <v>6</v>
      </c>
      <c r="I8777" s="7">
        <v>569.79999999999995</v>
      </c>
      <c r="J8777" s="7">
        <v>505.6</v>
      </c>
      <c r="K8777" s="7">
        <v>438.9</v>
      </c>
      <c r="L8777" s="7">
        <v>414.6</v>
      </c>
      <c r="M8777" s="7">
        <v>347.3</v>
      </c>
      <c r="N8777" s="7">
        <v>270.3</v>
      </c>
      <c r="O8777" s="7">
        <v>169.4</v>
      </c>
      <c r="P8777" s="7">
        <v>431.4</v>
      </c>
      <c r="R8777" s="7">
        <v>255.3</v>
      </c>
      <c r="S8777" s="7">
        <v>346.2</v>
      </c>
    </row>
    <row r="8778" spans="1:19" x14ac:dyDescent="0.2">
      <c r="A8778">
        <v>8777</v>
      </c>
      <c r="B8778" s="1">
        <v>41107</v>
      </c>
      <c r="C8778" t="s">
        <v>28</v>
      </c>
      <c r="D8778" s="7">
        <v>365</v>
      </c>
      <c r="E8778" s="7">
        <v>54</v>
      </c>
      <c r="F8778" s="7">
        <f t="shared" si="137"/>
        <v>3</v>
      </c>
      <c r="G8778" s="7" t="str">
        <f>LOOKUP(H8778,[1]startdates!$A$2:$A$10,[1]startdates!$B$2:$B$10)</f>
        <v>FMr</v>
      </c>
      <c r="H8778">
        <v>6</v>
      </c>
      <c r="I8778" s="7">
        <v>589.4</v>
      </c>
      <c r="K8778" s="7">
        <v>587.1</v>
      </c>
      <c r="L8778" s="7">
        <v>416.6</v>
      </c>
      <c r="M8778" s="7">
        <v>317.10000000000002</v>
      </c>
      <c r="N8778" s="7">
        <v>206.5</v>
      </c>
      <c r="O8778" s="7">
        <v>138.80000000000001</v>
      </c>
      <c r="P8778" s="7">
        <v>454.5</v>
      </c>
    </row>
    <row r="8779" spans="1:19" x14ac:dyDescent="0.2">
      <c r="A8779">
        <v>8778</v>
      </c>
      <c r="B8779" s="1">
        <v>41107</v>
      </c>
      <c r="C8779" t="s">
        <v>28</v>
      </c>
      <c r="D8779" s="7">
        <v>365</v>
      </c>
      <c r="E8779" s="7">
        <v>54</v>
      </c>
      <c r="F8779" s="7">
        <f t="shared" si="137"/>
        <v>3</v>
      </c>
      <c r="G8779" s="7" t="str">
        <f>LOOKUP(H8779,[1]startdates!$A$2:$A$10,[1]startdates!$B$2:$B$10)</f>
        <v>FMr</v>
      </c>
      <c r="H8779">
        <v>6</v>
      </c>
      <c r="I8779" s="7">
        <v>531</v>
      </c>
      <c r="K8779" s="7">
        <v>448.1</v>
      </c>
      <c r="L8779" s="7">
        <v>411.6</v>
      </c>
      <c r="M8779" s="7">
        <v>332.4</v>
      </c>
      <c r="N8779" s="7">
        <v>214.5</v>
      </c>
      <c r="O8779" s="7">
        <v>190</v>
      </c>
      <c r="P8779" s="7">
        <v>401.5</v>
      </c>
    </row>
    <row r="8780" spans="1:19" x14ac:dyDescent="0.2">
      <c r="A8780">
        <v>8779</v>
      </c>
      <c r="B8780" s="1">
        <v>41107</v>
      </c>
      <c r="C8780" t="s">
        <v>28</v>
      </c>
      <c r="D8780" s="7">
        <v>365</v>
      </c>
      <c r="E8780" s="7">
        <v>54</v>
      </c>
      <c r="F8780" s="7">
        <f t="shared" si="137"/>
        <v>3</v>
      </c>
      <c r="G8780" s="7" t="str">
        <f>LOOKUP(H8780,[1]startdates!$A$2:$A$10,[1]startdates!$B$2:$B$10)</f>
        <v>FMr</v>
      </c>
      <c r="H8780">
        <v>6</v>
      </c>
      <c r="I8780" s="7">
        <v>613.79999999999995</v>
      </c>
      <c r="K8780" s="7">
        <v>489.9</v>
      </c>
      <c r="M8780" s="7">
        <v>360.1</v>
      </c>
      <c r="N8780" s="7">
        <v>229.3</v>
      </c>
      <c r="O8780" s="7">
        <v>155.19999999999999</v>
      </c>
    </row>
    <row r="8781" spans="1:19" x14ac:dyDescent="0.2">
      <c r="A8781">
        <v>8780</v>
      </c>
      <c r="B8781" s="1">
        <v>41107</v>
      </c>
      <c r="C8781" t="s">
        <v>28</v>
      </c>
      <c r="D8781" s="7">
        <v>365</v>
      </c>
      <c r="E8781" s="7">
        <v>54</v>
      </c>
      <c r="F8781" s="7">
        <f t="shared" si="137"/>
        <v>3</v>
      </c>
      <c r="G8781" s="7" t="str">
        <f>LOOKUP(H8781,[1]startdates!$A$2:$A$10,[1]startdates!$B$2:$B$10)</f>
        <v>FMr</v>
      </c>
      <c r="H8781">
        <v>6</v>
      </c>
      <c r="I8781" s="7">
        <v>528.5</v>
      </c>
      <c r="K8781" s="7">
        <v>447.3</v>
      </c>
      <c r="M8781" s="7">
        <v>353.8</v>
      </c>
      <c r="N8781" s="7">
        <v>262.8</v>
      </c>
      <c r="O8781" s="7">
        <v>166.7</v>
      </c>
    </row>
    <row r="8782" spans="1:19" x14ac:dyDescent="0.2">
      <c r="A8782">
        <v>8781</v>
      </c>
      <c r="B8782" s="1">
        <v>41107</v>
      </c>
      <c r="C8782" t="s">
        <v>28</v>
      </c>
      <c r="D8782" s="7">
        <v>365</v>
      </c>
      <c r="E8782" s="7">
        <v>54</v>
      </c>
      <c r="F8782" s="7">
        <f t="shared" si="137"/>
        <v>3</v>
      </c>
      <c r="G8782" s="7" t="str">
        <f>LOOKUP(H8782,[1]startdates!$A$2:$A$10,[1]startdates!$B$2:$B$10)</f>
        <v>FMr</v>
      </c>
      <c r="H8782">
        <v>6</v>
      </c>
      <c r="I8782" s="7">
        <v>615.79999999999995</v>
      </c>
      <c r="K8782" s="7">
        <v>581.6</v>
      </c>
      <c r="M8782" s="7">
        <v>346.2</v>
      </c>
      <c r="N8782" s="7">
        <v>164.9</v>
      </c>
      <c r="O8782" s="7">
        <v>165.5</v>
      </c>
    </row>
    <row r="8783" spans="1:19" x14ac:dyDescent="0.2">
      <c r="A8783">
        <v>8782</v>
      </c>
      <c r="B8783" s="1">
        <v>41107</v>
      </c>
      <c r="C8783" t="s">
        <v>28</v>
      </c>
      <c r="D8783" s="7">
        <v>365</v>
      </c>
      <c r="E8783" s="7">
        <v>54</v>
      </c>
      <c r="F8783" s="7">
        <f t="shared" si="137"/>
        <v>3</v>
      </c>
      <c r="G8783" s="7" t="str">
        <f>LOOKUP(H8783,[1]startdates!$A$2:$A$10,[1]startdates!$B$2:$B$10)</f>
        <v>FMr</v>
      </c>
      <c r="H8783">
        <v>6</v>
      </c>
      <c r="I8783" s="7">
        <v>562.29999999999995</v>
      </c>
      <c r="K8783" s="7">
        <v>484.4</v>
      </c>
      <c r="M8783" s="7">
        <v>336</v>
      </c>
      <c r="N8783" s="7">
        <v>140.30000000000001</v>
      </c>
      <c r="O8783" s="7">
        <v>156.6</v>
      </c>
    </row>
    <row r="8784" spans="1:19" x14ac:dyDescent="0.2">
      <c r="A8784">
        <v>8783</v>
      </c>
      <c r="B8784" s="1">
        <v>41107</v>
      </c>
      <c r="C8784" t="s">
        <v>28</v>
      </c>
      <c r="D8784" s="7">
        <v>365</v>
      </c>
      <c r="E8784" s="7">
        <v>54</v>
      </c>
      <c r="F8784" s="7">
        <f t="shared" si="137"/>
        <v>3</v>
      </c>
      <c r="G8784" s="7" t="str">
        <f>LOOKUP(H8784,[1]startdates!$A$2:$A$10,[1]startdates!$B$2:$B$10)</f>
        <v>FMr</v>
      </c>
      <c r="H8784">
        <v>6</v>
      </c>
      <c r="I8784" s="7">
        <v>634.20000000000005</v>
      </c>
      <c r="K8784" s="7">
        <v>492.1</v>
      </c>
      <c r="N8784" s="7">
        <v>154.9</v>
      </c>
      <c r="O8784" s="7">
        <v>143.19999999999999</v>
      </c>
    </row>
    <row r="8785" spans="1:18" x14ac:dyDescent="0.2">
      <c r="A8785">
        <v>8784</v>
      </c>
      <c r="B8785" s="1">
        <v>41107</v>
      </c>
      <c r="C8785" t="s">
        <v>28</v>
      </c>
      <c r="D8785" s="7">
        <v>365</v>
      </c>
      <c r="E8785" s="7">
        <v>54</v>
      </c>
      <c r="F8785" s="7">
        <f t="shared" si="137"/>
        <v>3</v>
      </c>
      <c r="G8785" s="7" t="str">
        <f>LOOKUP(H8785,[1]startdates!$A$2:$A$10,[1]startdates!$B$2:$B$10)</f>
        <v>FMr</v>
      </c>
      <c r="H8785">
        <v>6</v>
      </c>
      <c r="I8785" s="7">
        <v>690.7</v>
      </c>
      <c r="K8785" s="7">
        <v>474.2</v>
      </c>
      <c r="N8785" s="7">
        <v>196.3</v>
      </c>
      <c r="O8785" s="7">
        <v>162</v>
      </c>
    </row>
    <row r="8786" spans="1:18" x14ac:dyDescent="0.2">
      <c r="A8786">
        <v>8785</v>
      </c>
      <c r="B8786" s="1">
        <v>41107</v>
      </c>
      <c r="C8786" t="s">
        <v>28</v>
      </c>
      <c r="D8786" s="7">
        <v>365</v>
      </c>
      <c r="E8786" s="7">
        <v>54</v>
      </c>
      <c r="F8786" s="7">
        <f t="shared" si="137"/>
        <v>3</v>
      </c>
      <c r="G8786" s="7" t="str">
        <f>LOOKUP(H8786,[1]startdates!$A$2:$A$10,[1]startdates!$B$2:$B$10)</f>
        <v>FMr</v>
      </c>
      <c r="H8786">
        <v>6</v>
      </c>
      <c r="I8786" s="7">
        <v>654.6</v>
      </c>
      <c r="K8786" s="7">
        <v>498.4</v>
      </c>
      <c r="N8786" s="7">
        <v>245.7</v>
      </c>
      <c r="O8786" s="7">
        <v>159.4</v>
      </c>
    </row>
    <row r="8787" spans="1:18" x14ac:dyDescent="0.2">
      <c r="A8787">
        <v>8786</v>
      </c>
      <c r="B8787" s="1">
        <v>41107</v>
      </c>
      <c r="C8787" t="s">
        <v>28</v>
      </c>
      <c r="D8787" s="7">
        <v>365</v>
      </c>
      <c r="E8787" s="7">
        <v>54</v>
      </c>
      <c r="F8787" s="7">
        <f t="shared" si="137"/>
        <v>3</v>
      </c>
      <c r="G8787" s="7" t="str">
        <f>LOOKUP(H8787,[1]startdates!$A$2:$A$10,[1]startdates!$B$2:$B$10)</f>
        <v>FMr</v>
      </c>
      <c r="H8787">
        <v>7</v>
      </c>
      <c r="I8787" s="7">
        <v>634.9</v>
      </c>
      <c r="J8787" s="7">
        <v>545.20000000000005</v>
      </c>
      <c r="K8787" s="7">
        <v>460</v>
      </c>
      <c r="L8787" s="7">
        <v>401</v>
      </c>
      <c r="M8787" s="7">
        <v>327.10000000000002</v>
      </c>
      <c r="N8787" s="7">
        <v>219.1</v>
      </c>
      <c r="O8787" s="7">
        <v>163.4</v>
      </c>
      <c r="P8787" s="7">
        <v>464.9</v>
      </c>
      <c r="Q8787" s="7">
        <v>309.7</v>
      </c>
      <c r="R8787" s="7">
        <v>254.1</v>
      </c>
    </row>
    <row r="8788" spans="1:18" x14ac:dyDescent="0.2">
      <c r="A8788">
        <v>8787</v>
      </c>
      <c r="B8788" s="1">
        <v>41107</v>
      </c>
      <c r="C8788" t="s">
        <v>28</v>
      </c>
      <c r="D8788" s="7">
        <v>365</v>
      </c>
      <c r="E8788" s="7">
        <v>54</v>
      </c>
      <c r="F8788" s="7">
        <f t="shared" si="137"/>
        <v>3</v>
      </c>
      <c r="G8788" s="7" t="str">
        <f>LOOKUP(H8788,[1]startdates!$A$2:$A$10,[1]startdates!$B$2:$B$10)</f>
        <v>FMr</v>
      </c>
      <c r="H8788">
        <v>7</v>
      </c>
      <c r="I8788" s="7">
        <v>703</v>
      </c>
      <c r="J8788" s="7">
        <v>563.5</v>
      </c>
      <c r="K8788" s="7">
        <v>457.7</v>
      </c>
      <c r="L8788" s="7">
        <v>406.3</v>
      </c>
      <c r="M8788" s="7">
        <v>320.60000000000002</v>
      </c>
      <c r="N8788" s="7">
        <v>263</v>
      </c>
      <c r="O8788" s="7">
        <v>153.6</v>
      </c>
      <c r="P8788" s="7">
        <v>447.3</v>
      </c>
      <c r="R8788" s="7">
        <v>257.3</v>
      </c>
    </row>
    <row r="8789" spans="1:18" x14ac:dyDescent="0.2">
      <c r="A8789">
        <v>8788</v>
      </c>
      <c r="B8789" s="1">
        <v>41107</v>
      </c>
      <c r="C8789" t="s">
        <v>28</v>
      </c>
      <c r="D8789" s="7">
        <v>365</v>
      </c>
      <c r="E8789" s="7">
        <v>54</v>
      </c>
      <c r="F8789" s="7">
        <f t="shared" si="137"/>
        <v>3</v>
      </c>
      <c r="G8789" s="7" t="str">
        <f>LOOKUP(H8789,[1]startdates!$A$2:$A$10,[1]startdates!$B$2:$B$10)</f>
        <v>FMr</v>
      </c>
      <c r="H8789">
        <v>7</v>
      </c>
      <c r="I8789" s="7">
        <v>645.6</v>
      </c>
      <c r="J8789" s="7">
        <v>488</v>
      </c>
      <c r="K8789" s="7">
        <v>524.29999999999995</v>
      </c>
      <c r="L8789" s="7">
        <v>449.2</v>
      </c>
      <c r="M8789" s="7">
        <v>335.8</v>
      </c>
      <c r="N8789" s="7">
        <v>272.7</v>
      </c>
      <c r="O8789" s="7">
        <v>181.2</v>
      </c>
      <c r="P8789" s="7">
        <v>462.4</v>
      </c>
      <c r="R8789" s="7">
        <v>236.7</v>
      </c>
    </row>
    <row r="8790" spans="1:18" x14ac:dyDescent="0.2">
      <c r="A8790">
        <v>8789</v>
      </c>
      <c r="B8790" s="1">
        <v>41107</v>
      </c>
      <c r="C8790" t="s">
        <v>28</v>
      </c>
      <c r="D8790" s="7">
        <v>365</v>
      </c>
      <c r="E8790" s="7">
        <v>54</v>
      </c>
      <c r="F8790" s="7">
        <f t="shared" si="137"/>
        <v>3</v>
      </c>
      <c r="G8790" s="7" t="str">
        <f>LOOKUP(H8790,[1]startdates!$A$2:$A$10,[1]startdates!$B$2:$B$10)</f>
        <v>FMr</v>
      </c>
      <c r="H8790">
        <v>7</v>
      </c>
      <c r="I8790" s="7">
        <v>644.70000000000005</v>
      </c>
      <c r="J8790" s="7">
        <v>544.9</v>
      </c>
      <c r="K8790" s="7">
        <v>446.7</v>
      </c>
      <c r="L8790" s="7">
        <v>408.7</v>
      </c>
      <c r="M8790" s="7">
        <v>359.2</v>
      </c>
      <c r="N8790" s="7">
        <v>240.4</v>
      </c>
      <c r="O8790" s="7">
        <v>123</v>
      </c>
      <c r="P8790" s="7">
        <v>438.2</v>
      </c>
    </row>
    <row r="8791" spans="1:18" x14ac:dyDescent="0.2">
      <c r="A8791">
        <v>8790</v>
      </c>
      <c r="B8791" s="1">
        <v>41107</v>
      </c>
      <c r="C8791" t="s">
        <v>28</v>
      </c>
      <c r="D8791" s="7">
        <v>365</v>
      </c>
      <c r="E8791" s="7">
        <v>54</v>
      </c>
      <c r="F8791" s="7">
        <f t="shared" si="137"/>
        <v>3</v>
      </c>
      <c r="G8791" s="7" t="str">
        <f>LOOKUP(H8791,[1]startdates!$A$2:$A$10,[1]startdates!$B$2:$B$10)</f>
        <v>FMr</v>
      </c>
      <c r="H8791">
        <v>7</v>
      </c>
      <c r="I8791" s="7">
        <v>630.1</v>
      </c>
      <c r="L8791" s="7">
        <v>444.1</v>
      </c>
      <c r="M8791" s="7">
        <v>321</v>
      </c>
      <c r="N8791" s="7">
        <v>235.5</v>
      </c>
      <c r="O8791" s="7">
        <v>156.30000000000001</v>
      </c>
      <c r="P8791" s="7">
        <v>419.8</v>
      </c>
    </row>
    <row r="8792" spans="1:18" x14ac:dyDescent="0.2">
      <c r="A8792">
        <v>8791</v>
      </c>
      <c r="B8792" s="1">
        <v>41107</v>
      </c>
      <c r="C8792" t="s">
        <v>28</v>
      </c>
      <c r="D8792" s="7">
        <v>365</v>
      </c>
      <c r="E8792" s="7">
        <v>54</v>
      </c>
      <c r="F8792" s="7">
        <f t="shared" si="137"/>
        <v>3</v>
      </c>
      <c r="G8792" s="7" t="str">
        <f>LOOKUP(H8792,[1]startdates!$A$2:$A$10,[1]startdates!$B$2:$B$10)</f>
        <v>FMr</v>
      </c>
      <c r="H8792">
        <v>7</v>
      </c>
      <c r="I8792" s="7">
        <v>634.29999999999995</v>
      </c>
      <c r="M8792" s="7">
        <v>349.8</v>
      </c>
      <c r="N8792" s="7">
        <v>248.9</v>
      </c>
      <c r="O8792" s="7">
        <v>151.80000000000001</v>
      </c>
    </row>
    <row r="8793" spans="1:18" x14ac:dyDescent="0.2">
      <c r="A8793">
        <v>8792</v>
      </c>
      <c r="B8793" s="1">
        <v>41107</v>
      </c>
      <c r="C8793" t="s">
        <v>28</v>
      </c>
      <c r="D8793" s="7">
        <v>365</v>
      </c>
      <c r="E8793" s="7">
        <v>54</v>
      </c>
      <c r="F8793" s="7">
        <f t="shared" si="137"/>
        <v>3</v>
      </c>
      <c r="G8793" s="7" t="str">
        <f>LOOKUP(H8793,[1]startdates!$A$2:$A$10,[1]startdates!$B$2:$B$10)</f>
        <v>FMr</v>
      </c>
      <c r="H8793">
        <v>7</v>
      </c>
      <c r="I8793" s="7">
        <v>623.70000000000005</v>
      </c>
      <c r="M8793" s="7">
        <v>361.5</v>
      </c>
      <c r="N8793" s="7">
        <v>221</v>
      </c>
      <c r="O8793" s="7">
        <v>146.6</v>
      </c>
    </row>
    <row r="8794" spans="1:18" x14ac:dyDescent="0.2">
      <c r="A8794">
        <v>8793</v>
      </c>
      <c r="B8794" s="1">
        <v>41107</v>
      </c>
      <c r="C8794" t="s">
        <v>28</v>
      </c>
      <c r="D8794" s="7">
        <v>365</v>
      </c>
      <c r="E8794" s="7">
        <v>54</v>
      </c>
      <c r="F8794" s="7">
        <f t="shared" si="137"/>
        <v>3</v>
      </c>
      <c r="G8794" s="7" t="str">
        <f>LOOKUP(H8794,[1]startdates!$A$2:$A$10,[1]startdates!$B$2:$B$10)</f>
        <v>FMr</v>
      </c>
      <c r="H8794">
        <v>7</v>
      </c>
      <c r="I8794" s="7">
        <v>663.9</v>
      </c>
      <c r="M8794" s="7">
        <v>305.60000000000002</v>
      </c>
      <c r="N8794" s="7">
        <v>246.1</v>
      </c>
      <c r="O8794" s="7">
        <v>152.4</v>
      </c>
    </row>
    <row r="8795" spans="1:18" x14ac:dyDescent="0.2">
      <c r="A8795">
        <v>8794</v>
      </c>
      <c r="B8795" s="1">
        <v>41107</v>
      </c>
      <c r="C8795" t="s">
        <v>28</v>
      </c>
      <c r="D8795" s="7">
        <v>365</v>
      </c>
      <c r="E8795" s="7">
        <v>54</v>
      </c>
      <c r="F8795" s="7">
        <f t="shared" si="137"/>
        <v>3</v>
      </c>
      <c r="G8795" s="7" t="str">
        <f>LOOKUP(H8795,[1]startdates!$A$2:$A$10,[1]startdates!$B$2:$B$10)</f>
        <v>FMr</v>
      </c>
      <c r="H8795">
        <v>7</v>
      </c>
      <c r="I8795" s="7">
        <v>761.8</v>
      </c>
      <c r="M8795" s="7">
        <v>348.9</v>
      </c>
      <c r="N8795" s="7">
        <v>224.7</v>
      </c>
      <c r="O8795" s="7">
        <v>157.30000000000001</v>
      </c>
    </row>
    <row r="8796" spans="1:18" x14ac:dyDescent="0.2">
      <c r="A8796">
        <v>8795</v>
      </c>
      <c r="B8796" s="1">
        <v>41107</v>
      </c>
      <c r="C8796" t="s">
        <v>28</v>
      </c>
      <c r="D8796" s="7">
        <v>365</v>
      </c>
      <c r="E8796" s="7">
        <v>54</v>
      </c>
      <c r="F8796" s="7">
        <f t="shared" si="137"/>
        <v>3</v>
      </c>
      <c r="G8796" s="7" t="str">
        <f>LOOKUP(H8796,[1]startdates!$A$2:$A$10,[1]startdates!$B$2:$B$10)</f>
        <v>FMr</v>
      </c>
      <c r="H8796">
        <v>7</v>
      </c>
      <c r="I8796" s="7">
        <v>616.20000000000005</v>
      </c>
      <c r="M8796" s="7">
        <v>346.1</v>
      </c>
      <c r="N8796" s="7">
        <v>160.4</v>
      </c>
      <c r="O8796" s="7">
        <v>146.6</v>
      </c>
    </row>
    <row r="8797" spans="1:18" x14ac:dyDescent="0.2">
      <c r="A8797">
        <v>8796</v>
      </c>
      <c r="B8797" s="1">
        <v>41107</v>
      </c>
      <c r="C8797" t="s">
        <v>24</v>
      </c>
      <c r="D8797" s="7">
        <v>365</v>
      </c>
      <c r="E8797" s="7">
        <v>54</v>
      </c>
      <c r="F8797" s="7">
        <f t="shared" si="137"/>
        <v>3</v>
      </c>
      <c r="G8797" s="7" t="str">
        <f>LOOKUP(H8797,[1]startdates!$A$2:$A$10,[1]startdates!$B$2:$B$10)</f>
        <v>C</v>
      </c>
      <c r="H8797">
        <v>8</v>
      </c>
      <c r="I8797" s="7">
        <v>785.8</v>
      </c>
      <c r="J8797" s="7">
        <v>494</v>
      </c>
      <c r="K8797" s="7">
        <v>553</v>
      </c>
      <c r="L8797" s="7">
        <v>452.4</v>
      </c>
      <c r="M8797" s="7">
        <v>344.7</v>
      </c>
      <c r="N8797" s="7">
        <v>202.6</v>
      </c>
      <c r="O8797" s="7">
        <v>162.69999999999999</v>
      </c>
      <c r="P8797" s="7">
        <v>453.7</v>
      </c>
      <c r="Q8797" s="7">
        <v>353.8</v>
      </c>
    </row>
    <row r="8798" spans="1:18" x14ac:dyDescent="0.2">
      <c r="A8798">
        <v>8797</v>
      </c>
      <c r="B8798" s="1">
        <v>41107</v>
      </c>
      <c r="C8798" t="s">
        <v>24</v>
      </c>
      <c r="D8798" s="7">
        <v>365</v>
      </c>
      <c r="E8798" s="7">
        <v>54</v>
      </c>
      <c r="F8798" s="7">
        <f t="shared" si="137"/>
        <v>3</v>
      </c>
      <c r="G8798" s="7" t="str">
        <f>LOOKUP(H8798,[1]startdates!$A$2:$A$10,[1]startdates!$B$2:$B$10)</f>
        <v>C</v>
      </c>
      <c r="H8798">
        <v>8</v>
      </c>
      <c r="I8798" s="7">
        <v>622.6</v>
      </c>
      <c r="J8798" s="7">
        <v>575</v>
      </c>
      <c r="K8798" s="7">
        <v>675.4</v>
      </c>
      <c r="L8798" s="7">
        <v>445.2</v>
      </c>
      <c r="M8798" s="7">
        <v>334.2</v>
      </c>
      <c r="N8798" s="7">
        <v>272.7</v>
      </c>
      <c r="O8798" s="7">
        <v>164.4</v>
      </c>
      <c r="P8798" s="7">
        <v>451.3</v>
      </c>
      <c r="Q8798" s="7">
        <v>331.6</v>
      </c>
    </row>
    <row r="8799" spans="1:18" x14ac:dyDescent="0.2">
      <c r="A8799">
        <v>8798</v>
      </c>
      <c r="B8799" s="1">
        <v>41107</v>
      </c>
      <c r="C8799" t="s">
        <v>24</v>
      </c>
      <c r="D8799" s="7">
        <v>365</v>
      </c>
      <c r="E8799" s="7">
        <v>54</v>
      </c>
      <c r="F8799" s="7">
        <f t="shared" si="137"/>
        <v>3</v>
      </c>
      <c r="G8799" s="7" t="str">
        <f>LOOKUP(H8799,[1]startdates!$A$2:$A$10,[1]startdates!$B$2:$B$10)</f>
        <v>C</v>
      </c>
      <c r="H8799">
        <v>8</v>
      </c>
      <c r="I8799" s="7">
        <v>793</v>
      </c>
      <c r="J8799" s="7">
        <v>520.6</v>
      </c>
      <c r="K8799" s="7">
        <v>555.70000000000005</v>
      </c>
      <c r="M8799" s="7">
        <v>324.5</v>
      </c>
      <c r="N8799" s="7">
        <v>217.3</v>
      </c>
      <c r="O8799" s="7">
        <v>173.3</v>
      </c>
    </row>
    <row r="8800" spans="1:18" x14ac:dyDescent="0.2">
      <c r="A8800">
        <v>8799</v>
      </c>
      <c r="B8800" s="1">
        <v>41107</v>
      </c>
      <c r="C8800" t="s">
        <v>24</v>
      </c>
      <c r="D8800" s="7">
        <v>365</v>
      </c>
      <c r="E8800" s="7">
        <v>54</v>
      </c>
      <c r="F8800" s="7">
        <f t="shared" si="137"/>
        <v>3</v>
      </c>
      <c r="G8800" s="7" t="str">
        <f>LOOKUP(H8800,[1]startdates!$A$2:$A$10,[1]startdates!$B$2:$B$10)</f>
        <v>C</v>
      </c>
      <c r="H8800">
        <v>8</v>
      </c>
      <c r="I8800" s="7">
        <v>589.1</v>
      </c>
      <c r="J8800" s="7">
        <v>517.70000000000005</v>
      </c>
      <c r="M8800" s="7">
        <v>322.7</v>
      </c>
      <c r="N8800" s="7">
        <v>280.39999999999998</v>
      </c>
      <c r="O8800" s="7">
        <v>184.1</v>
      </c>
    </row>
    <row r="8801" spans="1:17" x14ac:dyDescent="0.2">
      <c r="A8801">
        <v>8800</v>
      </c>
      <c r="B8801" s="1">
        <v>41107</v>
      </c>
      <c r="C8801" t="s">
        <v>24</v>
      </c>
      <c r="D8801" s="7">
        <v>365</v>
      </c>
      <c r="E8801" s="7">
        <v>54</v>
      </c>
      <c r="F8801" s="7">
        <f t="shared" si="137"/>
        <v>3</v>
      </c>
      <c r="G8801" s="7" t="str">
        <f>LOOKUP(H8801,[1]startdates!$A$2:$A$10,[1]startdates!$B$2:$B$10)</f>
        <v>C</v>
      </c>
      <c r="H8801">
        <v>8</v>
      </c>
      <c r="I8801" s="7">
        <v>738.9</v>
      </c>
      <c r="J8801" s="7">
        <v>478.2</v>
      </c>
      <c r="M8801" s="7">
        <v>336.7</v>
      </c>
      <c r="N8801" s="7">
        <v>229.8</v>
      </c>
      <c r="O8801" s="7">
        <v>162.4</v>
      </c>
    </row>
    <row r="8802" spans="1:17" x14ac:dyDescent="0.2">
      <c r="A8802">
        <v>8801</v>
      </c>
      <c r="B8802" s="1">
        <v>41107</v>
      </c>
      <c r="C8802" t="s">
        <v>24</v>
      </c>
      <c r="D8802" s="7">
        <v>365</v>
      </c>
      <c r="E8802" s="7">
        <v>54</v>
      </c>
      <c r="F8802" s="7">
        <f t="shared" si="137"/>
        <v>3</v>
      </c>
      <c r="G8802" s="7" t="str">
        <f>LOOKUP(H8802,[1]startdates!$A$2:$A$10,[1]startdates!$B$2:$B$10)</f>
        <v>C</v>
      </c>
      <c r="H8802">
        <v>8</v>
      </c>
      <c r="I8802" s="7">
        <v>703.3</v>
      </c>
      <c r="J8802" s="7">
        <v>492.8</v>
      </c>
      <c r="M8802" s="7">
        <v>307</v>
      </c>
      <c r="N8802" s="7">
        <v>256.39999999999998</v>
      </c>
      <c r="O8802" s="7">
        <v>177.1</v>
      </c>
    </row>
    <row r="8803" spans="1:17" x14ac:dyDescent="0.2">
      <c r="A8803">
        <v>8802</v>
      </c>
      <c r="B8803" s="1">
        <v>41107</v>
      </c>
      <c r="C8803" t="s">
        <v>24</v>
      </c>
      <c r="D8803" s="7">
        <v>365</v>
      </c>
      <c r="E8803" s="7">
        <v>54</v>
      </c>
      <c r="F8803" s="7">
        <f t="shared" si="137"/>
        <v>3</v>
      </c>
      <c r="G8803" s="7" t="str">
        <f>LOOKUP(H8803,[1]startdates!$A$2:$A$10,[1]startdates!$B$2:$B$10)</f>
        <v>C</v>
      </c>
      <c r="H8803">
        <v>8</v>
      </c>
      <c r="I8803" s="7">
        <v>717.2</v>
      </c>
      <c r="J8803" s="7">
        <v>501.3</v>
      </c>
      <c r="M8803" s="7">
        <v>321.39999999999998</v>
      </c>
      <c r="N8803" s="7">
        <v>225.4</v>
      </c>
      <c r="O8803" s="7">
        <v>195.3</v>
      </c>
    </row>
    <row r="8804" spans="1:17" x14ac:dyDescent="0.2">
      <c r="A8804">
        <v>8803</v>
      </c>
      <c r="B8804" s="1">
        <v>41107</v>
      </c>
      <c r="C8804" t="s">
        <v>24</v>
      </c>
      <c r="D8804" s="7">
        <v>365</v>
      </c>
      <c r="E8804" s="7">
        <v>54</v>
      </c>
      <c r="F8804" s="7">
        <f t="shared" si="137"/>
        <v>3</v>
      </c>
      <c r="G8804" s="7" t="str">
        <f>LOOKUP(H8804,[1]startdates!$A$2:$A$10,[1]startdates!$B$2:$B$10)</f>
        <v>C</v>
      </c>
      <c r="H8804">
        <v>8</v>
      </c>
      <c r="I8804" s="7">
        <v>655.7</v>
      </c>
      <c r="J8804" s="7">
        <v>506.3</v>
      </c>
      <c r="M8804" s="7">
        <v>320.5</v>
      </c>
      <c r="N8804" s="7">
        <v>203.8</v>
      </c>
      <c r="O8804" s="7">
        <v>181.9</v>
      </c>
    </row>
    <row r="8805" spans="1:17" x14ac:dyDescent="0.2">
      <c r="A8805">
        <v>8804</v>
      </c>
      <c r="B8805" s="1">
        <v>41107</v>
      </c>
      <c r="C8805" t="s">
        <v>24</v>
      </c>
      <c r="D8805" s="7">
        <v>365</v>
      </c>
      <c r="E8805" s="7">
        <v>54</v>
      </c>
      <c r="F8805" s="7">
        <f t="shared" si="137"/>
        <v>3</v>
      </c>
      <c r="G8805" s="7" t="str">
        <f>LOOKUP(H8805,[1]startdates!$A$2:$A$10,[1]startdates!$B$2:$B$10)</f>
        <v>C</v>
      </c>
      <c r="H8805">
        <v>8</v>
      </c>
      <c r="I8805" s="7">
        <v>710</v>
      </c>
      <c r="J8805" s="7">
        <v>553.20000000000005</v>
      </c>
      <c r="M8805" s="7">
        <v>344</v>
      </c>
      <c r="N8805" s="7">
        <v>188.5</v>
      </c>
      <c r="O8805" s="7">
        <v>174.6</v>
      </c>
    </row>
    <row r="8806" spans="1:17" x14ac:dyDescent="0.2">
      <c r="A8806">
        <v>8805</v>
      </c>
      <c r="B8806" s="1">
        <v>41107</v>
      </c>
      <c r="C8806" t="s">
        <v>24</v>
      </c>
      <c r="D8806" s="7">
        <v>365</v>
      </c>
      <c r="E8806" s="7">
        <v>54</v>
      </c>
      <c r="F8806" s="7">
        <f t="shared" si="137"/>
        <v>3</v>
      </c>
      <c r="G8806" s="7" t="str">
        <f>LOOKUP(H8806,[1]startdates!$A$2:$A$10,[1]startdates!$B$2:$B$10)</f>
        <v>C</v>
      </c>
      <c r="H8806">
        <v>8</v>
      </c>
      <c r="I8806" s="7">
        <v>624.6</v>
      </c>
      <c r="N8806" s="7">
        <v>192.2</v>
      </c>
      <c r="O8806" s="7">
        <v>158.6</v>
      </c>
    </row>
    <row r="8807" spans="1:17" x14ac:dyDescent="0.2">
      <c r="A8807">
        <v>8806</v>
      </c>
      <c r="B8807" s="1">
        <v>41107</v>
      </c>
      <c r="C8807" t="s">
        <v>24</v>
      </c>
      <c r="D8807" s="7">
        <v>365</v>
      </c>
      <c r="E8807" s="7">
        <v>54</v>
      </c>
      <c r="F8807" s="7">
        <f t="shared" si="137"/>
        <v>3</v>
      </c>
      <c r="G8807" s="7" t="str">
        <f>LOOKUP(H8807,[1]startdates!$A$2:$A$10,[1]startdates!$B$2:$B$10)</f>
        <v>C</v>
      </c>
      <c r="H8807">
        <v>8</v>
      </c>
      <c r="N8807" s="7">
        <v>240.4</v>
      </c>
    </row>
    <row r="8808" spans="1:17" x14ac:dyDescent="0.2">
      <c r="A8808">
        <v>8807</v>
      </c>
      <c r="B8808" s="1">
        <v>41107</v>
      </c>
      <c r="C8808" t="s">
        <v>24</v>
      </c>
      <c r="D8808" s="7">
        <v>365</v>
      </c>
      <c r="E8808" s="7">
        <v>54</v>
      </c>
      <c r="F8808" s="7">
        <f t="shared" si="137"/>
        <v>3</v>
      </c>
      <c r="G8808" s="7" t="str">
        <f>LOOKUP(H8808,[1]startdates!$A$2:$A$10,[1]startdates!$B$2:$B$10)</f>
        <v>FMr</v>
      </c>
      <c r="H8808">
        <v>9</v>
      </c>
      <c r="I8808" s="7">
        <v>688.6</v>
      </c>
      <c r="J8808" s="7">
        <v>543.29999999999995</v>
      </c>
      <c r="K8808" s="7">
        <v>530.29999999999995</v>
      </c>
      <c r="L8808" s="7">
        <v>424.3</v>
      </c>
      <c r="M8808" s="7">
        <v>293.2</v>
      </c>
      <c r="N8808" s="7">
        <v>266.89999999999998</v>
      </c>
      <c r="O8808" s="7">
        <v>149.1</v>
      </c>
      <c r="Q8808" s="7">
        <v>380.1</v>
      </c>
    </row>
    <row r="8809" spans="1:17" x14ac:dyDescent="0.2">
      <c r="A8809">
        <v>8808</v>
      </c>
      <c r="B8809" s="1">
        <v>41107</v>
      </c>
      <c r="C8809" t="s">
        <v>24</v>
      </c>
      <c r="D8809" s="7">
        <v>365</v>
      </c>
      <c r="E8809" s="7">
        <v>54</v>
      </c>
      <c r="F8809" s="7">
        <f t="shared" ref="F8809:F8819" si="138">WEEKDAY(B8809)</f>
        <v>3</v>
      </c>
      <c r="G8809" s="7" t="str">
        <f>LOOKUP(H8809,[1]startdates!$A$2:$A$10,[1]startdates!$B$2:$B$10)</f>
        <v>FMr</v>
      </c>
      <c r="H8809">
        <v>9</v>
      </c>
      <c r="I8809" s="7">
        <v>640.9</v>
      </c>
      <c r="J8809" s="7">
        <v>438.1</v>
      </c>
      <c r="K8809" s="7">
        <v>545.1</v>
      </c>
      <c r="L8809" s="7">
        <v>406.7</v>
      </c>
      <c r="M8809" s="7">
        <v>390.4</v>
      </c>
      <c r="N8809" s="7">
        <v>305.10000000000002</v>
      </c>
      <c r="O8809" s="7">
        <v>205.7</v>
      </c>
      <c r="Q8809" s="7">
        <v>350.1</v>
      </c>
    </row>
    <row r="8810" spans="1:17" x14ac:dyDescent="0.2">
      <c r="A8810">
        <v>8809</v>
      </c>
      <c r="B8810" s="1">
        <v>41107</v>
      </c>
      <c r="C8810" t="s">
        <v>24</v>
      </c>
      <c r="D8810" s="7">
        <v>365</v>
      </c>
      <c r="E8810" s="7">
        <v>54</v>
      </c>
      <c r="F8810" s="7">
        <f t="shared" si="138"/>
        <v>3</v>
      </c>
      <c r="G8810" s="7" t="str">
        <f>LOOKUP(H8810,[1]startdates!$A$2:$A$10,[1]startdates!$B$2:$B$10)</f>
        <v>FMr</v>
      </c>
      <c r="H8810">
        <v>9</v>
      </c>
      <c r="I8810" s="7">
        <v>618</v>
      </c>
      <c r="J8810" s="7">
        <v>519.20000000000005</v>
      </c>
      <c r="K8810" s="7">
        <v>474.5</v>
      </c>
      <c r="M8810" s="7">
        <v>335.3</v>
      </c>
      <c r="N8810" s="7">
        <v>269.39999999999998</v>
      </c>
      <c r="O8810" s="7">
        <v>197.9</v>
      </c>
    </row>
    <row r="8811" spans="1:17" x14ac:dyDescent="0.2">
      <c r="A8811">
        <v>8810</v>
      </c>
      <c r="B8811" s="1">
        <v>41107</v>
      </c>
      <c r="C8811" t="s">
        <v>24</v>
      </c>
      <c r="D8811" s="7">
        <v>365</v>
      </c>
      <c r="E8811" s="7">
        <v>54</v>
      </c>
      <c r="F8811" s="7">
        <f t="shared" si="138"/>
        <v>3</v>
      </c>
      <c r="G8811" s="7" t="str">
        <f>LOOKUP(H8811,[1]startdates!$A$2:$A$10,[1]startdates!$B$2:$B$10)</f>
        <v>FMr</v>
      </c>
      <c r="H8811">
        <v>9</v>
      </c>
      <c r="I8811" s="7">
        <v>684.8</v>
      </c>
      <c r="K8811" s="7">
        <v>475.5</v>
      </c>
      <c r="M8811" s="7">
        <v>353.6</v>
      </c>
      <c r="N8811" s="7">
        <v>226.5</v>
      </c>
      <c r="O8811" s="7">
        <v>199.1</v>
      </c>
    </row>
    <row r="8812" spans="1:17" x14ac:dyDescent="0.2">
      <c r="A8812">
        <v>8811</v>
      </c>
      <c r="B8812" s="1">
        <v>41107</v>
      </c>
      <c r="C8812" t="s">
        <v>24</v>
      </c>
      <c r="D8812" s="7">
        <v>365</v>
      </c>
      <c r="E8812" s="7">
        <v>54</v>
      </c>
      <c r="F8812" s="7">
        <f t="shared" si="138"/>
        <v>3</v>
      </c>
      <c r="G8812" s="7" t="str">
        <f>LOOKUP(H8812,[1]startdates!$A$2:$A$10,[1]startdates!$B$2:$B$10)</f>
        <v>FMr</v>
      </c>
      <c r="H8812">
        <v>9</v>
      </c>
      <c r="I8812" s="7">
        <v>586.20000000000005</v>
      </c>
      <c r="K8812" s="7">
        <v>532.29999999999995</v>
      </c>
      <c r="M8812" s="7">
        <v>341.1</v>
      </c>
      <c r="N8812" s="7">
        <v>258.39999999999998</v>
      </c>
      <c r="O8812" s="7">
        <v>180.6</v>
      </c>
    </row>
    <row r="8813" spans="1:17" x14ac:dyDescent="0.2">
      <c r="A8813">
        <v>8812</v>
      </c>
      <c r="B8813" s="1">
        <v>41107</v>
      </c>
      <c r="C8813" t="s">
        <v>24</v>
      </c>
      <c r="D8813" s="7">
        <v>365</v>
      </c>
      <c r="E8813" s="7">
        <v>54</v>
      </c>
      <c r="F8813" s="7">
        <f t="shared" si="138"/>
        <v>3</v>
      </c>
      <c r="G8813" s="7" t="str">
        <f>LOOKUP(H8813,[1]startdates!$A$2:$A$10,[1]startdates!$B$2:$B$10)</f>
        <v>FMr</v>
      </c>
      <c r="H8813">
        <v>9</v>
      </c>
      <c r="I8813" s="7">
        <v>621</v>
      </c>
      <c r="M8813" s="7">
        <v>303.89999999999998</v>
      </c>
      <c r="N8813" s="7">
        <v>246.7</v>
      </c>
      <c r="O8813" s="7">
        <v>211.5</v>
      </c>
    </row>
    <row r="8814" spans="1:17" x14ac:dyDescent="0.2">
      <c r="A8814">
        <v>8813</v>
      </c>
      <c r="B8814" s="1">
        <v>41107</v>
      </c>
      <c r="C8814" t="s">
        <v>24</v>
      </c>
      <c r="D8814" s="7">
        <v>365</v>
      </c>
      <c r="E8814" s="7">
        <v>54</v>
      </c>
      <c r="F8814" s="7">
        <f t="shared" si="138"/>
        <v>3</v>
      </c>
      <c r="G8814" s="7" t="str">
        <f>LOOKUP(H8814,[1]startdates!$A$2:$A$10,[1]startdates!$B$2:$B$10)</f>
        <v>FMr</v>
      </c>
      <c r="H8814">
        <v>9</v>
      </c>
      <c r="I8814" s="7">
        <v>653.70000000000005</v>
      </c>
      <c r="M8814" s="7">
        <v>341</v>
      </c>
      <c r="N8814" s="7">
        <v>231.7</v>
      </c>
      <c r="O8814" s="7">
        <v>172.4</v>
      </c>
    </row>
    <row r="8815" spans="1:17" x14ac:dyDescent="0.2">
      <c r="A8815">
        <v>8814</v>
      </c>
      <c r="B8815" s="1">
        <v>41107</v>
      </c>
      <c r="C8815" t="s">
        <v>24</v>
      </c>
      <c r="D8815" s="7">
        <v>365</v>
      </c>
      <c r="E8815" s="7">
        <v>54</v>
      </c>
      <c r="F8815" s="7">
        <f t="shared" si="138"/>
        <v>3</v>
      </c>
      <c r="G8815" s="7" t="str">
        <f>LOOKUP(H8815,[1]startdates!$A$2:$A$10,[1]startdates!$B$2:$B$10)</f>
        <v>FMr</v>
      </c>
      <c r="H8815">
        <v>9</v>
      </c>
      <c r="M8815" s="7">
        <v>355.8</v>
      </c>
      <c r="N8815" s="7">
        <v>174.6</v>
      </c>
      <c r="O8815" s="7">
        <v>153.19999999999999</v>
      </c>
    </row>
    <row r="8816" spans="1:17" x14ac:dyDescent="0.2">
      <c r="A8816">
        <v>8815</v>
      </c>
      <c r="B8816" s="1">
        <v>41107</v>
      </c>
      <c r="C8816" t="s">
        <v>24</v>
      </c>
      <c r="D8816" s="7">
        <v>365</v>
      </c>
      <c r="E8816" s="7">
        <v>54</v>
      </c>
      <c r="F8816" s="7">
        <f t="shared" si="138"/>
        <v>3</v>
      </c>
      <c r="G8816" s="7" t="str">
        <f>LOOKUP(H8816,[1]startdates!$A$2:$A$10,[1]startdates!$B$2:$B$10)</f>
        <v>FMr</v>
      </c>
      <c r="H8816">
        <v>9</v>
      </c>
      <c r="N8816" s="7">
        <v>202.5</v>
      </c>
      <c r="O8816" s="7">
        <v>171.3</v>
      </c>
    </row>
    <row r="8817" spans="1:14" x14ac:dyDescent="0.2">
      <c r="A8817">
        <v>8816</v>
      </c>
      <c r="B8817" s="1">
        <v>41107</v>
      </c>
      <c r="C8817" t="s">
        <v>24</v>
      </c>
      <c r="D8817" s="7">
        <v>365</v>
      </c>
      <c r="E8817" s="7">
        <v>54</v>
      </c>
      <c r="F8817" s="7">
        <f t="shared" si="138"/>
        <v>3</v>
      </c>
      <c r="G8817" s="7" t="str">
        <f>LOOKUP(H8817,[1]startdates!$A$2:$A$10,[1]startdates!$B$2:$B$10)</f>
        <v>FMr</v>
      </c>
      <c r="H8817">
        <v>9</v>
      </c>
      <c r="N8817" s="7">
        <v>290</v>
      </c>
    </row>
    <row r="8818" spans="1:14" x14ac:dyDescent="0.2">
      <c r="A8818">
        <v>8817</v>
      </c>
      <c r="B8818" s="1">
        <v>41107</v>
      </c>
      <c r="C8818" t="s">
        <v>24</v>
      </c>
      <c r="D8818" s="7">
        <v>365</v>
      </c>
      <c r="E8818" s="7">
        <v>54</v>
      </c>
      <c r="F8818" s="7">
        <f t="shared" si="138"/>
        <v>3</v>
      </c>
      <c r="G8818" s="7" t="str">
        <f>LOOKUP(H8818,[1]startdates!$A$2:$A$10,[1]startdates!$B$2:$B$10)</f>
        <v>FMr</v>
      </c>
      <c r="H8818">
        <v>9</v>
      </c>
      <c r="N8818" s="7">
        <v>250</v>
      </c>
    </row>
    <row r="8819" spans="1:14" x14ac:dyDescent="0.2">
      <c r="A8819">
        <v>8818</v>
      </c>
      <c r="B8819" s="1">
        <v>41107</v>
      </c>
      <c r="C8819" t="s">
        <v>24</v>
      </c>
      <c r="D8819" s="7">
        <v>365</v>
      </c>
      <c r="E8819" s="7">
        <v>54</v>
      </c>
      <c r="F8819" s="7">
        <f t="shared" si="138"/>
        <v>3</v>
      </c>
      <c r="G8819" s="7" t="str">
        <f>LOOKUP(H8819,[1]startdates!$A$2:$A$10,[1]startdates!$B$2:$B$10)</f>
        <v>FMr</v>
      </c>
      <c r="H881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CountData</vt:lpstr>
      <vt:lpstr>SizeData</vt:lpstr>
    </vt:vector>
  </TitlesOfParts>
  <Company>Universiteit van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</dc:creator>
  <cp:lastModifiedBy>Man Qi</cp:lastModifiedBy>
  <dcterms:created xsi:type="dcterms:W3CDTF">2019-10-31T16:13:53Z</dcterms:created>
  <dcterms:modified xsi:type="dcterms:W3CDTF">2025-05-12T10:01:24Z</dcterms:modified>
</cp:coreProperties>
</file>